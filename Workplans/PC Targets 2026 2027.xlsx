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SAS\Workplans\"/>
    </mc:Choice>
  </mc:AlternateContent>
  <bookViews>
    <workbookView xWindow="0" yWindow="0" windowWidth="23040" windowHeight="8280"/>
  </bookViews>
  <sheets>
    <sheet name="PC Targets 2026-2027" sheetId="3"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 i="3" l="1"/>
  <c r="G10" i="3"/>
  <c r="G9" i="3"/>
  <c r="F5" i="3"/>
  <c r="K117" i="1"/>
  <c r="L117" i="1" s="1"/>
  <c r="M117" i="1" s="1"/>
  <c r="K116" i="1"/>
  <c r="L116" i="1" s="1"/>
  <c r="M116" i="1" s="1"/>
  <c r="J115" i="1"/>
  <c r="I115" i="1"/>
  <c r="H115" i="1"/>
  <c r="G115" i="1"/>
  <c r="K113" i="1"/>
  <c r="L113" i="1" s="1"/>
  <c r="M113" i="1" s="1"/>
  <c r="K112" i="1"/>
  <c r="L112" i="1" s="1"/>
  <c r="M112" i="1" s="1"/>
  <c r="K111" i="1"/>
  <c r="L111" i="1" s="1"/>
  <c r="M111" i="1" s="1"/>
  <c r="L110" i="1"/>
  <c r="M110" i="1" s="1"/>
  <c r="K110" i="1"/>
  <c r="J109" i="1"/>
  <c r="I109" i="1"/>
  <c r="H109" i="1"/>
  <c r="G109" i="1"/>
  <c r="K107" i="1"/>
  <c r="L107" i="1" s="1"/>
  <c r="M107" i="1" s="1"/>
  <c r="K106" i="1"/>
  <c r="L106" i="1" s="1"/>
  <c r="M106" i="1" s="1"/>
  <c r="J105" i="1"/>
  <c r="I105" i="1"/>
  <c r="H105" i="1"/>
  <c r="G105" i="1"/>
  <c r="K103" i="1"/>
  <c r="L103" i="1" s="1"/>
  <c r="M103" i="1" s="1"/>
  <c r="K102" i="1"/>
  <c r="L102" i="1" s="1"/>
  <c r="M102" i="1" s="1"/>
  <c r="K101" i="1"/>
  <c r="L101" i="1" s="1"/>
  <c r="M101" i="1" s="1"/>
  <c r="J100" i="1"/>
  <c r="I100" i="1"/>
  <c r="H100" i="1"/>
  <c r="G100" i="1"/>
  <c r="K97" i="1"/>
  <c r="L97" i="1" s="1"/>
  <c r="M97" i="1" s="1"/>
  <c r="J96" i="1"/>
  <c r="I96" i="1"/>
  <c r="H96" i="1"/>
  <c r="G96" i="1"/>
  <c r="K96" i="1" s="1"/>
  <c r="L96" i="1" s="1"/>
  <c r="M96" i="1" s="1"/>
  <c r="K94" i="1"/>
  <c r="L94" i="1" s="1"/>
  <c r="M94" i="1" s="1"/>
  <c r="K93" i="1"/>
  <c r="L93" i="1" s="1"/>
  <c r="M93" i="1" s="1"/>
  <c r="J92" i="1"/>
  <c r="I92" i="1"/>
  <c r="H92" i="1"/>
  <c r="G92" i="1"/>
  <c r="K89" i="1"/>
  <c r="L89" i="1" s="1"/>
  <c r="M89" i="1" s="1"/>
  <c r="J88" i="1"/>
  <c r="I88" i="1"/>
  <c r="H88" i="1"/>
  <c r="G88" i="1"/>
  <c r="K85" i="1"/>
  <c r="L85" i="1" s="1"/>
  <c r="M85" i="1" s="1"/>
  <c r="J84" i="1"/>
  <c r="I84" i="1"/>
  <c r="H84" i="1"/>
  <c r="G84" i="1"/>
  <c r="K82" i="1"/>
  <c r="L82" i="1" s="1"/>
  <c r="M82" i="1" s="1"/>
  <c r="K81" i="1"/>
  <c r="L81" i="1" s="1"/>
  <c r="M81" i="1" s="1"/>
  <c r="J80" i="1"/>
  <c r="I80" i="1"/>
  <c r="H80" i="1"/>
  <c r="G80" i="1"/>
  <c r="K78" i="1"/>
  <c r="L78" i="1" s="1"/>
  <c r="M78" i="1" s="1"/>
  <c r="J77" i="1"/>
  <c r="I77" i="1"/>
  <c r="H77" i="1"/>
  <c r="G77" i="1"/>
  <c r="K75" i="1"/>
  <c r="L75" i="1" s="1"/>
  <c r="M75" i="1" s="1"/>
  <c r="K74" i="1"/>
  <c r="L74" i="1" s="1"/>
  <c r="M74" i="1" s="1"/>
  <c r="K73" i="1"/>
  <c r="L73" i="1" s="1"/>
  <c r="M73" i="1" s="1"/>
  <c r="J72" i="1"/>
  <c r="I72" i="1"/>
  <c r="H72" i="1"/>
  <c r="G72" i="1"/>
  <c r="K69" i="1"/>
  <c r="L69" i="1" s="1"/>
  <c r="M69" i="1" s="1"/>
  <c r="K68" i="1"/>
  <c r="L68" i="1" s="1"/>
  <c r="M68" i="1" s="1"/>
  <c r="K67" i="1"/>
  <c r="L67" i="1" s="1"/>
  <c r="M67" i="1" s="1"/>
  <c r="K66" i="1"/>
  <c r="L66" i="1" s="1"/>
  <c r="M66" i="1" s="1"/>
  <c r="J65" i="1"/>
  <c r="I65" i="1"/>
  <c r="H65" i="1"/>
  <c r="G65" i="1"/>
  <c r="K62" i="1"/>
  <c r="L62" i="1" s="1"/>
  <c r="M62" i="1" s="1"/>
  <c r="K61" i="1"/>
  <c r="L61" i="1" s="1"/>
  <c r="M61" i="1" s="1"/>
  <c r="K60" i="1"/>
  <c r="L60" i="1" s="1"/>
  <c r="M60" i="1" s="1"/>
  <c r="J59" i="1"/>
  <c r="I59" i="1"/>
  <c r="H59" i="1"/>
  <c r="G59" i="1"/>
  <c r="K56" i="1"/>
  <c r="L56" i="1" s="1"/>
  <c r="M56" i="1" s="1"/>
  <c r="K55" i="1"/>
  <c r="L55" i="1" s="1"/>
  <c r="M55" i="1" s="1"/>
  <c r="J54" i="1"/>
  <c r="I54" i="1"/>
  <c r="H54" i="1"/>
  <c r="G54" i="1"/>
  <c r="K51" i="1"/>
  <c r="L51" i="1" s="1"/>
  <c r="M51" i="1" s="1"/>
  <c r="K49" i="1"/>
  <c r="L49" i="1" s="1"/>
  <c r="M49" i="1" s="1"/>
  <c r="K48" i="1"/>
  <c r="L48" i="1" s="1"/>
  <c r="M48" i="1" s="1"/>
  <c r="K47" i="1"/>
  <c r="L47" i="1" s="1"/>
  <c r="M47" i="1" s="1"/>
  <c r="K46" i="1"/>
  <c r="L46" i="1" s="1"/>
  <c r="M46" i="1" s="1"/>
  <c r="J45" i="1"/>
  <c r="I45" i="1"/>
  <c r="H45" i="1"/>
  <c r="G45" i="1"/>
  <c r="K43" i="1"/>
  <c r="L43" i="1" s="1"/>
  <c r="M43" i="1" s="1"/>
  <c r="K42" i="1"/>
  <c r="L42" i="1" s="1"/>
  <c r="M42" i="1" s="1"/>
  <c r="K41" i="1"/>
  <c r="L41" i="1" s="1"/>
  <c r="M41" i="1" s="1"/>
  <c r="K40" i="1"/>
  <c r="L40" i="1" s="1"/>
  <c r="M40" i="1" s="1"/>
  <c r="K39" i="1"/>
  <c r="L39" i="1" s="1"/>
  <c r="M39" i="1" s="1"/>
  <c r="K38" i="1"/>
  <c r="L38" i="1" s="1"/>
  <c r="M38" i="1" s="1"/>
  <c r="K37" i="1"/>
  <c r="L37" i="1" s="1"/>
  <c r="M37" i="1" s="1"/>
  <c r="K36" i="1"/>
  <c r="L36" i="1" s="1"/>
  <c r="M36" i="1" s="1"/>
  <c r="K35" i="1"/>
  <c r="L35" i="1" s="1"/>
  <c r="M35" i="1" s="1"/>
  <c r="J34" i="1"/>
  <c r="I34" i="1"/>
  <c r="H34" i="1"/>
  <c r="G34" i="1"/>
  <c r="K31" i="1"/>
  <c r="L31" i="1" s="1"/>
  <c r="M31" i="1" s="1"/>
  <c r="K30" i="1"/>
  <c r="L30" i="1" s="1"/>
  <c r="M30" i="1" s="1"/>
  <c r="J29" i="1"/>
  <c r="I29" i="1"/>
  <c r="H29" i="1"/>
  <c r="G29" i="1"/>
  <c r="K27" i="1"/>
  <c r="L27" i="1" s="1"/>
  <c r="M27" i="1" s="1"/>
  <c r="K26" i="1"/>
  <c r="L26" i="1" s="1"/>
  <c r="M26" i="1" s="1"/>
  <c r="K25" i="1"/>
  <c r="L25" i="1" s="1"/>
  <c r="M25" i="1" s="1"/>
  <c r="K24" i="1"/>
  <c r="L24" i="1" s="1"/>
  <c r="M24" i="1" s="1"/>
  <c r="J23" i="1"/>
  <c r="I23" i="1"/>
  <c r="H23" i="1"/>
  <c r="G23" i="1"/>
  <c r="K21" i="1"/>
  <c r="L21" i="1" s="1"/>
  <c r="M21" i="1" s="1"/>
  <c r="K20" i="1"/>
  <c r="L20" i="1" s="1"/>
  <c r="M20" i="1" s="1"/>
  <c r="K19" i="1"/>
  <c r="L19" i="1" s="1"/>
  <c r="M19" i="1" s="1"/>
  <c r="K18" i="1"/>
  <c r="L18" i="1" s="1"/>
  <c r="M18" i="1" s="1"/>
  <c r="J17" i="1"/>
  <c r="I17" i="1"/>
  <c r="H17" i="1"/>
  <c r="G17" i="1"/>
  <c r="K14" i="1"/>
  <c r="L14" i="1" s="1"/>
  <c r="M14" i="1" s="1"/>
  <c r="J13" i="1"/>
  <c r="I13" i="1"/>
  <c r="H13" i="1"/>
  <c r="G13" i="1"/>
  <c r="K11" i="1"/>
  <c r="L11" i="1" s="1"/>
  <c r="M11" i="1" s="1"/>
  <c r="K10" i="1"/>
  <c r="L10" i="1" s="1"/>
  <c r="M10" i="1" s="1"/>
  <c r="K9" i="1"/>
  <c r="L9" i="1" s="1"/>
  <c r="M9" i="1" s="1"/>
  <c r="J8" i="1"/>
  <c r="I8" i="1"/>
  <c r="H8" i="1"/>
  <c r="G8" i="1"/>
  <c r="K6" i="1"/>
  <c r="L6" i="1" s="1"/>
  <c r="M6" i="1" s="1"/>
  <c r="K5" i="1"/>
  <c r="L5" i="1" s="1"/>
  <c r="M5" i="1" s="1"/>
  <c r="J4" i="1"/>
  <c r="I4" i="1"/>
  <c r="H4" i="1"/>
  <c r="G4" i="1"/>
  <c r="G8" i="3" l="1"/>
  <c r="K13" i="1"/>
  <c r="L13" i="1" s="1"/>
  <c r="M13" i="1" s="1"/>
  <c r="K34" i="1"/>
  <c r="L34" i="1" s="1"/>
  <c r="M34" i="1" s="1"/>
  <c r="K54" i="1"/>
  <c r="L54" i="1" s="1"/>
  <c r="M54" i="1" s="1"/>
  <c r="K92" i="1"/>
  <c r="L92" i="1" s="1"/>
  <c r="M92" i="1" s="1"/>
  <c r="M98" i="1" s="1"/>
  <c r="K65" i="1"/>
  <c r="L65" i="1" s="1"/>
  <c r="M65" i="1" s="1"/>
  <c r="K59" i="1"/>
  <c r="L59" i="1" s="1"/>
  <c r="M59" i="1" s="1"/>
  <c r="K88" i="1"/>
  <c r="L88" i="1" s="1"/>
  <c r="M88" i="1" s="1"/>
  <c r="M90" i="1" s="1"/>
  <c r="K109" i="1"/>
  <c r="L109" i="1" s="1"/>
  <c r="M109" i="1" s="1"/>
  <c r="K23" i="1"/>
  <c r="L23" i="1" s="1"/>
  <c r="M23" i="1" s="1"/>
  <c r="K100" i="1"/>
  <c r="L100" i="1" s="1"/>
  <c r="M100" i="1" s="1"/>
  <c r="K17" i="1"/>
  <c r="L17" i="1" s="1"/>
  <c r="M17" i="1" s="1"/>
  <c r="K115" i="1"/>
  <c r="L115" i="1" s="1"/>
  <c r="M115" i="1" s="1"/>
  <c r="K105" i="1"/>
  <c r="L105" i="1" s="1"/>
  <c r="M105" i="1" s="1"/>
  <c r="K8" i="1"/>
  <c r="L8" i="1" s="1"/>
  <c r="M8" i="1" s="1"/>
  <c r="K72" i="1"/>
  <c r="L72" i="1" s="1"/>
  <c r="M72" i="1" s="1"/>
  <c r="K80" i="1"/>
  <c r="L80" i="1" s="1"/>
  <c r="M80" i="1" s="1"/>
  <c r="K84" i="1"/>
  <c r="L84" i="1" s="1"/>
  <c r="M84" i="1" s="1"/>
  <c r="K4" i="1"/>
  <c r="L4" i="1" s="1"/>
  <c r="M4" i="1" s="1"/>
  <c r="K45" i="1"/>
  <c r="L45" i="1" s="1"/>
  <c r="M45" i="1" s="1"/>
  <c r="K77" i="1"/>
  <c r="L77" i="1" s="1"/>
  <c r="M77" i="1" s="1"/>
  <c r="K29" i="1"/>
  <c r="L29" i="1" s="1"/>
  <c r="M29" i="1" s="1"/>
  <c r="M15" i="1" l="1"/>
  <c r="M118" i="1"/>
  <c r="M32" i="1"/>
  <c r="M86" i="1"/>
  <c r="M119" i="1" l="1"/>
</calcChain>
</file>

<file path=xl/sharedStrings.xml><?xml version="1.0" encoding="utf-8"?>
<sst xmlns="http://schemas.openxmlformats.org/spreadsheetml/2006/main" count="518" uniqueCount="223">
  <si>
    <r>
      <rPr>
        <b/>
        <sz val="36"/>
        <color theme="1"/>
        <rFont val="Tahoma"/>
        <family val="2"/>
      </rPr>
      <t>ANNEX II</t>
    </r>
    <r>
      <rPr>
        <b/>
        <sz val="22"/>
        <color theme="1"/>
        <rFont val="Tahoma"/>
        <family val="2"/>
      </rPr>
      <t xml:space="preserve">
KENYA INSTITUTE OF PRIMATE RESEARCH
PLANNING AND STRATEGY DIVISION
2025/2026 PERFORMANCE CONTRACT PROGRESS REPORTING TEMPLATE</t>
    </r>
  </si>
  <si>
    <t>S.No</t>
  </si>
  <si>
    <t>Performance Indicator/ Sub-indicator</t>
  </si>
  <si>
    <t>Unit of measure</t>
  </si>
  <si>
    <t>Annual Target</t>
  </si>
  <si>
    <t>Completion Date</t>
  </si>
  <si>
    <t>Q1 Achievement</t>
  </si>
  <si>
    <t>Q2 Achievement</t>
  </si>
  <si>
    <t>Q3 Achievement</t>
  </si>
  <si>
    <t>Q4 Achievement</t>
  </si>
  <si>
    <t>Variance</t>
  </si>
  <si>
    <t xml:space="preserve">Cumulative Achievement </t>
  </si>
  <si>
    <t>Annual% Achievement</t>
  </si>
  <si>
    <t>STATUS</t>
  </si>
  <si>
    <t>Remarks</t>
  </si>
  <si>
    <t>Responsible</t>
  </si>
  <si>
    <t xml:space="preserve">A. Financial Stewardship </t>
  </si>
  <si>
    <t>A1</t>
  </si>
  <si>
    <t>Absorption of Allocated Funds (GoK)</t>
  </si>
  <si>
    <t>%</t>
  </si>
  <si>
    <t>Finance &amp; Accounts Division</t>
  </si>
  <si>
    <t xml:space="preserve">Recurrent Budget </t>
  </si>
  <si>
    <t>Kshs.</t>
  </si>
  <si>
    <t>6/30/2026</t>
  </si>
  <si>
    <t>Development Budget</t>
  </si>
  <si>
    <t>A2</t>
  </si>
  <si>
    <t>Appropriation -In-Aid</t>
  </si>
  <si>
    <t>Admission fee to the Nature Trail</t>
  </si>
  <si>
    <t>Kshs</t>
  </si>
  <si>
    <t>Rental Income</t>
  </si>
  <si>
    <t>Sundry Income</t>
  </si>
  <si>
    <t>A4</t>
  </si>
  <si>
    <t>Pending Bills Ratio</t>
  </si>
  <si>
    <t>Pending bills ceiling as a percentage of the total budget</t>
  </si>
  <si>
    <t>B. Service Delivery</t>
  </si>
  <si>
    <t>B1</t>
  </si>
  <si>
    <t>Implementation of Citizens' Service Delivery Charter</t>
  </si>
  <si>
    <t>Corporate Communication Division</t>
  </si>
  <si>
    <t>Display the Citizens’ Service Delivery Charter prominently at the point of entry/service delivery points in both English and Kiswahili using the prescribed format</t>
  </si>
  <si>
    <t>Customize the charter to unique needs and convenient access of the customers by providing mechanisms for sign language, providing audio recordings and uploading it on the KIPRE’s Website, X and Facebook.</t>
  </si>
  <si>
    <t>Sensitize all staff on Citizens' Service Delivery Charter</t>
  </si>
  <si>
    <t>Ensure conformity with commitments and standards in the Citizens Service Delivery charter by establishing compliance to the commitments stipulated in the Charter through undertaking quarterly monitoring, analysing and compiling compliance quarterly reports as prescribed in annex vii.</t>
  </si>
  <si>
    <t>B2</t>
  </si>
  <si>
    <t>Digitalization of Government Services</t>
  </si>
  <si>
    <t>Core services identified and prioritized for BPR.</t>
  </si>
  <si>
    <t>ICT Division</t>
  </si>
  <si>
    <t xml:space="preserve">At least two core services re-engineered end-to-end. </t>
  </si>
  <si>
    <t>Re-engineered service processes digitalized.</t>
  </si>
  <si>
    <t>All digitalized customer facing services on-boarded onto the e-citizen platform, where applicable.</t>
  </si>
  <si>
    <t>B3</t>
  </si>
  <si>
    <t>Resolution of Public Complaints</t>
  </si>
  <si>
    <t>Resolution of Public Complaints Committee</t>
  </si>
  <si>
    <t>Resolution of all complaints received</t>
  </si>
  <si>
    <t>Requests on access to information received processed</t>
  </si>
  <si>
    <t>C. Core Mandate</t>
  </si>
  <si>
    <t>C527_1</t>
  </si>
  <si>
    <t>Production and Commercialization Capacity of Antivenoms Enhanced</t>
  </si>
  <si>
    <t>KSRIC Division</t>
  </si>
  <si>
    <t>12 snake species of medical importance acquired.</t>
  </si>
  <si>
    <t>1 technology transfer in snake venom and antivenom research and development (R&amp;D) via a collaborating partner institution conducted.</t>
  </si>
  <si>
    <t>Pre-clinical efficacy studies in 2 snake candidate antivenom conducted.</t>
  </si>
  <si>
    <t>4 snakes of medical importance for the development of candidate snakebite diagnostic kits sequenced and phylogenetic analysis undertaken.</t>
  </si>
  <si>
    <t>Snakes of medical importance, other venomous snakes and other venomous species in 5 snakebite endemic Counties mapped</t>
  </si>
  <si>
    <t>295 victims successfully rescued from snakebites</t>
  </si>
  <si>
    <t>4 snake venom for antivenom development profiled.</t>
  </si>
  <si>
    <t>Intra and inter County snakebite hotspots in 5 endemic Counties mapped.</t>
  </si>
  <si>
    <t>C527_2</t>
  </si>
  <si>
    <t>Drugs, Vaccines and Technologies Developed</t>
  </si>
  <si>
    <t>All  Research Divisions</t>
  </si>
  <si>
    <t>3 bacteriophages for treatment of multidrug resistant bacteria isolated and characterized.</t>
  </si>
  <si>
    <t>C527_3</t>
  </si>
  <si>
    <t>Pandemic Preparedness and AMR Stewardship Strengthened</t>
  </si>
  <si>
    <t>ID &amp; One-Health Division</t>
  </si>
  <si>
    <t>C527_4</t>
  </si>
  <si>
    <t>Biodiversity Conservation and Ecosystem Health Enhanced</t>
  </si>
  <si>
    <t>EECEH Division</t>
  </si>
  <si>
    <t>1 biodiversity survey for updating primate database conducted</t>
  </si>
  <si>
    <t>C527_5</t>
  </si>
  <si>
    <t>Animal Health Care for Laboratory Animals Improved.</t>
  </si>
  <si>
    <t>ASWED</t>
  </si>
  <si>
    <t>C527_6</t>
  </si>
  <si>
    <t>Regulatory Compliance Obtained</t>
  </si>
  <si>
    <t xml:space="preserve">Planning &amp; Strategy Div., ISERC </t>
  </si>
  <si>
    <t>2 institutional accreditations for QMS and Laboratories (ISO 9001:2015 and ISO 17025:2017) acquired</t>
  </si>
  <si>
    <t>2 accreditations acquired in alignment with national and international standards (1 with KENAS and 1 with OLAW, USA Accreditation).</t>
  </si>
  <si>
    <t>2 animal facility inspections undertaken by Institutional Scientific and Ethics Committee (ISERC).</t>
  </si>
  <si>
    <t>C527_7</t>
  </si>
  <si>
    <t>Project Completion Rate.</t>
  </si>
  <si>
    <t>Project completion rate</t>
  </si>
  <si>
    <t>C527_8</t>
  </si>
  <si>
    <t>Science, Technology and Innovation Mainstreaming.</t>
  </si>
  <si>
    <t>STI Committee</t>
  </si>
  <si>
    <t>Collaborations and Partnerships in RSTI established</t>
  </si>
  <si>
    <t>Technology(ies) and/or innovation(s) transferred</t>
  </si>
  <si>
    <t>C527_9</t>
  </si>
  <si>
    <t>Productivity Index Improved.</t>
  </si>
  <si>
    <t>Index</t>
  </si>
  <si>
    <t>Productivity Mainstreaming and Improvement Committee</t>
  </si>
  <si>
    <t>Productivity Index Improved</t>
  </si>
  <si>
    <t>index</t>
  </si>
  <si>
    <t>D. Implementation of Presidential Directives</t>
  </si>
  <si>
    <t>D1</t>
  </si>
  <si>
    <t>Implementation of Presidential Directives</t>
  </si>
  <si>
    <t>Presidentives Directives Committee</t>
  </si>
  <si>
    <t>Implementation of Presidential Directives.</t>
  </si>
  <si>
    <t>E. Affirmative Action in Procurement</t>
  </si>
  <si>
    <t>E1</t>
  </si>
  <si>
    <t>Access to Government Procurement Opportunities</t>
  </si>
  <si>
    <t>Supply Chain Management Division</t>
  </si>
  <si>
    <t>Minimum 30% of the procurement budget reserved and awarded to youth, women, and persons with disabilities</t>
  </si>
  <si>
    <t>At least 2% of the 30% of the budget for procurement of goods and services reserved and awarded to PWDs.</t>
  </si>
  <si>
    <t>E2</t>
  </si>
  <si>
    <t>Promotion of Local Content in Procurement</t>
  </si>
  <si>
    <t>Minimum 40% of the Procurement Budget reserved and awarded for locally produced goods and services</t>
  </si>
  <si>
    <t>F. Cross Cutting</t>
  </si>
  <si>
    <t>F1</t>
  </si>
  <si>
    <t>Asset Management</t>
  </si>
  <si>
    <t>Asset Management Committee</t>
  </si>
  <si>
    <t>Verified and updated Assets Register maintained</t>
  </si>
  <si>
    <t>Assets Ownership documents acquired</t>
  </si>
  <si>
    <t>Idle assets disposed.</t>
  </si>
  <si>
    <t>F2</t>
  </si>
  <si>
    <t>Youth Internships/ Industrial Attachments/ Apprenticeships</t>
  </si>
  <si>
    <t>No.</t>
  </si>
  <si>
    <t>HR &amp; Admin. Division</t>
  </si>
  <si>
    <t>Industrial Attachments</t>
  </si>
  <si>
    <t>Youth Internships</t>
  </si>
  <si>
    <t>F3</t>
  </si>
  <si>
    <t>Competence Development</t>
  </si>
  <si>
    <t>Institutional Skills Gap Analysis undertaken</t>
  </si>
  <si>
    <t>Undertake Staff Training Needs Assessment (TNA) and prepare annual staff training projections.</t>
  </si>
  <si>
    <t>Address the identified skills gaps and training needs.</t>
  </si>
  <si>
    <t>Employee Performance Management Undertaken by carrying out the following:
i) Set individual employees’ annual performance targets for FY 2025/26 using the prescribed format by 31st July, 2025 (10%) ii) Undertaken staff performance appraisal for all employees and compile the appraisal report for the FY 2024/25 by 31st August, 2025 (15%) iii) Develop an action plan and implement the recommendations emanating from the staff appraisal reports (15%).</t>
  </si>
  <si>
    <t>F4</t>
  </si>
  <si>
    <t>National Values and Principles of Governance</t>
  </si>
  <si>
    <t>National Values and Governance Committee</t>
  </si>
  <si>
    <t>At least four (4) commitments and way forward captured in the 2024/25 Annual President’s Report on National Values and Principles of Governance
implemented and submitted in the prescribed format as follows 
i) Capacity of institutions and stakeholders in the promotion of national values and principles of governance enhanced (10%) 
ii) Measures to improve accountability and openness in the management of public institutions implemented (10%) 
iii) Collaboration and partnership between the two (2) levels of Government to strengthen devolution enhanced (10%) 
iv) Gender and disability mainstreaming in service delivery upscaled (10%).</t>
  </si>
  <si>
    <t>Measures taken and progress achieved in the realization of National Values and Principles of Governance reported</t>
  </si>
  <si>
    <t>TOTAL ANNUAL ACHIEVEMENT (%)</t>
  </si>
  <si>
    <t>KEY (STATUS)</t>
  </si>
  <si>
    <t>Target/ Indicator Fully Achieved</t>
  </si>
  <si>
    <t>Target Partially achieved</t>
  </si>
  <si>
    <t>Target/ Indicator not achieved/ lagging behind</t>
  </si>
  <si>
    <t>20 peer reviewed scientific publications published</t>
  </si>
  <si>
    <t>6 candidate drugs tested</t>
  </si>
  <si>
    <t>No</t>
  </si>
  <si>
    <t>1 candidate vaccine tested</t>
  </si>
  <si>
    <t>1 medical technology tested.</t>
  </si>
  <si>
    <t>1 medical technology developed</t>
  </si>
  <si>
    <t>300 samples tested for zoonosis at the wildlife-human-livestock interface</t>
  </si>
  <si>
    <t>300 samples tested for AMR at the wildlife-human-livestock interface</t>
  </si>
  <si>
    <t>60 people trained on one health workforce</t>
  </si>
  <si>
    <t>Sensitization/capacity building</t>
  </si>
  <si>
    <t>Primate habitat restorations in 2 Counties undertaken.</t>
  </si>
  <si>
    <t>1 national action plan developed for population recovery of one (1) threatened primate species</t>
  </si>
  <si>
    <t>Training for Animal care personnel</t>
  </si>
  <si>
    <t>Infrastructure improvement</t>
  </si>
  <si>
    <t>Clinical care and health monitoring to 250 NHPs conducted</t>
  </si>
  <si>
    <t>Clinical care and health monitoring to  500 rodents conducted</t>
  </si>
  <si>
    <t>Weight (%)</t>
  </si>
  <si>
    <t>Baseline (FY 2025/2026)</t>
  </si>
  <si>
    <t>Annual Target (FY 2026/2027)</t>
  </si>
  <si>
    <r>
      <rPr>
        <b/>
        <sz val="36"/>
        <color theme="1"/>
        <rFont val="Tahoma"/>
        <family val="2"/>
      </rPr>
      <t>ANNEX II</t>
    </r>
    <r>
      <rPr>
        <b/>
        <sz val="22"/>
        <color theme="1"/>
        <rFont val="Tahoma"/>
        <family val="2"/>
      </rPr>
      <t xml:space="preserve">
KENYA INSTITUTE OF PRIMATE RESEARCH
PLANNING AND STRATEGY DIVISION
2026/2027 PERFORMANCE CONTRACT PROGRESS REPORTING TEMPLATE</t>
    </r>
  </si>
  <si>
    <t>A3</t>
  </si>
  <si>
    <t>Display the Citizens’ Service Delivery Charter prominently at the point of entry/service in both English and Kiswahili using the prescribed format that is provided in Annex I. For the purpose of visibility and legibility by the customers, the size of the Charter should, at the minimum, be three feet in width and four feet in height, i.e. (3’x4’), with clearly visible font size of the contents (10%);</t>
  </si>
  <si>
    <t>Customize the Citizens’ Service Delivery Charter to unique needs and convenient access of the customers by availing Braille to DG's and directors' offices, providing mechanisms for sign language, providing audio recordings and uploading it on the KIPRE’s online platforms (Website, LinkedIn, Facebook and X) (30%);</t>
  </si>
  <si>
    <t>Ensure conformity with commitments and standards in the Citizens’ Service Delivery Charter by establishing compliance to the commitments stipulated in the Charter through undertaking quarterly monitoring, analyzing and compiling compliance quarterly reports as per the template in Annex II (60%).</t>
  </si>
  <si>
    <t>Core services identified and prioritized for BPR.(10%)</t>
  </si>
  <si>
    <t>At least two core services re-engineered end-to-end. (35)</t>
  </si>
  <si>
    <t>Re-engineered service processes digitalized. (35)</t>
  </si>
  <si>
    <t>All digitalized customer facing services on-boarded onto the e-citizen platform, where applicable. (20)</t>
  </si>
  <si>
    <t>2 accreditations maintained (renewals) in alignment with animal  care and use standards.</t>
  </si>
  <si>
    <t>20 staff trained on ISO 17025:2017</t>
  </si>
  <si>
    <t xml:space="preserve">Laboratory equipment across 5 Laboratories (Repro, TID, One health, KSRIC, ASWED) serviced and calibrated </t>
  </si>
  <si>
    <t xml:space="preserve">2 animal facility inspections undertaken by Institutional Scientific and Ethics Committee (ISERC). </t>
  </si>
  <si>
    <t>1 institutional accreditations for QMS (ISO 9001:2015 acquired</t>
  </si>
  <si>
    <t xml:space="preserve">Institutional Enterprise Architecture developed </t>
  </si>
  <si>
    <t xml:space="preserve">ICT systems and Application Programming Interface (API) Inventory/Register Established </t>
  </si>
  <si>
    <t xml:space="preserve">Core Services Identified and Prioritized for Business Process Re-engineering </t>
  </si>
  <si>
    <t xml:space="preserve">At Least Two Core Services Re-engineered End-to-End </t>
  </si>
  <si>
    <t>Digitalization of at Least Two Re-engineered Services and Onboarding onto e-Citizen Where Applicable. (Maintain the available onboarded ecitizen services and updating the ONT service to have camera charges)</t>
  </si>
  <si>
    <t xml:space="preserve">6 candidate drugs (Anti-malaria, anti-diabetes, contraceptive, anti-obesity, anti-cancer , anti-respiratory) tested </t>
  </si>
  <si>
    <t>1 candidate malaria vaccine tested</t>
  </si>
  <si>
    <t xml:space="preserve">3 medical technology (hormonal, endometriosis, public health tool) developed </t>
  </si>
  <si>
    <t>1 hormonal medical technology tested.</t>
  </si>
  <si>
    <t>40 people (community research assistants, healthcare workers, laboratory staff) trained on one health workforce and AMR Stewardship</t>
  </si>
  <si>
    <t xml:space="preserve">60 Animal care and use personnel trained </t>
  </si>
  <si>
    <t>1 toxicological rodent hub established for drug development and testing</t>
  </si>
  <si>
    <t>Clinical care and health monitoring to 300 NHPs conducted</t>
  </si>
  <si>
    <t>Technology(ies) and/or innovation(s) commercialized and/or transferred</t>
  </si>
  <si>
    <t>National Tree Growing Restoration campaign</t>
  </si>
  <si>
    <t>Minimum allocated trees grown</t>
  </si>
  <si>
    <t>Key stakeholders mobilized to grow trees in liase with the state department for Forestry</t>
  </si>
  <si>
    <t>Corruption Prevention</t>
  </si>
  <si>
    <t>a)</t>
  </si>
  <si>
    <t>b)</t>
  </si>
  <si>
    <t>Implement strategies in the Anti-Bribery and Corruption Mitigation Plan</t>
  </si>
  <si>
    <t>Develop the Anti-Bribery and Corruption Mitigation Plan</t>
  </si>
  <si>
    <t>Conduct Bribery and Corruption Risk Assessment</t>
  </si>
  <si>
    <t>Consult and justify the numbers</t>
  </si>
  <si>
    <t xml:space="preserve">Undertake Institutional Skills Gap Analysis </t>
  </si>
  <si>
    <t>Undertake Staff Training Needs Assessment every 3 years or as needs arise and prepare annual staff training projections</t>
  </si>
  <si>
    <t>Address the identified skills gaps and training needs through interventions contained in the Skills Gap Analysis and Training Needs Assessment Reports</t>
  </si>
  <si>
    <t>Undertake Employee Performance Management by carrying out the following:
a. Set individual employees’ annual performance targets for FY 2026/27 using the prescribed format by 31st July, 2026 (10%);
b. Undertake Staff Performance Appraisal for all employees and compile the appraisal report for the FY 2025/26 by 31st August, 2026 (15%); and
c. Develop an action plan and implement the recommendations emanating from the staff appraisal reports (15%).</t>
  </si>
  <si>
    <t>Measures taken and progress achieved in the realization of National Values and
Principles of Governance reported (60%).</t>
  </si>
  <si>
    <t>at least four (4) commitments and submit in the prescribed
format an Annual Progress Report on the implementation of the commitments
and way forward captured in the 2024/25 Annual President’s Report on National
Values and Principles of Governance (40%);
i) Enhance the capacity of institute and stakeholders in the promotion of national values and principles of governance;
iii) Implement measures to improve accountability and openness in the management of  the institute;
iv) Enhance collaboration and partnership between the two (2) levels of Government to strengthen devolution;
v) Upscale gender and disability mainstreaming in service delivery;</t>
  </si>
  <si>
    <t xml:space="preserve">Venoms from 3 snakes of medical importance in Kenya to create venom reference standards characterized. </t>
  </si>
  <si>
    <t>MTEF Target: 4 snake venom for antivenom profiled for antivenom development</t>
  </si>
  <si>
    <t xml:space="preserve">Notes: done via a collaborating partner institution </t>
  </si>
  <si>
    <t>Venom reference standards determined by profiling snake venoms for antivenom development.</t>
  </si>
  <si>
    <t>Technology transfer in snake venom and antivenom research, development and production conducted.</t>
  </si>
  <si>
    <t xml:space="preserve">Snake antivenoms tested for preclinical efficacy </t>
  </si>
  <si>
    <t>(To be deleted have no control for the achievemen)350 victims successfully rescued from snakebites</t>
  </si>
  <si>
    <t xml:space="preserve">Hotspot maps developed to guide on snakebite intervention and mitigation strategies
a) Snake Hotspot maps 
b) Snakebite hotspot maps </t>
  </si>
  <si>
    <t xml:space="preserve">Build capacity for snakebite response and management 
a) Community Health Promoters (200)
b) healthcare (80) </t>
  </si>
  <si>
    <t>Notes
200 CHPs trained on snakebite first aid and prevention in 4 Counties
80 healthcare workers trained on snakebite management in 4 Counties</t>
  </si>
  <si>
    <t>Antivenom vials produced</t>
  </si>
  <si>
    <t xml:space="preserve">Biodiversity and ecosystem health surveillance assessments undertaken
</t>
  </si>
  <si>
    <t xml:space="preserve">
Degraded primate ecosystems restored through community-led restoration initiatives.
</t>
  </si>
  <si>
    <t>Ha</t>
  </si>
  <si>
    <t>Notes: Ha conversions</t>
  </si>
  <si>
    <t xml:space="preserve">Households facilitated to implement Nature-based Solutions for enhanced climate change adaptation resilience (20%)
</t>
  </si>
  <si>
    <t xml:space="preserve">Commemorate (30%)
a) International Primates Day
b) World Monkey Day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</si>
</sst>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24">
    <font>
      <sz val="11"/>
      <color theme="1"/>
      <name val="Aptos Narrow"/>
      <family val="2"/>
      <scheme val="minor"/>
    </font>
    <font>
      <sz val="11"/>
      <color theme="1"/>
      <name val="Aptos Narrow"/>
      <family val="2"/>
      <scheme val="minor"/>
    </font>
    <font>
      <b/>
      <sz val="22"/>
      <color theme="1"/>
      <name val="Tahoma"/>
      <family val="2"/>
    </font>
    <font>
      <b/>
      <sz val="36"/>
      <color theme="1"/>
      <name val="Tahoma"/>
      <family val="2"/>
    </font>
    <font>
      <sz val="16"/>
      <color theme="1"/>
      <name val="Tahoma"/>
      <family val="2"/>
    </font>
    <font>
      <sz val="14"/>
      <color theme="1"/>
      <name val="Tahoma"/>
      <family val="2"/>
    </font>
    <font>
      <b/>
      <sz val="18"/>
      <color rgb="FF000000"/>
      <name val="Tahoma"/>
      <family val="2"/>
    </font>
    <font>
      <i/>
      <sz val="18"/>
      <color rgb="FF000000"/>
      <name val="Tahoma"/>
      <family val="2"/>
    </font>
    <font>
      <i/>
      <sz val="18"/>
      <color theme="1"/>
      <name val="Tahoma"/>
      <family val="2"/>
    </font>
    <font>
      <sz val="18"/>
      <color theme="1"/>
      <name val="Tahoma"/>
      <family val="2"/>
    </font>
    <font>
      <sz val="18"/>
      <color rgb="FF000000"/>
      <name val="Tahoma"/>
      <family val="2"/>
    </font>
    <font>
      <b/>
      <sz val="18"/>
      <color theme="1"/>
      <name val="Tahoma"/>
      <family val="2"/>
    </font>
    <font>
      <i/>
      <sz val="18"/>
      <name val="Tahoma"/>
      <family val="2"/>
    </font>
    <font>
      <sz val="18"/>
      <name val="Tahoma"/>
      <family val="2"/>
    </font>
    <font>
      <sz val="14"/>
      <name val="Tahoma"/>
      <family val="2"/>
    </font>
    <font>
      <b/>
      <i/>
      <sz val="18"/>
      <color rgb="FF000000"/>
      <name val="Tahoma"/>
      <family val="2"/>
    </font>
    <font>
      <i/>
      <sz val="14"/>
      <color theme="1"/>
      <name val="Tahoma"/>
      <family val="2"/>
    </font>
    <font>
      <b/>
      <sz val="14"/>
      <color theme="1"/>
      <name val="Tahoma"/>
      <family val="2"/>
    </font>
    <font>
      <b/>
      <i/>
      <sz val="14"/>
      <color theme="1"/>
      <name val="Tahoma"/>
      <family val="2"/>
    </font>
    <font>
      <i/>
      <sz val="18"/>
      <color rgb="FFFF0000"/>
      <name val="Tahoma"/>
      <family val="2"/>
    </font>
    <font>
      <i/>
      <sz val="18"/>
      <color theme="3" tint="0.499984740745262"/>
      <name val="Tahoma"/>
      <family val="2"/>
    </font>
    <font>
      <b/>
      <i/>
      <sz val="18"/>
      <color theme="1"/>
      <name val="Tahoma"/>
      <family val="2"/>
    </font>
    <font>
      <i/>
      <sz val="18"/>
      <color theme="3" tint="0.249977111117893"/>
      <name val="Tahoma"/>
      <family val="2"/>
    </font>
    <font>
      <b/>
      <sz val="18"/>
      <color rgb="FFFF0000"/>
      <name val="Tahoma"/>
      <family val="2"/>
    </font>
  </fonts>
  <fills count="11">
    <fill>
      <patternFill patternType="none"/>
    </fill>
    <fill>
      <patternFill patternType="gray125"/>
    </fill>
    <fill>
      <patternFill patternType="solid">
        <fgColor theme="4"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FFFF00"/>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2">
    <xf numFmtId="0" fontId="0" fillId="0" borderId="0"/>
    <xf numFmtId="164" fontId="1" fillId="0" borderId="0" applyFont="0" applyFill="0" applyBorder="0" applyAlignment="0" applyProtection="0"/>
  </cellStyleXfs>
  <cellXfs count="173">
    <xf numFmtId="0" fontId="0" fillId="0" borderId="0" xfId="0"/>
    <xf numFmtId="0" fontId="4" fillId="0" borderId="4" xfId="0" applyFont="1" applyBorder="1" applyAlignment="1">
      <alignment vertical="center"/>
    </xf>
    <xf numFmtId="0" fontId="5" fillId="0" borderId="0" xfId="0" applyFont="1"/>
    <xf numFmtId="0" fontId="6" fillId="2" borderId="4" xfId="0" applyFont="1" applyFill="1" applyBorder="1" applyAlignment="1">
      <alignment vertical="center" wrapText="1"/>
    </xf>
    <xf numFmtId="4" fontId="6" fillId="2" borderId="4" xfId="1" applyNumberFormat="1" applyFont="1" applyFill="1" applyBorder="1" applyAlignment="1">
      <alignment vertical="center" wrapText="1"/>
    </xf>
    <xf numFmtId="14" fontId="6" fillId="2" borderId="4" xfId="1" applyNumberFormat="1" applyFont="1" applyFill="1" applyBorder="1" applyAlignment="1">
      <alignment horizontal="left" vertical="center" wrapText="1"/>
    </xf>
    <xf numFmtId="164" fontId="6" fillId="2" borderId="4" xfId="1" applyFont="1" applyFill="1" applyBorder="1" applyAlignment="1">
      <alignment vertical="center" wrapText="1"/>
    </xf>
    <xf numFmtId="4" fontId="6" fillId="2" borderId="4" xfId="0" applyNumberFormat="1" applyFont="1" applyFill="1" applyBorder="1" applyAlignment="1">
      <alignment vertical="center" wrapText="1"/>
    </xf>
    <xf numFmtId="10" fontId="6" fillId="2" borderId="4" xfId="0" applyNumberFormat="1" applyFont="1" applyFill="1" applyBorder="1" applyAlignment="1">
      <alignment vertical="center" wrapText="1"/>
    </xf>
    <xf numFmtId="0" fontId="6" fillId="2" borderId="4" xfId="0" applyFont="1" applyFill="1" applyBorder="1" applyAlignment="1">
      <alignment horizontal="center" vertical="center" wrapText="1"/>
    </xf>
    <xf numFmtId="0" fontId="6" fillId="4" borderId="4" xfId="0" applyFont="1" applyFill="1" applyBorder="1" applyAlignment="1">
      <alignment vertical="center" wrapText="1"/>
    </xf>
    <xf numFmtId="4" fontId="6" fillId="4" borderId="4" xfId="1" applyNumberFormat="1" applyFont="1" applyFill="1" applyBorder="1" applyAlignment="1">
      <alignment horizontal="left" vertical="center" wrapText="1"/>
    </xf>
    <xf numFmtId="14" fontId="6" fillId="4" borderId="4" xfId="1" applyNumberFormat="1" applyFont="1" applyFill="1" applyBorder="1" applyAlignment="1">
      <alignment horizontal="right" vertical="center" wrapText="1"/>
    </xf>
    <xf numFmtId="2" fontId="6" fillId="4" borderId="4" xfId="0" applyNumberFormat="1" applyFont="1" applyFill="1" applyBorder="1" applyAlignment="1">
      <alignment horizontal="right" vertical="center" wrapText="1"/>
    </xf>
    <xf numFmtId="164" fontId="6" fillId="4" borderId="4" xfId="1" applyFont="1" applyFill="1" applyBorder="1" applyAlignment="1">
      <alignment horizontal="right" vertical="center" wrapText="1"/>
    </xf>
    <xf numFmtId="4" fontId="6" fillId="5" borderId="4" xfId="0" applyNumberFormat="1" applyFont="1" applyFill="1" applyBorder="1" applyAlignment="1">
      <alignment horizontal="left" vertical="center" wrapText="1"/>
    </xf>
    <xf numFmtId="10" fontId="6" fillId="4" borderId="4" xfId="0" applyNumberFormat="1" applyFont="1" applyFill="1" applyBorder="1" applyAlignment="1">
      <alignment horizontal="left" vertical="center" wrapText="1"/>
    </xf>
    <xf numFmtId="0" fontId="7" fillId="4" borderId="4" xfId="0" applyFont="1" applyFill="1" applyBorder="1" applyAlignment="1">
      <alignment horizontal="center" vertical="center" wrapText="1"/>
    </xf>
    <xf numFmtId="0" fontId="7" fillId="4" borderId="4" xfId="0" applyFont="1" applyFill="1" applyBorder="1" applyAlignment="1">
      <alignment horizontal="right" vertical="center" wrapText="1"/>
    </xf>
    <xf numFmtId="0" fontId="7" fillId="4" borderId="4" xfId="0" applyFont="1" applyFill="1" applyBorder="1" applyAlignment="1">
      <alignment vertical="center" wrapText="1"/>
    </xf>
    <xf numFmtId="4" fontId="8" fillId="0" borderId="4" xfId="1" applyNumberFormat="1" applyFont="1" applyBorder="1" applyAlignment="1">
      <alignment horizontal="right"/>
    </xf>
    <xf numFmtId="14" fontId="9" fillId="0" borderId="4" xfId="0" applyNumberFormat="1" applyFont="1" applyBorder="1" applyAlignment="1">
      <alignment horizontal="right"/>
    </xf>
    <xf numFmtId="4" fontId="7" fillId="4" borderId="4" xfId="0" applyNumberFormat="1" applyFont="1" applyFill="1" applyBorder="1" applyAlignment="1">
      <alignment horizontal="right" vertical="center" wrapText="1"/>
    </xf>
    <xf numFmtId="164" fontId="7" fillId="4" borderId="4" xfId="1" applyFont="1" applyFill="1" applyBorder="1" applyAlignment="1">
      <alignment horizontal="right" vertical="center" wrapText="1"/>
    </xf>
    <xf numFmtId="4" fontId="9" fillId="5" borderId="4" xfId="0" applyNumberFormat="1" applyFont="1" applyFill="1" applyBorder="1"/>
    <xf numFmtId="4" fontId="10" fillId="5" borderId="4" xfId="0" applyNumberFormat="1" applyFont="1" applyFill="1" applyBorder="1" applyAlignment="1">
      <alignment horizontal="right" vertical="center" wrapText="1"/>
    </xf>
    <xf numFmtId="10" fontId="10" fillId="4" borderId="4" xfId="0" applyNumberFormat="1" applyFont="1" applyFill="1" applyBorder="1" applyAlignment="1">
      <alignment horizontal="right" vertical="center" wrapText="1"/>
    </xf>
    <xf numFmtId="164" fontId="7" fillId="0" borderId="0" xfId="1" applyFont="1"/>
    <xf numFmtId="10" fontId="6" fillId="4" borderId="4" xfId="0" applyNumberFormat="1" applyFont="1" applyFill="1" applyBorder="1" applyAlignment="1">
      <alignment horizontal="right" vertical="center" wrapText="1"/>
    </xf>
    <xf numFmtId="4" fontId="6" fillId="4" borderId="4" xfId="0" applyNumberFormat="1" applyFont="1" applyFill="1" applyBorder="1" applyAlignment="1">
      <alignment horizontal="right" vertical="center" wrapText="1"/>
    </xf>
    <xf numFmtId="4" fontId="11" fillId="5" borderId="4" xfId="0" applyNumberFormat="1" applyFont="1" applyFill="1" applyBorder="1" applyAlignment="1">
      <alignment horizontal="left"/>
    </xf>
    <xf numFmtId="0" fontId="8" fillId="0" borderId="4" xfId="0" applyFont="1" applyBorder="1" applyAlignment="1">
      <alignment wrapText="1"/>
    </xf>
    <xf numFmtId="0" fontId="8" fillId="0" borderId="4" xfId="0" applyFont="1" applyBorder="1"/>
    <xf numFmtId="4" fontId="8" fillId="0" borderId="4" xfId="1" applyNumberFormat="1" applyFont="1" applyBorder="1"/>
    <xf numFmtId="4" fontId="7" fillId="4" borderId="4" xfId="1" applyNumberFormat="1" applyFont="1" applyFill="1" applyBorder="1" applyAlignment="1">
      <alignment vertical="center" wrapText="1"/>
    </xf>
    <xf numFmtId="4" fontId="6" fillId="4" borderId="4" xfId="0" applyNumberFormat="1" applyFont="1" applyFill="1" applyBorder="1" applyAlignment="1">
      <alignment vertical="center" wrapText="1"/>
    </xf>
    <xf numFmtId="164" fontId="6" fillId="4" borderId="4" xfId="1" applyFont="1" applyFill="1" applyBorder="1" applyAlignment="1">
      <alignment vertical="center" wrapText="1"/>
    </xf>
    <xf numFmtId="4" fontId="9" fillId="4" borderId="4" xfId="0" applyNumberFormat="1" applyFont="1" applyFill="1" applyBorder="1"/>
    <xf numFmtId="10" fontId="6" fillId="6" borderId="4" xfId="0" applyNumberFormat="1" applyFont="1" applyFill="1" applyBorder="1" applyAlignment="1">
      <alignment horizontal="right" vertical="center" wrapText="1"/>
    </xf>
    <xf numFmtId="0" fontId="6" fillId="4" borderId="4" xfId="0" applyFont="1" applyFill="1" applyBorder="1" applyAlignment="1">
      <alignment horizontal="right" vertical="center" wrapText="1"/>
    </xf>
    <xf numFmtId="0" fontId="7" fillId="4" borderId="5" xfId="0" applyFont="1" applyFill="1" applyBorder="1" applyAlignment="1">
      <alignment horizontal="center" vertical="center" wrapText="1"/>
    </xf>
    <xf numFmtId="14" fontId="10" fillId="4" borderId="4" xfId="1" applyNumberFormat="1" applyFont="1" applyFill="1" applyBorder="1" applyAlignment="1">
      <alignment horizontal="right" vertical="center" wrapText="1"/>
    </xf>
    <xf numFmtId="164" fontId="7" fillId="4" borderId="4" xfId="1" applyFont="1" applyFill="1" applyBorder="1" applyAlignment="1">
      <alignment vertical="center" wrapText="1"/>
    </xf>
    <xf numFmtId="0" fontId="12" fillId="4" borderId="4" xfId="0" applyFont="1" applyFill="1" applyBorder="1" applyAlignment="1">
      <alignment horizontal="right" vertical="center" wrapText="1"/>
    </xf>
    <xf numFmtId="0" fontId="12" fillId="4" borderId="4" xfId="0" applyFont="1" applyFill="1" applyBorder="1" applyAlignment="1">
      <alignment vertical="center" wrapText="1"/>
    </xf>
    <xf numFmtId="4" fontId="12" fillId="4" borderId="4" xfId="1" applyNumberFormat="1" applyFont="1" applyFill="1" applyBorder="1" applyAlignment="1">
      <alignment vertical="center" wrapText="1"/>
    </xf>
    <xf numFmtId="14" fontId="13" fillId="4" borderId="4" xfId="1" applyNumberFormat="1" applyFont="1" applyFill="1" applyBorder="1" applyAlignment="1">
      <alignment horizontal="right" vertical="center" wrapText="1"/>
    </xf>
    <xf numFmtId="164" fontId="12" fillId="4" borderId="4" xfId="1" applyFont="1" applyFill="1" applyBorder="1" applyAlignment="1">
      <alignment horizontal="right" vertical="center" wrapText="1"/>
    </xf>
    <xf numFmtId="0" fontId="14" fillId="0" borderId="0" xfId="0" applyFont="1"/>
    <xf numFmtId="0" fontId="7" fillId="4" borderId="7" xfId="0" applyFont="1" applyFill="1" applyBorder="1" applyAlignment="1">
      <alignment horizontal="center" vertical="center" wrapText="1"/>
    </xf>
    <xf numFmtId="4" fontId="6" fillId="5" borderId="4" xfId="0" applyNumberFormat="1" applyFont="1" applyFill="1" applyBorder="1" applyAlignment="1">
      <alignment horizontal="right" vertical="center" wrapText="1"/>
    </xf>
    <xf numFmtId="0" fontId="8" fillId="0" borderId="4" xfId="0" applyFont="1" applyBorder="1" applyAlignment="1">
      <alignment vertical="center" wrapText="1"/>
    </xf>
    <xf numFmtId="0" fontId="8" fillId="0" borderId="4" xfId="0" applyFont="1" applyBorder="1" applyAlignment="1">
      <alignment vertical="center"/>
    </xf>
    <xf numFmtId="4" fontId="8" fillId="0" borderId="4" xfId="1" applyNumberFormat="1" applyFont="1" applyBorder="1" applyAlignment="1">
      <alignment vertical="center"/>
    </xf>
    <xf numFmtId="14" fontId="9" fillId="0" borderId="4" xfId="0" applyNumberFormat="1" applyFont="1" applyBorder="1" applyAlignment="1">
      <alignment horizontal="right" vertical="center"/>
    </xf>
    <xf numFmtId="0" fontId="11" fillId="0" borderId="4" xfId="0" applyFont="1" applyBorder="1" applyAlignment="1">
      <alignment wrapText="1"/>
    </xf>
    <xf numFmtId="0" fontId="10" fillId="4" borderId="4" xfId="0" applyFont="1" applyFill="1" applyBorder="1" applyAlignment="1">
      <alignment vertical="center" wrapText="1"/>
    </xf>
    <xf numFmtId="0" fontId="9" fillId="0" borderId="4" xfId="0" applyFont="1" applyBorder="1" applyAlignment="1">
      <alignment wrapText="1"/>
    </xf>
    <xf numFmtId="0" fontId="9" fillId="0" borderId="4" xfId="0" applyFont="1" applyBorder="1"/>
    <xf numFmtId="4" fontId="6" fillId="4" borderId="4" xfId="1" applyNumberFormat="1" applyFont="1" applyFill="1" applyBorder="1" applyAlignment="1">
      <alignment vertical="center" wrapText="1"/>
    </xf>
    <xf numFmtId="0" fontId="9" fillId="0" borderId="4" xfId="0" applyFont="1" applyBorder="1" applyAlignment="1">
      <alignment vertical="center" wrapText="1"/>
    </xf>
    <xf numFmtId="0" fontId="9" fillId="0" borderId="4" xfId="0" applyFont="1" applyBorder="1" applyAlignment="1">
      <alignment vertical="center"/>
    </xf>
    <xf numFmtId="14" fontId="9" fillId="0" borderId="4" xfId="0" applyNumberFormat="1" applyFont="1" applyBorder="1" applyAlignment="1">
      <alignment vertical="center"/>
    </xf>
    <xf numFmtId="14" fontId="8" fillId="0" borderId="4" xfId="0" applyNumberFormat="1" applyFont="1" applyBorder="1" applyAlignment="1">
      <alignment horizontal="right"/>
    </xf>
    <xf numFmtId="4" fontId="10" fillId="4" borderId="4" xfId="0" applyNumberFormat="1" applyFont="1" applyFill="1" applyBorder="1" applyAlignment="1">
      <alignment horizontal="right" vertical="center" wrapText="1"/>
    </xf>
    <xf numFmtId="0" fontId="9" fillId="4" borderId="4" xfId="0" applyFont="1" applyFill="1" applyBorder="1" applyAlignment="1">
      <alignment vertical="top" wrapText="1"/>
    </xf>
    <xf numFmtId="0" fontId="15" fillId="4" borderId="7" xfId="0" applyFont="1" applyFill="1" applyBorder="1" applyAlignment="1">
      <alignment horizontal="center" vertical="center" wrapText="1"/>
    </xf>
    <xf numFmtId="4" fontId="7" fillId="4" borderId="4" xfId="0" applyNumberFormat="1" applyFont="1" applyFill="1" applyBorder="1" applyAlignment="1">
      <alignment vertical="center" wrapText="1"/>
    </xf>
    <xf numFmtId="10" fontId="6" fillId="6" borderId="4" xfId="0" applyNumberFormat="1" applyFont="1" applyFill="1" applyBorder="1" applyAlignment="1">
      <alignment vertical="center" wrapText="1"/>
    </xf>
    <xf numFmtId="4" fontId="8" fillId="0" borderId="4" xfId="1" applyNumberFormat="1" applyFont="1" applyBorder="1" applyAlignment="1">
      <alignment horizontal="right" vertical="center"/>
    </xf>
    <xf numFmtId="164" fontId="7" fillId="0" borderId="4" xfId="1" applyFont="1" applyBorder="1" applyAlignment="1">
      <alignment vertical="center"/>
    </xf>
    <xf numFmtId="0" fontId="5" fillId="0" borderId="0" xfId="0" applyFont="1" applyAlignment="1">
      <alignment vertical="center"/>
    </xf>
    <xf numFmtId="164" fontId="7" fillId="0" borderId="0" xfId="1" applyFont="1" applyAlignment="1">
      <alignment vertical="center"/>
    </xf>
    <xf numFmtId="164" fontId="6" fillId="4" borderId="4" xfId="0" applyNumberFormat="1" applyFont="1" applyFill="1" applyBorder="1" applyAlignment="1">
      <alignment horizontal="right" vertical="center" wrapText="1"/>
    </xf>
    <xf numFmtId="164" fontId="10" fillId="4" borderId="4" xfId="1" applyFont="1" applyFill="1" applyBorder="1" applyAlignment="1">
      <alignment horizontal="right" vertical="center" wrapText="1"/>
    </xf>
    <xf numFmtId="0" fontId="10" fillId="4" borderId="4" xfId="0" applyFont="1" applyFill="1" applyBorder="1" applyAlignment="1">
      <alignment horizontal="right" vertical="center" wrapText="1"/>
    </xf>
    <xf numFmtId="14" fontId="9" fillId="0" borderId="4" xfId="1" applyNumberFormat="1" applyFont="1" applyBorder="1" applyAlignment="1">
      <alignment horizontal="right" vertical="center"/>
    </xf>
    <xf numFmtId="164" fontId="8" fillId="0" borderId="4" xfId="1" applyFont="1" applyBorder="1" applyAlignment="1">
      <alignment vertical="center"/>
    </xf>
    <xf numFmtId="4" fontId="10" fillId="5" borderId="1" xfId="0" applyNumberFormat="1" applyFont="1" applyFill="1" applyBorder="1" applyAlignment="1">
      <alignment horizontal="right" vertical="center" wrapText="1"/>
    </xf>
    <xf numFmtId="4" fontId="10" fillId="5" borderId="3" xfId="0" applyNumberFormat="1" applyFont="1" applyFill="1" applyBorder="1" applyAlignment="1">
      <alignment horizontal="right" vertical="center" wrapText="1"/>
    </xf>
    <xf numFmtId="10" fontId="6" fillId="7" borderId="4" xfId="0" applyNumberFormat="1" applyFont="1" applyFill="1" applyBorder="1" applyAlignment="1">
      <alignment vertical="center" wrapText="1"/>
    </xf>
    <xf numFmtId="0" fontId="5" fillId="0" borderId="0" xfId="0" applyFont="1" applyAlignment="1">
      <alignment wrapText="1"/>
    </xf>
    <xf numFmtId="4" fontId="5" fillId="0" borderId="0" xfId="1" applyNumberFormat="1" applyFont="1" applyAlignment="1"/>
    <xf numFmtId="14" fontId="5" fillId="0" borderId="0" xfId="1" applyNumberFormat="1" applyFont="1" applyAlignment="1">
      <alignment horizontal="right"/>
    </xf>
    <xf numFmtId="164" fontId="16" fillId="0" borderId="0" xfId="1" applyFont="1"/>
    <xf numFmtId="4" fontId="5" fillId="0" borderId="0" xfId="0" applyNumberFormat="1" applyFont="1"/>
    <xf numFmtId="10" fontId="5" fillId="0" borderId="0" xfId="0" applyNumberFormat="1" applyFont="1"/>
    <xf numFmtId="0" fontId="17" fillId="8" borderId="11" xfId="0" applyFont="1" applyFill="1" applyBorder="1" applyAlignment="1">
      <alignment vertical="center" wrapText="1"/>
    </xf>
    <xf numFmtId="4" fontId="17" fillId="0" borderId="12" xfId="1" applyNumberFormat="1" applyFont="1" applyBorder="1" applyAlignment="1">
      <alignment vertical="center" wrapText="1"/>
    </xf>
    <xf numFmtId="14" fontId="17" fillId="0" borderId="12" xfId="1" applyNumberFormat="1" applyFont="1" applyBorder="1" applyAlignment="1">
      <alignment horizontal="right" vertical="center" wrapText="1"/>
    </xf>
    <xf numFmtId="0" fontId="17" fillId="9" borderId="12" xfId="0" applyFont="1" applyFill="1" applyBorder="1" applyAlignment="1">
      <alignment vertical="center" wrapText="1"/>
    </xf>
    <xf numFmtId="164" fontId="18" fillId="0" borderId="12" xfId="1" applyFont="1" applyBorder="1" applyAlignment="1">
      <alignment vertical="center" wrapText="1"/>
    </xf>
    <xf numFmtId="0" fontId="17" fillId="0" borderId="12" xfId="0" applyFont="1" applyBorder="1" applyAlignment="1">
      <alignment vertical="center" wrapText="1"/>
    </xf>
    <xf numFmtId="4" fontId="17" fillId="10" borderId="12" xfId="0" applyNumberFormat="1" applyFont="1" applyFill="1" applyBorder="1" applyAlignment="1">
      <alignment vertical="center" wrapText="1"/>
    </xf>
    <xf numFmtId="4" fontId="17" fillId="0" borderId="12" xfId="0" applyNumberFormat="1" applyFont="1" applyBorder="1" applyAlignment="1">
      <alignment vertical="center" wrapText="1"/>
    </xf>
    <xf numFmtId="0" fontId="19" fillId="0" borderId="4" xfId="0" applyFont="1" applyBorder="1" applyAlignment="1">
      <alignment wrapText="1"/>
    </xf>
    <xf numFmtId="0" fontId="12" fillId="0" borderId="4" xfId="0" applyFont="1" applyBorder="1" applyAlignment="1">
      <alignment wrapText="1"/>
    </xf>
    <xf numFmtId="0" fontId="8" fillId="7" borderId="4" xfId="0" applyFont="1" applyFill="1" applyBorder="1" applyAlignment="1">
      <alignment wrapText="1"/>
    </xf>
    <xf numFmtId="0" fontId="20" fillId="0" borderId="4" xfId="0" applyFont="1" applyBorder="1" applyAlignment="1">
      <alignment wrapText="1"/>
    </xf>
    <xf numFmtId="0" fontId="20" fillId="0" borderId="4" xfId="0" applyFont="1" applyBorder="1" applyAlignment="1">
      <alignment vertical="center" wrapText="1"/>
    </xf>
    <xf numFmtId="0" fontId="19" fillId="0" borderId="4" xfId="0" applyFont="1" applyBorder="1" applyAlignment="1">
      <alignment vertical="center" wrapText="1"/>
    </xf>
    <xf numFmtId="0" fontId="6" fillId="4" borderId="4"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21" fillId="0" borderId="4" xfId="0" applyFont="1" applyBorder="1" applyAlignment="1">
      <alignment horizontal="center"/>
    </xf>
    <xf numFmtId="0" fontId="21" fillId="0" borderId="4" xfId="0" applyFont="1" applyBorder="1" applyAlignment="1">
      <alignment horizontal="center" vertical="center"/>
    </xf>
    <xf numFmtId="0" fontId="11" fillId="0" borderId="4" xfId="0" applyFont="1" applyBorder="1" applyAlignment="1">
      <alignment horizontal="center"/>
    </xf>
    <xf numFmtId="0" fontId="11" fillId="0" borderId="4" xfId="0" applyFont="1" applyBorder="1" applyAlignment="1">
      <alignment horizontal="center" vertical="center"/>
    </xf>
    <xf numFmtId="0" fontId="17" fillId="0" borderId="0" xfId="0" applyFont="1" applyAlignment="1">
      <alignment horizontal="center"/>
    </xf>
    <xf numFmtId="165" fontId="6" fillId="2" borderId="4" xfId="1" applyNumberFormat="1" applyFont="1" applyFill="1" applyBorder="1" applyAlignment="1">
      <alignment vertical="center" wrapText="1"/>
    </xf>
    <xf numFmtId="165" fontId="6" fillId="4" borderId="4" xfId="1" applyNumberFormat="1" applyFont="1" applyFill="1" applyBorder="1" applyAlignment="1">
      <alignment vertical="center" wrapText="1"/>
    </xf>
    <xf numFmtId="165" fontId="7" fillId="4" borderId="4" xfId="1" applyNumberFormat="1" applyFont="1" applyFill="1" applyBorder="1" applyAlignment="1">
      <alignment vertical="center" wrapText="1"/>
    </xf>
    <xf numFmtId="165" fontId="8" fillId="0" borderId="4" xfId="1" applyNumberFormat="1" applyFont="1" applyBorder="1"/>
    <xf numFmtId="165" fontId="8" fillId="0" borderId="4" xfId="1" applyNumberFormat="1" applyFont="1" applyBorder="1" applyAlignment="1">
      <alignment vertical="center"/>
    </xf>
    <xf numFmtId="165" fontId="9" fillId="0" borderId="4" xfId="1" applyNumberFormat="1" applyFont="1" applyBorder="1"/>
    <xf numFmtId="165" fontId="9" fillId="0" borderId="4" xfId="1" applyNumberFormat="1" applyFont="1" applyBorder="1" applyAlignment="1">
      <alignment vertical="center"/>
    </xf>
    <xf numFmtId="165" fontId="5" fillId="0" borderId="0" xfId="1" applyNumberFormat="1" applyFont="1"/>
    <xf numFmtId="165" fontId="19" fillId="0" borderId="4" xfId="1" applyNumberFormat="1" applyFont="1" applyBorder="1"/>
    <xf numFmtId="0" fontId="12" fillId="10" borderId="4" xfId="0" applyFont="1" applyFill="1" applyBorder="1" applyAlignment="1">
      <alignment vertical="center" wrapText="1"/>
    </xf>
    <xf numFmtId="9" fontId="7" fillId="4" borderId="4" xfId="0" applyNumberFormat="1" applyFont="1" applyFill="1" applyBorder="1" applyAlignment="1">
      <alignment horizontal="center" vertical="center" wrapText="1"/>
    </xf>
    <xf numFmtId="2" fontId="6" fillId="2" borderId="4" xfId="1" applyNumberFormat="1" applyFont="1" applyFill="1" applyBorder="1" applyAlignment="1">
      <alignment vertical="center" wrapText="1"/>
    </xf>
    <xf numFmtId="2" fontId="6" fillId="4" borderId="4" xfId="1" applyNumberFormat="1" applyFont="1" applyFill="1" applyBorder="1" applyAlignment="1">
      <alignment horizontal="left" vertical="center" wrapText="1"/>
    </xf>
    <xf numFmtId="2" fontId="8" fillId="0" borderId="4" xfId="1" applyNumberFormat="1" applyFont="1" applyBorder="1" applyAlignment="1">
      <alignment horizontal="right"/>
    </xf>
    <xf numFmtId="2" fontId="6" fillId="4" borderId="4" xfId="1" applyNumberFormat="1" applyFont="1" applyFill="1" applyBorder="1" applyAlignment="1">
      <alignment vertical="center" wrapText="1"/>
    </xf>
    <xf numFmtId="2" fontId="8" fillId="0" borderId="4" xfId="1" applyNumberFormat="1" applyFont="1" applyBorder="1"/>
    <xf numFmtId="2" fontId="7" fillId="4" borderId="4" xfId="1" applyNumberFormat="1" applyFont="1" applyFill="1" applyBorder="1" applyAlignment="1">
      <alignment vertical="center" wrapText="1"/>
    </xf>
    <xf numFmtId="2" fontId="19" fillId="0" borderId="4" xfId="1" applyNumberFormat="1" applyFont="1" applyBorder="1"/>
    <xf numFmtId="2" fontId="8" fillId="0" borderId="4" xfId="1" applyNumberFormat="1" applyFont="1" applyBorder="1" applyAlignment="1">
      <alignment vertical="center"/>
    </xf>
    <xf numFmtId="2" fontId="8" fillId="0" borderId="4" xfId="1" applyNumberFormat="1" applyFont="1" applyBorder="1" applyAlignment="1">
      <alignment horizontal="right" vertical="center"/>
    </xf>
    <xf numFmtId="2" fontId="5" fillId="0" borderId="0" xfId="1" applyNumberFormat="1" applyFont="1" applyAlignment="1"/>
    <xf numFmtId="10" fontId="7" fillId="4" borderId="4" xfId="0" applyNumberFormat="1" applyFont="1" applyFill="1" applyBorder="1" applyAlignment="1">
      <alignment horizontal="center" vertical="center" wrapText="1"/>
    </xf>
    <xf numFmtId="10" fontId="7" fillId="4" borderId="4" xfId="1" applyNumberFormat="1" applyFont="1" applyFill="1" applyBorder="1" applyAlignment="1">
      <alignment vertical="center" wrapText="1"/>
    </xf>
    <xf numFmtId="10" fontId="12" fillId="4" borderId="4" xfId="1" applyNumberFormat="1" applyFont="1" applyFill="1" applyBorder="1" applyAlignment="1">
      <alignment vertical="center" wrapText="1"/>
    </xf>
    <xf numFmtId="10" fontId="12" fillId="4" borderId="4" xfId="0" applyNumberFormat="1" applyFont="1" applyFill="1" applyBorder="1" applyAlignment="1">
      <alignment horizontal="center" vertical="center" wrapText="1"/>
    </xf>
    <xf numFmtId="10" fontId="6" fillId="4" borderId="4" xfId="1" applyNumberFormat="1" applyFont="1" applyFill="1" applyBorder="1" applyAlignment="1">
      <alignment vertical="center" wrapText="1"/>
    </xf>
    <xf numFmtId="10" fontId="6" fillId="4" borderId="4" xfId="1" applyNumberFormat="1" applyFont="1" applyFill="1" applyBorder="1" applyAlignment="1">
      <alignment horizontal="left" vertical="center" wrapText="1"/>
    </xf>
    <xf numFmtId="9" fontId="8" fillId="0" borderId="4" xfId="0" applyNumberFormat="1" applyFont="1" applyBorder="1" applyAlignment="1">
      <alignment horizontal="center"/>
    </xf>
    <xf numFmtId="10" fontId="8" fillId="0" borderId="4" xfId="1" applyNumberFormat="1" applyFont="1" applyBorder="1"/>
    <xf numFmtId="0" fontId="7" fillId="4" borderId="5" xfId="0" applyFont="1" applyFill="1" applyBorder="1" applyAlignment="1">
      <alignment vertical="center" wrapText="1"/>
    </xf>
    <xf numFmtId="14" fontId="7" fillId="4" borderId="4" xfId="1" applyNumberFormat="1" applyFont="1" applyFill="1" applyBorder="1" applyAlignment="1">
      <alignment horizontal="right" vertical="center" wrapText="1"/>
    </xf>
    <xf numFmtId="0" fontId="8" fillId="10" borderId="4" xfId="0" applyFont="1" applyFill="1" applyBorder="1" applyAlignment="1">
      <alignment vertical="center" wrapText="1"/>
    </xf>
    <xf numFmtId="10" fontId="7" fillId="4" borderId="4" xfId="1" applyNumberFormat="1" applyFont="1" applyFill="1" applyBorder="1" applyAlignment="1">
      <alignment horizontal="left" vertical="center" wrapText="1"/>
    </xf>
    <xf numFmtId="10" fontId="8" fillId="0" borderId="4" xfId="1" applyNumberFormat="1" applyFont="1" applyBorder="1" applyAlignment="1">
      <alignment vertical="center"/>
    </xf>
    <xf numFmtId="0" fontId="19" fillId="4" borderId="4" xfId="0" applyFont="1" applyFill="1" applyBorder="1" applyAlignment="1">
      <alignment vertical="center" wrapText="1"/>
    </xf>
    <xf numFmtId="0" fontId="22" fillId="0" borderId="4" xfId="0" applyFont="1" applyBorder="1" applyAlignment="1">
      <alignment wrapText="1"/>
    </xf>
    <xf numFmtId="10" fontId="19" fillId="4" borderId="4" xfId="1" applyNumberFormat="1" applyFont="1" applyFill="1" applyBorder="1" applyAlignment="1">
      <alignment vertical="center" wrapText="1"/>
    </xf>
    <xf numFmtId="10" fontId="6" fillId="4" borderId="4" xfId="0" applyNumberFormat="1" applyFont="1" applyFill="1" applyBorder="1" applyAlignment="1">
      <alignment horizontal="center" vertical="center" wrapText="1"/>
    </xf>
    <xf numFmtId="10" fontId="21" fillId="0" borderId="4" xfId="0" applyNumberFormat="1" applyFont="1" applyBorder="1" applyAlignment="1">
      <alignment horizontal="center"/>
    </xf>
    <xf numFmtId="0" fontId="20" fillId="4" borderId="4" xfId="0" applyFont="1" applyFill="1" applyBorder="1" applyAlignment="1">
      <alignment vertical="center" wrapText="1"/>
    </xf>
    <xf numFmtId="10" fontId="8" fillId="0" borderId="4" xfId="0" applyNumberFormat="1" applyFont="1" applyBorder="1" applyAlignment="1">
      <alignment horizontal="center"/>
    </xf>
    <xf numFmtId="10" fontId="9" fillId="0" borderId="4" xfId="0" applyNumberFormat="1" applyFont="1" applyBorder="1" applyAlignment="1">
      <alignment horizontal="center" vertical="center"/>
    </xf>
    <xf numFmtId="10" fontId="23" fillId="4" borderId="4" xfId="0" applyNumberFormat="1" applyFont="1" applyFill="1" applyBorder="1" applyAlignment="1">
      <alignment horizontal="center" vertical="center" wrapText="1"/>
    </xf>
    <xf numFmtId="10" fontId="23" fillId="4" borderId="4" xfId="1" applyNumberFormat="1" applyFont="1" applyFill="1" applyBorder="1" applyAlignment="1">
      <alignment vertical="center" wrapText="1"/>
    </xf>
    <xf numFmtId="2" fontId="19" fillId="4" borderId="4" xfId="1" applyNumberFormat="1" applyFont="1" applyFill="1" applyBorder="1" applyAlignment="1">
      <alignment horizontal="left" vertical="center" wrapText="1"/>
    </xf>
    <xf numFmtId="0" fontId="12" fillId="0" borderId="4" xfId="0" applyFont="1" applyBorder="1" applyAlignment="1">
      <alignmen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7" fillId="4"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7" fillId="4" borderId="7"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15" fillId="4" borderId="6"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7" fillId="4" borderId="4" xfId="0" applyFont="1" applyFill="1" applyBorder="1" applyAlignment="1">
      <alignment vertical="center" wrapText="1"/>
    </xf>
    <xf numFmtId="0" fontId="2" fillId="0" borderId="3" xfId="0" applyFont="1" applyBorder="1" applyAlignment="1">
      <alignment horizontal="center" vertical="center" wrapText="1"/>
    </xf>
    <xf numFmtId="0" fontId="6" fillId="3" borderId="4" xfId="0" applyFont="1" applyFill="1" applyBorder="1" applyAlignment="1">
      <alignment vertical="center" wrapText="1"/>
    </xf>
    <xf numFmtId="4" fontId="6" fillId="7" borderId="1" xfId="0" applyNumberFormat="1" applyFont="1" applyFill="1" applyBorder="1" applyAlignment="1">
      <alignment horizontal="center" vertical="center" wrapText="1"/>
    </xf>
    <xf numFmtId="4" fontId="6" fillId="7" borderId="3" xfId="0" applyNumberFormat="1" applyFont="1" applyFill="1" applyBorder="1" applyAlignment="1">
      <alignment horizontal="center" vertical="center" wrapText="1"/>
    </xf>
    <xf numFmtId="0" fontId="17" fillId="0" borderId="8" xfId="0" applyFont="1" applyBorder="1" applyAlignment="1">
      <alignment vertical="center" wrapText="1"/>
    </xf>
    <xf numFmtId="0" fontId="17" fillId="0" borderId="9" xfId="0" applyFont="1" applyBorder="1" applyAlignment="1">
      <alignment vertical="center" wrapText="1"/>
    </xf>
    <xf numFmtId="0" fontId="17" fillId="0" borderId="10" xfId="0" applyFont="1" applyBorder="1" applyAlignment="1">
      <alignmen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135"/>
  <sheetViews>
    <sheetView tabSelected="1" topLeftCell="A2" zoomScale="96" workbookViewId="0">
      <pane xSplit="1" ySplit="1" topLeftCell="B129" activePane="bottomRight" state="frozen"/>
      <selection activeCell="A2" sqref="A2"/>
      <selection pane="topRight" activeCell="B2" sqref="B2"/>
      <selection pane="bottomLeft" activeCell="A3" sqref="A3"/>
      <selection pane="bottomRight" activeCell="H40" sqref="H40"/>
    </sheetView>
  </sheetViews>
  <sheetFormatPr defaultColWidth="8.69921875" defaultRowHeight="17.399999999999999"/>
  <cols>
    <col min="1" max="1" width="8.69921875" style="2"/>
    <col min="2" max="2" width="9.19921875" style="2" bestFit="1" customWidth="1"/>
    <col min="3" max="3" width="80" style="81" customWidth="1"/>
    <col min="4" max="4" width="26.09765625" style="2" customWidth="1"/>
    <col min="5" max="5" width="16.09765625" style="107" customWidth="1"/>
    <col min="6" max="6" width="27.8984375" style="115" customWidth="1"/>
    <col min="7" max="7" width="28.796875" style="128" customWidth="1"/>
    <col min="8" max="8" width="30.09765625" style="83" customWidth="1"/>
    <col min="9" max="9" width="22.59765625" style="2" customWidth="1"/>
    <col min="10" max="10" width="49.5" style="2" customWidth="1"/>
    <col min="11" max="16384" width="8.69921875" style="2"/>
  </cols>
  <sheetData>
    <row r="1" spans="2:10" ht="172.5" customHeight="1">
      <c r="B1" s="154" t="s">
        <v>162</v>
      </c>
      <c r="C1" s="155"/>
      <c r="D1" s="155"/>
      <c r="E1" s="155"/>
      <c r="F1" s="155"/>
      <c r="G1" s="155"/>
      <c r="H1" s="155"/>
      <c r="I1" s="1"/>
    </row>
    <row r="2" spans="2:10" ht="66.599999999999994">
      <c r="B2" s="3" t="s">
        <v>1</v>
      </c>
      <c r="C2" s="3" t="s">
        <v>2</v>
      </c>
      <c r="D2" s="3" t="s">
        <v>3</v>
      </c>
      <c r="E2" s="9" t="s">
        <v>159</v>
      </c>
      <c r="F2" s="108" t="s">
        <v>160</v>
      </c>
      <c r="G2" s="119" t="s">
        <v>161</v>
      </c>
      <c r="H2" s="5" t="s">
        <v>5</v>
      </c>
      <c r="I2" s="3" t="s">
        <v>15</v>
      </c>
      <c r="J2" s="2" t="s">
        <v>14</v>
      </c>
    </row>
    <row r="3" spans="2:10" ht="22.05" customHeight="1">
      <c r="B3" s="160" t="s">
        <v>16</v>
      </c>
      <c r="C3" s="161"/>
      <c r="D3" s="161"/>
      <c r="E3" s="161">
        <v>10</v>
      </c>
      <c r="F3" s="161"/>
      <c r="G3" s="161"/>
      <c r="H3" s="161"/>
      <c r="I3" s="162"/>
    </row>
    <row r="4" spans="2:10" ht="21.45" customHeight="1">
      <c r="B4" s="10" t="s">
        <v>17</v>
      </c>
      <c r="C4" s="10" t="s">
        <v>18</v>
      </c>
      <c r="D4" s="10" t="s">
        <v>19</v>
      </c>
      <c r="E4" s="101">
        <v>5</v>
      </c>
      <c r="F4" s="109">
        <v>100</v>
      </c>
      <c r="G4" s="120">
        <v>100</v>
      </c>
      <c r="H4" s="12"/>
      <c r="I4" s="156"/>
    </row>
    <row r="5" spans="2:10" ht="22.5" customHeight="1">
      <c r="B5" s="18">
        <v>1</v>
      </c>
      <c r="C5" s="19" t="s">
        <v>21</v>
      </c>
      <c r="D5" s="19" t="s">
        <v>22</v>
      </c>
      <c r="E5" s="102"/>
      <c r="F5" s="110">
        <f>580400550+50000000</f>
        <v>630400550</v>
      </c>
      <c r="G5" s="121">
        <v>630400550</v>
      </c>
      <c r="H5" s="21"/>
      <c r="I5" s="156"/>
    </row>
    <row r="6" spans="2:10" ht="24.45" customHeight="1">
      <c r="B6" s="18">
        <v>2</v>
      </c>
      <c r="C6" s="19" t="s">
        <v>24</v>
      </c>
      <c r="D6" s="19" t="s">
        <v>22</v>
      </c>
      <c r="E6" s="102"/>
      <c r="F6" s="110">
        <v>300000000</v>
      </c>
      <c r="G6" s="121">
        <v>300000000</v>
      </c>
      <c r="H6" s="21"/>
      <c r="I6" s="156"/>
    </row>
    <row r="7" spans="2:10" ht="22.2">
      <c r="B7" s="18"/>
      <c r="C7" s="19"/>
      <c r="D7" s="19"/>
      <c r="E7" s="102"/>
      <c r="F7" s="110"/>
      <c r="G7" s="121"/>
      <c r="H7" s="21"/>
      <c r="I7" s="156"/>
    </row>
    <row r="8" spans="2:10" ht="22.2">
      <c r="B8" s="10" t="s">
        <v>163</v>
      </c>
      <c r="C8" s="10" t="s">
        <v>26</v>
      </c>
      <c r="D8" s="10" t="s">
        <v>22</v>
      </c>
      <c r="E8" s="101">
        <v>2</v>
      </c>
      <c r="F8" s="109">
        <f>SUM(F9:F11)</f>
        <v>12000000</v>
      </c>
      <c r="G8" s="122">
        <f>SUM(G9:G11)</f>
        <v>13900000</v>
      </c>
      <c r="H8" s="12"/>
      <c r="I8" s="156"/>
    </row>
    <row r="9" spans="2:10" ht="22.2">
      <c r="B9" s="18">
        <v>1</v>
      </c>
      <c r="C9" s="31" t="s">
        <v>27</v>
      </c>
      <c r="D9" s="32" t="s">
        <v>28</v>
      </c>
      <c r="E9" s="103"/>
      <c r="F9" s="116">
        <v>8900000</v>
      </c>
      <c r="G9" s="123">
        <f>900000*12</f>
        <v>10800000</v>
      </c>
      <c r="H9" s="21"/>
      <c r="I9" s="156"/>
    </row>
    <row r="10" spans="2:10" ht="22.2">
      <c r="B10" s="18">
        <v>2</v>
      </c>
      <c r="C10" s="19" t="s">
        <v>29</v>
      </c>
      <c r="D10" s="32" t="s">
        <v>28</v>
      </c>
      <c r="E10" s="103"/>
      <c r="F10" s="111">
        <v>1800000</v>
      </c>
      <c r="G10" s="124">
        <f>F10</f>
        <v>1800000</v>
      </c>
      <c r="H10" s="21"/>
      <c r="I10" s="156"/>
    </row>
    <row r="11" spans="2:10" ht="22.2">
      <c r="B11" s="18">
        <v>3</v>
      </c>
      <c r="C11" s="19" t="s">
        <v>30</v>
      </c>
      <c r="D11" s="32" t="s">
        <v>28</v>
      </c>
      <c r="E11" s="103"/>
      <c r="F11" s="116">
        <v>1300000</v>
      </c>
      <c r="G11" s="125">
        <v>1300000</v>
      </c>
      <c r="H11" s="21"/>
      <c r="I11" s="156"/>
    </row>
    <row r="12" spans="2:10" ht="22.2">
      <c r="B12" s="18"/>
      <c r="C12" s="19"/>
      <c r="D12" s="32"/>
      <c r="E12" s="103"/>
      <c r="F12" s="111"/>
      <c r="G12" s="123"/>
      <c r="H12" s="21"/>
      <c r="I12" s="156"/>
    </row>
    <row r="13" spans="2:10" ht="21.45" customHeight="1">
      <c r="B13" s="10" t="s">
        <v>31</v>
      </c>
      <c r="C13" s="10" t="s">
        <v>32</v>
      </c>
      <c r="D13" s="10" t="s">
        <v>19</v>
      </c>
      <c r="E13" s="101">
        <v>3</v>
      </c>
      <c r="F13" s="109"/>
      <c r="G13" s="120"/>
      <c r="H13" s="12"/>
      <c r="I13" s="156"/>
    </row>
    <row r="14" spans="2:10" ht="22.2">
      <c r="B14" s="18">
        <v>1</v>
      </c>
      <c r="C14" s="19" t="s">
        <v>33</v>
      </c>
      <c r="D14" s="32" t="s">
        <v>19</v>
      </c>
      <c r="E14" s="103"/>
      <c r="F14" s="116">
        <v>0.5</v>
      </c>
      <c r="G14" s="125">
        <v>1</v>
      </c>
      <c r="H14" s="21"/>
      <c r="I14" s="156"/>
    </row>
    <row r="15" spans="2:10" ht="22.2">
      <c r="B15" s="18"/>
      <c r="C15" s="19"/>
      <c r="D15" s="32"/>
      <c r="E15" s="103"/>
      <c r="F15" s="111"/>
      <c r="G15" s="123"/>
      <c r="H15" s="21"/>
      <c r="I15" s="17"/>
    </row>
    <row r="16" spans="2:10" ht="22.05" customHeight="1">
      <c r="B16" s="160" t="s">
        <v>34</v>
      </c>
      <c r="C16" s="161"/>
      <c r="D16" s="162"/>
      <c r="E16" s="160">
        <v>15</v>
      </c>
      <c r="F16" s="161"/>
      <c r="G16" s="161"/>
      <c r="H16" s="161"/>
      <c r="I16" s="162"/>
    </row>
    <row r="17" spans="2:9" ht="44.4">
      <c r="B17" s="10" t="s">
        <v>35</v>
      </c>
      <c r="C17" s="10" t="s">
        <v>36</v>
      </c>
      <c r="D17" s="10" t="s">
        <v>19</v>
      </c>
      <c r="E17" s="101">
        <v>4</v>
      </c>
      <c r="F17" s="133">
        <v>0.8</v>
      </c>
      <c r="G17" s="134">
        <v>1</v>
      </c>
      <c r="H17" s="12"/>
      <c r="I17" s="157"/>
    </row>
    <row r="18" spans="2:9" ht="224.55" customHeight="1">
      <c r="B18" s="19">
        <v>1</v>
      </c>
      <c r="C18" s="19" t="s">
        <v>164</v>
      </c>
      <c r="D18" s="19" t="s">
        <v>19</v>
      </c>
      <c r="E18" s="118">
        <v>0.1</v>
      </c>
      <c r="F18" s="118">
        <v>0.1</v>
      </c>
      <c r="G18" s="129">
        <v>0.1</v>
      </c>
      <c r="H18" s="41"/>
      <c r="I18" s="158"/>
    </row>
    <row r="19" spans="2:9" ht="162.44999999999999" customHeight="1">
      <c r="B19" s="18">
        <v>2</v>
      </c>
      <c r="C19" s="19" t="s">
        <v>165</v>
      </c>
      <c r="D19" s="19" t="s">
        <v>19</v>
      </c>
      <c r="E19" s="118">
        <v>0.3</v>
      </c>
      <c r="F19" s="144">
        <v>0</v>
      </c>
      <c r="G19" s="130">
        <v>0.3</v>
      </c>
      <c r="H19" s="41"/>
      <c r="I19" s="158"/>
    </row>
    <row r="20" spans="2:9" ht="197.55" customHeight="1">
      <c r="B20" s="18">
        <v>3</v>
      </c>
      <c r="C20" s="19" t="s">
        <v>166</v>
      </c>
      <c r="D20" s="19" t="s">
        <v>19</v>
      </c>
      <c r="E20" s="118">
        <v>0.6</v>
      </c>
      <c r="F20" s="130">
        <v>0.5</v>
      </c>
      <c r="G20" s="130">
        <v>0.6</v>
      </c>
      <c r="H20" s="41"/>
      <c r="I20" s="158"/>
    </row>
    <row r="21" spans="2:9" s="48" customFormat="1" ht="46.5" customHeight="1">
      <c r="B21" s="43">
        <v>4</v>
      </c>
      <c r="C21" s="117" t="s">
        <v>40</v>
      </c>
      <c r="D21" s="44" t="s">
        <v>19</v>
      </c>
      <c r="E21" s="132">
        <v>0.2</v>
      </c>
      <c r="F21" s="131">
        <v>0.2</v>
      </c>
      <c r="G21" s="131"/>
      <c r="H21" s="46"/>
      <c r="I21" s="158"/>
    </row>
    <row r="22" spans="2:9" ht="22.2">
      <c r="B22" s="18"/>
      <c r="C22" s="19"/>
      <c r="D22" s="19"/>
      <c r="E22" s="102"/>
      <c r="F22" s="110"/>
      <c r="G22" s="124"/>
      <c r="H22" s="41"/>
      <c r="I22" s="19"/>
    </row>
    <row r="23" spans="2:9" ht="45.45" customHeight="1">
      <c r="B23" s="10" t="s">
        <v>42</v>
      </c>
      <c r="C23" s="10" t="s">
        <v>43</v>
      </c>
      <c r="D23" s="10" t="s">
        <v>19</v>
      </c>
      <c r="E23" s="101">
        <v>7</v>
      </c>
      <c r="F23" s="109">
        <v>100</v>
      </c>
      <c r="G23" s="120">
        <v>100</v>
      </c>
      <c r="H23" s="12"/>
      <c r="I23" s="19"/>
    </row>
    <row r="24" spans="2:9" ht="45.45" customHeight="1">
      <c r="B24" s="19"/>
      <c r="C24" s="19" t="s">
        <v>176</v>
      </c>
      <c r="D24" s="19" t="s">
        <v>19</v>
      </c>
      <c r="E24" s="118">
        <v>0.4</v>
      </c>
      <c r="F24" s="130"/>
      <c r="G24" s="140">
        <v>0.4</v>
      </c>
      <c r="H24" s="138"/>
      <c r="I24" s="137"/>
    </row>
    <row r="25" spans="2:9" ht="57.45" customHeight="1">
      <c r="B25" s="19"/>
      <c r="C25" s="19" t="s">
        <v>177</v>
      </c>
      <c r="D25" s="19" t="s">
        <v>19</v>
      </c>
      <c r="E25" s="118">
        <v>0.4</v>
      </c>
      <c r="F25" s="130"/>
      <c r="G25" s="140">
        <v>0.4</v>
      </c>
      <c r="H25" s="138"/>
      <c r="I25" s="137"/>
    </row>
    <row r="26" spans="2:9" ht="65.55" customHeight="1">
      <c r="B26" s="19"/>
      <c r="C26" s="142" t="s">
        <v>178</v>
      </c>
      <c r="D26" s="19" t="s">
        <v>19</v>
      </c>
      <c r="E26" s="118">
        <v>0.05</v>
      </c>
      <c r="F26" s="130"/>
      <c r="G26" s="140">
        <v>0.05</v>
      </c>
      <c r="H26" s="138"/>
      <c r="I26" s="137"/>
    </row>
    <row r="27" spans="2:9" ht="61.95" customHeight="1">
      <c r="B27" s="19"/>
      <c r="C27" s="142" t="s">
        <v>179</v>
      </c>
      <c r="D27" s="19" t="s">
        <v>19</v>
      </c>
      <c r="E27" s="118">
        <v>0.1</v>
      </c>
      <c r="F27" s="130"/>
      <c r="G27" s="140">
        <v>0.1</v>
      </c>
      <c r="H27" s="138"/>
      <c r="I27" s="137"/>
    </row>
    <row r="28" spans="2:9" ht="114.45" customHeight="1">
      <c r="B28" s="19"/>
      <c r="C28" s="142" t="s">
        <v>180</v>
      </c>
      <c r="D28" s="19" t="s">
        <v>19</v>
      </c>
      <c r="E28" s="118">
        <v>0.05</v>
      </c>
      <c r="F28" s="130"/>
      <c r="G28" s="140">
        <v>0.05</v>
      </c>
      <c r="H28" s="138"/>
      <c r="I28" s="137"/>
    </row>
    <row r="29" spans="2:9" ht="46.5" customHeight="1">
      <c r="B29" s="19">
        <v>1</v>
      </c>
      <c r="C29" s="139" t="s">
        <v>167</v>
      </c>
      <c r="D29" s="52"/>
      <c r="E29" s="104"/>
      <c r="F29" s="141">
        <v>0.1</v>
      </c>
      <c r="G29" s="141"/>
      <c r="H29" s="54"/>
      <c r="I29" s="157"/>
    </row>
    <row r="30" spans="2:9" ht="51.45" customHeight="1">
      <c r="B30" s="19">
        <v>2</v>
      </c>
      <c r="C30" s="139" t="s">
        <v>168</v>
      </c>
      <c r="D30" s="52"/>
      <c r="E30" s="104"/>
      <c r="F30" s="141">
        <v>0.35</v>
      </c>
      <c r="G30" s="141"/>
      <c r="H30" s="41"/>
      <c r="I30" s="158"/>
    </row>
    <row r="31" spans="2:9" ht="49.5" customHeight="1">
      <c r="B31" s="19">
        <v>3</v>
      </c>
      <c r="C31" s="139" t="s">
        <v>169</v>
      </c>
      <c r="D31" s="52"/>
      <c r="E31" s="104"/>
      <c r="F31" s="141">
        <v>0.35</v>
      </c>
      <c r="G31" s="141"/>
      <c r="H31" s="54"/>
      <c r="I31" s="158"/>
    </row>
    <row r="32" spans="2:9" ht="68.55" customHeight="1">
      <c r="B32" s="19">
        <v>4</v>
      </c>
      <c r="C32" s="139" t="s">
        <v>170</v>
      </c>
      <c r="D32" s="52"/>
      <c r="E32" s="104"/>
      <c r="F32" s="141">
        <v>0.2</v>
      </c>
      <c r="G32" s="141"/>
      <c r="H32" s="54"/>
      <c r="I32" s="159"/>
    </row>
    <row r="33" spans="2:10" ht="13.05" customHeight="1">
      <c r="B33" s="19"/>
      <c r="C33" s="51"/>
      <c r="D33" s="52"/>
      <c r="E33" s="104"/>
      <c r="F33" s="112"/>
      <c r="G33" s="126"/>
      <c r="H33" s="54"/>
      <c r="I33" s="17"/>
    </row>
    <row r="34" spans="2:10" ht="27.45" customHeight="1">
      <c r="B34" s="10" t="s">
        <v>49</v>
      </c>
      <c r="C34" s="10" t="s">
        <v>50</v>
      </c>
      <c r="D34" s="10" t="s">
        <v>19</v>
      </c>
      <c r="E34" s="101">
        <v>4</v>
      </c>
      <c r="F34" s="133">
        <v>1</v>
      </c>
      <c r="G34" s="134">
        <v>1</v>
      </c>
      <c r="H34" s="12"/>
      <c r="I34" s="157"/>
    </row>
    <row r="35" spans="2:10" ht="31.5" customHeight="1">
      <c r="B35" s="18">
        <v>1</v>
      </c>
      <c r="C35" s="98" t="s">
        <v>52</v>
      </c>
      <c r="D35" s="32" t="s">
        <v>19</v>
      </c>
      <c r="E35" s="135">
        <v>0.7</v>
      </c>
      <c r="F35" s="136">
        <v>0.7</v>
      </c>
      <c r="G35" s="136">
        <v>0.7</v>
      </c>
      <c r="H35" s="21"/>
      <c r="I35" s="158"/>
    </row>
    <row r="36" spans="2:10" ht="45" customHeight="1">
      <c r="B36" s="18">
        <v>2</v>
      </c>
      <c r="C36" s="98" t="s">
        <v>53</v>
      </c>
      <c r="D36" s="32" t="s">
        <v>19</v>
      </c>
      <c r="E36" s="135">
        <v>0.3</v>
      </c>
      <c r="F36" s="136">
        <v>0.3</v>
      </c>
      <c r="G36" s="136">
        <v>0.3</v>
      </c>
      <c r="H36" s="21"/>
      <c r="I36" s="159"/>
    </row>
    <row r="37" spans="2:10" ht="22.2">
      <c r="B37" s="18"/>
      <c r="C37" s="31"/>
      <c r="D37" s="32"/>
      <c r="E37" s="103"/>
      <c r="F37" s="111"/>
      <c r="G37" s="123"/>
      <c r="H37" s="21"/>
      <c r="I37" s="17"/>
    </row>
    <row r="38" spans="2:10" ht="45.45" customHeight="1">
      <c r="B38" s="160" t="s">
        <v>54</v>
      </c>
      <c r="C38" s="161"/>
      <c r="D38" s="162"/>
      <c r="E38" s="160">
        <v>65</v>
      </c>
      <c r="F38" s="161"/>
      <c r="G38" s="161"/>
      <c r="H38" s="161"/>
      <c r="I38" s="162"/>
    </row>
    <row r="39" spans="2:10" ht="51" customHeight="1">
      <c r="B39" s="10" t="s">
        <v>55</v>
      </c>
      <c r="C39" s="55" t="s">
        <v>56</v>
      </c>
      <c r="D39" s="10" t="s">
        <v>145</v>
      </c>
      <c r="E39" s="145"/>
      <c r="F39" s="133"/>
      <c r="G39" s="134"/>
      <c r="H39" s="41"/>
      <c r="I39" s="157"/>
    </row>
    <row r="40" spans="2:10" ht="51" customHeight="1">
      <c r="B40" s="10"/>
      <c r="C40" s="95" t="s">
        <v>216</v>
      </c>
      <c r="D40" s="142" t="s">
        <v>145</v>
      </c>
      <c r="E40" s="150"/>
      <c r="F40" s="151"/>
      <c r="G40" s="152">
        <v>30000</v>
      </c>
      <c r="H40" s="41"/>
      <c r="I40" s="158"/>
    </row>
    <row r="41" spans="2:10" ht="64.05" customHeight="1">
      <c r="B41" s="19">
        <v>1</v>
      </c>
      <c r="C41" s="96" t="s">
        <v>209</v>
      </c>
      <c r="D41" s="32" t="s">
        <v>145</v>
      </c>
      <c r="E41" s="146"/>
      <c r="F41" s="136"/>
      <c r="G41" s="124">
        <v>2</v>
      </c>
      <c r="H41" s="21"/>
      <c r="I41" s="158"/>
      <c r="J41" s="2" t="s">
        <v>207</v>
      </c>
    </row>
    <row r="42" spans="2:10" ht="84.45" customHeight="1">
      <c r="B42" s="19">
        <v>2</v>
      </c>
      <c r="C42" s="96" t="s">
        <v>210</v>
      </c>
      <c r="D42" s="32" t="s">
        <v>145</v>
      </c>
      <c r="E42" s="146"/>
      <c r="F42" s="136"/>
      <c r="G42" s="124">
        <v>1</v>
      </c>
      <c r="H42" s="21"/>
      <c r="I42" s="158"/>
      <c r="J42" s="2" t="s">
        <v>208</v>
      </c>
    </row>
    <row r="43" spans="2:10" ht="43.05" customHeight="1">
      <c r="B43" s="19">
        <v>3</v>
      </c>
      <c r="C43" s="96" t="s">
        <v>211</v>
      </c>
      <c r="D43" s="32" t="s">
        <v>145</v>
      </c>
      <c r="E43" s="146"/>
      <c r="F43" s="136"/>
      <c r="G43" s="124">
        <v>2</v>
      </c>
      <c r="H43" s="21"/>
      <c r="I43" s="158"/>
    </row>
    <row r="44" spans="2:10" ht="91.05" customHeight="1">
      <c r="B44" s="19">
        <v>4</v>
      </c>
      <c r="C44" s="96" t="s">
        <v>213</v>
      </c>
      <c r="D44" s="32" t="s">
        <v>145</v>
      </c>
      <c r="E44" s="146"/>
      <c r="F44" s="136"/>
      <c r="G44" s="124">
        <v>8</v>
      </c>
      <c r="H44" s="21"/>
      <c r="I44" s="158"/>
    </row>
    <row r="45" spans="2:10" ht="68.55" customHeight="1">
      <c r="B45" s="142">
        <v>5</v>
      </c>
      <c r="C45" s="95" t="s">
        <v>212</v>
      </c>
      <c r="D45" s="32" t="s">
        <v>145</v>
      </c>
      <c r="E45" s="146"/>
      <c r="F45" s="136"/>
      <c r="G45" s="124"/>
      <c r="H45" s="21"/>
      <c r="I45" s="158"/>
    </row>
    <row r="46" spans="2:10" ht="87.6">
      <c r="B46" s="19"/>
      <c r="C46" s="31" t="s">
        <v>214</v>
      </c>
      <c r="D46" s="32"/>
      <c r="E46" s="103"/>
      <c r="F46" s="111"/>
      <c r="G46" s="124">
        <v>280</v>
      </c>
      <c r="H46" s="21"/>
      <c r="I46" s="17"/>
      <c r="J46" s="81" t="s">
        <v>215</v>
      </c>
    </row>
    <row r="47" spans="2:10" ht="44.4">
      <c r="B47" s="10" t="s">
        <v>66</v>
      </c>
      <c r="C47" s="55" t="s">
        <v>67</v>
      </c>
      <c r="D47" s="10" t="s">
        <v>19</v>
      </c>
      <c r="E47" s="101"/>
      <c r="F47" s="109"/>
      <c r="G47" s="120"/>
      <c r="H47" s="41"/>
      <c r="I47" s="157"/>
    </row>
    <row r="48" spans="2:10" ht="54" customHeight="1">
      <c r="B48" s="19">
        <v>1</v>
      </c>
      <c r="C48" s="98" t="s">
        <v>143</v>
      </c>
      <c r="D48" s="32" t="s">
        <v>19</v>
      </c>
      <c r="E48" s="103"/>
      <c r="F48" s="111"/>
      <c r="G48" s="124"/>
      <c r="H48" s="21"/>
      <c r="I48" s="158"/>
    </row>
    <row r="49" spans="2:10" ht="68.55" customHeight="1">
      <c r="B49" s="19">
        <v>2</v>
      </c>
      <c r="C49" s="98" t="s">
        <v>181</v>
      </c>
      <c r="D49" s="32" t="s">
        <v>145</v>
      </c>
      <c r="E49" s="103"/>
      <c r="F49" s="111"/>
      <c r="G49" s="124"/>
      <c r="H49" s="21"/>
      <c r="I49" s="158"/>
    </row>
    <row r="50" spans="2:10" ht="46.05" customHeight="1">
      <c r="B50" s="19">
        <v>3</v>
      </c>
      <c r="C50" s="98" t="s">
        <v>182</v>
      </c>
      <c r="D50" s="32" t="s">
        <v>145</v>
      </c>
      <c r="E50" s="103"/>
      <c r="F50" s="111"/>
      <c r="G50" s="124"/>
      <c r="H50" s="21"/>
      <c r="I50" s="158"/>
    </row>
    <row r="51" spans="2:10" ht="75" customHeight="1">
      <c r="B51" s="19">
        <v>4</v>
      </c>
      <c r="C51" s="99" t="s">
        <v>69</v>
      </c>
      <c r="D51" s="32" t="s">
        <v>145</v>
      </c>
      <c r="E51" s="103"/>
      <c r="F51" s="111"/>
      <c r="G51" s="124"/>
      <c r="H51" s="54"/>
      <c r="I51" s="158"/>
    </row>
    <row r="52" spans="2:10" ht="75" customHeight="1">
      <c r="B52" s="19">
        <v>5</v>
      </c>
      <c r="C52" s="99" t="s">
        <v>183</v>
      </c>
      <c r="D52" s="52" t="s">
        <v>145</v>
      </c>
      <c r="E52" s="104"/>
      <c r="F52" s="112"/>
      <c r="G52" s="124"/>
      <c r="H52" s="54"/>
      <c r="I52" s="158"/>
    </row>
    <row r="53" spans="2:10" ht="46.95" customHeight="1">
      <c r="B53" s="19">
        <v>6</v>
      </c>
      <c r="C53" s="99" t="s">
        <v>184</v>
      </c>
      <c r="D53" s="52" t="s">
        <v>145</v>
      </c>
      <c r="E53" s="104"/>
      <c r="F53" s="112"/>
      <c r="G53" s="124"/>
      <c r="H53" s="54"/>
      <c r="I53" s="159"/>
    </row>
    <row r="54" spans="2:10" ht="46.95" customHeight="1">
      <c r="B54" s="19"/>
      <c r="C54" s="51"/>
      <c r="D54" s="52"/>
      <c r="E54" s="104"/>
      <c r="F54" s="112"/>
      <c r="G54" s="124"/>
      <c r="H54" s="54"/>
      <c r="I54" s="49"/>
    </row>
    <row r="55" spans="2:10" ht="14.1" customHeight="1">
      <c r="B55" s="19"/>
      <c r="C55" s="51"/>
      <c r="D55" s="52"/>
      <c r="E55" s="104"/>
      <c r="F55" s="112"/>
      <c r="G55" s="124"/>
      <c r="H55" s="54"/>
      <c r="I55" s="19"/>
    </row>
    <row r="56" spans="2:10" ht="44.4">
      <c r="B56" s="10" t="s">
        <v>70</v>
      </c>
      <c r="C56" s="55" t="s">
        <v>71</v>
      </c>
      <c r="D56" s="10" t="s">
        <v>19</v>
      </c>
      <c r="E56" s="101"/>
      <c r="F56" s="109"/>
      <c r="G56" s="120"/>
      <c r="H56" s="41"/>
      <c r="I56" s="157"/>
    </row>
    <row r="57" spans="2:10" ht="46.05" customHeight="1">
      <c r="B57" s="19">
        <v>1</v>
      </c>
      <c r="C57" s="98" t="s">
        <v>149</v>
      </c>
      <c r="D57" s="32" t="s">
        <v>145</v>
      </c>
      <c r="E57" s="103"/>
      <c r="F57" s="111"/>
      <c r="G57" s="124"/>
      <c r="H57" s="41"/>
      <c r="I57" s="158"/>
    </row>
    <row r="58" spans="2:10" ht="43.95" customHeight="1">
      <c r="B58" s="19">
        <v>2</v>
      </c>
      <c r="C58" s="98" t="s">
        <v>150</v>
      </c>
      <c r="D58" s="32" t="s">
        <v>145</v>
      </c>
      <c r="E58" s="103"/>
      <c r="F58" s="111"/>
      <c r="G58" s="124"/>
      <c r="H58" s="21"/>
      <c r="I58" s="158"/>
    </row>
    <row r="59" spans="2:10" ht="70.5" customHeight="1">
      <c r="B59" s="19">
        <v>3</v>
      </c>
      <c r="C59" s="98" t="s">
        <v>185</v>
      </c>
      <c r="D59" s="32"/>
      <c r="E59" s="103"/>
      <c r="F59" s="111"/>
      <c r="G59" s="124"/>
      <c r="H59" s="21"/>
      <c r="I59" s="159"/>
    </row>
    <row r="60" spans="2:10" ht="22.2">
      <c r="B60" s="19"/>
      <c r="C60" s="57"/>
      <c r="D60" s="58"/>
      <c r="E60" s="105"/>
      <c r="F60" s="113"/>
      <c r="G60" s="124"/>
      <c r="H60" s="21"/>
      <c r="I60" s="19"/>
    </row>
    <row r="61" spans="2:10" ht="44.4">
      <c r="B61" s="10" t="s">
        <v>73</v>
      </c>
      <c r="C61" s="55" t="s">
        <v>74</v>
      </c>
      <c r="D61" s="10" t="s">
        <v>19</v>
      </c>
      <c r="E61" s="101"/>
      <c r="F61" s="109"/>
      <c r="G61" s="122"/>
      <c r="H61" s="41"/>
      <c r="I61" s="40"/>
    </row>
    <row r="62" spans="2:10" ht="80.55" customHeight="1">
      <c r="B62" s="19">
        <v>1</v>
      </c>
      <c r="C62" s="153" t="s">
        <v>221</v>
      </c>
      <c r="D62" s="52" t="s">
        <v>145</v>
      </c>
      <c r="E62" s="104"/>
      <c r="F62" s="112"/>
      <c r="G62" s="124">
        <v>100</v>
      </c>
      <c r="H62" s="54"/>
      <c r="I62" s="49"/>
    </row>
    <row r="63" spans="2:10" ht="76.95" customHeight="1">
      <c r="B63" s="19">
        <v>2</v>
      </c>
      <c r="C63" s="153" t="s">
        <v>217</v>
      </c>
      <c r="D63" s="52" t="s">
        <v>145</v>
      </c>
      <c r="E63" s="104"/>
      <c r="F63" s="112"/>
      <c r="G63" s="124">
        <v>2</v>
      </c>
      <c r="H63" s="54"/>
      <c r="I63" s="49"/>
    </row>
    <row r="64" spans="2:10" ht="76.5" customHeight="1">
      <c r="B64" s="19">
        <v>3</v>
      </c>
      <c r="C64" s="153" t="s">
        <v>218</v>
      </c>
      <c r="D64" s="52" t="s">
        <v>219</v>
      </c>
      <c r="E64" s="104"/>
      <c r="F64" s="112"/>
      <c r="G64" s="124">
        <v>20</v>
      </c>
      <c r="H64" s="54"/>
      <c r="I64" s="49"/>
      <c r="J64" s="2" t="s">
        <v>220</v>
      </c>
    </row>
    <row r="65" spans="2:9" ht="69.45" customHeight="1">
      <c r="B65" s="19">
        <v>4</v>
      </c>
      <c r="C65" s="153" t="s">
        <v>222</v>
      </c>
      <c r="D65" s="52" t="s">
        <v>145</v>
      </c>
      <c r="E65" s="104"/>
      <c r="F65" s="112"/>
      <c r="G65" s="124">
        <v>2</v>
      </c>
      <c r="H65" s="54"/>
      <c r="I65" s="49"/>
    </row>
    <row r="66" spans="2:9" ht="17.55" customHeight="1">
      <c r="B66" s="19"/>
      <c r="C66" s="60"/>
      <c r="D66" s="61"/>
      <c r="E66" s="106"/>
      <c r="F66" s="114"/>
      <c r="G66" s="124"/>
      <c r="H66" s="54"/>
      <c r="I66" s="17"/>
    </row>
    <row r="67" spans="2:9" ht="51" customHeight="1">
      <c r="B67" s="10" t="s">
        <v>77</v>
      </c>
      <c r="C67" s="55" t="s">
        <v>78</v>
      </c>
      <c r="D67" s="10" t="s">
        <v>19</v>
      </c>
      <c r="E67" s="101"/>
      <c r="F67" s="109"/>
      <c r="G67" s="120"/>
      <c r="H67" s="41"/>
      <c r="I67" s="157"/>
    </row>
    <row r="68" spans="2:9" ht="41.55" customHeight="1">
      <c r="B68" s="19">
        <v>1</v>
      </c>
      <c r="C68" s="98" t="s">
        <v>188</v>
      </c>
      <c r="D68" s="32" t="s">
        <v>19</v>
      </c>
      <c r="E68" s="103"/>
      <c r="F68" s="111"/>
      <c r="G68" s="124"/>
      <c r="H68" s="21"/>
      <c r="I68" s="158"/>
    </row>
    <row r="69" spans="2:9" ht="49.95" customHeight="1">
      <c r="B69" s="19">
        <v>2</v>
      </c>
      <c r="C69" s="98" t="s">
        <v>158</v>
      </c>
      <c r="D69" s="32" t="s">
        <v>19</v>
      </c>
      <c r="E69" s="103"/>
      <c r="F69" s="111"/>
      <c r="G69" s="124"/>
      <c r="H69" s="21"/>
      <c r="I69" s="158"/>
    </row>
    <row r="70" spans="2:9" ht="49.95" customHeight="1">
      <c r="B70" s="19">
        <v>3</v>
      </c>
      <c r="C70" s="99" t="s">
        <v>186</v>
      </c>
      <c r="D70" s="32" t="s">
        <v>19</v>
      </c>
      <c r="E70" s="103"/>
      <c r="F70" s="111"/>
      <c r="G70" s="124"/>
      <c r="H70" s="21"/>
      <c r="I70" s="158"/>
    </row>
    <row r="71" spans="2:9" ht="44.4">
      <c r="B71" s="19">
        <v>4</v>
      </c>
      <c r="C71" s="99" t="s">
        <v>187</v>
      </c>
      <c r="D71" s="52" t="s">
        <v>19</v>
      </c>
      <c r="E71" s="104"/>
      <c r="F71" s="112"/>
      <c r="G71" s="124"/>
      <c r="H71" s="54"/>
      <c r="I71" s="159"/>
    </row>
    <row r="72" spans="2:9" ht="22.2">
      <c r="B72" s="19"/>
      <c r="D72" s="52"/>
      <c r="E72" s="104"/>
      <c r="F72" s="112"/>
      <c r="G72" s="124"/>
      <c r="H72" s="54"/>
      <c r="I72" s="49"/>
    </row>
    <row r="73" spans="2:9" ht="22.2">
      <c r="B73" s="19"/>
      <c r="C73" s="60"/>
      <c r="D73" s="61"/>
      <c r="E73" s="106"/>
      <c r="F73" s="114"/>
      <c r="G73" s="124"/>
      <c r="H73" s="62"/>
      <c r="I73" s="19"/>
    </row>
    <row r="74" spans="2:9" ht="48" customHeight="1">
      <c r="B74" s="10" t="s">
        <v>80</v>
      </c>
      <c r="C74" s="55" t="s">
        <v>81</v>
      </c>
      <c r="D74" s="10" t="s">
        <v>19</v>
      </c>
      <c r="E74" s="101"/>
      <c r="F74" s="109">
        <v>55</v>
      </c>
      <c r="G74" s="120">
        <v>100</v>
      </c>
      <c r="H74" s="41"/>
      <c r="I74" s="157"/>
    </row>
    <row r="75" spans="2:9" ht="70.95" customHeight="1">
      <c r="B75" s="19">
        <v>1</v>
      </c>
      <c r="C75" s="143" t="s">
        <v>175</v>
      </c>
      <c r="D75" s="32" t="s">
        <v>19</v>
      </c>
      <c r="E75" s="135">
        <v>0.15</v>
      </c>
      <c r="F75" s="136">
        <v>0</v>
      </c>
      <c r="G75" s="130"/>
      <c r="H75" s="63"/>
      <c r="I75" s="158"/>
    </row>
    <row r="76" spans="2:9" ht="70.95" customHeight="1">
      <c r="B76" s="19">
        <v>2</v>
      </c>
      <c r="C76" s="143" t="s">
        <v>172</v>
      </c>
      <c r="D76" s="32" t="s">
        <v>19</v>
      </c>
      <c r="E76" s="135">
        <v>0.1</v>
      </c>
      <c r="F76" s="136">
        <v>0</v>
      </c>
      <c r="G76" s="130"/>
      <c r="H76" s="63"/>
      <c r="I76" s="158"/>
    </row>
    <row r="77" spans="2:9" ht="70.95" customHeight="1">
      <c r="B77" s="19">
        <v>3</v>
      </c>
      <c r="C77" s="143" t="s">
        <v>173</v>
      </c>
      <c r="D77" s="32" t="s">
        <v>19</v>
      </c>
      <c r="E77" s="135">
        <v>0.1</v>
      </c>
      <c r="F77" s="136"/>
      <c r="G77" s="130"/>
      <c r="H77" s="63"/>
      <c r="I77" s="158"/>
    </row>
    <row r="78" spans="2:9" ht="89.55" customHeight="1">
      <c r="B78" s="19">
        <v>4</v>
      </c>
      <c r="C78" s="143" t="s">
        <v>171</v>
      </c>
      <c r="D78" s="32" t="s">
        <v>19</v>
      </c>
      <c r="E78" s="135">
        <v>0.35</v>
      </c>
      <c r="F78" s="136">
        <v>0.25</v>
      </c>
      <c r="G78" s="130"/>
      <c r="H78" s="63"/>
      <c r="I78" s="158"/>
    </row>
    <row r="79" spans="2:9" ht="70.05" customHeight="1">
      <c r="B79" s="19">
        <v>5</v>
      </c>
      <c r="C79" s="143" t="s">
        <v>174</v>
      </c>
      <c r="D79" s="32" t="s">
        <v>19</v>
      </c>
      <c r="E79" s="135">
        <v>0.3</v>
      </c>
      <c r="F79" s="136">
        <v>0.3</v>
      </c>
      <c r="G79" s="130"/>
      <c r="H79" s="63"/>
      <c r="I79" s="159"/>
    </row>
    <row r="80" spans="2:9" ht="70.05" customHeight="1">
      <c r="B80" s="19"/>
      <c r="C80" s="31"/>
      <c r="D80" s="32"/>
      <c r="E80" s="103"/>
      <c r="F80" s="111"/>
      <c r="G80" s="124"/>
      <c r="H80" s="63"/>
      <c r="I80" s="49"/>
    </row>
    <row r="81" spans="2:9" ht="22.2">
      <c r="B81" s="19"/>
      <c r="C81" s="57"/>
      <c r="D81" s="58"/>
      <c r="E81" s="105"/>
      <c r="F81" s="113"/>
      <c r="G81" s="124"/>
      <c r="H81" s="21"/>
      <c r="I81" s="19"/>
    </row>
    <row r="82" spans="2:9" ht="44.4">
      <c r="B82" s="10" t="s">
        <v>86</v>
      </c>
      <c r="C82" s="55" t="s">
        <v>87</v>
      </c>
      <c r="D82" s="10" t="s">
        <v>19</v>
      </c>
      <c r="E82" s="101"/>
      <c r="F82" s="109"/>
      <c r="G82" s="120">
        <v>100</v>
      </c>
      <c r="H82" s="41"/>
      <c r="I82" s="157"/>
    </row>
    <row r="83" spans="2:9" ht="22.2">
      <c r="B83" s="19">
        <v>1</v>
      </c>
      <c r="C83" s="95" t="s">
        <v>88</v>
      </c>
      <c r="D83" s="32" t="s">
        <v>19</v>
      </c>
      <c r="E83" s="103"/>
      <c r="F83" s="111"/>
      <c r="G83" s="123"/>
      <c r="H83" s="41"/>
      <c r="I83" s="159"/>
    </row>
    <row r="84" spans="2:9" ht="22.2">
      <c r="B84" s="18"/>
      <c r="C84" s="19"/>
      <c r="D84" s="19"/>
      <c r="E84" s="102"/>
      <c r="F84" s="110"/>
      <c r="G84" s="124"/>
      <c r="H84" s="41"/>
      <c r="I84" s="19"/>
    </row>
    <row r="85" spans="2:9" ht="44.4">
      <c r="B85" s="10" t="s">
        <v>89</v>
      </c>
      <c r="C85" s="55" t="s">
        <v>90</v>
      </c>
      <c r="D85" s="10" t="s">
        <v>19</v>
      </c>
      <c r="E85" s="101">
        <v>2</v>
      </c>
      <c r="F85" s="109"/>
      <c r="G85" s="120">
        <v>100</v>
      </c>
      <c r="H85" s="41"/>
      <c r="I85" s="157"/>
    </row>
    <row r="86" spans="2:9" ht="46.05" customHeight="1">
      <c r="B86" s="18">
        <v>1</v>
      </c>
      <c r="C86" s="98" t="s">
        <v>92</v>
      </c>
      <c r="D86" s="32" t="s">
        <v>19</v>
      </c>
      <c r="E86" s="135">
        <v>0.45</v>
      </c>
      <c r="F86" s="111"/>
      <c r="G86" s="123"/>
      <c r="H86" s="21"/>
      <c r="I86" s="158"/>
    </row>
    <row r="87" spans="2:9" ht="43.95" customHeight="1">
      <c r="B87" s="19">
        <v>2</v>
      </c>
      <c r="C87" s="98" t="s">
        <v>189</v>
      </c>
      <c r="D87" s="32" t="s">
        <v>19</v>
      </c>
      <c r="E87" s="135">
        <v>0.55000000000000004</v>
      </c>
      <c r="F87" s="111"/>
      <c r="G87" s="123"/>
      <c r="H87" s="41"/>
      <c r="I87" s="159"/>
    </row>
    <row r="88" spans="2:9" ht="22.2">
      <c r="B88" s="19"/>
      <c r="C88" s="19"/>
      <c r="D88" s="19"/>
      <c r="E88" s="102"/>
      <c r="F88" s="110"/>
      <c r="G88" s="124"/>
      <c r="H88" s="41"/>
      <c r="I88" s="19"/>
    </row>
    <row r="89" spans="2:9" ht="44.4">
      <c r="B89" s="10" t="s">
        <v>94</v>
      </c>
      <c r="C89" s="55" t="s">
        <v>95</v>
      </c>
      <c r="D89" s="10" t="s">
        <v>96</v>
      </c>
      <c r="E89" s="101">
        <v>3</v>
      </c>
      <c r="F89" s="109"/>
      <c r="G89" s="120">
        <v>2</v>
      </c>
      <c r="H89" s="41"/>
      <c r="I89" s="157"/>
    </row>
    <row r="90" spans="2:9" ht="22.2">
      <c r="B90" s="19">
        <v>1</v>
      </c>
      <c r="C90" s="19" t="s">
        <v>98</v>
      </c>
      <c r="D90" s="142" t="s">
        <v>99</v>
      </c>
      <c r="E90" s="102"/>
      <c r="F90" s="110"/>
      <c r="G90" s="124"/>
      <c r="H90" s="41"/>
      <c r="I90" s="159"/>
    </row>
    <row r="91" spans="2:9" ht="22.2">
      <c r="B91" s="19"/>
      <c r="C91" s="19"/>
      <c r="D91" s="19"/>
      <c r="E91" s="102"/>
      <c r="F91" s="110"/>
      <c r="G91" s="124"/>
      <c r="H91" s="41"/>
      <c r="I91" s="65"/>
    </row>
    <row r="92" spans="2:9" ht="22.05" customHeight="1">
      <c r="B92" s="160" t="s">
        <v>100</v>
      </c>
      <c r="C92" s="161"/>
      <c r="D92" s="162"/>
      <c r="E92" s="160">
        <v>2</v>
      </c>
      <c r="F92" s="161"/>
      <c r="G92" s="161"/>
      <c r="H92" s="161"/>
      <c r="I92" s="162"/>
    </row>
    <row r="93" spans="2:9" ht="22.2">
      <c r="B93" s="10" t="s">
        <v>101</v>
      </c>
      <c r="C93" s="10" t="s">
        <v>102</v>
      </c>
      <c r="D93" s="10" t="s">
        <v>19</v>
      </c>
      <c r="E93" s="101"/>
      <c r="F93" s="109"/>
      <c r="G93" s="120">
        <v>100</v>
      </c>
      <c r="H93" s="12"/>
      <c r="I93" s="157"/>
    </row>
    <row r="94" spans="2:9" ht="22.2">
      <c r="B94" s="10" t="s">
        <v>194</v>
      </c>
      <c r="C94" s="10" t="s">
        <v>190</v>
      </c>
      <c r="D94" s="10"/>
      <c r="E94" s="101"/>
      <c r="F94" s="109"/>
      <c r="G94" s="120"/>
      <c r="H94" s="12"/>
      <c r="I94" s="158"/>
    </row>
    <row r="95" spans="2:9" ht="39" customHeight="1">
      <c r="B95" s="19">
        <v>1</v>
      </c>
      <c r="C95" s="98" t="s">
        <v>191</v>
      </c>
      <c r="D95" s="32" t="s">
        <v>19</v>
      </c>
      <c r="E95" s="135">
        <v>0.7</v>
      </c>
      <c r="F95" s="111"/>
      <c r="G95" s="124"/>
      <c r="H95" s="21"/>
      <c r="I95" s="164"/>
    </row>
    <row r="96" spans="2:9" ht="51" customHeight="1">
      <c r="B96" s="19">
        <v>2</v>
      </c>
      <c r="C96" s="98" t="s">
        <v>192</v>
      </c>
      <c r="D96" s="32"/>
      <c r="E96" s="135">
        <v>0.3</v>
      </c>
      <c r="F96" s="111"/>
      <c r="G96" s="124"/>
      <c r="H96" s="21"/>
      <c r="I96" s="66"/>
    </row>
    <row r="97" spans="2:9" ht="26.55" customHeight="1">
      <c r="B97" s="10" t="s">
        <v>195</v>
      </c>
      <c r="C97" s="55" t="s">
        <v>193</v>
      </c>
      <c r="D97" s="32"/>
      <c r="E97" s="103"/>
      <c r="F97" s="111"/>
      <c r="G97" s="124"/>
      <c r="H97" s="21"/>
      <c r="I97" s="66"/>
    </row>
    <row r="98" spans="2:9" ht="51" customHeight="1">
      <c r="B98" s="19">
        <v>1</v>
      </c>
      <c r="C98" s="98" t="s">
        <v>198</v>
      </c>
      <c r="D98" s="32"/>
      <c r="E98" s="135">
        <v>0.1</v>
      </c>
      <c r="F98" s="111"/>
      <c r="G98" s="124"/>
      <c r="H98" s="21"/>
      <c r="I98" s="66"/>
    </row>
    <row r="99" spans="2:9" ht="51" customHeight="1">
      <c r="B99" s="19">
        <v>2</v>
      </c>
      <c r="C99" s="98" t="s">
        <v>197</v>
      </c>
      <c r="D99" s="32"/>
      <c r="E99" s="135">
        <v>0.1</v>
      </c>
      <c r="F99" s="111"/>
      <c r="G99" s="124"/>
      <c r="H99" s="21"/>
      <c r="I99" s="66"/>
    </row>
    <row r="100" spans="2:9" ht="51" customHeight="1">
      <c r="B100" s="19">
        <v>3</v>
      </c>
      <c r="C100" s="98" t="s">
        <v>196</v>
      </c>
      <c r="D100" s="32"/>
      <c r="E100" s="135">
        <v>0.8</v>
      </c>
      <c r="F100" s="111"/>
      <c r="G100" s="124"/>
      <c r="H100" s="21"/>
      <c r="I100" s="66"/>
    </row>
    <row r="101" spans="2:9" ht="51" customHeight="1">
      <c r="B101" s="19"/>
      <c r="C101" s="31"/>
      <c r="D101" s="32"/>
      <c r="E101" s="103"/>
      <c r="F101" s="111"/>
      <c r="G101" s="124"/>
      <c r="H101" s="21"/>
      <c r="I101" s="66"/>
    </row>
    <row r="102" spans="2:9" ht="22.2">
      <c r="B102" s="19"/>
      <c r="C102" s="19"/>
      <c r="D102" s="19"/>
      <c r="E102" s="102"/>
      <c r="F102" s="110"/>
      <c r="G102" s="124"/>
      <c r="H102" s="41"/>
      <c r="I102" s="19"/>
    </row>
    <row r="103" spans="2:9" ht="22.05" customHeight="1">
      <c r="B103" s="160" t="s">
        <v>105</v>
      </c>
      <c r="C103" s="161"/>
      <c r="D103" s="162"/>
      <c r="E103" s="160">
        <v>4</v>
      </c>
      <c r="F103" s="161"/>
      <c r="G103" s="161"/>
      <c r="H103" s="161"/>
      <c r="I103" s="162"/>
    </row>
    <row r="104" spans="2:9" ht="22.2">
      <c r="B104" s="10" t="s">
        <v>106</v>
      </c>
      <c r="C104" s="10" t="s">
        <v>107</v>
      </c>
      <c r="D104" s="10" t="s">
        <v>22</v>
      </c>
      <c r="E104" s="101"/>
      <c r="F104" s="109"/>
      <c r="G104" s="120">
        <v>117765683.40000001</v>
      </c>
      <c r="H104" s="12"/>
      <c r="I104" s="165"/>
    </row>
    <row r="105" spans="2:9" s="71" customFormat="1" ht="97.5" customHeight="1">
      <c r="B105" s="19">
        <v>1</v>
      </c>
      <c r="C105" s="147" t="s">
        <v>109</v>
      </c>
      <c r="D105" s="52" t="s">
        <v>22</v>
      </c>
      <c r="E105" s="104"/>
      <c r="F105" s="112"/>
      <c r="G105" s="127"/>
      <c r="H105" s="54"/>
      <c r="I105" s="165"/>
    </row>
    <row r="106" spans="2:9" s="71" customFormat="1" ht="75" customHeight="1">
      <c r="B106" s="18">
        <v>2</v>
      </c>
      <c r="C106" s="147" t="s">
        <v>110</v>
      </c>
      <c r="D106" s="52" t="s">
        <v>22</v>
      </c>
      <c r="E106" s="104"/>
      <c r="F106" s="112"/>
      <c r="G106" s="126"/>
      <c r="H106" s="54"/>
      <c r="I106" s="165"/>
    </row>
    <row r="107" spans="2:9" ht="22.2">
      <c r="B107" s="18"/>
      <c r="C107" s="19"/>
      <c r="D107" s="32"/>
      <c r="E107" s="103"/>
      <c r="F107" s="111"/>
      <c r="G107" s="123"/>
      <c r="H107" s="21"/>
      <c r="I107" s="165"/>
    </row>
    <row r="108" spans="2:9" ht="54" customHeight="1">
      <c r="B108" s="10" t="s">
        <v>111</v>
      </c>
      <c r="C108" s="10" t="s">
        <v>112</v>
      </c>
      <c r="D108" s="10" t="s">
        <v>22</v>
      </c>
      <c r="E108" s="101"/>
      <c r="F108" s="109"/>
      <c r="G108" s="120"/>
      <c r="H108" s="12"/>
      <c r="I108" s="165"/>
    </row>
    <row r="109" spans="2:9" s="71" customFormat="1" ht="79.95" customHeight="1">
      <c r="B109" s="18">
        <v>1</v>
      </c>
      <c r="C109" s="147" t="s">
        <v>113</v>
      </c>
      <c r="D109" s="52" t="s">
        <v>22</v>
      </c>
      <c r="E109" s="104"/>
      <c r="F109" s="112"/>
      <c r="G109" s="127"/>
      <c r="H109" s="54"/>
      <c r="I109" s="165"/>
    </row>
    <row r="110" spans="2:9" s="71" customFormat="1" ht="16.05" customHeight="1">
      <c r="B110" s="18"/>
      <c r="C110" s="19"/>
      <c r="D110" s="52"/>
      <c r="E110" s="104"/>
      <c r="F110" s="112"/>
      <c r="G110" s="127"/>
      <c r="H110" s="54"/>
      <c r="I110" s="19"/>
    </row>
    <row r="111" spans="2:9" ht="22.05" customHeight="1">
      <c r="B111" s="160" t="s">
        <v>114</v>
      </c>
      <c r="C111" s="161"/>
      <c r="D111" s="162"/>
      <c r="E111" s="160">
        <v>4</v>
      </c>
      <c r="F111" s="161"/>
      <c r="G111" s="161"/>
      <c r="H111" s="161"/>
      <c r="I111" s="162"/>
    </row>
    <row r="112" spans="2:9" ht="22.2">
      <c r="B112" s="10" t="s">
        <v>115</v>
      </c>
      <c r="C112" s="10" t="s">
        <v>116</v>
      </c>
      <c r="D112" s="10" t="s">
        <v>19</v>
      </c>
      <c r="E112" s="101"/>
      <c r="F112" s="109"/>
      <c r="G112" s="120">
        <v>100</v>
      </c>
      <c r="H112" s="12"/>
      <c r="I112" s="157"/>
    </row>
    <row r="113" spans="2:10" ht="22.2">
      <c r="B113" s="18">
        <v>1</v>
      </c>
      <c r="C113" s="98" t="s">
        <v>118</v>
      </c>
      <c r="D113" s="32" t="s">
        <v>19</v>
      </c>
      <c r="E113" s="135">
        <v>0.3</v>
      </c>
      <c r="F113" s="111"/>
      <c r="G113" s="124"/>
      <c r="H113" s="21"/>
      <c r="I113" s="158"/>
    </row>
    <row r="114" spans="2:10" ht="22.2">
      <c r="B114" s="18">
        <v>2</v>
      </c>
      <c r="C114" s="98" t="s">
        <v>119</v>
      </c>
      <c r="D114" s="32" t="s">
        <v>19</v>
      </c>
      <c r="E114" s="135">
        <v>0.3</v>
      </c>
      <c r="F114" s="111"/>
      <c r="G114" s="124"/>
      <c r="H114" s="21"/>
      <c r="I114" s="158"/>
    </row>
    <row r="115" spans="2:10" ht="22.2">
      <c r="B115" s="18">
        <v>3</v>
      </c>
      <c r="C115" s="98" t="s">
        <v>120</v>
      </c>
      <c r="D115" s="32" t="s">
        <v>19</v>
      </c>
      <c r="E115" s="135">
        <v>0.4</v>
      </c>
      <c r="F115" s="111"/>
      <c r="G115" s="124"/>
      <c r="H115" s="21"/>
      <c r="I115" s="159"/>
    </row>
    <row r="116" spans="2:10" ht="22.2">
      <c r="B116" s="18"/>
      <c r="C116" s="31"/>
      <c r="D116" s="32"/>
      <c r="E116" s="103"/>
      <c r="F116" s="111"/>
      <c r="G116" s="124"/>
      <c r="H116" s="21"/>
      <c r="I116" s="65"/>
    </row>
    <row r="117" spans="2:10" ht="44.4">
      <c r="B117" s="10" t="s">
        <v>121</v>
      </c>
      <c r="C117" s="10" t="s">
        <v>122</v>
      </c>
      <c r="D117" s="10" t="s">
        <v>123</v>
      </c>
      <c r="E117" s="101"/>
      <c r="F117" s="109"/>
      <c r="G117" s="120">
        <v>95</v>
      </c>
      <c r="H117" s="12"/>
      <c r="I117" s="157"/>
      <c r="J117" s="2" t="s">
        <v>199</v>
      </c>
    </row>
    <row r="118" spans="2:10" ht="22.2">
      <c r="B118" s="18">
        <v>1</v>
      </c>
      <c r="C118" s="19" t="s">
        <v>125</v>
      </c>
      <c r="D118" s="142" t="s">
        <v>123</v>
      </c>
      <c r="E118" s="102"/>
      <c r="F118" s="110"/>
      <c r="G118" s="124"/>
      <c r="H118" s="21"/>
      <c r="I118" s="158"/>
    </row>
    <row r="119" spans="2:10" ht="22.2">
      <c r="B119" s="19">
        <v>2</v>
      </c>
      <c r="C119" s="19" t="s">
        <v>126</v>
      </c>
      <c r="D119" s="142" t="s">
        <v>123</v>
      </c>
      <c r="E119" s="102"/>
      <c r="F119" s="110"/>
      <c r="G119" s="124"/>
      <c r="H119" s="21"/>
      <c r="I119" s="158"/>
    </row>
    <row r="120" spans="2:10" ht="22.2">
      <c r="B120" s="19"/>
      <c r="C120" s="19"/>
      <c r="D120" s="19"/>
      <c r="E120" s="102"/>
      <c r="F120" s="110"/>
      <c r="G120" s="124"/>
      <c r="H120" s="21"/>
      <c r="I120" s="19"/>
    </row>
    <row r="121" spans="2:10" ht="19.05" customHeight="1">
      <c r="B121" s="10" t="s">
        <v>127</v>
      </c>
      <c r="C121" s="10" t="s">
        <v>128</v>
      </c>
      <c r="D121" s="10" t="s">
        <v>19</v>
      </c>
      <c r="E121" s="101"/>
      <c r="F121" s="109"/>
      <c r="G121" s="120">
        <v>100</v>
      </c>
      <c r="H121" s="12"/>
      <c r="I121" s="157"/>
    </row>
    <row r="122" spans="2:10" ht="55.95" customHeight="1">
      <c r="B122" s="19">
        <v>1</v>
      </c>
      <c r="C122" s="98" t="s">
        <v>200</v>
      </c>
      <c r="D122" s="32" t="s">
        <v>19</v>
      </c>
      <c r="E122" s="148">
        <v>0.2</v>
      </c>
      <c r="F122" s="111"/>
      <c r="G122" s="124"/>
      <c r="H122" s="21"/>
      <c r="I122" s="158"/>
    </row>
    <row r="123" spans="2:10" ht="75" customHeight="1">
      <c r="B123" s="19">
        <v>2</v>
      </c>
      <c r="C123" s="98" t="s">
        <v>201</v>
      </c>
      <c r="D123" s="32" t="s">
        <v>19</v>
      </c>
      <c r="E123" s="148">
        <v>0.1</v>
      </c>
      <c r="F123" s="111"/>
      <c r="G123" s="124"/>
      <c r="H123" s="21"/>
      <c r="I123" s="158"/>
    </row>
    <row r="124" spans="2:10" ht="72.45" customHeight="1">
      <c r="B124" s="19">
        <v>3</v>
      </c>
      <c r="C124" s="98" t="s">
        <v>202</v>
      </c>
      <c r="D124" s="32" t="s">
        <v>19</v>
      </c>
      <c r="E124" s="148">
        <v>0.3</v>
      </c>
      <c r="F124" s="111"/>
      <c r="G124" s="124"/>
      <c r="H124" s="21"/>
      <c r="I124" s="158"/>
    </row>
    <row r="125" spans="2:10" ht="244.2">
      <c r="B125" s="19">
        <v>4</v>
      </c>
      <c r="C125" s="147" t="s">
        <v>203</v>
      </c>
      <c r="D125" s="19" t="s">
        <v>19</v>
      </c>
      <c r="E125" s="129">
        <v>0.5</v>
      </c>
      <c r="F125" s="110"/>
      <c r="G125" s="124"/>
      <c r="H125" s="41"/>
      <c r="I125" s="159"/>
    </row>
    <row r="126" spans="2:10" ht="22.2">
      <c r="B126" s="19"/>
      <c r="C126" s="19"/>
      <c r="D126" s="19"/>
      <c r="E126" s="102"/>
      <c r="F126" s="110"/>
      <c r="G126" s="124"/>
      <c r="H126" s="41"/>
      <c r="I126" s="19"/>
    </row>
    <row r="127" spans="2:10" ht="46.5" customHeight="1">
      <c r="B127" s="10" t="s">
        <v>133</v>
      </c>
      <c r="C127" s="10" t="s">
        <v>134</v>
      </c>
      <c r="D127" s="10" t="s">
        <v>19</v>
      </c>
      <c r="E127" s="101"/>
      <c r="F127" s="109"/>
      <c r="G127" s="120"/>
      <c r="H127" s="12"/>
      <c r="I127" s="157"/>
    </row>
    <row r="128" spans="2:10" s="71" customFormat="1" ht="409.05" customHeight="1">
      <c r="B128" s="61">
        <v>1</v>
      </c>
      <c r="C128" s="99" t="s">
        <v>205</v>
      </c>
      <c r="D128" s="61" t="s">
        <v>19</v>
      </c>
      <c r="E128" s="149">
        <v>0.4</v>
      </c>
      <c r="F128" s="114"/>
      <c r="G128" s="126"/>
      <c r="H128" s="76"/>
      <c r="I128" s="163"/>
    </row>
    <row r="129" spans="2:9" ht="73.05" customHeight="1">
      <c r="B129" s="19">
        <v>2</v>
      </c>
      <c r="C129" s="99" t="s">
        <v>204</v>
      </c>
      <c r="D129" s="19" t="s">
        <v>19</v>
      </c>
      <c r="E129" s="129">
        <v>0.6</v>
      </c>
      <c r="F129" s="110"/>
      <c r="G129" s="124"/>
      <c r="H129" s="41"/>
      <c r="I129" s="164"/>
    </row>
    <row r="130" spans="2:9" ht="19.05" customHeight="1">
      <c r="B130" s="19"/>
      <c r="C130" s="51"/>
      <c r="D130" s="19"/>
      <c r="E130" s="102"/>
      <c r="F130" s="110"/>
      <c r="G130" s="124"/>
      <c r="H130" s="41"/>
      <c r="I130" s="66"/>
    </row>
    <row r="131" spans="2:9" ht="41.55" customHeight="1">
      <c r="B131" s="19"/>
      <c r="C131" s="19"/>
      <c r="D131" s="19"/>
      <c r="E131" s="102"/>
      <c r="F131" s="110"/>
      <c r="G131" s="124"/>
      <c r="H131" s="41"/>
      <c r="I131" s="65"/>
    </row>
    <row r="132" spans="2:9">
      <c r="B132" s="71"/>
    </row>
    <row r="133" spans="2:9">
      <c r="B133" s="71"/>
    </row>
    <row r="134" spans="2:9">
      <c r="B134" s="71"/>
    </row>
    <row r="135" spans="2:9">
      <c r="B135" s="71"/>
    </row>
  </sheetData>
  <mergeCells count="31">
    <mergeCell ref="I121:I125"/>
    <mergeCell ref="I127:I129"/>
    <mergeCell ref="E3:I3"/>
    <mergeCell ref="B3:D3"/>
    <mergeCell ref="B16:D16"/>
    <mergeCell ref="E16:I16"/>
    <mergeCell ref="B38:D38"/>
    <mergeCell ref="I93:I95"/>
    <mergeCell ref="I104:I109"/>
    <mergeCell ref="I112:I115"/>
    <mergeCell ref="I117:I119"/>
    <mergeCell ref="B103:D103"/>
    <mergeCell ref="E103:I103"/>
    <mergeCell ref="B111:D111"/>
    <mergeCell ref="E111:I111"/>
    <mergeCell ref="I67:I71"/>
    <mergeCell ref="I82:I83"/>
    <mergeCell ref="I85:I87"/>
    <mergeCell ref="I89:I90"/>
    <mergeCell ref="B92:D92"/>
    <mergeCell ref="E92:I92"/>
    <mergeCell ref="I39:I45"/>
    <mergeCell ref="I47:I53"/>
    <mergeCell ref="I56:I59"/>
    <mergeCell ref="E38:I38"/>
    <mergeCell ref="I74:I79"/>
    <mergeCell ref="B1:H1"/>
    <mergeCell ref="I4:I14"/>
    <mergeCell ref="I17:I21"/>
    <mergeCell ref="I29:I32"/>
    <mergeCell ref="I34:I3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P126"/>
  <sheetViews>
    <sheetView topLeftCell="A28" zoomScale="91" workbookViewId="0">
      <selection activeCell="C37" sqref="C37"/>
    </sheetView>
  </sheetViews>
  <sheetFormatPr defaultColWidth="8.69921875" defaultRowHeight="17.399999999999999"/>
  <cols>
    <col min="1" max="1" width="8.69921875" style="2"/>
    <col min="2" max="2" width="9.19921875" style="2" bestFit="1" customWidth="1"/>
    <col min="3" max="3" width="80" style="81" customWidth="1"/>
    <col min="4" max="4" width="14" style="2" customWidth="1"/>
    <col min="5" max="5" width="33.296875" style="82" customWidth="1"/>
    <col min="6" max="6" width="17.5" style="83" customWidth="1"/>
    <col min="7" max="7" width="31.296875" style="2" customWidth="1"/>
    <col min="8" max="8" width="31.59765625" style="84" customWidth="1"/>
    <col min="9" max="9" width="12.296875" style="2" customWidth="1"/>
    <col min="10" max="10" width="14.69921875" style="2" bestFit="1" customWidth="1"/>
    <col min="11" max="11" width="33.5" style="85" customWidth="1"/>
    <col min="12" max="12" width="33.796875" style="85" customWidth="1"/>
    <col min="13" max="13" width="20.296875" style="86" customWidth="1"/>
    <col min="14" max="14" width="15.5" style="2" customWidth="1"/>
    <col min="15" max="15" width="14.69921875" style="2" customWidth="1"/>
    <col min="16" max="16" width="14.09765625" style="2" customWidth="1"/>
    <col min="17" max="16384" width="8.69921875" style="2"/>
  </cols>
  <sheetData>
    <row r="1" spans="2:16" ht="172.5" customHeight="1">
      <c r="B1" s="154" t="s">
        <v>0</v>
      </c>
      <c r="C1" s="155"/>
      <c r="D1" s="155"/>
      <c r="E1" s="155"/>
      <c r="F1" s="155"/>
      <c r="G1" s="155"/>
      <c r="H1" s="155"/>
      <c r="I1" s="155"/>
      <c r="J1" s="155"/>
      <c r="K1" s="155"/>
      <c r="L1" s="155"/>
      <c r="M1" s="155"/>
      <c r="N1" s="155"/>
      <c r="O1" s="166"/>
      <c r="P1" s="1"/>
    </row>
    <row r="2" spans="2:16" ht="66.599999999999994">
      <c r="B2" s="3" t="s">
        <v>1</v>
      </c>
      <c r="C2" s="3" t="s">
        <v>2</v>
      </c>
      <c r="D2" s="3" t="s">
        <v>3</v>
      </c>
      <c r="E2" s="4" t="s">
        <v>4</v>
      </c>
      <c r="F2" s="5" t="s">
        <v>5</v>
      </c>
      <c r="G2" s="3" t="s">
        <v>6</v>
      </c>
      <c r="H2" s="6" t="s">
        <v>7</v>
      </c>
      <c r="I2" s="3" t="s">
        <v>8</v>
      </c>
      <c r="J2" s="3" t="s">
        <v>9</v>
      </c>
      <c r="K2" s="7" t="s">
        <v>10</v>
      </c>
      <c r="L2" s="7" t="s">
        <v>11</v>
      </c>
      <c r="M2" s="8" t="s">
        <v>12</v>
      </c>
      <c r="N2" s="9" t="s">
        <v>13</v>
      </c>
      <c r="O2" s="3" t="s">
        <v>14</v>
      </c>
      <c r="P2" s="3" t="s">
        <v>15</v>
      </c>
    </row>
    <row r="3" spans="2:16" ht="22.2">
      <c r="B3" s="167" t="s">
        <v>16</v>
      </c>
      <c r="C3" s="167"/>
      <c r="D3" s="167"/>
      <c r="E3" s="167"/>
      <c r="F3" s="167"/>
      <c r="G3" s="167"/>
      <c r="H3" s="167"/>
      <c r="I3" s="167"/>
      <c r="J3" s="167"/>
      <c r="K3" s="167"/>
      <c r="L3" s="167"/>
      <c r="M3" s="167"/>
      <c r="N3" s="167"/>
      <c r="O3" s="167"/>
      <c r="P3" s="167"/>
    </row>
    <row r="4" spans="2:16" ht="21.45" customHeight="1">
      <c r="B4" s="10" t="s">
        <v>17</v>
      </c>
      <c r="C4" s="10" t="s">
        <v>18</v>
      </c>
      <c r="D4" s="10" t="s">
        <v>19</v>
      </c>
      <c r="E4" s="11">
        <v>100</v>
      </c>
      <c r="F4" s="12"/>
      <c r="G4" s="13">
        <f>((G5+G6)/(E5+E6))*100</f>
        <v>33.419463106877892</v>
      </c>
      <c r="H4" s="14">
        <f>((H5+H6)/(E5+E6))*100</f>
        <v>33.419463106877892</v>
      </c>
      <c r="I4" s="13">
        <f>((I5+I6)/(E5+E6))*100</f>
        <v>0</v>
      </c>
      <c r="J4" s="13">
        <f>((J5+J6)/(E5+E6))*100</f>
        <v>0</v>
      </c>
      <c r="K4" s="15">
        <f>E4-(SUM(G4:J4))</f>
        <v>33.161073786244216</v>
      </c>
      <c r="L4" s="15">
        <f>E4-K4</f>
        <v>66.838926213755784</v>
      </c>
      <c r="M4" s="16">
        <f>(L4/E4)</f>
        <v>0.66838926213755778</v>
      </c>
      <c r="N4" s="10"/>
      <c r="O4" s="10"/>
      <c r="P4" s="156" t="s">
        <v>20</v>
      </c>
    </row>
    <row r="5" spans="2:16" ht="22.5" customHeight="1">
      <c r="B5" s="18">
        <v>1</v>
      </c>
      <c r="C5" s="19" t="s">
        <v>21</v>
      </c>
      <c r="D5" s="19" t="s">
        <v>22</v>
      </c>
      <c r="E5" s="20">
        <v>580400550</v>
      </c>
      <c r="F5" s="21" t="s">
        <v>23</v>
      </c>
      <c r="G5" s="22">
        <v>144225137</v>
      </c>
      <c r="H5" s="23">
        <v>144225137</v>
      </c>
      <c r="I5" s="18"/>
      <c r="J5" s="22"/>
      <c r="K5" s="24">
        <f>E5-(SUM(G5:J5))</f>
        <v>291950276</v>
      </c>
      <c r="L5" s="25">
        <f>E5-K5</f>
        <v>288450274</v>
      </c>
      <c r="M5" s="26">
        <f>(L5/E5)</f>
        <v>0.49698483917701319</v>
      </c>
      <c r="N5" s="19"/>
      <c r="O5" s="19"/>
      <c r="P5" s="156"/>
    </row>
    <row r="6" spans="2:16" ht="24.45" customHeight="1">
      <c r="B6" s="18">
        <v>2</v>
      </c>
      <c r="C6" s="19" t="s">
        <v>24</v>
      </c>
      <c r="D6" s="19" t="s">
        <v>22</v>
      </c>
      <c r="E6" s="20">
        <v>300000000</v>
      </c>
      <c r="F6" s="21" t="s">
        <v>23</v>
      </c>
      <c r="G6" s="22">
        <v>150000000</v>
      </c>
      <c r="H6" s="27">
        <v>150000000</v>
      </c>
      <c r="I6" s="18"/>
      <c r="J6" s="22"/>
      <c r="K6" s="24">
        <f t="shared" ref="K6:K14" si="0">E6-(SUM(G6:J6))</f>
        <v>0</v>
      </c>
      <c r="L6" s="25">
        <f t="shared" ref="L6:L14" si="1">E6-K6</f>
        <v>300000000</v>
      </c>
      <c r="M6" s="26">
        <f>(L6/E6)</f>
        <v>1</v>
      </c>
      <c r="N6" s="19"/>
      <c r="O6" s="19"/>
      <c r="P6" s="156"/>
    </row>
    <row r="7" spans="2:16" ht="22.2">
      <c r="B7" s="18"/>
      <c r="C7" s="19"/>
      <c r="D7" s="19"/>
      <c r="E7" s="20"/>
      <c r="F7" s="21"/>
      <c r="G7" s="22"/>
      <c r="H7" s="23"/>
      <c r="I7" s="18"/>
      <c r="J7" s="22"/>
      <c r="K7" s="24"/>
      <c r="L7" s="25"/>
      <c r="M7" s="28"/>
      <c r="N7" s="19"/>
      <c r="O7" s="19"/>
      <c r="P7" s="156"/>
    </row>
    <row r="8" spans="2:16" ht="22.2">
      <c r="B8" s="10" t="s">
        <v>25</v>
      </c>
      <c r="C8" s="10" t="s">
        <v>26</v>
      </c>
      <c r="D8" s="10" t="s">
        <v>22</v>
      </c>
      <c r="E8" s="11">
        <v>12000000</v>
      </c>
      <c r="F8" s="12"/>
      <c r="G8" s="29">
        <f>SUM(G9:G11)</f>
        <v>4330592</v>
      </c>
      <c r="H8" s="14">
        <f>SUM(H9:H11)</f>
        <v>3248027.5</v>
      </c>
      <c r="I8" s="29">
        <f>SUM(I9:I11)</f>
        <v>0</v>
      </c>
      <c r="J8" s="29">
        <f t="shared" ref="J8" si="2">SUM(J9:J11)</f>
        <v>0</v>
      </c>
      <c r="K8" s="30">
        <f t="shared" si="0"/>
        <v>4421380.5</v>
      </c>
      <c r="L8" s="15">
        <f t="shared" si="1"/>
        <v>7578619.5</v>
      </c>
      <c r="M8" s="16">
        <f>(L8/E8)</f>
        <v>0.63155162499999995</v>
      </c>
      <c r="N8" s="10"/>
      <c r="O8" s="10"/>
      <c r="P8" s="156"/>
    </row>
    <row r="9" spans="2:16" ht="22.2">
      <c r="B9" s="18">
        <v>1</v>
      </c>
      <c r="C9" s="31" t="s">
        <v>27</v>
      </c>
      <c r="D9" s="32" t="s">
        <v>28</v>
      </c>
      <c r="E9" s="33">
        <v>8900000</v>
      </c>
      <c r="F9" s="21" t="s">
        <v>23</v>
      </c>
      <c r="G9" s="22">
        <v>3211800</v>
      </c>
      <c r="H9" s="23">
        <v>2607500</v>
      </c>
      <c r="I9" s="18"/>
      <c r="J9" s="22"/>
      <c r="K9" s="24">
        <f t="shared" si="0"/>
        <v>3080700</v>
      </c>
      <c r="L9" s="25">
        <f t="shared" si="1"/>
        <v>5819300</v>
      </c>
      <c r="M9" s="26">
        <f>(L9/E9)</f>
        <v>0.65385393258426971</v>
      </c>
      <c r="N9" s="19"/>
      <c r="O9" s="19"/>
      <c r="P9" s="156"/>
    </row>
    <row r="10" spans="2:16" ht="22.2">
      <c r="B10" s="18">
        <v>2</v>
      </c>
      <c r="C10" s="19" t="s">
        <v>29</v>
      </c>
      <c r="D10" s="32" t="s">
        <v>28</v>
      </c>
      <c r="E10" s="34">
        <v>1800000</v>
      </c>
      <c r="F10" s="21" t="s">
        <v>23</v>
      </c>
      <c r="G10" s="22">
        <v>653000</v>
      </c>
      <c r="H10" s="23">
        <v>486000</v>
      </c>
      <c r="I10" s="18"/>
      <c r="J10" s="22"/>
      <c r="K10" s="24">
        <f t="shared" si="0"/>
        <v>661000</v>
      </c>
      <c r="L10" s="25">
        <f t="shared" si="1"/>
        <v>1139000</v>
      </c>
      <c r="M10" s="26">
        <f t="shared" ref="M10:M11" si="3">(L10/E10)</f>
        <v>0.63277777777777777</v>
      </c>
      <c r="N10" s="19"/>
      <c r="O10" s="19"/>
      <c r="P10" s="156"/>
    </row>
    <row r="11" spans="2:16" ht="22.2">
      <c r="B11" s="18">
        <v>3</v>
      </c>
      <c r="C11" s="19" t="s">
        <v>30</v>
      </c>
      <c r="D11" s="32" t="s">
        <v>28</v>
      </c>
      <c r="E11" s="33">
        <v>1300000</v>
      </c>
      <c r="F11" s="21" t="s">
        <v>23</v>
      </c>
      <c r="G11" s="18">
        <v>465792</v>
      </c>
      <c r="H11" s="27">
        <v>154527.5</v>
      </c>
      <c r="I11" s="18"/>
      <c r="J11" s="22"/>
      <c r="K11" s="24">
        <f t="shared" si="0"/>
        <v>679680.5</v>
      </c>
      <c r="L11" s="25">
        <f t="shared" si="1"/>
        <v>620319.5</v>
      </c>
      <c r="M11" s="26">
        <f t="shared" si="3"/>
        <v>0.47716884615384614</v>
      </c>
      <c r="N11" s="19"/>
      <c r="O11" s="19"/>
      <c r="P11" s="156"/>
    </row>
    <row r="12" spans="2:16" ht="22.2">
      <c r="B12" s="18"/>
      <c r="C12" s="19"/>
      <c r="D12" s="32"/>
      <c r="E12" s="33"/>
      <c r="F12" s="21"/>
      <c r="G12" s="18"/>
      <c r="H12" s="23"/>
      <c r="I12" s="18"/>
      <c r="J12" s="22"/>
      <c r="K12" s="24"/>
      <c r="L12" s="25"/>
      <c r="M12" s="28"/>
      <c r="N12" s="19"/>
      <c r="O12" s="19"/>
      <c r="P12" s="156"/>
    </row>
    <row r="13" spans="2:16" ht="21.45" customHeight="1">
      <c r="B13" s="10" t="s">
        <v>31</v>
      </c>
      <c r="C13" s="10" t="s">
        <v>32</v>
      </c>
      <c r="D13" s="10" t="s">
        <v>19</v>
      </c>
      <c r="E13" s="11">
        <v>100</v>
      </c>
      <c r="F13" s="12"/>
      <c r="G13" s="35">
        <f>(G14/E14)*100</f>
        <v>25</v>
      </c>
      <c r="H13" s="36">
        <f>(H14/E14)*100</f>
        <v>25</v>
      </c>
      <c r="I13" s="35">
        <f>(I14/E14)*100</f>
        <v>0</v>
      </c>
      <c r="J13" s="35">
        <f>(J14/E14)*100</f>
        <v>0</v>
      </c>
      <c r="K13" s="30">
        <f t="shared" si="0"/>
        <v>50</v>
      </c>
      <c r="L13" s="15">
        <f t="shared" si="1"/>
        <v>50</v>
      </c>
      <c r="M13" s="16">
        <f>(L13/E13)</f>
        <v>0.5</v>
      </c>
      <c r="N13" s="10"/>
      <c r="O13" s="10"/>
      <c r="P13" s="156"/>
    </row>
    <row r="14" spans="2:16" ht="22.2">
      <c r="B14" s="18">
        <v>1</v>
      </c>
      <c r="C14" s="19" t="s">
        <v>33</v>
      </c>
      <c r="D14" s="32" t="s">
        <v>19</v>
      </c>
      <c r="E14" s="33">
        <v>1</v>
      </c>
      <c r="F14" s="21" t="s">
        <v>23</v>
      </c>
      <c r="G14" s="22">
        <v>0.25</v>
      </c>
      <c r="H14" s="23">
        <v>0.25</v>
      </c>
      <c r="I14" s="18"/>
      <c r="J14" s="22"/>
      <c r="K14" s="24">
        <f t="shared" si="0"/>
        <v>0.5</v>
      </c>
      <c r="L14" s="25">
        <f t="shared" si="1"/>
        <v>0.5</v>
      </c>
      <c r="M14" s="26">
        <f>(L14/E14)</f>
        <v>0.5</v>
      </c>
      <c r="N14" s="19"/>
      <c r="O14" s="19"/>
      <c r="P14" s="156"/>
    </row>
    <row r="15" spans="2:16" ht="22.2">
      <c r="B15" s="18"/>
      <c r="C15" s="19"/>
      <c r="D15" s="32"/>
      <c r="E15" s="33"/>
      <c r="F15" s="21"/>
      <c r="G15" s="22"/>
      <c r="H15" s="23"/>
      <c r="I15" s="18"/>
      <c r="J15" s="22"/>
      <c r="K15" s="37"/>
      <c r="L15" s="22"/>
      <c r="M15" s="38">
        <f>(M4+M8+M13)/3</f>
        <v>0.59998029571251921</v>
      </c>
      <c r="N15" s="19"/>
      <c r="O15" s="19"/>
      <c r="P15" s="17"/>
    </row>
    <row r="16" spans="2:16" ht="22.2">
      <c r="B16" s="167" t="s">
        <v>34</v>
      </c>
      <c r="C16" s="167"/>
      <c r="D16" s="167"/>
      <c r="E16" s="167"/>
      <c r="F16" s="167"/>
      <c r="G16" s="167"/>
      <c r="H16" s="167"/>
      <c r="I16" s="167"/>
      <c r="J16" s="167"/>
      <c r="K16" s="167"/>
      <c r="L16" s="167"/>
      <c r="M16" s="167"/>
      <c r="N16" s="167"/>
      <c r="O16" s="167"/>
      <c r="P16" s="167"/>
    </row>
    <row r="17" spans="2:16" ht="44.4">
      <c r="B17" s="10" t="s">
        <v>35</v>
      </c>
      <c r="C17" s="10" t="s">
        <v>36</v>
      </c>
      <c r="D17" s="10" t="s">
        <v>19</v>
      </c>
      <c r="E17" s="11">
        <v>100</v>
      </c>
      <c r="F17" s="12"/>
      <c r="G17" s="39">
        <f>SUM(G18:G21)</f>
        <v>30</v>
      </c>
      <c r="H17" s="14">
        <f t="shared" ref="H17:J17" si="4">SUM(H18:H21)</f>
        <v>22.5</v>
      </c>
      <c r="I17" s="39">
        <f t="shared" si="4"/>
        <v>0</v>
      </c>
      <c r="J17" s="39">
        <f t="shared" si="4"/>
        <v>0</v>
      </c>
      <c r="K17" s="15">
        <f>E17-(SUM(G17:J17))</f>
        <v>47.5</v>
      </c>
      <c r="L17" s="15">
        <f>E17-K17</f>
        <v>52.5</v>
      </c>
      <c r="M17" s="16">
        <f>(L17/E17)</f>
        <v>0.52500000000000002</v>
      </c>
      <c r="N17" s="10"/>
      <c r="O17" s="10"/>
      <c r="P17" s="157" t="s">
        <v>37</v>
      </c>
    </row>
    <row r="18" spans="2:16" ht="109.5" customHeight="1">
      <c r="B18" s="19">
        <v>1</v>
      </c>
      <c r="C18" s="19" t="s">
        <v>38</v>
      </c>
      <c r="D18" s="19" t="s">
        <v>19</v>
      </c>
      <c r="E18" s="34">
        <v>10</v>
      </c>
      <c r="F18" s="41">
        <v>46203</v>
      </c>
      <c r="G18" s="19">
        <v>2.5</v>
      </c>
      <c r="H18" s="42">
        <v>2.5</v>
      </c>
      <c r="I18" s="18"/>
      <c r="J18" s="18"/>
      <c r="K18" s="25">
        <f t="shared" ref="K18:K31" si="5">E18-(SUM(G18:J18))</f>
        <v>5</v>
      </c>
      <c r="L18" s="25">
        <f t="shared" ref="L18:L31" si="6">E18-K18</f>
        <v>5</v>
      </c>
      <c r="M18" s="26">
        <f>(L18/E18)</f>
        <v>0.5</v>
      </c>
      <c r="N18" s="19"/>
      <c r="O18" s="19"/>
      <c r="P18" s="158"/>
    </row>
    <row r="19" spans="2:16" ht="144.44999999999999" customHeight="1">
      <c r="B19" s="18">
        <v>2</v>
      </c>
      <c r="C19" s="19" t="s">
        <v>39</v>
      </c>
      <c r="D19" s="19" t="s">
        <v>19</v>
      </c>
      <c r="E19" s="34">
        <v>20</v>
      </c>
      <c r="F19" s="41">
        <v>46203</v>
      </c>
      <c r="G19" s="18">
        <v>5</v>
      </c>
      <c r="H19" s="23">
        <v>5</v>
      </c>
      <c r="I19" s="18"/>
      <c r="J19" s="18"/>
      <c r="K19" s="25">
        <f t="shared" si="5"/>
        <v>10</v>
      </c>
      <c r="L19" s="25">
        <f t="shared" si="6"/>
        <v>10</v>
      </c>
      <c r="M19" s="26">
        <f t="shared" ref="M19:M21" si="7">(L19/E19)</f>
        <v>0.5</v>
      </c>
      <c r="N19" s="19"/>
      <c r="O19" s="19"/>
      <c r="P19" s="158"/>
    </row>
    <row r="20" spans="2:16" s="48" customFormat="1" ht="46.5" customHeight="1">
      <c r="B20" s="43">
        <v>3</v>
      </c>
      <c r="C20" s="44" t="s">
        <v>40</v>
      </c>
      <c r="D20" s="44" t="s">
        <v>19</v>
      </c>
      <c r="E20" s="45">
        <v>20</v>
      </c>
      <c r="F20" s="46">
        <v>45930</v>
      </c>
      <c r="G20" s="43">
        <v>10</v>
      </c>
      <c r="H20" s="47">
        <v>2.5</v>
      </c>
      <c r="I20" s="43"/>
      <c r="J20" s="43"/>
      <c r="K20" s="25">
        <f t="shared" si="5"/>
        <v>7.5</v>
      </c>
      <c r="L20" s="25">
        <f t="shared" si="6"/>
        <v>12.5</v>
      </c>
      <c r="M20" s="26">
        <f t="shared" si="7"/>
        <v>0.625</v>
      </c>
      <c r="N20" s="44"/>
      <c r="O20" s="44"/>
      <c r="P20" s="158"/>
    </row>
    <row r="21" spans="2:16" ht="197.55" customHeight="1">
      <c r="B21" s="18">
        <v>4</v>
      </c>
      <c r="C21" s="19" t="s">
        <v>41</v>
      </c>
      <c r="D21" s="19" t="s">
        <v>19</v>
      </c>
      <c r="E21" s="34">
        <v>50</v>
      </c>
      <c r="F21" s="41">
        <v>46203</v>
      </c>
      <c r="G21" s="18">
        <v>12.5</v>
      </c>
      <c r="H21" s="23">
        <v>12.5</v>
      </c>
      <c r="I21" s="18"/>
      <c r="J21" s="18"/>
      <c r="K21" s="25">
        <f t="shared" si="5"/>
        <v>25</v>
      </c>
      <c r="L21" s="25">
        <f t="shared" si="6"/>
        <v>25</v>
      </c>
      <c r="M21" s="26">
        <f t="shared" si="7"/>
        <v>0.5</v>
      </c>
      <c r="N21" s="19"/>
      <c r="O21" s="19"/>
      <c r="P21" s="159"/>
    </row>
    <row r="22" spans="2:16" ht="22.2">
      <c r="B22" s="18"/>
      <c r="C22" s="19"/>
      <c r="D22" s="19"/>
      <c r="E22" s="34"/>
      <c r="F22" s="41"/>
      <c r="G22" s="18"/>
      <c r="H22" s="23"/>
      <c r="I22" s="18"/>
      <c r="J22" s="18"/>
      <c r="K22" s="25"/>
      <c r="L22" s="50"/>
      <c r="M22" s="28"/>
      <c r="N22" s="19"/>
      <c r="O22" s="19"/>
      <c r="P22" s="19"/>
    </row>
    <row r="23" spans="2:16" ht="45.45" customHeight="1">
      <c r="B23" s="10" t="s">
        <v>42</v>
      </c>
      <c r="C23" s="10" t="s">
        <v>43</v>
      </c>
      <c r="D23" s="10" t="s">
        <v>19</v>
      </c>
      <c r="E23" s="11">
        <v>100</v>
      </c>
      <c r="F23" s="12"/>
      <c r="G23" s="39">
        <f>SUM(G24:G27)</f>
        <v>0</v>
      </c>
      <c r="H23" s="14">
        <f t="shared" ref="H23:J23" si="8">SUM(H24:H27)</f>
        <v>0</v>
      </c>
      <c r="I23" s="39">
        <f t="shared" si="8"/>
        <v>0</v>
      </c>
      <c r="J23" s="39">
        <f t="shared" si="8"/>
        <v>0</v>
      </c>
      <c r="K23" s="15">
        <f t="shared" si="5"/>
        <v>100</v>
      </c>
      <c r="L23" s="15">
        <f t="shared" si="6"/>
        <v>0</v>
      </c>
      <c r="M23" s="16">
        <f>(L23/E23)</f>
        <v>0</v>
      </c>
      <c r="N23" s="10"/>
      <c r="O23" s="10"/>
      <c r="P23" s="19"/>
    </row>
    <row r="24" spans="2:16" ht="46.5" customHeight="1">
      <c r="B24" s="19">
        <v>1</v>
      </c>
      <c r="C24" s="51" t="s">
        <v>44</v>
      </c>
      <c r="D24" s="52" t="s">
        <v>19</v>
      </c>
      <c r="E24" s="53">
        <v>10</v>
      </c>
      <c r="F24" s="54" t="s">
        <v>23</v>
      </c>
      <c r="G24" s="19">
        <v>0</v>
      </c>
      <c r="H24" s="42">
        <v>0</v>
      </c>
      <c r="I24" s="19"/>
      <c r="J24" s="19"/>
      <c r="K24" s="25">
        <f t="shared" si="5"/>
        <v>10</v>
      </c>
      <c r="L24" s="25">
        <f t="shared" si="6"/>
        <v>0</v>
      </c>
      <c r="M24" s="26">
        <f>(L24/E24)</f>
        <v>0</v>
      </c>
      <c r="N24" s="19"/>
      <c r="O24" s="19"/>
      <c r="P24" s="157" t="s">
        <v>45</v>
      </c>
    </row>
    <row r="25" spans="2:16" ht="51.45" customHeight="1">
      <c r="B25" s="19">
        <v>2</v>
      </c>
      <c r="C25" s="51" t="s">
        <v>46</v>
      </c>
      <c r="D25" s="52" t="s">
        <v>19</v>
      </c>
      <c r="E25" s="53">
        <v>35</v>
      </c>
      <c r="F25" s="41" t="s">
        <v>23</v>
      </c>
      <c r="G25" s="19">
        <v>0</v>
      </c>
      <c r="H25" s="42">
        <v>0</v>
      </c>
      <c r="I25" s="19"/>
      <c r="J25" s="19"/>
      <c r="K25" s="25">
        <f t="shared" si="5"/>
        <v>35</v>
      </c>
      <c r="L25" s="25">
        <f t="shared" si="6"/>
        <v>0</v>
      </c>
      <c r="M25" s="26">
        <f t="shared" ref="M25:M27" si="9">(L25/E25)</f>
        <v>0</v>
      </c>
      <c r="N25" s="19"/>
      <c r="O25" s="19"/>
      <c r="P25" s="158"/>
    </row>
    <row r="26" spans="2:16" ht="49.5" customHeight="1">
      <c r="B26" s="19">
        <v>3</v>
      </c>
      <c r="C26" s="51" t="s">
        <v>47</v>
      </c>
      <c r="D26" s="52" t="s">
        <v>19</v>
      </c>
      <c r="E26" s="53">
        <v>35</v>
      </c>
      <c r="F26" s="54" t="s">
        <v>23</v>
      </c>
      <c r="G26" s="19">
        <v>0</v>
      </c>
      <c r="H26" s="42">
        <v>0</v>
      </c>
      <c r="I26" s="19"/>
      <c r="J26" s="19"/>
      <c r="K26" s="25">
        <f t="shared" si="5"/>
        <v>35</v>
      </c>
      <c r="L26" s="25">
        <f t="shared" si="6"/>
        <v>0</v>
      </c>
      <c r="M26" s="26">
        <f t="shared" si="9"/>
        <v>0</v>
      </c>
      <c r="N26" s="19"/>
      <c r="O26" s="19"/>
      <c r="P26" s="158"/>
    </row>
    <row r="27" spans="2:16" ht="68.55" customHeight="1">
      <c r="B27" s="19">
        <v>4</v>
      </c>
      <c r="C27" s="51" t="s">
        <v>48</v>
      </c>
      <c r="D27" s="52" t="s">
        <v>19</v>
      </c>
      <c r="E27" s="53">
        <v>20</v>
      </c>
      <c r="F27" s="54" t="s">
        <v>23</v>
      </c>
      <c r="G27" s="19">
        <v>0</v>
      </c>
      <c r="H27" s="42">
        <v>0</v>
      </c>
      <c r="I27" s="19"/>
      <c r="J27" s="19"/>
      <c r="K27" s="25">
        <f t="shared" si="5"/>
        <v>20</v>
      </c>
      <c r="L27" s="25">
        <f t="shared" si="6"/>
        <v>0</v>
      </c>
      <c r="M27" s="26">
        <f t="shared" si="9"/>
        <v>0</v>
      </c>
      <c r="N27" s="19"/>
      <c r="O27" s="19"/>
      <c r="P27" s="159"/>
    </row>
    <row r="28" spans="2:16" ht="13.05" customHeight="1">
      <c r="B28" s="19"/>
      <c r="C28" s="51"/>
      <c r="D28" s="52"/>
      <c r="E28" s="53"/>
      <c r="F28" s="54"/>
      <c r="G28" s="19"/>
      <c r="H28" s="42"/>
      <c r="I28" s="19"/>
      <c r="J28" s="19"/>
      <c r="K28" s="25"/>
      <c r="L28" s="25"/>
      <c r="M28" s="28"/>
      <c r="N28" s="19"/>
      <c r="O28" s="19"/>
      <c r="P28" s="17"/>
    </row>
    <row r="29" spans="2:16" ht="27.45" customHeight="1">
      <c r="B29" s="10" t="s">
        <v>49</v>
      </c>
      <c r="C29" s="10" t="s">
        <v>50</v>
      </c>
      <c r="D29" s="10" t="s">
        <v>19</v>
      </c>
      <c r="E29" s="11">
        <v>100</v>
      </c>
      <c r="F29" s="12"/>
      <c r="G29" s="39">
        <f>SUM(G30:G31)</f>
        <v>25</v>
      </c>
      <c r="H29" s="14">
        <f t="shared" ref="H29:J29" si="10">SUM(H30:H31)</f>
        <v>25</v>
      </c>
      <c r="I29" s="39">
        <f t="shared" si="10"/>
        <v>0</v>
      </c>
      <c r="J29" s="39">
        <f t="shared" si="10"/>
        <v>0</v>
      </c>
      <c r="K29" s="15">
        <f t="shared" si="5"/>
        <v>50</v>
      </c>
      <c r="L29" s="15">
        <f t="shared" si="6"/>
        <v>50</v>
      </c>
      <c r="M29" s="16">
        <f>(L29/E29)</f>
        <v>0.5</v>
      </c>
      <c r="N29" s="10"/>
      <c r="O29" s="10"/>
      <c r="P29" s="157" t="s">
        <v>51</v>
      </c>
    </row>
    <row r="30" spans="2:16" ht="21" customHeight="1">
      <c r="B30" s="18">
        <v>1</v>
      </c>
      <c r="C30" s="31" t="s">
        <v>52</v>
      </c>
      <c r="D30" s="32" t="s">
        <v>19</v>
      </c>
      <c r="E30" s="33">
        <v>70</v>
      </c>
      <c r="F30" s="21" t="s">
        <v>23</v>
      </c>
      <c r="G30" s="18">
        <v>17.5</v>
      </c>
      <c r="H30" s="23">
        <v>17.5</v>
      </c>
      <c r="I30" s="18"/>
      <c r="J30" s="18"/>
      <c r="K30" s="25">
        <f t="shared" si="5"/>
        <v>35</v>
      </c>
      <c r="L30" s="25">
        <f t="shared" si="6"/>
        <v>35</v>
      </c>
      <c r="M30" s="26">
        <f>(L30/E30)</f>
        <v>0.5</v>
      </c>
      <c r="N30" s="19"/>
      <c r="O30" s="19"/>
      <c r="P30" s="158"/>
    </row>
    <row r="31" spans="2:16" ht="45" customHeight="1">
      <c r="B31" s="18">
        <v>2</v>
      </c>
      <c r="C31" s="31" t="s">
        <v>53</v>
      </c>
      <c r="D31" s="32" t="s">
        <v>19</v>
      </c>
      <c r="E31" s="33">
        <v>30</v>
      </c>
      <c r="F31" s="21" t="s">
        <v>23</v>
      </c>
      <c r="G31" s="18">
        <v>7.5</v>
      </c>
      <c r="H31" s="23">
        <v>7.5</v>
      </c>
      <c r="I31" s="18"/>
      <c r="J31" s="18"/>
      <c r="K31" s="25">
        <f t="shared" si="5"/>
        <v>15</v>
      </c>
      <c r="L31" s="25">
        <f t="shared" si="6"/>
        <v>15</v>
      </c>
      <c r="M31" s="26">
        <f>(L31/E31)</f>
        <v>0.5</v>
      </c>
      <c r="N31" s="19"/>
      <c r="O31" s="19"/>
      <c r="P31" s="159"/>
    </row>
    <row r="32" spans="2:16" ht="22.2">
      <c r="B32" s="18"/>
      <c r="C32" s="31"/>
      <c r="D32" s="32"/>
      <c r="E32" s="33"/>
      <c r="F32" s="21"/>
      <c r="G32" s="18"/>
      <c r="H32" s="23"/>
      <c r="I32" s="18"/>
      <c r="J32" s="18"/>
      <c r="K32" s="22"/>
      <c r="L32" s="22"/>
      <c r="M32" s="38">
        <f>(M17+M23+M29)/3</f>
        <v>0.34166666666666662</v>
      </c>
      <c r="N32" s="19"/>
      <c r="O32" s="19"/>
      <c r="P32" s="17"/>
    </row>
    <row r="33" spans="2:16" ht="45.45" customHeight="1">
      <c r="B33" s="167" t="s">
        <v>54</v>
      </c>
      <c r="C33" s="167"/>
      <c r="D33" s="167"/>
      <c r="E33" s="167"/>
      <c r="F33" s="167"/>
      <c r="G33" s="167"/>
      <c r="H33" s="167"/>
      <c r="I33" s="167"/>
      <c r="J33" s="167"/>
      <c r="K33" s="167"/>
      <c r="L33" s="167"/>
      <c r="M33" s="167"/>
      <c r="N33" s="167"/>
      <c r="O33" s="167"/>
      <c r="P33" s="167"/>
    </row>
    <row r="34" spans="2:16" ht="51" customHeight="1">
      <c r="B34" s="10" t="s">
        <v>55</v>
      </c>
      <c r="C34" s="55" t="s">
        <v>56</v>
      </c>
      <c r="D34" s="10" t="s">
        <v>19</v>
      </c>
      <c r="E34" s="11">
        <v>100</v>
      </c>
      <c r="F34" s="41"/>
      <c r="G34" s="39">
        <f>SUM(G35:G43)</f>
        <v>28</v>
      </c>
      <c r="H34" s="14">
        <f t="shared" ref="H34:J34" si="11">SUM(H35:H43)</f>
        <v>28.5</v>
      </c>
      <c r="I34" s="39">
        <f t="shared" si="11"/>
        <v>0</v>
      </c>
      <c r="J34" s="39">
        <f t="shared" si="11"/>
        <v>0</v>
      </c>
      <c r="K34" s="15">
        <f>E34-(SUM(G34:J34))</f>
        <v>43.5</v>
      </c>
      <c r="L34" s="15">
        <f>E34-K34</f>
        <v>56.5</v>
      </c>
      <c r="M34" s="16">
        <f>(L34/E34)</f>
        <v>0.56499999999999995</v>
      </c>
      <c r="N34" s="56"/>
      <c r="O34" s="56"/>
      <c r="P34" s="157" t="s">
        <v>57</v>
      </c>
    </row>
    <row r="35" spans="2:16" ht="40.049999999999997" customHeight="1">
      <c r="B35" s="19">
        <v>1</v>
      </c>
      <c r="C35" s="31" t="s">
        <v>58</v>
      </c>
      <c r="D35" s="32" t="s">
        <v>19</v>
      </c>
      <c r="E35" s="34">
        <v>15</v>
      </c>
      <c r="F35" s="21" t="s">
        <v>23</v>
      </c>
      <c r="G35" s="19">
        <v>7.5</v>
      </c>
      <c r="H35" s="42">
        <v>5</v>
      </c>
      <c r="I35" s="19"/>
      <c r="J35" s="19"/>
      <c r="K35" s="25">
        <f t="shared" ref="K35:K85" si="12">E35-(SUM(G35:J35))</f>
        <v>2.5</v>
      </c>
      <c r="L35" s="25">
        <f t="shared" ref="L35:L85" si="13">E35-K35</f>
        <v>12.5</v>
      </c>
      <c r="M35" s="26">
        <f>(L35/E35)</f>
        <v>0.83333333333333337</v>
      </c>
      <c r="N35" s="19"/>
      <c r="O35" s="19"/>
      <c r="P35" s="158"/>
    </row>
    <row r="36" spans="2:16" ht="64.05" customHeight="1">
      <c r="B36" s="19">
        <v>2</v>
      </c>
      <c r="C36" s="31" t="s">
        <v>206</v>
      </c>
      <c r="D36" s="32" t="s">
        <v>19</v>
      </c>
      <c r="E36" s="34">
        <v>10</v>
      </c>
      <c r="F36" s="21" t="s">
        <v>23</v>
      </c>
      <c r="G36" s="19">
        <v>2.5</v>
      </c>
      <c r="H36" s="42">
        <v>2.5</v>
      </c>
      <c r="I36" s="19"/>
      <c r="J36" s="19"/>
      <c r="K36" s="25">
        <f t="shared" si="12"/>
        <v>5</v>
      </c>
      <c r="L36" s="25">
        <f t="shared" si="13"/>
        <v>5</v>
      </c>
      <c r="M36" s="26">
        <f t="shared" ref="M36:M43" si="14">(L36/E36)</f>
        <v>0.5</v>
      </c>
      <c r="N36" s="19"/>
      <c r="O36" s="19"/>
      <c r="P36" s="158"/>
    </row>
    <row r="37" spans="2:16" ht="84.45" customHeight="1">
      <c r="B37" s="19">
        <v>3</v>
      </c>
      <c r="C37" s="31" t="s">
        <v>59</v>
      </c>
      <c r="D37" s="32" t="s">
        <v>19</v>
      </c>
      <c r="E37" s="34">
        <v>10</v>
      </c>
      <c r="F37" s="21" t="s">
        <v>23</v>
      </c>
      <c r="G37" s="19">
        <v>0</v>
      </c>
      <c r="H37" s="42">
        <v>0</v>
      </c>
      <c r="I37" s="19"/>
      <c r="J37" s="19"/>
      <c r="K37" s="25">
        <f t="shared" si="12"/>
        <v>10</v>
      </c>
      <c r="L37" s="25">
        <f t="shared" si="13"/>
        <v>0</v>
      </c>
      <c r="M37" s="26">
        <f t="shared" si="14"/>
        <v>0</v>
      </c>
      <c r="N37" s="19"/>
      <c r="O37" s="19"/>
      <c r="P37" s="158"/>
    </row>
    <row r="38" spans="2:16" ht="43.05" customHeight="1">
      <c r="B38" s="19">
        <v>4</v>
      </c>
      <c r="C38" s="31" t="s">
        <v>60</v>
      </c>
      <c r="D38" s="32" t="s">
        <v>19</v>
      </c>
      <c r="E38" s="34">
        <v>10</v>
      </c>
      <c r="F38" s="21" t="s">
        <v>23</v>
      </c>
      <c r="G38" s="19">
        <v>2.5</v>
      </c>
      <c r="H38" s="42">
        <v>2.5</v>
      </c>
      <c r="I38" s="19"/>
      <c r="J38" s="19"/>
      <c r="K38" s="25">
        <f t="shared" si="12"/>
        <v>5</v>
      </c>
      <c r="L38" s="25">
        <f t="shared" si="13"/>
        <v>5</v>
      </c>
      <c r="M38" s="26">
        <f t="shared" si="14"/>
        <v>0.5</v>
      </c>
      <c r="N38" s="19"/>
      <c r="O38" s="19"/>
      <c r="P38" s="158"/>
    </row>
    <row r="39" spans="2:16" ht="98.55" customHeight="1">
      <c r="B39" s="19">
        <v>5</v>
      </c>
      <c r="C39" s="31" t="s">
        <v>61</v>
      </c>
      <c r="D39" s="32" t="s">
        <v>19</v>
      </c>
      <c r="E39" s="34">
        <v>10</v>
      </c>
      <c r="F39" s="21" t="s">
        <v>23</v>
      </c>
      <c r="G39" s="19">
        <v>2.5</v>
      </c>
      <c r="H39" s="42">
        <v>2.5</v>
      </c>
      <c r="I39" s="19"/>
      <c r="J39" s="19"/>
      <c r="K39" s="25">
        <f t="shared" si="12"/>
        <v>5</v>
      </c>
      <c r="L39" s="25">
        <f t="shared" si="13"/>
        <v>5</v>
      </c>
      <c r="M39" s="26">
        <f t="shared" si="14"/>
        <v>0.5</v>
      </c>
      <c r="N39" s="19"/>
      <c r="O39" s="19"/>
      <c r="P39" s="158"/>
    </row>
    <row r="40" spans="2:16" ht="95.55" customHeight="1">
      <c r="B40" s="19">
        <v>6</v>
      </c>
      <c r="C40" s="31" t="s">
        <v>62</v>
      </c>
      <c r="D40" s="32" t="s">
        <v>19</v>
      </c>
      <c r="E40" s="34">
        <v>15</v>
      </c>
      <c r="F40" s="21" t="s">
        <v>23</v>
      </c>
      <c r="G40" s="19">
        <v>6</v>
      </c>
      <c r="H40" s="42">
        <v>9</v>
      </c>
      <c r="I40" s="19"/>
      <c r="J40" s="19"/>
      <c r="K40" s="25">
        <f t="shared" si="12"/>
        <v>0</v>
      </c>
      <c r="L40" s="25">
        <f t="shared" si="13"/>
        <v>15</v>
      </c>
      <c r="M40" s="26">
        <f t="shared" si="14"/>
        <v>1</v>
      </c>
      <c r="N40" s="19"/>
      <c r="O40" s="19"/>
      <c r="P40" s="158"/>
    </row>
    <row r="41" spans="2:16" ht="42.45" customHeight="1">
      <c r="B41" s="19">
        <v>7</v>
      </c>
      <c r="C41" s="96" t="s">
        <v>63</v>
      </c>
      <c r="D41" s="32" t="s">
        <v>19</v>
      </c>
      <c r="E41" s="34">
        <v>10</v>
      </c>
      <c r="F41" s="21" t="s">
        <v>23</v>
      </c>
      <c r="G41" s="19">
        <v>2</v>
      </c>
      <c r="H41" s="42">
        <v>2</v>
      </c>
      <c r="I41" s="19"/>
      <c r="J41" s="19"/>
      <c r="K41" s="25">
        <f t="shared" si="12"/>
        <v>6</v>
      </c>
      <c r="L41" s="25">
        <f t="shared" si="13"/>
        <v>4</v>
      </c>
      <c r="M41" s="26">
        <f t="shared" si="14"/>
        <v>0.4</v>
      </c>
      <c r="N41" s="19"/>
      <c r="O41" s="19"/>
      <c r="P41" s="158"/>
    </row>
    <row r="42" spans="2:16" ht="46.05" customHeight="1">
      <c r="B42" s="19">
        <v>8</v>
      </c>
      <c r="C42" s="31" t="s">
        <v>64</v>
      </c>
      <c r="D42" s="32" t="s">
        <v>19</v>
      </c>
      <c r="E42" s="34">
        <v>10</v>
      </c>
      <c r="F42" s="21" t="s">
        <v>23</v>
      </c>
      <c r="G42" s="19">
        <v>2.5</v>
      </c>
      <c r="H42" s="42">
        <v>2.5</v>
      </c>
      <c r="I42" s="19"/>
      <c r="J42" s="19"/>
      <c r="K42" s="25">
        <f t="shared" si="12"/>
        <v>5</v>
      </c>
      <c r="L42" s="25">
        <f t="shared" si="13"/>
        <v>5</v>
      </c>
      <c r="M42" s="26">
        <f t="shared" si="14"/>
        <v>0.5</v>
      </c>
      <c r="N42" s="19"/>
      <c r="O42" s="19"/>
      <c r="P42" s="158"/>
    </row>
    <row r="43" spans="2:16" ht="46.05" customHeight="1">
      <c r="B43" s="19">
        <v>9</v>
      </c>
      <c r="C43" s="31" t="s">
        <v>65</v>
      </c>
      <c r="D43" s="32" t="s">
        <v>19</v>
      </c>
      <c r="E43" s="34">
        <v>10</v>
      </c>
      <c r="F43" s="21" t="s">
        <v>23</v>
      </c>
      <c r="G43" s="19">
        <v>2.5</v>
      </c>
      <c r="H43" s="42">
        <v>2.5</v>
      </c>
      <c r="I43" s="19"/>
      <c r="J43" s="19"/>
      <c r="K43" s="25">
        <f t="shared" si="12"/>
        <v>5</v>
      </c>
      <c r="L43" s="25">
        <f t="shared" si="13"/>
        <v>5</v>
      </c>
      <c r="M43" s="26">
        <f t="shared" si="14"/>
        <v>0.5</v>
      </c>
      <c r="N43" s="19"/>
      <c r="O43" s="19"/>
      <c r="P43" s="159"/>
    </row>
    <row r="44" spans="2:16" ht="22.2">
      <c r="B44" s="19"/>
      <c r="C44" s="31"/>
      <c r="D44" s="32"/>
      <c r="E44" s="34"/>
      <c r="F44" s="21"/>
      <c r="G44" s="19"/>
      <c r="H44" s="42"/>
      <c r="I44" s="19"/>
      <c r="J44" s="19"/>
      <c r="K44" s="25"/>
      <c r="L44" s="25"/>
      <c r="M44" s="26"/>
      <c r="N44" s="19"/>
      <c r="O44" s="19"/>
      <c r="P44" s="17"/>
    </row>
    <row r="45" spans="2:16" ht="44.4">
      <c r="B45" s="10" t="s">
        <v>66</v>
      </c>
      <c r="C45" s="55" t="s">
        <v>67</v>
      </c>
      <c r="D45" s="10" t="s">
        <v>19</v>
      </c>
      <c r="E45" s="11">
        <v>100</v>
      </c>
      <c r="F45" s="41"/>
      <c r="G45" s="39">
        <f>SUM(G46:G51)</f>
        <v>33.75</v>
      </c>
      <c r="H45" s="14">
        <f t="shared" ref="H45:J45" si="15">SUM(H46:H51)</f>
        <v>18.25</v>
      </c>
      <c r="I45" s="39">
        <f t="shared" si="15"/>
        <v>0</v>
      </c>
      <c r="J45" s="39">
        <f t="shared" si="15"/>
        <v>0</v>
      </c>
      <c r="K45" s="15">
        <f t="shared" si="12"/>
        <v>48</v>
      </c>
      <c r="L45" s="15">
        <f t="shared" si="13"/>
        <v>52</v>
      </c>
      <c r="M45" s="16">
        <f>(L45/E45)</f>
        <v>0.52</v>
      </c>
      <c r="N45" s="56"/>
      <c r="O45" s="56"/>
      <c r="P45" s="157" t="s">
        <v>68</v>
      </c>
    </row>
    <row r="46" spans="2:16" ht="54" customHeight="1">
      <c r="B46" s="19">
        <v>1</v>
      </c>
      <c r="C46" s="98" t="s">
        <v>143</v>
      </c>
      <c r="D46" s="32" t="s">
        <v>19</v>
      </c>
      <c r="E46" s="34">
        <v>20</v>
      </c>
      <c r="F46" s="21" t="s">
        <v>23</v>
      </c>
      <c r="G46" s="19">
        <v>2.5</v>
      </c>
      <c r="H46" s="42">
        <v>2</v>
      </c>
      <c r="I46" s="19"/>
      <c r="J46" s="19"/>
      <c r="K46" s="25">
        <f t="shared" si="12"/>
        <v>15.5</v>
      </c>
      <c r="L46" s="25">
        <f t="shared" si="13"/>
        <v>4.5</v>
      </c>
      <c r="M46" s="26">
        <f>(L46/E46)</f>
        <v>0.22500000000000001</v>
      </c>
      <c r="N46" s="19"/>
      <c r="O46" s="19"/>
      <c r="P46" s="158"/>
    </row>
    <row r="47" spans="2:16" ht="61.05" customHeight="1">
      <c r="B47" s="19">
        <v>2</v>
      </c>
      <c r="C47" s="98" t="s">
        <v>144</v>
      </c>
      <c r="D47" s="32" t="s">
        <v>145</v>
      </c>
      <c r="E47" s="34">
        <v>25</v>
      </c>
      <c r="F47" s="21" t="s">
        <v>23</v>
      </c>
      <c r="G47" s="19">
        <v>25</v>
      </c>
      <c r="H47" s="42">
        <v>0</v>
      </c>
      <c r="I47" s="19"/>
      <c r="J47" s="19"/>
      <c r="K47" s="25">
        <f t="shared" si="12"/>
        <v>0</v>
      </c>
      <c r="L47" s="25">
        <f t="shared" si="13"/>
        <v>25</v>
      </c>
      <c r="M47" s="26">
        <f t="shared" ref="M47:M51" si="16">(L47/E47)</f>
        <v>1</v>
      </c>
      <c r="N47" s="19"/>
      <c r="O47" s="19"/>
      <c r="P47" s="158"/>
    </row>
    <row r="48" spans="2:16" ht="46.05" customHeight="1">
      <c r="B48" s="19">
        <v>3</v>
      </c>
      <c r="C48" s="97" t="s">
        <v>146</v>
      </c>
      <c r="D48" s="32" t="s">
        <v>145</v>
      </c>
      <c r="E48" s="34">
        <v>5</v>
      </c>
      <c r="F48" s="21" t="s">
        <v>23</v>
      </c>
      <c r="G48" s="19">
        <v>0</v>
      </c>
      <c r="H48" s="42">
        <v>0</v>
      </c>
      <c r="I48" s="19"/>
      <c r="J48" s="19"/>
      <c r="K48" s="25">
        <f t="shared" si="12"/>
        <v>5</v>
      </c>
      <c r="L48" s="25">
        <f t="shared" si="13"/>
        <v>0</v>
      </c>
      <c r="M48" s="26">
        <f t="shared" si="16"/>
        <v>0</v>
      </c>
      <c r="N48" s="19"/>
      <c r="O48" s="19"/>
      <c r="P48" s="158"/>
    </row>
    <row r="49" spans="2:16" ht="75" customHeight="1">
      <c r="B49" s="19">
        <v>4</v>
      </c>
      <c r="C49" s="99" t="s">
        <v>69</v>
      </c>
      <c r="D49" s="32" t="s">
        <v>145</v>
      </c>
      <c r="E49" s="34">
        <v>25</v>
      </c>
      <c r="F49" s="54" t="s">
        <v>23</v>
      </c>
      <c r="G49" s="19">
        <v>6.25</v>
      </c>
      <c r="H49" s="42">
        <v>6.25</v>
      </c>
      <c r="I49" s="19"/>
      <c r="J49" s="19"/>
      <c r="K49" s="25">
        <f t="shared" si="12"/>
        <v>12.5</v>
      </c>
      <c r="L49" s="25">
        <f t="shared" si="13"/>
        <v>12.5</v>
      </c>
      <c r="M49" s="26">
        <f t="shared" si="16"/>
        <v>0.5</v>
      </c>
      <c r="N49" s="19"/>
      <c r="O49" s="19"/>
      <c r="P49" s="158"/>
    </row>
    <row r="50" spans="2:16" ht="75" customHeight="1">
      <c r="B50" s="19">
        <v>5</v>
      </c>
      <c r="C50" s="99" t="s">
        <v>148</v>
      </c>
      <c r="D50" s="52" t="s">
        <v>145</v>
      </c>
      <c r="E50" s="34"/>
      <c r="F50" s="54"/>
      <c r="G50" s="19"/>
      <c r="H50" s="42"/>
      <c r="I50" s="19"/>
      <c r="J50" s="19"/>
      <c r="K50" s="25"/>
      <c r="L50" s="25"/>
      <c r="M50" s="26"/>
      <c r="N50" s="19"/>
      <c r="O50" s="19"/>
      <c r="P50" s="158"/>
    </row>
    <row r="51" spans="2:16" ht="46.95" customHeight="1">
      <c r="B51" s="19">
        <v>6</v>
      </c>
      <c r="C51" s="99" t="s">
        <v>147</v>
      </c>
      <c r="D51" s="52" t="s">
        <v>145</v>
      </c>
      <c r="E51" s="34">
        <v>25</v>
      </c>
      <c r="F51" s="54" t="s">
        <v>23</v>
      </c>
      <c r="G51" s="19">
        <v>0</v>
      </c>
      <c r="H51" s="42">
        <v>10</v>
      </c>
      <c r="I51" s="19"/>
      <c r="J51" s="19"/>
      <c r="K51" s="25">
        <f t="shared" si="12"/>
        <v>15</v>
      </c>
      <c r="L51" s="25">
        <f t="shared" si="13"/>
        <v>10</v>
      </c>
      <c r="M51" s="26">
        <f t="shared" si="16"/>
        <v>0.4</v>
      </c>
      <c r="N51" s="19"/>
      <c r="O51" s="19"/>
      <c r="P51" s="159"/>
    </row>
    <row r="52" spans="2:16" ht="46.95" customHeight="1">
      <c r="B52" s="19"/>
      <c r="C52" s="51"/>
      <c r="D52" s="52"/>
      <c r="E52" s="34"/>
      <c r="F52" s="54"/>
      <c r="G52" s="19"/>
      <c r="H52" s="42"/>
      <c r="I52" s="19"/>
      <c r="J52" s="19"/>
      <c r="K52" s="25"/>
      <c r="L52" s="25"/>
      <c r="M52" s="26"/>
      <c r="N52" s="19"/>
      <c r="O52" s="19"/>
      <c r="P52" s="49"/>
    </row>
    <row r="53" spans="2:16" ht="14.1" customHeight="1">
      <c r="B53" s="19"/>
      <c r="C53" s="51"/>
      <c r="D53" s="52"/>
      <c r="E53" s="34"/>
      <c r="F53" s="54"/>
      <c r="G53" s="19"/>
      <c r="H53" s="42"/>
      <c r="I53" s="19"/>
      <c r="J53" s="19"/>
      <c r="K53" s="25"/>
      <c r="L53" s="25"/>
      <c r="M53" s="26"/>
      <c r="N53" s="19"/>
      <c r="O53" s="19"/>
      <c r="P53" s="19"/>
    </row>
    <row r="54" spans="2:16" ht="44.4">
      <c r="B54" s="10" t="s">
        <v>70</v>
      </c>
      <c r="C54" s="55" t="s">
        <v>71</v>
      </c>
      <c r="D54" s="10" t="s">
        <v>19</v>
      </c>
      <c r="E54" s="11">
        <v>100</v>
      </c>
      <c r="F54" s="41"/>
      <c r="G54" s="39">
        <f>SUM(G55:G57)</f>
        <v>4.7</v>
      </c>
      <c r="H54" s="14">
        <f t="shared" ref="H54:J54" si="17">SUM(H55:H57)</f>
        <v>0</v>
      </c>
      <c r="I54" s="39">
        <f t="shared" si="17"/>
        <v>0</v>
      </c>
      <c r="J54" s="39">
        <f t="shared" si="17"/>
        <v>0</v>
      </c>
      <c r="K54" s="15">
        <f t="shared" si="12"/>
        <v>95.3</v>
      </c>
      <c r="L54" s="15">
        <f t="shared" si="13"/>
        <v>4.7000000000000028</v>
      </c>
      <c r="M54" s="16">
        <f>(L54/E54)</f>
        <v>4.7000000000000028E-2</v>
      </c>
      <c r="N54" s="56"/>
      <c r="O54" s="56"/>
      <c r="P54" s="157" t="s">
        <v>72</v>
      </c>
    </row>
    <row r="55" spans="2:16" ht="46.05" customHeight="1">
      <c r="B55" s="19">
        <v>1</v>
      </c>
      <c r="C55" s="98" t="s">
        <v>149</v>
      </c>
      <c r="D55" s="32" t="s">
        <v>145</v>
      </c>
      <c r="E55" s="34">
        <v>40</v>
      </c>
      <c r="F55" s="41" t="s">
        <v>23</v>
      </c>
      <c r="G55" s="19">
        <v>0</v>
      </c>
      <c r="H55" s="42">
        <v>0</v>
      </c>
      <c r="I55" s="19"/>
      <c r="J55" s="19"/>
      <c r="K55" s="25">
        <f t="shared" si="12"/>
        <v>40</v>
      </c>
      <c r="L55" s="25">
        <f t="shared" si="13"/>
        <v>0</v>
      </c>
      <c r="M55" s="26">
        <f>(L55/E55)</f>
        <v>0</v>
      </c>
      <c r="N55" s="19"/>
      <c r="O55" s="19"/>
      <c r="P55" s="158"/>
    </row>
    <row r="56" spans="2:16" ht="43.95" customHeight="1">
      <c r="B56" s="19">
        <v>2</v>
      </c>
      <c r="C56" s="98" t="s">
        <v>150</v>
      </c>
      <c r="D56" s="32" t="s">
        <v>145</v>
      </c>
      <c r="E56" s="34">
        <v>30</v>
      </c>
      <c r="F56" s="21" t="s">
        <v>23</v>
      </c>
      <c r="G56" s="19">
        <v>4.7</v>
      </c>
      <c r="H56" s="42">
        <v>0</v>
      </c>
      <c r="I56" s="19"/>
      <c r="J56" s="19"/>
      <c r="K56" s="25">
        <f t="shared" si="12"/>
        <v>25.3</v>
      </c>
      <c r="L56" s="25">
        <f t="shared" si="13"/>
        <v>4.6999999999999993</v>
      </c>
      <c r="M56" s="26">
        <f t="shared" ref="M56" si="18">(L56/E56)</f>
        <v>0.15666666666666665</v>
      </c>
      <c r="N56" s="19"/>
      <c r="O56" s="19"/>
      <c r="P56" s="158"/>
    </row>
    <row r="57" spans="2:16" ht="44.55" customHeight="1">
      <c r="B57" s="19">
        <v>3</v>
      </c>
      <c r="C57" s="95" t="s">
        <v>151</v>
      </c>
      <c r="D57" s="32"/>
      <c r="E57" s="34"/>
      <c r="F57" s="21"/>
      <c r="G57" s="19"/>
      <c r="H57" s="42"/>
      <c r="I57" s="19"/>
      <c r="J57" s="19"/>
      <c r="K57" s="25"/>
      <c r="L57" s="25"/>
      <c r="M57" s="26"/>
      <c r="N57" s="19"/>
      <c r="O57" s="19"/>
      <c r="P57" s="159"/>
    </row>
    <row r="58" spans="2:16" ht="22.2">
      <c r="B58" s="19"/>
      <c r="C58" s="57"/>
      <c r="D58" s="58"/>
      <c r="E58" s="34"/>
      <c r="F58" s="21"/>
      <c r="G58" s="19"/>
      <c r="H58" s="42"/>
      <c r="I58" s="19"/>
      <c r="J58" s="19"/>
      <c r="K58" s="25"/>
      <c r="L58" s="25"/>
      <c r="M58" s="26"/>
      <c r="N58" s="19"/>
      <c r="O58" s="19"/>
      <c r="P58" s="19"/>
    </row>
    <row r="59" spans="2:16" ht="44.4">
      <c r="B59" s="10" t="s">
        <v>73</v>
      </c>
      <c r="C59" s="55" t="s">
        <v>74</v>
      </c>
      <c r="D59" s="10" t="s">
        <v>19</v>
      </c>
      <c r="E59" s="59">
        <v>100</v>
      </c>
      <c r="F59" s="41"/>
      <c r="G59" s="39">
        <f>SUM(G60:G62)</f>
        <v>35</v>
      </c>
      <c r="H59" s="14">
        <f t="shared" ref="H59:J59" si="19">SUM(H60:H62)</f>
        <v>50</v>
      </c>
      <c r="I59" s="39">
        <f t="shared" si="19"/>
        <v>0</v>
      </c>
      <c r="J59" s="39">
        <f t="shared" si="19"/>
        <v>0</v>
      </c>
      <c r="K59" s="15">
        <f t="shared" si="12"/>
        <v>15</v>
      </c>
      <c r="L59" s="15">
        <f t="shared" si="13"/>
        <v>85</v>
      </c>
      <c r="M59" s="16">
        <f>(L59/E59)</f>
        <v>0.85</v>
      </c>
      <c r="N59" s="56"/>
      <c r="O59" s="56"/>
      <c r="P59" s="157" t="s">
        <v>75</v>
      </c>
    </row>
    <row r="60" spans="2:16" ht="59.55" customHeight="1">
      <c r="B60" s="19">
        <v>1</v>
      </c>
      <c r="C60" s="98" t="s">
        <v>76</v>
      </c>
      <c r="D60" s="32" t="s">
        <v>145</v>
      </c>
      <c r="E60" s="34">
        <v>35</v>
      </c>
      <c r="F60" s="21" t="s">
        <v>23</v>
      </c>
      <c r="G60" s="19">
        <v>15</v>
      </c>
      <c r="H60" s="42">
        <v>20</v>
      </c>
      <c r="I60" s="19"/>
      <c r="J60" s="19"/>
      <c r="K60" s="25">
        <f t="shared" si="12"/>
        <v>0</v>
      </c>
      <c r="L60" s="25">
        <f t="shared" si="13"/>
        <v>35</v>
      </c>
      <c r="M60" s="26">
        <f>(L60/E60)</f>
        <v>1</v>
      </c>
      <c r="N60" s="19"/>
      <c r="O60" s="19"/>
      <c r="P60" s="158"/>
    </row>
    <row r="61" spans="2:16" ht="53.55" customHeight="1">
      <c r="B61" s="19">
        <v>2</v>
      </c>
      <c r="C61" s="98" t="s">
        <v>154</v>
      </c>
      <c r="D61" s="32" t="s">
        <v>145</v>
      </c>
      <c r="E61" s="34">
        <v>35</v>
      </c>
      <c r="F61" s="21" t="s">
        <v>23</v>
      </c>
      <c r="G61" s="19">
        <v>10</v>
      </c>
      <c r="H61" s="42">
        <v>10</v>
      </c>
      <c r="I61" s="19"/>
      <c r="J61" s="19"/>
      <c r="K61" s="25">
        <f t="shared" si="12"/>
        <v>15</v>
      </c>
      <c r="L61" s="25">
        <f t="shared" si="13"/>
        <v>20</v>
      </c>
      <c r="M61" s="26">
        <f t="shared" ref="M61:M62" si="20">(L61/E61)</f>
        <v>0.5714285714285714</v>
      </c>
      <c r="N61" s="19"/>
      <c r="O61" s="19"/>
      <c r="P61" s="158"/>
    </row>
    <row r="62" spans="2:16" ht="51" customHeight="1">
      <c r="B62" s="19">
        <v>3</v>
      </c>
      <c r="C62" s="100" t="s">
        <v>153</v>
      </c>
      <c r="D62" s="52" t="s">
        <v>19</v>
      </c>
      <c r="E62" s="34">
        <v>30</v>
      </c>
      <c r="F62" s="54" t="s">
        <v>23</v>
      </c>
      <c r="G62" s="19">
        <v>10</v>
      </c>
      <c r="H62" s="42">
        <v>20</v>
      </c>
      <c r="I62" s="19"/>
      <c r="J62" s="19"/>
      <c r="K62" s="25">
        <f t="shared" si="12"/>
        <v>0</v>
      </c>
      <c r="L62" s="25">
        <f t="shared" si="13"/>
        <v>30</v>
      </c>
      <c r="M62" s="26">
        <f t="shared" si="20"/>
        <v>1</v>
      </c>
      <c r="N62" s="19"/>
      <c r="O62" s="19"/>
      <c r="P62" s="159"/>
    </row>
    <row r="63" spans="2:16" ht="51" customHeight="1">
      <c r="B63" s="19">
        <v>4</v>
      </c>
      <c r="C63" s="100" t="s">
        <v>152</v>
      </c>
      <c r="D63" s="52"/>
      <c r="E63" s="34"/>
      <c r="F63" s="54"/>
      <c r="G63" s="19"/>
      <c r="H63" s="42"/>
      <c r="I63" s="19"/>
      <c r="J63" s="19"/>
      <c r="K63" s="25"/>
      <c r="L63" s="25"/>
      <c r="M63" s="26"/>
      <c r="N63" s="19"/>
      <c r="O63" s="19"/>
      <c r="P63" s="49"/>
    </row>
    <row r="64" spans="2:16" ht="17.55" customHeight="1">
      <c r="B64" s="19"/>
      <c r="C64" s="60"/>
      <c r="D64" s="61"/>
      <c r="E64" s="34"/>
      <c r="F64" s="54"/>
      <c r="G64" s="19"/>
      <c r="H64" s="42"/>
      <c r="I64" s="19"/>
      <c r="J64" s="19"/>
      <c r="K64" s="25"/>
      <c r="L64" s="25"/>
      <c r="M64" s="26"/>
      <c r="N64" s="19"/>
      <c r="O64" s="19"/>
      <c r="P64" s="17"/>
    </row>
    <row r="65" spans="2:16" ht="44.4">
      <c r="B65" s="10" t="s">
        <v>77</v>
      </c>
      <c r="C65" s="55" t="s">
        <v>78</v>
      </c>
      <c r="D65" s="10" t="s">
        <v>19</v>
      </c>
      <c r="E65" s="11">
        <v>100</v>
      </c>
      <c r="F65" s="41"/>
      <c r="G65" s="39">
        <f>SUM(G66:G69)</f>
        <v>41.11</v>
      </c>
      <c r="H65" s="14">
        <f t="shared" ref="H65:J65" si="21">SUM(H66:H69)</f>
        <v>54.160000000000004</v>
      </c>
      <c r="I65" s="39">
        <f t="shared" si="21"/>
        <v>0</v>
      </c>
      <c r="J65" s="39">
        <f t="shared" si="21"/>
        <v>0</v>
      </c>
      <c r="K65" s="15">
        <f t="shared" si="12"/>
        <v>4.7299999999999898</v>
      </c>
      <c r="L65" s="15">
        <f t="shared" si="13"/>
        <v>95.27000000000001</v>
      </c>
      <c r="M65" s="16">
        <f>(L65/E65)</f>
        <v>0.9527000000000001</v>
      </c>
      <c r="N65" s="56"/>
      <c r="O65" s="56"/>
      <c r="P65" s="157" t="s">
        <v>79</v>
      </c>
    </row>
    <row r="66" spans="2:16" ht="41.55" customHeight="1">
      <c r="B66" s="19">
        <v>1</v>
      </c>
      <c r="C66" s="95" t="s">
        <v>157</v>
      </c>
      <c r="D66" s="32" t="s">
        <v>19</v>
      </c>
      <c r="E66" s="34">
        <v>30</v>
      </c>
      <c r="F66" s="21" t="s">
        <v>23</v>
      </c>
      <c r="G66" s="19">
        <v>18</v>
      </c>
      <c r="H66" s="42">
        <v>12</v>
      </c>
      <c r="I66" s="19"/>
      <c r="J66" s="19"/>
      <c r="K66" s="25">
        <f t="shared" si="12"/>
        <v>0</v>
      </c>
      <c r="L66" s="25">
        <f t="shared" si="13"/>
        <v>30</v>
      </c>
      <c r="M66" s="26">
        <f>(L66/E66)</f>
        <v>1</v>
      </c>
      <c r="N66" s="19"/>
      <c r="O66" s="19"/>
      <c r="P66" s="158"/>
    </row>
    <row r="67" spans="2:16" ht="49.95" customHeight="1">
      <c r="B67" s="19">
        <v>2</v>
      </c>
      <c r="C67" s="95" t="s">
        <v>158</v>
      </c>
      <c r="D67" s="32" t="s">
        <v>19</v>
      </c>
      <c r="E67" s="34">
        <v>20</v>
      </c>
      <c r="F67" s="21" t="s">
        <v>23</v>
      </c>
      <c r="G67" s="19">
        <v>12.96</v>
      </c>
      <c r="H67" s="42">
        <v>15.28</v>
      </c>
      <c r="I67" s="19"/>
      <c r="J67" s="19"/>
      <c r="K67" s="25">
        <f t="shared" si="12"/>
        <v>-8.240000000000002</v>
      </c>
      <c r="L67" s="25">
        <f t="shared" si="13"/>
        <v>28.240000000000002</v>
      </c>
      <c r="M67" s="26">
        <f t="shared" ref="M67:M69" si="22">(L67/E67)</f>
        <v>1.4120000000000001</v>
      </c>
      <c r="N67" s="19"/>
      <c r="O67" s="19"/>
      <c r="P67" s="158"/>
    </row>
    <row r="68" spans="2:16" ht="49.95" customHeight="1">
      <c r="B68" s="19">
        <v>3</v>
      </c>
      <c r="C68" s="100" t="s">
        <v>155</v>
      </c>
      <c r="D68" s="32" t="s">
        <v>19</v>
      </c>
      <c r="E68" s="34">
        <v>20</v>
      </c>
      <c r="F68" s="21" t="s">
        <v>23</v>
      </c>
      <c r="G68" s="19">
        <v>10.15</v>
      </c>
      <c r="H68" s="42">
        <v>11.88</v>
      </c>
      <c r="I68" s="19"/>
      <c r="J68" s="19"/>
      <c r="K68" s="25">
        <f t="shared" si="12"/>
        <v>-2.0300000000000011</v>
      </c>
      <c r="L68" s="25">
        <f t="shared" si="13"/>
        <v>22.03</v>
      </c>
      <c r="M68" s="26">
        <f t="shared" si="22"/>
        <v>1.1015000000000001</v>
      </c>
      <c r="N68" s="19"/>
      <c r="O68" s="19"/>
      <c r="P68" s="158"/>
    </row>
    <row r="69" spans="2:16" ht="22.2">
      <c r="B69" s="19">
        <v>4</v>
      </c>
      <c r="C69" s="100" t="s">
        <v>156</v>
      </c>
      <c r="D69" s="52" t="s">
        <v>19</v>
      </c>
      <c r="E69" s="34">
        <v>30</v>
      </c>
      <c r="F69" s="54" t="s">
        <v>23</v>
      </c>
      <c r="G69" s="19">
        <v>0</v>
      </c>
      <c r="H69" s="42">
        <v>15</v>
      </c>
      <c r="I69" s="19"/>
      <c r="J69" s="19"/>
      <c r="K69" s="25">
        <f t="shared" si="12"/>
        <v>15</v>
      </c>
      <c r="L69" s="25">
        <f t="shared" si="13"/>
        <v>15</v>
      </c>
      <c r="M69" s="26">
        <f t="shared" si="22"/>
        <v>0.5</v>
      </c>
      <c r="N69" s="19"/>
      <c r="O69" s="19"/>
      <c r="P69" s="159"/>
    </row>
    <row r="70" spans="2:16" ht="22.2">
      <c r="B70" s="19"/>
      <c r="D70" s="52"/>
      <c r="E70" s="34"/>
      <c r="F70" s="54"/>
      <c r="G70" s="19"/>
      <c r="H70" s="42"/>
      <c r="I70" s="19"/>
      <c r="J70" s="19"/>
      <c r="K70" s="25"/>
      <c r="L70" s="25"/>
      <c r="M70" s="26"/>
      <c r="N70" s="19"/>
      <c r="O70" s="19"/>
      <c r="P70" s="49"/>
    </row>
    <row r="71" spans="2:16" ht="22.2">
      <c r="B71" s="19"/>
      <c r="C71" s="60"/>
      <c r="D71" s="61"/>
      <c r="E71" s="34"/>
      <c r="F71" s="62"/>
      <c r="G71" s="19"/>
      <c r="H71" s="42"/>
      <c r="I71" s="19"/>
      <c r="J71" s="19"/>
      <c r="K71" s="25"/>
      <c r="L71" s="25"/>
      <c r="M71" s="26"/>
      <c r="N71" s="19"/>
      <c r="O71" s="19"/>
      <c r="P71" s="19"/>
    </row>
    <row r="72" spans="2:16" ht="48" customHeight="1">
      <c r="B72" s="10" t="s">
        <v>80</v>
      </c>
      <c r="C72" s="55" t="s">
        <v>81</v>
      </c>
      <c r="D72" s="10" t="s">
        <v>19</v>
      </c>
      <c r="E72" s="11">
        <v>100</v>
      </c>
      <c r="F72" s="41"/>
      <c r="G72" s="39">
        <f>SUM(G73:G75)</f>
        <v>15</v>
      </c>
      <c r="H72" s="14">
        <f t="shared" ref="H72:J72" si="23">SUM(H73:H75)</f>
        <v>15</v>
      </c>
      <c r="I72" s="39">
        <f t="shared" si="23"/>
        <v>0</v>
      </c>
      <c r="J72" s="39">
        <f t="shared" si="23"/>
        <v>0</v>
      </c>
      <c r="K72" s="15">
        <f t="shared" si="12"/>
        <v>70</v>
      </c>
      <c r="L72" s="15">
        <f t="shared" si="13"/>
        <v>30</v>
      </c>
      <c r="M72" s="16">
        <f>(L72/E72)</f>
        <v>0.3</v>
      </c>
      <c r="N72" s="56"/>
      <c r="O72" s="56"/>
      <c r="P72" s="157" t="s">
        <v>82</v>
      </c>
    </row>
    <row r="73" spans="2:16" ht="70.95" customHeight="1">
      <c r="B73" s="19">
        <v>1</v>
      </c>
      <c r="C73" s="31" t="s">
        <v>83</v>
      </c>
      <c r="D73" s="32" t="s">
        <v>19</v>
      </c>
      <c r="E73" s="34">
        <v>35</v>
      </c>
      <c r="F73" s="63" t="s">
        <v>23</v>
      </c>
      <c r="G73" s="19">
        <v>0</v>
      </c>
      <c r="H73" s="42">
        <v>0</v>
      </c>
      <c r="I73" s="19"/>
      <c r="J73" s="19"/>
      <c r="K73" s="25">
        <f t="shared" si="12"/>
        <v>35</v>
      </c>
      <c r="L73" s="25">
        <f t="shared" si="13"/>
        <v>0</v>
      </c>
      <c r="M73" s="26">
        <f>(L73/E73)</f>
        <v>0</v>
      </c>
      <c r="N73" s="19"/>
      <c r="O73" s="19"/>
      <c r="P73" s="158"/>
    </row>
    <row r="74" spans="2:16" ht="89.55" customHeight="1">
      <c r="B74" s="19">
        <v>2</v>
      </c>
      <c r="C74" s="31" t="s">
        <v>84</v>
      </c>
      <c r="D74" s="32" t="s">
        <v>19</v>
      </c>
      <c r="E74" s="34">
        <v>35</v>
      </c>
      <c r="F74" s="63" t="s">
        <v>23</v>
      </c>
      <c r="G74" s="19">
        <v>0</v>
      </c>
      <c r="H74" s="42">
        <v>0</v>
      </c>
      <c r="I74" s="19"/>
      <c r="J74" s="19"/>
      <c r="K74" s="25">
        <f t="shared" si="12"/>
        <v>35</v>
      </c>
      <c r="L74" s="25">
        <f t="shared" si="13"/>
        <v>0</v>
      </c>
      <c r="M74" s="26">
        <f t="shared" ref="M74:M75" si="24">(L74/E74)</f>
        <v>0</v>
      </c>
      <c r="N74" s="19"/>
      <c r="O74" s="19"/>
      <c r="P74" s="158"/>
    </row>
    <row r="75" spans="2:16" ht="70.05" customHeight="1">
      <c r="B75" s="19">
        <v>3</v>
      </c>
      <c r="C75" s="31" t="s">
        <v>85</v>
      </c>
      <c r="D75" s="32" t="s">
        <v>19</v>
      </c>
      <c r="E75" s="34">
        <v>30</v>
      </c>
      <c r="F75" s="63" t="s">
        <v>23</v>
      </c>
      <c r="G75" s="19">
        <v>15</v>
      </c>
      <c r="H75" s="42">
        <v>15</v>
      </c>
      <c r="I75" s="19"/>
      <c r="J75" s="19"/>
      <c r="K75" s="25">
        <f t="shared" si="12"/>
        <v>0</v>
      </c>
      <c r="L75" s="25">
        <f t="shared" si="13"/>
        <v>30</v>
      </c>
      <c r="M75" s="26">
        <f t="shared" si="24"/>
        <v>1</v>
      </c>
      <c r="N75" s="19"/>
      <c r="O75" s="19"/>
      <c r="P75" s="159"/>
    </row>
    <row r="76" spans="2:16" ht="22.2">
      <c r="B76" s="19"/>
      <c r="C76" s="57"/>
      <c r="D76" s="58"/>
      <c r="E76" s="34"/>
      <c r="F76" s="21"/>
      <c r="G76" s="19"/>
      <c r="H76" s="42"/>
      <c r="I76" s="19"/>
      <c r="J76" s="19"/>
      <c r="K76" s="25"/>
      <c r="L76" s="25"/>
      <c r="M76" s="26"/>
      <c r="N76" s="19"/>
      <c r="O76" s="19"/>
      <c r="P76" s="19"/>
    </row>
    <row r="77" spans="2:16" ht="44.4">
      <c r="B77" s="10" t="s">
        <v>86</v>
      </c>
      <c r="C77" s="55" t="s">
        <v>87</v>
      </c>
      <c r="D77" s="10" t="s">
        <v>19</v>
      </c>
      <c r="E77" s="11">
        <v>100</v>
      </c>
      <c r="F77" s="41"/>
      <c r="G77" s="39">
        <f>G78</f>
        <v>0</v>
      </c>
      <c r="H77" s="14">
        <f t="shared" ref="H77:J77" si="25">H78</f>
        <v>40</v>
      </c>
      <c r="I77" s="39">
        <f t="shared" si="25"/>
        <v>0</v>
      </c>
      <c r="J77" s="39">
        <f t="shared" si="25"/>
        <v>0</v>
      </c>
      <c r="K77" s="15">
        <f t="shared" si="12"/>
        <v>60</v>
      </c>
      <c r="L77" s="15">
        <f t="shared" si="13"/>
        <v>40</v>
      </c>
      <c r="M77" s="16">
        <f>(L77/E77)</f>
        <v>0.4</v>
      </c>
      <c r="N77" s="56"/>
      <c r="O77" s="56"/>
      <c r="P77" s="157" t="s">
        <v>57</v>
      </c>
    </row>
    <row r="78" spans="2:16" ht="22.2">
      <c r="B78" s="19">
        <v>1</v>
      </c>
      <c r="C78" s="31" t="s">
        <v>88</v>
      </c>
      <c r="D78" s="32" t="s">
        <v>19</v>
      </c>
      <c r="E78" s="33">
        <v>100</v>
      </c>
      <c r="F78" s="41" t="s">
        <v>23</v>
      </c>
      <c r="G78" s="19"/>
      <c r="H78" s="42">
        <v>40</v>
      </c>
      <c r="I78" s="19"/>
      <c r="J78" s="19"/>
      <c r="K78" s="25">
        <f t="shared" si="12"/>
        <v>60</v>
      </c>
      <c r="L78" s="25">
        <f t="shared" si="13"/>
        <v>40</v>
      </c>
      <c r="M78" s="26">
        <f>(L78/E78)</f>
        <v>0.4</v>
      </c>
      <c r="N78" s="19"/>
      <c r="O78" s="19"/>
      <c r="P78" s="159"/>
    </row>
    <row r="79" spans="2:16" ht="22.2">
      <c r="B79" s="18"/>
      <c r="C79" s="19"/>
      <c r="D79" s="19"/>
      <c r="E79" s="34"/>
      <c r="F79" s="41"/>
      <c r="G79" s="18"/>
      <c r="H79" s="23"/>
      <c r="I79" s="18"/>
      <c r="J79" s="18"/>
      <c r="K79" s="25"/>
      <c r="L79" s="25"/>
      <c r="M79" s="26"/>
      <c r="N79" s="19"/>
      <c r="O79" s="19"/>
      <c r="P79" s="19"/>
    </row>
    <row r="80" spans="2:16" ht="44.4">
      <c r="B80" s="10" t="s">
        <v>89</v>
      </c>
      <c r="C80" s="55" t="s">
        <v>90</v>
      </c>
      <c r="D80" s="10" t="s">
        <v>19</v>
      </c>
      <c r="E80" s="11">
        <v>100</v>
      </c>
      <c r="F80" s="41"/>
      <c r="G80" s="39">
        <f>G81+G82</f>
        <v>25</v>
      </c>
      <c r="H80" s="14">
        <f t="shared" ref="H80:J80" si="26">H81+H82</f>
        <v>35</v>
      </c>
      <c r="I80" s="39">
        <f t="shared" si="26"/>
        <v>0</v>
      </c>
      <c r="J80" s="39">
        <f t="shared" si="26"/>
        <v>0</v>
      </c>
      <c r="K80" s="15">
        <f t="shared" si="12"/>
        <v>40</v>
      </c>
      <c r="L80" s="15">
        <f t="shared" si="13"/>
        <v>60</v>
      </c>
      <c r="M80" s="16">
        <f>(L80/E80)</f>
        <v>0.6</v>
      </c>
      <c r="N80" s="56"/>
      <c r="O80" s="56"/>
      <c r="P80" s="157" t="s">
        <v>91</v>
      </c>
    </row>
    <row r="81" spans="2:16" ht="46.05" customHeight="1">
      <c r="B81" s="18">
        <v>1</v>
      </c>
      <c r="C81" s="31" t="s">
        <v>92</v>
      </c>
      <c r="D81" s="32" t="s">
        <v>19</v>
      </c>
      <c r="E81" s="33">
        <v>45</v>
      </c>
      <c r="F81" s="21" t="s">
        <v>23</v>
      </c>
      <c r="G81" s="18">
        <v>11.25</v>
      </c>
      <c r="H81" s="23">
        <v>20</v>
      </c>
      <c r="I81" s="18"/>
      <c r="J81" s="18"/>
      <c r="K81" s="25">
        <f t="shared" si="12"/>
        <v>13.75</v>
      </c>
      <c r="L81" s="25">
        <f t="shared" si="13"/>
        <v>31.25</v>
      </c>
      <c r="M81" s="26">
        <f>(L81/E81)</f>
        <v>0.69444444444444442</v>
      </c>
      <c r="N81" s="19"/>
      <c r="O81" s="19"/>
      <c r="P81" s="158"/>
    </row>
    <row r="82" spans="2:16" ht="43.95" customHeight="1">
      <c r="B82" s="19">
        <v>2</v>
      </c>
      <c r="C82" s="31" t="s">
        <v>93</v>
      </c>
      <c r="D82" s="32" t="s">
        <v>19</v>
      </c>
      <c r="E82" s="33">
        <v>55</v>
      </c>
      <c r="F82" s="41" t="s">
        <v>23</v>
      </c>
      <c r="G82" s="19">
        <v>13.75</v>
      </c>
      <c r="H82" s="42">
        <v>15</v>
      </c>
      <c r="I82" s="19"/>
      <c r="J82" s="19"/>
      <c r="K82" s="25">
        <f>E82-(SUM(G82:J82))</f>
        <v>26.25</v>
      </c>
      <c r="L82" s="25">
        <f t="shared" si="13"/>
        <v>28.75</v>
      </c>
      <c r="M82" s="26">
        <f>(L82/E82)</f>
        <v>0.52272727272727271</v>
      </c>
      <c r="N82" s="19"/>
      <c r="O82" s="19"/>
      <c r="P82" s="159"/>
    </row>
    <row r="83" spans="2:16" ht="22.2">
      <c r="B83" s="19"/>
      <c r="C83" s="19"/>
      <c r="D83" s="19"/>
      <c r="E83" s="34"/>
      <c r="F83" s="41"/>
      <c r="G83" s="19"/>
      <c r="H83" s="42"/>
      <c r="I83" s="19"/>
      <c r="J83" s="19"/>
      <c r="K83" s="25"/>
      <c r="L83" s="25"/>
      <c r="M83" s="26"/>
      <c r="N83" s="19"/>
      <c r="O83" s="19"/>
      <c r="P83" s="19"/>
    </row>
    <row r="84" spans="2:16" ht="44.4">
      <c r="B84" s="10" t="s">
        <v>94</v>
      </c>
      <c r="C84" s="55" t="s">
        <v>95</v>
      </c>
      <c r="D84" s="10" t="s">
        <v>96</v>
      </c>
      <c r="E84" s="11">
        <v>2</v>
      </c>
      <c r="F84" s="41"/>
      <c r="G84" s="39">
        <f>G85</f>
        <v>0</v>
      </c>
      <c r="H84" s="14">
        <f t="shared" ref="H84:J84" si="27">H85</f>
        <v>0</v>
      </c>
      <c r="I84" s="39">
        <f t="shared" si="27"/>
        <v>0</v>
      </c>
      <c r="J84" s="39">
        <f t="shared" si="27"/>
        <v>0</v>
      </c>
      <c r="K84" s="15">
        <f t="shared" si="12"/>
        <v>2</v>
      </c>
      <c r="L84" s="15">
        <f t="shared" si="13"/>
        <v>0</v>
      </c>
      <c r="M84" s="16">
        <f>(L84/E84)</f>
        <v>0</v>
      </c>
      <c r="N84" s="56"/>
      <c r="O84" s="56"/>
      <c r="P84" s="157" t="s">
        <v>97</v>
      </c>
    </row>
    <row r="85" spans="2:16" ht="22.2">
      <c r="B85" s="19">
        <v>1</v>
      </c>
      <c r="C85" s="19" t="s">
        <v>98</v>
      </c>
      <c r="D85" s="19" t="s">
        <v>99</v>
      </c>
      <c r="E85" s="34">
        <v>2</v>
      </c>
      <c r="F85" s="41">
        <v>46203</v>
      </c>
      <c r="G85" s="18">
        <v>0</v>
      </c>
      <c r="H85" s="23">
        <v>0</v>
      </c>
      <c r="I85" s="18"/>
      <c r="J85" s="18"/>
      <c r="K85" s="25">
        <f t="shared" si="12"/>
        <v>2</v>
      </c>
      <c r="L85" s="25">
        <f t="shared" si="13"/>
        <v>0</v>
      </c>
      <c r="M85" s="26">
        <f>(L85/E85)</f>
        <v>0</v>
      </c>
      <c r="N85" s="19"/>
      <c r="O85" s="19"/>
      <c r="P85" s="159"/>
    </row>
    <row r="86" spans="2:16" ht="22.2">
      <c r="B86" s="19"/>
      <c r="C86" s="19"/>
      <c r="D86" s="19"/>
      <c r="E86" s="34"/>
      <c r="F86" s="41"/>
      <c r="G86" s="18"/>
      <c r="H86" s="23"/>
      <c r="I86" s="18"/>
      <c r="J86" s="18"/>
      <c r="K86" s="64"/>
      <c r="L86" s="22"/>
      <c r="M86" s="38">
        <f>(M34+M45+M54+M59+M65+M72+M77+M80+M84)/9</f>
        <v>0.47052222222222212</v>
      </c>
      <c r="N86" s="19"/>
      <c r="O86" s="19"/>
      <c r="P86" s="65"/>
    </row>
    <row r="87" spans="2:16" ht="22.2">
      <c r="B87" s="167" t="s">
        <v>100</v>
      </c>
      <c r="C87" s="167"/>
      <c r="D87" s="167"/>
      <c r="E87" s="167"/>
      <c r="F87" s="167"/>
      <c r="G87" s="167"/>
      <c r="H87" s="167"/>
      <c r="I87" s="167"/>
      <c r="J87" s="167"/>
      <c r="K87" s="167"/>
      <c r="L87" s="167"/>
      <c r="M87" s="167"/>
      <c r="N87" s="167"/>
      <c r="O87" s="167"/>
      <c r="P87" s="167"/>
    </row>
    <row r="88" spans="2:16" ht="22.2">
      <c r="B88" s="10" t="s">
        <v>101</v>
      </c>
      <c r="C88" s="10" t="s">
        <v>102</v>
      </c>
      <c r="D88" s="10" t="s">
        <v>19</v>
      </c>
      <c r="E88" s="11">
        <v>100</v>
      </c>
      <c r="F88" s="12"/>
      <c r="G88" s="39">
        <f>G89</f>
        <v>2</v>
      </c>
      <c r="H88" s="14">
        <f t="shared" ref="H88:J88" si="28">H89</f>
        <v>98.66</v>
      </c>
      <c r="I88" s="39">
        <f t="shared" si="28"/>
        <v>0</v>
      </c>
      <c r="J88" s="39">
        <f t="shared" si="28"/>
        <v>0</v>
      </c>
      <c r="K88" s="15">
        <f>E88-(SUM(G88:J88))</f>
        <v>-0.65999999999999659</v>
      </c>
      <c r="L88" s="15">
        <f>E88-K88</f>
        <v>100.66</v>
      </c>
      <c r="M88" s="16">
        <f>(L88/E88)</f>
        <v>1.0065999999999999</v>
      </c>
      <c r="N88" s="10"/>
      <c r="O88" s="10"/>
      <c r="P88" s="157" t="s">
        <v>103</v>
      </c>
    </row>
    <row r="89" spans="2:16" ht="51" customHeight="1">
      <c r="B89" s="19">
        <v>1</v>
      </c>
      <c r="C89" s="31" t="s">
        <v>104</v>
      </c>
      <c r="D89" s="32" t="s">
        <v>19</v>
      </c>
      <c r="E89" s="34">
        <v>100</v>
      </c>
      <c r="F89" s="21" t="s">
        <v>23</v>
      </c>
      <c r="G89" s="19">
        <v>2</v>
      </c>
      <c r="H89" s="42">
        <v>98.66</v>
      </c>
      <c r="I89" s="19"/>
      <c r="J89" s="19"/>
      <c r="K89" s="25">
        <f>E89-(SUM(G89:J89))</f>
        <v>-0.65999999999999659</v>
      </c>
      <c r="L89" s="25">
        <f>E89-K89</f>
        <v>100.66</v>
      </c>
      <c r="M89" s="26">
        <f>(L89/E89)</f>
        <v>1.0065999999999999</v>
      </c>
      <c r="N89" s="19"/>
      <c r="O89" s="19"/>
      <c r="P89" s="164"/>
    </row>
    <row r="90" spans="2:16" ht="22.2">
      <c r="B90" s="19"/>
      <c r="C90" s="19"/>
      <c r="D90" s="19"/>
      <c r="E90" s="34"/>
      <c r="F90" s="41"/>
      <c r="G90" s="19"/>
      <c r="H90" s="42"/>
      <c r="I90" s="19"/>
      <c r="J90" s="19"/>
      <c r="K90" s="67"/>
      <c r="L90" s="67"/>
      <c r="M90" s="68">
        <f>M88</f>
        <v>1.0065999999999999</v>
      </c>
      <c r="N90" s="19"/>
      <c r="O90" s="19"/>
      <c r="P90" s="19"/>
    </row>
    <row r="91" spans="2:16" ht="22.2">
      <c r="B91" s="167" t="s">
        <v>105</v>
      </c>
      <c r="C91" s="167"/>
      <c r="D91" s="167"/>
      <c r="E91" s="167"/>
      <c r="F91" s="167"/>
      <c r="G91" s="167"/>
      <c r="H91" s="167"/>
      <c r="I91" s="167"/>
      <c r="J91" s="167"/>
      <c r="K91" s="167"/>
      <c r="L91" s="167"/>
      <c r="M91" s="167"/>
      <c r="N91" s="167"/>
      <c r="O91" s="167"/>
      <c r="P91" s="167"/>
    </row>
    <row r="92" spans="2:16" ht="22.2">
      <c r="B92" s="10" t="s">
        <v>106</v>
      </c>
      <c r="C92" s="10" t="s">
        <v>107</v>
      </c>
      <c r="D92" s="10" t="s">
        <v>22</v>
      </c>
      <c r="E92" s="11">
        <v>117765683.40000001</v>
      </c>
      <c r="F92" s="12"/>
      <c r="G92" s="29">
        <f>SUM(G93:G94)</f>
        <v>99468788.900000006</v>
      </c>
      <c r="H92" s="14">
        <f t="shared" ref="H92:J92" si="29">SUM(H93:H94)</f>
        <v>4670180</v>
      </c>
      <c r="I92" s="29">
        <f t="shared" si="29"/>
        <v>0</v>
      </c>
      <c r="J92" s="29">
        <f t="shared" si="29"/>
        <v>0</v>
      </c>
      <c r="K92" s="15">
        <f>E92-(SUM(G92:J92))</f>
        <v>13626714.5</v>
      </c>
      <c r="L92" s="15">
        <f>E92-K92</f>
        <v>104138968.90000001</v>
      </c>
      <c r="M92" s="16">
        <f>(L92/E92)</f>
        <v>0.88428959857757683</v>
      </c>
      <c r="N92" s="10"/>
      <c r="O92" s="10"/>
      <c r="P92" s="165" t="s">
        <v>108</v>
      </c>
    </row>
    <row r="93" spans="2:16" s="71" customFormat="1" ht="97.5" customHeight="1">
      <c r="B93" s="19">
        <v>1</v>
      </c>
      <c r="C93" s="19" t="s">
        <v>109</v>
      </c>
      <c r="D93" s="52" t="s">
        <v>22</v>
      </c>
      <c r="E93" s="69">
        <v>117765683.40000001</v>
      </c>
      <c r="F93" s="54" t="s">
        <v>23</v>
      </c>
      <c r="G93" s="67">
        <v>52375173.450000003</v>
      </c>
      <c r="H93" s="70">
        <v>4670180</v>
      </c>
      <c r="I93" s="67"/>
      <c r="J93" s="67"/>
      <c r="K93" s="25">
        <f t="shared" ref="K93:K97" si="30">E93-(SUM(G93:J93))</f>
        <v>60720329.950000003</v>
      </c>
      <c r="L93" s="25">
        <f t="shared" ref="L93:L97" si="31">E93-K93</f>
        <v>57045353.450000003</v>
      </c>
      <c r="M93" s="26">
        <f>(L93/E93)</f>
        <v>0.48439708243564611</v>
      </c>
      <c r="N93" s="19"/>
      <c r="O93" s="19"/>
      <c r="P93" s="165"/>
    </row>
    <row r="94" spans="2:16" s="71" customFormat="1" ht="75" customHeight="1">
      <c r="B94" s="18">
        <v>2</v>
      </c>
      <c r="C94" s="19" t="s">
        <v>110</v>
      </c>
      <c r="D94" s="52" t="s">
        <v>22</v>
      </c>
      <c r="E94" s="53">
        <v>2355313.67</v>
      </c>
      <c r="F94" s="54" t="s">
        <v>23</v>
      </c>
      <c r="G94" s="23">
        <v>47093615.450000003</v>
      </c>
      <c r="H94" s="72">
        <v>0</v>
      </c>
      <c r="I94" s="22"/>
      <c r="J94" s="22"/>
      <c r="K94" s="25">
        <f t="shared" si="30"/>
        <v>-44738301.780000001</v>
      </c>
      <c r="L94" s="25">
        <f t="shared" si="31"/>
        <v>47093615.450000003</v>
      </c>
      <c r="M94" s="26">
        <f>(L94/E94)</f>
        <v>19.994625790118224</v>
      </c>
      <c r="N94" s="19"/>
      <c r="O94" s="19"/>
      <c r="P94" s="165"/>
    </row>
    <row r="95" spans="2:16" ht="22.2">
      <c r="B95" s="18"/>
      <c r="C95" s="19"/>
      <c r="D95" s="32"/>
      <c r="E95" s="33"/>
      <c r="F95" s="21"/>
      <c r="G95" s="18"/>
      <c r="H95" s="23"/>
      <c r="I95" s="22"/>
      <c r="J95" s="22"/>
      <c r="K95" s="25"/>
      <c r="L95" s="25"/>
      <c r="M95" s="28"/>
      <c r="N95" s="19"/>
      <c r="O95" s="19"/>
      <c r="P95" s="165"/>
    </row>
    <row r="96" spans="2:16" ht="54" customHeight="1">
      <c r="B96" s="10" t="s">
        <v>111</v>
      </c>
      <c r="C96" s="10" t="s">
        <v>112</v>
      </c>
      <c r="D96" s="10" t="s">
        <v>22</v>
      </c>
      <c r="E96" s="11">
        <v>157020911.19999999</v>
      </c>
      <c r="F96" s="12"/>
      <c r="G96" s="73">
        <f>G97</f>
        <v>58827115.640000001</v>
      </c>
      <c r="H96" s="14">
        <f t="shared" ref="H96:J96" si="32">H97</f>
        <v>13417157.800000001</v>
      </c>
      <c r="I96" s="73">
        <f t="shared" si="32"/>
        <v>0</v>
      </c>
      <c r="J96" s="73">
        <f t="shared" si="32"/>
        <v>0</v>
      </c>
      <c r="K96" s="15">
        <f t="shared" si="30"/>
        <v>84776637.75999999</v>
      </c>
      <c r="L96" s="15">
        <f t="shared" si="31"/>
        <v>72244273.439999998</v>
      </c>
      <c r="M96" s="16">
        <f>(L96/E96)</f>
        <v>0.46009332698357186</v>
      </c>
      <c r="N96" s="10"/>
      <c r="O96" s="10"/>
      <c r="P96" s="165"/>
    </row>
    <row r="97" spans="2:16" s="71" customFormat="1" ht="79.95" customHeight="1">
      <c r="B97" s="18">
        <v>1</v>
      </c>
      <c r="C97" s="19" t="s">
        <v>113</v>
      </c>
      <c r="D97" s="52" t="s">
        <v>22</v>
      </c>
      <c r="E97" s="69">
        <v>157020911.19999999</v>
      </c>
      <c r="F97" s="54" t="s">
        <v>23</v>
      </c>
      <c r="G97" s="74">
        <v>58827115.640000001</v>
      </c>
      <c r="H97" s="72">
        <v>13417157.800000001</v>
      </c>
      <c r="I97" s="64"/>
      <c r="J97" s="64"/>
      <c r="K97" s="25">
        <f t="shared" si="30"/>
        <v>84776637.75999999</v>
      </c>
      <c r="L97" s="25">
        <f t="shared" si="31"/>
        <v>72244273.439999998</v>
      </c>
      <c r="M97" s="26">
        <f>(L97/E97)</f>
        <v>0.46009332698357186</v>
      </c>
      <c r="N97" s="56"/>
      <c r="O97" s="19"/>
      <c r="P97" s="165"/>
    </row>
    <row r="98" spans="2:16" s="71" customFormat="1" ht="16.05" customHeight="1">
      <c r="B98" s="18"/>
      <c r="C98" s="19"/>
      <c r="D98" s="52"/>
      <c r="E98" s="69"/>
      <c r="F98" s="54"/>
      <c r="G98" s="75"/>
      <c r="H98" s="23"/>
      <c r="I98" s="64"/>
      <c r="J98" s="64"/>
      <c r="K98" s="64"/>
      <c r="L98" s="64"/>
      <c r="M98" s="38">
        <f>(M92+M96)/2</f>
        <v>0.67219146278057429</v>
      </c>
      <c r="N98" s="56"/>
      <c r="O98" s="19"/>
      <c r="P98" s="19"/>
    </row>
    <row r="99" spans="2:16" ht="22.2">
      <c r="B99" s="167" t="s">
        <v>114</v>
      </c>
      <c r="C99" s="167"/>
      <c r="D99" s="167"/>
      <c r="E99" s="167"/>
      <c r="F99" s="167"/>
      <c r="G99" s="167"/>
      <c r="H99" s="167"/>
      <c r="I99" s="167"/>
      <c r="J99" s="167"/>
      <c r="K99" s="167"/>
      <c r="L99" s="167"/>
      <c r="M99" s="167"/>
      <c r="N99" s="167"/>
      <c r="O99" s="167"/>
      <c r="P99" s="167"/>
    </row>
    <row r="100" spans="2:16" ht="22.2">
      <c r="B100" s="10" t="s">
        <v>115</v>
      </c>
      <c r="C100" s="10" t="s">
        <v>116</v>
      </c>
      <c r="D100" s="10" t="s">
        <v>19</v>
      </c>
      <c r="E100" s="11">
        <v>100</v>
      </c>
      <c r="F100" s="12"/>
      <c r="G100" s="39">
        <f>SUM(G101:G103)</f>
        <v>25</v>
      </c>
      <c r="H100" s="14">
        <f t="shared" ref="H100:J100" si="33">SUM(H101:H103)</f>
        <v>15</v>
      </c>
      <c r="I100" s="39">
        <f t="shared" si="33"/>
        <v>0</v>
      </c>
      <c r="J100" s="39">
        <f t="shared" si="33"/>
        <v>0</v>
      </c>
      <c r="K100" s="15">
        <f>E100-(SUM(G100:J100))</f>
        <v>60</v>
      </c>
      <c r="L100" s="15">
        <f>E100-K100</f>
        <v>40</v>
      </c>
      <c r="M100" s="16">
        <f>(L100/E100)</f>
        <v>0.4</v>
      </c>
      <c r="N100" s="10"/>
      <c r="O100" s="10"/>
      <c r="P100" s="157" t="s">
        <v>117</v>
      </c>
    </row>
    <row r="101" spans="2:16" ht="22.2">
      <c r="B101" s="18">
        <v>1</v>
      </c>
      <c r="C101" s="31" t="s">
        <v>118</v>
      </c>
      <c r="D101" s="32" t="s">
        <v>19</v>
      </c>
      <c r="E101" s="34">
        <v>30</v>
      </c>
      <c r="F101" s="21" t="s">
        <v>23</v>
      </c>
      <c r="G101" s="18">
        <v>7.5</v>
      </c>
      <c r="H101" s="23">
        <v>7.5</v>
      </c>
      <c r="I101" s="18"/>
      <c r="J101" s="18"/>
      <c r="K101" s="25">
        <f t="shared" ref="K101:K117" si="34">E101-(SUM(G101:J101))</f>
        <v>15</v>
      </c>
      <c r="L101" s="25">
        <f t="shared" ref="L101:L117" si="35">E101-K101</f>
        <v>15</v>
      </c>
      <c r="M101" s="26">
        <f>(L101/E101)</f>
        <v>0.5</v>
      </c>
      <c r="N101" s="19"/>
      <c r="O101" s="19"/>
      <c r="P101" s="158"/>
    </row>
    <row r="102" spans="2:16" ht="22.2">
      <c r="B102" s="18">
        <v>2</v>
      </c>
      <c r="C102" s="31" t="s">
        <v>119</v>
      </c>
      <c r="D102" s="32" t="s">
        <v>19</v>
      </c>
      <c r="E102" s="34">
        <v>30</v>
      </c>
      <c r="F102" s="21" t="s">
        <v>23</v>
      </c>
      <c r="G102" s="18">
        <v>7.5</v>
      </c>
      <c r="H102" s="23">
        <v>7.5</v>
      </c>
      <c r="I102" s="18"/>
      <c r="J102" s="18"/>
      <c r="K102" s="25">
        <f t="shared" si="34"/>
        <v>15</v>
      </c>
      <c r="L102" s="25">
        <f t="shared" si="35"/>
        <v>15</v>
      </c>
      <c r="M102" s="26">
        <f>(L102/E102)</f>
        <v>0.5</v>
      </c>
      <c r="N102" s="19"/>
      <c r="O102" s="19"/>
      <c r="P102" s="158"/>
    </row>
    <row r="103" spans="2:16" ht="22.2">
      <c r="B103" s="18">
        <v>3</v>
      </c>
      <c r="C103" s="31" t="s">
        <v>120</v>
      </c>
      <c r="D103" s="32" t="s">
        <v>19</v>
      </c>
      <c r="E103" s="34">
        <v>40</v>
      </c>
      <c r="F103" s="21" t="s">
        <v>23</v>
      </c>
      <c r="G103" s="18">
        <v>10</v>
      </c>
      <c r="H103" s="23">
        <v>0</v>
      </c>
      <c r="I103" s="18"/>
      <c r="J103" s="18"/>
      <c r="K103" s="25">
        <f t="shared" si="34"/>
        <v>30</v>
      </c>
      <c r="L103" s="25">
        <f t="shared" si="35"/>
        <v>10</v>
      </c>
      <c r="M103" s="26">
        <f>(L103/E103)</f>
        <v>0.25</v>
      </c>
      <c r="N103" s="19"/>
      <c r="O103" s="65"/>
      <c r="P103" s="159"/>
    </row>
    <row r="104" spans="2:16" ht="22.2">
      <c r="B104" s="18"/>
      <c r="C104" s="31"/>
      <c r="D104" s="32"/>
      <c r="E104" s="34"/>
      <c r="F104" s="21"/>
      <c r="G104" s="18"/>
      <c r="H104" s="23"/>
      <c r="I104" s="18"/>
      <c r="J104" s="18"/>
      <c r="K104" s="25"/>
      <c r="L104" s="25"/>
      <c r="M104" s="28"/>
      <c r="N104" s="19"/>
      <c r="O104" s="65"/>
      <c r="P104" s="65"/>
    </row>
    <row r="105" spans="2:16" ht="44.4">
      <c r="B105" s="10" t="s">
        <v>121</v>
      </c>
      <c r="C105" s="10" t="s">
        <v>122</v>
      </c>
      <c r="D105" s="10" t="s">
        <v>123</v>
      </c>
      <c r="E105" s="11">
        <v>95</v>
      </c>
      <c r="F105" s="12"/>
      <c r="G105" s="39">
        <f>SUM(G106:G107)</f>
        <v>12</v>
      </c>
      <c r="H105" s="14">
        <f t="shared" ref="H105:J105" si="36">SUM(H106:H107)</f>
        <v>12</v>
      </c>
      <c r="I105" s="39">
        <f t="shared" si="36"/>
        <v>0</v>
      </c>
      <c r="J105" s="39">
        <f t="shared" si="36"/>
        <v>0</v>
      </c>
      <c r="K105" s="15">
        <f t="shared" si="34"/>
        <v>71</v>
      </c>
      <c r="L105" s="15">
        <f t="shared" si="35"/>
        <v>24</v>
      </c>
      <c r="M105" s="16">
        <f>(L105/E105)</f>
        <v>0.25263157894736843</v>
      </c>
      <c r="N105" s="56"/>
      <c r="O105" s="56"/>
      <c r="P105" s="157" t="s">
        <v>124</v>
      </c>
    </row>
    <row r="106" spans="2:16" ht="22.2">
      <c r="B106" s="18">
        <v>1</v>
      </c>
      <c r="C106" s="19" t="s">
        <v>125</v>
      </c>
      <c r="D106" s="19" t="s">
        <v>123</v>
      </c>
      <c r="E106" s="34">
        <v>86</v>
      </c>
      <c r="F106" s="21" t="s">
        <v>23</v>
      </c>
      <c r="G106" s="18">
        <v>12</v>
      </c>
      <c r="H106" s="23">
        <v>11</v>
      </c>
      <c r="I106" s="18"/>
      <c r="J106" s="18"/>
      <c r="K106" s="25">
        <f t="shared" si="34"/>
        <v>63</v>
      </c>
      <c r="L106" s="25">
        <f t="shared" si="35"/>
        <v>23</v>
      </c>
      <c r="M106" s="26">
        <f>(L106/E106)</f>
        <v>0.26744186046511625</v>
      </c>
      <c r="N106" s="19"/>
      <c r="O106" s="19"/>
      <c r="P106" s="158"/>
    </row>
    <row r="107" spans="2:16" ht="22.2">
      <c r="B107" s="19">
        <v>2</v>
      </c>
      <c r="C107" s="19" t="s">
        <v>126</v>
      </c>
      <c r="D107" s="19" t="s">
        <v>123</v>
      </c>
      <c r="E107" s="34">
        <v>9</v>
      </c>
      <c r="F107" s="21" t="s">
        <v>23</v>
      </c>
      <c r="G107" s="19">
        <v>0</v>
      </c>
      <c r="H107" s="42">
        <v>1</v>
      </c>
      <c r="I107" s="19"/>
      <c r="J107" s="19"/>
      <c r="K107" s="25">
        <f t="shared" si="34"/>
        <v>8</v>
      </c>
      <c r="L107" s="25">
        <f t="shared" si="35"/>
        <v>1</v>
      </c>
      <c r="M107" s="26">
        <f>(L107/E107)</f>
        <v>0.1111111111111111</v>
      </c>
      <c r="N107" s="19"/>
      <c r="O107" s="19"/>
      <c r="P107" s="158"/>
    </row>
    <row r="108" spans="2:16" ht="22.2">
      <c r="B108" s="19"/>
      <c r="C108" s="19"/>
      <c r="D108" s="19"/>
      <c r="E108" s="34"/>
      <c r="F108" s="21"/>
      <c r="G108" s="19"/>
      <c r="H108" s="42"/>
      <c r="I108" s="19"/>
      <c r="J108" s="19"/>
      <c r="K108" s="25"/>
      <c r="L108" s="25"/>
      <c r="M108" s="28"/>
      <c r="N108" s="19"/>
      <c r="O108" s="19"/>
      <c r="P108" s="19"/>
    </row>
    <row r="109" spans="2:16" ht="19.05" customHeight="1">
      <c r="B109" s="10" t="s">
        <v>127</v>
      </c>
      <c r="C109" s="10" t="s">
        <v>128</v>
      </c>
      <c r="D109" s="10" t="s">
        <v>19</v>
      </c>
      <c r="E109" s="11">
        <v>100</v>
      </c>
      <c r="F109" s="12"/>
      <c r="G109" s="39">
        <f>SUM(G110:G113)</f>
        <v>47.5</v>
      </c>
      <c r="H109" s="14">
        <f>SUM(H110:H113)</f>
        <v>27.5</v>
      </c>
      <c r="I109" s="39">
        <f t="shared" ref="I109:J109" si="37">SUM(I110:I113)</f>
        <v>0</v>
      </c>
      <c r="J109" s="39">
        <f t="shared" si="37"/>
        <v>0</v>
      </c>
      <c r="K109" s="15">
        <f t="shared" si="34"/>
        <v>25</v>
      </c>
      <c r="L109" s="15">
        <f t="shared" si="35"/>
        <v>75</v>
      </c>
      <c r="M109" s="16">
        <f>(L109/E109)</f>
        <v>0.75</v>
      </c>
      <c r="N109" s="10"/>
      <c r="O109" s="10"/>
      <c r="P109" s="157" t="s">
        <v>124</v>
      </c>
    </row>
    <row r="110" spans="2:16" ht="55.95" customHeight="1">
      <c r="B110" s="19">
        <v>1</v>
      </c>
      <c r="C110" s="31" t="s">
        <v>129</v>
      </c>
      <c r="D110" s="32" t="s">
        <v>19</v>
      </c>
      <c r="E110" s="34">
        <v>20</v>
      </c>
      <c r="F110" s="21" t="s">
        <v>23</v>
      </c>
      <c r="G110" s="19">
        <v>10</v>
      </c>
      <c r="H110" s="42">
        <v>10</v>
      </c>
      <c r="I110" s="19"/>
      <c r="J110" s="19"/>
      <c r="K110" s="25">
        <f t="shared" si="34"/>
        <v>0</v>
      </c>
      <c r="L110" s="25">
        <f t="shared" si="35"/>
        <v>20</v>
      </c>
      <c r="M110" s="26">
        <f>(L110/E110)</f>
        <v>1</v>
      </c>
      <c r="N110" s="19"/>
      <c r="O110" s="19"/>
      <c r="P110" s="158"/>
    </row>
    <row r="111" spans="2:16" ht="75" customHeight="1">
      <c r="B111" s="19">
        <v>2</v>
      </c>
      <c r="C111" s="31" t="s">
        <v>130</v>
      </c>
      <c r="D111" s="32" t="s">
        <v>19</v>
      </c>
      <c r="E111" s="34">
        <v>10</v>
      </c>
      <c r="F111" s="21" t="s">
        <v>23</v>
      </c>
      <c r="G111" s="19">
        <v>5</v>
      </c>
      <c r="H111" s="42">
        <v>5</v>
      </c>
      <c r="I111" s="19"/>
      <c r="J111" s="19"/>
      <c r="K111" s="25">
        <f t="shared" si="34"/>
        <v>0</v>
      </c>
      <c r="L111" s="25">
        <f t="shared" si="35"/>
        <v>10</v>
      </c>
      <c r="M111" s="26">
        <f>(L111/E111)</f>
        <v>1</v>
      </c>
      <c r="N111" s="19"/>
      <c r="O111" s="19"/>
      <c r="P111" s="158"/>
    </row>
    <row r="112" spans="2:16" ht="46.05" customHeight="1">
      <c r="B112" s="19">
        <v>3</v>
      </c>
      <c r="C112" s="31" t="s">
        <v>131</v>
      </c>
      <c r="D112" s="32" t="s">
        <v>19</v>
      </c>
      <c r="E112" s="34">
        <v>30</v>
      </c>
      <c r="F112" s="21" t="s">
        <v>23</v>
      </c>
      <c r="G112" s="19">
        <v>7.5</v>
      </c>
      <c r="H112" s="42">
        <v>7.5</v>
      </c>
      <c r="I112" s="19"/>
      <c r="J112" s="19"/>
      <c r="K112" s="25">
        <f t="shared" si="34"/>
        <v>15</v>
      </c>
      <c r="L112" s="25">
        <f t="shared" si="35"/>
        <v>15</v>
      </c>
      <c r="M112" s="26">
        <f>(L112/E112)</f>
        <v>0.5</v>
      </c>
      <c r="N112" s="19"/>
      <c r="O112" s="19"/>
      <c r="P112" s="158"/>
    </row>
    <row r="113" spans="2:16" ht="199.8">
      <c r="B113" s="19">
        <v>4</v>
      </c>
      <c r="C113" s="19" t="s">
        <v>132</v>
      </c>
      <c r="D113" s="19" t="s">
        <v>19</v>
      </c>
      <c r="E113" s="34">
        <v>40</v>
      </c>
      <c r="F113" s="41">
        <v>46203</v>
      </c>
      <c r="G113" s="19">
        <v>25</v>
      </c>
      <c r="H113" s="42">
        <v>5</v>
      </c>
      <c r="I113" s="19"/>
      <c r="J113" s="19"/>
      <c r="K113" s="25">
        <f t="shared" si="34"/>
        <v>10</v>
      </c>
      <c r="L113" s="25">
        <f t="shared" si="35"/>
        <v>30</v>
      </c>
      <c r="M113" s="26">
        <f>(L113/E113)</f>
        <v>0.75</v>
      </c>
      <c r="N113" s="19"/>
      <c r="O113" s="19"/>
      <c r="P113" s="159"/>
    </row>
    <row r="114" spans="2:16" ht="22.2">
      <c r="B114" s="19"/>
      <c r="C114" s="19"/>
      <c r="D114" s="19"/>
      <c r="E114" s="34"/>
      <c r="F114" s="41"/>
      <c r="G114" s="19"/>
      <c r="H114" s="42"/>
      <c r="I114" s="19"/>
      <c r="J114" s="19"/>
      <c r="K114" s="25"/>
      <c r="L114" s="25"/>
      <c r="M114" s="28"/>
      <c r="N114" s="19"/>
      <c r="O114" s="19"/>
      <c r="P114" s="19"/>
    </row>
    <row r="115" spans="2:16" ht="46.5" customHeight="1">
      <c r="B115" s="10" t="s">
        <v>133</v>
      </c>
      <c r="C115" s="10" t="s">
        <v>134</v>
      </c>
      <c r="D115" s="10" t="s">
        <v>19</v>
      </c>
      <c r="E115" s="11">
        <v>100</v>
      </c>
      <c r="F115" s="12"/>
      <c r="G115" s="10">
        <f>G116+G117</f>
        <v>25</v>
      </c>
      <c r="H115" s="36">
        <f t="shared" ref="H115:J115" si="38">H116+H117</f>
        <v>25</v>
      </c>
      <c r="I115" s="10">
        <f t="shared" si="38"/>
        <v>0</v>
      </c>
      <c r="J115" s="10">
        <f t="shared" si="38"/>
        <v>0</v>
      </c>
      <c r="K115" s="15">
        <f t="shared" si="34"/>
        <v>50</v>
      </c>
      <c r="L115" s="15">
        <f t="shared" si="35"/>
        <v>50</v>
      </c>
      <c r="M115" s="16">
        <f>(L115/E115)</f>
        <v>0.5</v>
      </c>
      <c r="N115" s="10"/>
      <c r="O115" s="10"/>
      <c r="P115" s="157" t="s">
        <v>135</v>
      </c>
    </row>
    <row r="116" spans="2:16" s="71" customFormat="1" ht="409.05" customHeight="1">
      <c r="B116" s="61">
        <v>1</v>
      </c>
      <c r="C116" s="51" t="s">
        <v>136</v>
      </c>
      <c r="D116" s="61" t="s">
        <v>19</v>
      </c>
      <c r="E116" s="53">
        <v>40</v>
      </c>
      <c r="F116" s="76">
        <v>46203</v>
      </c>
      <c r="G116" s="52">
        <v>10</v>
      </c>
      <c r="H116" s="77">
        <v>10</v>
      </c>
      <c r="I116" s="61"/>
      <c r="J116" s="61"/>
      <c r="K116" s="25">
        <f t="shared" si="34"/>
        <v>20</v>
      </c>
      <c r="L116" s="25">
        <f t="shared" si="35"/>
        <v>20</v>
      </c>
      <c r="M116" s="26">
        <f>(L116/E116)</f>
        <v>0.5</v>
      </c>
      <c r="N116" s="61"/>
      <c r="O116" s="61"/>
      <c r="P116" s="163"/>
    </row>
    <row r="117" spans="2:16" ht="73.05" customHeight="1">
      <c r="B117" s="19">
        <v>2</v>
      </c>
      <c r="C117" s="51" t="s">
        <v>137</v>
      </c>
      <c r="D117" s="19" t="s">
        <v>19</v>
      </c>
      <c r="E117" s="34">
        <v>60</v>
      </c>
      <c r="F117" s="41">
        <v>46203</v>
      </c>
      <c r="G117" s="19">
        <v>15</v>
      </c>
      <c r="H117" s="42">
        <v>15</v>
      </c>
      <c r="I117" s="56"/>
      <c r="J117" s="56"/>
      <c r="K117" s="25">
        <f t="shared" si="34"/>
        <v>30</v>
      </c>
      <c r="L117" s="25">
        <f t="shared" si="35"/>
        <v>30</v>
      </c>
      <c r="M117" s="26">
        <f>(L117/E117)</f>
        <v>0.5</v>
      </c>
      <c r="N117" s="56"/>
      <c r="O117" s="56"/>
      <c r="P117" s="164"/>
    </row>
    <row r="118" spans="2:16" ht="19.05" customHeight="1">
      <c r="B118" s="19"/>
      <c r="C118" s="51"/>
      <c r="D118" s="19"/>
      <c r="E118" s="34"/>
      <c r="F118" s="41"/>
      <c r="G118" s="19"/>
      <c r="H118" s="42"/>
      <c r="I118" s="56"/>
      <c r="J118" s="56"/>
      <c r="K118" s="78"/>
      <c r="L118" s="79"/>
      <c r="M118" s="38">
        <f>(M100+M105+M109+M115)/4</f>
        <v>0.47565789473684211</v>
      </c>
      <c r="N118" s="56"/>
      <c r="O118" s="56"/>
      <c r="P118" s="66"/>
    </row>
    <row r="119" spans="2:16" ht="41.55" customHeight="1">
      <c r="B119" s="19"/>
      <c r="C119" s="19"/>
      <c r="D119" s="19"/>
      <c r="E119" s="34"/>
      <c r="F119" s="41"/>
      <c r="G119" s="56"/>
      <c r="H119" s="42"/>
      <c r="I119" s="56"/>
      <c r="J119" s="56"/>
      <c r="K119" s="168" t="s">
        <v>138</v>
      </c>
      <c r="L119" s="169"/>
      <c r="M119" s="80">
        <f>(M15+M32+M86+M90+M98+M118)/6</f>
        <v>0.59443642368647076</v>
      </c>
      <c r="N119" s="56"/>
      <c r="O119" s="56"/>
      <c r="P119" s="65"/>
    </row>
    <row r="120" spans="2:16" ht="27.45" customHeight="1" thickBot="1"/>
    <row r="121" spans="2:16" ht="18" thickBot="1">
      <c r="D121" s="170" t="s">
        <v>139</v>
      </c>
      <c r="E121" s="171"/>
      <c r="F121" s="171"/>
      <c r="G121" s="171"/>
      <c r="H121" s="171"/>
      <c r="I121" s="171"/>
      <c r="J121" s="171"/>
      <c r="K121" s="171"/>
      <c r="L121" s="172"/>
    </row>
    <row r="122" spans="2:16" ht="75" customHeight="1" thickBot="1">
      <c r="B122" s="71"/>
      <c r="D122" s="87"/>
      <c r="E122" s="88" t="s">
        <v>140</v>
      </c>
      <c r="F122" s="89"/>
      <c r="G122" s="90"/>
      <c r="H122" s="91" t="s">
        <v>141</v>
      </c>
      <c r="I122" s="92"/>
      <c r="J122" s="92"/>
      <c r="K122" s="93"/>
      <c r="L122" s="94" t="s">
        <v>142</v>
      </c>
      <c r="O122" s="86"/>
    </row>
    <row r="123" spans="2:16">
      <c r="B123" s="71"/>
    </row>
    <row r="124" spans="2:16">
      <c r="B124" s="71"/>
    </row>
    <row r="125" spans="2:16">
      <c r="B125" s="71"/>
    </row>
    <row r="126" spans="2:16">
      <c r="B126" s="71"/>
    </row>
  </sheetData>
  <mergeCells count="28">
    <mergeCell ref="P109:P113"/>
    <mergeCell ref="P115:P117"/>
    <mergeCell ref="K119:L119"/>
    <mergeCell ref="D121:L121"/>
    <mergeCell ref="P88:P89"/>
    <mergeCell ref="B91:P91"/>
    <mergeCell ref="P92:P97"/>
    <mergeCell ref="B99:P99"/>
    <mergeCell ref="P100:P103"/>
    <mergeCell ref="P105:P107"/>
    <mergeCell ref="B87:P87"/>
    <mergeCell ref="P29:P31"/>
    <mergeCell ref="B33:P33"/>
    <mergeCell ref="P34:P43"/>
    <mergeCell ref="P45:P51"/>
    <mergeCell ref="P54:P57"/>
    <mergeCell ref="P59:P62"/>
    <mergeCell ref="P65:P69"/>
    <mergeCell ref="P72:P75"/>
    <mergeCell ref="P77:P78"/>
    <mergeCell ref="P80:P82"/>
    <mergeCell ref="P84:P85"/>
    <mergeCell ref="P24:P27"/>
    <mergeCell ref="B1:O1"/>
    <mergeCell ref="B3:P3"/>
    <mergeCell ref="P4:P14"/>
    <mergeCell ref="B16:P16"/>
    <mergeCell ref="P17:P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PC Targets 2026-2027</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Akama Charles</dc:creator>
  <cp:lastModifiedBy>Patrick Mwaura</cp:lastModifiedBy>
  <dcterms:created xsi:type="dcterms:W3CDTF">2026-06-25T14:38:44Z</dcterms:created>
  <dcterms:modified xsi:type="dcterms:W3CDTF">2026-06-27T10:19:54Z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2026-06-25T14:40:15Z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e086c75d-ed44-4165-8450-6fed41cbeacb</vt:lpwstr>
  </property>
  <property fmtid="{D5CDD505-2E9C-101B-9397-08002B2CF9AE}" pid="7" name="MSIP_Label_defa4170-0d19-0005-0004-bc88714345d2_ActionId">
    <vt:lpwstr>67ced838-0d41-4015-8d87-74b198e0568e</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