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23040" windowHeight="8688" tabRatio="500"/>
  </bookViews>
  <sheets>
    <sheet name="Year1 Procurement Plan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1" l="1"/>
  <c r="D51" i="1"/>
  <c r="D50" i="1"/>
  <c r="D49" i="1"/>
  <c r="D46" i="1"/>
  <c r="D47" i="1"/>
  <c r="D45" i="1"/>
  <c r="D44" i="1"/>
  <c r="G39" i="1"/>
  <c r="G30" i="1"/>
  <c r="G28" i="1"/>
  <c r="G27" i="1"/>
  <c r="G25" i="1"/>
  <c r="G18" i="1"/>
  <c r="G17" i="1"/>
  <c r="G15" i="1"/>
  <c r="G12" i="1"/>
  <c r="G7" i="1"/>
  <c r="G24" i="1"/>
  <c r="E40" i="1"/>
  <c r="D55" i="1" l="1"/>
  <c r="E24" i="1"/>
  <c r="E21" i="1"/>
  <c r="E20" i="1"/>
  <c r="E28" i="1" l="1"/>
  <c r="D52" i="1" s="1"/>
  <c r="E7" i="1"/>
  <c r="E11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19" i="1"/>
  <c r="E18" i="1"/>
  <c r="D48" i="1" s="1"/>
  <c r="E17" i="1"/>
  <c r="E16" i="1"/>
  <c r="E15" i="1"/>
  <c r="E14" i="1"/>
  <c r="E13" i="1"/>
  <c r="E12" i="1"/>
  <c r="E10" i="1"/>
  <c r="E9" i="1"/>
  <c r="E8" i="1"/>
  <c r="E6" i="1"/>
  <c r="E5" i="1"/>
  <c r="E4" i="1"/>
  <c r="E52" i="1" l="1"/>
  <c r="D54" i="1"/>
  <c r="E49" i="1" l="1"/>
  <c r="E54" i="1"/>
  <c r="E45" i="1"/>
  <c r="E53" i="1"/>
  <c r="E48" i="1"/>
  <c r="E46" i="1"/>
  <c r="E51" i="1"/>
  <c r="E50" i="1"/>
  <c r="E44" i="1"/>
  <c r="E47" i="1"/>
</calcChain>
</file>

<file path=xl/sharedStrings.xml><?xml version="1.0" encoding="utf-8"?>
<sst xmlns="http://schemas.openxmlformats.org/spreadsheetml/2006/main" count="95" uniqueCount="61">
  <si>
    <t>KIPRE × Upanzi Network  |  Year 1 Procurement Plan  —  Updated</t>
  </si>
  <si>
    <t>AI-Enabled Research Infrastructure — Malaria Pilot  |  Budget updated June 2026: Upanzi system development and grant writing lines added</t>
  </si>
  <si>
    <t>Category</t>
  </si>
  <si>
    <t>Description</t>
  </si>
  <si>
    <t>Qty</t>
  </si>
  <si>
    <t>Unit Cost (KES)</t>
  </si>
  <si>
    <t>Total (KES)</t>
  </si>
  <si>
    <t>Status</t>
  </si>
  <si>
    <t>Infrastructure</t>
  </si>
  <si>
    <t>AI/Inference Server</t>
  </si>
  <si>
    <t>Application &amp; Database Server</t>
  </si>
  <si>
    <t>NAS Backup, UPS &amp; Network Equipment</t>
  </si>
  <si>
    <t>Hardware</t>
  </si>
  <si>
    <t>Laptops</t>
  </si>
  <si>
    <t>Barcode Scanners</t>
  </si>
  <si>
    <t>Thermal Label Printers</t>
  </si>
  <si>
    <t>Android Tablets</t>
  </si>
  <si>
    <t>Software</t>
  </si>
  <si>
    <t>GCP Hosting (12 months)</t>
  </si>
  <si>
    <t>AI Model/API Subscriptions (12 months)</t>
  </si>
  <si>
    <t>Security, SSL, Domain Services</t>
  </si>
  <si>
    <t>Training</t>
  </si>
  <si>
    <t>AI Literacy Bootcamp</t>
  </si>
  <si>
    <t>Quarterly Refresher Workshops</t>
  </si>
  <si>
    <t>Approvals</t>
  </si>
  <si>
    <t>ISERC/Ethics &amp; Regulatory Reviews</t>
  </si>
  <si>
    <t>Governance</t>
  </si>
  <si>
    <t>Policy Development</t>
  </si>
  <si>
    <t>MOU Drafting &amp; Legal Review</t>
  </si>
  <si>
    <t>Data Migration</t>
  </si>
  <si>
    <t>Historical Data Cleaning &amp; ETL</t>
  </si>
  <si>
    <t>Pilot Malaria Project</t>
  </si>
  <si>
    <t>Animal Acquisition, Sampling, Maintenance, Per Diem &amp; Sample Processing</t>
  </si>
  <si>
    <t>Reagents and Consumables</t>
  </si>
  <si>
    <t>Monitoring</t>
  </si>
  <si>
    <t>Baseline, Midterm &amp; Endline Evaluation</t>
  </si>
  <si>
    <t>Dissemination</t>
  </si>
  <si>
    <t>Stakeholder Workshop</t>
  </si>
  <si>
    <t>Publication &amp; Reporting Costs</t>
  </si>
  <si>
    <t>Personnel</t>
  </si>
  <si>
    <t>Principal Investigator (12 months)</t>
  </si>
  <si>
    <t>Co-PI 1 (12 months)</t>
  </si>
  <si>
    <t>Co-PI 2 (12 months)</t>
  </si>
  <si>
    <t>ICT Officer 1 (12 months)</t>
  </si>
  <si>
    <t>ICT Officer 2 (12 months)</t>
  </si>
  <si>
    <t>Laboratory Officer 1</t>
  </si>
  <si>
    <t>Laboratory Officer 2</t>
  </si>
  <si>
    <t>Laboratory Officer 3</t>
  </si>
  <si>
    <t>Data Manager</t>
  </si>
  <si>
    <t>GRAND TOTAL</t>
  </si>
  <si>
    <t>BUDGET SUMMARY BY CATEGORY</t>
  </si>
  <si>
    <t>Subtotal (KES)</t>
  </si>
  <si>
    <t>% of Total</t>
  </si>
  <si>
    <t>Thermal sticker labels</t>
  </si>
  <si>
    <t>SENIETE-Cloud</t>
  </si>
  <si>
    <t xml:space="preserve">Stakeholder's input and review                                                                                   Venue and refreshments for policy workshop 
DSA: 40 X14000, 
Conference: 4000 X 40 X 7 days,
Transport/Fuel:  200000 </t>
  </si>
  <si>
    <t>Governance (Developing and reviewing data policies and strategies)</t>
  </si>
  <si>
    <t>Governance (Operational framework)</t>
  </si>
  <si>
    <t>Charter development                                                                                               DSA: 20 X 14,000X5
Conference: 20 X 4,000X5
Transport/Fuel: 250,000 (lump sum)</t>
  </si>
  <si>
    <t>Cboard/ Council Approval                                                                                                  Sitting allowance: 8 X 20000X4 , 
Board Lunch : 2000X8X4 , 
Board Mileage: 50000X4, 
Refreshments:20000X4 , 
Meeting allowances and printing of Terms of Reference</t>
  </si>
  <si>
    <t>Policy Drafting                                                                                                            The total budget for a 40-person, 2-day
 policy workshop and drafting phase is 2,900,000, 
covering 1,120,000 for DSA, 480,000 for 
venue/refreshments, 100,000 for transport, 
and 1,200,000 for the consultant/legal drafting fee.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</si>
</sst>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color rgb="FFFFFFFF"/>
      <name val="Calibri"/>
      <charset val="1"/>
    </font>
    <font>
      <i/>
      <sz val="9"/>
      <color rgb="FF555555"/>
      <name val="Calibri"/>
      <charset val="1"/>
    </font>
    <font>
      <b/>
      <sz val="11"/>
      <color rgb="FFFFFFFF"/>
      <name val="Calibri"/>
      <charset val="1"/>
    </font>
    <font>
      <b/>
      <sz val="10"/>
      <color rgb="FF1A3C5E"/>
      <name val="Calibri"/>
      <charset val="1"/>
    </font>
    <font>
      <sz val="10"/>
      <color rgb="FF222222"/>
      <name val="Calibri"/>
      <charset val="1"/>
    </font>
    <font>
      <b/>
      <sz val="10"/>
      <color rgb="FF222222"/>
      <name val="Calibri"/>
      <charset val="1"/>
    </font>
    <font>
      <b/>
      <sz val="9"/>
      <color rgb="FF1E6B2E"/>
      <name val="Calibri"/>
      <charset val="1"/>
    </font>
    <font>
      <b/>
      <sz val="12"/>
      <color rgb="FFFFFFFF"/>
      <name val="Calibri"/>
      <charset val="1"/>
    </font>
    <font>
      <b/>
      <sz val="11"/>
      <color rgb="FF1A3C5E"/>
      <name val="Calibri"/>
      <charset val="1"/>
    </font>
    <font>
      <sz val="10"/>
      <color rgb="FF1A3C5E"/>
      <name val="Calibri"/>
      <charset val="1"/>
    </font>
    <font>
      <sz val="9"/>
      <name val="Calibri"/>
      <charset val="1"/>
    </font>
    <font>
      <sz val="10"/>
      <color rgb="FF222222"/>
      <name val="Calibri"/>
      <family val="2"/>
    </font>
    <font>
      <b/>
      <sz val="10"/>
      <color rgb="FF1A3C5E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D2137"/>
        <bgColor rgb="FF222222"/>
      </patternFill>
    </fill>
    <fill>
      <patternFill patternType="solid">
        <fgColor rgb="FFF0F4F8"/>
        <bgColor rgb="FFEFF5FB"/>
      </patternFill>
    </fill>
    <fill>
      <patternFill patternType="solid">
        <fgColor theme="4" tint="0.39988402966399123"/>
        <bgColor rgb="FFB0B0B0"/>
      </patternFill>
    </fill>
    <fill>
      <patternFill patternType="solid">
        <fgColor rgb="FF1A3C5E"/>
        <bgColor rgb="FF333399"/>
      </patternFill>
    </fill>
    <fill>
      <patternFill patternType="solid">
        <fgColor rgb="FFE8F4FD"/>
        <bgColor rgb="FFEFF5FB"/>
      </patternFill>
    </fill>
    <fill>
      <patternFill patternType="solid">
        <fgColor theme="6" tint="0.79989013336588644"/>
        <bgColor rgb="FFECF0F1"/>
      </patternFill>
    </fill>
    <fill>
      <patternFill patternType="solid">
        <fgColor rgb="FFEAFAF1"/>
        <bgColor rgb="FFE8F8E8"/>
      </patternFill>
    </fill>
    <fill>
      <patternFill patternType="solid">
        <fgColor rgb="FFFFFDE7"/>
        <bgColor rgb="FFFEF9E7"/>
      </patternFill>
    </fill>
    <fill>
      <patternFill patternType="solid">
        <fgColor rgb="FFD6F0DA"/>
        <bgColor rgb="FFEBF1DE"/>
      </patternFill>
    </fill>
    <fill>
      <patternFill patternType="solid">
        <fgColor rgb="FFFCE8E8"/>
        <bgColor rgb="FFFDEDEC"/>
      </patternFill>
    </fill>
    <fill>
      <patternFill patternType="solid">
        <fgColor rgb="FFF3E5F5"/>
        <bgColor rgb="FFFCE8E8"/>
      </patternFill>
    </fill>
    <fill>
      <patternFill patternType="solid">
        <fgColor rgb="FFFEF9E7"/>
        <bgColor rgb="FFFFFDE7"/>
      </patternFill>
    </fill>
    <fill>
      <patternFill patternType="solid">
        <fgColor rgb="FFEFF5FB"/>
        <bgColor rgb="FFF0F4F8"/>
      </patternFill>
    </fill>
    <fill>
      <patternFill patternType="solid">
        <fgColor rgb="FFFDEDEC"/>
        <bgColor rgb="FFFCE8E8"/>
      </patternFill>
    </fill>
    <fill>
      <patternFill patternType="solid">
        <fgColor rgb="FFF0F4FF"/>
        <bgColor rgb="FFEFF5FB"/>
      </patternFill>
    </fill>
    <fill>
      <patternFill patternType="solid">
        <fgColor rgb="FFFFFACD"/>
        <bgColor rgb="FFFEF9E7"/>
      </patternFill>
    </fill>
    <fill>
      <patternFill patternType="solid">
        <fgColor rgb="FFECF0F1"/>
        <bgColor rgb="FFF0F4F8"/>
      </patternFill>
    </fill>
    <fill>
      <patternFill patternType="solid">
        <fgColor rgb="FFD6E4F0"/>
        <bgColor rgb="FFD6F0DA"/>
      </patternFill>
    </fill>
    <fill>
      <patternFill patternType="solid">
        <fgColor rgb="FF2E6DA4"/>
        <bgColor rgb="FF3366FF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3" fontId="7" fillId="6" borderId="1" xfId="0" applyNumberFormat="1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0" xfId="0" applyFill="1"/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right" vertical="center" wrapText="1"/>
    </xf>
    <xf numFmtId="3" fontId="7" fillId="8" borderId="1" xfId="0" applyNumberFormat="1" applyFont="1" applyFill="1" applyBorder="1" applyAlignment="1">
      <alignment horizontal="right" vertical="center" wrapText="1"/>
    </xf>
    <xf numFmtId="0" fontId="0" fillId="8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right" vertical="center" wrapText="1"/>
    </xf>
    <xf numFmtId="3" fontId="7" fillId="9" borderId="1" xfId="0" applyNumberFormat="1" applyFont="1" applyFill="1" applyBorder="1" applyAlignment="1">
      <alignment horizontal="right" vertical="center" wrapText="1"/>
    </xf>
    <xf numFmtId="0" fontId="0" fillId="9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right" vertical="center" wrapText="1"/>
    </xf>
    <xf numFmtId="3" fontId="7" fillId="11" borderId="1" xfId="0" applyNumberFormat="1" applyFont="1" applyFill="1" applyBorder="1" applyAlignment="1">
      <alignment horizontal="right" vertical="center" wrapText="1"/>
    </xf>
    <xf numFmtId="0" fontId="0" fillId="11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right" vertical="center" wrapText="1"/>
    </xf>
    <xf numFmtId="3" fontId="7" fillId="12" borderId="1" xfId="0" applyNumberFormat="1" applyFont="1" applyFill="1" applyBorder="1" applyAlignment="1">
      <alignment horizontal="right" vertical="center" wrapText="1"/>
    </xf>
    <xf numFmtId="0" fontId="0" fillId="12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right" vertical="center" wrapText="1"/>
    </xf>
    <xf numFmtId="3" fontId="7" fillId="13" borderId="1" xfId="0" applyNumberFormat="1" applyFont="1" applyFill="1" applyBorder="1" applyAlignment="1">
      <alignment horizontal="right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center" vertical="center" wrapText="1"/>
    </xf>
    <xf numFmtId="3" fontId="6" fillId="14" borderId="1" xfId="0" applyNumberFormat="1" applyFont="1" applyFill="1" applyBorder="1" applyAlignment="1">
      <alignment horizontal="right" vertical="center" wrapText="1"/>
    </xf>
    <xf numFmtId="3" fontId="7" fillId="14" borderId="1" xfId="0" applyNumberFormat="1" applyFont="1" applyFill="1" applyBorder="1" applyAlignment="1">
      <alignment horizontal="right" vertical="center" wrapText="1"/>
    </xf>
    <xf numFmtId="0" fontId="0" fillId="14" borderId="1" xfId="0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center" vertical="center" wrapText="1"/>
    </xf>
    <xf numFmtId="3" fontId="6" fillId="15" borderId="1" xfId="0" applyNumberFormat="1" applyFont="1" applyFill="1" applyBorder="1" applyAlignment="1">
      <alignment horizontal="right" vertical="center" wrapText="1"/>
    </xf>
    <xf numFmtId="3" fontId="7" fillId="15" borderId="1" xfId="0" applyNumberFormat="1" applyFont="1" applyFill="1" applyBorder="1" applyAlignment="1">
      <alignment horizontal="right" vertical="center" wrapText="1"/>
    </xf>
    <xf numFmtId="0" fontId="0" fillId="15" borderId="1" xfId="0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center" vertical="center" wrapText="1"/>
    </xf>
    <xf numFmtId="3" fontId="6" fillId="16" borderId="1" xfId="0" applyNumberFormat="1" applyFont="1" applyFill="1" applyBorder="1" applyAlignment="1">
      <alignment horizontal="right" vertical="center" wrapText="1"/>
    </xf>
    <xf numFmtId="3" fontId="7" fillId="16" borderId="1" xfId="0" applyNumberFormat="1" applyFont="1" applyFill="1" applyBorder="1" applyAlignment="1">
      <alignment horizontal="right" vertical="center" wrapText="1"/>
    </xf>
    <xf numFmtId="0" fontId="0" fillId="16" borderId="1" xfId="0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center" vertical="center" wrapText="1"/>
    </xf>
    <xf numFmtId="3" fontId="6" fillId="17" borderId="1" xfId="0" applyNumberFormat="1" applyFont="1" applyFill="1" applyBorder="1" applyAlignment="1">
      <alignment horizontal="right" vertical="center" wrapText="1"/>
    </xf>
    <xf numFmtId="3" fontId="7" fillId="17" borderId="1" xfId="0" applyNumberFormat="1" applyFont="1" applyFill="1" applyBorder="1" applyAlignment="1">
      <alignment horizontal="right" vertical="center" wrapText="1"/>
    </xf>
    <xf numFmtId="0" fontId="0" fillId="17" borderId="1" xfId="0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center" vertical="center" wrapText="1"/>
    </xf>
    <xf numFmtId="3" fontId="6" fillId="18" borderId="1" xfId="0" applyNumberFormat="1" applyFont="1" applyFill="1" applyBorder="1" applyAlignment="1">
      <alignment horizontal="right" vertical="center" wrapText="1"/>
    </xf>
    <xf numFmtId="3" fontId="7" fillId="18" borderId="1" xfId="0" applyNumberFormat="1" applyFont="1" applyFill="1" applyBorder="1" applyAlignment="1">
      <alignment horizontal="right" vertical="center" wrapText="1"/>
    </xf>
    <xf numFmtId="0" fontId="0" fillId="18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10" fillId="1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righ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left" vertical="center"/>
    </xf>
    <xf numFmtId="3" fontId="5" fillId="11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left" vertical="center"/>
    </xf>
    <xf numFmtId="3" fontId="5" fillId="12" borderId="1" xfId="0" applyNumberFormat="1" applyFont="1" applyFill="1" applyBorder="1" applyAlignment="1">
      <alignment horizontal="right" vertical="center"/>
    </xf>
    <xf numFmtId="164" fontId="5" fillId="12" borderId="1" xfId="0" applyNumberFormat="1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horizontal="left" vertical="center"/>
    </xf>
    <xf numFmtId="3" fontId="5" fillId="13" borderId="1" xfId="0" applyNumberFormat="1" applyFont="1" applyFill="1" applyBorder="1" applyAlignment="1">
      <alignment horizontal="right" vertical="center"/>
    </xf>
    <xf numFmtId="164" fontId="5" fillId="13" borderId="1" xfId="0" applyNumberFormat="1" applyFont="1" applyFill="1" applyBorder="1" applyAlignment="1">
      <alignment horizontal="right" vertical="center"/>
    </xf>
    <xf numFmtId="0" fontId="11" fillId="14" borderId="1" xfId="0" applyFont="1" applyFill="1" applyBorder="1" applyAlignment="1">
      <alignment horizontal="left" vertical="center"/>
    </xf>
    <xf numFmtId="3" fontId="5" fillId="14" borderId="1" xfId="0" applyNumberFormat="1" applyFont="1" applyFill="1" applyBorder="1" applyAlignment="1">
      <alignment horizontal="right" vertical="center"/>
    </xf>
    <xf numFmtId="164" fontId="5" fillId="14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left" vertical="center"/>
    </xf>
    <xf numFmtId="3" fontId="5" fillId="15" borderId="1" xfId="0" applyNumberFormat="1" applyFont="1" applyFill="1" applyBorder="1" applyAlignment="1">
      <alignment horizontal="right" vertical="center"/>
    </xf>
    <xf numFmtId="164" fontId="5" fillId="15" borderId="1" xfId="0" applyNumberFormat="1" applyFont="1" applyFill="1" applyBorder="1" applyAlignment="1">
      <alignment horizontal="right" vertical="center"/>
    </xf>
    <xf numFmtId="0" fontId="11" fillId="16" borderId="1" xfId="0" applyFont="1" applyFill="1" applyBorder="1" applyAlignment="1">
      <alignment horizontal="left" vertical="center"/>
    </xf>
    <xf numFmtId="3" fontId="5" fillId="16" borderId="1" xfId="0" applyNumberFormat="1" applyFont="1" applyFill="1" applyBorder="1" applyAlignment="1">
      <alignment horizontal="right" vertical="center"/>
    </xf>
    <xf numFmtId="164" fontId="5" fillId="16" borderId="1" xfId="0" applyNumberFormat="1" applyFont="1" applyFill="1" applyBorder="1" applyAlignment="1">
      <alignment horizontal="right" vertical="center"/>
    </xf>
    <xf numFmtId="0" fontId="11" fillId="17" borderId="1" xfId="0" applyFont="1" applyFill="1" applyBorder="1" applyAlignment="1">
      <alignment horizontal="left" vertical="center"/>
    </xf>
    <xf numFmtId="3" fontId="5" fillId="17" borderId="1" xfId="0" applyNumberFormat="1" applyFont="1" applyFill="1" applyBorder="1" applyAlignment="1">
      <alignment horizontal="right" vertical="center"/>
    </xf>
    <xf numFmtId="164" fontId="5" fillId="17" borderId="1" xfId="0" applyNumberFormat="1" applyFont="1" applyFill="1" applyBorder="1" applyAlignment="1">
      <alignment horizontal="right" vertical="center"/>
    </xf>
    <xf numFmtId="0" fontId="11" fillId="18" borderId="1" xfId="0" applyFont="1" applyFill="1" applyBorder="1" applyAlignment="1">
      <alignment horizontal="left" vertical="center"/>
    </xf>
    <xf numFmtId="3" fontId="5" fillId="18" borderId="1" xfId="0" applyNumberFormat="1" applyFont="1" applyFill="1" applyBorder="1" applyAlignment="1">
      <alignment horizontal="right" vertical="center"/>
    </xf>
    <xf numFmtId="164" fontId="5" fillId="18" borderId="1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8" fillId="10" borderId="1" xfId="0" applyFont="1" applyFill="1" applyBorder="1"/>
    <xf numFmtId="0" fontId="12" fillId="0" borderId="0" xfId="0" applyFont="1" applyBorder="1"/>
    <xf numFmtId="0" fontId="2" fillId="2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wrapText="1"/>
    </xf>
    <xf numFmtId="0" fontId="13" fillId="13" borderId="1" xfId="0" applyFont="1" applyFill="1" applyBorder="1" applyAlignment="1">
      <alignment horizontal="left" vertical="top" wrapText="1"/>
    </xf>
    <xf numFmtId="0" fontId="14" fillId="13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0" xfId="0" applyNumberFormat="1"/>
    <xf numFmtId="3" fontId="0" fillId="21" borderId="0" xfId="0" applyNumberFormat="1" applyFill="1"/>
    <xf numFmtId="3" fontId="5" fillId="0" borderId="0" xfId="0" applyNumberFormat="1" applyFont="1" applyBorder="1" applyAlignment="1">
      <alignment horizontal="left" vertical="center"/>
    </xf>
    <xf numFmtId="3" fontId="0" fillId="7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800000"/>
      <rgbColor rgb="FF1E6B2E"/>
      <rgbColor rgb="FF000080"/>
      <rgbColor rgb="FF808000"/>
      <rgbColor rgb="FF800080"/>
      <rgbColor rgb="FF008080"/>
      <rgbColor rgb="FFB0B0B0"/>
      <rgbColor rgb="FF808080"/>
      <rgbColor rgb="FFF0F4FF"/>
      <rgbColor rgb="FF993366"/>
      <rgbColor rgb="FFFFFACD"/>
      <rgbColor rgb="FFEAFAF1"/>
      <rgbColor rgb="FF660066"/>
      <rgbColor rgb="FFF0F4F8"/>
      <rgbColor rgb="FF2E6DA4"/>
      <rgbColor rgb="FFD6E4F0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8F4FD"/>
      <rgbColor rgb="FFD6F0DA"/>
      <rgbColor rgb="FFFFFDE7"/>
      <rgbColor rgb="FF95B3D7"/>
      <rgbColor rgb="FFF3E5F5"/>
      <rgbColor rgb="FFECF0F1"/>
      <rgbColor rgb="FFFCE8E8"/>
      <rgbColor rgb="FF3366FF"/>
      <rgbColor rgb="FF33CCCC"/>
      <rgbColor rgb="FFEFF5FB"/>
      <rgbColor rgb="FFFDEDEC"/>
      <rgbColor rgb="FFFF9900"/>
      <rgbColor rgb="FFFF6600"/>
      <rgbColor rgb="FF555555"/>
      <rgbColor rgb="FFE8F8E8"/>
      <rgbColor rgb="FF1A3C5E"/>
      <rgbColor rgb="FF339966"/>
      <rgbColor rgb="FF0D2137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2" zoomScaleNormal="100" workbookViewId="0">
      <pane ySplit="3" topLeftCell="A39" activePane="bottomLeft" state="frozen"/>
      <selection activeCell="A2" sqref="A2"/>
      <selection pane="bottomLeft" activeCell="E21" sqref="E21"/>
    </sheetView>
  </sheetViews>
  <sheetFormatPr defaultColWidth="8.6640625" defaultRowHeight="14.4" x14ac:dyDescent="0.3"/>
  <cols>
    <col min="1" max="1" width="28" customWidth="1"/>
    <col min="2" max="2" width="62" style="1" customWidth="1"/>
    <col min="3" max="3" width="7" customWidth="1"/>
    <col min="4" max="4" width="13.6640625" bestFit="1" customWidth="1"/>
    <col min="5" max="5" width="11" bestFit="1" customWidth="1"/>
    <col min="6" max="6" width="12" customWidth="1"/>
    <col min="7" max="7" width="32.33203125" bestFit="1" customWidth="1"/>
  </cols>
  <sheetData>
    <row r="1" spans="1:7" ht="27.75" customHeight="1" x14ac:dyDescent="0.3">
      <c r="A1" s="2" t="s">
        <v>0</v>
      </c>
      <c r="B1" s="114"/>
      <c r="C1" s="2"/>
      <c r="D1" s="2"/>
      <c r="E1" s="2"/>
      <c r="F1" s="2"/>
    </row>
    <row r="2" spans="1:7" s="4" customFormat="1" ht="19.5" customHeight="1" x14ac:dyDescent="0.3">
      <c r="A2" s="3" t="s">
        <v>1</v>
      </c>
      <c r="B2" s="3"/>
      <c r="C2" s="3"/>
      <c r="D2" s="3"/>
      <c r="E2" s="3"/>
      <c r="F2" s="3"/>
    </row>
    <row r="3" spans="1:7" s="4" customFormat="1" ht="18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7" s="4" customFormat="1" ht="18" customHeight="1" x14ac:dyDescent="0.3">
      <c r="A4" s="6" t="s">
        <v>8</v>
      </c>
      <c r="B4" s="7" t="s">
        <v>9</v>
      </c>
      <c r="C4" s="8">
        <v>1</v>
      </c>
      <c r="D4" s="9">
        <v>1200000</v>
      </c>
      <c r="E4" s="10">
        <f t="shared" ref="E4:E39" si="0">C4*D4</f>
        <v>1200000</v>
      </c>
      <c r="F4" s="11"/>
    </row>
    <row r="5" spans="1:7" s="12" customFormat="1" ht="18" customHeight="1" x14ac:dyDescent="0.3">
      <c r="A5" s="6" t="s">
        <v>8</v>
      </c>
      <c r="B5" s="7" t="s">
        <v>10</v>
      </c>
      <c r="C5" s="8">
        <v>1</v>
      </c>
      <c r="D5" s="9">
        <v>500000</v>
      </c>
      <c r="E5" s="10">
        <f t="shared" si="0"/>
        <v>500000</v>
      </c>
      <c r="F5" s="11"/>
    </row>
    <row r="6" spans="1:7" s="12" customFormat="1" ht="18" customHeight="1" x14ac:dyDescent="0.3">
      <c r="A6" s="6" t="s">
        <v>8</v>
      </c>
      <c r="B6" s="7" t="s">
        <v>11</v>
      </c>
      <c r="C6" s="8">
        <v>1</v>
      </c>
      <c r="D6" s="9">
        <v>300000</v>
      </c>
      <c r="E6" s="10">
        <f t="shared" si="0"/>
        <v>300000</v>
      </c>
      <c r="F6" s="11"/>
    </row>
    <row r="7" spans="1:7" s="12" customFormat="1" ht="18" customHeight="1" x14ac:dyDescent="0.3">
      <c r="A7" s="6" t="s">
        <v>8</v>
      </c>
      <c r="B7" s="7" t="s">
        <v>54</v>
      </c>
      <c r="C7" s="8">
        <v>1</v>
      </c>
      <c r="D7" s="9">
        <v>200000</v>
      </c>
      <c r="E7" s="10">
        <f>C7*D7</f>
        <v>200000</v>
      </c>
      <c r="F7" s="11"/>
      <c r="G7" s="136">
        <f>SUM(E4:E7)</f>
        <v>2200000</v>
      </c>
    </row>
    <row r="8" spans="1:7" s="12" customFormat="1" ht="18" customHeight="1" x14ac:dyDescent="0.3">
      <c r="A8" s="13" t="s">
        <v>12</v>
      </c>
      <c r="B8" s="14" t="s">
        <v>13</v>
      </c>
      <c r="C8" s="15">
        <v>3</v>
      </c>
      <c r="D8" s="16">
        <v>80000</v>
      </c>
      <c r="E8" s="17">
        <f t="shared" si="0"/>
        <v>240000</v>
      </c>
      <c r="F8" s="18"/>
    </row>
    <row r="9" spans="1:7" s="12" customFormat="1" ht="18" customHeight="1" x14ac:dyDescent="0.3">
      <c r="A9" s="13" t="s">
        <v>12</v>
      </c>
      <c r="B9" s="14" t="s">
        <v>14</v>
      </c>
      <c r="C9" s="15">
        <v>4</v>
      </c>
      <c r="D9" s="16">
        <v>25000</v>
      </c>
      <c r="E9" s="17">
        <f t="shared" si="0"/>
        <v>100000</v>
      </c>
      <c r="F9" s="18"/>
    </row>
    <row r="10" spans="1:7" ht="18" customHeight="1" x14ac:dyDescent="0.3">
      <c r="A10" s="13" t="s">
        <v>12</v>
      </c>
      <c r="B10" s="14" t="s">
        <v>15</v>
      </c>
      <c r="C10" s="15">
        <v>2</v>
      </c>
      <c r="D10" s="16">
        <v>50000</v>
      </c>
      <c r="E10" s="17">
        <f t="shared" si="0"/>
        <v>100000</v>
      </c>
      <c r="F10" s="18"/>
    </row>
    <row r="11" spans="1:7" ht="18" customHeight="1" x14ac:dyDescent="0.3">
      <c r="A11" s="13" t="s">
        <v>12</v>
      </c>
      <c r="B11" s="14" t="s">
        <v>53</v>
      </c>
      <c r="C11" s="15">
        <v>10</v>
      </c>
      <c r="D11" s="16">
        <v>15000</v>
      </c>
      <c r="E11" s="17">
        <f t="shared" si="0"/>
        <v>150000</v>
      </c>
      <c r="F11" s="18"/>
    </row>
    <row r="12" spans="1:7" ht="18" customHeight="1" x14ac:dyDescent="0.3">
      <c r="A12" s="13" t="s">
        <v>12</v>
      </c>
      <c r="B12" s="14" t="s">
        <v>16</v>
      </c>
      <c r="C12" s="15">
        <v>3</v>
      </c>
      <c r="D12" s="16">
        <v>40000</v>
      </c>
      <c r="E12" s="17">
        <f t="shared" si="0"/>
        <v>120000</v>
      </c>
      <c r="F12" s="18"/>
      <c r="G12" s="133">
        <f>SUM(E8:E12)</f>
        <v>710000</v>
      </c>
    </row>
    <row r="13" spans="1:7" ht="18" customHeight="1" x14ac:dyDescent="0.3">
      <c r="A13" s="19" t="s">
        <v>17</v>
      </c>
      <c r="B13" s="20" t="s">
        <v>18</v>
      </c>
      <c r="C13" s="21">
        <v>1</v>
      </c>
      <c r="D13" s="22">
        <v>360000</v>
      </c>
      <c r="E13" s="23">
        <f t="shared" si="0"/>
        <v>360000</v>
      </c>
      <c r="F13" s="24"/>
    </row>
    <row r="14" spans="1:7" ht="18" customHeight="1" x14ac:dyDescent="0.3">
      <c r="A14" s="19" t="s">
        <v>17</v>
      </c>
      <c r="B14" s="20" t="s">
        <v>19</v>
      </c>
      <c r="C14" s="21">
        <v>12</v>
      </c>
      <c r="D14" s="22">
        <v>50000</v>
      </c>
      <c r="E14" s="23">
        <f t="shared" si="0"/>
        <v>600000</v>
      </c>
      <c r="F14" s="24"/>
    </row>
    <row r="15" spans="1:7" ht="18" customHeight="1" x14ac:dyDescent="0.3">
      <c r="A15" s="19" t="s">
        <v>17</v>
      </c>
      <c r="B15" s="20" t="s">
        <v>20</v>
      </c>
      <c r="C15" s="21">
        <v>1</v>
      </c>
      <c r="D15" s="22">
        <v>700000</v>
      </c>
      <c r="E15" s="23">
        <f t="shared" si="0"/>
        <v>700000</v>
      </c>
      <c r="F15" s="24"/>
      <c r="G15" s="133">
        <f>SUM(E13:E15)</f>
        <v>1660000</v>
      </c>
    </row>
    <row r="16" spans="1:7" ht="18" customHeight="1" x14ac:dyDescent="0.3">
      <c r="A16" s="25" t="s">
        <v>21</v>
      </c>
      <c r="B16" s="26" t="s">
        <v>22</v>
      </c>
      <c r="C16" s="27">
        <v>2</v>
      </c>
      <c r="D16" s="28">
        <v>600000</v>
      </c>
      <c r="E16" s="29">
        <f t="shared" si="0"/>
        <v>1200000</v>
      </c>
      <c r="F16" s="30"/>
    </row>
    <row r="17" spans="1:7" ht="18" customHeight="1" x14ac:dyDescent="0.3">
      <c r="A17" s="25" t="s">
        <v>21</v>
      </c>
      <c r="B17" s="26" t="s">
        <v>23</v>
      </c>
      <c r="C17" s="27">
        <v>4</v>
      </c>
      <c r="D17" s="28">
        <v>500000</v>
      </c>
      <c r="E17" s="29">
        <f t="shared" si="0"/>
        <v>2000000</v>
      </c>
      <c r="F17" s="30"/>
      <c r="G17" s="133">
        <f>SUM(E16:E17)</f>
        <v>3200000</v>
      </c>
    </row>
    <row r="18" spans="1:7" ht="18" customHeight="1" x14ac:dyDescent="0.3">
      <c r="A18" s="31" t="s">
        <v>24</v>
      </c>
      <c r="B18" s="32" t="s">
        <v>25</v>
      </c>
      <c r="C18" s="33">
        <v>1</v>
      </c>
      <c r="D18" s="34">
        <v>100000</v>
      </c>
      <c r="E18" s="35">
        <f t="shared" si="0"/>
        <v>100000</v>
      </c>
      <c r="F18" s="36"/>
      <c r="G18" s="133">
        <f>E18</f>
        <v>100000</v>
      </c>
    </row>
    <row r="19" spans="1:7" ht="18" customHeight="1" x14ac:dyDescent="0.3">
      <c r="A19" s="37" t="s">
        <v>26</v>
      </c>
      <c r="B19" s="38" t="s">
        <v>27</v>
      </c>
      <c r="C19" s="39">
        <v>1</v>
      </c>
      <c r="D19" s="40">
        <v>200000</v>
      </c>
      <c r="E19" s="41">
        <f t="shared" si="0"/>
        <v>200000</v>
      </c>
      <c r="F19" s="42"/>
    </row>
    <row r="20" spans="1:7" ht="70.2" customHeight="1" x14ac:dyDescent="0.3">
      <c r="A20" s="131" t="s">
        <v>56</v>
      </c>
      <c r="B20" s="130" t="s">
        <v>55</v>
      </c>
      <c r="C20" s="39">
        <v>1</v>
      </c>
      <c r="D20" s="40">
        <v>1000000</v>
      </c>
      <c r="E20" s="41">
        <f>C20*D20</f>
        <v>1000000</v>
      </c>
      <c r="F20" s="42"/>
    </row>
    <row r="21" spans="1:7" ht="85.2" customHeight="1" x14ac:dyDescent="0.3">
      <c r="A21" s="132"/>
      <c r="B21" s="130" t="s">
        <v>60</v>
      </c>
      <c r="C21" s="39">
        <v>1</v>
      </c>
      <c r="D21" s="40">
        <v>2900000</v>
      </c>
      <c r="E21" s="41">
        <f>C21*D21</f>
        <v>2900000</v>
      </c>
      <c r="F21" s="42"/>
    </row>
    <row r="22" spans="1:7" ht="18" customHeight="1" x14ac:dyDescent="0.3">
      <c r="A22" s="37" t="s">
        <v>26</v>
      </c>
      <c r="B22" s="38" t="s">
        <v>28</v>
      </c>
      <c r="C22" s="39">
        <v>1</v>
      </c>
      <c r="D22" s="40">
        <v>80000</v>
      </c>
      <c r="E22" s="41">
        <f t="shared" si="0"/>
        <v>80000</v>
      </c>
      <c r="F22" s="42"/>
    </row>
    <row r="23" spans="1:7" ht="65.400000000000006" customHeight="1" x14ac:dyDescent="0.3">
      <c r="A23" s="131" t="s">
        <v>57</v>
      </c>
      <c r="B23" s="130" t="s">
        <v>58</v>
      </c>
      <c r="C23" s="39">
        <v>1</v>
      </c>
      <c r="D23" s="40">
        <v>2050000</v>
      </c>
      <c r="E23" s="41">
        <f t="shared" si="0"/>
        <v>2050000</v>
      </c>
      <c r="F23" s="42"/>
    </row>
    <row r="24" spans="1:7" ht="83.4" customHeight="1" x14ac:dyDescent="0.3">
      <c r="A24" s="132"/>
      <c r="B24" s="130" t="s">
        <v>59</v>
      </c>
      <c r="C24" s="39">
        <v>1</v>
      </c>
      <c r="D24" s="40">
        <v>246000</v>
      </c>
      <c r="E24" s="41">
        <f t="shared" si="0"/>
        <v>246000</v>
      </c>
      <c r="F24" s="42"/>
      <c r="G24" s="133">
        <f>SUM(E19:E24)</f>
        <v>6476000</v>
      </c>
    </row>
    <row r="25" spans="1:7" ht="18" customHeight="1" x14ac:dyDescent="0.3">
      <c r="A25" s="43" t="s">
        <v>29</v>
      </c>
      <c r="B25" s="44" t="s">
        <v>30</v>
      </c>
      <c r="C25" s="45">
        <v>1</v>
      </c>
      <c r="D25" s="46">
        <v>150000</v>
      </c>
      <c r="E25" s="47">
        <f t="shared" si="0"/>
        <v>150000</v>
      </c>
      <c r="F25" s="48"/>
      <c r="G25" s="133">
        <f>E25</f>
        <v>150000</v>
      </c>
    </row>
    <row r="26" spans="1:7" ht="18" customHeight="1" x14ac:dyDescent="0.3">
      <c r="A26" s="49" t="s">
        <v>31</v>
      </c>
      <c r="B26" s="50" t="s">
        <v>32</v>
      </c>
      <c r="C26" s="51">
        <v>1</v>
      </c>
      <c r="D26" s="52">
        <v>400000</v>
      </c>
      <c r="E26" s="53">
        <f t="shared" si="0"/>
        <v>400000</v>
      </c>
      <c r="F26" s="54"/>
    </row>
    <row r="27" spans="1:7" ht="18" customHeight="1" x14ac:dyDescent="0.3">
      <c r="A27" s="49" t="s">
        <v>31</v>
      </c>
      <c r="B27" s="50" t="s">
        <v>33</v>
      </c>
      <c r="C27" s="51">
        <v>1</v>
      </c>
      <c r="D27" s="52">
        <v>800000</v>
      </c>
      <c r="E27" s="53">
        <f t="shared" si="0"/>
        <v>800000</v>
      </c>
      <c r="F27" s="54"/>
      <c r="G27" s="133">
        <f>SUM(E26:E27)</f>
        <v>1200000</v>
      </c>
    </row>
    <row r="28" spans="1:7" ht="18" customHeight="1" x14ac:dyDescent="0.3">
      <c r="A28" s="55" t="s">
        <v>34</v>
      </c>
      <c r="B28" s="56" t="s">
        <v>35</v>
      </c>
      <c r="C28" s="57">
        <v>1</v>
      </c>
      <c r="D28" s="58">
        <v>750000</v>
      </c>
      <c r="E28" s="59">
        <f>C28*D28</f>
        <v>750000</v>
      </c>
      <c r="F28" s="60"/>
      <c r="G28" s="133">
        <f>E28</f>
        <v>750000</v>
      </c>
    </row>
    <row r="29" spans="1:7" ht="18" customHeight="1" x14ac:dyDescent="0.3">
      <c r="A29" s="61" t="s">
        <v>36</v>
      </c>
      <c r="B29" s="62" t="s">
        <v>37</v>
      </c>
      <c r="C29" s="63">
        <v>1</v>
      </c>
      <c r="D29" s="64">
        <v>100000</v>
      </c>
      <c r="E29" s="65">
        <f t="shared" si="0"/>
        <v>100000</v>
      </c>
      <c r="F29" s="66"/>
    </row>
    <row r="30" spans="1:7" ht="18" customHeight="1" x14ac:dyDescent="0.3">
      <c r="A30" s="61" t="s">
        <v>36</v>
      </c>
      <c r="B30" s="62" t="s">
        <v>38</v>
      </c>
      <c r="C30" s="63">
        <v>1</v>
      </c>
      <c r="D30" s="64">
        <v>500000</v>
      </c>
      <c r="E30" s="65">
        <f t="shared" si="0"/>
        <v>500000</v>
      </c>
      <c r="F30" s="66"/>
      <c r="G30" s="133">
        <f>SUM(E29:E30)</f>
        <v>600000</v>
      </c>
    </row>
    <row r="31" spans="1:7" ht="18" customHeight="1" x14ac:dyDescent="0.3">
      <c r="A31" s="67" t="s">
        <v>39</v>
      </c>
      <c r="B31" s="68" t="s">
        <v>40</v>
      </c>
      <c r="C31" s="69">
        <v>1</v>
      </c>
      <c r="D31" s="70">
        <v>600000</v>
      </c>
      <c r="E31" s="71">
        <f t="shared" si="0"/>
        <v>600000</v>
      </c>
      <c r="F31" s="72"/>
    </row>
    <row r="32" spans="1:7" ht="18" customHeight="1" x14ac:dyDescent="0.3">
      <c r="A32" s="67" t="s">
        <v>39</v>
      </c>
      <c r="B32" s="68" t="s">
        <v>41</v>
      </c>
      <c r="C32" s="69">
        <v>1</v>
      </c>
      <c r="D32" s="70">
        <v>600000</v>
      </c>
      <c r="E32" s="71">
        <f t="shared" si="0"/>
        <v>600000</v>
      </c>
      <c r="F32" s="72"/>
    </row>
    <row r="33" spans="1:7" ht="18" customHeight="1" x14ac:dyDescent="0.3">
      <c r="A33" s="67" t="s">
        <v>39</v>
      </c>
      <c r="B33" s="68" t="s">
        <v>42</v>
      </c>
      <c r="C33" s="69">
        <v>1</v>
      </c>
      <c r="D33" s="70">
        <v>600000</v>
      </c>
      <c r="E33" s="71">
        <f t="shared" si="0"/>
        <v>600000</v>
      </c>
      <c r="F33" s="72"/>
    </row>
    <row r="34" spans="1:7" ht="18" customHeight="1" x14ac:dyDescent="0.3">
      <c r="A34" s="67" t="s">
        <v>39</v>
      </c>
      <c r="B34" s="68" t="s">
        <v>43</v>
      </c>
      <c r="C34" s="69">
        <v>1</v>
      </c>
      <c r="D34" s="70">
        <v>480000</v>
      </c>
      <c r="E34" s="71">
        <f t="shared" si="0"/>
        <v>480000</v>
      </c>
      <c r="F34" s="72"/>
    </row>
    <row r="35" spans="1:7" ht="18" customHeight="1" x14ac:dyDescent="0.3">
      <c r="A35" s="67" t="s">
        <v>39</v>
      </c>
      <c r="B35" s="68" t="s">
        <v>44</v>
      </c>
      <c r="C35" s="69">
        <v>1</v>
      </c>
      <c r="D35" s="70">
        <v>360000</v>
      </c>
      <c r="E35" s="71">
        <f t="shared" si="0"/>
        <v>360000</v>
      </c>
      <c r="F35" s="72"/>
    </row>
    <row r="36" spans="1:7" ht="18" customHeight="1" x14ac:dyDescent="0.3">
      <c r="A36" s="67" t="s">
        <v>39</v>
      </c>
      <c r="B36" s="68" t="s">
        <v>45</v>
      </c>
      <c r="C36" s="69">
        <v>1</v>
      </c>
      <c r="D36" s="70">
        <v>360000</v>
      </c>
      <c r="E36" s="71">
        <f t="shared" si="0"/>
        <v>360000</v>
      </c>
      <c r="F36" s="72"/>
    </row>
    <row r="37" spans="1:7" ht="18" customHeight="1" x14ac:dyDescent="0.3">
      <c r="A37" s="67" t="s">
        <v>39</v>
      </c>
      <c r="B37" s="68" t="s">
        <v>46</v>
      </c>
      <c r="C37" s="69">
        <v>1</v>
      </c>
      <c r="D37" s="70">
        <v>360000</v>
      </c>
      <c r="E37" s="71">
        <f t="shared" si="0"/>
        <v>360000</v>
      </c>
      <c r="F37" s="72"/>
    </row>
    <row r="38" spans="1:7" ht="18" customHeight="1" x14ac:dyDescent="0.3">
      <c r="A38" s="67" t="s">
        <v>39</v>
      </c>
      <c r="B38" s="68" t="s">
        <v>47</v>
      </c>
      <c r="C38" s="69">
        <v>1</v>
      </c>
      <c r="D38" s="70">
        <v>360000</v>
      </c>
      <c r="E38" s="71">
        <f t="shared" si="0"/>
        <v>360000</v>
      </c>
      <c r="F38" s="72"/>
    </row>
    <row r="39" spans="1:7" ht="18" customHeight="1" x14ac:dyDescent="0.3">
      <c r="A39" s="67" t="s">
        <v>39</v>
      </c>
      <c r="B39" s="68" t="s">
        <v>48</v>
      </c>
      <c r="C39" s="69">
        <v>1</v>
      </c>
      <c r="D39" s="70">
        <v>480000</v>
      </c>
      <c r="E39" s="71">
        <f t="shared" si="0"/>
        <v>480000</v>
      </c>
      <c r="F39" s="72"/>
      <c r="G39" s="133">
        <f>SUM(E31:E39)</f>
        <v>4200000</v>
      </c>
    </row>
    <row r="40" spans="1:7" ht="21.75" customHeight="1" x14ac:dyDescent="0.3">
      <c r="A40" s="73" t="s">
        <v>49</v>
      </c>
      <c r="B40" s="115"/>
      <c r="C40" s="73"/>
      <c r="D40" s="73"/>
      <c r="E40" s="74">
        <f>SUM(E4:E39)</f>
        <v>21246000</v>
      </c>
      <c r="F40" s="75"/>
      <c r="G40" s="133"/>
    </row>
    <row r="42" spans="1:7" ht="18" customHeight="1" x14ac:dyDescent="0.3">
      <c r="A42" s="76" t="s">
        <v>50</v>
      </c>
      <c r="B42" s="116"/>
      <c r="C42" s="76"/>
      <c r="D42" s="76"/>
      <c r="E42" s="76"/>
      <c r="F42" s="76"/>
    </row>
    <row r="43" spans="1:7" ht="15.75" customHeight="1" x14ac:dyDescent="0.3">
      <c r="A43" s="77" t="s">
        <v>2</v>
      </c>
      <c r="B43" s="77"/>
      <c r="C43" s="77"/>
      <c r="D43" s="77" t="s">
        <v>51</v>
      </c>
      <c r="E43" s="77" t="s">
        <v>52</v>
      </c>
      <c r="F43" s="77" t="s">
        <v>7</v>
      </c>
    </row>
    <row r="44" spans="1:7" ht="15.75" customHeight="1" x14ac:dyDescent="0.3">
      <c r="A44" s="78" t="s">
        <v>8</v>
      </c>
      <c r="B44" s="117"/>
      <c r="C44" s="78"/>
      <c r="D44" s="79">
        <f>G7</f>
        <v>2200000</v>
      </c>
      <c r="E44" s="80">
        <f>D44/E40</f>
        <v>0.10354890332297845</v>
      </c>
      <c r="F44" s="11"/>
    </row>
    <row r="45" spans="1:7" ht="15.75" customHeight="1" x14ac:dyDescent="0.3">
      <c r="A45" s="81" t="s">
        <v>12</v>
      </c>
      <c r="B45" s="118"/>
      <c r="C45" s="81"/>
      <c r="D45" s="82">
        <f>G12</f>
        <v>710000</v>
      </c>
      <c r="E45" s="83">
        <f>D45/E40</f>
        <v>3.3418055163324863E-2</v>
      </c>
      <c r="F45" s="18"/>
    </row>
    <row r="46" spans="1:7" ht="15.75" customHeight="1" x14ac:dyDescent="0.3">
      <c r="A46" s="84" t="s">
        <v>17</v>
      </c>
      <c r="B46" s="119"/>
      <c r="C46" s="84"/>
      <c r="D46" s="85">
        <f>G15</f>
        <v>1660000</v>
      </c>
      <c r="E46" s="86">
        <f>D46/E40</f>
        <v>7.8132354325520098E-2</v>
      </c>
      <c r="F46" s="24"/>
    </row>
    <row r="47" spans="1:7" ht="15.75" customHeight="1" x14ac:dyDescent="0.3">
      <c r="A47" s="87" t="s">
        <v>21</v>
      </c>
      <c r="B47" s="120"/>
      <c r="C47" s="87"/>
      <c r="D47" s="88">
        <f>G17</f>
        <v>3200000</v>
      </c>
      <c r="E47" s="89">
        <f>D47/E40</f>
        <v>0.15061658665160502</v>
      </c>
      <c r="F47" s="30"/>
    </row>
    <row r="48" spans="1:7" ht="15.75" customHeight="1" x14ac:dyDescent="0.3">
      <c r="A48" s="90" t="s">
        <v>24</v>
      </c>
      <c r="B48" s="121"/>
      <c r="C48" s="90"/>
      <c r="D48" s="91">
        <f>E18</f>
        <v>100000</v>
      </c>
      <c r="E48" s="92">
        <f>D48/E40</f>
        <v>4.7067683328626568E-3</v>
      </c>
      <c r="F48" s="36"/>
    </row>
    <row r="49" spans="1:6" ht="15.75" customHeight="1" x14ac:dyDescent="0.3">
      <c r="A49" s="93" t="s">
        <v>26</v>
      </c>
      <c r="B49" s="122"/>
      <c r="C49" s="93"/>
      <c r="D49" s="94">
        <f>G24</f>
        <v>6476000</v>
      </c>
      <c r="E49" s="95">
        <f>D49/E40</f>
        <v>0.30481031723618562</v>
      </c>
      <c r="F49" s="42"/>
    </row>
    <row r="50" spans="1:6" ht="15.75" customHeight="1" x14ac:dyDescent="0.3">
      <c r="A50" s="96" t="s">
        <v>29</v>
      </c>
      <c r="B50" s="123"/>
      <c r="C50" s="96"/>
      <c r="D50" s="97">
        <f>G25</f>
        <v>150000</v>
      </c>
      <c r="E50" s="98">
        <f>D50/E40</f>
        <v>7.0601524992939847E-3</v>
      </c>
      <c r="F50" s="48"/>
    </row>
    <row r="51" spans="1:6" ht="15.75" customHeight="1" x14ac:dyDescent="0.3">
      <c r="A51" s="99" t="s">
        <v>31</v>
      </c>
      <c r="B51" s="124"/>
      <c r="C51" s="99"/>
      <c r="D51" s="100">
        <f>G27</f>
        <v>1200000</v>
      </c>
      <c r="E51" s="101">
        <f>D51/E40</f>
        <v>5.6481219994351878E-2</v>
      </c>
      <c r="F51" s="54"/>
    </row>
    <row r="52" spans="1:6" ht="15.75" customHeight="1" x14ac:dyDescent="0.3">
      <c r="A52" s="102" t="s">
        <v>34</v>
      </c>
      <c r="B52" s="125"/>
      <c r="C52" s="102"/>
      <c r="D52" s="103">
        <f>E28</f>
        <v>750000</v>
      </c>
      <c r="E52" s="104">
        <f>D52/E40</f>
        <v>3.5300762496469927E-2</v>
      </c>
      <c r="F52" s="60"/>
    </row>
    <row r="53" spans="1:6" ht="15.75" customHeight="1" x14ac:dyDescent="0.3">
      <c r="A53" s="105" t="s">
        <v>36</v>
      </c>
      <c r="B53" s="126"/>
      <c r="C53" s="105"/>
      <c r="D53" s="106">
        <f>G30</f>
        <v>600000</v>
      </c>
      <c r="E53" s="107">
        <f>D53/E40</f>
        <v>2.8240609997175939E-2</v>
      </c>
      <c r="F53" s="66"/>
    </row>
    <row r="54" spans="1:6" ht="15.75" customHeight="1" x14ac:dyDescent="0.3">
      <c r="A54" s="108" t="s">
        <v>39</v>
      </c>
      <c r="B54" s="127"/>
      <c r="C54" s="108"/>
      <c r="D54" s="109">
        <f>E31+E32+E33+E34+E35+E36+E37+E38+E39</f>
        <v>4200000</v>
      </c>
      <c r="E54" s="110">
        <f>D54/E40</f>
        <v>0.19768426998023159</v>
      </c>
      <c r="F54" s="72"/>
    </row>
    <row r="55" spans="1:6" x14ac:dyDescent="0.3">
      <c r="D55" s="134">
        <f>SUM(D44:D54)</f>
        <v>21246000</v>
      </c>
    </row>
    <row r="56" spans="1:6" ht="13.5" customHeight="1" x14ac:dyDescent="0.3">
      <c r="A56" s="111"/>
      <c r="B56" s="128"/>
      <c r="C56" s="111"/>
      <c r="D56" s="135"/>
      <c r="E56" s="111"/>
      <c r="F56" s="111"/>
    </row>
    <row r="57" spans="1:6" x14ac:dyDescent="0.3">
      <c r="A57" s="112"/>
      <c r="B57" s="129"/>
      <c r="C57" s="113"/>
      <c r="D57" s="113"/>
      <c r="E57" s="113"/>
      <c r="F57" s="113"/>
    </row>
  </sheetData>
  <mergeCells count="2">
    <mergeCell ref="A20:A21"/>
    <mergeCell ref="A23:A24"/>
  </mergeCells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Year1 Procurement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Patrick Mwaura</cp:lastModifiedBy>
  <cp:revision>0</cp:revision>
  <dcterms:created xsi:type="dcterms:W3CDTF">2026-06-25T11:07:36Z</dcterms:created>
  <dcterms:modified xsi:type="dcterms:W3CDTF">2026-06-26T08:56:00Z</dcterms:modified>
  <dc:language>en-US</dc:language>
</cp:coreProperties>
</file>