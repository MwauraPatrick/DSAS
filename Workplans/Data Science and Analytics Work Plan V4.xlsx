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DSAS\Workplans\"/>
    </mc:Choice>
  </mc:AlternateContent>
  <bookViews>
    <workbookView xWindow="0" yWindow="0" windowWidth="6636" windowHeight="3948" activeTab="1"/>
  </bookViews>
  <sheets>
    <sheet name="Priority Work Plan" sheetId="7" r:id="rId1"/>
    <sheet name="Budget" sheetId="6" r:id="rId2"/>
    <sheet name="Wishlist" sheetId="4" r:id="rId3"/>
    <sheet name="Template" sheetId="8" r:id="rId4"/>
    <sheet name="Strategic Issue 3" sheetId="3" r:id="rId5"/>
    <sheet name="Section functions" sheetId="5" r:id="rId6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6" l="1"/>
  <c r="AB22" i="7"/>
  <c r="AB11" i="7"/>
  <c r="D236" i="8"/>
  <c r="D235" i="8"/>
  <c r="D237" i="8" s="1"/>
  <c r="B54" i="6" l="1"/>
  <c r="AB21" i="7"/>
  <c r="AB18" i="7"/>
  <c r="AB15" i="7"/>
  <c r="H4" i="6"/>
  <c r="H7" i="6"/>
  <c r="H6" i="6"/>
  <c r="H8" i="6"/>
  <c r="H9" i="6"/>
  <c r="H10" i="6"/>
  <c r="G34" i="4"/>
  <c r="J34" i="4"/>
  <c r="H12" i="6"/>
  <c r="H5" i="6"/>
  <c r="H11" i="6"/>
  <c r="H3" i="6"/>
  <c r="H13" i="6" l="1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2" i="4"/>
  <c r="J81" i="4" l="1"/>
  <c r="AB31" i="3"/>
  <c r="AB30" i="3" l="1"/>
  <c r="AB25" i="3"/>
  <c r="AB22" i="3"/>
  <c r="AB18" i="3"/>
  <c r="AB14" i="3"/>
  <c r="H22" i="4" l="1"/>
  <c r="G22" i="4"/>
  <c r="H7" i="4"/>
  <c r="G11" i="4"/>
  <c r="H12" i="4" s="1"/>
  <c r="G3" i="4"/>
  <c r="G4" i="4"/>
  <c r="H5" i="4" s="1"/>
  <c r="G5" i="4"/>
  <c r="G6" i="4"/>
  <c r="G7" i="4"/>
  <c r="G8" i="4"/>
  <c r="G9" i="4"/>
  <c r="H10" i="4" s="1"/>
  <c r="G10" i="4"/>
  <c r="G12" i="4"/>
  <c r="G13" i="4"/>
  <c r="G14" i="4"/>
  <c r="G15" i="4"/>
  <c r="G16" i="4"/>
  <c r="G17" i="4"/>
  <c r="H17" i="4" s="1"/>
  <c r="G18" i="4"/>
  <c r="H18" i="4" s="1"/>
  <c r="G19" i="4"/>
  <c r="H19" i="4" s="1"/>
  <c r="G20" i="4"/>
  <c r="H21" i="4" s="1"/>
  <c r="G21" i="4"/>
  <c r="G23" i="4"/>
  <c r="H23" i="4" s="1"/>
  <c r="G24" i="4"/>
  <c r="H80" i="4" s="1"/>
  <c r="G25" i="4"/>
  <c r="G26" i="4"/>
  <c r="G27" i="4"/>
  <c r="G28" i="4"/>
  <c r="G29" i="4"/>
  <c r="G30" i="4"/>
  <c r="G31" i="4"/>
  <c r="G32" i="4"/>
  <c r="G33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H16" i="4" l="1"/>
  <c r="G2" i="4" l="1"/>
  <c r="H3" i="4" s="1"/>
  <c r="H81" i="4" s="1"/>
  <c r="G81" i="4" l="1"/>
</calcChain>
</file>

<file path=xl/sharedStrings.xml><?xml version="1.0" encoding="utf-8"?>
<sst xmlns="http://schemas.openxmlformats.org/spreadsheetml/2006/main" count="809" uniqueCount="412">
  <si>
    <t>Activity</t>
  </si>
  <si>
    <t>Function Linkage</t>
  </si>
  <si>
    <t>(ii), (iii), (vi)</t>
  </si>
  <si>
    <t>Disease models and predictive analytics reports.</t>
  </si>
  <si>
    <t>(v), (ix)</t>
  </si>
  <si>
    <t>Performance Indicator</t>
  </si>
  <si>
    <t>1. Develop and Implement Data Governance, Policies and Systems</t>
  </si>
  <si>
    <t>(i), (iv), (x)</t>
  </si>
  <si>
    <t>Approved data governance framework and functional data systems.</t>
  </si>
  <si>
    <t>No. of policies developed/reviewed; data quality and system uptime.</t>
  </si>
  <si>
    <t>High-quality data analysis and research support outputs.</t>
  </si>
  <si>
    <t>3. Disease Modeling, Epidemiological Analysis and Predictive Analytics</t>
  </si>
  <si>
    <t>(vii), (viii), (xvi), (xvii), (xviii)</t>
  </si>
  <si>
    <t>4. Monitoring, Evaluation and Impact Assessment of Research Programs</t>
  </si>
  <si>
    <t>M&amp;E and impact assessment reports.</t>
  </si>
  <si>
    <t>No. of M&amp;E reports produced; evaluation studies completed.</t>
  </si>
  <si>
    <t>5. Bioinformatics, Innovation, Capacity Building and Knowledge Dissemination</t>
  </si>
  <si>
    <t>(xi), (xii), (xiii), (xiv), (xv), (xix), (xx)</t>
  </si>
  <si>
    <t>Advanced analytics outputs, trained staff, and publications.</t>
  </si>
  <si>
    <t>DRAFT 0 ANNUAL WORKPLAN 2026-2027</t>
  </si>
  <si>
    <t>Result Areas</t>
  </si>
  <si>
    <t>Sub Activities</t>
  </si>
  <si>
    <t xml:space="preserve"> Exptected Output</t>
  </si>
  <si>
    <t>Impact</t>
  </si>
  <si>
    <t>Target</t>
  </si>
  <si>
    <t>Means of Verification (MoV)</t>
  </si>
  <si>
    <t>Q1</t>
  </si>
  <si>
    <t>Q2</t>
  </si>
  <si>
    <t>Q3</t>
  </si>
  <si>
    <t>Q4</t>
  </si>
  <si>
    <t>Estimated Cost</t>
  </si>
  <si>
    <t>Responsibility</t>
  </si>
  <si>
    <t>Source of Funds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</si>
  <si>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</si>
  <si>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</si>
  <si>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</si>
  <si>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</si>
  <si>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</si>
  <si>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</si>
  <si>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</si>
  <si>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</si>
  <si>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</si>
  <si>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</si>
  <si>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</si>
  <si>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</si>
  <si>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Y4</t>
  </si>
  <si>
    <t xml:space="preserve">Lead </t>
  </si>
  <si>
    <t>Support</t>
  </si>
  <si>
    <t>Strategic Issue 3: Weak institutional capability for health research excellence</t>
  </si>
  <si>
    <t xml:space="preserve">Strategic Goal 3: To build institutional capacity to achieve excellence in health research through training, infrastructure development, enhancement of corporate governance and collaborations. </t>
  </si>
  <si>
    <t xml:space="preserve">Key Result Area 4:  Legal, regulatory and policy framework </t>
  </si>
  <si>
    <t>Outcome: Data management analytics and strategies developed and implemented</t>
  </si>
  <si>
    <t>Strategic Objective 3: To develop data management analytics and protection strategies</t>
  </si>
  <si>
    <t xml:space="preserve">i. Develop and review data policies and strategies
</t>
  </si>
  <si>
    <t xml:space="preserve">ii. Establish data governance frameworks
</t>
  </si>
  <si>
    <t xml:space="preserve">iii. Manage databases and data systems 
</t>
  </si>
  <si>
    <t xml:space="preserve">iv. Ensure data security and integrity; 
</t>
  </si>
  <si>
    <t>v. Automate data collection processes.</t>
  </si>
  <si>
    <t xml:space="preserve">i. Collect and manage data
</t>
  </si>
  <si>
    <t xml:space="preserve">ii. Analyze and interpret biological and health data
</t>
  </si>
  <si>
    <t xml:space="preserve">iii. Support study design and reporting
</t>
  </si>
  <si>
    <t xml:space="preserve">
iv. Provide statistical and analytical support to researchers.</t>
  </si>
  <si>
    <t xml:space="preserve">i. Conduct epidemiological studies
</t>
  </si>
  <si>
    <t xml:space="preserve">ii. Analyze disease patterns and trends; 
</t>
  </si>
  <si>
    <t xml:space="preserve">iii. Develop predictive and machine learning models
</t>
  </si>
  <si>
    <t>iv. Design and assess disease control programs.</t>
  </si>
  <si>
    <t xml:space="preserve">i. Provide M&amp;E services; evaluate research outcomes
</t>
  </si>
  <si>
    <t xml:space="preserve">ii. Assess economic and health impact of disease interventions
</t>
  </si>
  <si>
    <t>iii. Generate performance reports.</t>
  </si>
  <si>
    <t xml:space="preserve">i. Conduct bioinformatics and genomic analysis
</t>
  </si>
  <si>
    <t xml:space="preserve">ii. Develop computational tools
</t>
  </si>
  <si>
    <t xml:space="preserve">iii. Train staff and researchers
</t>
  </si>
  <si>
    <t xml:space="preserve">iv. Publish findings
</t>
  </si>
  <si>
    <t>v. Support conferences and scientific dissemination.</t>
  </si>
  <si>
    <t>No. of data governance frameworks developed.</t>
  </si>
  <si>
    <t xml:space="preserve">No. of Databases  and systems developed and managed.  </t>
  </si>
  <si>
    <t>No. of data security and integrity protocols installed .</t>
  </si>
  <si>
    <t xml:space="preserve">No. of automated data collection processes developed. </t>
  </si>
  <si>
    <t>DSAS</t>
  </si>
  <si>
    <t>RPDD</t>
  </si>
  <si>
    <t>1 Operational framework</t>
  </si>
  <si>
    <t>Improved accessibility and reliability.</t>
  </si>
  <si>
    <t xml:space="preserve">Improved data governance. </t>
  </si>
  <si>
    <t>99.9% Uptime and zero data loss</t>
  </si>
  <si>
    <t>RPDD and ICT</t>
  </si>
  <si>
    <t>2 Key pipelines automated</t>
  </si>
  <si>
    <t>Singed policy documents and board meeting minutes</t>
  </si>
  <si>
    <t xml:space="preserve">Terms of reference/ Charter and Governance committee/council meeting minutes. </t>
  </si>
  <si>
    <t>System uptime reports and
 databases maintance logs</t>
  </si>
  <si>
    <t>Security audit reports , pentest certificates 
and incident logs</t>
  </si>
  <si>
    <t>System functional specifications, API documentations and UAT(User Acceptance Testing) sign-off</t>
  </si>
  <si>
    <t>% of datasets with&lt;1% error rate ; completion rate</t>
  </si>
  <si>
    <t>Enhanced quality and credibility of research outputs. Ensures findings are based on clean, trustworthy data</t>
  </si>
  <si>
    <t>15 datasets archived with 100% integrity</t>
  </si>
  <si>
    <t>Validation reports, Audit logs and data management plans</t>
  </si>
  <si>
    <t>No. of reports produced with 100% accuracy score</t>
  </si>
  <si>
    <t>Scientific excellence: Translate raw data into actionable insights</t>
  </si>
  <si>
    <t xml:space="preserve">12 analytical reports published/shared </t>
  </si>
  <si>
    <t>Statistical reports (Bio- modelling outputs)</t>
  </si>
  <si>
    <t>No. of protocols approved, design quality score</t>
  </si>
  <si>
    <t xml:space="preserve">Methodological rigor: Increases grant success and minizes research bias. </t>
  </si>
  <si>
    <t>8 study protocols finalized and approved</t>
  </si>
  <si>
    <t>% Researcher satisfaction; No. of documented consults</t>
  </si>
  <si>
    <t>Capacity building: Empowers researchers with advanced data literacy skills</t>
  </si>
  <si>
    <t>30 consultations; 4 training workshops</t>
  </si>
  <si>
    <t xml:space="preserve">Feedback surveys; service logs; Training certificates issued. </t>
  </si>
  <si>
    <t>Workshop 1</t>
  </si>
  <si>
    <t>Workshop 2</t>
  </si>
  <si>
    <t>No. of studies finalized; stakeholders adoption</t>
  </si>
  <si>
    <t>Early warning: Identifies emerging health threats before they become crisis</t>
  </si>
  <si>
    <t>4 comprehensive studies completed</t>
  </si>
  <si>
    <t>Published study reports ; policy briefs</t>
  </si>
  <si>
    <t>Accuracy of trend pojections; No. of reports.</t>
  </si>
  <si>
    <t xml:space="preserve">Resource allocation: Helps health officials put staff/supplies where they are needed most. </t>
  </si>
  <si>
    <t>12 monthly trend reports produced</t>
  </si>
  <si>
    <t>Monthly surveillance reports; dashboards</t>
  </si>
  <si>
    <t>Model precision metrics ( recall, specification, sensisitivity, Brier score, ROC) ; uptime</t>
  </si>
  <si>
    <t xml:space="preserve">Proactive responses: Moves public health from reactive " damage control" to proactive prevention. </t>
  </si>
  <si>
    <t>2 functional models e.g Outbreaks/ Risk/pandemic</t>
  </si>
  <si>
    <t>Model source codes; technical manuals; validation reports</t>
  </si>
  <si>
    <t>% improvement in program efficiencies</t>
  </si>
  <si>
    <t xml:space="preserve">Accountability: Proves which health programs work and which need to be stopped or fixed. </t>
  </si>
  <si>
    <t>2 evaluations of diseses control programs</t>
  </si>
  <si>
    <t>Evaluation reports; M&amp;E frameworks.</t>
  </si>
  <si>
    <t xml:space="preserve">Continuous improvements: Identifies program failures early to pivot strategies and save resources. </t>
  </si>
  <si>
    <t>4 comprehensive M&amp;E reports (1 per quarter)</t>
  </si>
  <si>
    <t>M&amp;E reports, evaluation case studies</t>
  </si>
  <si>
    <t>RPDD and Planning</t>
  </si>
  <si>
    <t>Measurable change in health metrics; Cost benefit ratio</t>
  </si>
  <si>
    <t xml:space="preserve">Investiment justification: Provides hard data to donors and government that the research saved lives and money. </t>
  </si>
  <si>
    <t>Impact assessment reports; ROI models.</t>
  </si>
  <si>
    <t xml:space="preserve">2 impact assessment reports (e.g ROI/DALY) </t>
  </si>
  <si>
    <t>Timeliness of reports;stakeholders usage rate (%).</t>
  </si>
  <si>
    <t>Operational transparency: Keeps leadership informed in real-time preventing "blind spots" in management.</t>
  </si>
  <si>
    <t xml:space="preserve">12 monthly performance dashboards. </t>
  </si>
  <si>
    <t xml:space="preserve">Performance dashboard; Board minutes. </t>
  </si>
  <si>
    <t>No. of complex analysis performed</t>
  </si>
  <si>
    <t xml:space="preserve">Precision medicine: Unlocks deep biological insights that lead to targeted , more effective health treatments. </t>
  </si>
  <si>
    <t>6 Genomic studies completed</t>
  </si>
  <si>
    <t>Tool functionality; User adoption rate (%)</t>
  </si>
  <si>
    <t xml:space="preserve">Innovation: Automates complex tasks, allowing researchers to work faster and with fewer errors. </t>
  </si>
  <si>
    <t>1 new tool/pipeline launched</t>
  </si>
  <si>
    <t>Software repositories (GitHub); Technical manuals</t>
  </si>
  <si>
    <t>% Improvement in pre/post test scores</t>
  </si>
  <si>
    <t xml:space="preserve">Sustainability: Ensures the institution is not dependent on outside consultants for technical expertise. </t>
  </si>
  <si>
    <t xml:space="preserve">150 personnel trained (4 major sessions) </t>
  </si>
  <si>
    <t xml:space="preserve">Training certificates; attendance logs. </t>
  </si>
  <si>
    <t>RPDD, Capacity directorate , ICT</t>
  </si>
  <si>
    <t>Journal impact factor; No. of citations</t>
  </si>
  <si>
    <t>Global authority: Validates research through peer review and builds the institution's reputation</t>
  </si>
  <si>
    <t>10 peer reviewed papers published</t>
  </si>
  <si>
    <t xml:space="preserve">Published articles; DOI (Digital Object IDs ). </t>
  </si>
  <si>
    <t>No. of delegates quality of feedback</t>
  </si>
  <si>
    <t xml:space="preserve">Knowledge exchange: connects local researchers with global experts to foster new collaborations. </t>
  </si>
  <si>
    <t>3 scientific conferences hosted/supported</t>
  </si>
  <si>
    <t>Conference proceedings; Event reports</t>
  </si>
  <si>
    <t>Protection againist data breaches.</t>
  </si>
  <si>
    <t>Increased efficiency and speed.</t>
  </si>
  <si>
    <t xml:space="preserve">RPDD, CBPGMD </t>
  </si>
  <si>
    <t>RPDD, Corporate Communication.</t>
  </si>
  <si>
    <t>Bio- ,Statistical reports; Processed sequence data</t>
  </si>
  <si>
    <t>Uptime and 0 data loss</t>
  </si>
  <si>
    <t xml:space="preserve">Activity </t>
  </si>
  <si>
    <t>Subactivity</t>
  </si>
  <si>
    <t>Details</t>
  </si>
  <si>
    <t>Quantity</t>
  </si>
  <si>
    <t xml:space="preserve">Unit price </t>
  </si>
  <si>
    <t>Zero Data Loss</t>
  </si>
  <si>
    <t>Zero Vulnerabilities</t>
  </si>
  <si>
    <t>API Development</t>
  </si>
  <si>
    <t>3 New Policies</t>
  </si>
  <si>
    <t>i. Develop and review data policies and strategies</t>
  </si>
  <si>
    <t>Stakeholder Input &amp; Review</t>
  </si>
  <si>
    <t>Policy Drafting</t>
  </si>
  <si>
    <t>1 Operational Framework</t>
  </si>
  <si>
    <t>ii. Establish data governance frameworks</t>
  </si>
  <si>
    <t>Charter Development</t>
  </si>
  <si>
    <t>Board/Council Approval</t>
  </si>
  <si>
    <t>Zero Critical Vulnerabilities</t>
  </si>
  <si>
    <t>iv. Ensure data security and integrity</t>
  </si>
  <si>
    <t>Vulnerability Assessment</t>
  </si>
  <si>
    <t>Protocol Implementation</t>
  </si>
  <si>
    <t>2 Key Pipelines Automated</t>
  </si>
  <si>
    <t>v. Automate data collection processes</t>
  </si>
  <si>
    <t>Staff Capacity</t>
  </si>
  <si>
    <t>12 Analytical Reports</t>
  </si>
  <si>
    <t>ii. Analyze and interpret data</t>
  </si>
  <si>
    <t>Research Hardware</t>
  </si>
  <si>
    <t>Qualified Workforce</t>
  </si>
  <si>
    <t>iv. Statistical/Analytical support</t>
  </si>
  <si>
    <t>Advanced Training</t>
  </si>
  <si>
    <t>Continuous Coaching</t>
  </si>
  <si>
    <t>Capacity Building</t>
  </si>
  <si>
    <t>Monitoring Support</t>
  </si>
  <si>
    <t>Monthly statistical coaching/consultancy sessions</t>
  </si>
  <si>
    <t>Scientific Excellence</t>
  </si>
  <si>
    <t>V. Bioinformatics &amp; Innovation</t>
  </si>
  <si>
    <t>High-End Server Cluster</t>
  </si>
  <si>
    <t>2x AMD EPYC (64 cores), 2x RTX 4090 GPUs, 256GB RAM</t>
  </si>
  <si>
    <t>99.9% Uptime</t>
  </si>
  <si>
    <t>I. Data Governance &amp; Systems</t>
  </si>
  <si>
    <t>Central Power Backup</t>
  </si>
  <si>
    <t>Smart UPS 3KVA (For server rack protection)</t>
  </si>
  <si>
    <t>Enterprise Virtualization</t>
  </si>
  <si>
    <t>Proxmox/Docker Setup &amp; Cloud Sync (Consultancy)</t>
  </si>
  <si>
    <t>Network Security</t>
  </si>
  <si>
    <t>Firewall, VPN Setup &amp; SSL Certificates (Annual)</t>
  </si>
  <si>
    <t>Operational Support</t>
  </si>
  <si>
    <t>Communication &amp; Data</t>
  </si>
  <si>
    <t>Mobile Data/Airtime &amp; High-Speed MiFi Backups</t>
  </si>
  <si>
    <r>
      <t>The total budget for a 40-person, 2-day
 policy workshop and drafting phase is </t>
    </r>
    <r>
      <rPr>
        <sz val="10"/>
        <color rgb="FF0A0A0A"/>
        <rFont val="Arial"/>
        <family val="2"/>
      </rPr>
      <t>3,200,000, 
covering 1,120,000 for DSA, 480,000 for 
venue/refreshments, 100,000 for transport, 
and 1,200,000 for the consultant/legal drafting fee.</t>
    </r>
  </si>
  <si>
    <t xml:space="preserve">Venue and refreshments for policy workshop 
DSA: 40 X14000, 
Conference: 4000 X 40 X 7 days,
Transport/Fuel:  200000 </t>
  </si>
  <si>
    <t>Monthly expert mentorship/statistical coaching sessions (Facilitation fee of the coach)</t>
  </si>
  <si>
    <r>
      <t xml:space="preserve">Sitting allowance: 8 X 20000X4 , 
Board Lunch : 2000X8X4 , 
Board Mileage: 50000X4, 
Refreshments:20000X4 , 
</t>
    </r>
    <r>
      <rPr>
        <sz val="11"/>
        <color rgb="FFFF0000"/>
        <rFont val="Aptos Narrow"/>
        <charset val="1"/>
        <scheme val="minor"/>
      </rPr>
      <t>Meeting allowances and printing of Terms of Reference</t>
    </r>
  </si>
  <si>
    <t>Tablets</t>
  </si>
  <si>
    <t>Automated CSPro-REDCap integration for secure, offline-to-cloud research data pipelines.</t>
  </si>
  <si>
    <t>Mobile tablets configured for offline/online field data collection and  synchronization and tools development.</t>
  </si>
  <si>
    <t>2TB External Drives (Physical backup of data systems)</t>
  </si>
  <si>
    <t>Penetration Testing (Pen-Test) by certified Ethical Hackers</t>
  </si>
  <si>
    <t>MFA (Multi-Factor Authentication) license and setup for 60 users</t>
  </si>
  <si>
    <t>Data Science &amp; ML Bootcamp (Professional training for lead team)
Conference:  4000X12X7, 
DSA: 12X14000X7 , 
Transport/Fuel: 100000</t>
  </si>
  <si>
    <t>Backup Storage  and archiving</t>
  </si>
  <si>
    <t>DSA: 20 X 14,000X5
Conference: 20 X 4,000X5
Transport/Fuel: 250,000 (lump sum)</t>
  </si>
  <si>
    <t>i7/i9 High-end Tower PCs for bio-modeling (GPU-accelerated for ML)</t>
  </si>
  <si>
    <t>Data Science &amp; ML 6-Month Bootcamp (Specialized)</t>
  </si>
  <si>
    <t>Cooling system</t>
  </si>
  <si>
    <t>Maintenance</t>
  </si>
  <si>
    <t>Server room</t>
  </si>
  <si>
    <t xml:space="preserve">Dual Net face plate </t>
  </si>
  <si>
    <t>Single net face plate</t>
  </si>
  <si>
    <t>Cable label printer</t>
  </si>
  <si>
    <t xml:space="preserve">LAN Cable tester </t>
  </si>
  <si>
    <t>Access Point</t>
  </si>
  <si>
    <t>Ups for switches</t>
  </si>
  <si>
    <t>Cable ties set</t>
  </si>
  <si>
    <t>RJ45 Box</t>
  </si>
  <si>
    <t>Clips Set</t>
  </si>
  <si>
    <t>Patrice Boxes</t>
  </si>
  <si>
    <t>Patch Cable 1m</t>
  </si>
  <si>
    <t>Patch Cable 3m</t>
  </si>
  <si>
    <t>Cable organizer</t>
  </si>
  <si>
    <t>Computer Repair Tool Kit</t>
  </si>
  <si>
    <t>38 in 1 electron screw driver set</t>
  </si>
  <si>
    <t>Flash Disk 16Gb</t>
  </si>
  <si>
    <t>UPS 1.5KvA</t>
  </si>
  <si>
    <t>Smart UPS 3KVA</t>
  </si>
  <si>
    <t>Linux System Setup &amp; Virtualization (Proxmox / Docker)</t>
  </si>
  <si>
    <t>Network &amp; Security Setup (VPN, Firewall, SSL Certificates)</t>
  </si>
  <si>
    <t>Backup Configuration (Konza or Off-site Integration)- Archival, backup, and DR hosting</t>
  </si>
  <si>
    <t>Cable 2.5mm sq.m (E.A)  (Roll)</t>
  </si>
  <si>
    <t>Cable 1.5mm sq.m (E.A)  (Roll)</t>
  </si>
  <si>
    <t>13A Socket  crab Tree single (Pcs)</t>
  </si>
  <si>
    <t>Top Plug 13Amps (Pcs)</t>
  </si>
  <si>
    <t>Shallow patress Box (Pcs)</t>
  </si>
  <si>
    <t>Insulating tape Globe red (Pcs)</t>
  </si>
  <si>
    <t>30Amps AVS sollateck (Pcs)</t>
  </si>
  <si>
    <t>Electric kettle</t>
  </si>
  <si>
    <t>Water dispenser (Hot &amp; Cold)</t>
  </si>
  <si>
    <t xml:space="preserve"> Office desk 1.5m</t>
  </si>
  <si>
    <t xml:space="preserve">Office chairs medium, Fabric-black </t>
  </si>
  <si>
    <t>locker Steel cabinet</t>
  </si>
  <si>
    <t>Coffee table</t>
  </si>
  <si>
    <t>Mesh Office Chairs</t>
  </si>
  <si>
    <t>Visitors Chairs</t>
  </si>
  <si>
    <t>4 way workstation</t>
  </si>
  <si>
    <t>Office Point magnetic white board 8*4ft</t>
  </si>
  <si>
    <t>CentOS / Rocky Linux Server (Base OS)</t>
  </si>
  <si>
    <t>VPN (Virtual Private Network)</t>
  </si>
  <si>
    <t>SFTP (Secure File Transfer Protocol)</t>
  </si>
  <si>
    <t>RBAC (Role-Based Access Control)</t>
  </si>
  <si>
    <t>Audit Logging &amp; Monitoring</t>
  </si>
  <si>
    <t>Encryption Tools</t>
  </si>
  <si>
    <t>Industrial gloves</t>
  </si>
  <si>
    <t>Bar soap 1kg</t>
  </si>
  <si>
    <t>Dustbins</t>
  </si>
  <si>
    <t>Papertowels</t>
  </si>
  <si>
    <t>Printing and duplication</t>
  </si>
  <si>
    <t xml:space="preserve">Expert Modeling </t>
  </si>
  <si>
    <t>Data Science &amp; ML 6-Month Bootcamp (per person)</t>
  </si>
  <si>
    <t>Server intalling and nonfigurations consultations</t>
  </si>
  <si>
    <t>Consultations</t>
  </si>
  <si>
    <t>Operations</t>
  </si>
  <si>
    <t>GOK</t>
  </si>
  <si>
    <t>2. Data Collection, Analysis and Research Support Services</t>
  </si>
  <si>
    <t xml:space="preserve">MacBook Air M3 13" (16GB RAM/512GB SSD) </t>
  </si>
  <si>
    <t>0 critical vulnerabilities; 4 Reports</t>
  </si>
  <si>
    <t>3 policies</t>
  </si>
  <si>
    <t>ISREC approval letters; final protocols</t>
  </si>
  <si>
    <t>Section functions</t>
  </si>
  <si>
    <t>(iii) Support in the design, development, and reporting of research studies</t>
  </si>
  <si>
    <t>(iv) Undertake data safeguarding and management of databases, softwares and workflows</t>
  </si>
  <si>
    <t>(vii) Establish the ecological, epidemiological and natural history of a disease.</t>
  </si>
  <si>
    <t>(viii) Design, monitor and assess disease control programmes.</t>
  </si>
  <si>
    <t>(x) Identify valuable data sources and automate collection processes.</t>
  </si>
  <si>
    <t>(xii) Assist scientists by providing effective analysis and feedback on all bioinformatics</t>
  </si>
  <si>
    <t>(xvi) Build predictive models and machine-learning algorithms.</t>
  </si>
  <si>
    <t>(xvii) Undertake model combinations through ensemble modeling.</t>
  </si>
  <si>
    <t>(xviii) Analyze large amounts of information to discover disease trends and patterns</t>
  </si>
  <si>
    <t>(xix) Conduct capacity building and mentorships in biostatistics and modeling.</t>
  </si>
  <si>
    <t>(xx) Disseminate scientific findings through publications, conferences, seminars and workshops</t>
  </si>
  <si>
    <t>(i) Assist in formulation, implementation and review of policies, strategies and guidelines on data analytics</t>
  </si>
  <si>
    <t>(ii) Collect, analyze and interpret biological and health science data across multiple research entities in the institute.</t>
  </si>
  <si>
    <t>(v) Provide monitoring and evaluation services to all research projects undertaken within the institution.</t>
  </si>
  <si>
    <t>(vi) Collect, analyze and interpret biological and health science data across multiple research entities in the institute.</t>
  </si>
  <si>
    <t>(ix) Evaluate the effects of a disease, and analysis of the costs and economic benefits of alternative control programmes.</t>
  </si>
  <si>
    <t>(xi) Perform research and analysis on all algorithms and coordinate with various teams and provide support to various research programs</t>
  </si>
  <si>
    <t>(xiii) Provide training to community and analyze various genome sequencing projects for various research projects</t>
  </si>
  <si>
    <t>(xiv) Manage all genomic and proteomic data and maintain knowledge on all scientific literature and prepare appropriate reports</t>
  </si>
  <si>
    <t>(xv) Design various new computational tools for bioinformatics and assemble and prepare data structures and determine an effective data analysis framework.</t>
  </si>
  <si>
    <t>Priority</t>
  </si>
  <si>
    <t>PRIORITIZED ITEMS AS PER THE ALLOCATED BUDGET OF 3,000,000</t>
  </si>
  <si>
    <t>Total</t>
  </si>
  <si>
    <t>Priority. Quantity</t>
  </si>
  <si>
    <t>Partially Costed</t>
  </si>
  <si>
    <t>13Amps AVS sollateck (Pcs)</t>
  </si>
  <si>
    <t>Printing publication and stickers</t>
  </si>
  <si>
    <t>Data Science Professional training for lead team</t>
  </si>
  <si>
    <t>5 datasets archived with 100% integrity</t>
  </si>
  <si>
    <t>1 functional models e.g Outbreaks/ Risk/pandemic</t>
  </si>
  <si>
    <t>1 evaluations of diseses control programs</t>
  </si>
  <si>
    <t>1 comprehensive M&amp;E reports (1 per quarter)</t>
  </si>
  <si>
    <t xml:space="preserve">1 impact assessment reports (e.g ROI/DALY) </t>
  </si>
  <si>
    <t xml:space="preserve">4 Quarterly  performance dashboards. </t>
  </si>
  <si>
    <t>10 consultations; 2 training workshops</t>
  </si>
  <si>
    <t>1 comprehensive studies completed</t>
  </si>
  <si>
    <t xml:space="preserve">2 analytical reports published/shared </t>
  </si>
  <si>
    <t>PROCUREMENT PLAN TEMPLATE</t>
  </si>
  <si>
    <t>ITEM DESCRIPTION</t>
  </si>
  <si>
    <t>QTY</t>
  </si>
  <si>
    <t>ESTIMATED UNIT PRICE</t>
  </si>
  <si>
    <t>TOTAL ESTIMATED  PRICE</t>
  </si>
  <si>
    <t>USER DEPT</t>
  </si>
  <si>
    <t>PROCUREMENT METHOD</t>
  </si>
  <si>
    <t>SOURCE OF FUNDS</t>
  </si>
  <si>
    <t>YOUTH</t>
  </si>
  <si>
    <t>WOMEN</t>
  </si>
  <si>
    <t>PWD</t>
  </si>
  <si>
    <t>CITIZEN</t>
  </si>
  <si>
    <t>QUARTER REQUIRED</t>
  </si>
  <si>
    <t>1ST</t>
  </si>
  <si>
    <t>2ND</t>
  </si>
  <si>
    <t>3RD</t>
  </si>
  <si>
    <t>4TH</t>
  </si>
  <si>
    <t>1.ADVERTISEMENT</t>
  </si>
  <si>
    <t>Qnty</t>
  </si>
  <si>
    <t>2.Cartridges and Toners</t>
  </si>
  <si>
    <t>3.COMPUTER ACCESSORIES</t>
  </si>
  <si>
    <t>4.COMPUTER HARDWARE</t>
  </si>
  <si>
    <t>5. CONTRACTED SERVICES</t>
  </si>
  <si>
    <t>6. ADMISSION TICKETS</t>
  </si>
  <si>
    <t>7. Electricals</t>
  </si>
  <si>
    <t>Office consumables</t>
  </si>
  <si>
    <t>8.Furniture</t>
  </si>
  <si>
    <t>9.Motor Vehicle Expenses</t>
  </si>
  <si>
    <t>10.Janitorials</t>
  </si>
  <si>
    <t>11.Printing and duplication</t>
  </si>
  <si>
    <t>12. Stationery</t>
  </si>
  <si>
    <t>13.Maintenance of Buildings</t>
  </si>
  <si>
    <t>14.Cage maintenence</t>
  </si>
  <si>
    <t>15. Maintenance of monuments</t>
  </si>
  <si>
    <t>16.Tools and Equipments new</t>
  </si>
  <si>
    <t>18.First Aid</t>
  </si>
  <si>
    <t>19.. Staff Uniforms and protective clothing</t>
  </si>
  <si>
    <t>20.Food  for Rations</t>
  </si>
  <si>
    <t>21. Air Fares</t>
  </si>
  <si>
    <t>22. Food for Primates</t>
  </si>
  <si>
    <t>23. Medical and Surgical supplies</t>
  </si>
  <si>
    <t>24. laboratory  Equipment</t>
  </si>
  <si>
    <t>25.Laboratory chemicals and supplies</t>
  </si>
  <si>
    <t>26. Conferences/ Retreats/  Training</t>
  </si>
  <si>
    <t>27. Gases</t>
  </si>
  <si>
    <t>28.Fertilizers</t>
  </si>
  <si>
    <t>29. Library Books / Journals</t>
  </si>
  <si>
    <t>SUMMARY</t>
  </si>
  <si>
    <t>Amount</t>
  </si>
  <si>
    <t>Promotional and branding material and services</t>
  </si>
  <si>
    <t>Development of websites</t>
  </si>
  <si>
    <t>Cartridges and toners</t>
  </si>
  <si>
    <t>Computer accessories</t>
  </si>
  <si>
    <t>Computer hardware</t>
  </si>
  <si>
    <t>Contracted services</t>
  </si>
  <si>
    <t>Electricals</t>
  </si>
  <si>
    <t>Building and hardware materials</t>
  </si>
  <si>
    <t>office furniture</t>
  </si>
  <si>
    <t>Motor vehicle expenses</t>
  </si>
  <si>
    <t>Servicing and maintenance of vehicles</t>
  </si>
  <si>
    <t xml:space="preserve">Fuel </t>
  </si>
  <si>
    <t>Janitorials</t>
  </si>
  <si>
    <t>Stationeries</t>
  </si>
  <si>
    <t>Maintenance of buildings</t>
  </si>
  <si>
    <t>Cage maintenance</t>
  </si>
  <si>
    <t>Maintenance of lab equipment</t>
  </si>
  <si>
    <t>New laboratory equipment</t>
  </si>
  <si>
    <t>Colony supplies</t>
  </si>
  <si>
    <t>Staff uniforms and protective gears</t>
  </si>
  <si>
    <t>Air Fares</t>
  </si>
  <si>
    <t>Food for primates</t>
  </si>
  <si>
    <t>Medical and surgical supplies</t>
  </si>
  <si>
    <t>Lab chemicals and reagents</t>
  </si>
  <si>
    <t>New tools and equipment</t>
  </si>
  <si>
    <t>Audio visual equipment</t>
  </si>
  <si>
    <t>Networking services</t>
  </si>
  <si>
    <t>Conferences/retreats/training</t>
  </si>
  <si>
    <t xml:space="preserve">                     </t>
  </si>
  <si>
    <t>Gases</t>
  </si>
  <si>
    <t>Manure/seeds/fertilizer</t>
  </si>
  <si>
    <t>Waste disposal containers</t>
  </si>
  <si>
    <t>SUB TOTAL</t>
  </si>
  <si>
    <t>DEVELOPMENT</t>
  </si>
  <si>
    <t>TOTAL</t>
  </si>
  <si>
    <t xml:space="preserve">  </t>
  </si>
  <si>
    <t>MacBook Pro 16-inch (M4 Max,14-16 core CPU, 32-40 core GPU, 64 GB unified memory, 2 TB SSD)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</si>
</sst>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&quot;Ksh&quot;* #,##0.00_-;\-&quot;Ksh&quot;* #,##0.00_-;_-&quot;Ksh&quot;* &quot;-&quot;??_-;_-@_-"/>
    <numFmt numFmtId="43" formatCode="_-* #,##0.00_-;\-* #,##0.00_-;_-* &quot;-&quot;??_-;_-@_-"/>
    <numFmt numFmtId="164" formatCode="&quot;Ksh&quot;#,##0.00"/>
  </numFmts>
  <fonts count="22">
    <font>
      <sz val="11"/>
      <color theme="1"/>
      <name val="Aptos Narrow"/>
      <family val="2"/>
      <scheme val="minor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b/>
      <sz val="10"/>
      <color rgb="FF000000"/>
      <name val="Tahoma"/>
      <family val="2"/>
    </font>
    <font>
      <b/>
      <sz val="10"/>
      <color rgb="FFFF0000"/>
      <name val="Tahoma"/>
      <family val="2"/>
    </font>
    <font>
      <sz val="10"/>
      <color rgb="FF000000"/>
      <name val="Tahoma"/>
      <family val="2"/>
    </font>
    <font>
      <sz val="11"/>
      <color rgb="FF006100"/>
      <name val="Aptos Narrow"/>
      <family val="2"/>
      <charset val="1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charset val="1"/>
      <scheme val="minor"/>
    </font>
    <font>
      <sz val="10"/>
      <color rgb="FF0A0A0A"/>
      <name val="Arial"/>
      <family val="2"/>
    </font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charset val="1"/>
      <scheme val="minor"/>
    </font>
    <font>
      <sz val="11"/>
      <color rgb="FF9C6500"/>
      <name val="Aptos Narrow"/>
      <family val="2"/>
      <charset val="1"/>
      <scheme val="minor"/>
    </font>
    <font>
      <sz val="11"/>
      <color rgb="FF3F3F76"/>
      <name val="Aptos Narrow"/>
      <family val="2"/>
      <charset val="1"/>
      <scheme val="minor"/>
    </font>
    <font>
      <sz val="11"/>
      <color theme="0"/>
      <name val="Aptos Narrow"/>
      <family val="2"/>
      <charset val="1"/>
      <scheme val="minor"/>
    </font>
    <font>
      <sz val="11"/>
      <color rgb="FFFF0000"/>
      <name val="Aptos Narrow"/>
      <charset val="1"/>
      <scheme val="minor"/>
    </font>
    <font>
      <sz val="11"/>
      <color theme="1"/>
      <name val="Aptos Narrow"/>
      <charset val="1"/>
      <scheme val="minor"/>
    </font>
    <font>
      <sz val="11"/>
      <color theme="1"/>
      <name val="Aptos Display"/>
      <family val="2"/>
      <scheme val="major"/>
    </font>
    <font>
      <b/>
      <sz val="11"/>
      <color theme="1"/>
      <name val="Wingdings"/>
      <charset val="2"/>
    </font>
    <font>
      <sz val="11"/>
      <color theme="1"/>
      <name val="Calibri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1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theme="7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7F7F7F"/>
      </bottom>
      <diagonal/>
    </border>
  </borders>
  <cellStyleXfs count="7">
    <xf numFmtId="0" fontId="0" fillId="0" borderId="0"/>
    <xf numFmtId="0" fontId="6" fillId="8" borderId="0" applyNumberFormat="0" applyBorder="0" applyAlignment="0" applyProtection="0"/>
    <xf numFmtId="43" fontId="10" fillId="0" borderId="0" applyFont="0" applyFill="0" applyBorder="0" applyAlignment="0" applyProtection="0"/>
    <xf numFmtId="0" fontId="11" fillId="9" borderId="0" applyNumberFormat="0" applyBorder="0" applyAlignment="0" applyProtection="0"/>
    <xf numFmtId="0" fontId="12" fillId="10" borderId="0" applyNumberFormat="0" applyBorder="0" applyAlignment="0" applyProtection="0"/>
    <xf numFmtId="0" fontId="13" fillId="11" borderId="6" applyNumberFormat="0" applyAlignment="0" applyProtection="0"/>
    <xf numFmtId="0" fontId="14" fillId="12" borderId="0" applyNumberFormat="0" applyBorder="0" applyAlignment="0" applyProtection="0"/>
  </cellStyleXfs>
  <cellXfs count="180">
    <xf numFmtId="0" fontId="0" fillId="0" borderId="0" xfId="0"/>
    <xf numFmtId="0" fontId="3" fillId="3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left" vertical="top" wrapText="1"/>
    </xf>
    <xf numFmtId="0" fontId="5" fillId="7" borderId="1" xfId="0" applyFont="1" applyFill="1" applyBorder="1" applyAlignment="1">
      <alignment vertical="top" wrapText="1"/>
    </xf>
    <xf numFmtId="0" fontId="1" fillId="0" borderId="0" xfId="0" applyFont="1" applyAlignment="1">
      <alignment vertical="top"/>
    </xf>
    <xf numFmtId="0" fontId="2" fillId="0" borderId="1" xfId="0" applyFont="1" applyBorder="1" applyAlignment="1">
      <alignment vertical="top"/>
    </xf>
    <xf numFmtId="0" fontId="5" fillId="0" borderId="1" xfId="0" applyFont="1" applyBorder="1" applyAlignment="1">
      <alignment horizontal="left" vertical="top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7" borderId="1" xfId="0" applyFont="1" applyFill="1" applyBorder="1" applyAlignment="1">
      <alignment vertical="center" wrapText="1"/>
    </xf>
    <xf numFmtId="0" fontId="6" fillId="8" borderId="1" xfId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3" fontId="0" fillId="0" borderId="0" xfId="0" applyNumberFormat="1"/>
    <xf numFmtId="0" fontId="8" fillId="0" borderId="0" xfId="0" applyFont="1"/>
    <xf numFmtId="3" fontId="2" fillId="0" borderId="1" xfId="0" applyNumberFormat="1" applyFont="1" applyBorder="1" applyAlignment="1">
      <alignment vertical="top"/>
    </xf>
    <xf numFmtId="0" fontId="0" fillId="0" borderId="0" xfId="0" applyAlignment="1">
      <alignment wrapText="1"/>
    </xf>
    <xf numFmtId="0" fontId="16" fillId="0" borderId="5" xfId="0" applyFont="1" applyBorder="1" applyAlignment="1">
      <alignment horizontal="left" vertical="top" wrapText="1"/>
    </xf>
    <xf numFmtId="0" fontId="17" fillId="0" borderId="0" xfId="0" applyFont="1" applyBorder="1"/>
    <xf numFmtId="3" fontId="0" fillId="0" borderId="5" xfId="0" applyNumberFormat="1" applyBorder="1" applyAlignment="1">
      <alignment horizontal="right" vertical="top" wrapText="1"/>
    </xf>
    <xf numFmtId="0" fontId="16" fillId="0" borderId="0" xfId="0" applyFont="1"/>
    <xf numFmtId="0" fontId="8" fillId="0" borderId="0" xfId="0" applyFont="1" applyAlignment="1"/>
    <xf numFmtId="0" fontId="0" fillId="0" borderId="0" xfId="0" applyAlignment="1"/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17" fillId="0" borderId="5" xfId="0" applyFont="1" applyBorder="1"/>
    <xf numFmtId="0" fontId="0" fillId="0" borderId="5" xfId="0" applyFill="1" applyBorder="1" applyAlignment="1">
      <alignment horizontal="left" vertical="top" wrapText="1"/>
    </xf>
    <xf numFmtId="0" fontId="17" fillId="0" borderId="5" xfId="0" applyFont="1" applyBorder="1" applyAlignment="1">
      <alignment horizontal="left"/>
    </xf>
    <xf numFmtId="0" fontId="0" fillId="0" borderId="5" xfId="0" applyBorder="1" applyAlignment="1">
      <alignment horizontal="left"/>
    </xf>
    <xf numFmtId="3" fontId="0" fillId="0" borderId="5" xfId="0" applyNumberFormat="1" applyBorder="1" applyAlignment="1">
      <alignment vertical="top" wrapText="1"/>
    </xf>
    <xf numFmtId="43" fontId="17" fillId="0" borderId="0" xfId="2" applyFont="1" applyFill="1" applyBorder="1" applyAlignment="1"/>
    <xf numFmtId="43" fontId="17" fillId="0" borderId="5" xfId="2" applyFont="1" applyBorder="1" applyAlignment="1"/>
    <xf numFmtId="0" fontId="0" fillId="0" borderId="5" xfId="0" applyBorder="1" applyAlignment="1"/>
    <xf numFmtId="43" fontId="17" fillId="0" borderId="5" xfId="2" applyFont="1" applyFill="1" applyBorder="1" applyAlignment="1"/>
    <xf numFmtId="0" fontId="8" fillId="0" borderId="0" xfId="0" applyFont="1" applyAlignment="1">
      <alignment horizontal="right"/>
    </xf>
    <xf numFmtId="3" fontId="0" fillId="0" borderId="0" xfId="0" applyNumberFormat="1" applyFill="1" applyBorder="1" applyAlignment="1">
      <alignment horizontal="right" vertical="top" wrapText="1"/>
    </xf>
    <xf numFmtId="0" fontId="0" fillId="0" borderId="0" xfId="0" applyAlignment="1">
      <alignment horizontal="right"/>
    </xf>
    <xf numFmtId="164" fontId="2" fillId="0" borderId="0" xfId="0" applyNumberFormat="1" applyFont="1" applyAlignment="1">
      <alignment vertical="top"/>
    </xf>
    <xf numFmtId="164" fontId="3" fillId="2" borderId="1" xfId="0" applyNumberFormat="1" applyFont="1" applyFill="1" applyBorder="1" applyAlignment="1">
      <alignment horizontal="left" vertical="top" wrapText="1"/>
    </xf>
    <xf numFmtId="164" fontId="5" fillId="0" borderId="1" xfId="0" applyNumberFormat="1" applyFont="1" applyBorder="1" applyAlignment="1">
      <alignment vertical="top" wrapText="1"/>
    </xf>
    <xf numFmtId="164" fontId="6" fillId="8" borderId="1" xfId="1" applyNumberFormat="1" applyBorder="1" applyAlignment="1">
      <alignment horizontal="left" vertical="top" wrapText="1"/>
    </xf>
    <xf numFmtId="164" fontId="12" fillId="10" borderId="1" xfId="4" applyNumberFormat="1" applyBorder="1" applyAlignment="1">
      <alignment vertical="top" wrapText="1"/>
    </xf>
    <xf numFmtId="164" fontId="13" fillId="11" borderId="6" xfId="5" applyNumberFormat="1" applyAlignment="1">
      <alignment vertical="top" wrapText="1"/>
    </xf>
    <xf numFmtId="164" fontId="11" fillId="9" borderId="1" xfId="3" applyNumberFormat="1" applyBorder="1" applyAlignment="1">
      <alignment vertical="top" wrapText="1"/>
    </xf>
    <xf numFmtId="164" fontId="14" fillId="12" borderId="1" xfId="6" applyNumberFormat="1" applyBorder="1" applyAlignment="1">
      <alignment vertical="top" wrapText="1"/>
    </xf>
    <xf numFmtId="0" fontId="6" fillId="8" borderId="1" xfId="1" applyBorder="1" applyAlignment="1">
      <alignment vertical="top" wrapText="1"/>
    </xf>
    <xf numFmtId="0" fontId="12" fillId="10" borderId="1" xfId="4" applyBorder="1" applyAlignment="1">
      <alignment vertical="top" wrapText="1"/>
    </xf>
    <xf numFmtId="0" fontId="12" fillId="10" borderId="1" xfId="4" applyBorder="1" applyAlignment="1">
      <alignment horizontal="left" vertical="top" wrapText="1"/>
    </xf>
    <xf numFmtId="0" fontId="0" fillId="13" borderId="0" xfId="0" applyFill="1"/>
    <xf numFmtId="0" fontId="4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44" fontId="0" fillId="0" borderId="0" xfId="0" applyNumberFormat="1"/>
    <xf numFmtId="44" fontId="8" fillId="0" borderId="0" xfId="0" applyNumberFormat="1" applyFont="1"/>
    <xf numFmtId="0" fontId="16" fillId="2" borderId="0" xfId="0" applyFont="1" applyFill="1" applyAlignment="1">
      <alignment vertical="top"/>
    </xf>
    <xf numFmtId="0" fontId="0" fillId="0" borderId="0" xfId="0" applyAlignment="1">
      <alignment vertical="top"/>
    </xf>
    <xf numFmtId="0" fontId="8" fillId="0" borderId="7" xfId="0" applyFont="1" applyBorder="1" applyAlignment="1">
      <alignment vertical="top"/>
    </xf>
    <xf numFmtId="0" fontId="7" fillId="14" borderId="5" xfId="0" applyFont="1" applyFill="1" applyBorder="1" applyAlignment="1">
      <alignment horizontal="left" vertical="top" wrapText="1"/>
    </xf>
    <xf numFmtId="0" fontId="0" fillId="14" borderId="5" xfId="0" applyFill="1" applyBorder="1" applyAlignment="1">
      <alignment horizontal="left" vertical="top" wrapText="1"/>
    </xf>
    <xf numFmtId="0" fontId="16" fillId="14" borderId="5" xfId="0" applyFont="1" applyFill="1" applyBorder="1" applyAlignment="1">
      <alignment horizontal="left" vertical="top" wrapText="1"/>
    </xf>
    <xf numFmtId="3" fontId="0" fillId="14" borderId="5" xfId="0" applyNumberFormat="1" applyFill="1" applyBorder="1" applyAlignment="1">
      <alignment horizontal="right" vertical="top" wrapText="1"/>
    </xf>
    <xf numFmtId="3" fontId="0" fillId="14" borderId="0" xfId="0" applyNumberFormat="1" applyFill="1"/>
    <xf numFmtId="0" fontId="0" fillId="14" borderId="0" xfId="0" applyFill="1"/>
    <xf numFmtId="44" fontId="0" fillId="14" borderId="0" xfId="0" applyNumberFormat="1" applyFill="1"/>
    <xf numFmtId="0" fontId="7" fillId="15" borderId="5" xfId="0" applyFont="1" applyFill="1" applyBorder="1" applyAlignment="1">
      <alignment horizontal="left" vertical="top" wrapText="1"/>
    </xf>
    <xf numFmtId="0" fontId="0" fillId="15" borderId="5" xfId="0" applyFill="1" applyBorder="1" applyAlignment="1">
      <alignment horizontal="left" vertical="top" wrapText="1"/>
    </xf>
    <xf numFmtId="0" fontId="16" fillId="15" borderId="5" xfId="0" applyFont="1" applyFill="1" applyBorder="1" applyAlignment="1">
      <alignment horizontal="left" vertical="top" wrapText="1"/>
    </xf>
    <xf numFmtId="3" fontId="0" fillId="15" borderId="5" xfId="0" applyNumberFormat="1" applyFill="1" applyBorder="1" applyAlignment="1">
      <alignment vertical="top" wrapText="1"/>
    </xf>
    <xf numFmtId="3" fontId="0" fillId="15" borderId="5" xfId="0" applyNumberFormat="1" applyFill="1" applyBorder="1" applyAlignment="1">
      <alignment horizontal="right" vertical="top" wrapText="1"/>
    </xf>
    <xf numFmtId="3" fontId="0" fillId="15" borderId="0" xfId="0" applyNumberFormat="1" applyFill="1"/>
    <xf numFmtId="0" fontId="0" fillId="15" borderId="0" xfId="0" applyFill="1"/>
    <xf numFmtId="44" fontId="0" fillId="15" borderId="0" xfId="0" applyNumberFormat="1" applyFill="1"/>
    <xf numFmtId="0" fontId="7" fillId="16" borderId="5" xfId="0" applyFont="1" applyFill="1" applyBorder="1" applyAlignment="1">
      <alignment horizontal="left" vertical="top" wrapText="1"/>
    </xf>
    <xf numFmtId="0" fontId="0" fillId="16" borderId="5" xfId="0" applyFill="1" applyBorder="1" applyAlignment="1">
      <alignment horizontal="left" vertical="top" wrapText="1"/>
    </xf>
    <xf numFmtId="0" fontId="16" fillId="16" borderId="5" xfId="0" applyFont="1" applyFill="1" applyBorder="1" applyAlignment="1">
      <alignment horizontal="left" vertical="top" wrapText="1"/>
    </xf>
    <xf numFmtId="0" fontId="17" fillId="16" borderId="5" xfId="0" applyFont="1" applyFill="1" applyBorder="1"/>
    <xf numFmtId="0" fontId="17" fillId="16" borderId="5" xfId="0" applyFont="1" applyFill="1" applyBorder="1" applyAlignment="1">
      <alignment horizontal="left"/>
    </xf>
    <xf numFmtId="43" fontId="17" fillId="16" borderId="5" xfId="2" applyFont="1" applyFill="1" applyBorder="1" applyAlignment="1"/>
    <xf numFmtId="3" fontId="0" fillId="16" borderId="5" xfId="0" applyNumberFormat="1" applyFill="1" applyBorder="1" applyAlignment="1">
      <alignment horizontal="right" vertical="top" wrapText="1"/>
    </xf>
    <xf numFmtId="3" fontId="0" fillId="16" borderId="0" xfId="0" applyNumberFormat="1" applyFill="1"/>
    <xf numFmtId="0" fontId="0" fillId="16" borderId="0" xfId="0" applyFill="1"/>
    <xf numFmtId="44" fontId="0" fillId="16" borderId="0" xfId="0" applyNumberFormat="1" applyFill="1"/>
    <xf numFmtId="0" fontId="7" fillId="0" borderId="5" xfId="0" applyFont="1" applyFill="1" applyBorder="1" applyAlignment="1">
      <alignment horizontal="left" vertical="top" wrapText="1"/>
    </xf>
    <xf numFmtId="0" fontId="16" fillId="0" borderId="5" xfId="0" applyFont="1" applyFill="1" applyBorder="1" applyAlignment="1">
      <alignment horizontal="left" vertical="top" wrapText="1"/>
    </xf>
    <xf numFmtId="0" fontId="17" fillId="0" borderId="5" xfId="0" applyFont="1" applyFill="1" applyBorder="1"/>
    <xf numFmtId="0" fontId="17" fillId="0" borderId="5" xfId="0" applyFont="1" applyFill="1" applyBorder="1" applyAlignment="1">
      <alignment horizontal="left"/>
    </xf>
    <xf numFmtId="3" fontId="0" fillId="0" borderId="5" xfId="0" applyNumberFormat="1" applyFill="1" applyBorder="1" applyAlignment="1">
      <alignment horizontal="right" vertical="top" wrapText="1"/>
    </xf>
    <xf numFmtId="3" fontId="0" fillId="0" borderId="0" xfId="0" applyNumberFormat="1" applyFill="1"/>
    <xf numFmtId="0" fontId="0" fillId="0" borderId="0" xfId="0" applyFill="1"/>
    <xf numFmtId="44" fontId="0" fillId="0" borderId="0" xfId="0" applyNumberFormat="1" applyFill="1"/>
    <xf numFmtId="0" fontId="17" fillId="14" borderId="5" xfId="0" applyFont="1" applyFill="1" applyBorder="1"/>
    <xf numFmtId="0" fontId="17" fillId="14" borderId="5" xfId="0" applyFont="1" applyFill="1" applyBorder="1" applyAlignment="1">
      <alignment horizontal="left"/>
    </xf>
    <xf numFmtId="43" fontId="17" fillId="14" borderId="5" xfId="2" applyFont="1" applyFill="1" applyBorder="1" applyAlignment="1"/>
    <xf numFmtId="0" fontId="0" fillId="14" borderId="5" xfId="0" applyFill="1" applyBorder="1" applyAlignment="1">
      <alignment horizontal="left"/>
    </xf>
    <xf numFmtId="0" fontId="7" fillId="0" borderId="5" xfId="0" applyFont="1" applyFill="1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6" fillId="0" borderId="5" xfId="0" applyFont="1" applyBorder="1" applyAlignment="1">
      <alignment vertical="top" wrapText="1"/>
    </xf>
    <xf numFmtId="0" fontId="7" fillId="0" borderId="5" xfId="0" applyFont="1" applyBorder="1" applyAlignment="1">
      <alignment vertical="top" wrapText="1"/>
    </xf>
    <xf numFmtId="0" fontId="8" fillId="2" borderId="0" xfId="0" applyFont="1" applyFill="1" applyAlignment="1">
      <alignment vertical="top"/>
    </xf>
    <xf numFmtId="164" fontId="8" fillId="2" borderId="0" xfId="0" applyNumberFormat="1" applyFont="1" applyFill="1" applyAlignment="1">
      <alignment vertical="top"/>
    </xf>
    <xf numFmtId="0" fontId="0" fillId="2" borderId="0" xfId="0" applyFill="1" applyAlignment="1">
      <alignment vertical="top"/>
    </xf>
    <xf numFmtId="164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17" fillId="0" borderId="5" xfId="0" applyFont="1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0" xfId="0" applyFill="1" applyAlignment="1">
      <alignment vertical="top"/>
    </xf>
    <xf numFmtId="164" fontId="8" fillId="0" borderId="7" xfId="0" applyNumberFormat="1" applyFont="1" applyBorder="1" applyAlignment="1">
      <alignment vertical="top"/>
    </xf>
    <xf numFmtId="164" fontId="8" fillId="2" borderId="0" xfId="0" applyNumberFormat="1" applyFont="1" applyFill="1" applyAlignment="1">
      <alignment horizontal="left" vertical="top"/>
    </xf>
    <xf numFmtId="164" fontId="0" fillId="0" borderId="0" xfId="0" applyNumberFormat="1" applyAlignment="1">
      <alignment horizontal="left" vertical="top"/>
    </xf>
    <xf numFmtId="164" fontId="8" fillId="0" borderId="7" xfId="0" applyNumberFormat="1" applyFont="1" applyBorder="1" applyAlignment="1">
      <alignment horizontal="left" vertical="top"/>
    </xf>
    <xf numFmtId="164" fontId="17" fillId="0" borderId="5" xfId="2" applyNumberFormat="1" applyFont="1" applyFill="1" applyBorder="1" applyAlignment="1">
      <alignment horizontal="left" vertical="top"/>
    </xf>
    <xf numFmtId="164" fontId="17" fillId="0" borderId="5" xfId="2" applyNumberFormat="1" applyFont="1" applyBorder="1" applyAlignment="1">
      <alignment horizontal="left" vertical="top"/>
    </xf>
    <xf numFmtId="0" fontId="7" fillId="0" borderId="0" xfId="0" applyFont="1"/>
    <xf numFmtId="0" fontId="7" fillId="0" borderId="11" xfId="0" applyFont="1" applyBorder="1"/>
    <xf numFmtId="0" fontId="7" fillId="0" borderId="8" xfId="0" applyFont="1" applyBorder="1" applyAlignment="1">
      <alignment wrapText="1"/>
    </xf>
    <xf numFmtId="0" fontId="7" fillId="0" borderId="8" xfId="0" applyFont="1" applyBorder="1"/>
    <xf numFmtId="0" fontId="7" fillId="0" borderId="9" xfId="0" applyFont="1" applyBorder="1"/>
    <xf numFmtId="0" fontId="7" fillId="0" borderId="9" xfId="0" applyFont="1" applyBorder="1" applyAlignment="1">
      <alignment horizontal="left" vertical="top"/>
    </xf>
    <xf numFmtId="0" fontId="0" fillId="0" borderId="9" xfId="0" applyBorder="1"/>
    <xf numFmtId="43" fontId="0" fillId="0" borderId="9" xfId="2" applyFont="1" applyBorder="1"/>
    <xf numFmtId="0" fontId="18" fillId="0" borderId="9" xfId="0" applyFont="1" applyBorder="1"/>
    <xf numFmtId="0" fontId="19" fillId="0" borderId="9" xfId="0" applyFont="1" applyBorder="1"/>
    <xf numFmtId="43" fontId="7" fillId="0" borderId="9" xfId="2" applyFont="1" applyBorder="1"/>
    <xf numFmtId="0" fontId="0" fillId="0" borderId="0" xfId="0" applyBorder="1"/>
    <xf numFmtId="0" fontId="20" fillId="0" borderId="9" xfId="0" applyFont="1" applyBorder="1" applyAlignment="1">
      <alignment horizontal="center"/>
    </xf>
    <xf numFmtId="0" fontId="20" fillId="0" borderId="9" xfId="0" applyFont="1" applyBorder="1"/>
    <xf numFmtId="0" fontId="21" fillId="0" borderId="0" xfId="0" applyFont="1" applyBorder="1"/>
    <xf numFmtId="0" fontId="21" fillId="0" borderId="9" xfId="0" applyFont="1" applyBorder="1"/>
    <xf numFmtId="43" fontId="21" fillId="0" borderId="0" xfId="2" applyFont="1" applyBorder="1"/>
    <xf numFmtId="0" fontId="21" fillId="0" borderId="11" xfId="0" applyFont="1" applyBorder="1"/>
    <xf numFmtId="0" fontId="20" fillId="0" borderId="0" xfId="0" applyFont="1" applyBorder="1"/>
    <xf numFmtId="43" fontId="20" fillId="0" borderId="0" xfId="2" applyFont="1" applyBorder="1"/>
    <xf numFmtId="0" fontId="20" fillId="0" borderId="8" xfId="0" applyFont="1" applyFill="1" applyBorder="1"/>
    <xf numFmtId="164" fontId="6" fillId="8" borderId="1" xfId="1" applyNumberForma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64" fontId="12" fillId="10" borderId="2" xfId="4" applyNumberFormat="1" applyBorder="1" applyAlignment="1">
      <alignment horizontal="center" vertical="center" wrapText="1"/>
    </xf>
    <xf numFmtId="164" fontId="12" fillId="10" borderId="4" xfId="4" applyNumberFormat="1" applyBorder="1" applyAlignment="1">
      <alignment horizontal="center" vertical="center" wrapText="1"/>
    </xf>
    <xf numFmtId="164" fontId="12" fillId="10" borderId="3" xfId="4" applyNumberFormat="1" applyBorder="1" applyAlignment="1">
      <alignment horizontal="center" vertical="center" wrapText="1"/>
    </xf>
    <xf numFmtId="164" fontId="14" fillId="12" borderId="2" xfId="6" applyNumberFormat="1" applyBorder="1" applyAlignment="1">
      <alignment horizontal="center" vertical="center" wrapText="1"/>
    </xf>
    <xf numFmtId="164" fontId="14" fillId="12" borderId="4" xfId="6" applyNumberFormat="1" applyBorder="1" applyAlignment="1">
      <alignment horizontal="center" vertical="center" wrapText="1"/>
    </xf>
    <xf numFmtId="164" fontId="14" fillId="12" borderId="3" xfId="6" applyNumberFormat="1" applyBorder="1" applyAlignment="1">
      <alignment horizontal="center" vertical="center" wrapText="1"/>
    </xf>
    <xf numFmtId="164" fontId="13" fillId="11" borderId="2" xfId="5" applyNumberFormat="1" applyBorder="1" applyAlignment="1">
      <alignment horizontal="center" vertical="center" wrapText="1"/>
    </xf>
    <xf numFmtId="164" fontId="13" fillId="11" borderId="4" xfId="5" applyNumberFormat="1" applyBorder="1" applyAlignment="1">
      <alignment horizontal="center" vertical="center" wrapText="1"/>
    </xf>
    <xf numFmtId="164" fontId="13" fillId="11" borderId="13" xfId="5" applyNumberForma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3" fillId="4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8" fillId="2" borderId="0" xfId="0" applyFont="1" applyFill="1" applyAlignment="1">
      <alignment vertical="top"/>
    </xf>
    <xf numFmtId="0" fontId="7" fillId="0" borderId="10" xfId="0" applyFont="1" applyBorder="1" applyAlignment="1">
      <alignment horizontal="center" wrapText="1"/>
    </xf>
    <xf numFmtId="0" fontId="7" fillId="0" borderId="7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left"/>
    </xf>
    <xf numFmtId="0" fontId="7" fillId="0" borderId="12" xfId="0" applyFont="1" applyBorder="1" applyAlignment="1">
      <alignment horizontal="left"/>
    </xf>
  </cellXfs>
  <cellStyles count="7">
    <cellStyle name="60% - Accent4" xfId="6" builtinId="44"/>
    <cellStyle name="Bad" xfId="3" builtinId="27"/>
    <cellStyle name="Comma" xfId="2" builtinId="3"/>
    <cellStyle name="Good" xfId="1" builtinId="26"/>
    <cellStyle name="Input" xfId="5" builtinId="20"/>
    <cellStyle name="Neutral" xfId="4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B22"/>
  <sheetViews>
    <sheetView topLeftCell="B1" zoomScale="114" workbookViewId="0">
      <selection activeCell="P12" sqref="P12"/>
    </sheetView>
  </sheetViews>
  <sheetFormatPr defaultColWidth="9.19921875" defaultRowHeight="13.2"/>
  <cols>
    <col min="1" max="1" width="9.19921875" style="8"/>
    <col min="2" max="2" width="9.19921875" style="14"/>
    <col min="3" max="3" width="9.19921875" style="8"/>
    <col min="4" max="6" width="16.5" style="17" customWidth="1"/>
    <col min="7" max="7" width="20" style="18" customWidth="1"/>
    <col min="8" max="9" width="19.796875" style="8" customWidth="1"/>
    <col min="10" max="10" width="14.09765625" style="8" bestFit="1" customWidth="1"/>
    <col min="11" max="11" width="40.59765625" style="8" bestFit="1" customWidth="1"/>
    <col min="12" max="12" width="9.09765625" style="8" bestFit="1" customWidth="1"/>
    <col min="13" max="22" width="9.19921875" style="8"/>
    <col min="23" max="23" width="9.09765625" style="8" bestFit="1" customWidth="1"/>
    <col min="24" max="24" width="16.5" style="47" bestFit="1" customWidth="1"/>
    <col min="25" max="26" width="9.19921875" style="8"/>
    <col min="27" max="27" width="13.296875" style="8" customWidth="1"/>
    <col min="28" max="28" width="14.19921875" style="8" bestFit="1" customWidth="1"/>
    <col min="29" max="16384" width="9.19921875" style="8"/>
  </cols>
  <sheetData>
    <row r="1" spans="2:28" ht="13.8" thickBot="1"/>
    <row r="2" spans="2:28" ht="13.8" thickBot="1">
      <c r="B2" s="168" t="s">
        <v>19</v>
      </c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68"/>
      <c r="R2" s="168"/>
      <c r="S2" s="168"/>
      <c r="T2" s="168"/>
      <c r="U2" s="168"/>
      <c r="V2" s="168"/>
      <c r="W2" s="168"/>
      <c r="X2" s="168"/>
      <c r="Y2" s="168"/>
      <c r="Z2" s="168"/>
      <c r="AA2" s="15"/>
    </row>
    <row r="3" spans="2:28" ht="13.8" thickBot="1">
      <c r="B3" s="169"/>
      <c r="C3" s="170" t="s">
        <v>20</v>
      </c>
      <c r="D3" s="171" t="s">
        <v>0</v>
      </c>
      <c r="E3" s="172" t="s">
        <v>21</v>
      </c>
      <c r="F3" s="59" t="s">
        <v>1</v>
      </c>
      <c r="G3" s="171" t="s">
        <v>22</v>
      </c>
      <c r="H3" s="166" t="s">
        <v>5</v>
      </c>
      <c r="I3" s="167" t="s">
        <v>23</v>
      </c>
      <c r="J3" s="166" t="s">
        <v>24</v>
      </c>
      <c r="K3" s="166" t="s">
        <v>25</v>
      </c>
      <c r="L3" s="165" t="s">
        <v>26</v>
      </c>
      <c r="M3" s="165"/>
      <c r="N3" s="165"/>
      <c r="O3" s="165" t="s">
        <v>27</v>
      </c>
      <c r="P3" s="165"/>
      <c r="Q3" s="165"/>
      <c r="R3" s="165" t="s">
        <v>28</v>
      </c>
      <c r="S3" s="165"/>
      <c r="T3" s="165"/>
      <c r="U3" s="165" t="s">
        <v>29</v>
      </c>
      <c r="V3" s="165"/>
      <c r="W3" s="165"/>
      <c r="X3" s="48" t="s">
        <v>30</v>
      </c>
      <c r="Y3" s="166" t="s">
        <v>31</v>
      </c>
      <c r="Z3" s="166"/>
      <c r="AA3" s="167" t="s">
        <v>32</v>
      </c>
    </row>
    <row r="4" spans="2:28" ht="15" customHeight="1" thickBot="1">
      <c r="B4" s="169"/>
      <c r="C4" s="170"/>
      <c r="D4" s="171"/>
      <c r="E4" s="172"/>
      <c r="F4" s="59"/>
      <c r="G4" s="171"/>
      <c r="H4" s="166"/>
      <c r="I4" s="167"/>
      <c r="J4" s="166"/>
      <c r="K4" s="166"/>
      <c r="L4" s="4" t="s">
        <v>33</v>
      </c>
      <c r="M4" s="4" t="s">
        <v>34</v>
      </c>
      <c r="N4" s="4" t="s">
        <v>35</v>
      </c>
      <c r="O4" s="4" t="s">
        <v>36</v>
      </c>
      <c r="P4" s="4" t="s">
        <v>37</v>
      </c>
      <c r="Q4" s="4" t="s">
        <v>38</v>
      </c>
      <c r="R4" s="4" t="s">
        <v>39</v>
      </c>
      <c r="S4" s="4" t="s">
        <v>40</v>
      </c>
      <c r="T4" s="4" t="s">
        <v>41</v>
      </c>
      <c r="U4" s="4" t="s">
        <v>42</v>
      </c>
      <c r="V4" s="4" t="s">
        <v>43</v>
      </c>
      <c r="W4" s="4" t="s">
        <v>44</v>
      </c>
      <c r="X4" s="48" t="s">
        <v>45</v>
      </c>
      <c r="Y4" s="60" t="s">
        <v>46</v>
      </c>
      <c r="Z4" s="60" t="s">
        <v>47</v>
      </c>
      <c r="AA4" s="167"/>
    </row>
    <row r="5" spans="2:28" s="14" customFormat="1" ht="13.8" thickBot="1">
      <c r="B5" s="162" t="s">
        <v>48</v>
      </c>
      <c r="C5" s="162"/>
      <c r="D5" s="162"/>
      <c r="E5" s="162"/>
      <c r="F5" s="162"/>
      <c r="G5" s="162"/>
      <c r="H5" s="162"/>
      <c r="I5" s="162"/>
      <c r="J5" s="162"/>
      <c r="K5" s="162"/>
      <c r="L5" s="162"/>
      <c r="M5" s="162"/>
      <c r="N5" s="162"/>
      <c r="O5" s="162"/>
      <c r="P5" s="162"/>
      <c r="Q5" s="162"/>
      <c r="R5" s="162"/>
      <c r="S5" s="162"/>
      <c r="T5" s="162"/>
      <c r="U5" s="162"/>
      <c r="V5" s="162"/>
      <c r="W5" s="162"/>
      <c r="X5" s="162"/>
      <c r="Y5" s="162"/>
      <c r="Z5" s="162"/>
      <c r="AA5" s="1"/>
    </row>
    <row r="6" spans="2:28" s="14" customFormat="1" ht="13.8" thickBot="1">
      <c r="B6" s="162" t="s">
        <v>49</v>
      </c>
      <c r="C6" s="162"/>
      <c r="D6" s="162"/>
      <c r="E6" s="162"/>
      <c r="F6" s="162"/>
      <c r="G6" s="162"/>
      <c r="H6" s="162"/>
      <c r="I6" s="162"/>
      <c r="J6" s="162"/>
      <c r="K6" s="162"/>
      <c r="L6" s="162"/>
      <c r="M6" s="162"/>
      <c r="N6" s="162"/>
      <c r="O6" s="162"/>
      <c r="P6" s="162"/>
      <c r="Q6" s="162"/>
      <c r="R6" s="162"/>
      <c r="S6" s="162"/>
      <c r="T6" s="162"/>
      <c r="U6" s="162"/>
      <c r="V6" s="162"/>
      <c r="W6" s="162"/>
      <c r="X6" s="162"/>
      <c r="Y6" s="162"/>
      <c r="Z6" s="162"/>
      <c r="AA6" s="1"/>
    </row>
    <row r="7" spans="2:28" s="14" customFormat="1" ht="13.8" thickBot="1">
      <c r="B7" s="156">
        <v>4</v>
      </c>
      <c r="C7" s="158" t="s">
        <v>50</v>
      </c>
      <c r="D7" s="2"/>
      <c r="E7" s="2"/>
      <c r="F7" s="2"/>
      <c r="G7" s="3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49"/>
      <c r="Y7" s="11"/>
      <c r="Z7" s="11"/>
      <c r="AA7" s="15"/>
    </row>
    <row r="8" spans="2:28" s="14" customFormat="1" ht="13.8" thickBot="1">
      <c r="B8" s="157"/>
      <c r="C8" s="158"/>
      <c r="D8" s="163" t="s">
        <v>51</v>
      </c>
      <c r="E8" s="163"/>
      <c r="F8" s="163"/>
      <c r="G8" s="163"/>
      <c r="H8" s="163"/>
      <c r="I8" s="163"/>
      <c r="J8" s="163"/>
      <c r="K8" s="163"/>
      <c r="L8" s="163"/>
      <c r="M8" s="163"/>
      <c r="N8" s="163"/>
      <c r="O8" s="163"/>
      <c r="P8" s="163"/>
      <c r="Q8" s="163"/>
      <c r="R8" s="163"/>
      <c r="S8" s="163"/>
      <c r="T8" s="163"/>
      <c r="U8" s="163"/>
      <c r="V8" s="163"/>
      <c r="W8" s="163"/>
      <c r="X8" s="163"/>
      <c r="Y8" s="163"/>
      <c r="Z8" s="163"/>
      <c r="AA8" s="15"/>
    </row>
    <row r="9" spans="2:28" ht="13.8" thickBot="1">
      <c r="B9" s="157"/>
      <c r="C9" s="158"/>
      <c r="D9" s="164" t="s">
        <v>52</v>
      </c>
      <c r="E9" s="164"/>
      <c r="F9" s="164"/>
      <c r="G9" s="164"/>
      <c r="H9" s="164"/>
      <c r="I9" s="164"/>
      <c r="J9" s="164"/>
      <c r="K9" s="164"/>
      <c r="L9" s="164"/>
      <c r="M9" s="164"/>
      <c r="N9" s="164"/>
      <c r="O9" s="164"/>
      <c r="P9" s="164"/>
      <c r="Q9" s="164"/>
      <c r="R9" s="164"/>
      <c r="S9" s="164"/>
      <c r="T9" s="164"/>
      <c r="U9" s="164"/>
      <c r="V9" s="164"/>
      <c r="W9" s="164"/>
      <c r="X9" s="164"/>
      <c r="Y9" s="164"/>
      <c r="Z9" s="164"/>
      <c r="AA9" s="15"/>
    </row>
    <row r="10" spans="2:28" ht="14.4" thickBot="1">
      <c r="B10" s="157"/>
      <c r="C10" s="158"/>
      <c r="D10" s="159" t="s">
        <v>6</v>
      </c>
      <c r="E10" s="61"/>
      <c r="F10" s="160" t="s">
        <v>7</v>
      </c>
      <c r="G10" s="161" t="s">
        <v>8</v>
      </c>
      <c r="H10" s="12"/>
      <c r="I10" s="12"/>
      <c r="J10" s="12"/>
      <c r="K10" s="12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0"/>
      <c r="Y10" s="16"/>
      <c r="Z10" s="16"/>
      <c r="AA10" s="25"/>
    </row>
    <row r="11" spans="2:28" ht="66.599999999999994" thickBot="1">
      <c r="B11" s="157"/>
      <c r="C11" s="158"/>
      <c r="D11" s="159"/>
      <c r="E11" s="61" t="s">
        <v>54</v>
      </c>
      <c r="F11" s="160"/>
      <c r="G11" s="161"/>
      <c r="H11" s="12" t="s">
        <v>74</v>
      </c>
      <c r="I11" s="12" t="s">
        <v>82</v>
      </c>
      <c r="J11" s="12" t="s">
        <v>80</v>
      </c>
      <c r="K11" s="12" t="s">
        <v>87</v>
      </c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143">
        <v>1500000</v>
      </c>
      <c r="Y11" s="16" t="s">
        <v>78</v>
      </c>
      <c r="Z11" s="16" t="s">
        <v>79</v>
      </c>
      <c r="AA11" s="25" t="s">
        <v>282</v>
      </c>
      <c r="AB11" s="47">
        <f>X11</f>
        <v>1500000</v>
      </c>
    </row>
    <row r="12" spans="2:28" ht="66.599999999999994" thickBot="1">
      <c r="B12" s="157"/>
      <c r="C12" s="158"/>
      <c r="D12" s="159" t="s">
        <v>283</v>
      </c>
      <c r="E12" s="61" t="s">
        <v>58</v>
      </c>
      <c r="F12" s="160" t="s">
        <v>2</v>
      </c>
      <c r="G12" s="161" t="s">
        <v>10</v>
      </c>
      <c r="H12" s="12" t="s">
        <v>91</v>
      </c>
      <c r="I12" s="12" t="s">
        <v>92</v>
      </c>
      <c r="J12" s="12" t="s">
        <v>317</v>
      </c>
      <c r="K12" s="12" t="s">
        <v>94</v>
      </c>
      <c r="L12" s="11"/>
      <c r="M12" s="11"/>
      <c r="N12" s="11">
        <v>1</v>
      </c>
      <c r="O12" s="11"/>
      <c r="P12" s="11"/>
      <c r="Q12" s="11">
        <v>2</v>
      </c>
      <c r="R12" s="11"/>
      <c r="S12" s="11"/>
      <c r="T12" s="11">
        <v>2</v>
      </c>
      <c r="U12" s="11"/>
      <c r="V12" s="11"/>
      <c r="W12" s="11"/>
      <c r="X12" s="147">
        <v>300000</v>
      </c>
      <c r="Y12" s="11" t="s">
        <v>78</v>
      </c>
      <c r="Z12" s="11" t="s">
        <v>79</v>
      </c>
      <c r="AA12" s="25" t="s">
        <v>282</v>
      </c>
    </row>
    <row r="13" spans="2:28" ht="66.599999999999994" thickBot="1">
      <c r="B13" s="157"/>
      <c r="C13" s="158"/>
      <c r="D13" s="159"/>
      <c r="E13" s="61" t="s">
        <v>59</v>
      </c>
      <c r="F13" s="160"/>
      <c r="G13" s="161"/>
      <c r="H13" s="12" t="s">
        <v>95</v>
      </c>
      <c r="I13" s="12" t="s">
        <v>96</v>
      </c>
      <c r="J13" s="12" t="s">
        <v>325</v>
      </c>
      <c r="K13" s="12" t="s">
        <v>98</v>
      </c>
      <c r="L13" s="11"/>
      <c r="M13" s="11"/>
      <c r="N13" s="11"/>
      <c r="O13" s="55">
        <v>1</v>
      </c>
      <c r="P13" s="11"/>
      <c r="Q13" s="11"/>
      <c r="R13" s="11"/>
      <c r="S13" s="11"/>
      <c r="T13" s="55">
        <v>1</v>
      </c>
      <c r="U13" s="11"/>
      <c r="V13" s="11"/>
      <c r="W13" s="55"/>
      <c r="X13" s="148"/>
      <c r="Y13" s="11" t="s">
        <v>78</v>
      </c>
      <c r="Z13" s="11" t="s">
        <v>79</v>
      </c>
      <c r="AA13" s="25" t="s">
        <v>282</v>
      </c>
    </row>
    <row r="14" spans="2:28" ht="53.4" thickBot="1">
      <c r="B14" s="157"/>
      <c r="C14" s="158"/>
      <c r="D14" s="159"/>
      <c r="E14" s="61" t="s">
        <v>60</v>
      </c>
      <c r="F14" s="160"/>
      <c r="G14" s="161"/>
      <c r="H14" s="12" t="s">
        <v>99</v>
      </c>
      <c r="I14" s="12" t="s">
        <v>100</v>
      </c>
      <c r="J14" s="12" t="s">
        <v>101</v>
      </c>
      <c r="K14" s="12" t="s">
        <v>287</v>
      </c>
      <c r="L14" s="11"/>
      <c r="M14" s="11"/>
      <c r="N14" s="55">
        <v>2</v>
      </c>
      <c r="O14" s="11"/>
      <c r="P14" s="11"/>
      <c r="Q14" s="11">
        <v>2</v>
      </c>
      <c r="R14" s="11"/>
      <c r="S14" s="11"/>
      <c r="T14" s="11">
        <v>2</v>
      </c>
      <c r="U14" s="11"/>
      <c r="V14" s="11"/>
      <c r="W14" s="11">
        <v>2</v>
      </c>
      <c r="X14" s="148"/>
      <c r="Y14" s="11" t="s">
        <v>78</v>
      </c>
      <c r="Z14" s="11" t="s">
        <v>79</v>
      </c>
      <c r="AA14" s="25" t="s">
        <v>282</v>
      </c>
    </row>
    <row r="15" spans="2:28" ht="66.599999999999994" thickBot="1">
      <c r="B15" s="157"/>
      <c r="C15" s="158"/>
      <c r="D15" s="159"/>
      <c r="E15" s="61" t="s">
        <v>61</v>
      </c>
      <c r="F15" s="160"/>
      <c r="G15" s="161"/>
      <c r="H15" s="12" t="s">
        <v>102</v>
      </c>
      <c r="I15" s="12" t="s">
        <v>103</v>
      </c>
      <c r="J15" s="12" t="s">
        <v>323</v>
      </c>
      <c r="K15" s="12" t="s">
        <v>105</v>
      </c>
      <c r="L15" s="11"/>
      <c r="M15" s="11"/>
      <c r="N15" s="55">
        <v>2</v>
      </c>
      <c r="O15" s="56"/>
      <c r="P15" s="11"/>
      <c r="Q15" s="55">
        <v>3</v>
      </c>
      <c r="R15" s="56" t="s">
        <v>106</v>
      </c>
      <c r="S15" s="11"/>
      <c r="T15" s="55">
        <v>2</v>
      </c>
      <c r="U15" s="11"/>
      <c r="V15" s="56" t="s">
        <v>107</v>
      </c>
      <c r="W15" s="55">
        <v>3</v>
      </c>
      <c r="X15" s="149"/>
      <c r="Y15" s="11" t="s">
        <v>78</v>
      </c>
      <c r="Z15" s="11" t="s">
        <v>79</v>
      </c>
      <c r="AA15" s="25" t="s">
        <v>282</v>
      </c>
      <c r="AB15" s="47">
        <f>SUM(X12:X15)</f>
        <v>300000</v>
      </c>
    </row>
    <row r="16" spans="2:28" ht="87.45" customHeight="1" thickBot="1">
      <c r="B16" s="157"/>
      <c r="C16" s="158"/>
      <c r="D16" s="159" t="s">
        <v>11</v>
      </c>
      <c r="E16" s="61" t="s">
        <v>62</v>
      </c>
      <c r="F16" s="160" t="s">
        <v>12</v>
      </c>
      <c r="G16" s="144" t="s">
        <v>3</v>
      </c>
      <c r="H16" s="12" t="s">
        <v>108</v>
      </c>
      <c r="I16" s="12" t="s">
        <v>109</v>
      </c>
      <c r="J16" s="12" t="s">
        <v>324</v>
      </c>
      <c r="K16" s="12" t="s">
        <v>111</v>
      </c>
      <c r="L16" s="11"/>
      <c r="M16" s="55"/>
      <c r="N16" s="11"/>
      <c r="O16" s="11"/>
      <c r="P16" s="55"/>
      <c r="Q16" s="11"/>
      <c r="R16" s="11"/>
      <c r="S16" s="55">
        <v>1</v>
      </c>
      <c r="T16" s="11"/>
      <c r="U16" s="11"/>
      <c r="V16" s="11"/>
      <c r="W16" s="55"/>
      <c r="X16" s="150">
        <v>500000</v>
      </c>
      <c r="Y16" s="11" t="s">
        <v>78</v>
      </c>
      <c r="Z16" s="11" t="s">
        <v>79</v>
      </c>
      <c r="AA16" s="25" t="s">
        <v>282</v>
      </c>
    </row>
    <row r="17" spans="2:28" ht="79.8" thickBot="1">
      <c r="B17" s="157"/>
      <c r="C17" s="158"/>
      <c r="D17" s="159"/>
      <c r="E17" s="61" t="s">
        <v>64</v>
      </c>
      <c r="F17" s="160"/>
      <c r="G17" s="145"/>
      <c r="H17" s="12" t="s">
        <v>116</v>
      </c>
      <c r="I17" s="12" t="s">
        <v>117</v>
      </c>
      <c r="J17" s="12" t="s">
        <v>318</v>
      </c>
      <c r="K17" s="12" t="s">
        <v>119</v>
      </c>
      <c r="L17" s="11"/>
      <c r="M17" s="11"/>
      <c r="N17" s="11"/>
      <c r="O17" s="11"/>
      <c r="P17" s="11"/>
      <c r="Q17" s="55">
        <v>1</v>
      </c>
      <c r="R17" s="11"/>
      <c r="S17" s="11"/>
      <c r="T17" s="11"/>
      <c r="U17" s="11"/>
      <c r="V17" s="55">
        <v>1</v>
      </c>
      <c r="W17" s="11"/>
      <c r="X17" s="151"/>
      <c r="Y17" s="11" t="s">
        <v>78</v>
      </c>
      <c r="Z17" s="11" t="s">
        <v>79</v>
      </c>
      <c r="AA17" s="25" t="s">
        <v>282</v>
      </c>
    </row>
    <row r="18" spans="2:28" ht="53.4" thickBot="1">
      <c r="B18" s="157"/>
      <c r="C18" s="158"/>
      <c r="D18" s="159"/>
      <c r="E18" s="61" t="s">
        <v>65</v>
      </c>
      <c r="F18" s="160"/>
      <c r="G18" s="146"/>
      <c r="H18" s="12" t="s">
        <v>120</v>
      </c>
      <c r="I18" s="12" t="s">
        <v>121</v>
      </c>
      <c r="J18" s="12" t="s">
        <v>319</v>
      </c>
      <c r="K18" s="12" t="s">
        <v>123</v>
      </c>
      <c r="L18" s="11"/>
      <c r="M18" s="11"/>
      <c r="N18" s="11"/>
      <c r="O18" s="11"/>
      <c r="P18" s="11"/>
      <c r="Q18" s="11">
        <v>1</v>
      </c>
      <c r="R18" s="11"/>
      <c r="S18" s="11"/>
      <c r="T18" s="11"/>
      <c r="U18" s="11"/>
      <c r="V18" s="11"/>
      <c r="W18" s="11">
        <v>1</v>
      </c>
      <c r="X18" s="152"/>
      <c r="Y18" s="11" t="s">
        <v>78</v>
      </c>
      <c r="Z18" s="11" t="s">
        <v>79</v>
      </c>
      <c r="AA18" s="25" t="s">
        <v>282</v>
      </c>
      <c r="AB18" s="47">
        <f>SUM(X16:X18)</f>
        <v>500000</v>
      </c>
    </row>
    <row r="19" spans="2:28" ht="66.599999999999994" thickBot="1">
      <c r="B19" s="157"/>
      <c r="C19" s="158"/>
      <c r="D19" s="159" t="s">
        <v>13</v>
      </c>
      <c r="E19" s="61" t="s">
        <v>66</v>
      </c>
      <c r="F19" s="160" t="s">
        <v>4</v>
      </c>
      <c r="G19" s="144" t="s">
        <v>14</v>
      </c>
      <c r="H19" s="12" t="s">
        <v>15</v>
      </c>
      <c r="I19" s="12" t="s">
        <v>124</v>
      </c>
      <c r="J19" s="12" t="s">
        <v>320</v>
      </c>
      <c r="K19" s="12" t="s">
        <v>126</v>
      </c>
      <c r="L19" s="11"/>
      <c r="M19" s="11"/>
      <c r="N19" s="55">
        <v>1</v>
      </c>
      <c r="O19" s="11"/>
      <c r="P19" s="11"/>
      <c r="Q19" s="55">
        <v>1</v>
      </c>
      <c r="R19" s="11"/>
      <c r="S19" s="11"/>
      <c r="T19" s="55">
        <v>1</v>
      </c>
      <c r="U19" s="11"/>
      <c r="V19" s="11"/>
      <c r="W19" s="55">
        <v>1</v>
      </c>
      <c r="X19" s="153">
        <v>700000</v>
      </c>
      <c r="Y19" s="11" t="s">
        <v>78</v>
      </c>
      <c r="Z19" s="11" t="s">
        <v>127</v>
      </c>
      <c r="AA19" s="25" t="s">
        <v>282</v>
      </c>
    </row>
    <row r="20" spans="2:28" ht="117.45" customHeight="1" thickBot="1">
      <c r="B20" s="157"/>
      <c r="C20" s="158"/>
      <c r="D20" s="159"/>
      <c r="E20" s="61" t="s">
        <v>67</v>
      </c>
      <c r="F20" s="160"/>
      <c r="G20" s="145"/>
      <c r="H20" s="12" t="s">
        <v>128</v>
      </c>
      <c r="I20" s="12" t="s">
        <v>129</v>
      </c>
      <c r="J20" s="12" t="s">
        <v>321</v>
      </c>
      <c r="K20" s="12" t="s">
        <v>130</v>
      </c>
      <c r="L20" s="11"/>
      <c r="M20" s="11"/>
      <c r="N20" s="11"/>
      <c r="O20" s="11"/>
      <c r="P20" s="11"/>
      <c r="Q20" s="11"/>
      <c r="R20" s="55">
        <v>1</v>
      </c>
      <c r="S20" s="11"/>
      <c r="T20" s="11"/>
      <c r="U20" s="11"/>
      <c r="V20" s="11"/>
      <c r="W20" s="55">
        <v>1</v>
      </c>
      <c r="X20" s="154"/>
      <c r="Y20" s="11" t="s">
        <v>78</v>
      </c>
      <c r="Z20" s="11" t="s">
        <v>127</v>
      </c>
      <c r="AA20" s="25" t="s">
        <v>282</v>
      </c>
    </row>
    <row r="21" spans="2:28" ht="79.8" thickBot="1">
      <c r="B21" s="157"/>
      <c r="C21" s="158"/>
      <c r="D21" s="159"/>
      <c r="E21" s="61" t="s">
        <v>68</v>
      </c>
      <c r="F21" s="160"/>
      <c r="G21" s="146"/>
      <c r="H21" s="12" t="s">
        <v>132</v>
      </c>
      <c r="I21" s="12" t="s">
        <v>133</v>
      </c>
      <c r="J21" s="12" t="s">
        <v>322</v>
      </c>
      <c r="K21" s="12" t="s">
        <v>135</v>
      </c>
      <c r="L21" s="11"/>
      <c r="M21" s="11"/>
      <c r="N21" s="55">
        <v>1</v>
      </c>
      <c r="O21" s="11"/>
      <c r="P21" s="11"/>
      <c r="Q21" s="55">
        <v>1</v>
      </c>
      <c r="R21" s="11"/>
      <c r="S21" s="55"/>
      <c r="T21" s="11">
        <v>1</v>
      </c>
      <c r="U21" s="11"/>
      <c r="V21" s="11"/>
      <c r="W21" s="55">
        <v>1</v>
      </c>
      <c r="X21" s="155"/>
      <c r="Y21" s="11" t="s">
        <v>78</v>
      </c>
      <c r="Z21" s="11" t="s">
        <v>127</v>
      </c>
      <c r="AA21" s="25" t="s">
        <v>282</v>
      </c>
      <c r="AB21" s="47">
        <f>SUM(X19:X21)</f>
        <v>700000</v>
      </c>
    </row>
    <row r="22" spans="2:28">
      <c r="AB22" s="47">
        <f>SUM(AB21,AB18,AB15,AB11)</f>
        <v>3000000</v>
      </c>
    </row>
  </sheetData>
  <mergeCells count="37">
    <mergeCell ref="AA3:AA4"/>
    <mergeCell ref="B2:Z2"/>
    <mergeCell ref="B3:B4"/>
    <mergeCell ref="C3:C4"/>
    <mergeCell ref="D3:D4"/>
    <mergeCell ref="E3:E4"/>
    <mergeCell ref="G3:G4"/>
    <mergeCell ref="H3:H4"/>
    <mergeCell ref="I3:I4"/>
    <mergeCell ref="J3:J4"/>
    <mergeCell ref="K3:K4"/>
    <mergeCell ref="L3:N3"/>
    <mergeCell ref="O3:Q3"/>
    <mergeCell ref="R3:T3"/>
    <mergeCell ref="U3:W3"/>
    <mergeCell ref="Y3:Z3"/>
    <mergeCell ref="B5:Z5"/>
    <mergeCell ref="B6:Z6"/>
    <mergeCell ref="D8:Z8"/>
    <mergeCell ref="D9:Z9"/>
    <mergeCell ref="D10:D11"/>
    <mergeCell ref="F10:F11"/>
    <mergeCell ref="G10:G11"/>
    <mergeCell ref="G19:G21"/>
    <mergeCell ref="X12:X15"/>
    <mergeCell ref="X16:X18"/>
    <mergeCell ref="X19:X21"/>
    <mergeCell ref="B7:B21"/>
    <mergeCell ref="C7:C21"/>
    <mergeCell ref="D12:D15"/>
    <mergeCell ref="F12:F15"/>
    <mergeCell ref="G12:G15"/>
    <mergeCell ref="D19:D21"/>
    <mergeCell ref="F19:F21"/>
    <mergeCell ref="D16:D18"/>
    <mergeCell ref="F16:F18"/>
    <mergeCell ref="G16:G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tabSelected="1" topLeftCell="A35" workbookViewId="0">
      <selection activeCell="C58" sqref="C58"/>
    </sheetView>
  </sheetViews>
  <sheetFormatPr defaultRowHeight="13.8"/>
  <cols>
    <col min="1" max="1" width="39.3984375" style="65" bestFit="1" customWidth="1"/>
    <col min="2" max="2" width="23.796875" style="65" bestFit="1" customWidth="1"/>
    <col min="3" max="3" width="19.3984375" style="65" bestFit="1" customWidth="1"/>
    <col min="4" max="4" width="87.69921875" style="65" bestFit="1" customWidth="1"/>
    <col min="5" max="5" width="8.796875" style="65"/>
    <col min="6" max="6" width="14.59765625" style="118" bestFit="1" customWidth="1"/>
    <col min="7" max="7" width="13.796875" style="65" bestFit="1" customWidth="1"/>
    <col min="8" max="8" width="14.8984375" style="111" bestFit="1" customWidth="1"/>
    <col min="9" max="16384" width="8.796875" style="65"/>
  </cols>
  <sheetData>
    <row r="1" spans="1:8" s="173" customFormat="1">
      <c r="A1" s="173" t="s">
        <v>310</v>
      </c>
    </row>
    <row r="2" spans="1:8" s="110" customFormat="1">
      <c r="A2" s="108" t="s">
        <v>24</v>
      </c>
      <c r="B2" s="108" t="s">
        <v>162</v>
      </c>
      <c r="C2" s="64" t="s">
        <v>163</v>
      </c>
      <c r="D2" s="108" t="s">
        <v>164</v>
      </c>
      <c r="E2" s="108" t="s">
        <v>165</v>
      </c>
      <c r="F2" s="117" t="s">
        <v>166</v>
      </c>
      <c r="G2" s="108" t="s">
        <v>312</v>
      </c>
      <c r="H2" s="109" t="s">
        <v>309</v>
      </c>
    </row>
    <row r="3" spans="1:8">
      <c r="A3" s="65" t="s">
        <v>182</v>
      </c>
      <c r="C3" s="65" t="s">
        <v>214</v>
      </c>
      <c r="D3" s="65" t="s">
        <v>216</v>
      </c>
      <c r="E3" s="65">
        <v>10</v>
      </c>
      <c r="F3" s="118">
        <v>20000</v>
      </c>
      <c r="G3" s="65">
        <v>2</v>
      </c>
      <c r="H3" s="111">
        <f>F3*G3</f>
        <v>40000</v>
      </c>
    </row>
    <row r="4" spans="1:8">
      <c r="C4" s="65" t="s">
        <v>184</v>
      </c>
      <c r="D4" s="112" t="s">
        <v>316</v>
      </c>
      <c r="E4" s="65">
        <v>2</v>
      </c>
      <c r="F4" s="118">
        <v>600000</v>
      </c>
      <c r="G4" s="65">
        <v>1</v>
      </c>
      <c r="H4" s="111">
        <f>F4*G4</f>
        <v>600000</v>
      </c>
    </row>
    <row r="5" spans="1:8" ht="14.4" thickBot="1">
      <c r="A5" s="65" t="s">
        <v>185</v>
      </c>
      <c r="B5" s="65" t="s">
        <v>186</v>
      </c>
      <c r="C5" s="65" t="s">
        <v>187</v>
      </c>
      <c r="D5" t="s">
        <v>411</v>
      </c>
      <c r="E5" s="65">
        <v>3</v>
      </c>
      <c r="F5" s="118">
        <v>600000</v>
      </c>
      <c r="G5" s="65">
        <v>1</v>
      </c>
      <c r="H5" s="111">
        <f>F5*G5</f>
        <v>600000</v>
      </c>
    </row>
    <row r="6" spans="1:8" ht="14.4" thickBot="1">
      <c r="A6" s="104" t="s">
        <v>207</v>
      </c>
      <c r="B6" s="105" t="s">
        <v>281</v>
      </c>
      <c r="C6" s="106" t="s">
        <v>208</v>
      </c>
      <c r="D6" s="113" t="s">
        <v>274</v>
      </c>
      <c r="E6" s="114">
        <v>1</v>
      </c>
      <c r="F6" s="120">
        <v>200</v>
      </c>
      <c r="G6" s="115">
        <v>1</v>
      </c>
      <c r="H6" s="111">
        <f>G6*F6</f>
        <v>200</v>
      </c>
    </row>
    <row r="7" spans="1:8" ht="14.4" thickBot="1">
      <c r="A7" s="107"/>
      <c r="B7" s="105" t="s">
        <v>281</v>
      </c>
      <c r="C7" s="106" t="s">
        <v>208</v>
      </c>
      <c r="D7" s="113" t="s">
        <v>275</v>
      </c>
      <c r="E7" s="114">
        <v>4</v>
      </c>
      <c r="F7" s="120">
        <v>400</v>
      </c>
      <c r="G7" s="115">
        <v>4</v>
      </c>
      <c r="H7" s="111">
        <f>G7*F7</f>
        <v>1600</v>
      </c>
    </row>
    <row r="8" spans="1:8" ht="14.4" thickBot="1">
      <c r="A8" s="107"/>
      <c r="B8" s="105" t="s">
        <v>281</v>
      </c>
      <c r="C8" s="106" t="s">
        <v>208</v>
      </c>
      <c r="D8" s="113" t="s">
        <v>315</v>
      </c>
      <c r="E8" s="114">
        <v>1</v>
      </c>
      <c r="F8" s="120">
        <v>10000</v>
      </c>
      <c r="G8" s="115">
        <v>1</v>
      </c>
      <c r="H8" s="111">
        <f>G8*F8</f>
        <v>10000</v>
      </c>
    </row>
    <row r="9" spans="1:8" ht="14.4" thickBot="1">
      <c r="A9" s="107"/>
      <c r="B9" s="105" t="s">
        <v>281</v>
      </c>
      <c r="C9" s="106" t="s">
        <v>208</v>
      </c>
      <c r="D9" s="113" t="s">
        <v>257</v>
      </c>
      <c r="E9" s="114">
        <v>1</v>
      </c>
      <c r="F9" s="120">
        <v>10000</v>
      </c>
      <c r="G9" s="115">
        <v>1</v>
      </c>
      <c r="H9" s="111">
        <f>G9*F9</f>
        <v>10000</v>
      </c>
    </row>
    <row r="10" spans="1:8" ht="14.4" thickBot="1">
      <c r="A10" s="107"/>
      <c r="B10" s="105" t="s">
        <v>281</v>
      </c>
      <c r="C10" s="106" t="s">
        <v>208</v>
      </c>
      <c r="D10" s="113" t="s">
        <v>314</v>
      </c>
      <c r="E10" s="113">
        <v>3</v>
      </c>
      <c r="F10" s="121">
        <v>5000</v>
      </c>
      <c r="G10" s="115">
        <v>1</v>
      </c>
      <c r="H10" s="111">
        <f>G10*F10</f>
        <v>5000</v>
      </c>
    </row>
    <row r="11" spans="1:8" ht="14.4" thickBot="1">
      <c r="A11" s="65" t="s">
        <v>207</v>
      </c>
      <c r="B11" s="65" t="s">
        <v>281</v>
      </c>
      <c r="C11" s="65" t="s">
        <v>208</v>
      </c>
      <c r="D11" s="65" t="s">
        <v>209</v>
      </c>
      <c r="E11" s="65">
        <v>12</v>
      </c>
      <c r="F11" s="118">
        <v>15000</v>
      </c>
      <c r="G11" s="65">
        <v>12</v>
      </c>
      <c r="H11" s="111">
        <f>F11*G11</f>
        <v>180000</v>
      </c>
    </row>
    <row r="12" spans="1:8" ht="14.4" thickBot="1">
      <c r="A12" s="107"/>
      <c r="B12" s="105" t="s">
        <v>281</v>
      </c>
      <c r="C12" s="106" t="s">
        <v>208</v>
      </c>
      <c r="D12" s="113" t="s">
        <v>243</v>
      </c>
      <c r="E12" s="113">
        <v>4</v>
      </c>
      <c r="F12" s="121">
        <v>2500</v>
      </c>
      <c r="G12" s="65">
        <v>2</v>
      </c>
      <c r="H12" s="111">
        <f>G12*F12</f>
        <v>5000</v>
      </c>
    </row>
    <row r="13" spans="1:8" s="66" customFormat="1">
      <c r="A13" s="66" t="s">
        <v>311</v>
      </c>
      <c r="F13" s="119"/>
      <c r="H13" s="116">
        <f>SUM(H3:H12)</f>
        <v>1451800</v>
      </c>
    </row>
    <row r="17" spans="1:4">
      <c r="D17"/>
    </row>
    <row r="18" spans="1:4" ht="15.6">
      <c r="A18" s="134" t="s">
        <v>373</v>
      </c>
      <c r="B18" s="135" t="s">
        <v>374</v>
      </c>
    </row>
    <row r="19" spans="1:4" ht="15.6">
      <c r="A19" s="137" t="s">
        <v>375</v>
      </c>
      <c r="B19" s="137">
        <v>0</v>
      </c>
    </row>
    <row r="20" spans="1:4" ht="15.6">
      <c r="A20" s="137" t="s">
        <v>376</v>
      </c>
      <c r="B20" s="137">
        <v>0</v>
      </c>
    </row>
    <row r="21" spans="1:4" ht="15.6">
      <c r="A21" s="137" t="s">
        <v>377</v>
      </c>
      <c r="B21" s="137">
        <v>0</v>
      </c>
    </row>
    <row r="22" spans="1:4" ht="15.6">
      <c r="A22" s="137" t="s">
        <v>378</v>
      </c>
      <c r="B22" s="137">
        <v>7500</v>
      </c>
    </row>
    <row r="23" spans="1:4" ht="15.6">
      <c r="A23" s="137" t="s">
        <v>379</v>
      </c>
      <c r="B23" s="137">
        <v>640000</v>
      </c>
    </row>
    <row r="24" spans="1:4" ht="15.6">
      <c r="A24" s="137" t="s">
        <v>380</v>
      </c>
      <c r="B24" s="137"/>
    </row>
    <row r="25" spans="1:4" ht="15.6">
      <c r="A25" s="137" t="s">
        <v>381</v>
      </c>
      <c r="B25" s="137">
        <v>5000</v>
      </c>
    </row>
    <row r="26" spans="1:4" ht="15.6">
      <c r="A26" s="137" t="s">
        <v>351</v>
      </c>
      <c r="B26" s="137">
        <v>181400</v>
      </c>
    </row>
    <row r="27" spans="1:4" ht="15.6">
      <c r="A27" s="137" t="s">
        <v>382</v>
      </c>
      <c r="B27" s="137">
        <v>0</v>
      </c>
    </row>
    <row r="28" spans="1:4" ht="15.6">
      <c r="A28" s="137" t="s">
        <v>383</v>
      </c>
      <c r="B28" s="137">
        <v>0</v>
      </c>
    </row>
    <row r="29" spans="1:4" ht="15.6">
      <c r="A29" s="137" t="s">
        <v>384</v>
      </c>
      <c r="B29" s="137">
        <v>0</v>
      </c>
    </row>
    <row r="30" spans="1:4" ht="15.6">
      <c r="A30" s="137" t="s">
        <v>385</v>
      </c>
      <c r="B30" s="137">
        <v>0</v>
      </c>
    </row>
    <row r="31" spans="1:4" ht="15.6">
      <c r="A31" s="137" t="s">
        <v>386</v>
      </c>
      <c r="B31" s="137">
        <v>0</v>
      </c>
    </row>
    <row r="32" spans="1:4" ht="15.6">
      <c r="A32" s="137" t="s">
        <v>387</v>
      </c>
      <c r="B32" s="137">
        <v>0</v>
      </c>
    </row>
    <row r="33" spans="1:2" ht="15.6">
      <c r="A33" s="137" t="s">
        <v>276</v>
      </c>
      <c r="B33" s="137">
        <v>0</v>
      </c>
    </row>
    <row r="34" spans="1:2" ht="15.6">
      <c r="A34" s="137" t="s">
        <v>388</v>
      </c>
      <c r="B34" s="137">
        <v>10000</v>
      </c>
    </row>
    <row r="35" spans="1:2" ht="15.6">
      <c r="A35" s="137" t="s">
        <v>389</v>
      </c>
      <c r="B35" s="137">
        <v>0</v>
      </c>
    </row>
    <row r="36" spans="1:2" ht="15.6">
      <c r="A36" s="137" t="s">
        <v>390</v>
      </c>
      <c r="B36" s="137">
        <v>0</v>
      </c>
    </row>
    <row r="37" spans="1:2" ht="15.6">
      <c r="A37" s="137" t="s">
        <v>391</v>
      </c>
      <c r="B37" s="137">
        <v>0</v>
      </c>
    </row>
    <row r="38" spans="1:2" ht="15.6">
      <c r="A38" s="137" t="s">
        <v>392</v>
      </c>
      <c r="B38" s="137">
        <v>0</v>
      </c>
    </row>
    <row r="39" spans="1:2" ht="15.6">
      <c r="A39" s="137" t="s">
        <v>393</v>
      </c>
      <c r="B39" s="137">
        <v>0</v>
      </c>
    </row>
    <row r="40" spans="1:2" ht="15.6">
      <c r="A40" s="137" t="s">
        <v>394</v>
      </c>
      <c r="B40" s="137">
        <v>0</v>
      </c>
    </row>
    <row r="41" spans="1:2" ht="15.6">
      <c r="A41" s="137" t="s">
        <v>395</v>
      </c>
      <c r="B41" s="137">
        <v>0</v>
      </c>
    </row>
    <row r="42" spans="1:2" ht="15.6">
      <c r="A42" s="137" t="s">
        <v>396</v>
      </c>
      <c r="B42" s="137">
        <v>0</v>
      </c>
    </row>
    <row r="43" spans="1:2" ht="15.6">
      <c r="A43" s="139" t="s">
        <v>397</v>
      </c>
      <c r="B43" s="137">
        <v>0</v>
      </c>
    </row>
    <row r="44" spans="1:2" ht="15.6">
      <c r="A44" s="137" t="s">
        <v>398</v>
      </c>
      <c r="B44" s="137">
        <v>0</v>
      </c>
    </row>
    <row r="45" spans="1:2" ht="15.6">
      <c r="A45" s="137" t="s">
        <v>399</v>
      </c>
      <c r="B45" s="137">
        <v>0</v>
      </c>
    </row>
    <row r="46" spans="1:2" ht="15.6">
      <c r="A46" s="137" t="s">
        <v>400</v>
      </c>
      <c r="B46" s="137">
        <v>0</v>
      </c>
    </row>
    <row r="47" spans="1:2" ht="15.6">
      <c r="A47" s="137" t="s">
        <v>401</v>
      </c>
      <c r="B47" s="137">
        <v>0</v>
      </c>
    </row>
    <row r="48" spans="1:2" ht="15.6">
      <c r="A48" s="137" t="s">
        <v>402</v>
      </c>
      <c r="B48" s="65">
        <v>2155900</v>
      </c>
    </row>
    <row r="49" spans="1:2" ht="15.6">
      <c r="A49" s="137" t="s">
        <v>404</v>
      </c>
      <c r="B49" s="137">
        <v>0</v>
      </c>
    </row>
    <row r="50" spans="1:2" ht="15.6">
      <c r="A50" s="137" t="s">
        <v>405</v>
      </c>
      <c r="B50" s="137">
        <v>0</v>
      </c>
    </row>
    <row r="51" spans="1:2" ht="15.6">
      <c r="A51" s="137" t="s">
        <v>406</v>
      </c>
      <c r="B51" s="137">
        <v>200</v>
      </c>
    </row>
    <row r="52" spans="1:2" ht="15.6">
      <c r="A52" s="135" t="s">
        <v>407</v>
      </c>
      <c r="B52" s="135">
        <f>SUM(B19:B51)</f>
        <v>3000000</v>
      </c>
    </row>
    <row r="53" spans="1:2" ht="15.6">
      <c r="A53" s="135" t="s">
        <v>408</v>
      </c>
      <c r="B53" s="135">
        <v>0</v>
      </c>
    </row>
    <row r="54" spans="1:2" ht="15.6">
      <c r="A54" s="135" t="s">
        <v>409</v>
      </c>
      <c r="B54" s="135">
        <f>SUM(B52:B53)</f>
        <v>3000000</v>
      </c>
    </row>
  </sheetData>
  <mergeCells count="1">
    <mergeCell ref="A1:XFD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6"/>
  <sheetViews>
    <sheetView topLeftCell="B1" zoomScale="105" zoomScaleNormal="69" workbookViewId="0">
      <selection activeCell="A8" sqref="A8"/>
    </sheetView>
  </sheetViews>
  <sheetFormatPr defaultRowHeight="13.8"/>
  <cols>
    <col min="1" max="1" width="23.59765625" bestFit="1" customWidth="1"/>
    <col min="2" max="2" width="35.796875" bestFit="1" customWidth="1"/>
    <col min="3" max="3" width="33.19921875" style="30" customWidth="1"/>
    <col min="4" max="4" width="92.59765625" bestFit="1" customWidth="1"/>
    <col min="5" max="5" width="8.69921875" style="34" bestFit="1" customWidth="1"/>
    <col min="6" max="6" width="11.19921875" style="32" bestFit="1" customWidth="1"/>
    <col min="7" max="7" width="14.796875" style="46" bestFit="1" customWidth="1"/>
    <col min="8" max="8" width="10.796875" bestFit="1" customWidth="1"/>
    <col min="10" max="10" width="16.5" style="62" bestFit="1" customWidth="1"/>
    <col min="11" max="11" width="14.3984375" bestFit="1" customWidth="1"/>
  </cols>
  <sheetData>
    <row r="1" spans="1:11" ht="14.4" thickBot="1">
      <c r="A1" s="24" t="s">
        <v>24</v>
      </c>
      <c r="B1" s="24" t="s">
        <v>162</v>
      </c>
      <c r="C1" s="30" t="s">
        <v>163</v>
      </c>
      <c r="D1" s="24" t="s">
        <v>164</v>
      </c>
      <c r="E1" s="33" t="s">
        <v>165</v>
      </c>
      <c r="F1" s="31" t="s">
        <v>166</v>
      </c>
      <c r="G1" s="44" t="s">
        <v>30</v>
      </c>
      <c r="J1" s="63" t="s">
        <v>309</v>
      </c>
    </row>
    <row r="2" spans="1:11" ht="55.8" thickBot="1">
      <c r="A2" s="22" t="s">
        <v>170</v>
      </c>
      <c r="B2" s="21" t="s">
        <v>171</v>
      </c>
      <c r="C2" s="27" t="s">
        <v>172</v>
      </c>
      <c r="D2" s="21" t="s">
        <v>211</v>
      </c>
      <c r="E2" s="21">
        <v>2</v>
      </c>
      <c r="F2" s="39">
        <v>1000000</v>
      </c>
      <c r="G2" s="29">
        <f>E2*F2</f>
        <v>2000000</v>
      </c>
      <c r="J2" s="62">
        <f>I2*F2</f>
        <v>0</v>
      </c>
    </row>
    <row r="3" spans="1:11" ht="67.8" thickBot="1">
      <c r="A3" s="21"/>
      <c r="B3" s="21"/>
      <c r="C3" s="27" t="s">
        <v>173</v>
      </c>
      <c r="D3" s="26" t="s">
        <v>210</v>
      </c>
      <c r="E3" s="21">
        <v>1</v>
      </c>
      <c r="F3" s="39">
        <v>2900000</v>
      </c>
      <c r="G3" s="29">
        <f t="shared" ref="G3:G68" si="0">E3*F3</f>
        <v>2900000</v>
      </c>
      <c r="H3" s="23">
        <f>SUM(G2:G3)</f>
        <v>4900000</v>
      </c>
      <c r="J3" s="62">
        <f t="shared" ref="J3:J67" si="1">I3*F3</f>
        <v>0</v>
      </c>
    </row>
    <row r="4" spans="1:11" ht="42" thickBot="1">
      <c r="A4" s="22" t="s">
        <v>174</v>
      </c>
      <c r="B4" s="21" t="s">
        <v>175</v>
      </c>
      <c r="C4" s="27" t="s">
        <v>176</v>
      </c>
      <c r="D4" s="21" t="s">
        <v>222</v>
      </c>
      <c r="E4" s="21">
        <v>1</v>
      </c>
      <c r="F4" s="39">
        <v>2050000</v>
      </c>
      <c r="G4" s="29">
        <f t="shared" si="0"/>
        <v>2050000</v>
      </c>
      <c r="J4" s="62">
        <f t="shared" si="1"/>
        <v>0</v>
      </c>
    </row>
    <row r="5" spans="1:11" ht="69.599999999999994" thickBot="1">
      <c r="A5" s="21"/>
      <c r="B5" s="21"/>
      <c r="C5" s="27" t="s">
        <v>177</v>
      </c>
      <c r="D5" s="21" t="s">
        <v>213</v>
      </c>
      <c r="E5" s="21">
        <v>4</v>
      </c>
      <c r="F5" s="39">
        <v>246000</v>
      </c>
      <c r="G5" s="29">
        <f t="shared" si="0"/>
        <v>984000</v>
      </c>
      <c r="H5" s="23">
        <f>SUM(G4:G5)</f>
        <v>3034000</v>
      </c>
      <c r="J5" s="62">
        <f t="shared" si="1"/>
        <v>0</v>
      </c>
    </row>
    <row r="6" spans="1:11" ht="28.2" thickBot="1">
      <c r="A6" s="22" t="s">
        <v>178</v>
      </c>
      <c r="B6" s="21" t="s">
        <v>179</v>
      </c>
      <c r="C6" s="27" t="s">
        <v>180</v>
      </c>
      <c r="D6" s="27" t="s">
        <v>218</v>
      </c>
      <c r="E6" s="21">
        <v>1</v>
      </c>
      <c r="F6" s="39">
        <v>650000</v>
      </c>
      <c r="G6" s="29">
        <f t="shared" si="0"/>
        <v>650000</v>
      </c>
      <c r="H6" s="23"/>
      <c r="J6" s="62">
        <f t="shared" si="1"/>
        <v>0</v>
      </c>
    </row>
    <row r="7" spans="1:11" ht="14.4" thickBot="1">
      <c r="A7" s="21"/>
      <c r="B7" s="21"/>
      <c r="C7" s="27" t="s">
        <v>181</v>
      </c>
      <c r="D7" s="27" t="s">
        <v>219</v>
      </c>
      <c r="E7" s="21">
        <v>60</v>
      </c>
      <c r="F7" s="39">
        <v>7500</v>
      </c>
      <c r="G7" s="29">
        <f t="shared" si="0"/>
        <v>450000</v>
      </c>
      <c r="H7" s="23">
        <f>SUM(G6:G7)</f>
        <v>1100000</v>
      </c>
      <c r="J7" s="62">
        <f t="shared" si="1"/>
        <v>0</v>
      </c>
    </row>
    <row r="8" spans="1:11" ht="28.2" thickBot="1">
      <c r="A8" s="22" t="s">
        <v>182</v>
      </c>
      <c r="B8" s="21" t="s">
        <v>183</v>
      </c>
      <c r="C8" s="27" t="s">
        <v>169</v>
      </c>
      <c r="D8" s="21" t="s">
        <v>215</v>
      </c>
      <c r="E8" s="21">
        <v>1</v>
      </c>
      <c r="F8" s="39">
        <v>550000</v>
      </c>
      <c r="G8" s="29">
        <f t="shared" si="0"/>
        <v>550000</v>
      </c>
      <c r="H8" s="23"/>
      <c r="J8" s="62">
        <f t="shared" si="1"/>
        <v>0</v>
      </c>
    </row>
    <row r="9" spans="1:11" s="80" customFormat="1" ht="14.4" thickBot="1">
      <c r="A9" s="74"/>
      <c r="B9" s="75"/>
      <c r="C9" s="76" t="s">
        <v>214</v>
      </c>
      <c r="D9" s="75" t="s">
        <v>216</v>
      </c>
      <c r="E9" s="75">
        <v>5</v>
      </c>
      <c r="F9" s="77">
        <v>20000</v>
      </c>
      <c r="G9" s="78">
        <f t="shared" si="0"/>
        <v>100000</v>
      </c>
      <c r="H9" s="79"/>
      <c r="I9" s="80">
        <v>5</v>
      </c>
      <c r="J9" s="81">
        <f t="shared" si="1"/>
        <v>100000</v>
      </c>
      <c r="K9" s="80" t="s">
        <v>313</v>
      </c>
    </row>
    <row r="10" spans="1:11" s="80" customFormat="1" ht="55.8" thickBot="1">
      <c r="A10" s="75"/>
      <c r="B10" s="75"/>
      <c r="C10" s="76" t="s">
        <v>184</v>
      </c>
      <c r="D10" s="76" t="s">
        <v>220</v>
      </c>
      <c r="E10" s="75">
        <v>1</v>
      </c>
      <c r="F10" s="77">
        <v>1512000</v>
      </c>
      <c r="G10" s="78">
        <f t="shared" si="0"/>
        <v>1512000</v>
      </c>
      <c r="H10" s="79">
        <f>SUM(G8:G10)</f>
        <v>2162000</v>
      </c>
      <c r="I10" s="80">
        <v>1</v>
      </c>
      <c r="J10" s="81">
        <f t="shared" si="1"/>
        <v>1512000</v>
      </c>
      <c r="K10" s="80" t="s">
        <v>313</v>
      </c>
    </row>
    <row r="11" spans="1:11" s="80" customFormat="1" ht="14.4" thickBot="1">
      <c r="A11" s="74" t="s">
        <v>185</v>
      </c>
      <c r="B11" s="75" t="s">
        <v>186</v>
      </c>
      <c r="C11" s="76" t="s">
        <v>187</v>
      </c>
      <c r="D11" s="76" t="s">
        <v>284</v>
      </c>
      <c r="E11" s="75">
        <v>3</v>
      </c>
      <c r="F11" s="77">
        <v>300000</v>
      </c>
      <c r="G11" s="78">
        <f t="shared" si="0"/>
        <v>900000</v>
      </c>
      <c r="H11" s="79"/>
      <c r="I11" s="80">
        <v>2</v>
      </c>
      <c r="J11" s="81">
        <f t="shared" si="1"/>
        <v>600000</v>
      </c>
      <c r="K11" s="80" t="s">
        <v>313</v>
      </c>
    </row>
    <row r="12" spans="1:11" s="80" customFormat="1" ht="14.4" thickBot="1">
      <c r="A12" s="75"/>
      <c r="B12" s="75"/>
      <c r="C12" s="76" t="s">
        <v>277</v>
      </c>
      <c r="D12" s="76" t="s">
        <v>223</v>
      </c>
      <c r="E12" s="75">
        <v>3</v>
      </c>
      <c r="F12" s="77">
        <v>300000</v>
      </c>
      <c r="G12" s="78">
        <f t="shared" si="0"/>
        <v>900000</v>
      </c>
      <c r="H12" s="79">
        <f>SUM(G11:G12)</f>
        <v>1800000</v>
      </c>
      <c r="I12" s="80">
        <v>2</v>
      </c>
      <c r="J12" s="81">
        <f t="shared" si="1"/>
        <v>600000</v>
      </c>
      <c r="K12" s="80" t="s">
        <v>313</v>
      </c>
    </row>
    <row r="13" spans="1:11" ht="14.4" thickBot="1">
      <c r="A13" s="22" t="s">
        <v>188</v>
      </c>
      <c r="B13" s="21" t="s">
        <v>189</v>
      </c>
      <c r="C13" s="27" t="s">
        <v>190</v>
      </c>
      <c r="D13" s="27" t="s">
        <v>278</v>
      </c>
      <c r="E13" s="21">
        <v>2</v>
      </c>
      <c r="F13" s="39">
        <v>180000</v>
      </c>
      <c r="G13" s="29">
        <f t="shared" si="0"/>
        <v>360000</v>
      </c>
      <c r="H13" s="23"/>
      <c r="J13" s="62">
        <f t="shared" si="1"/>
        <v>0</v>
      </c>
    </row>
    <row r="14" spans="1:11" ht="14.4" thickBot="1">
      <c r="A14" s="21"/>
      <c r="B14" s="21"/>
      <c r="C14" s="27" t="s">
        <v>191</v>
      </c>
      <c r="D14" s="21" t="s">
        <v>212</v>
      </c>
      <c r="E14" s="21">
        <v>12</v>
      </c>
      <c r="F14" s="39">
        <v>25000</v>
      </c>
      <c r="G14" s="29">
        <f t="shared" si="0"/>
        <v>300000</v>
      </c>
      <c r="H14" s="23"/>
      <c r="J14" s="62">
        <f t="shared" si="1"/>
        <v>0</v>
      </c>
    </row>
    <row r="15" spans="1:11" ht="14.4" thickBot="1">
      <c r="A15" s="21"/>
      <c r="B15" s="21"/>
      <c r="C15" s="27" t="s">
        <v>192</v>
      </c>
      <c r="D15" s="27" t="s">
        <v>224</v>
      </c>
      <c r="E15" s="21">
        <v>2</v>
      </c>
      <c r="F15" s="39">
        <v>250000</v>
      </c>
      <c r="G15" s="29">
        <f t="shared" si="0"/>
        <v>500000</v>
      </c>
      <c r="H15" s="23"/>
      <c r="J15" s="62">
        <f t="shared" si="1"/>
        <v>0</v>
      </c>
    </row>
    <row r="16" spans="1:11" ht="14.4" thickBot="1">
      <c r="A16" s="21"/>
      <c r="B16" s="21"/>
      <c r="C16" s="27" t="s">
        <v>193</v>
      </c>
      <c r="D16" s="21" t="s">
        <v>194</v>
      </c>
      <c r="E16" s="21">
        <v>12</v>
      </c>
      <c r="F16" s="39">
        <v>25000</v>
      </c>
      <c r="G16" s="29">
        <f t="shared" si="0"/>
        <v>300000</v>
      </c>
      <c r="H16" s="23">
        <f>SUM(G13:G16)</f>
        <v>1460000</v>
      </c>
      <c r="J16" s="62">
        <f t="shared" si="1"/>
        <v>0</v>
      </c>
    </row>
    <row r="17" spans="1:10" ht="14.4" thickBot="1">
      <c r="A17" s="22" t="s">
        <v>195</v>
      </c>
      <c r="B17" s="21" t="s">
        <v>196</v>
      </c>
      <c r="C17" s="27" t="s">
        <v>197</v>
      </c>
      <c r="D17" s="21" t="s">
        <v>198</v>
      </c>
      <c r="E17" s="21">
        <v>1</v>
      </c>
      <c r="F17" s="39">
        <v>9680000</v>
      </c>
      <c r="G17" s="29">
        <f t="shared" si="0"/>
        <v>9680000</v>
      </c>
      <c r="H17" s="23">
        <f>G17</f>
        <v>9680000</v>
      </c>
      <c r="J17" s="62">
        <f t="shared" si="1"/>
        <v>0</v>
      </c>
    </row>
    <row r="18" spans="1:10" ht="14.4" thickBot="1">
      <c r="A18" s="22" t="s">
        <v>199</v>
      </c>
      <c r="B18" s="21" t="s">
        <v>200</v>
      </c>
      <c r="C18" s="27" t="s">
        <v>201</v>
      </c>
      <c r="D18" s="21" t="s">
        <v>202</v>
      </c>
      <c r="E18" s="21">
        <v>1</v>
      </c>
      <c r="F18" s="39">
        <v>110000</v>
      </c>
      <c r="G18" s="29">
        <f t="shared" si="0"/>
        <v>110000</v>
      </c>
      <c r="H18" s="23">
        <f t="shared" ref="H18:H19" si="2">G18</f>
        <v>110000</v>
      </c>
      <c r="J18" s="62">
        <f t="shared" si="1"/>
        <v>0</v>
      </c>
    </row>
    <row r="19" spans="1:10" ht="14.4" thickBot="1">
      <c r="A19" s="22" t="s">
        <v>167</v>
      </c>
      <c r="B19" s="21" t="s">
        <v>200</v>
      </c>
      <c r="C19" s="27" t="s">
        <v>203</v>
      </c>
      <c r="D19" s="21" t="s">
        <v>204</v>
      </c>
      <c r="E19" s="21">
        <v>1</v>
      </c>
      <c r="F19" s="39">
        <v>250000</v>
      </c>
      <c r="G19" s="29">
        <f t="shared" si="0"/>
        <v>250000</v>
      </c>
      <c r="H19" s="23">
        <f t="shared" si="2"/>
        <v>250000</v>
      </c>
      <c r="J19" s="62">
        <f t="shared" si="1"/>
        <v>0</v>
      </c>
    </row>
    <row r="20" spans="1:10" ht="14.4" thickBot="1">
      <c r="A20" s="22" t="s">
        <v>168</v>
      </c>
      <c r="B20" s="21" t="s">
        <v>200</v>
      </c>
      <c r="C20" s="27" t="s">
        <v>205</v>
      </c>
      <c r="D20" s="21" t="s">
        <v>206</v>
      </c>
      <c r="E20" s="21">
        <v>1</v>
      </c>
      <c r="F20" s="39">
        <v>185000</v>
      </c>
      <c r="G20" s="29">
        <f t="shared" si="0"/>
        <v>185000</v>
      </c>
      <c r="J20" s="62">
        <f t="shared" si="1"/>
        <v>0</v>
      </c>
    </row>
    <row r="21" spans="1:10" s="80" customFormat="1" ht="14.4" thickBot="1">
      <c r="A21" s="75"/>
      <c r="B21" s="75" t="s">
        <v>200</v>
      </c>
      <c r="C21" s="76" t="s">
        <v>221</v>
      </c>
      <c r="D21" s="76" t="s">
        <v>217</v>
      </c>
      <c r="E21" s="75">
        <v>7</v>
      </c>
      <c r="F21" s="77">
        <v>15000</v>
      </c>
      <c r="G21" s="78">
        <f t="shared" si="0"/>
        <v>105000</v>
      </c>
      <c r="H21" s="79">
        <f>SUM(G20:G21)</f>
        <v>290000</v>
      </c>
      <c r="J21" s="81">
        <f t="shared" si="1"/>
        <v>0</v>
      </c>
    </row>
    <row r="22" spans="1:10" ht="28.2" thickBot="1">
      <c r="A22" s="22"/>
      <c r="B22" s="21" t="s">
        <v>200</v>
      </c>
      <c r="C22" s="27" t="s">
        <v>279</v>
      </c>
      <c r="D22" s="35" t="s">
        <v>280</v>
      </c>
      <c r="E22" s="37">
        <v>2</v>
      </c>
      <c r="F22" s="41">
        <v>750000</v>
      </c>
      <c r="G22" s="29">
        <f>E22*F22</f>
        <v>1500000</v>
      </c>
      <c r="H22" s="23">
        <f>G22</f>
        <v>1500000</v>
      </c>
      <c r="J22" s="62">
        <f t="shared" si="1"/>
        <v>0</v>
      </c>
    </row>
    <row r="23" spans="1:10" ht="14.4" thickBot="1">
      <c r="A23" s="22" t="s">
        <v>225</v>
      </c>
      <c r="B23" s="21" t="s">
        <v>200</v>
      </c>
      <c r="C23" s="27" t="s">
        <v>226</v>
      </c>
      <c r="D23" s="21" t="s">
        <v>227</v>
      </c>
      <c r="E23" s="21">
        <v>1</v>
      </c>
      <c r="F23" s="40">
        <v>400000</v>
      </c>
      <c r="G23" s="29">
        <f t="shared" si="0"/>
        <v>400000</v>
      </c>
      <c r="H23" s="23">
        <f>G23</f>
        <v>400000</v>
      </c>
      <c r="J23" s="62">
        <f t="shared" si="1"/>
        <v>0</v>
      </c>
    </row>
    <row r="24" spans="1:10" ht="14.4" thickBot="1">
      <c r="A24" s="22" t="s">
        <v>207</v>
      </c>
      <c r="B24" s="21" t="s">
        <v>281</v>
      </c>
      <c r="C24" s="27" t="s">
        <v>208</v>
      </c>
      <c r="D24" s="21" t="s">
        <v>209</v>
      </c>
      <c r="E24" s="21">
        <v>12</v>
      </c>
      <c r="F24" s="39">
        <v>15000</v>
      </c>
      <c r="G24" s="29">
        <f t="shared" si="0"/>
        <v>180000</v>
      </c>
      <c r="H24" s="23"/>
      <c r="I24">
        <v>12</v>
      </c>
      <c r="J24" s="62">
        <f t="shared" si="1"/>
        <v>180000</v>
      </c>
    </row>
    <row r="25" spans="1:10" ht="14.4" thickBot="1">
      <c r="A25" s="22"/>
      <c r="B25" s="21" t="s">
        <v>281</v>
      </c>
      <c r="C25" s="27" t="s">
        <v>208</v>
      </c>
      <c r="D25" s="35" t="s">
        <v>246</v>
      </c>
      <c r="E25" s="21">
        <v>1</v>
      </c>
      <c r="F25" s="41">
        <v>100000</v>
      </c>
      <c r="G25" s="29">
        <f t="shared" si="0"/>
        <v>100000</v>
      </c>
      <c r="H25" s="23"/>
      <c r="J25" s="62">
        <f t="shared" si="1"/>
        <v>0</v>
      </c>
    </row>
    <row r="26" spans="1:10" ht="14.4" thickBot="1">
      <c r="A26" s="22"/>
      <c r="B26" s="21" t="s">
        <v>281</v>
      </c>
      <c r="C26" s="27" t="s">
        <v>208</v>
      </c>
      <c r="D26" s="35" t="s">
        <v>247</v>
      </c>
      <c r="E26" s="21">
        <v>1</v>
      </c>
      <c r="F26" s="41">
        <v>150000</v>
      </c>
      <c r="G26" s="29">
        <f t="shared" si="0"/>
        <v>150000</v>
      </c>
      <c r="H26" s="23"/>
      <c r="J26" s="62">
        <f t="shared" si="1"/>
        <v>0</v>
      </c>
    </row>
    <row r="27" spans="1:10" ht="14.4" thickBot="1">
      <c r="A27" s="22"/>
      <c r="B27" s="21" t="s">
        <v>281</v>
      </c>
      <c r="C27" s="27" t="s">
        <v>208</v>
      </c>
      <c r="D27" s="35" t="s">
        <v>248</v>
      </c>
      <c r="E27" s="36">
        <v>1</v>
      </c>
      <c r="F27" s="41">
        <v>100000</v>
      </c>
      <c r="G27" s="29">
        <f t="shared" si="0"/>
        <v>100000</v>
      </c>
      <c r="H27" s="23"/>
      <c r="J27" s="62">
        <f t="shared" si="1"/>
        <v>0</v>
      </c>
    </row>
    <row r="28" spans="1:10" ht="14.4" thickBot="1">
      <c r="A28" s="22"/>
      <c r="B28" s="21" t="s">
        <v>281</v>
      </c>
      <c r="C28" s="27" t="s">
        <v>208</v>
      </c>
      <c r="D28" s="35" t="s">
        <v>249</v>
      </c>
      <c r="E28" s="37">
        <v>1</v>
      </c>
      <c r="F28" s="41">
        <v>15000</v>
      </c>
      <c r="G28" s="29">
        <f t="shared" si="0"/>
        <v>15000</v>
      </c>
      <c r="H28" s="23"/>
      <c r="J28" s="62">
        <f t="shared" si="1"/>
        <v>0</v>
      </c>
    </row>
    <row r="29" spans="1:10" ht="14.4" thickBot="1">
      <c r="A29" s="22"/>
      <c r="B29" s="21" t="s">
        <v>281</v>
      </c>
      <c r="C29" s="27" t="s">
        <v>208</v>
      </c>
      <c r="D29" s="35" t="s">
        <v>250</v>
      </c>
      <c r="E29" s="37">
        <v>1</v>
      </c>
      <c r="F29" s="41">
        <v>12000</v>
      </c>
      <c r="G29" s="29">
        <f t="shared" si="0"/>
        <v>12000</v>
      </c>
      <c r="H29" s="23"/>
      <c r="J29" s="62">
        <f t="shared" si="1"/>
        <v>0</v>
      </c>
    </row>
    <row r="30" spans="1:10" ht="14.4" thickBot="1">
      <c r="A30" s="22"/>
      <c r="B30" s="21" t="s">
        <v>281</v>
      </c>
      <c r="C30" s="27" t="s">
        <v>208</v>
      </c>
      <c r="D30" s="35" t="s">
        <v>251</v>
      </c>
      <c r="E30" s="37">
        <v>1</v>
      </c>
      <c r="F30" s="41">
        <v>300</v>
      </c>
      <c r="G30" s="29">
        <f t="shared" si="0"/>
        <v>300</v>
      </c>
      <c r="H30" s="23"/>
      <c r="J30" s="62">
        <f t="shared" si="1"/>
        <v>0</v>
      </c>
    </row>
    <row r="31" spans="1:10" ht="14.4" thickBot="1">
      <c r="A31" s="22"/>
      <c r="B31" s="21" t="s">
        <v>281</v>
      </c>
      <c r="C31" s="27" t="s">
        <v>208</v>
      </c>
      <c r="D31" s="35" t="s">
        <v>252</v>
      </c>
      <c r="E31" s="37">
        <v>1</v>
      </c>
      <c r="F31" s="41">
        <v>200</v>
      </c>
      <c r="G31" s="29">
        <f t="shared" si="0"/>
        <v>200</v>
      </c>
      <c r="H31" s="23"/>
      <c r="J31" s="62">
        <f t="shared" si="1"/>
        <v>0</v>
      </c>
    </row>
    <row r="32" spans="1:10" ht="14.4" thickBot="1">
      <c r="A32" s="22"/>
      <c r="B32" s="21" t="s">
        <v>281</v>
      </c>
      <c r="C32" s="27" t="s">
        <v>208</v>
      </c>
      <c r="D32" s="35" t="s">
        <v>253</v>
      </c>
      <c r="E32" s="37">
        <v>1</v>
      </c>
      <c r="F32" s="41">
        <v>100</v>
      </c>
      <c r="G32" s="29">
        <f t="shared" si="0"/>
        <v>100</v>
      </c>
      <c r="H32" s="23"/>
      <c r="J32" s="62">
        <f t="shared" si="1"/>
        <v>0</v>
      </c>
    </row>
    <row r="33" spans="1:10" ht="14.4" thickBot="1">
      <c r="A33" s="22"/>
      <c r="B33" s="21" t="s">
        <v>281</v>
      </c>
      <c r="C33" s="27" t="s">
        <v>208</v>
      </c>
      <c r="D33" s="35" t="s">
        <v>254</v>
      </c>
      <c r="E33" s="37">
        <v>1</v>
      </c>
      <c r="F33" s="41">
        <v>150</v>
      </c>
      <c r="G33" s="29">
        <f t="shared" si="0"/>
        <v>150</v>
      </c>
      <c r="H33" s="23"/>
      <c r="J33" s="62">
        <f t="shared" si="1"/>
        <v>0</v>
      </c>
    </row>
    <row r="34" spans="1:10" s="72" customFormat="1" ht="14.4" thickBot="1">
      <c r="A34" s="67"/>
      <c r="B34" s="68" t="s">
        <v>281</v>
      </c>
      <c r="C34" s="69" t="s">
        <v>208</v>
      </c>
      <c r="D34" s="100" t="s">
        <v>314</v>
      </c>
      <c r="E34" s="101">
        <v>3</v>
      </c>
      <c r="F34" s="102">
        <v>5000</v>
      </c>
      <c r="G34" s="70">
        <f t="shared" si="0"/>
        <v>15000</v>
      </c>
      <c r="H34" s="71"/>
      <c r="J34" s="73">
        <f t="shared" si="1"/>
        <v>0</v>
      </c>
    </row>
    <row r="35" spans="1:10" s="98" customFormat="1" ht="14.4" thickBot="1">
      <c r="A35" s="92"/>
      <c r="B35" s="36" t="s">
        <v>281</v>
      </c>
      <c r="C35" s="93" t="s">
        <v>208</v>
      </c>
      <c r="D35" s="94" t="s">
        <v>255</v>
      </c>
      <c r="E35" s="95">
        <v>1</v>
      </c>
      <c r="F35" s="43">
        <v>9500</v>
      </c>
      <c r="G35" s="96">
        <f t="shared" si="0"/>
        <v>9500</v>
      </c>
      <c r="H35" s="97"/>
      <c r="J35" s="99">
        <f t="shared" si="1"/>
        <v>0</v>
      </c>
    </row>
    <row r="36" spans="1:10" ht="14.4" thickBot="1">
      <c r="A36" s="22"/>
      <c r="B36" s="21" t="s">
        <v>281</v>
      </c>
      <c r="C36" s="27" t="s">
        <v>208</v>
      </c>
      <c r="D36" s="35" t="s">
        <v>256</v>
      </c>
      <c r="E36" s="37">
        <v>1</v>
      </c>
      <c r="F36" s="41">
        <v>5000</v>
      </c>
      <c r="G36" s="29">
        <f t="shared" si="0"/>
        <v>5000</v>
      </c>
      <c r="H36" s="23"/>
      <c r="J36" s="62">
        <f t="shared" si="1"/>
        <v>0</v>
      </c>
    </row>
    <row r="37" spans="1:10" ht="14.4" thickBot="1">
      <c r="A37" s="22"/>
      <c r="B37" s="21" t="s">
        <v>281</v>
      </c>
      <c r="C37" s="27" t="s">
        <v>208</v>
      </c>
      <c r="D37" s="35" t="s">
        <v>266</v>
      </c>
      <c r="E37" s="38">
        <v>1</v>
      </c>
      <c r="F37" s="41">
        <v>0</v>
      </c>
      <c r="G37" s="29">
        <f t="shared" si="0"/>
        <v>0</v>
      </c>
      <c r="H37" s="23"/>
      <c r="J37" s="62">
        <f t="shared" si="1"/>
        <v>0</v>
      </c>
    </row>
    <row r="38" spans="1:10" ht="14.4" thickBot="1">
      <c r="A38" s="22"/>
      <c r="B38" s="21" t="s">
        <v>281</v>
      </c>
      <c r="C38" s="27" t="s">
        <v>208</v>
      </c>
      <c r="D38" s="35" t="s">
        <v>267</v>
      </c>
      <c r="E38" s="38">
        <v>1</v>
      </c>
      <c r="F38" s="41">
        <v>0</v>
      </c>
      <c r="G38" s="29">
        <f t="shared" si="0"/>
        <v>0</v>
      </c>
      <c r="H38" s="23"/>
      <c r="J38" s="62">
        <f t="shared" si="1"/>
        <v>0</v>
      </c>
    </row>
    <row r="39" spans="1:10" ht="14.4" thickBot="1">
      <c r="A39" s="22"/>
      <c r="B39" s="21" t="s">
        <v>281</v>
      </c>
      <c r="C39" s="27" t="s">
        <v>208</v>
      </c>
      <c r="D39" s="35" t="s">
        <v>268</v>
      </c>
      <c r="E39" s="38">
        <v>1</v>
      </c>
      <c r="F39" s="41">
        <v>0</v>
      </c>
      <c r="G39" s="29">
        <f t="shared" si="0"/>
        <v>0</v>
      </c>
      <c r="H39" s="23"/>
      <c r="J39" s="62">
        <f t="shared" si="1"/>
        <v>0</v>
      </c>
    </row>
    <row r="40" spans="1:10" ht="14.4" thickBot="1">
      <c r="A40" s="22"/>
      <c r="B40" s="21" t="s">
        <v>281</v>
      </c>
      <c r="C40" s="27" t="s">
        <v>208</v>
      </c>
      <c r="D40" s="35" t="s">
        <v>269</v>
      </c>
      <c r="E40" s="38">
        <v>1</v>
      </c>
      <c r="F40" s="41">
        <v>0</v>
      </c>
      <c r="G40" s="29">
        <f t="shared" si="0"/>
        <v>0</v>
      </c>
      <c r="H40" s="23"/>
      <c r="J40" s="62">
        <f t="shared" si="1"/>
        <v>0</v>
      </c>
    </row>
    <row r="41" spans="1:10" ht="14.4" thickBot="1">
      <c r="A41" s="22"/>
      <c r="B41" s="21" t="s">
        <v>281</v>
      </c>
      <c r="C41" s="27" t="s">
        <v>208</v>
      </c>
      <c r="D41" s="35" t="s">
        <v>270</v>
      </c>
      <c r="E41" s="38">
        <v>1</v>
      </c>
      <c r="F41" s="41">
        <v>0</v>
      </c>
      <c r="G41" s="29">
        <f t="shared" si="0"/>
        <v>0</v>
      </c>
      <c r="H41" s="23"/>
      <c r="J41" s="62">
        <f t="shared" si="1"/>
        <v>0</v>
      </c>
    </row>
    <row r="42" spans="1:10" ht="14.4" thickBot="1">
      <c r="A42" s="22"/>
      <c r="B42" s="21" t="s">
        <v>281</v>
      </c>
      <c r="C42" s="27" t="s">
        <v>208</v>
      </c>
      <c r="D42" s="35" t="s">
        <v>271</v>
      </c>
      <c r="E42" s="38">
        <v>1</v>
      </c>
      <c r="F42" s="42"/>
      <c r="G42" s="29">
        <f t="shared" si="0"/>
        <v>0</v>
      </c>
      <c r="H42" s="23"/>
      <c r="J42" s="62">
        <f t="shared" si="1"/>
        <v>0</v>
      </c>
    </row>
    <row r="43" spans="1:10" ht="14.4" thickBot="1">
      <c r="A43" s="22"/>
      <c r="B43" s="21" t="s">
        <v>281</v>
      </c>
      <c r="C43" s="27" t="s">
        <v>208</v>
      </c>
      <c r="D43" s="35" t="s">
        <v>272</v>
      </c>
      <c r="E43" s="38">
        <v>1</v>
      </c>
      <c r="F43" s="43">
        <v>1000</v>
      </c>
      <c r="G43" s="29">
        <f t="shared" si="0"/>
        <v>1000</v>
      </c>
      <c r="H43" s="23"/>
      <c r="J43" s="62">
        <f t="shared" si="1"/>
        <v>0</v>
      </c>
    </row>
    <row r="44" spans="1:10" ht="14.4" thickBot="1">
      <c r="A44" s="22"/>
      <c r="B44" s="21" t="s">
        <v>281</v>
      </c>
      <c r="C44" s="27" t="s">
        <v>208</v>
      </c>
      <c r="D44" s="35" t="s">
        <v>273</v>
      </c>
      <c r="E44" s="38">
        <v>1</v>
      </c>
      <c r="F44" s="43">
        <v>250</v>
      </c>
      <c r="G44" s="29">
        <f t="shared" si="0"/>
        <v>250</v>
      </c>
      <c r="H44" s="23"/>
      <c r="J44" s="62">
        <f t="shared" si="1"/>
        <v>0</v>
      </c>
    </row>
    <row r="45" spans="1:10" s="72" customFormat="1" ht="14.4" thickBot="1">
      <c r="A45" s="67"/>
      <c r="B45" s="68" t="s">
        <v>281</v>
      </c>
      <c r="C45" s="69" t="s">
        <v>208</v>
      </c>
      <c r="D45" s="100" t="s">
        <v>274</v>
      </c>
      <c r="E45" s="103">
        <v>1</v>
      </c>
      <c r="F45" s="102">
        <v>200</v>
      </c>
      <c r="G45" s="70">
        <f t="shared" si="0"/>
        <v>200</v>
      </c>
      <c r="H45" s="71"/>
      <c r="J45" s="73">
        <f t="shared" si="1"/>
        <v>0</v>
      </c>
    </row>
    <row r="46" spans="1:10" s="72" customFormat="1" ht="14.4" thickBot="1">
      <c r="A46" s="67"/>
      <c r="B46" s="68" t="s">
        <v>281</v>
      </c>
      <c r="C46" s="69" t="s">
        <v>208</v>
      </c>
      <c r="D46" s="100" t="s">
        <v>275</v>
      </c>
      <c r="E46" s="103">
        <v>4</v>
      </c>
      <c r="F46" s="102">
        <v>400</v>
      </c>
      <c r="G46" s="70">
        <f t="shared" si="0"/>
        <v>1600</v>
      </c>
      <c r="H46" s="71"/>
      <c r="J46" s="73">
        <f t="shared" si="1"/>
        <v>0</v>
      </c>
    </row>
    <row r="47" spans="1:10" s="72" customFormat="1" ht="14.4" thickBot="1">
      <c r="A47" s="67"/>
      <c r="B47" s="68" t="s">
        <v>281</v>
      </c>
      <c r="C47" s="69" t="s">
        <v>208</v>
      </c>
      <c r="D47" s="100" t="s">
        <v>276</v>
      </c>
      <c r="E47" s="103">
        <v>1</v>
      </c>
      <c r="F47" s="102">
        <v>10000</v>
      </c>
      <c r="G47" s="70">
        <f t="shared" si="0"/>
        <v>10000</v>
      </c>
      <c r="H47" s="71"/>
      <c r="J47" s="73">
        <f t="shared" si="1"/>
        <v>0</v>
      </c>
    </row>
    <row r="48" spans="1:10" s="72" customFormat="1" ht="14.4" thickBot="1">
      <c r="A48" s="67"/>
      <c r="B48" s="68" t="s">
        <v>281</v>
      </c>
      <c r="C48" s="69" t="s">
        <v>208</v>
      </c>
      <c r="D48" s="100" t="s">
        <v>257</v>
      </c>
      <c r="E48" s="103">
        <v>1</v>
      </c>
      <c r="F48" s="102">
        <v>10000</v>
      </c>
      <c r="G48" s="70">
        <f t="shared" si="0"/>
        <v>10000</v>
      </c>
      <c r="H48" s="71"/>
      <c r="J48" s="73">
        <f t="shared" si="1"/>
        <v>0</v>
      </c>
    </row>
    <row r="49" spans="1:10" ht="14.4" thickBot="1">
      <c r="A49" s="22"/>
      <c r="B49" s="21" t="s">
        <v>281</v>
      </c>
      <c r="C49" s="27" t="s">
        <v>208</v>
      </c>
      <c r="D49" s="35" t="s">
        <v>258</v>
      </c>
      <c r="E49" s="38">
        <v>1</v>
      </c>
      <c r="F49" s="42">
        <v>10500</v>
      </c>
      <c r="G49" s="29">
        <f t="shared" si="0"/>
        <v>10500</v>
      </c>
      <c r="H49" s="23"/>
      <c r="J49" s="62">
        <f t="shared" si="1"/>
        <v>0</v>
      </c>
    </row>
    <row r="50" spans="1:10" ht="14.4" thickBot="1">
      <c r="A50" s="22"/>
      <c r="B50" s="21" t="s">
        <v>281</v>
      </c>
      <c r="C50" s="27" t="s">
        <v>208</v>
      </c>
      <c r="D50" s="35" t="s">
        <v>259</v>
      </c>
      <c r="E50" s="38">
        <v>5</v>
      </c>
      <c r="F50" s="43">
        <v>10000</v>
      </c>
      <c r="G50" s="29">
        <f t="shared" si="0"/>
        <v>50000</v>
      </c>
      <c r="H50" s="23"/>
      <c r="J50" s="62">
        <f t="shared" si="1"/>
        <v>0</v>
      </c>
    </row>
    <row r="51" spans="1:10" ht="14.4" thickBot="1">
      <c r="A51" s="22"/>
      <c r="B51" s="21" t="s">
        <v>281</v>
      </c>
      <c r="C51" s="27" t="s">
        <v>208</v>
      </c>
      <c r="D51" s="35" t="s">
        <v>260</v>
      </c>
      <c r="E51" s="38">
        <v>1</v>
      </c>
      <c r="F51" s="43">
        <v>10000</v>
      </c>
      <c r="G51" s="29">
        <f t="shared" si="0"/>
        <v>10000</v>
      </c>
      <c r="H51" s="23"/>
      <c r="J51" s="62">
        <f t="shared" si="1"/>
        <v>0</v>
      </c>
    </row>
    <row r="52" spans="1:10" ht="14.4" thickBot="1">
      <c r="A52" s="22"/>
      <c r="B52" s="21" t="s">
        <v>281</v>
      </c>
      <c r="C52" s="27" t="s">
        <v>208</v>
      </c>
      <c r="D52" s="35" t="s">
        <v>261</v>
      </c>
      <c r="E52" s="38">
        <v>2</v>
      </c>
      <c r="F52" s="43">
        <v>5000</v>
      </c>
      <c r="G52" s="29">
        <f t="shared" si="0"/>
        <v>10000</v>
      </c>
      <c r="H52" s="23"/>
      <c r="J52" s="62">
        <f t="shared" si="1"/>
        <v>0</v>
      </c>
    </row>
    <row r="53" spans="1:10" ht="14.4" thickBot="1">
      <c r="A53" s="22"/>
      <c r="B53" s="21" t="s">
        <v>281</v>
      </c>
      <c r="C53" s="27" t="s">
        <v>208</v>
      </c>
      <c r="D53" s="35" t="s">
        <v>262</v>
      </c>
      <c r="E53" s="38">
        <v>3</v>
      </c>
      <c r="F53" s="43">
        <v>3000</v>
      </c>
      <c r="G53" s="29">
        <f t="shared" si="0"/>
        <v>9000</v>
      </c>
      <c r="H53" s="23"/>
      <c r="J53" s="62">
        <f t="shared" si="1"/>
        <v>0</v>
      </c>
    </row>
    <row r="54" spans="1:10" ht="14.4" thickBot="1">
      <c r="A54" s="22"/>
      <c r="B54" s="21" t="s">
        <v>281</v>
      </c>
      <c r="C54" s="27" t="s">
        <v>208</v>
      </c>
      <c r="D54" s="35" t="s">
        <v>228</v>
      </c>
      <c r="E54" s="37">
        <v>1</v>
      </c>
      <c r="F54" s="41">
        <v>500</v>
      </c>
      <c r="G54" s="29">
        <f t="shared" si="0"/>
        <v>500</v>
      </c>
      <c r="H54" s="23"/>
      <c r="J54" s="62">
        <f t="shared" si="1"/>
        <v>0</v>
      </c>
    </row>
    <row r="55" spans="1:10" ht="14.4" thickBot="1">
      <c r="A55" s="22"/>
      <c r="B55" s="21" t="s">
        <v>281</v>
      </c>
      <c r="C55" s="27" t="s">
        <v>208</v>
      </c>
      <c r="D55" s="35" t="s">
        <v>229</v>
      </c>
      <c r="E55" s="37">
        <v>1</v>
      </c>
      <c r="F55" s="41">
        <v>500</v>
      </c>
      <c r="G55" s="29">
        <f t="shared" si="0"/>
        <v>500</v>
      </c>
      <c r="H55" s="23"/>
      <c r="J55" s="62">
        <f t="shared" si="1"/>
        <v>0</v>
      </c>
    </row>
    <row r="56" spans="1:10" ht="14.4" thickBot="1">
      <c r="A56" s="22"/>
      <c r="B56" s="21" t="s">
        <v>281</v>
      </c>
      <c r="C56" s="27" t="s">
        <v>208</v>
      </c>
      <c r="D56" s="35" t="s">
        <v>230</v>
      </c>
      <c r="E56" s="37">
        <v>1</v>
      </c>
      <c r="F56" s="41">
        <v>15000</v>
      </c>
      <c r="G56" s="29">
        <f t="shared" si="0"/>
        <v>15000</v>
      </c>
      <c r="H56" s="23"/>
      <c r="J56" s="62">
        <f t="shared" si="1"/>
        <v>0</v>
      </c>
    </row>
    <row r="57" spans="1:10" s="90" customFormat="1" ht="14.4" thickBot="1">
      <c r="A57" s="82"/>
      <c r="B57" s="83" t="s">
        <v>281</v>
      </c>
      <c r="C57" s="84" t="s">
        <v>208</v>
      </c>
      <c r="D57" s="85" t="s">
        <v>231</v>
      </c>
      <c r="E57" s="86">
        <v>1</v>
      </c>
      <c r="F57" s="87">
        <v>2000</v>
      </c>
      <c r="G57" s="88">
        <f t="shared" si="0"/>
        <v>2000</v>
      </c>
      <c r="H57" s="89"/>
      <c r="J57" s="91">
        <f t="shared" si="1"/>
        <v>0</v>
      </c>
    </row>
    <row r="58" spans="1:10" s="72" customFormat="1" ht="14.4" thickBot="1">
      <c r="A58" s="67"/>
      <c r="B58" s="68" t="s">
        <v>281</v>
      </c>
      <c r="C58" s="69" t="s">
        <v>208</v>
      </c>
      <c r="D58" s="100" t="s">
        <v>232</v>
      </c>
      <c r="E58" s="101">
        <v>1</v>
      </c>
      <c r="F58" s="102">
        <v>50000</v>
      </c>
      <c r="G58" s="70">
        <f t="shared" si="0"/>
        <v>50000</v>
      </c>
      <c r="H58" s="71"/>
      <c r="J58" s="73">
        <f t="shared" si="1"/>
        <v>0</v>
      </c>
    </row>
    <row r="59" spans="1:10" ht="14.4" thickBot="1">
      <c r="A59" s="22"/>
      <c r="B59" s="21" t="s">
        <v>281</v>
      </c>
      <c r="C59" s="27" t="s">
        <v>208</v>
      </c>
      <c r="D59" s="35" t="s">
        <v>233</v>
      </c>
      <c r="E59" s="37">
        <v>1</v>
      </c>
      <c r="F59" s="41">
        <v>20000</v>
      </c>
      <c r="G59" s="29">
        <f t="shared" si="0"/>
        <v>20000</v>
      </c>
      <c r="H59" s="23"/>
      <c r="J59" s="62">
        <f t="shared" si="1"/>
        <v>0</v>
      </c>
    </row>
    <row r="60" spans="1:10" s="90" customFormat="1" ht="14.4" thickBot="1">
      <c r="A60" s="82"/>
      <c r="B60" s="83" t="s">
        <v>281</v>
      </c>
      <c r="C60" s="84" t="s">
        <v>208</v>
      </c>
      <c r="D60" s="85" t="s">
        <v>234</v>
      </c>
      <c r="E60" s="86">
        <v>1</v>
      </c>
      <c r="F60" s="87">
        <v>4000</v>
      </c>
      <c r="G60" s="88">
        <f t="shared" si="0"/>
        <v>4000</v>
      </c>
      <c r="H60" s="89"/>
      <c r="J60" s="91">
        <f t="shared" si="1"/>
        <v>0</v>
      </c>
    </row>
    <row r="61" spans="1:10" s="90" customFormat="1" ht="14.4" thickBot="1">
      <c r="A61" s="82"/>
      <c r="B61" s="83" t="s">
        <v>281</v>
      </c>
      <c r="C61" s="84" t="s">
        <v>208</v>
      </c>
      <c r="D61" s="85" t="s">
        <v>235</v>
      </c>
      <c r="E61" s="86">
        <v>1</v>
      </c>
      <c r="F61" s="87">
        <v>6000</v>
      </c>
      <c r="G61" s="88">
        <f t="shared" si="0"/>
        <v>6000</v>
      </c>
      <c r="H61" s="89"/>
      <c r="J61" s="91">
        <f t="shared" si="1"/>
        <v>0</v>
      </c>
    </row>
    <row r="62" spans="1:10" s="90" customFormat="1" ht="14.4" thickBot="1">
      <c r="A62" s="82"/>
      <c r="B62" s="83" t="s">
        <v>281</v>
      </c>
      <c r="C62" s="84" t="s">
        <v>208</v>
      </c>
      <c r="D62" s="85" t="s">
        <v>236</v>
      </c>
      <c r="E62" s="86">
        <v>1</v>
      </c>
      <c r="F62" s="87">
        <v>2500</v>
      </c>
      <c r="G62" s="88">
        <f t="shared" si="0"/>
        <v>2500</v>
      </c>
      <c r="H62" s="89"/>
      <c r="J62" s="91">
        <f t="shared" si="1"/>
        <v>0</v>
      </c>
    </row>
    <row r="63" spans="1:10" s="90" customFormat="1" ht="14.4" thickBot="1">
      <c r="A63" s="82"/>
      <c r="B63" s="83" t="s">
        <v>281</v>
      </c>
      <c r="C63" s="84" t="s">
        <v>208</v>
      </c>
      <c r="D63" s="85" t="s">
        <v>237</v>
      </c>
      <c r="E63" s="86">
        <v>1</v>
      </c>
      <c r="F63" s="87">
        <v>500</v>
      </c>
      <c r="G63" s="88">
        <f t="shared" si="0"/>
        <v>500</v>
      </c>
      <c r="H63" s="89"/>
      <c r="J63" s="91">
        <f t="shared" si="1"/>
        <v>0</v>
      </c>
    </row>
    <row r="64" spans="1:10" s="90" customFormat="1" ht="14.4" thickBot="1">
      <c r="A64" s="82"/>
      <c r="B64" s="83" t="s">
        <v>281</v>
      </c>
      <c r="C64" s="84" t="s">
        <v>208</v>
      </c>
      <c r="D64" s="85" t="s">
        <v>238</v>
      </c>
      <c r="E64" s="86">
        <v>1</v>
      </c>
      <c r="F64" s="87">
        <v>700</v>
      </c>
      <c r="G64" s="88">
        <f t="shared" si="0"/>
        <v>700</v>
      </c>
      <c r="H64" s="89"/>
      <c r="J64" s="91">
        <f t="shared" si="1"/>
        <v>0</v>
      </c>
    </row>
    <row r="65" spans="1:10" s="90" customFormat="1" ht="14.4" thickBot="1">
      <c r="A65" s="82"/>
      <c r="B65" s="83" t="s">
        <v>281</v>
      </c>
      <c r="C65" s="84" t="s">
        <v>208</v>
      </c>
      <c r="D65" s="85" t="s">
        <v>239</v>
      </c>
      <c r="E65" s="86">
        <v>1</v>
      </c>
      <c r="F65" s="87">
        <v>1000</v>
      </c>
      <c r="G65" s="88">
        <f t="shared" si="0"/>
        <v>1000</v>
      </c>
      <c r="H65" s="89"/>
      <c r="J65" s="91">
        <f t="shared" si="1"/>
        <v>0</v>
      </c>
    </row>
    <row r="66" spans="1:10" s="90" customFormat="1" ht="14.4" thickBot="1">
      <c r="A66" s="82"/>
      <c r="B66" s="83" t="s">
        <v>281</v>
      </c>
      <c r="C66" s="84" t="s">
        <v>208</v>
      </c>
      <c r="D66" s="85" t="s">
        <v>240</v>
      </c>
      <c r="E66" s="86">
        <v>1</v>
      </c>
      <c r="F66" s="87">
        <v>10000</v>
      </c>
      <c r="G66" s="88">
        <f t="shared" si="0"/>
        <v>10000</v>
      </c>
      <c r="H66" s="89"/>
      <c r="J66" s="91">
        <f t="shared" si="1"/>
        <v>0</v>
      </c>
    </row>
    <row r="67" spans="1:10" s="90" customFormat="1" ht="14.4" thickBot="1">
      <c r="A67" s="82"/>
      <c r="B67" s="83" t="s">
        <v>281</v>
      </c>
      <c r="C67" s="84" t="s">
        <v>208</v>
      </c>
      <c r="D67" s="85" t="s">
        <v>241</v>
      </c>
      <c r="E67" s="86">
        <v>1</v>
      </c>
      <c r="F67" s="87">
        <v>20000</v>
      </c>
      <c r="G67" s="88">
        <f t="shared" si="0"/>
        <v>20000</v>
      </c>
      <c r="H67" s="89"/>
      <c r="J67" s="91">
        <f t="shared" si="1"/>
        <v>0</v>
      </c>
    </row>
    <row r="68" spans="1:10" ht="14.4" thickBot="1">
      <c r="A68" s="22"/>
      <c r="B68" s="21" t="s">
        <v>281</v>
      </c>
      <c r="C68" s="27" t="s">
        <v>208</v>
      </c>
      <c r="D68" s="35" t="s">
        <v>242</v>
      </c>
      <c r="E68" s="37">
        <v>1</v>
      </c>
      <c r="F68" s="41">
        <v>5000</v>
      </c>
      <c r="G68" s="29">
        <f t="shared" si="0"/>
        <v>5000</v>
      </c>
      <c r="H68" s="23"/>
      <c r="J68" s="62">
        <f t="shared" ref="J68:J80" si="3">I68*F68</f>
        <v>0</v>
      </c>
    </row>
    <row r="69" spans="1:10" ht="14.4" thickBot="1">
      <c r="A69" s="22"/>
      <c r="B69" s="21" t="s">
        <v>281</v>
      </c>
      <c r="C69" s="27" t="s">
        <v>208</v>
      </c>
      <c r="D69" s="35" t="s">
        <v>241</v>
      </c>
      <c r="E69" s="37">
        <v>1</v>
      </c>
      <c r="F69" s="41">
        <v>20000</v>
      </c>
      <c r="G69" s="29">
        <f t="shared" ref="G69:G80" si="4">E69*F69</f>
        <v>20000</v>
      </c>
      <c r="H69" s="23"/>
      <c r="J69" s="62">
        <f t="shared" si="3"/>
        <v>0</v>
      </c>
    </row>
    <row r="70" spans="1:10" ht="14.4" thickBot="1">
      <c r="A70" s="22"/>
      <c r="B70" s="21" t="s">
        <v>281</v>
      </c>
      <c r="C70" s="27" t="s">
        <v>208</v>
      </c>
      <c r="D70" s="35" t="s">
        <v>243</v>
      </c>
      <c r="E70" s="37">
        <v>4</v>
      </c>
      <c r="F70" s="41">
        <v>2500</v>
      </c>
      <c r="G70" s="29">
        <f t="shared" si="4"/>
        <v>10000</v>
      </c>
      <c r="H70" s="23"/>
      <c r="J70" s="62">
        <f t="shared" si="3"/>
        <v>0</v>
      </c>
    </row>
    <row r="71" spans="1:10" ht="14.4" thickBot="1">
      <c r="A71" s="22"/>
      <c r="B71" s="21" t="s">
        <v>281</v>
      </c>
      <c r="C71" s="27" t="s">
        <v>208</v>
      </c>
      <c r="D71" s="35" t="s">
        <v>244</v>
      </c>
      <c r="E71" s="37">
        <v>2</v>
      </c>
      <c r="F71" s="41">
        <v>150000</v>
      </c>
      <c r="G71" s="29">
        <f t="shared" si="4"/>
        <v>300000</v>
      </c>
      <c r="H71" s="23"/>
      <c r="J71" s="62">
        <f t="shared" si="3"/>
        <v>0</v>
      </c>
    </row>
    <row r="72" spans="1:10" ht="14.4" thickBot="1">
      <c r="A72" s="22"/>
      <c r="B72" s="21" t="s">
        <v>281</v>
      </c>
      <c r="C72" s="27" t="s">
        <v>208</v>
      </c>
      <c r="D72" s="35" t="s">
        <v>245</v>
      </c>
      <c r="E72" s="37">
        <v>1</v>
      </c>
      <c r="F72" s="41">
        <v>130000</v>
      </c>
      <c r="G72" s="29">
        <f t="shared" si="4"/>
        <v>130000</v>
      </c>
      <c r="H72" s="23"/>
      <c r="J72" s="62">
        <f t="shared" si="3"/>
        <v>0</v>
      </c>
    </row>
    <row r="73" spans="1:10" ht="14.4" thickBot="1">
      <c r="A73" s="22"/>
      <c r="B73" s="21" t="s">
        <v>281</v>
      </c>
      <c r="C73" s="27" t="s">
        <v>208</v>
      </c>
      <c r="D73" s="35" t="s">
        <v>258</v>
      </c>
      <c r="E73" s="37">
        <v>1</v>
      </c>
      <c r="F73" s="41">
        <v>120000</v>
      </c>
      <c r="G73" s="29">
        <f t="shared" si="4"/>
        <v>120000</v>
      </c>
      <c r="H73" s="23"/>
      <c r="J73" s="62">
        <f t="shared" si="3"/>
        <v>0</v>
      </c>
    </row>
    <row r="74" spans="1:10" ht="14.4" thickBot="1">
      <c r="A74" s="22"/>
      <c r="B74" s="21" t="s">
        <v>281</v>
      </c>
      <c r="C74" s="27" t="s">
        <v>208</v>
      </c>
      <c r="D74" s="35" t="s">
        <v>259</v>
      </c>
      <c r="E74" s="37">
        <v>1</v>
      </c>
      <c r="F74" s="41">
        <v>18000</v>
      </c>
      <c r="G74" s="29">
        <f t="shared" si="4"/>
        <v>18000</v>
      </c>
      <c r="H74" s="23"/>
      <c r="J74" s="62">
        <f t="shared" si="3"/>
        <v>0</v>
      </c>
    </row>
    <row r="75" spans="1:10" ht="14.4" thickBot="1">
      <c r="A75" s="22"/>
      <c r="B75" s="21" t="s">
        <v>281</v>
      </c>
      <c r="C75" s="27" t="s">
        <v>208</v>
      </c>
      <c r="D75" s="35" t="s">
        <v>260</v>
      </c>
      <c r="E75" s="37">
        <v>1</v>
      </c>
      <c r="F75" s="41">
        <v>45000</v>
      </c>
      <c r="G75" s="29">
        <f t="shared" si="4"/>
        <v>45000</v>
      </c>
      <c r="H75" s="23"/>
      <c r="J75" s="62">
        <f t="shared" si="3"/>
        <v>0</v>
      </c>
    </row>
    <row r="76" spans="1:10" ht="14.4" thickBot="1">
      <c r="A76" s="22"/>
      <c r="B76" s="21" t="s">
        <v>281</v>
      </c>
      <c r="C76" s="27" t="s">
        <v>208</v>
      </c>
      <c r="D76" s="35" t="s">
        <v>261</v>
      </c>
      <c r="E76" s="37">
        <v>1</v>
      </c>
      <c r="F76" s="41">
        <v>60000</v>
      </c>
      <c r="G76" s="29">
        <f t="shared" si="4"/>
        <v>60000</v>
      </c>
      <c r="H76" s="23"/>
      <c r="J76" s="62">
        <f t="shared" si="3"/>
        <v>0</v>
      </c>
    </row>
    <row r="77" spans="1:10" ht="14.4" thickBot="1">
      <c r="A77" s="22"/>
      <c r="B77" s="21" t="s">
        <v>281</v>
      </c>
      <c r="C77" s="27" t="s">
        <v>208</v>
      </c>
      <c r="D77" s="35" t="s">
        <v>262</v>
      </c>
      <c r="E77" s="37">
        <v>3</v>
      </c>
      <c r="F77" s="41">
        <v>25000</v>
      </c>
      <c r="G77" s="29">
        <f t="shared" si="4"/>
        <v>75000</v>
      </c>
      <c r="H77" s="23"/>
      <c r="J77" s="62">
        <f t="shared" si="3"/>
        <v>0</v>
      </c>
    </row>
    <row r="78" spans="1:10" ht="14.4" thickBot="1">
      <c r="A78" s="22"/>
      <c r="B78" s="21" t="s">
        <v>281</v>
      </c>
      <c r="C78" s="27" t="s">
        <v>208</v>
      </c>
      <c r="D78" s="35" t="s">
        <v>263</v>
      </c>
      <c r="E78" s="37">
        <v>1</v>
      </c>
      <c r="F78" s="41">
        <v>30000</v>
      </c>
      <c r="G78" s="29">
        <f t="shared" si="4"/>
        <v>30000</v>
      </c>
      <c r="H78" s="23"/>
      <c r="J78" s="62">
        <f t="shared" si="3"/>
        <v>0</v>
      </c>
    </row>
    <row r="79" spans="1:10" s="72" customFormat="1" ht="14.4" thickBot="1">
      <c r="A79" s="67"/>
      <c r="B79" s="68" t="s">
        <v>281</v>
      </c>
      <c r="C79" s="69" t="s">
        <v>208</v>
      </c>
      <c r="D79" s="100" t="s">
        <v>264</v>
      </c>
      <c r="E79" s="101">
        <v>1</v>
      </c>
      <c r="F79" s="102">
        <v>150000</v>
      </c>
      <c r="G79" s="70">
        <f t="shared" si="4"/>
        <v>150000</v>
      </c>
      <c r="H79" s="71"/>
      <c r="J79" s="73">
        <f t="shared" si="3"/>
        <v>0</v>
      </c>
    </row>
    <row r="80" spans="1:10" ht="14.4" thickBot="1">
      <c r="A80" s="22"/>
      <c r="B80" s="21" t="s">
        <v>281</v>
      </c>
      <c r="C80" s="27" t="s">
        <v>208</v>
      </c>
      <c r="D80" s="35" t="s">
        <v>265</v>
      </c>
      <c r="E80" s="37">
        <v>1</v>
      </c>
      <c r="F80" s="41">
        <v>28000</v>
      </c>
      <c r="G80" s="29">
        <f t="shared" si="4"/>
        <v>28000</v>
      </c>
      <c r="H80" s="23">
        <f>SUM(G24:G80)</f>
        <v>1823500</v>
      </c>
      <c r="J80" s="62">
        <f t="shared" si="3"/>
        <v>0</v>
      </c>
    </row>
    <row r="81" spans="4:10">
      <c r="D81" s="28"/>
      <c r="G81" s="45">
        <f>SUM(G2:G80)</f>
        <v>28509500</v>
      </c>
      <c r="H81" s="23">
        <f>SUM(H2:H80)</f>
        <v>28509500</v>
      </c>
      <c r="J81" s="62">
        <f>SUM(J1:J80)</f>
        <v>2992000</v>
      </c>
    </row>
    <row r="82" spans="4:10">
      <c r="G82" s="45"/>
    </row>
    <row r="83" spans="4:10">
      <c r="G83" s="45"/>
    </row>
    <row r="84" spans="4:10">
      <c r="G84" s="45"/>
      <c r="H84" s="23"/>
    </row>
    <row r="85" spans="4:10">
      <c r="G85" s="45"/>
      <c r="H85" s="23"/>
    </row>
    <row r="86" spans="4:10">
      <c r="G86" s="45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38"/>
  <sheetViews>
    <sheetView topLeftCell="A210" workbookViewId="0">
      <selection activeCell="A201" sqref="A201:B237"/>
    </sheetView>
  </sheetViews>
  <sheetFormatPr defaultRowHeight="13.8"/>
  <cols>
    <col min="1" max="1" width="47.8984375" customWidth="1"/>
    <col min="2" max="2" width="58.296875" customWidth="1"/>
    <col min="3" max="3" width="10.796875" customWidth="1"/>
    <col min="4" max="4" width="14.59765625" customWidth="1"/>
    <col min="5" max="5" width="11.8984375" customWidth="1"/>
    <col min="6" max="6" width="14.3984375" customWidth="1"/>
    <col min="7" max="7" width="10.59765625" customWidth="1"/>
    <col min="8" max="8" width="10.09765625" customWidth="1"/>
    <col min="9" max="9" width="9.5" customWidth="1"/>
    <col min="10" max="10" width="10.09765625" customWidth="1"/>
  </cols>
  <sheetData>
    <row r="1" spans="1:20">
      <c r="A1" s="122" t="s">
        <v>326</v>
      </c>
      <c r="B1" s="122"/>
      <c r="C1" s="122"/>
      <c r="D1" s="122"/>
    </row>
    <row r="2" spans="1:20" ht="45" customHeight="1">
      <c r="A2" s="123"/>
      <c r="B2" s="124" t="s">
        <v>327</v>
      </c>
      <c r="C2" s="125" t="s">
        <v>328</v>
      </c>
      <c r="D2" s="124" t="s">
        <v>329</v>
      </c>
      <c r="E2" s="124" t="s">
        <v>330</v>
      </c>
      <c r="F2" s="124" t="s">
        <v>331</v>
      </c>
      <c r="G2" s="124" t="s">
        <v>332</v>
      </c>
      <c r="H2" s="124" t="s">
        <v>333</v>
      </c>
      <c r="I2" s="125" t="s">
        <v>334</v>
      </c>
      <c r="J2" s="125" t="s">
        <v>335</v>
      </c>
      <c r="K2" s="125" t="s">
        <v>336</v>
      </c>
      <c r="L2" s="125" t="s">
        <v>337</v>
      </c>
      <c r="M2" s="174" t="s">
        <v>338</v>
      </c>
      <c r="N2" s="175"/>
      <c r="O2" s="175"/>
      <c r="P2" s="175"/>
      <c r="Q2" s="175"/>
      <c r="R2" s="175"/>
      <c r="S2" s="175"/>
      <c r="T2" s="176"/>
    </row>
    <row r="3" spans="1:20">
      <c r="A3" s="123"/>
      <c r="B3" s="124"/>
      <c r="C3" s="125"/>
      <c r="D3" s="124"/>
      <c r="E3" s="124"/>
      <c r="F3" s="124"/>
      <c r="G3" s="124"/>
      <c r="H3" s="124"/>
      <c r="I3" s="125"/>
      <c r="J3" s="125"/>
      <c r="K3" s="125"/>
      <c r="L3" s="125"/>
      <c r="M3" s="174" t="s">
        <v>339</v>
      </c>
      <c r="N3" s="175"/>
      <c r="O3" s="175" t="s">
        <v>340</v>
      </c>
      <c r="P3" s="176"/>
      <c r="Q3" s="177" t="s">
        <v>341</v>
      </c>
      <c r="R3" s="177"/>
      <c r="S3" s="177" t="s">
        <v>342</v>
      </c>
      <c r="T3" s="177"/>
    </row>
    <row r="4" spans="1:20">
      <c r="A4" s="126" t="s">
        <v>343</v>
      </c>
      <c r="B4" s="127"/>
      <c r="C4" s="128"/>
      <c r="D4" s="129"/>
      <c r="E4" s="129"/>
      <c r="F4" s="128"/>
      <c r="G4" s="128"/>
      <c r="H4" s="128"/>
      <c r="I4" s="128"/>
      <c r="J4" s="128"/>
      <c r="K4" s="128"/>
      <c r="L4" s="128"/>
      <c r="M4" s="128" t="s">
        <v>344</v>
      </c>
      <c r="N4" s="128" t="s">
        <v>311</v>
      </c>
      <c r="O4" s="128" t="s">
        <v>344</v>
      </c>
      <c r="P4" s="128" t="s">
        <v>311</v>
      </c>
      <c r="Q4" s="128" t="s">
        <v>344</v>
      </c>
      <c r="R4" s="128" t="s">
        <v>311</v>
      </c>
      <c r="S4" s="128" t="s">
        <v>344</v>
      </c>
      <c r="T4" s="128" t="s">
        <v>311</v>
      </c>
    </row>
    <row r="5" spans="1:20">
      <c r="A5" s="128"/>
      <c r="B5" s="128"/>
      <c r="C5" s="128"/>
      <c r="D5" s="129"/>
      <c r="E5" s="129"/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</row>
    <row r="6" spans="1:20">
      <c r="A6" s="128"/>
      <c r="B6" s="128"/>
      <c r="C6" s="128"/>
      <c r="D6" s="129"/>
      <c r="E6" s="129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</row>
    <row r="7" spans="1:20">
      <c r="A7" s="128"/>
      <c r="B7" s="128"/>
      <c r="C7" s="128"/>
      <c r="D7" s="129"/>
      <c r="E7" s="129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</row>
    <row r="8" spans="1:20">
      <c r="A8" s="128"/>
      <c r="B8" s="128"/>
      <c r="C8" s="128"/>
      <c r="D8" s="129"/>
      <c r="E8" s="129"/>
      <c r="F8" s="128"/>
      <c r="G8" s="128"/>
      <c r="H8" s="128"/>
      <c r="I8" s="128"/>
      <c r="J8" s="128"/>
      <c r="K8" s="128"/>
      <c r="L8" s="128"/>
      <c r="M8" s="128"/>
      <c r="N8" s="128"/>
      <c r="O8" s="128"/>
      <c r="P8" s="128"/>
      <c r="Q8" s="128"/>
      <c r="R8" s="128"/>
      <c r="S8" s="128"/>
      <c r="T8" s="128"/>
    </row>
    <row r="9" spans="1:20">
      <c r="A9" s="126" t="s">
        <v>345</v>
      </c>
      <c r="B9" s="126"/>
      <c r="C9" s="128"/>
      <c r="D9" s="129"/>
      <c r="E9" s="129"/>
      <c r="F9" s="128"/>
      <c r="G9" s="128"/>
      <c r="H9" s="128"/>
      <c r="I9" s="128"/>
      <c r="J9" s="128"/>
      <c r="K9" s="128"/>
      <c r="L9" s="128"/>
      <c r="M9" s="128"/>
      <c r="N9" s="128"/>
      <c r="O9" s="128"/>
      <c r="P9" s="128"/>
      <c r="Q9" s="128"/>
      <c r="R9" s="128"/>
      <c r="S9" s="128"/>
      <c r="T9" s="128"/>
    </row>
    <row r="10" spans="1:20">
      <c r="A10" s="128"/>
      <c r="B10" s="128"/>
      <c r="C10" s="128"/>
      <c r="D10" s="129"/>
      <c r="E10" s="129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28"/>
      <c r="R10" s="128"/>
      <c r="S10" s="128"/>
      <c r="T10" s="128"/>
    </row>
    <row r="11" spans="1:20">
      <c r="A11" s="128"/>
      <c r="B11" s="128"/>
      <c r="C11" s="128"/>
      <c r="D11" s="129"/>
      <c r="E11" s="129"/>
      <c r="F11" s="128"/>
      <c r="G11" s="128"/>
      <c r="H11" s="128"/>
      <c r="I11" s="128"/>
      <c r="J11" s="128"/>
      <c r="K11" s="128"/>
      <c r="L11" s="128"/>
      <c r="M11" s="128"/>
      <c r="N11" s="128"/>
      <c r="O11" s="128"/>
      <c r="P11" s="128"/>
      <c r="Q11" s="128"/>
      <c r="R11" s="128"/>
      <c r="S11" s="128"/>
      <c r="T11" s="128"/>
    </row>
    <row r="12" spans="1:20">
      <c r="A12" s="128"/>
      <c r="B12" s="128"/>
      <c r="C12" s="128"/>
      <c r="D12" s="129"/>
      <c r="E12" s="129"/>
      <c r="F12" s="128"/>
      <c r="G12" s="128"/>
      <c r="H12" s="128"/>
      <c r="I12" s="128"/>
      <c r="J12" s="128"/>
      <c r="K12" s="128"/>
      <c r="L12" s="128"/>
      <c r="M12" s="128"/>
      <c r="N12" s="128"/>
      <c r="O12" s="128"/>
      <c r="P12" s="128"/>
      <c r="Q12" s="128"/>
      <c r="R12" s="128"/>
      <c r="S12" s="128"/>
      <c r="T12" s="128"/>
    </row>
    <row r="13" spans="1:20">
      <c r="A13" s="128"/>
      <c r="B13" s="128"/>
      <c r="C13" s="128"/>
      <c r="D13" s="129"/>
      <c r="E13" s="129"/>
      <c r="F13" s="128"/>
      <c r="G13" s="128"/>
      <c r="H13" s="128"/>
      <c r="I13" s="128"/>
      <c r="J13" s="128"/>
      <c r="K13" s="128"/>
      <c r="L13" s="128"/>
      <c r="M13" s="128"/>
      <c r="N13" s="128"/>
      <c r="O13" s="128"/>
      <c r="P13" s="128"/>
      <c r="Q13" s="128"/>
      <c r="R13" s="128"/>
      <c r="S13" s="128"/>
      <c r="T13" s="128"/>
    </row>
    <row r="14" spans="1:20">
      <c r="A14" s="128"/>
      <c r="B14" s="128"/>
      <c r="C14" s="128"/>
      <c r="D14" s="129"/>
      <c r="E14" s="129"/>
      <c r="F14" s="128"/>
      <c r="G14" s="128"/>
      <c r="H14" s="128"/>
      <c r="I14" s="128"/>
      <c r="J14" s="128"/>
      <c r="K14" s="128"/>
      <c r="L14" s="128"/>
      <c r="M14" s="128"/>
      <c r="N14" s="128"/>
      <c r="O14" s="128"/>
      <c r="P14" s="128"/>
      <c r="Q14" s="128"/>
      <c r="R14" s="128"/>
      <c r="S14" s="128"/>
      <c r="T14" s="128"/>
    </row>
    <row r="15" spans="1:20">
      <c r="A15" s="126" t="s">
        <v>346</v>
      </c>
      <c r="B15" s="126"/>
      <c r="C15" s="128"/>
      <c r="D15" s="129"/>
      <c r="E15" s="129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128"/>
      <c r="R15" s="128"/>
      <c r="S15" s="128"/>
      <c r="T15" s="128"/>
    </row>
    <row r="16" spans="1:20">
      <c r="A16" s="128"/>
      <c r="B16" s="128"/>
      <c r="C16" s="128"/>
      <c r="D16" s="129"/>
      <c r="E16" s="129"/>
      <c r="F16" s="128"/>
      <c r="G16" s="128"/>
      <c r="H16" s="128"/>
      <c r="I16" s="128"/>
      <c r="J16" s="128"/>
      <c r="K16" s="128"/>
      <c r="L16" s="128"/>
      <c r="M16" s="128"/>
      <c r="N16" s="128"/>
      <c r="O16" s="130"/>
      <c r="P16" s="128"/>
      <c r="Q16" s="128"/>
      <c r="R16" s="128"/>
      <c r="S16" s="128"/>
      <c r="T16" s="128"/>
    </row>
    <row r="17" spans="1:20">
      <c r="A17" s="128"/>
      <c r="B17" s="128"/>
      <c r="C17" s="128"/>
      <c r="D17" s="129"/>
      <c r="E17" s="129"/>
      <c r="F17" s="128"/>
      <c r="G17" s="128"/>
      <c r="H17" s="128"/>
      <c r="I17" s="128"/>
      <c r="J17" s="128"/>
      <c r="K17" s="128"/>
      <c r="L17" s="128"/>
      <c r="M17" s="128"/>
      <c r="N17" s="128"/>
      <c r="O17" s="130"/>
      <c r="P17" s="128"/>
      <c r="Q17" s="128"/>
      <c r="R17" s="128"/>
      <c r="S17" s="128"/>
      <c r="T17" s="128"/>
    </row>
    <row r="18" spans="1:20">
      <c r="A18" s="128"/>
      <c r="B18" s="128"/>
      <c r="C18" s="128"/>
      <c r="D18" s="129"/>
      <c r="E18" s="129"/>
      <c r="F18" s="128"/>
      <c r="G18" s="128"/>
      <c r="H18" s="128"/>
      <c r="I18" s="128"/>
      <c r="J18" s="128"/>
      <c r="K18" s="128"/>
      <c r="L18" s="128"/>
      <c r="M18" s="128"/>
      <c r="N18" s="128"/>
      <c r="O18" s="130"/>
      <c r="P18" s="128"/>
      <c r="Q18" s="128"/>
      <c r="R18" s="128"/>
      <c r="S18" s="128"/>
      <c r="T18" s="128"/>
    </row>
    <row r="19" spans="1:20">
      <c r="A19" s="128"/>
      <c r="B19" s="128"/>
      <c r="C19" s="128"/>
      <c r="D19" s="129"/>
      <c r="E19" s="129"/>
      <c r="F19" s="128"/>
      <c r="G19" s="128"/>
      <c r="H19" s="128"/>
      <c r="I19" s="128"/>
      <c r="J19" s="128"/>
      <c r="K19" s="128"/>
      <c r="L19" s="128"/>
      <c r="M19" s="128"/>
      <c r="N19" s="128"/>
      <c r="O19" s="130"/>
      <c r="P19" s="128"/>
      <c r="Q19" s="128"/>
      <c r="R19" s="128"/>
      <c r="S19" s="128"/>
      <c r="T19" s="128"/>
    </row>
    <row r="20" spans="1:20">
      <c r="A20" s="128"/>
      <c r="B20" s="128"/>
      <c r="C20" s="128"/>
      <c r="D20" s="129"/>
      <c r="E20" s="129"/>
      <c r="F20" s="128"/>
      <c r="G20" s="128"/>
      <c r="H20" s="128"/>
      <c r="I20" s="128"/>
      <c r="J20" s="128"/>
      <c r="K20" s="128"/>
      <c r="L20" s="128"/>
      <c r="M20" s="128"/>
      <c r="N20" s="128"/>
      <c r="O20" s="130"/>
      <c r="P20" s="128"/>
      <c r="Q20" s="128"/>
      <c r="R20" s="128"/>
      <c r="S20" s="128"/>
      <c r="T20" s="128"/>
    </row>
    <row r="21" spans="1:20">
      <c r="A21" s="128"/>
      <c r="B21" s="128"/>
      <c r="C21" s="128"/>
      <c r="D21" s="129"/>
      <c r="E21" s="129"/>
      <c r="F21" s="128"/>
      <c r="G21" s="128"/>
      <c r="H21" s="128"/>
      <c r="I21" s="128"/>
      <c r="J21" s="128"/>
      <c r="K21" s="128"/>
      <c r="L21" s="128"/>
      <c r="M21" s="128"/>
      <c r="N21" s="128"/>
      <c r="O21" s="130"/>
      <c r="P21" s="128"/>
      <c r="Q21" s="128"/>
      <c r="R21" s="128"/>
      <c r="S21" s="128"/>
      <c r="T21" s="128"/>
    </row>
    <row r="22" spans="1:20">
      <c r="A22" s="128"/>
      <c r="B22" s="128"/>
      <c r="C22" s="128"/>
      <c r="D22" s="129"/>
      <c r="E22" s="129"/>
      <c r="F22" s="128"/>
      <c r="G22" s="128"/>
      <c r="H22" s="128"/>
      <c r="I22" s="128"/>
      <c r="J22" s="128"/>
      <c r="K22" s="128"/>
      <c r="L22" s="128"/>
      <c r="M22" s="128"/>
      <c r="N22" s="128"/>
      <c r="O22" s="130"/>
      <c r="P22" s="128"/>
      <c r="Q22" s="128"/>
      <c r="R22" s="128"/>
      <c r="S22" s="128"/>
      <c r="T22" s="128"/>
    </row>
    <row r="23" spans="1:20">
      <c r="A23" s="128"/>
      <c r="B23" s="128"/>
      <c r="C23" s="128"/>
      <c r="D23" s="129"/>
      <c r="E23" s="129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</row>
    <row r="24" spans="1:20">
      <c r="A24" s="128"/>
      <c r="B24" s="128"/>
      <c r="C24" s="128"/>
      <c r="D24" s="129"/>
      <c r="E24" s="129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28"/>
      <c r="Q24" s="128"/>
      <c r="R24" s="128"/>
      <c r="S24" s="128"/>
      <c r="T24" s="128"/>
    </row>
    <row r="25" spans="1:20">
      <c r="A25" s="128"/>
      <c r="B25" s="128"/>
      <c r="C25" s="128"/>
      <c r="D25" s="129"/>
      <c r="E25" s="129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</row>
    <row r="26" spans="1:20">
      <c r="A26" s="128"/>
      <c r="B26" s="128"/>
      <c r="C26" s="128"/>
      <c r="D26" s="129"/>
      <c r="E26" s="129"/>
      <c r="F26" s="128"/>
      <c r="G26" s="128"/>
      <c r="H26" s="128"/>
      <c r="I26" s="128"/>
      <c r="J26" s="128"/>
      <c r="K26" s="128"/>
      <c r="L26" s="128"/>
      <c r="M26" s="128"/>
      <c r="N26" s="128"/>
      <c r="O26" s="128"/>
      <c r="P26" s="128"/>
      <c r="Q26" s="128"/>
      <c r="R26" s="128"/>
      <c r="S26" s="128"/>
      <c r="T26" s="128"/>
    </row>
    <row r="27" spans="1:20">
      <c r="A27" s="128"/>
      <c r="B27" s="128"/>
      <c r="C27" s="128"/>
      <c r="D27" s="129"/>
      <c r="E27" s="129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</row>
    <row r="28" spans="1:20">
      <c r="A28" s="128"/>
      <c r="B28" s="128"/>
      <c r="C28" s="128"/>
      <c r="D28" s="129"/>
      <c r="E28" s="129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</row>
    <row r="29" spans="1:20">
      <c r="A29" s="128"/>
      <c r="B29" s="128"/>
      <c r="C29" s="128"/>
      <c r="D29" s="129"/>
      <c r="E29" s="129"/>
      <c r="F29" s="128"/>
      <c r="G29" s="128"/>
      <c r="H29" s="128"/>
      <c r="I29" s="128"/>
      <c r="J29" s="128"/>
      <c r="K29" s="128"/>
      <c r="L29" s="128"/>
      <c r="M29" s="128"/>
      <c r="N29" s="128"/>
      <c r="O29" s="128"/>
      <c r="P29" s="128"/>
      <c r="Q29" s="128"/>
      <c r="R29" s="128"/>
      <c r="S29" s="128"/>
      <c r="T29" s="128"/>
    </row>
    <row r="30" spans="1:20">
      <c r="A30" s="128"/>
      <c r="B30" s="128"/>
      <c r="C30" s="128"/>
      <c r="D30" s="129"/>
      <c r="E30" s="129"/>
      <c r="F30" s="128"/>
      <c r="G30" s="128"/>
      <c r="H30" s="128"/>
      <c r="I30" s="128"/>
      <c r="J30" s="128"/>
      <c r="K30" s="128"/>
      <c r="L30" s="128"/>
      <c r="M30" s="128"/>
      <c r="N30" s="128"/>
      <c r="O30" s="128"/>
      <c r="P30" s="128"/>
      <c r="Q30" s="128"/>
      <c r="R30" s="128"/>
      <c r="S30" s="128"/>
      <c r="T30" s="128"/>
    </row>
    <row r="31" spans="1:20">
      <c r="A31" s="126" t="s">
        <v>347</v>
      </c>
      <c r="B31" s="126"/>
      <c r="C31" s="128"/>
      <c r="D31" s="129"/>
      <c r="E31" s="129"/>
      <c r="F31" s="128"/>
      <c r="G31" s="128"/>
      <c r="H31" s="128"/>
      <c r="I31" s="128"/>
      <c r="J31" s="128"/>
      <c r="K31" s="128"/>
      <c r="L31" s="128"/>
      <c r="M31" s="128"/>
      <c r="N31" s="128"/>
      <c r="O31" s="128"/>
      <c r="P31" s="128"/>
      <c r="Q31" s="128"/>
      <c r="R31" s="128"/>
      <c r="S31" s="128"/>
      <c r="T31" s="128"/>
    </row>
    <row r="32" spans="1:20" ht="14.4">
      <c r="A32" s="128"/>
      <c r="B32" s="128"/>
      <c r="C32" s="128"/>
      <c r="D32" s="129"/>
      <c r="E32" s="129"/>
      <c r="F32" s="128"/>
      <c r="G32" s="128"/>
      <c r="H32" s="128"/>
      <c r="I32" s="131"/>
      <c r="J32" s="131"/>
      <c r="K32" s="131"/>
      <c r="L32" s="128"/>
      <c r="M32" s="128"/>
      <c r="N32" s="128"/>
      <c r="O32" s="130"/>
      <c r="P32" s="128"/>
      <c r="Q32" s="128"/>
      <c r="R32" s="128"/>
      <c r="S32" s="128"/>
      <c r="T32" s="128"/>
    </row>
    <row r="33" spans="1:20">
      <c r="A33" s="128"/>
      <c r="B33" s="128"/>
      <c r="C33" s="128"/>
      <c r="D33" s="129"/>
      <c r="E33" s="129"/>
      <c r="F33" s="128"/>
      <c r="G33" s="128"/>
      <c r="H33" s="128"/>
      <c r="I33" s="128"/>
      <c r="J33" s="128"/>
      <c r="K33" s="128"/>
      <c r="L33" s="128"/>
      <c r="M33" s="128"/>
      <c r="N33" s="128"/>
      <c r="O33" s="130"/>
      <c r="P33" s="128"/>
      <c r="Q33" s="128"/>
      <c r="R33" s="128"/>
      <c r="S33" s="128"/>
      <c r="T33" s="128"/>
    </row>
    <row r="34" spans="1:20">
      <c r="A34" s="128"/>
      <c r="B34" s="128"/>
      <c r="C34" s="128"/>
      <c r="D34" s="129"/>
      <c r="E34" s="129"/>
      <c r="F34" s="128"/>
      <c r="G34" s="128"/>
      <c r="H34" s="128"/>
      <c r="I34" s="128"/>
      <c r="J34" s="128"/>
      <c r="K34" s="128"/>
      <c r="L34" s="128"/>
      <c r="M34" s="128"/>
      <c r="N34" s="128"/>
      <c r="O34" s="130"/>
      <c r="P34" s="128"/>
      <c r="Q34" s="128"/>
      <c r="R34" s="128"/>
      <c r="S34" s="128"/>
      <c r="T34" s="128"/>
    </row>
    <row r="35" spans="1:20">
      <c r="A35" s="128"/>
      <c r="B35" s="128"/>
      <c r="C35" s="128"/>
      <c r="D35" s="129"/>
      <c r="E35" s="129"/>
      <c r="F35" s="128"/>
      <c r="G35" s="128"/>
      <c r="H35" s="128"/>
      <c r="I35" s="128"/>
      <c r="J35" s="128"/>
      <c r="K35" s="128"/>
      <c r="L35" s="128"/>
      <c r="M35" s="128"/>
      <c r="N35" s="128"/>
      <c r="O35" s="130"/>
      <c r="P35" s="128"/>
      <c r="Q35" s="128"/>
      <c r="R35" s="128"/>
      <c r="S35" s="128"/>
      <c r="T35" s="128"/>
    </row>
    <row r="36" spans="1:20">
      <c r="A36" s="128"/>
      <c r="B36" s="128"/>
      <c r="C36" s="128"/>
      <c r="D36" s="129"/>
      <c r="E36" s="129"/>
      <c r="F36" s="128"/>
      <c r="G36" s="128"/>
      <c r="H36" s="128"/>
      <c r="I36" s="128"/>
      <c r="J36" s="128"/>
      <c r="K36" s="128"/>
      <c r="L36" s="128"/>
      <c r="M36" s="128"/>
      <c r="N36" s="128"/>
      <c r="O36" s="130"/>
      <c r="P36" s="128"/>
      <c r="Q36" s="128"/>
      <c r="R36" s="128"/>
      <c r="S36" s="128"/>
      <c r="T36" s="128"/>
    </row>
    <row r="37" spans="1:20">
      <c r="A37" s="128"/>
      <c r="B37" s="128"/>
      <c r="C37" s="128"/>
      <c r="D37" s="129"/>
      <c r="E37" s="129"/>
      <c r="F37" s="128"/>
      <c r="G37" s="128"/>
      <c r="H37" s="128"/>
      <c r="I37" s="128"/>
      <c r="J37" s="128"/>
      <c r="K37" s="128"/>
      <c r="L37" s="128"/>
      <c r="M37" s="128"/>
      <c r="N37" s="128"/>
      <c r="O37" s="130"/>
      <c r="P37" s="128"/>
      <c r="Q37" s="128"/>
      <c r="R37" s="128"/>
      <c r="S37" s="128"/>
      <c r="T37" s="128"/>
    </row>
    <row r="38" spans="1:20">
      <c r="A38" s="128"/>
      <c r="B38" s="128"/>
      <c r="C38" s="128"/>
      <c r="D38" s="129"/>
      <c r="E38" s="129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</row>
    <row r="39" spans="1:20">
      <c r="A39" s="128"/>
      <c r="B39" s="128"/>
      <c r="C39" s="128"/>
      <c r="D39" s="129"/>
      <c r="E39" s="129"/>
      <c r="F39" s="128"/>
      <c r="G39" s="128"/>
      <c r="H39" s="128"/>
      <c r="I39" s="128"/>
      <c r="J39" s="128"/>
      <c r="K39" s="128"/>
      <c r="L39" s="128"/>
      <c r="M39" s="128"/>
      <c r="N39" s="128"/>
      <c r="O39" s="128"/>
      <c r="P39" s="128"/>
      <c r="Q39" s="128"/>
      <c r="R39" s="128"/>
      <c r="S39" s="128"/>
      <c r="T39" s="128"/>
    </row>
    <row r="40" spans="1:20">
      <c r="A40" s="128"/>
      <c r="B40" s="128"/>
      <c r="C40" s="128"/>
      <c r="D40" s="129"/>
      <c r="E40" s="129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</row>
    <row r="41" spans="1:20">
      <c r="A41" s="128"/>
      <c r="B41" s="128"/>
      <c r="C41" s="128"/>
      <c r="D41" s="129"/>
      <c r="E41" s="129"/>
      <c r="F41" s="128"/>
      <c r="G41" s="128"/>
      <c r="H41" s="128"/>
      <c r="I41" s="128"/>
      <c r="J41" s="128"/>
      <c r="K41" s="128"/>
      <c r="L41" s="128"/>
      <c r="M41" s="128"/>
      <c r="N41" s="128"/>
      <c r="O41" s="128"/>
      <c r="P41" s="128"/>
      <c r="Q41" s="128"/>
      <c r="R41" s="128"/>
      <c r="S41" s="128"/>
      <c r="T41" s="128"/>
    </row>
    <row r="42" spans="1:20">
      <c r="A42" s="126" t="s">
        <v>348</v>
      </c>
      <c r="B42" s="126"/>
      <c r="C42" s="128"/>
      <c r="D42" s="129"/>
      <c r="E42" s="129"/>
      <c r="F42" s="128"/>
      <c r="G42" s="128"/>
      <c r="H42" s="128"/>
      <c r="I42" s="128"/>
      <c r="J42" s="128"/>
      <c r="K42" s="128"/>
      <c r="L42" s="128"/>
      <c r="M42" s="128"/>
      <c r="N42" s="128"/>
      <c r="O42" s="128"/>
      <c r="P42" s="128"/>
      <c r="Q42" s="128"/>
      <c r="R42" s="128"/>
      <c r="S42" s="128"/>
      <c r="T42" s="128"/>
    </row>
    <row r="43" spans="1:20">
      <c r="A43" s="128"/>
      <c r="B43" s="128"/>
      <c r="C43" s="128"/>
      <c r="D43" s="129"/>
      <c r="E43" s="129"/>
      <c r="F43" s="128"/>
      <c r="G43" s="128"/>
      <c r="H43" s="128"/>
      <c r="I43" s="128"/>
      <c r="J43" s="128"/>
      <c r="K43" s="128"/>
      <c r="L43" s="128"/>
      <c r="M43" s="128"/>
      <c r="N43" s="128"/>
      <c r="O43" s="128"/>
      <c r="P43" s="128"/>
      <c r="Q43" s="128"/>
      <c r="R43" s="128"/>
      <c r="S43" s="128"/>
      <c r="T43" s="128"/>
    </row>
    <row r="44" spans="1:20">
      <c r="A44" s="128"/>
      <c r="B44" s="128"/>
      <c r="C44" s="128"/>
      <c r="D44" s="129"/>
      <c r="E44" s="129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</row>
    <row r="45" spans="1:20">
      <c r="A45" s="128"/>
      <c r="B45" s="128"/>
      <c r="C45" s="128"/>
      <c r="D45" s="129"/>
      <c r="E45" s="129"/>
      <c r="F45" s="128"/>
      <c r="G45" s="128"/>
      <c r="H45" s="128"/>
      <c r="I45" s="128"/>
      <c r="J45" s="128"/>
      <c r="K45" s="128"/>
      <c r="L45" s="128"/>
      <c r="M45" s="128"/>
      <c r="N45" s="128"/>
      <c r="O45" s="128"/>
      <c r="P45" s="128"/>
      <c r="Q45" s="128"/>
      <c r="R45" s="128"/>
      <c r="S45" s="128"/>
      <c r="T45" s="128"/>
    </row>
    <row r="46" spans="1:20">
      <c r="A46" s="128"/>
      <c r="B46" s="128"/>
      <c r="C46" s="128"/>
      <c r="D46" s="129"/>
      <c r="E46" s="129"/>
      <c r="F46" s="128"/>
      <c r="G46" s="128"/>
      <c r="H46" s="128"/>
      <c r="I46" s="128"/>
      <c r="J46" s="128"/>
      <c r="K46" s="128"/>
      <c r="L46" s="128"/>
      <c r="M46" s="128"/>
      <c r="N46" s="128"/>
      <c r="O46" s="128"/>
      <c r="P46" s="128"/>
      <c r="Q46" s="128"/>
      <c r="R46" s="128"/>
      <c r="S46" s="128"/>
      <c r="T46" s="128"/>
    </row>
    <row r="47" spans="1:20">
      <c r="A47" s="128"/>
      <c r="B47" s="128"/>
      <c r="C47" s="128"/>
      <c r="D47" s="129"/>
      <c r="E47" s="129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</row>
    <row r="48" spans="1:20">
      <c r="A48" s="128"/>
      <c r="B48" s="128"/>
      <c r="C48" s="128"/>
      <c r="D48" s="129"/>
      <c r="E48" s="129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</row>
    <row r="49" spans="1:20">
      <c r="A49" s="128"/>
      <c r="B49" s="128"/>
      <c r="C49" s="128"/>
      <c r="D49" s="129"/>
      <c r="E49" s="129"/>
      <c r="F49" s="128"/>
      <c r="G49" s="128"/>
      <c r="H49" s="128"/>
      <c r="I49" s="128"/>
      <c r="J49" s="128"/>
      <c r="K49" s="128"/>
      <c r="L49" s="128"/>
      <c r="M49" s="128"/>
      <c r="N49" s="128"/>
      <c r="O49" s="128"/>
      <c r="P49" s="128"/>
      <c r="Q49" s="128"/>
      <c r="R49" s="128"/>
      <c r="S49" s="128"/>
      <c r="T49" s="128"/>
    </row>
    <row r="50" spans="1:20">
      <c r="A50" s="128"/>
      <c r="B50" s="128"/>
      <c r="C50" s="128"/>
      <c r="D50" s="129"/>
      <c r="E50" s="129"/>
      <c r="F50" s="128"/>
      <c r="G50" s="128"/>
      <c r="H50" s="128"/>
      <c r="I50" s="128"/>
      <c r="J50" s="128"/>
      <c r="K50" s="128"/>
      <c r="L50" s="128"/>
      <c r="M50" s="128"/>
      <c r="N50" s="128"/>
      <c r="O50" s="128"/>
      <c r="P50" s="128"/>
      <c r="Q50" s="128"/>
      <c r="R50" s="128"/>
      <c r="S50" s="128"/>
      <c r="T50" s="128"/>
    </row>
    <row r="51" spans="1:20">
      <c r="A51" s="128"/>
      <c r="B51" s="128"/>
      <c r="C51" s="128"/>
      <c r="D51" s="129"/>
      <c r="E51" s="129"/>
      <c r="F51" s="128"/>
      <c r="G51" s="128"/>
      <c r="H51" s="128"/>
      <c r="I51" s="128"/>
      <c r="J51" s="128"/>
      <c r="K51" s="128"/>
      <c r="L51" s="128"/>
      <c r="M51" s="128"/>
      <c r="N51" s="128"/>
      <c r="O51" s="128"/>
      <c r="P51" s="128"/>
      <c r="Q51" s="128"/>
      <c r="R51" s="128"/>
      <c r="S51" s="128"/>
      <c r="T51" s="128"/>
    </row>
    <row r="52" spans="1:20">
      <c r="A52" s="126" t="s">
        <v>349</v>
      </c>
      <c r="B52" s="126"/>
      <c r="C52" s="128"/>
      <c r="D52" s="129"/>
      <c r="E52" s="129"/>
      <c r="F52" s="128"/>
      <c r="G52" s="128"/>
      <c r="H52" s="128"/>
      <c r="I52" s="128"/>
      <c r="J52" s="128"/>
      <c r="K52" s="128"/>
      <c r="L52" s="128"/>
      <c r="M52" s="128"/>
      <c r="N52" s="128"/>
      <c r="O52" s="128"/>
      <c r="P52" s="128"/>
      <c r="Q52" s="128"/>
      <c r="R52" s="128"/>
      <c r="S52" s="128"/>
      <c r="T52" s="128"/>
    </row>
    <row r="53" spans="1:20">
      <c r="A53" s="128"/>
      <c r="B53" s="128"/>
      <c r="C53" s="128"/>
      <c r="D53" s="129"/>
      <c r="E53" s="129"/>
      <c r="F53" s="128"/>
      <c r="G53" s="128"/>
      <c r="H53" s="128"/>
      <c r="I53" s="128"/>
      <c r="J53" s="128"/>
      <c r="K53" s="128"/>
      <c r="L53" s="128"/>
      <c r="M53" s="128"/>
      <c r="N53" s="128"/>
      <c r="O53" s="128"/>
      <c r="P53" s="128"/>
      <c r="Q53" s="128"/>
      <c r="R53" s="128"/>
      <c r="S53" s="128"/>
      <c r="T53" s="128"/>
    </row>
    <row r="54" spans="1:20">
      <c r="A54" s="128"/>
      <c r="B54" s="128"/>
      <c r="C54" s="128"/>
      <c r="D54" s="129"/>
      <c r="E54" s="129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</row>
    <row r="55" spans="1:20">
      <c r="A55" s="128"/>
      <c r="B55" s="128"/>
      <c r="C55" s="128"/>
      <c r="D55" s="129"/>
      <c r="E55" s="129"/>
      <c r="F55" s="128"/>
      <c r="G55" s="128"/>
      <c r="H55" s="128"/>
      <c r="I55" s="128"/>
      <c r="J55" s="128"/>
      <c r="K55" s="128"/>
      <c r="L55" s="128"/>
      <c r="M55" s="128"/>
      <c r="N55" s="128"/>
      <c r="O55" s="128"/>
      <c r="P55" s="128"/>
      <c r="Q55" s="128"/>
      <c r="R55" s="128"/>
      <c r="S55" s="128"/>
      <c r="T55" s="128"/>
    </row>
    <row r="56" spans="1:20">
      <c r="A56" s="126" t="s">
        <v>350</v>
      </c>
      <c r="B56" s="126"/>
      <c r="C56" s="128"/>
      <c r="D56" s="129"/>
      <c r="E56" s="129"/>
      <c r="F56" s="128"/>
      <c r="G56" s="128"/>
      <c r="H56" s="128"/>
      <c r="I56" s="128"/>
      <c r="J56" s="128"/>
      <c r="K56" s="128"/>
      <c r="L56" s="128"/>
      <c r="M56" s="128"/>
      <c r="N56" s="128"/>
      <c r="O56" s="128"/>
      <c r="P56" s="128"/>
      <c r="Q56" s="128"/>
      <c r="R56" s="128"/>
      <c r="S56" s="128"/>
      <c r="T56" s="128"/>
    </row>
    <row r="57" spans="1:20">
      <c r="A57" s="128"/>
      <c r="B57" s="128"/>
      <c r="C57" s="128"/>
      <c r="D57" s="129"/>
      <c r="E57" s="129"/>
      <c r="F57" s="128"/>
      <c r="G57" s="128"/>
      <c r="H57" s="128"/>
      <c r="I57" s="128"/>
      <c r="J57" s="128"/>
      <c r="K57" s="128"/>
      <c r="L57" s="128"/>
      <c r="M57" s="128"/>
      <c r="N57" s="128"/>
      <c r="O57" s="130"/>
      <c r="P57" s="128"/>
      <c r="Q57" s="128"/>
      <c r="R57" s="128"/>
      <c r="S57" s="128"/>
      <c r="T57" s="128"/>
    </row>
    <row r="58" spans="1:20">
      <c r="A58" s="128"/>
      <c r="B58" s="128"/>
      <c r="C58" s="128"/>
      <c r="D58" s="129"/>
      <c r="E58" s="129"/>
      <c r="F58" s="128"/>
      <c r="G58" s="128"/>
      <c r="H58" s="128"/>
      <c r="I58" s="128"/>
      <c r="J58" s="128"/>
      <c r="K58" s="128"/>
      <c r="L58" s="128"/>
      <c r="M58" s="128"/>
      <c r="N58" s="128"/>
      <c r="O58" s="130"/>
      <c r="P58" s="128"/>
      <c r="Q58" s="128"/>
      <c r="R58" s="128"/>
      <c r="S58" s="128"/>
      <c r="T58" s="128"/>
    </row>
    <row r="59" spans="1:20">
      <c r="A59" s="128"/>
      <c r="B59" s="128"/>
      <c r="C59" s="128"/>
      <c r="D59" s="129"/>
      <c r="E59" s="129"/>
      <c r="F59" s="128"/>
      <c r="G59" s="128"/>
      <c r="H59" s="128"/>
      <c r="I59" s="128"/>
      <c r="J59" s="128"/>
      <c r="K59" s="128"/>
      <c r="L59" s="128"/>
      <c r="M59" s="128"/>
      <c r="N59" s="128"/>
      <c r="O59" s="130"/>
      <c r="P59" s="128"/>
      <c r="Q59" s="128"/>
      <c r="R59" s="128"/>
      <c r="S59" s="128"/>
      <c r="T59" s="128"/>
    </row>
    <row r="60" spans="1:20">
      <c r="A60" s="128"/>
      <c r="B60" s="128"/>
      <c r="C60" s="128"/>
      <c r="D60" s="129"/>
      <c r="E60" s="129"/>
      <c r="F60" s="128"/>
      <c r="G60" s="128"/>
      <c r="H60" s="128"/>
      <c r="I60" s="128"/>
      <c r="J60" s="128"/>
      <c r="K60" s="128"/>
      <c r="L60" s="128"/>
      <c r="M60" s="128"/>
      <c r="N60" s="128"/>
      <c r="O60" s="130"/>
      <c r="P60" s="128"/>
      <c r="Q60" s="128"/>
      <c r="R60" s="128"/>
      <c r="S60" s="128"/>
      <c r="T60" s="128"/>
    </row>
    <row r="61" spans="1:20">
      <c r="A61" s="128"/>
      <c r="B61" s="128"/>
      <c r="C61" s="128"/>
      <c r="D61" s="129"/>
      <c r="E61" s="129"/>
      <c r="F61" s="128"/>
      <c r="G61" s="128"/>
      <c r="H61" s="128"/>
      <c r="I61" s="128"/>
      <c r="J61" s="128"/>
      <c r="K61" s="128"/>
      <c r="L61" s="128"/>
      <c r="M61" s="128"/>
      <c r="N61" s="128"/>
      <c r="O61" s="130"/>
      <c r="P61" s="128"/>
      <c r="Q61" s="128"/>
      <c r="R61" s="128"/>
      <c r="S61" s="128"/>
      <c r="T61" s="128"/>
    </row>
    <row r="62" spans="1:20">
      <c r="A62" s="128"/>
      <c r="B62" s="128"/>
      <c r="C62" s="128"/>
      <c r="D62" s="129"/>
      <c r="E62" s="129"/>
      <c r="F62" s="128"/>
      <c r="G62" s="128"/>
      <c r="H62" s="128"/>
      <c r="I62" s="128"/>
      <c r="J62" s="128"/>
      <c r="K62" s="128"/>
      <c r="L62" s="128"/>
      <c r="M62" s="128"/>
      <c r="N62" s="128"/>
      <c r="O62" s="130"/>
      <c r="P62" s="128"/>
      <c r="Q62" s="128"/>
      <c r="R62" s="128"/>
      <c r="S62" s="128"/>
      <c r="T62" s="128"/>
    </row>
    <row r="63" spans="1:20">
      <c r="A63" s="128"/>
      <c r="B63" s="128"/>
      <c r="C63" s="128"/>
      <c r="D63" s="129"/>
      <c r="E63" s="129"/>
      <c r="F63" s="128"/>
      <c r="G63" s="128"/>
      <c r="H63" s="128"/>
      <c r="I63" s="128"/>
      <c r="J63" s="128"/>
      <c r="K63" s="128"/>
      <c r="L63" s="128"/>
      <c r="M63" s="128"/>
      <c r="N63" s="128"/>
      <c r="O63" s="130"/>
      <c r="P63" s="128"/>
      <c r="Q63" s="128"/>
      <c r="R63" s="128"/>
      <c r="S63" s="128"/>
      <c r="T63" s="128"/>
    </row>
    <row r="64" spans="1:20">
      <c r="A64" s="128"/>
      <c r="B64" s="128"/>
      <c r="C64" s="128"/>
      <c r="D64" s="129"/>
      <c r="E64" s="129"/>
      <c r="F64" s="128"/>
      <c r="G64" s="128"/>
      <c r="H64" s="128"/>
      <c r="I64" s="128"/>
      <c r="J64" s="128"/>
      <c r="K64" s="128"/>
      <c r="L64" s="128"/>
      <c r="M64" s="128"/>
      <c r="N64" s="128"/>
      <c r="O64" s="130"/>
      <c r="P64" s="128"/>
      <c r="Q64" s="128"/>
      <c r="R64" s="128"/>
      <c r="S64" s="128"/>
      <c r="T64" s="128"/>
    </row>
    <row r="65" spans="1:20">
      <c r="A65" s="128"/>
      <c r="B65" s="128"/>
      <c r="C65" s="128"/>
      <c r="D65" s="129"/>
      <c r="E65" s="129"/>
      <c r="F65" s="128"/>
      <c r="G65" s="128"/>
      <c r="H65" s="128"/>
      <c r="I65" s="128"/>
      <c r="J65" s="128"/>
      <c r="K65" s="128"/>
      <c r="L65" s="128"/>
      <c r="M65" s="128"/>
      <c r="N65" s="128"/>
      <c r="O65" s="130"/>
      <c r="P65" s="128"/>
      <c r="Q65" s="128"/>
      <c r="R65" s="128"/>
      <c r="S65" s="128"/>
      <c r="T65" s="128"/>
    </row>
    <row r="66" spans="1:20">
      <c r="A66" s="128"/>
      <c r="B66" s="128"/>
      <c r="C66" s="128"/>
      <c r="D66" s="129"/>
      <c r="E66" s="129"/>
      <c r="F66" s="128"/>
      <c r="G66" s="128"/>
      <c r="H66" s="128"/>
      <c r="I66" s="128"/>
      <c r="J66" s="128"/>
      <c r="K66" s="128"/>
      <c r="L66" s="128"/>
      <c r="M66" s="128"/>
      <c r="N66" s="128"/>
      <c r="O66" s="130"/>
      <c r="P66" s="128"/>
      <c r="Q66" s="128"/>
      <c r="R66" s="128"/>
      <c r="S66" s="128"/>
      <c r="T66" s="128"/>
    </row>
    <row r="67" spans="1:20">
      <c r="A67" s="128"/>
      <c r="B67" s="128"/>
      <c r="C67" s="128"/>
      <c r="D67" s="129"/>
      <c r="E67" s="129"/>
      <c r="F67" s="128"/>
      <c r="G67" s="128"/>
      <c r="H67" s="128"/>
      <c r="I67" s="128"/>
      <c r="J67" s="128"/>
      <c r="K67" s="128"/>
      <c r="L67" s="128"/>
      <c r="M67" s="128"/>
      <c r="N67" s="128"/>
      <c r="O67" s="130"/>
      <c r="P67" s="128"/>
      <c r="Q67" s="128"/>
      <c r="R67" s="128"/>
      <c r="S67" s="128"/>
      <c r="T67" s="128"/>
    </row>
    <row r="68" spans="1:20">
      <c r="A68" s="128"/>
      <c r="B68" s="128"/>
      <c r="C68" s="128"/>
      <c r="D68" s="129"/>
      <c r="E68" s="129"/>
      <c r="F68" s="128"/>
      <c r="G68" s="128"/>
      <c r="H68" s="128"/>
      <c r="I68" s="128"/>
      <c r="J68" s="128"/>
      <c r="K68" s="128"/>
      <c r="L68" s="128"/>
      <c r="M68" s="128"/>
      <c r="N68" s="128"/>
      <c r="O68" s="130"/>
      <c r="P68" s="128"/>
      <c r="Q68" s="128"/>
      <c r="R68" s="128"/>
      <c r="S68" s="128"/>
      <c r="T68" s="128"/>
    </row>
    <row r="69" spans="1:20">
      <c r="A69" s="178" t="s">
        <v>351</v>
      </c>
      <c r="B69" s="179"/>
      <c r="C69" s="128"/>
      <c r="D69" s="129"/>
      <c r="E69" s="129"/>
      <c r="F69" s="128"/>
      <c r="G69" s="128"/>
      <c r="H69" s="128"/>
      <c r="I69" s="128"/>
      <c r="J69" s="128"/>
      <c r="K69" s="128"/>
      <c r="L69" s="128"/>
      <c r="M69" s="128"/>
      <c r="N69" s="128"/>
      <c r="O69" s="130"/>
      <c r="P69" s="128"/>
      <c r="Q69" s="128"/>
      <c r="R69" s="128"/>
      <c r="S69" s="128"/>
      <c r="T69" s="128"/>
    </row>
    <row r="70" spans="1:20">
      <c r="A70" s="128"/>
      <c r="B70" s="128"/>
      <c r="C70" s="128"/>
      <c r="D70" s="129"/>
      <c r="E70" s="129"/>
      <c r="F70" s="128"/>
      <c r="G70" s="128"/>
      <c r="H70" s="128"/>
      <c r="I70" s="128"/>
      <c r="J70" s="128"/>
      <c r="K70" s="128"/>
      <c r="L70" s="128"/>
      <c r="M70" s="128"/>
      <c r="N70" s="128"/>
      <c r="O70" s="130"/>
      <c r="P70" s="128"/>
      <c r="Q70" s="128"/>
      <c r="R70" s="128"/>
      <c r="S70" s="128"/>
      <c r="T70" s="128"/>
    </row>
    <row r="71" spans="1:20">
      <c r="A71" s="128"/>
      <c r="B71" s="128"/>
      <c r="C71" s="128"/>
      <c r="D71" s="129"/>
      <c r="E71" s="129"/>
      <c r="F71" s="128"/>
      <c r="G71" s="128"/>
      <c r="H71" s="128"/>
      <c r="I71" s="128"/>
      <c r="J71" s="128"/>
      <c r="K71" s="128"/>
      <c r="L71" s="128"/>
      <c r="M71" s="128"/>
      <c r="N71" s="128"/>
      <c r="O71" s="130"/>
      <c r="P71" s="128"/>
      <c r="Q71" s="128"/>
      <c r="R71" s="128"/>
      <c r="S71" s="128"/>
      <c r="T71" s="128"/>
    </row>
    <row r="72" spans="1:20">
      <c r="A72" s="128"/>
      <c r="B72" s="128"/>
      <c r="C72" s="128"/>
      <c r="D72" s="129"/>
      <c r="E72" s="129"/>
      <c r="F72" s="128"/>
      <c r="G72" s="128"/>
      <c r="H72" s="128"/>
      <c r="I72" s="128"/>
      <c r="J72" s="128"/>
      <c r="K72" s="128"/>
      <c r="L72" s="128"/>
      <c r="M72" s="128"/>
      <c r="N72" s="128"/>
      <c r="O72" s="130"/>
      <c r="P72" s="128"/>
      <c r="Q72" s="128"/>
      <c r="R72" s="128"/>
      <c r="S72" s="128"/>
      <c r="T72" s="128"/>
    </row>
    <row r="73" spans="1:20">
      <c r="A73" s="128"/>
      <c r="B73" s="128"/>
      <c r="C73" s="128"/>
      <c r="D73" s="129"/>
      <c r="E73" s="129"/>
      <c r="F73" s="128"/>
      <c r="G73" s="128"/>
      <c r="H73" s="128"/>
      <c r="I73" s="128"/>
      <c r="J73" s="128"/>
      <c r="K73" s="128"/>
      <c r="L73" s="128"/>
      <c r="M73" s="128"/>
      <c r="N73" s="128"/>
      <c r="O73" s="130"/>
      <c r="P73" s="128"/>
      <c r="Q73" s="128"/>
      <c r="R73" s="128"/>
      <c r="S73" s="128"/>
      <c r="T73" s="128"/>
    </row>
    <row r="74" spans="1:20">
      <c r="A74" s="128"/>
      <c r="B74" s="128"/>
      <c r="C74" s="128"/>
      <c r="D74" s="129"/>
      <c r="E74" s="129"/>
      <c r="F74" s="128"/>
      <c r="G74" s="128"/>
      <c r="H74" s="128"/>
      <c r="I74" s="128"/>
      <c r="J74" s="128"/>
      <c r="K74" s="128"/>
      <c r="L74" s="128"/>
      <c r="M74" s="128"/>
      <c r="N74" s="128"/>
      <c r="O74" s="130"/>
      <c r="P74" s="128"/>
      <c r="Q74" s="128"/>
      <c r="R74" s="128"/>
      <c r="S74" s="128"/>
      <c r="T74" s="128"/>
    </row>
    <row r="75" spans="1:20">
      <c r="A75" s="128"/>
      <c r="B75" s="128"/>
      <c r="C75" s="128"/>
      <c r="D75" s="129"/>
      <c r="E75" s="129"/>
      <c r="F75" s="128"/>
      <c r="G75" s="128"/>
      <c r="H75" s="128"/>
      <c r="I75" s="128"/>
      <c r="J75" s="128"/>
      <c r="K75" s="128"/>
      <c r="L75" s="128"/>
      <c r="M75" s="128"/>
      <c r="N75" s="128"/>
      <c r="O75" s="130"/>
      <c r="P75" s="128"/>
      <c r="Q75" s="128"/>
      <c r="R75" s="128"/>
      <c r="S75" s="128"/>
      <c r="T75" s="128"/>
    </row>
    <row r="76" spans="1:20">
      <c r="A76" s="128"/>
      <c r="B76" s="128"/>
      <c r="C76" s="128"/>
      <c r="D76" s="129"/>
      <c r="E76" s="129"/>
      <c r="F76" s="128"/>
      <c r="G76" s="128"/>
      <c r="H76" s="128"/>
      <c r="I76" s="128"/>
      <c r="J76" s="128"/>
      <c r="K76" s="128"/>
      <c r="L76" s="128"/>
      <c r="M76" s="128"/>
      <c r="N76" s="128"/>
      <c r="O76" s="130"/>
      <c r="P76" s="128"/>
      <c r="Q76" s="128"/>
      <c r="R76" s="128"/>
      <c r="S76" s="128"/>
      <c r="T76" s="128"/>
    </row>
    <row r="77" spans="1:20">
      <c r="A77" s="128"/>
      <c r="B77" s="128"/>
      <c r="C77" s="128"/>
      <c r="D77" s="129"/>
      <c r="E77" s="129"/>
      <c r="F77" s="128"/>
      <c r="G77" s="128"/>
      <c r="H77" s="128"/>
      <c r="I77" s="128"/>
      <c r="J77" s="128"/>
      <c r="K77" s="128"/>
      <c r="L77" s="128"/>
      <c r="M77" s="128"/>
      <c r="N77" s="128"/>
      <c r="O77" s="130"/>
      <c r="P77" s="128"/>
      <c r="Q77" s="128"/>
      <c r="R77" s="128"/>
      <c r="S77" s="128"/>
      <c r="T77" s="128"/>
    </row>
    <row r="78" spans="1:20">
      <c r="A78" s="128"/>
      <c r="B78" s="128"/>
      <c r="C78" s="128"/>
      <c r="D78" s="129"/>
      <c r="E78" s="129"/>
      <c r="F78" s="128"/>
      <c r="G78" s="128"/>
      <c r="H78" s="128"/>
      <c r="I78" s="128"/>
      <c r="J78" s="128"/>
      <c r="K78" s="128"/>
      <c r="L78" s="128"/>
      <c r="M78" s="128"/>
      <c r="N78" s="128"/>
      <c r="O78" s="130"/>
      <c r="P78" s="128"/>
      <c r="Q78" s="128"/>
      <c r="R78" s="128"/>
      <c r="S78" s="128"/>
      <c r="T78" s="128"/>
    </row>
    <row r="79" spans="1:20">
      <c r="A79" s="128"/>
      <c r="B79" s="128"/>
      <c r="C79" s="128"/>
      <c r="D79" s="129"/>
      <c r="E79" s="129"/>
      <c r="F79" s="128"/>
      <c r="G79" s="128"/>
      <c r="H79" s="128"/>
      <c r="I79" s="128"/>
      <c r="J79" s="128"/>
      <c r="K79" s="128"/>
      <c r="L79" s="128"/>
      <c r="M79" s="128"/>
      <c r="N79" s="128"/>
      <c r="O79" s="128"/>
      <c r="P79" s="128"/>
      <c r="Q79" s="128"/>
      <c r="R79" s="128"/>
      <c r="S79" s="128"/>
      <c r="T79" s="128"/>
    </row>
    <row r="80" spans="1:20">
      <c r="A80" s="128"/>
      <c r="B80" s="128"/>
      <c r="C80" s="128"/>
      <c r="D80" s="129"/>
      <c r="E80" s="129"/>
      <c r="F80" s="128"/>
      <c r="G80" s="128"/>
      <c r="H80" s="128"/>
      <c r="I80" s="128"/>
      <c r="J80" s="128"/>
      <c r="K80" s="128"/>
      <c r="L80" s="128"/>
      <c r="M80" s="128"/>
      <c r="N80" s="128"/>
      <c r="O80" s="128"/>
      <c r="P80" s="128"/>
      <c r="Q80" s="128"/>
      <c r="R80" s="128"/>
      <c r="S80" s="128"/>
      <c r="T80" s="128"/>
    </row>
    <row r="81" spans="1:20">
      <c r="A81" s="128"/>
      <c r="B81" s="128"/>
      <c r="C81" s="128"/>
      <c r="D81" s="129"/>
      <c r="E81" s="129"/>
      <c r="F81" s="128"/>
      <c r="G81" s="128"/>
      <c r="H81" s="128"/>
      <c r="I81" s="128"/>
      <c r="J81" s="128"/>
      <c r="K81" s="128"/>
      <c r="L81" s="128"/>
      <c r="M81" s="128"/>
      <c r="N81" s="128"/>
      <c r="O81" s="128"/>
      <c r="P81" s="128"/>
      <c r="Q81" s="128"/>
      <c r="R81" s="128"/>
      <c r="S81" s="128"/>
      <c r="T81" s="128"/>
    </row>
    <row r="82" spans="1:20">
      <c r="A82" s="128"/>
      <c r="B82" s="128"/>
      <c r="C82" s="128"/>
      <c r="D82" s="129"/>
      <c r="E82" s="129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</row>
    <row r="83" spans="1:20">
      <c r="A83" s="128"/>
      <c r="B83" s="128"/>
      <c r="C83" s="128"/>
      <c r="D83" s="129"/>
      <c r="E83" s="129"/>
      <c r="F83" s="128"/>
      <c r="G83" s="128"/>
      <c r="H83" s="128"/>
      <c r="I83" s="128"/>
      <c r="J83" s="128"/>
      <c r="K83" s="128"/>
      <c r="L83" s="128"/>
      <c r="M83" s="128"/>
      <c r="N83" s="128"/>
      <c r="O83" s="128"/>
      <c r="P83" s="128"/>
      <c r="Q83" s="128"/>
      <c r="R83" s="128"/>
      <c r="S83" s="128"/>
      <c r="T83" s="128"/>
    </row>
    <row r="84" spans="1:20">
      <c r="A84" s="126" t="s">
        <v>352</v>
      </c>
      <c r="B84" s="126"/>
      <c r="C84" s="128"/>
      <c r="D84" s="129"/>
      <c r="E84" s="129"/>
      <c r="F84" s="128"/>
      <c r="G84" s="128"/>
      <c r="H84" s="128"/>
      <c r="I84" s="128"/>
      <c r="J84" s="128"/>
      <c r="K84" s="128"/>
      <c r="L84" s="128"/>
      <c r="M84" s="128"/>
      <c r="N84" s="128"/>
      <c r="O84" s="128"/>
      <c r="P84" s="128"/>
      <c r="Q84" s="128"/>
      <c r="R84" s="128"/>
      <c r="S84" s="128"/>
      <c r="T84" s="128"/>
    </row>
    <row r="85" spans="1:20">
      <c r="A85" s="128"/>
      <c r="B85" s="128"/>
      <c r="C85" s="128"/>
      <c r="D85" s="129"/>
      <c r="E85" s="129"/>
      <c r="F85" s="128"/>
      <c r="G85" s="128"/>
      <c r="H85" s="128"/>
      <c r="I85" s="128"/>
      <c r="J85" s="128"/>
      <c r="K85" s="128"/>
      <c r="L85" s="128"/>
      <c r="M85" s="128"/>
      <c r="N85" s="128"/>
      <c r="O85" s="130"/>
      <c r="P85" s="128"/>
      <c r="Q85" s="128"/>
      <c r="R85" s="128"/>
      <c r="S85" s="128"/>
      <c r="T85" s="128"/>
    </row>
    <row r="86" spans="1:20">
      <c r="A86" s="128"/>
      <c r="B86" s="128"/>
      <c r="C86" s="128"/>
      <c r="D86" s="129"/>
      <c r="E86" s="129"/>
      <c r="F86" s="128"/>
      <c r="G86" s="128"/>
      <c r="H86" s="128"/>
      <c r="I86" s="128"/>
      <c r="J86" s="128"/>
      <c r="K86" s="128"/>
      <c r="L86" s="128"/>
      <c r="M86" s="128"/>
      <c r="N86" s="128"/>
      <c r="O86" s="130"/>
      <c r="P86" s="128"/>
      <c r="Q86" s="128"/>
      <c r="R86" s="128"/>
      <c r="S86" s="128"/>
      <c r="T86" s="128"/>
    </row>
    <row r="87" spans="1:20">
      <c r="A87" s="128"/>
      <c r="B87" s="128"/>
      <c r="C87" s="128"/>
      <c r="D87" s="129"/>
      <c r="E87" s="129"/>
      <c r="F87" s="128"/>
      <c r="G87" s="128"/>
      <c r="H87" s="128"/>
      <c r="I87" s="128"/>
      <c r="J87" s="128"/>
      <c r="K87" s="128"/>
      <c r="L87" s="128"/>
      <c r="M87" s="128"/>
      <c r="N87" s="128"/>
      <c r="O87" s="130"/>
      <c r="P87" s="128"/>
      <c r="Q87" s="128"/>
      <c r="R87" s="128"/>
      <c r="S87" s="128"/>
      <c r="T87" s="128"/>
    </row>
    <row r="88" spans="1:20">
      <c r="A88" s="128"/>
      <c r="B88" s="128"/>
      <c r="C88" s="128"/>
      <c r="D88" s="129"/>
      <c r="E88" s="129"/>
      <c r="F88" s="128"/>
      <c r="G88" s="128"/>
      <c r="H88" s="128"/>
      <c r="I88" s="128"/>
      <c r="J88" s="128"/>
      <c r="K88" s="128"/>
      <c r="L88" s="128"/>
      <c r="M88" s="128"/>
      <c r="N88" s="128"/>
      <c r="O88" s="130"/>
      <c r="P88" s="128"/>
      <c r="Q88" s="128"/>
      <c r="R88" s="128"/>
      <c r="S88" s="128"/>
      <c r="T88" s="128"/>
    </row>
    <row r="89" spans="1:20">
      <c r="A89" s="128"/>
      <c r="B89" s="128"/>
      <c r="C89" s="128"/>
      <c r="D89" s="129"/>
      <c r="E89" s="129"/>
      <c r="F89" s="128"/>
      <c r="G89" s="128"/>
      <c r="H89" s="128"/>
      <c r="I89" s="128"/>
      <c r="J89" s="128"/>
      <c r="K89" s="128"/>
      <c r="L89" s="128"/>
      <c r="M89" s="128"/>
      <c r="N89" s="128"/>
      <c r="O89" s="130"/>
      <c r="P89" s="128"/>
      <c r="Q89" s="128"/>
      <c r="R89" s="128"/>
      <c r="S89" s="128"/>
      <c r="T89" s="128"/>
    </row>
    <row r="90" spans="1:20">
      <c r="A90" s="128"/>
      <c r="B90" s="128"/>
      <c r="C90" s="128"/>
      <c r="D90" s="129"/>
      <c r="E90" s="129"/>
      <c r="F90" s="128"/>
      <c r="G90" s="128"/>
      <c r="H90" s="128"/>
      <c r="I90" s="128"/>
      <c r="J90" s="128"/>
      <c r="K90" s="128"/>
      <c r="L90" s="128"/>
      <c r="M90" s="128"/>
      <c r="N90" s="128"/>
      <c r="O90" s="130"/>
      <c r="P90" s="128"/>
      <c r="Q90" s="128"/>
      <c r="R90" s="128"/>
      <c r="S90" s="128"/>
      <c r="T90" s="128"/>
    </row>
    <row r="91" spans="1:20">
      <c r="A91" s="128"/>
      <c r="B91" s="128"/>
      <c r="C91" s="128"/>
      <c r="D91" s="129"/>
      <c r="E91" s="129"/>
      <c r="F91" s="128"/>
      <c r="G91" s="128"/>
      <c r="H91" s="128"/>
      <c r="I91" s="128"/>
      <c r="J91" s="128"/>
      <c r="K91" s="128"/>
      <c r="L91" s="128"/>
      <c r="M91" s="128"/>
      <c r="N91" s="128"/>
      <c r="O91" s="130"/>
      <c r="P91" s="128"/>
      <c r="Q91" s="128"/>
      <c r="R91" s="128"/>
      <c r="S91" s="128"/>
      <c r="T91" s="128"/>
    </row>
    <row r="92" spans="1:20">
      <c r="A92" s="128"/>
      <c r="B92" s="128"/>
      <c r="C92" s="128"/>
      <c r="D92" s="129"/>
      <c r="E92" s="129"/>
      <c r="F92" s="128"/>
      <c r="G92" s="128"/>
      <c r="H92" s="128"/>
      <c r="I92" s="128"/>
      <c r="J92" s="128"/>
      <c r="K92" s="128"/>
      <c r="L92" s="128"/>
      <c r="M92" s="128"/>
      <c r="N92" s="128"/>
      <c r="O92" s="130"/>
      <c r="P92" s="128"/>
      <c r="Q92" s="128"/>
      <c r="R92" s="128"/>
      <c r="S92" s="128"/>
      <c r="T92" s="128"/>
    </row>
    <row r="93" spans="1:20">
      <c r="A93" s="128"/>
      <c r="B93" s="128"/>
      <c r="C93" s="128"/>
      <c r="D93" s="129"/>
      <c r="E93" s="129"/>
      <c r="F93" s="128"/>
      <c r="G93" s="128"/>
      <c r="H93" s="128"/>
      <c r="I93" s="128"/>
      <c r="J93" s="128"/>
      <c r="K93" s="128"/>
      <c r="L93" s="128"/>
      <c r="M93" s="128"/>
      <c r="N93" s="128"/>
      <c r="O93" s="130"/>
      <c r="P93" s="128"/>
      <c r="Q93" s="128"/>
      <c r="R93" s="128"/>
      <c r="S93" s="128"/>
      <c r="T93" s="128"/>
    </row>
    <row r="94" spans="1:20">
      <c r="A94" s="128"/>
      <c r="B94" s="128"/>
      <c r="C94" s="128"/>
      <c r="D94" s="129"/>
      <c r="E94" s="129"/>
      <c r="F94" s="128"/>
      <c r="G94" s="128"/>
      <c r="H94" s="128"/>
      <c r="I94" s="128"/>
      <c r="J94" s="128"/>
      <c r="K94" s="128"/>
      <c r="L94" s="128"/>
      <c r="M94" s="128"/>
      <c r="N94" s="128"/>
      <c r="O94" s="130"/>
      <c r="P94" s="128"/>
      <c r="Q94" s="128"/>
      <c r="R94" s="128"/>
      <c r="S94" s="128"/>
      <c r="T94" s="128"/>
    </row>
    <row r="95" spans="1:20">
      <c r="A95" s="128"/>
      <c r="B95" s="128"/>
      <c r="C95" s="128"/>
      <c r="D95" s="129"/>
      <c r="E95" s="129"/>
      <c r="F95" s="128"/>
      <c r="G95" s="128"/>
      <c r="H95" s="128"/>
      <c r="I95" s="128"/>
      <c r="J95" s="128"/>
      <c r="K95" s="128"/>
      <c r="L95" s="128"/>
      <c r="M95" s="128"/>
      <c r="N95" s="128"/>
      <c r="O95" s="130"/>
      <c r="P95" s="128"/>
      <c r="Q95" s="128"/>
      <c r="R95" s="128"/>
      <c r="S95" s="128"/>
      <c r="T95" s="128"/>
    </row>
    <row r="96" spans="1:20">
      <c r="A96" s="128"/>
      <c r="B96" s="128"/>
      <c r="C96" s="128"/>
      <c r="D96" s="129"/>
      <c r="E96" s="129"/>
      <c r="F96" s="128"/>
      <c r="G96" s="128"/>
      <c r="H96" s="128"/>
      <c r="I96" s="128"/>
      <c r="J96" s="128"/>
      <c r="K96" s="128"/>
      <c r="L96" s="128"/>
      <c r="M96" s="128"/>
      <c r="N96" s="128"/>
      <c r="O96" s="130"/>
      <c r="P96" s="128"/>
      <c r="Q96" s="128"/>
      <c r="R96" s="128"/>
      <c r="S96" s="128"/>
      <c r="T96" s="128"/>
    </row>
    <row r="97" spans="1:20">
      <c r="A97" s="128"/>
      <c r="B97" s="128"/>
      <c r="C97" s="128"/>
      <c r="D97" s="129"/>
      <c r="E97" s="129"/>
      <c r="F97" s="128"/>
      <c r="G97" s="128"/>
      <c r="H97" s="128"/>
      <c r="I97" s="128"/>
      <c r="J97" s="128"/>
      <c r="K97" s="128"/>
      <c r="L97" s="128"/>
      <c r="M97" s="128"/>
      <c r="N97" s="128"/>
      <c r="O97" s="130"/>
      <c r="P97" s="128"/>
      <c r="Q97" s="128"/>
      <c r="R97" s="128"/>
      <c r="S97" s="128"/>
      <c r="T97" s="128"/>
    </row>
    <row r="98" spans="1:20">
      <c r="A98" s="128"/>
      <c r="B98" s="128"/>
      <c r="C98" s="128"/>
      <c r="D98" s="129"/>
      <c r="E98" s="129"/>
      <c r="F98" s="128"/>
      <c r="G98" s="128"/>
      <c r="H98" s="128"/>
      <c r="I98" s="128"/>
      <c r="J98" s="128"/>
      <c r="K98" s="128"/>
      <c r="L98" s="128"/>
      <c r="M98" s="128"/>
      <c r="N98" s="128"/>
      <c r="O98" s="130"/>
      <c r="P98" s="128"/>
      <c r="Q98" s="128"/>
      <c r="R98" s="128"/>
      <c r="S98" s="128"/>
      <c r="T98" s="128"/>
    </row>
    <row r="99" spans="1:20">
      <c r="A99" s="128"/>
      <c r="B99" s="128"/>
      <c r="C99" s="128"/>
      <c r="D99" s="129"/>
      <c r="E99" s="129"/>
      <c r="F99" s="128"/>
      <c r="G99" s="128"/>
      <c r="H99" s="128"/>
      <c r="I99" s="128"/>
      <c r="J99" s="128"/>
      <c r="K99" s="128"/>
      <c r="L99" s="128"/>
      <c r="M99" s="128"/>
      <c r="N99" s="128"/>
      <c r="O99" s="130"/>
      <c r="P99" s="128"/>
      <c r="Q99" s="128"/>
      <c r="R99" s="128"/>
      <c r="S99" s="128"/>
      <c r="T99" s="128"/>
    </row>
    <row r="100" spans="1:20">
      <c r="A100" s="128"/>
      <c r="B100" s="128"/>
      <c r="C100" s="128"/>
      <c r="D100" s="129"/>
      <c r="E100" s="129"/>
      <c r="F100" s="128"/>
      <c r="G100" s="128"/>
      <c r="H100" s="128"/>
      <c r="I100" s="128"/>
      <c r="J100" s="128"/>
      <c r="K100" s="128"/>
      <c r="L100" s="128"/>
      <c r="M100" s="128"/>
      <c r="N100" s="128"/>
      <c r="O100" s="130"/>
      <c r="P100" s="128"/>
      <c r="Q100" s="128"/>
      <c r="R100" s="128"/>
      <c r="S100" s="128"/>
      <c r="T100" s="128"/>
    </row>
    <row r="101" spans="1:20">
      <c r="A101" s="128"/>
      <c r="B101" s="128"/>
      <c r="C101" s="128"/>
      <c r="D101" s="129"/>
      <c r="E101" s="129"/>
      <c r="F101" s="128"/>
      <c r="G101" s="128"/>
      <c r="H101" s="128"/>
      <c r="I101" s="128"/>
      <c r="J101" s="128"/>
      <c r="K101" s="128"/>
      <c r="L101" s="128"/>
      <c r="M101" s="128"/>
      <c r="N101" s="128"/>
      <c r="O101" s="130"/>
      <c r="P101" s="128"/>
      <c r="Q101" s="128"/>
      <c r="R101" s="128"/>
      <c r="S101" s="128"/>
      <c r="T101" s="128"/>
    </row>
    <row r="102" spans="1:20">
      <c r="A102" s="128"/>
      <c r="B102" s="128"/>
      <c r="C102" s="128"/>
      <c r="D102" s="129"/>
      <c r="E102" s="129"/>
      <c r="F102" s="128"/>
      <c r="G102" s="128"/>
      <c r="H102" s="128"/>
      <c r="I102" s="128"/>
      <c r="J102" s="128"/>
      <c r="K102" s="128"/>
      <c r="L102" s="128"/>
      <c r="M102" s="128"/>
      <c r="N102" s="128"/>
      <c r="O102" s="130"/>
      <c r="P102" s="128"/>
      <c r="Q102" s="128"/>
      <c r="R102" s="128"/>
      <c r="S102" s="128"/>
      <c r="T102" s="128"/>
    </row>
    <row r="103" spans="1:20">
      <c r="A103" s="128"/>
      <c r="B103" s="128"/>
      <c r="C103" s="128"/>
      <c r="D103" s="129"/>
      <c r="E103" s="129"/>
      <c r="F103" s="128"/>
      <c r="G103" s="128"/>
      <c r="H103" s="128"/>
      <c r="I103" s="128"/>
      <c r="J103" s="128"/>
      <c r="K103" s="128"/>
      <c r="L103" s="128"/>
      <c r="M103" s="128"/>
      <c r="N103" s="128"/>
      <c r="O103" s="130"/>
      <c r="P103" s="128"/>
      <c r="Q103" s="128"/>
      <c r="R103" s="128"/>
      <c r="S103" s="128"/>
      <c r="T103" s="128"/>
    </row>
    <row r="104" spans="1:20">
      <c r="A104" s="128"/>
      <c r="B104" s="128"/>
      <c r="C104" s="128"/>
      <c r="D104" s="129"/>
      <c r="E104" s="129"/>
      <c r="F104" s="128"/>
      <c r="G104" s="128"/>
      <c r="H104" s="128"/>
      <c r="I104" s="128"/>
      <c r="J104" s="128"/>
      <c r="K104" s="128"/>
      <c r="L104" s="128"/>
      <c r="M104" s="128"/>
      <c r="N104" s="128"/>
      <c r="O104" s="130"/>
      <c r="P104" s="128"/>
      <c r="Q104" s="128"/>
      <c r="R104" s="128"/>
      <c r="S104" s="128"/>
      <c r="T104" s="128"/>
    </row>
    <row r="105" spans="1:20">
      <c r="A105" s="128"/>
      <c r="B105" s="128"/>
      <c r="C105" s="128"/>
      <c r="D105" s="129"/>
      <c r="E105" s="129"/>
      <c r="F105" s="128"/>
      <c r="G105" s="128"/>
      <c r="H105" s="128"/>
      <c r="I105" s="128"/>
      <c r="J105" s="128"/>
      <c r="K105" s="128"/>
      <c r="L105" s="128"/>
      <c r="M105" s="128"/>
      <c r="N105" s="128"/>
      <c r="O105" s="130"/>
      <c r="P105" s="128"/>
      <c r="Q105" s="128"/>
      <c r="R105" s="128"/>
      <c r="S105" s="128"/>
      <c r="T105" s="128"/>
    </row>
    <row r="106" spans="1:20">
      <c r="A106" s="128"/>
      <c r="B106" s="128"/>
      <c r="C106" s="128"/>
      <c r="D106" s="129"/>
      <c r="E106" s="129"/>
      <c r="F106" s="128"/>
      <c r="G106" s="128"/>
      <c r="H106" s="128"/>
      <c r="I106" s="128"/>
      <c r="J106" s="128"/>
      <c r="K106" s="128"/>
      <c r="L106" s="128"/>
      <c r="M106" s="128"/>
      <c r="N106" s="128"/>
      <c r="O106" s="130"/>
      <c r="P106" s="128"/>
      <c r="Q106" s="128"/>
      <c r="R106" s="128"/>
      <c r="S106" s="128"/>
      <c r="T106" s="128"/>
    </row>
    <row r="107" spans="1:20">
      <c r="A107" s="128"/>
      <c r="B107" s="128"/>
      <c r="C107" s="128"/>
      <c r="D107" s="129"/>
      <c r="E107" s="129"/>
      <c r="F107" s="128"/>
      <c r="G107" s="128"/>
      <c r="H107" s="128"/>
      <c r="I107" s="128"/>
      <c r="J107" s="128"/>
      <c r="K107" s="128"/>
      <c r="L107" s="128"/>
      <c r="M107" s="128"/>
      <c r="N107" s="128"/>
      <c r="O107" s="130"/>
      <c r="P107" s="128"/>
      <c r="Q107" s="128"/>
      <c r="R107" s="128"/>
      <c r="S107" s="128"/>
      <c r="T107" s="128"/>
    </row>
    <row r="108" spans="1:20">
      <c r="A108" s="128"/>
      <c r="B108" s="128"/>
      <c r="C108" s="128"/>
      <c r="D108" s="129"/>
      <c r="E108" s="129"/>
      <c r="F108" s="128"/>
      <c r="G108" s="128"/>
      <c r="H108" s="128"/>
      <c r="I108" s="128"/>
      <c r="J108" s="128"/>
      <c r="K108" s="128"/>
      <c r="L108" s="128"/>
      <c r="M108" s="128"/>
      <c r="N108" s="128"/>
      <c r="O108" s="130"/>
      <c r="P108" s="128"/>
      <c r="Q108" s="128"/>
      <c r="R108" s="128"/>
      <c r="S108" s="128"/>
      <c r="T108" s="128"/>
    </row>
    <row r="109" spans="1:20">
      <c r="A109" s="128"/>
      <c r="B109" s="128"/>
      <c r="C109" s="128"/>
      <c r="D109" s="129"/>
      <c r="E109" s="129"/>
      <c r="F109" s="128"/>
      <c r="G109" s="128"/>
      <c r="H109" s="128"/>
      <c r="I109" s="128"/>
      <c r="J109" s="130"/>
      <c r="K109" s="128"/>
      <c r="L109" s="128"/>
      <c r="M109" s="128"/>
      <c r="N109" s="128"/>
      <c r="O109" s="130"/>
      <c r="P109" s="128"/>
      <c r="Q109" s="128"/>
      <c r="R109" s="128"/>
      <c r="S109" s="128"/>
      <c r="T109" s="128"/>
    </row>
    <row r="110" spans="1:20">
      <c r="A110" s="128"/>
      <c r="B110" s="128"/>
      <c r="C110" s="128"/>
      <c r="D110" s="129"/>
      <c r="E110" s="129"/>
      <c r="F110" s="128"/>
      <c r="G110" s="128"/>
      <c r="H110" s="128"/>
      <c r="I110" s="128"/>
      <c r="J110" s="130"/>
      <c r="K110" s="128"/>
      <c r="L110" s="128"/>
      <c r="M110" s="128"/>
      <c r="N110" s="128"/>
      <c r="O110" s="130"/>
      <c r="P110" s="128"/>
      <c r="Q110" s="128"/>
      <c r="R110" s="128"/>
      <c r="S110" s="128"/>
      <c r="T110" s="128"/>
    </row>
    <row r="111" spans="1:20">
      <c r="A111" s="128"/>
      <c r="B111" s="128"/>
      <c r="C111" s="128"/>
      <c r="D111" s="129"/>
      <c r="E111" s="129"/>
      <c r="F111" s="128"/>
      <c r="G111" s="128"/>
      <c r="H111" s="128"/>
      <c r="I111" s="128"/>
      <c r="J111" s="128"/>
      <c r="K111" s="128"/>
      <c r="L111" s="128"/>
      <c r="M111" s="128"/>
      <c r="N111" s="128"/>
      <c r="O111" s="130"/>
      <c r="P111" s="128"/>
      <c r="Q111" s="128"/>
      <c r="R111" s="128"/>
      <c r="S111" s="128"/>
      <c r="T111" s="128"/>
    </row>
    <row r="112" spans="1:20">
      <c r="A112" s="128"/>
      <c r="B112" s="128"/>
      <c r="C112" s="128"/>
      <c r="D112" s="129"/>
      <c r="E112" s="129"/>
      <c r="F112" s="128"/>
      <c r="G112" s="128"/>
      <c r="H112" s="128"/>
      <c r="I112" s="128"/>
      <c r="J112" s="128"/>
      <c r="K112" s="128"/>
      <c r="L112" s="128"/>
      <c r="M112" s="128"/>
      <c r="N112" s="128"/>
      <c r="O112" s="130"/>
      <c r="P112" s="128"/>
      <c r="Q112" s="128"/>
      <c r="R112" s="128"/>
      <c r="S112" s="128"/>
      <c r="T112" s="128"/>
    </row>
    <row r="113" spans="1:20">
      <c r="A113" s="128"/>
      <c r="B113" s="128"/>
      <c r="C113" s="128"/>
      <c r="D113" s="129"/>
      <c r="E113" s="129"/>
      <c r="F113" s="128"/>
      <c r="G113" s="128"/>
      <c r="H113" s="128"/>
      <c r="I113" s="128"/>
      <c r="J113" s="128"/>
      <c r="K113" s="128"/>
      <c r="L113" s="128"/>
      <c r="M113" s="128"/>
      <c r="N113" s="128"/>
      <c r="O113" s="130"/>
      <c r="P113" s="128"/>
      <c r="Q113" s="128"/>
      <c r="R113" s="128"/>
      <c r="S113" s="128"/>
      <c r="T113" s="128"/>
    </row>
    <row r="114" spans="1:20">
      <c r="A114" s="126" t="s">
        <v>353</v>
      </c>
      <c r="B114" s="126"/>
      <c r="C114" s="128"/>
      <c r="D114" s="129"/>
      <c r="E114" s="129"/>
      <c r="F114" s="128"/>
      <c r="G114" s="128"/>
      <c r="H114" s="128"/>
      <c r="I114" s="128"/>
      <c r="J114" s="128"/>
      <c r="K114" s="128"/>
      <c r="L114" s="128"/>
      <c r="M114" s="128"/>
      <c r="N114" s="128"/>
      <c r="O114" s="130"/>
      <c r="P114" s="128"/>
      <c r="Q114" s="128"/>
      <c r="R114" s="128"/>
      <c r="S114" s="128"/>
      <c r="T114" s="128"/>
    </row>
    <row r="115" spans="1:20">
      <c r="A115" s="128"/>
      <c r="B115" s="128"/>
      <c r="C115" s="128"/>
      <c r="D115" s="129"/>
      <c r="E115" s="129"/>
      <c r="F115" s="128"/>
      <c r="G115" s="128"/>
      <c r="H115" s="128"/>
      <c r="I115" s="128"/>
      <c r="J115" s="128"/>
      <c r="K115" s="128"/>
      <c r="L115" s="130"/>
      <c r="M115" s="128"/>
      <c r="N115" s="128"/>
      <c r="O115" s="130"/>
      <c r="P115" s="128"/>
      <c r="Q115" s="128"/>
      <c r="R115" s="128"/>
      <c r="S115" s="128"/>
      <c r="T115" s="128"/>
    </row>
    <row r="116" spans="1:20">
      <c r="A116" s="128"/>
      <c r="B116" s="128"/>
      <c r="C116" s="128"/>
      <c r="D116" s="129"/>
      <c r="E116" s="129"/>
      <c r="F116" s="128"/>
      <c r="G116" s="128"/>
      <c r="H116" s="128"/>
      <c r="I116" s="128"/>
      <c r="J116" s="128"/>
      <c r="K116" s="128"/>
      <c r="L116" s="130"/>
      <c r="M116" s="128"/>
      <c r="N116" s="128"/>
      <c r="O116" s="130"/>
      <c r="P116" s="128"/>
      <c r="Q116" s="128"/>
      <c r="R116" s="128"/>
      <c r="S116" s="128"/>
      <c r="T116" s="128"/>
    </row>
    <row r="117" spans="1:20">
      <c r="A117" s="128"/>
      <c r="B117" s="128"/>
      <c r="C117" s="128"/>
      <c r="D117" s="129"/>
      <c r="E117" s="129"/>
      <c r="F117" s="128"/>
      <c r="G117" s="128"/>
      <c r="H117" s="128"/>
      <c r="I117" s="128"/>
      <c r="J117" s="128"/>
      <c r="K117" s="128"/>
      <c r="L117" s="128"/>
      <c r="M117" s="128"/>
      <c r="N117" s="128"/>
      <c r="O117" s="130"/>
      <c r="P117" s="128"/>
      <c r="Q117" s="128"/>
      <c r="R117" s="128"/>
      <c r="S117" s="128"/>
      <c r="T117" s="128"/>
    </row>
    <row r="118" spans="1:20">
      <c r="A118" s="128"/>
      <c r="B118" s="128"/>
      <c r="C118" s="128"/>
      <c r="D118" s="129"/>
      <c r="E118" s="129"/>
      <c r="F118" s="128"/>
      <c r="G118" s="128"/>
      <c r="H118" s="128"/>
      <c r="I118" s="128"/>
      <c r="J118" s="128"/>
      <c r="K118" s="128"/>
      <c r="L118" s="128"/>
      <c r="M118" s="128"/>
      <c r="N118" s="128"/>
      <c r="O118" s="130"/>
      <c r="P118" s="128"/>
      <c r="Q118" s="128"/>
      <c r="R118" s="128"/>
      <c r="S118" s="128"/>
      <c r="T118" s="128"/>
    </row>
    <row r="119" spans="1:20">
      <c r="A119" s="128"/>
      <c r="B119" s="128"/>
      <c r="C119" s="128"/>
      <c r="D119" s="129"/>
      <c r="E119" s="129"/>
      <c r="F119" s="128"/>
      <c r="G119" s="128"/>
      <c r="H119" s="128"/>
      <c r="I119" s="128"/>
      <c r="J119" s="128"/>
      <c r="K119" s="128"/>
      <c r="L119" s="128"/>
      <c r="M119" s="128"/>
      <c r="N119" s="128"/>
      <c r="O119" s="128"/>
      <c r="P119" s="128"/>
      <c r="Q119" s="128"/>
      <c r="R119" s="128"/>
      <c r="S119" s="128"/>
      <c r="T119" s="128"/>
    </row>
    <row r="120" spans="1:20">
      <c r="A120" s="126" t="s">
        <v>354</v>
      </c>
      <c r="B120" s="126"/>
      <c r="C120" s="128"/>
      <c r="D120" s="129"/>
      <c r="E120" s="129"/>
      <c r="F120" s="128"/>
      <c r="G120" s="128"/>
      <c r="H120" s="128"/>
      <c r="I120" s="128"/>
      <c r="J120" s="128"/>
      <c r="K120" s="128"/>
      <c r="L120" s="128"/>
      <c r="M120" s="128"/>
      <c r="N120" s="128"/>
      <c r="O120" s="128"/>
      <c r="P120" s="128"/>
      <c r="Q120" s="128"/>
      <c r="R120" s="128"/>
      <c r="S120" s="128"/>
      <c r="T120" s="128"/>
    </row>
    <row r="121" spans="1:20">
      <c r="A121" s="128"/>
      <c r="B121" s="128"/>
      <c r="C121" s="128"/>
      <c r="D121" s="129"/>
      <c r="E121" s="129"/>
      <c r="F121" s="128"/>
      <c r="G121" s="128"/>
      <c r="H121" s="128"/>
      <c r="I121" s="128"/>
      <c r="J121" s="128"/>
      <c r="K121" s="128"/>
      <c r="L121" s="128"/>
      <c r="M121" s="128"/>
      <c r="N121" s="128"/>
      <c r="O121" s="128"/>
      <c r="P121" s="128"/>
      <c r="Q121" s="128"/>
      <c r="R121" s="128"/>
      <c r="S121" s="128"/>
      <c r="T121" s="128"/>
    </row>
    <row r="122" spans="1:20">
      <c r="A122" s="128"/>
      <c r="B122" s="128"/>
      <c r="C122" s="128"/>
      <c r="D122" s="129"/>
      <c r="E122" s="129"/>
      <c r="F122" s="128"/>
      <c r="G122" s="128"/>
      <c r="H122" s="128"/>
      <c r="I122" s="128"/>
      <c r="J122" s="128"/>
      <c r="K122" s="128"/>
      <c r="L122" s="128"/>
      <c r="M122" s="128"/>
      <c r="N122" s="128"/>
      <c r="O122" s="128"/>
      <c r="P122" s="128"/>
      <c r="Q122" s="128"/>
      <c r="R122" s="128"/>
      <c r="S122" s="128"/>
      <c r="T122" s="128"/>
    </row>
    <row r="123" spans="1:20">
      <c r="A123" s="128"/>
      <c r="B123" s="128"/>
      <c r="C123" s="128"/>
      <c r="D123" s="129"/>
      <c r="E123" s="129"/>
      <c r="F123" s="128"/>
      <c r="G123" s="128"/>
      <c r="H123" s="128"/>
      <c r="I123" s="128"/>
      <c r="J123" s="128"/>
      <c r="K123" s="128"/>
      <c r="L123" s="128"/>
      <c r="M123" s="128"/>
      <c r="N123" s="128"/>
      <c r="O123" s="128"/>
      <c r="P123" s="128"/>
      <c r="Q123" s="128"/>
      <c r="R123" s="128"/>
      <c r="S123" s="128"/>
      <c r="T123" s="128"/>
    </row>
    <row r="124" spans="1:20">
      <c r="A124" s="128"/>
      <c r="B124" s="128"/>
      <c r="C124" s="128"/>
      <c r="D124" s="129"/>
      <c r="E124" s="129"/>
      <c r="F124" s="128"/>
      <c r="G124" s="128"/>
      <c r="H124" s="128"/>
      <c r="I124" s="128"/>
      <c r="J124" s="128"/>
      <c r="K124" s="128"/>
      <c r="L124" s="128"/>
      <c r="M124" s="128"/>
      <c r="N124" s="128"/>
      <c r="O124" s="128"/>
      <c r="P124" s="128"/>
      <c r="Q124" s="128"/>
      <c r="R124" s="128"/>
      <c r="S124" s="128"/>
      <c r="T124" s="128"/>
    </row>
    <row r="125" spans="1:20">
      <c r="A125" s="126" t="s">
        <v>355</v>
      </c>
      <c r="B125" s="126"/>
      <c r="C125" s="126"/>
      <c r="D125" s="129"/>
      <c r="E125" s="129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</row>
    <row r="126" spans="1:20">
      <c r="A126" s="128">
        <v>1</v>
      </c>
      <c r="B126" s="128"/>
      <c r="C126" s="128"/>
      <c r="D126" s="129"/>
      <c r="E126" s="129"/>
      <c r="F126" s="128"/>
      <c r="G126" s="128"/>
      <c r="H126" s="128"/>
      <c r="I126" s="128"/>
      <c r="J126" s="128"/>
      <c r="K126" s="128"/>
      <c r="L126" s="128"/>
      <c r="M126" s="128"/>
      <c r="N126" s="128"/>
      <c r="O126" s="128"/>
      <c r="P126" s="128"/>
      <c r="Q126" s="128"/>
      <c r="R126" s="128"/>
      <c r="S126" s="128"/>
      <c r="T126" s="128"/>
    </row>
    <row r="127" spans="1:20">
      <c r="A127" s="128">
        <v>2</v>
      </c>
      <c r="B127" s="128"/>
      <c r="C127" s="128"/>
      <c r="D127" s="129"/>
      <c r="E127" s="129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</row>
    <row r="128" spans="1:20">
      <c r="A128" s="128">
        <v>3</v>
      </c>
      <c r="B128" s="128"/>
      <c r="C128" s="128"/>
      <c r="D128" s="129"/>
      <c r="E128" s="129"/>
      <c r="F128" s="128"/>
      <c r="G128" s="128"/>
      <c r="H128" s="128"/>
      <c r="I128" s="128"/>
      <c r="J128" s="128"/>
      <c r="K128" s="128"/>
      <c r="L128" s="128"/>
      <c r="M128" s="128"/>
      <c r="N128" s="128"/>
      <c r="O128" s="128"/>
      <c r="P128" s="128"/>
      <c r="Q128" s="128"/>
      <c r="R128" s="128"/>
      <c r="S128" s="128"/>
      <c r="T128" s="128"/>
    </row>
    <row r="129" spans="1:20">
      <c r="A129" s="126" t="s">
        <v>356</v>
      </c>
      <c r="B129" s="126"/>
      <c r="C129" s="128"/>
      <c r="D129" s="129"/>
      <c r="E129" s="129"/>
      <c r="F129" s="128"/>
      <c r="G129" s="128"/>
      <c r="H129" s="128"/>
      <c r="I129" s="128"/>
      <c r="J129" s="128"/>
      <c r="K129" s="128"/>
      <c r="L129" s="128"/>
      <c r="M129" s="128"/>
      <c r="N129" s="128"/>
      <c r="O129" s="128"/>
      <c r="P129" s="128"/>
      <c r="Q129" s="128"/>
      <c r="R129" s="128"/>
      <c r="S129" s="128"/>
      <c r="T129" s="128"/>
    </row>
    <row r="130" spans="1:20">
      <c r="A130" s="128">
        <v>1</v>
      </c>
      <c r="B130" s="128"/>
      <c r="C130" s="128"/>
      <c r="D130" s="129"/>
      <c r="E130" s="129"/>
      <c r="F130" s="128"/>
      <c r="G130" s="128"/>
      <c r="H130" s="128"/>
      <c r="I130" s="128"/>
      <c r="J130" s="128"/>
      <c r="K130" s="128"/>
      <c r="L130" s="128"/>
      <c r="M130" s="128"/>
      <c r="N130" s="128"/>
      <c r="O130" s="128"/>
      <c r="P130" s="128"/>
      <c r="Q130" s="128"/>
      <c r="R130" s="128"/>
      <c r="S130" s="128"/>
      <c r="T130" s="128"/>
    </row>
    <row r="131" spans="1:20">
      <c r="A131" s="128">
        <v>2</v>
      </c>
      <c r="B131" s="128"/>
      <c r="C131" s="128"/>
      <c r="D131" s="129"/>
      <c r="E131" s="129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8"/>
    </row>
    <row r="132" spans="1:20">
      <c r="A132" s="128"/>
      <c r="B132" s="128"/>
      <c r="C132" s="128"/>
      <c r="D132" s="129"/>
      <c r="E132" s="129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128"/>
      <c r="R132" s="128"/>
      <c r="S132" s="128"/>
      <c r="T132" s="128"/>
    </row>
    <row r="133" spans="1:20">
      <c r="A133" s="126" t="s">
        <v>357</v>
      </c>
      <c r="B133" s="126"/>
      <c r="C133" s="128"/>
      <c r="D133" s="129"/>
      <c r="E133" s="129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128"/>
    </row>
    <row r="134" spans="1:20">
      <c r="A134" s="128"/>
      <c r="B134" s="128"/>
      <c r="C134" s="128"/>
      <c r="D134" s="129"/>
      <c r="E134" s="129"/>
      <c r="F134" s="128"/>
      <c r="G134" s="128"/>
      <c r="H134" s="128"/>
      <c r="I134" s="128"/>
      <c r="J134" s="128"/>
      <c r="K134" s="128"/>
      <c r="L134" s="128"/>
      <c r="M134" s="128"/>
      <c r="N134" s="128"/>
      <c r="O134" s="130"/>
      <c r="P134" s="128"/>
      <c r="Q134" s="128"/>
      <c r="R134" s="128"/>
      <c r="S134" s="128"/>
      <c r="T134" s="128"/>
    </row>
    <row r="135" spans="1:20">
      <c r="A135" s="128"/>
      <c r="B135" s="128"/>
      <c r="C135" s="128"/>
      <c r="D135" s="129"/>
      <c r="E135" s="129"/>
      <c r="F135" s="128"/>
      <c r="G135" s="128"/>
      <c r="H135" s="128"/>
      <c r="I135" s="128"/>
      <c r="J135" s="128"/>
      <c r="K135" s="128"/>
      <c r="L135" s="128"/>
      <c r="M135" s="128"/>
      <c r="N135" s="128"/>
      <c r="O135" s="130"/>
      <c r="P135" s="128"/>
      <c r="Q135" s="128"/>
      <c r="R135" s="128"/>
      <c r="S135" s="128"/>
      <c r="T135" s="128"/>
    </row>
    <row r="136" spans="1:20">
      <c r="A136" s="128"/>
      <c r="B136" s="128"/>
      <c r="C136" s="128"/>
      <c r="D136" s="129"/>
      <c r="E136" s="129"/>
      <c r="F136" s="128"/>
      <c r="G136" s="128"/>
      <c r="H136" s="128"/>
      <c r="I136" s="128"/>
      <c r="J136" s="128"/>
      <c r="K136" s="128"/>
      <c r="L136" s="128"/>
      <c r="M136" s="128"/>
      <c r="N136" s="128"/>
      <c r="O136" s="130"/>
      <c r="P136" s="128"/>
      <c r="Q136" s="128"/>
      <c r="R136" s="128"/>
      <c r="S136" s="128"/>
      <c r="T136" s="128"/>
    </row>
    <row r="137" spans="1:20">
      <c r="A137" s="128"/>
      <c r="B137" s="128"/>
      <c r="C137" s="128"/>
      <c r="D137" s="129"/>
      <c r="E137" s="129"/>
      <c r="F137" s="128"/>
      <c r="G137" s="128"/>
      <c r="H137" s="128"/>
      <c r="I137" s="128"/>
      <c r="J137" s="128"/>
      <c r="K137" s="128"/>
      <c r="L137" s="128"/>
      <c r="M137" s="128"/>
      <c r="N137" s="128"/>
      <c r="O137" s="130"/>
      <c r="P137" s="128"/>
      <c r="Q137" s="128"/>
      <c r="R137" s="128"/>
      <c r="S137" s="128"/>
      <c r="T137" s="128"/>
    </row>
    <row r="138" spans="1:20">
      <c r="A138" s="128"/>
      <c r="B138" s="128"/>
      <c r="C138" s="128"/>
      <c r="D138" s="129"/>
      <c r="E138" s="129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</row>
    <row r="139" spans="1:20">
      <c r="A139" s="126" t="s">
        <v>358</v>
      </c>
      <c r="B139" s="126"/>
      <c r="C139" s="128"/>
      <c r="D139" s="129"/>
      <c r="E139" s="129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</row>
    <row r="140" spans="1:20">
      <c r="A140" s="128">
        <v>1</v>
      </c>
      <c r="B140" s="128"/>
      <c r="C140" s="128"/>
      <c r="D140" s="129"/>
      <c r="E140" s="129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</row>
    <row r="141" spans="1:20">
      <c r="A141" s="128">
        <v>2</v>
      </c>
      <c r="B141" s="128"/>
      <c r="C141" s="128"/>
      <c r="D141" s="129"/>
      <c r="E141" s="129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</row>
    <row r="142" spans="1:20">
      <c r="A142" s="128">
        <v>3</v>
      </c>
      <c r="B142" s="128"/>
      <c r="C142" s="128"/>
      <c r="D142" s="129"/>
      <c r="E142" s="129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</row>
    <row r="143" spans="1:20">
      <c r="A143" s="128">
        <v>4</v>
      </c>
      <c r="B143" s="128"/>
      <c r="C143" s="128"/>
      <c r="D143" s="129"/>
      <c r="E143" s="129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</row>
    <row r="144" spans="1:20">
      <c r="A144" s="126" t="s">
        <v>359</v>
      </c>
      <c r="B144" s="126"/>
      <c r="C144" s="126"/>
      <c r="D144" s="129"/>
      <c r="E144" s="129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</row>
    <row r="145" spans="1:20">
      <c r="A145" s="128">
        <v>1</v>
      </c>
      <c r="B145" s="128"/>
      <c r="C145" s="128"/>
      <c r="D145" s="129"/>
      <c r="E145" s="129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</row>
    <row r="146" spans="1:20">
      <c r="A146" s="128">
        <v>2</v>
      </c>
      <c r="B146" s="128"/>
      <c r="C146" s="128"/>
      <c r="D146" s="129"/>
      <c r="E146" s="129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</row>
    <row r="147" spans="1:20">
      <c r="A147" s="128">
        <v>3</v>
      </c>
      <c r="B147" s="128"/>
      <c r="C147" s="128"/>
      <c r="D147" s="129"/>
      <c r="E147" s="129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</row>
    <row r="148" spans="1:20">
      <c r="A148" s="126" t="s">
        <v>360</v>
      </c>
      <c r="B148" s="126"/>
      <c r="C148" s="126"/>
      <c r="D148" s="129"/>
      <c r="E148" s="129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</row>
    <row r="149" spans="1:20">
      <c r="A149" s="128"/>
      <c r="B149" s="128"/>
      <c r="C149" s="128"/>
      <c r="D149" s="129"/>
      <c r="E149" s="129"/>
      <c r="F149" s="128"/>
      <c r="G149" s="128"/>
      <c r="H149" s="128"/>
      <c r="I149" s="128"/>
      <c r="J149" s="128"/>
      <c r="K149" s="128"/>
      <c r="L149" s="128"/>
      <c r="M149" s="128"/>
      <c r="N149" s="128"/>
      <c r="O149" s="130"/>
      <c r="P149" s="128"/>
      <c r="Q149" s="128"/>
      <c r="R149" s="128"/>
      <c r="S149" s="128"/>
      <c r="T149" s="128"/>
    </row>
    <row r="150" spans="1:20">
      <c r="A150" s="128"/>
      <c r="B150" s="128"/>
      <c r="C150" s="128"/>
      <c r="D150" s="129"/>
      <c r="E150" s="129"/>
      <c r="F150" s="128"/>
      <c r="G150" s="128"/>
      <c r="H150" s="128"/>
      <c r="I150" s="128"/>
      <c r="J150" s="128"/>
      <c r="K150" s="128"/>
      <c r="L150" s="128"/>
      <c r="M150" s="128"/>
      <c r="N150" s="128"/>
      <c r="O150" s="130"/>
      <c r="P150" s="128"/>
      <c r="Q150" s="128"/>
      <c r="R150" s="128"/>
      <c r="S150" s="128"/>
      <c r="T150" s="128"/>
    </row>
    <row r="151" spans="1:20">
      <c r="A151" s="128"/>
      <c r="B151" s="128"/>
      <c r="C151" s="128"/>
      <c r="D151" s="129"/>
      <c r="E151" s="129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</row>
    <row r="152" spans="1:20">
      <c r="A152" s="128"/>
      <c r="B152" s="128"/>
      <c r="C152" s="128"/>
      <c r="D152" s="129"/>
      <c r="E152" s="129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</row>
    <row r="153" spans="1:20">
      <c r="A153" s="128">
        <v>1</v>
      </c>
      <c r="B153" s="128"/>
      <c r="C153" s="128"/>
      <c r="D153" s="129"/>
      <c r="E153" s="129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</row>
    <row r="154" spans="1:20">
      <c r="A154" s="128">
        <v>2</v>
      </c>
      <c r="B154" s="128"/>
      <c r="C154" s="128"/>
      <c r="D154" s="129"/>
      <c r="E154" s="129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</row>
    <row r="155" spans="1:20">
      <c r="A155" s="128">
        <v>3</v>
      </c>
      <c r="B155" s="128"/>
      <c r="C155" s="128"/>
      <c r="D155" s="129"/>
      <c r="E155" s="129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</row>
    <row r="156" spans="1:20">
      <c r="A156" s="128">
        <v>4</v>
      </c>
      <c r="B156" s="128"/>
      <c r="C156" s="128"/>
      <c r="D156" s="129"/>
      <c r="E156" s="129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</row>
    <row r="157" spans="1:20">
      <c r="A157" s="126" t="s">
        <v>361</v>
      </c>
      <c r="B157" s="126"/>
      <c r="C157" s="128"/>
      <c r="D157" s="129"/>
      <c r="E157" s="129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</row>
    <row r="158" spans="1:20">
      <c r="A158" s="128">
        <v>1</v>
      </c>
      <c r="B158" s="128"/>
      <c r="C158" s="128"/>
      <c r="D158" s="129"/>
      <c r="E158" s="129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</row>
    <row r="159" spans="1:20">
      <c r="A159" s="128">
        <v>2</v>
      </c>
      <c r="B159" s="128"/>
      <c r="C159" s="128"/>
      <c r="D159" s="129"/>
      <c r="E159" s="129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</row>
    <row r="160" spans="1:20">
      <c r="A160" s="126" t="s">
        <v>362</v>
      </c>
      <c r="B160" s="126"/>
      <c r="C160" s="126"/>
      <c r="D160" s="132"/>
      <c r="E160" s="129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</row>
    <row r="161" spans="1:20">
      <c r="A161" s="128">
        <v>1</v>
      </c>
      <c r="B161" s="128"/>
      <c r="C161" s="128"/>
      <c r="D161" s="129"/>
      <c r="E161" s="129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</row>
    <row r="162" spans="1:20">
      <c r="A162" s="128">
        <v>2</v>
      </c>
      <c r="B162" s="128"/>
      <c r="C162" s="128"/>
      <c r="D162" s="129"/>
      <c r="E162" s="129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</row>
    <row r="163" spans="1:20">
      <c r="A163" s="126" t="s">
        <v>363</v>
      </c>
      <c r="B163" s="126"/>
      <c r="C163" s="128"/>
      <c r="D163" s="129"/>
      <c r="E163" s="129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</row>
    <row r="164" spans="1:20">
      <c r="A164" s="128">
        <v>1</v>
      </c>
      <c r="B164" s="128"/>
      <c r="C164" s="128"/>
      <c r="D164" s="129"/>
      <c r="E164" s="129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</row>
    <row r="165" spans="1:20">
      <c r="A165" s="128">
        <v>2</v>
      </c>
      <c r="B165" s="128"/>
      <c r="C165" s="128"/>
      <c r="D165" s="129"/>
      <c r="E165" s="129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</row>
    <row r="166" spans="1:20">
      <c r="A166" s="128">
        <v>3</v>
      </c>
      <c r="B166" s="128"/>
      <c r="C166" s="128"/>
      <c r="D166" s="129"/>
      <c r="E166" s="129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</row>
    <row r="167" spans="1:20">
      <c r="A167" s="126" t="s">
        <v>364</v>
      </c>
      <c r="B167" s="126"/>
      <c r="C167" s="128"/>
      <c r="D167" s="129"/>
      <c r="E167" s="129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</row>
    <row r="168" spans="1:20">
      <c r="A168" s="128">
        <v>1</v>
      </c>
      <c r="B168" s="128"/>
      <c r="C168" s="128"/>
      <c r="D168" s="129"/>
      <c r="E168" s="129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</row>
    <row r="169" spans="1:20">
      <c r="A169" s="128">
        <v>2</v>
      </c>
      <c r="B169" s="128"/>
      <c r="C169" s="128"/>
      <c r="D169" s="129"/>
      <c r="E169" s="129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</row>
    <row r="170" spans="1:20">
      <c r="A170" s="128">
        <v>3</v>
      </c>
      <c r="B170" s="128"/>
      <c r="C170" s="128"/>
      <c r="D170" s="129"/>
      <c r="E170" s="129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</row>
    <row r="171" spans="1:20">
      <c r="A171" s="126" t="s">
        <v>365</v>
      </c>
      <c r="B171" s="126"/>
      <c r="C171" s="128"/>
      <c r="D171" s="129"/>
      <c r="E171" s="129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</row>
    <row r="172" spans="1:20">
      <c r="A172" s="128">
        <v>1</v>
      </c>
      <c r="B172" s="128"/>
      <c r="C172" s="128"/>
      <c r="D172" s="129"/>
      <c r="E172" s="129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</row>
    <row r="173" spans="1:20">
      <c r="A173" s="128">
        <v>2</v>
      </c>
      <c r="B173" s="128"/>
      <c r="C173" s="128"/>
      <c r="D173" s="129"/>
      <c r="E173" s="129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</row>
    <row r="174" spans="1:20">
      <c r="A174" s="126" t="s">
        <v>366</v>
      </c>
      <c r="B174" s="126"/>
      <c r="C174" s="126"/>
      <c r="D174" s="129"/>
      <c r="E174" s="129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</row>
    <row r="175" spans="1:20">
      <c r="A175" s="128">
        <v>1</v>
      </c>
      <c r="B175" s="128"/>
      <c r="C175" s="128"/>
      <c r="D175" s="129"/>
      <c r="E175" s="129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</row>
    <row r="176" spans="1:20">
      <c r="A176" s="128">
        <v>2</v>
      </c>
      <c r="B176" s="128"/>
      <c r="C176" s="128"/>
      <c r="D176" s="129"/>
      <c r="E176" s="129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</row>
    <row r="177" spans="1:20">
      <c r="A177" s="126" t="s">
        <v>367</v>
      </c>
      <c r="B177" s="126"/>
      <c r="C177" s="128"/>
      <c r="D177" s="129"/>
      <c r="E177" s="129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</row>
    <row r="178" spans="1:20">
      <c r="A178" s="128">
        <v>1</v>
      </c>
      <c r="B178" s="128"/>
      <c r="C178" s="128"/>
      <c r="D178" s="129"/>
      <c r="E178" s="129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</row>
    <row r="179" spans="1:20">
      <c r="A179" s="128"/>
      <c r="B179" s="128"/>
      <c r="C179" s="128"/>
      <c r="D179" s="129"/>
      <c r="E179" s="129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</row>
    <row r="180" spans="1:20">
      <c r="A180" s="128"/>
      <c r="B180" s="128"/>
      <c r="C180" s="128"/>
      <c r="D180" s="129"/>
      <c r="E180" s="129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</row>
    <row r="181" spans="1:20">
      <c r="A181" s="126" t="s">
        <v>368</v>
      </c>
      <c r="B181" s="126"/>
      <c r="C181" s="126"/>
      <c r="D181" s="132"/>
      <c r="E181" s="129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</row>
    <row r="182" spans="1:20">
      <c r="A182" s="128">
        <v>1</v>
      </c>
      <c r="B182" s="128"/>
      <c r="C182" s="128"/>
      <c r="D182" s="129"/>
      <c r="E182" s="129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</row>
    <row r="183" spans="1:20">
      <c r="A183" s="128">
        <v>2</v>
      </c>
      <c r="B183" s="128"/>
      <c r="C183" s="128"/>
      <c r="D183" s="129"/>
      <c r="E183" s="129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</row>
    <row r="184" spans="1:20">
      <c r="A184" s="128">
        <v>3</v>
      </c>
      <c r="B184" s="128"/>
      <c r="C184" s="128"/>
      <c r="D184" s="129"/>
      <c r="E184" s="129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</row>
    <row r="185" spans="1:20">
      <c r="A185" s="128">
        <v>4</v>
      </c>
      <c r="B185" s="128"/>
      <c r="C185" s="128"/>
      <c r="D185" s="129"/>
      <c r="E185" s="129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</row>
    <row r="186" spans="1:20">
      <c r="A186" s="126" t="s">
        <v>369</v>
      </c>
      <c r="B186" s="126"/>
      <c r="C186" s="126"/>
      <c r="D186" s="129"/>
      <c r="E186" s="129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</row>
    <row r="187" spans="1:20">
      <c r="A187" s="128">
        <v>1</v>
      </c>
      <c r="B187" s="128"/>
      <c r="C187" s="128"/>
      <c r="D187" s="129"/>
      <c r="E187" s="129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</row>
    <row r="188" spans="1:20">
      <c r="A188" s="128">
        <v>2</v>
      </c>
      <c r="B188" s="128"/>
      <c r="C188" s="128"/>
      <c r="D188" s="129"/>
      <c r="E188" s="129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</row>
    <row r="189" spans="1:20">
      <c r="A189" s="126" t="s">
        <v>370</v>
      </c>
      <c r="B189" s="126"/>
      <c r="C189" s="128"/>
      <c r="D189" s="129"/>
      <c r="E189" s="129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</row>
    <row r="190" spans="1:20">
      <c r="A190" s="128">
        <v>1</v>
      </c>
      <c r="B190" s="128"/>
      <c r="C190" s="128"/>
      <c r="D190" s="129"/>
      <c r="E190" s="129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</row>
    <row r="191" spans="1:20">
      <c r="A191" s="128">
        <v>2</v>
      </c>
      <c r="B191" s="128"/>
      <c r="C191" s="128"/>
      <c r="D191" s="129"/>
      <c r="E191" s="129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</row>
    <row r="192" spans="1:20">
      <c r="A192" s="128">
        <v>3</v>
      </c>
      <c r="B192" s="128"/>
      <c r="C192" s="128"/>
      <c r="D192" s="129"/>
      <c r="E192" s="129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</row>
    <row r="193" spans="1:20">
      <c r="A193" s="126" t="s">
        <v>371</v>
      </c>
      <c r="B193" s="126"/>
      <c r="C193" s="128"/>
      <c r="D193" s="129"/>
      <c r="E193" s="129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</row>
    <row r="194" spans="1:20">
      <c r="A194" s="128">
        <v>1</v>
      </c>
      <c r="B194" s="128"/>
      <c r="C194" s="128"/>
      <c r="D194" s="129"/>
      <c r="E194" s="129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</row>
    <row r="195" spans="1:20">
      <c r="A195" s="128">
        <v>2</v>
      </c>
      <c r="B195" s="128"/>
      <c r="C195" s="128"/>
      <c r="D195" s="129"/>
      <c r="E195" s="129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</row>
    <row r="196" spans="1:20">
      <c r="A196" s="128">
        <v>3</v>
      </c>
      <c r="B196" s="128"/>
      <c r="C196" s="128"/>
      <c r="D196" s="129"/>
      <c r="E196" s="129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</row>
    <row r="197" spans="1:20">
      <c r="A197" s="126" t="s">
        <v>372</v>
      </c>
      <c r="B197" s="126"/>
      <c r="C197" s="126"/>
      <c r="D197" s="129"/>
      <c r="E197" s="129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</row>
    <row r="200" spans="1:20">
      <c r="C200" s="133"/>
      <c r="D200" s="133"/>
    </row>
    <row r="201" spans="1:20" ht="15.6">
      <c r="A201" s="134" t="s">
        <v>373</v>
      </c>
      <c r="B201" s="135" t="s">
        <v>374</v>
      </c>
      <c r="C201" s="136"/>
      <c r="D201" s="136"/>
    </row>
    <row r="202" spans="1:20" ht="15.6">
      <c r="A202" s="137" t="s">
        <v>375</v>
      </c>
      <c r="B202" s="137"/>
      <c r="C202" s="136"/>
      <c r="D202" s="138"/>
    </row>
    <row r="203" spans="1:20" ht="15.6">
      <c r="A203" s="137" t="s">
        <v>376</v>
      </c>
      <c r="B203" s="137"/>
      <c r="C203" s="136"/>
      <c r="D203" s="138"/>
    </row>
    <row r="204" spans="1:20" ht="15.6">
      <c r="A204" s="137" t="s">
        <v>377</v>
      </c>
      <c r="B204" s="137"/>
      <c r="C204" s="136"/>
      <c r="D204" s="138"/>
    </row>
    <row r="205" spans="1:20" ht="15.6">
      <c r="A205" s="137" t="s">
        <v>378</v>
      </c>
      <c r="B205" s="137"/>
      <c r="C205" s="136"/>
      <c r="D205" s="138"/>
    </row>
    <row r="206" spans="1:20" ht="15.6">
      <c r="A206" s="137" t="s">
        <v>379</v>
      </c>
      <c r="B206" s="137"/>
      <c r="C206" s="136"/>
      <c r="D206" s="138"/>
    </row>
    <row r="207" spans="1:20" ht="15.6">
      <c r="A207" s="137" t="s">
        <v>380</v>
      </c>
      <c r="B207" s="137"/>
      <c r="C207" s="136"/>
      <c r="D207" s="138"/>
    </row>
    <row r="208" spans="1:20" ht="15.6">
      <c r="A208" s="137" t="s">
        <v>381</v>
      </c>
      <c r="B208" s="137"/>
      <c r="C208" s="136"/>
      <c r="D208" s="138"/>
    </row>
    <row r="209" spans="1:4" ht="15.6">
      <c r="A209" s="137" t="s">
        <v>351</v>
      </c>
      <c r="B209" s="137"/>
      <c r="C209" s="136"/>
      <c r="D209" s="138"/>
    </row>
    <row r="210" spans="1:4" ht="15.6">
      <c r="A210" s="137" t="s">
        <v>382</v>
      </c>
      <c r="B210" s="137"/>
      <c r="C210" s="136"/>
      <c r="D210" s="138"/>
    </row>
    <row r="211" spans="1:4" ht="15.6">
      <c r="A211" s="137" t="s">
        <v>383</v>
      </c>
      <c r="B211" s="137"/>
      <c r="C211" s="136"/>
      <c r="D211" s="138"/>
    </row>
    <row r="212" spans="1:4" ht="15.6">
      <c r="A212" s="137" t="s">
        <v>384</v>
      </c>
      <c r="B212" s="137"/>
      <c r="C212" s="136"/>
      <c r="D212" s="138"/>
    </row>
    <row r="213" spans="1:4" ht="15.6">
      <c r="A213" s="137" t="s">
        <v>385</v>
      </c>
      <c r="B213" s="137"/>
      <c r="C213" s="136"/>
      <c r="D213" s="138"/>
    </row>
    <row r="214" spans="1:4" ht="15.6">
      <c r="A214" s="137" t="s">
        <v>386</v>
      </c>
      <c r="B214" s="137"/>
      <c r="C214" s="136"/>
      <c r="D214" s="138"/>
    </row>
    <row r="215" spans="1:4" ht="15.6">
      <c r="A215" s="137" t="s">
        <v>387</v>
      </c>
      <c r="B215" s="137"/>
      <c r="C215" s="136"/>
      <c r="D215" s="138"/>
    </row>
    <row r="216" spans="1:4" ht="15.6">
      <c r="A216" s="137" t="s">
        <v>276</v>
      </c>
      <c r="B216" s="137"/>
      <c r="C216" s="136"/>
      <c r="D216" s="138"/>
    </row>
    <row r="217" spans="1:4" ht="15.6">
      <c r="A217" s="137" t="s">
        <v>388</v>
      </c>
      <c r="B217" s="137"/>
      <c r="C217" s="136"/>
      <c r="D217" s="138"/>
    </row>
    <row r="218" spans="1:4" ht="15.6">
      <c r="A218" s="137" t="s">
        <v>389</v>
      </c>
      <c r="B218" s="137"/>
      <c r="C218" s="136"/>
      <c r="D218" s="138"/>
    </row>
    <row r="219" spans="1:4" ht="15.6">
      <c r="A219" s="137" t="s">
        <v>390</v>
      </c>
      <c r="B219" s="137"/>
      <c r="C219" s="136"/>
      <c r="D219" s="138"/>
    </row>
    <row r="220" spans="1:4" ht="15.6">
      <c r="A220" s="137" t="s">
        <v>391</v>
      </c>
      <c r="B220" s="137"/>
      <c r="C220" s="136"/>
      <c r="D220" s="138"/>
    </row>
    <row r="221" spans="1:4" ht="15.6">
      <c r="A221" s="137" t="s">
        <v>392</v>
      </c>
      <c r="B221" s="137"/>
      <c r="C221" s="136"/>
      <c r="D221" s="138"/>
    </row>
    <row r="222" spans="1:4" ht="15.6">
      <c r="A222" s="137" t="s">
        <v>393</v>
      </c>
      <c r="B222" s="137"/>
      <c r="C222" s="136"/>
      <c r="D222" s="138"/>
    </row>
    <row r="223" spans="1:4" ht="15.6">
      <c r="A223" s="137" t="s">
        <v>394</v>
      </c>
      <c r="B223" s="137"/>
      <c r="C223" s="136"/>
      <c r="D223" s="138"/>
    </row>
    <row r="224" spans="1:4" ht="15.6">
      <c r="A224" s="137" t="s">
        <v>395</v>
      </c>
      <c r="B224" s="137"/>
      <c r="C224" s="136"/>
      <c r="D224" s="138"/>
    </row>
    <row r="225" spans="1:4" ht="15.6">
      <c r="A225" s="137" t="s">
        <v>396</v>
      </c>
      <c r="B225" s="137"/>
      <c r="C225" s="136"/>
      <c r="D225" s="138"/>
    </row>
    <row r="226" spans="1:4" ht="15.6">
      <c r="A226" s="139" t="s">
        <v>397</v>
      </c>
      <c r="B226" s="137"/>
      <c r="C226" s="136"/>
      <c r="D226" s="138"/>
    </row>
    <row r="227" spans="1:4" ht="15.6">
      <c r="A227" s="137" t="s">
        <v>398</v>
      </c>
      <c r="B227" s="137"/>
      <c r="C227" s="136"/>
      <c r="D227" s="138"/>
    </row>
    <row r="228" spans="1:4" ht="15.6">
      <c r="A228" s="137" t="s">
        <v>399</v>
      </c>
      <c r="B228" s="137"/>
      <c r="C228" s="136"/>
      <c r="D228" s="138"/>
    </row>
    <row r="229" spans="1:4" ht="15.6">
      <c r="A229" s="137" t="s">
        <v>400</v>
      </c>
      <c r="B229" s="137"/>
      <c r="C229" s="136"/>
      <c r="D229" s="138"/>
    </row>
    <row r="230" spans="1:4" ht="15.6">
      <c r="A230" s="137" t="s">
        <v>401</v>
      </c>
      <c r="B230" s="137"/>
      <c r="C230" s="136"/>
      <c r="D230" s="138"/>
    </row>
    <row r="231" spans="1:4" ht="15.6">
      <c r="A231" s="137" t="s">
        <v>402</v>
      </c>
      <c r="B231" s="137" t="s">
        <v>403</v>
      </c>
      <c r="C231" s="136"/>
      <c r="D231" s="138"/>
    </row>
    <row r="232" spans="1:4" ht="15.6">
      <c r="A232" s="137" t="s">
        <v>404</v>
      </c>
      <c r="B232" s="137"/>
      <c r="C232" s="136"/>
      <c r="D232" s="138"/>
    </row>
    <row r="233" spans="1:4" ht="15.6">
      <c r="A233" s="137" t="s">
        <v>405</v>
      </c>
      <c r="B233" s="137"/>
      <c r="C233" s="136"/>
      <c r="D233" s="138"/>
    </row>
    <row r="234" spans="1:4" ht="15.6">
      <c r="A234" s="137" t="s">
        <v>406</v>
      </c>
      <c r="B234" s="137"/>
      <c r="C234" s="136"/>
      <c r="D234" s="138"/>
    </row>
    <row r="235" spans="1:4" ht="15.6">
      <c r="A235" s="135" t="s">
        <v>407</v>
      </c>
      <c r="B235" s="135"/>
      <c r="C235" s="140"/>
      <c r="D235" s="141">
        <f>SUM(D202:D234)</f>
        <v>0</v>
      </c>
    </row>
    <row r="236" spans="1:4" ht="15.6">
      <c r="A236" s="135" t="s">
        <v>408</v>
      </c>
      <c r="B236" s="137"/>
      <c r="C236" s="136"/>
      <c r="D236" s="141">
        <f>D197</f>
        <v>0</v>
      </c>
    </row>
    <row r="237" spans="1:4" ht="15.6">
      <c r="A237" s="135" t="s">
        <v>409</v>
      </c>
      <c r="B237" s="135"/>
      <c r="C237" s="140"/>
      <c r="D237" s="141">
        <f>D235+D236</f>
        <v>0</v>
      </c>
    </row>
    <row r="238" spans="1:4" ht="15.6">
      <c r="A238" s="142" t="s">
        <v>410</v>
      </c>
    </row>
  </sheetData>
  <mergeCells count="6">
    <mergeCell ref="A69:B69"/>
    <mergeCell ref="M2:T2"/>
    <mergeCell ref="M3:N3"/>
    <mergeCell ref="O3:P3"/>
    <mergeCell ref="Q3:R3"/>
    <mergeCell ref="S3:T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B31"/>
  <sheetViews>
    <sheetView topLeftCell="A16" zoomScale="58" zoomScaleNormal="58" workbookViewId="0">
      <selection activeCell="A16" sqref="A1:XFD1048576"/>
    </sheetView>
  </sheetViews>
  <sheetFormatPr defaultColWidth="9.19921875" defaultRowHeight="13.2"/>
  <cols>
    <col min="1" max="1" width="9.19921875" style="8"/>
    <col min="2" max="2" width="9.19921875" style="14"/>
    <col min="3" max="3" width="9.19921875" style="8"/>
    <col min="4" max="6" width="16.5" style="17" customWidth="1"/>
    <col min="7" max="7" width="20" style="18" customWidth="1"/>
    <col min="8" max="9" width="19.796875" style="8" customWidth="1"/>
    <col min="10" max="10" width="14.09765625" style="8" bestFit="1" customWidth="1"/>
    <col min="11" max="11" width="40.59765625" style="8" bestFit="1" customWidth="1"/>
    <col min="12" max="12" width="9.09765625" style="8" bestFit="1" customWidth="1"/>
    <col min="13" max="22" width="9.19921875" style="8"/>
    <col min="23" max="23" width="9.09765625" style="8" bestFit="1" customWidth="1"/>
    <col min="24" max="24" width="16.5" style="47" bestFit="1" customWidth="1"/>
    <col min="25" max="26" width="9.19921875" style="8"/>
    <col min="27" max="27" width="13.296875" style="8" customWidth="1"/>
    <col min="28" max="28" width="14.19921875" style="8" bestFit="1" customWidth="1"/>
    <col min="29" max="16384" width="9.19921875" style="8"/>
  </cols>
  <sheetData>
    <row r="1" spans="2:28" ht="13.8" thickBot="1"/>
    <row r="2" spans="2:28" ht="13.8" thickBot="1">
      <c r="B2" s="168" t="s">
        <v>19</v>
      </c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68"/>
      <c r="R2" s="168"/>
      <c r="S2" s="168"/>
      <c r="T2" s="168"/>
      <c r="U2" s="168"/>
      <c r="V2" s="168"/>
      <c r="W2" s="168"/>
      <c r="X2" s="168"/>
      <c r="Y2" s="168"/>
      <c r="Z2" s="168"/>
      <c r="AA2" s="15"/>
    </row>
    <row r="3" spans="2:28" ht="13.8" thickBot="1">
      <c r="B3" s="169"/>
      <c r="C3" s="170" t="s">
        <v>20</v>
      </c>
      <c r="D3" s="171" t="s">
        <v>0</v>
      </c>
      <c r="E3" s="172" t="s">
        <v>21</v>
      </c>
      <c r="F3" s="5" t="s">
        <v>1</v>
      </c>
      <c r="G3" s="171" t="s">
        <v>22</v>
      </c>
      <c r="H3" s="166" t="s">
        <v>5</v>
      </c>
      <c r="I3" s="167" t="s">
        <v>23</v>
      </c>
      <c r="J3" s="166" t="s">
        <v>24</v>
      </c>
      <c r="K3" s="166" t="s">
        <v>25</v>
      </c>
      <c r="L3" s="165" t="s">
        <v>26</v>
      </c>
      <c r="M3" s="165"/>
      <c r="N3" s="165"/>
      <c r="O3" s="165" t="s">
        <v>27</v>
      </c>
      <c r="P3" s="165"/>
      <c r="Q3" s="165"/>
      <c r="R3" s="165" t="s">
        <v>28</v>
      </c>
      <c r="S3" s="165"/>
      <c r="T3" s="165"/>
      <c r="U3" s="165" t="s">
        <v>29</v>
      </c>
      <c r="V3" s="165"/>
      <c r="W3" s="165"/>
      <c r="X3" s="48" t="s">
        <v>30</v>
      </c>
      <c r="Y3" s="166" t="s">
        <v>31</v>
      </c>
      <c r="Z3" s="166"/>
      <c r="AA3" s="167" t="s">
        <v>32</v>
      </c>
    </row>
    <row r="4" spans="2:28" ht="15" customHeight="1" thickBot="1">
      <c r="B4" s="169"/>
      <c r="C4" s="170"/>
      <c r="D4" s="171"/>
      <c r="E4" s="172"/>
      <c r="F4" s="5"/>
      <c r="G4" s="171"/>
      <c r="H4" s="166"/>
      <c r="I4" s="167"/>
      <c r="J4" s="166"/>
      <c r="K4" s="166"/>
      <c r="L4" s="4" t="s">
        <v>33</v>
      </c>
      <c r="M4" s="4" t="s">
        <v>34</v>
      </c>
      <c r="N4" s="4" t="s">
        <v>35</v>
      </c>
      <c r="O4" s="4" t="s">
        <v>36</v>
      </c>
      <c r="P4" s="4" t="s">
        <v>37</v>
      </c>
      <c r="Q4" s="4" t="s">
        <v>38</v>
      </c>
      <c r="R4" s="4" t="s">
        <v>39</v>
      </c>
      <c r="S4" s="4" t="s">
        <v>40</v>
      </c>
      <c r="T4" s="4" t="s">
        <v>41</v>
      </c>
      <c r="U4" s="4" t="s">
        <v>42</v>
      </c>
      <c r="V4" s="4" t="s">
        <v>43</v>
      </c>
      <c r="W4" s="4" t="s">
        <v>44</v>
      </c>
      <c r="X4" s="48" t="s">
        <v>45</v>
      </c>
      <c r="Y4" s="6" t="s">
        <v>46</v>
      </c>
      <c r="Z4" s="6" t="s">
        <v>47</v>
      </c>
      <c r="AA4" s="167"/>
    </row>
    <row r="5" spans="2:28" s="14" customFormat="1" ht="13.8" thickBot="1">
      <c r="B5" s="162" t="s">
        <v>48</v>
      </c>
      <c r="C5" s="162"/>
      <c r="D5" s="162"/>
      <c r="E5" s="162"/>
      <c r="F5" s="162"/>
      <c r="G5" s="162"/>
      <c r="H5" s="162"/>
      <c r="I5" s="162"/>
      <c r="J5" s="162"/>
      <c r="K5" s="162"/>
      <c r="L5" s="162"/>
      <c r="M5" s="162"/>
      <c r="N5" s="162"/>
      <c r="O5" s="162"/>
      <c r="P5" s="162"/>
      <c r="Q5" s="162"/>
      <c r="R5" s="162"/>
      <c r="S5" s="162"/>
      <c r="T5" s="162"/>
      <c r="U5" s="162"/>
      <c r="V5" s="162"/>
      <c r="W5" s="162"/>
      <c r="X5" s="162"/>
      <c r="Y5" s="162"/>
      <c r="Z5" s="162"/>
      <c r="AA5" s="1"/>
    </row>
    <row r="6" spans="2:28" s="14" customFormat="1" ht="13.8" thickBot="1">
      <c r="B6" s="162" t="s">
        <v>49</v>
      </c>
      <c r="C6" s="162"/>
      <c r="D6" s="162"/>
      <c r="E6" s="162"/>
      <c r="F6" s="162"/>
      <c r="G6" s="162"/>
      <c r="H6" s="162"/>
      <c r="I6" s="162"/>
      <c r="J6" s="162"/>
      <c r="K6" s="162"/>
      <c r="L6" s="162"/>
      <c r="M6" s="162"/>
      <c r="N6" s="162"/>
      <c r="O6" s="162"/>
      <c r="P6" s="162"/>
      <c r="Q6" s="162"/>
      <c r="R6" s="162"/>
      <c r="S6" s="162"/>
      <c r="T6" s="162"/>
      <c r="U6" s="162"/>
      <c r="V6" s="162"/>
      <c r="W6" s="162"/>
      <c r="X6" s="162"/>
      <c r="Y6" s="162"/>
      <c r="Z6" s="162"/>
      <c r="AA6" s="1"/>
    </row>
    <row r="7" spans="2:28" s="14" customFormat="1" ht="13.8" thickBot="1">
      <c r="B7" s="168">
        <v>4</v>
      </c>
      <c r="C7" s="158" t="s">
        <v>50</v>
      </c>
      <c r="D7" s="2"/>
      <c r="E7" s="2"/>
      <c r="F7" s="2"/>
      <c r="G7" s="3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49"/>
      <c r="Y7" s="11"/>
      <c r="Z7" s="11"/>
      <c r="AA7" s="15"/>
    </row>
    <row r="8" spans="2:28" s="14" customFormat="1" ht="13.8" thickBot="1">
      <c r="B8" s="168"/>
      <c r="C8" s="158"/>
      <c r="D8" s="163" t="s">
        <v>51</v>
      </c>
      <c r="E8" s="163"/>
      <c r="F8" s="163"/>
      <c r="G8" s="163"/>
      <c r="H8" s="163"/>
      <c r="I8" s="163"/>
      <c r="J8" s="163"/>
      <c r="K8" s="163"/>
      <c r="L8" s="163"/>
      <c r="M8" s="163"/>
      <c r="N8" s="163"/>
      <c r="O8" s="163"/>
      <c r="P8" s="163"/>
      <c r="Q8" s="163"/>
      <c r="R8" s="163"/>
      <c r="S8" s="163"/>
      <c r="T8" s="163"/>
      <c r="U8" s="163"/>
      <c r="V8" s="163"/>
      <c r="W8" s="163"/>
      <c r="X8" s="163"/>
      <c r="Y8" s="163"/>
      <c r="Z8" s="163"/>
      <c r="AA8" s="15"/>
    </row>
    <row r="9" spans="2:28" ht="13.8" thickBot="1">
      <c r="B9" s="168"/>
      <c r="C9" s="158"/>
      <c r="D9" s="164" t="s">
        <v>52</v>
      </c>
      <c r="E9" s="164"/>
      <c r="F9" s="164"/>
      <c r="G9" s="164"/>
      <c r="H9" s="164"/>
      <c r="I9" s="164"/>
      <c r="J9" s="164"/>
      <c r="K9" s="164"/>
      <c r="L9" s="164"/>
      <c r="M9" s="164"/>
      <c r="N9" s="164"/>
      <c r="O9" s="164"/>
      <c r="P9" s="164"/>
      <c r="Q9" s="164"/>
      <c r="R9" s="164"/>
      <c r="S9" s="164"/>
      <c r="T9" s="164"/>
      <c r="U9" s="164"/>
      <c r="V9" s="164"/>
      <c r="W9" s="164"/>
      <c r="X9" s="164"/>
      <c r="Y9" s="164"/>
      <c r="Z9" s="164"/>
      <c r="AA9" s="15"/>
    </row>
    <row r="10" spans="2:28" ht="66.599999999999994" thickBot="1">
      <c r="B10" s="168"/>
      <c r="C10" s="158"/>
      <c r="D10" s="159" t="s">
        <v>6</v>
      </c>
      <c r="E10" s="7" t="s">
        <v>53</v>
      </c>
      <c r="F10" s="160" t="s">
        <v>7</v>
      </c>
      <c r="G10" s="161" t="s">
        <v>8</v>
      </c>
      <c r="H10" s="12" t="s">
        <v>9</v>
      </c>
      <c r="I10" s="12" t="s">
        <v>81</v>
      </c>
      <c r="J10" s="12" t="s">
        <v>286</v>
      </c>
      <c r="K10" s="12" t="s">
        <v>86</v>
      </c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0">
        <v>1000000</v>
      </c>
      <c r="Y10" s="16" t="s">
        <v>78</v>
      </c>
      <c r="Z10" s="16" t="s">
        <v>79</v>
      </c>
      <c r="AA10" s="25" t="s">
        <v>282</v>
      </c>
    </row>
    <row r="11" spans="2:28" ht="66.599999999999994" thickBot="1">
      <c r="B11" s="168"/>
      <c r="C11" s="158"/>
      <c r="D11" s="159"/>
      <c r="E11" s="7" t="s">
        <v>54</v>
      </c>
      <c r="F11" s="160"/>
      <c r="G11" s="161"/>
      <c r="H11" s="12" t="s">
        <v>74</v>
      </c>
      <c r="I11" s="12" t="s">
        <v>82</v>
      </c>
      <c r="J11" s="12" t="s">
        <v>80</v>
      </c>
      <c r="K11" s="12" t="s">
        <v>87</v>
      </c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0">
        <v>4000000</v>
      </c>
      <c r="Y11" s="16" t="s">
        <v>78</v>
      </c>
      <c r="Z11" s="16" t="s">
        <v>79</v>
      </c>
      <c r="AA11" s="25" t="s">
        <v>282</v>
      </c>
    </row>
    <row r="12" spans="2:28" ht="66.599999999999994" thickBot="1">
      <c r="B12" s="168"/>
      <c r="C12" s="158"/>
      <c r="D12" s="159"/>
      <c r="E12" s="7" t="s">
        <v>55</v>
      </c>
      <c r="F12" s="160"/>
      <c r="G12" s="161"/>
      <c r="H12" s="12" t="s">
        <v>75</v>
      </c>
      <c r="I12" s="12" t="s">
        <v>161</v>
      </c>
      <c r="J12" s="12" t="s">
        <v>83</v>
      </c>
      <c r="K12" s="10" t="s">
        <v>88</v>
      </c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0">
        <v>800000</v>
      </c>
      <c r="Y12" s="16" t="s">
        <v>78</v>
      </c>
      <c r="Z12" s="16" t="s">
        <v>84</v>
      </c>
      <c r="AA12" s="25" t="s">
        <v>282</v>
      </c>
    </row>
    <row r="13" spans="2:28" ht="66.599999999999994" thickBot="1">
      <c r="B13" s="168"/>
      <c r="C13" s="158"/>
      <c r="D13" s="159"/>
      <c r="E13" s="7" t="s">
        <v>56</v>
      </c>
      <c r="F13" s="160"/>
      <c r="G13" s="161"/>
      <c r="H13" s="12" t="s">
        <v>76</v>
      </c>
      <c r="I13" s="12" t="s">
        <v>156</v>
      </c>
      <c r="J13" s="12" t="s">
        <v>285</v>
      </c>
      <c r="K13" s="9" t="s">
        <v>89</v>
      </c>
      <c r="L13" s="12"/>
      <c r="M13" s="16"/>
      <c r="N13" s="20">
        <v>1</v>
      </c>
      <c r="O13" s="16"/>
      <c r="P13" s="16"/>
      <c r="Q13" s="20">
        <v>1</v>
      </c>
      <c r="R13" s="16"/>
      <c r="S13" s="16"/>
      <c r="T13" s="20">
        <v>1</v>
      </c>
      <c r="U13" s="16"/>
      <c r="V13" s="16"/>
      <c r="W13" s="20">
        <v>1</v>
      </c>
      <c r="X13" s="50">
        <v>1100000</v>
      </c>
      <c r="Y13" s="16" t="s">
        <v>78</v>
      </c>
      <c r="Z13" s="16" t="s">
        <v>84</v>
      </c>
      <c r="AA13" s="25" t="s">
        <v>282</v>
      </c>
    </row>
    <row r="14" spans="2:28" ht="40.200000000000003" thickBot="1">
      <c r="B14" s="168"/>
      <c r="C14" s="158"/>
      <c r="D14" s="159"/>
      <c r="E14" s="7" t="s">
        <v>57</v>
      </c>
      <c r="F14" s="160"/>
      <c r="G14" s="161"/>
      <c r="H14" s="12" t="s">
        <v>77</v>
      </c>
      <c r="I14" s="12" t="s">
        <v>157</v>
      </c>
      <c r="J14" s="12" t="s">
        <v>85</v>
      </c>
      <c r="K14" s="12" t="s">
        <v>90</v>
      </c>
      <c r="L14" s="16"/>
      <c r="M14" s="16"/>
      <c r="N14" s="16"/>
      <c r="O14" s="20">
        <v>1</v>
      </c>
      <c r="P14" s="16"/>
      <c r="Q14"/>
      <c r="R14" s="16"/>
      <c r="S14" s="20">
        <v>1</v>
      </c>
      <c r="T14" s="16"/>
      <c r="U14" s="16"/>
      <c r="V14" s="16"/>
      <c r="W14" s="16"/>
      <c r="X14" s="50">
        <v>4000000</v>
      </c>
      <c r="Y14" s="16" t="s">
        <v>78</v>
      </c>
      <c r="Z14" s="16" t="s">
        <v>84</v>
      </c>
      <c r="AA14" s="25" t="s">
        <v>282</v>
      </c>
      <c r="AB14" s="47">
        <f>SUM(X10:X14)</f>
        <v>10900000</v>
      </c>
    </row>
    <row r="15" spans="2:28" ht="66.599999999999994" thickBot="1">
      <c r="B15" s="168"/>
      <c r="C15" s="158"/>
      <c r="D15" s="159" t="s">
        <v>283</v>
      </c>
      <c r="E15" s="7" t="s">
        <v>58</v>
      </c>
      <c r="F15" s="160" t="s">
        <v>2</v>
      </c>
      <c r="G15" s="161" t="s">
        <v>10</v>
      </c>
      <c r="H15" s="12" t="s">
        <v>91</v>
      </c>
      <c r="I15" s="12" t="s">
        <v>92</v>
      </c>
      <c r="J15" s="12" t="s">
        <v>93</v>
      </c>
      <c r="K15" s="12" t="s">
        <v>94</v>
      </c>
      <c r="L15" s="11"/>
      <c r="M15" s="11"/>
      <c r="N15" s="11">
        <v>4</v>
      </c>
      <c r="O15" s="11"/>
      <c r="P15" s="11"/>
      <c r="Q15" s="11">
        <v>4</v>
      </c>
      <c r="R15" s="11"/>
      <c r="S15" s="11"/>
      <c r="T15" s="11">
        <v>5</v>
      </c>
      <c r="U15" s="11"/>
      <c r="V15" s="11"/>
      <c r="W15" s="11">
        <v>4</v>
      </c>
      <c r="X15" s="51">
        <v>750000</v>
      </c>
      <c r="Y15" s="11" t="s">
        <v>78</v>
      </c>
      <c r="Z15" s="11" t="s">
        <v>79</v>
      </c>
      <c r="AA15" s="25" t="s">
        <v>282</v>
      </c>
    </row>
    <row r="16" spans="2:28" ht="66.599999999999994" thickBot="1">
      <c r="B16" s="168"/>
      <c r="C16" s="158"/>
      <c r="D16" s="159"/>
      <c r="E16" s="7" t="s">
        <v>59</v>
      </c>
      <c r="F16" s="160"/>
      <c r="G16" s="161"/>
      <c r="H16" s="12" t="s">
        <v>95</v>
      </c>
      <c r="I16" s="12" t="s">
        <v>96</v>
      </c>
      <c r="J16" s="12" t="s">
        <v>97</v>
      </c>
      <c r="K16" s="12" t="s">
        <v>98</v>
      </c>
      <c r="L16" s="11"/>
      <c r="M16" s="11"/>
      <c r="N16" s="11"/>
      <c r="O16" s="55">
        <v>4</v>
      </c>
      <c r="P16" s="11"/>
      <c r="Q16" s="11"/>
      <c r="R16" s="11"/>
      <c r="S16" s="11"/>
      <c r="T16" s="55">
        <v>4</v>
      </c>
      <c r="U16" s="11"/>
      <c r="V16" s="11"/>
      <c r="W16" s="55">
        <v>4</v>
      </c>
      <c r="X16" s="51">
        <v>250000</v>
      </c>
      <c r="Y16" s="11" t="s">
        <v>78</v>
      </c>
      <c r="Z16" s="11" t="s">
        <v>79</v>
      </c>
      <c r="AA16" s="25" t="s">
        <v>282</v>
      </c>
    </row>
    <row r="17" spans="2:28" ht="53.4" thickBot="1">
      <c r="B17" s="168"/>
      <c r="C17" s="158"/>
      <c r="D17" s="159"/>
      <c r="E17" s="7" t="s">
        <v>60</v>
      </c>
      <c r="F17" s="160"/>
      <c r="G17" s="161"/>
      <c r="H17" s="12" t="s">
        <v>99</v>
      </c>
      <c r="I17" s="12" t="s">
        <v>100</v>
      </c>
      <c r="J17" s="12" t="s">
        <v>101</v>
      </c>
      <c r="K17" s="12" t="s">
        <v>287</v>
      </c>
      <c r="L17" s="11"/>
      <c r="M17" s="11"/>
      <c r="N17" s="55">
        <v>4</v>
      </c>
      <c r="O17" s="11"/>
      <c r="P17" s="11"/>
      <c r="Q17" s="11">
        <v>4</v>
      </c>
      <c r="R17" s="11"/>
      <c r="S17" s="11"/>
      <c r="T17" s="11">
        <v>4</v>
      </c>
      <c r="U17" s="11"/>
      <c r="V17" s="11"/>
      <c r="W17" s="11">
        <v>4</v>
      </c>
      <c r="X17" s="51">
        <v>400000</v>
      </c>
      <c r="Y17" s="11" t="s">
        <v>78</v>
      </c>
      <c r="Z17" s="11" t="s">
        <v>79</v>
      </c>
      <c r="AA17" s="25" t="s">
        <v>282</v>
      </c>
    </row>
    <row r="18" spans="2:28" ht="66.599999999999994" thickBot="1">
      <c r="B18" s="168"/>
      <c r="C18" s="158"/>
      <c r="D18" s="159"/>
      <c r="E18" s="7" t="s">
        <v>61</v>
      </c>
      <c r="F18" s="160"/>
      <c r="G18" s="161"/>
      <c r="H18" s="12" t="s">
        <v>102</v>
      </c>
      <c r="I18" s="12" t="s">
        <v>103</v>
      </c>
      <c r="J18" s="12" t="s">
        <v>104</v>
      </c>
      <c r="K18" s="12" t="s">
        <v>105</v>
      </c>
      <c r="L18" s="11"/>
      <c r="M18" s="11"/>
      <c r="N18" s="55">
        <v>7</v>
      </c>
      <c r="O18" s="56" t="s">
        <v>106</v>
      </c>
      <c r="P18" s="11"/>
      <c r="Q18" s="55">
        <v>10</v>
      </c>
      <c r="R18" s="56" t="s">
        <v>107</v>
      </c>
      <c r="S18" s="11"/>
      <c r="T18" s="55">
        <v>10</v>
      </c>
      <c r="U18" s="11"/>
      <c r="V18" s="56" t="s">
        <v>106</v>
      </c>
      <c r="W18" s="55">
        <v>3</v>
      </c>
      <c r="X18" s="51">
        <v>500000</v>
      </c>
      <c r="Y18" s="11" t="s">
        <v>78</v>
      </c>
      <c r="Z18" s="11" t="s">
        <v>79</v>
      </c>
      <c r="AA18" s="25" t="s">
        <v>282</v>
      </c>
      <c r="AB18" s="47">
        <f>SUM(X15:X18)</f>
        <v>1900000</v>
      </c>
    </row>
    <row r="19" spans="2:28" ht="87.45" customHeight="1" thickBot="1">
      <c r="B19" s="168"/>
      <c r="C19" s="158"/>
      <c r="D19" s="159" t="s">
        <v>11</v>
      </c>
      <c r="E19" s="7" t="s">
        <v>62</v>
      </c>
      <c r="F19" s="160" t="s">
        <v>12</v>
      </c>
      <c r="G19" s="144" t="s">
        <v>3</v>
      </c>
      <c r="H19" s="12" t="s">
        <v>108</v>
      </c>
      <c r="I19" s="12" t="s">
        <v>109</v>
      </c>
      <c r="J19" s="12" t="s">
        <v>110</v>
      </c>
      <c r="K19" s="12" t="s">
        <v>111</v>
      </c>
      <c r="L19" s="11"/>
      <c r="M19" s="55">
        <v>1</v>
      </c>
      <c r="N19" s="11"/>
      <c r="O19" s="11"/>
      <c r="P19" s="55">
        <v>1</v>
      </c>
      <c r="Q19" s="11"/>
      <c r="R19" s="11"/>
      <c r="S19" s="55">
        <v>1</v>
      </c>
      <c r="T19" s="11"/>
      <c r="U19" s="11"/>
      <c r="V19" s="11"/>
      <c r="W19" s="55">
        <v>1</v>
      </c>
      <c r="X19" s="54">
        <v>1000000</v>
      </c>
      <c r="Y19" s="11" t="s">
        <v>78</v>
      </c>
      <c r="Z19" s="11" t="s">
        <v>79</v>
      </c>
      <c r="AA19" s="25" t="s">
        <v>282</v>
      </c>
    </row>
    <row r="20" spans="2:28" ht="53.4" thickBot="1">
      <c r="B20" s="168"/>
      <c r="C20" s="158"/>
      <c r="D20" s="159"/>
      <c r="E20" s="7" t="s">
        <v>63</v>
      </c>
      <c r="F20" s="160"/>
      <c r="G20" s="145"/>
      <c r="H20" s="12" t="s">
        <v>112</v>
      </c>
      <c r="I20" s="12" t="s">
        <v>113</v>
      </c>
      <c r="J20" s="12" t="s">
        <v>114</v>
      </c>
      <c r="K20" s="12" t="s">
        <v>115</v>
      </c>
      <c r="L20" s="11"/>
      <c r="M20" s="11"/>
      <c r="N20" s="11"/>
      <c r="O20" s="55">
        <v>4</v>
      </c>
      <c r="P20" s="11"/>
      <c r="Q20" s="11"/>
      <c r="R20" s="55">
        <v>4</v>
      </c>
      <c r="S20" s="11"/>
      <c r="T20" s="11"/>
      <c r="U20" s="11"/>
      <c r="V20" s="55">
        <v>4</v>
      </c>
      <c r="W20" s="11"/>
      <c r="X20" s="54">
        <v>800000</v>
      </c>
      <c r="Y20" s="11" t="s">
        <v>78</v>
      </c>
      <c r="Z20" s="11" t="s">
        <v>79</v>
      </c>
      <c r="AA20" s="25" t="s">
        <v>282</v>
      </c>
    </row>
    <row r="21" spans="2:28" ht="79.8" thickBot="1">
      <c r="B21" s="168"/>
      <c r="C21" s="158"/>
      <c r="D21" s="159"/>
      <c r="E21" s="7" t="s">
        <v>64</v>
      </c>
      <c r="F21" s="160"/>
      <c r="G21" s="145"/>
      <c r="H21" s="12" t="s">
        <v>116</v>
      </c>
      <c r="I21" s="12" t="s">
        <v>117</v>
      </c>
      <c r="J21" s="12" t="s">
        <v>118</v>
      </c>
      <c r="K21" s="12" t="s">
        <v>119</v>
      </c>
      <c r="L21" s="11"/>
      <c r="M21" s="11"/>
      <c r="N21" s="11"/>
      <c r="O21" s="11"/>
      <c r="P21" s="11"/>
      <c r="Q21" s="55">
        <v>1</v>
      </c>
      <c r="R21" s="11"/>
      <c r="S21" s="11"/>
      <c r="T21" s="11"/>
      <c r="U21" s="11"/>
      <c r="V21" s="55">
        <v>1</v>
      </c>
      <c r="W21" s="11"/>
      <c r="X21" s="54">
        <v>1000000</v>
      </c>
      <c r="Y21" s="11" t="s">
        <v>78</v>
      </c>
      <c r="Z21" s="11" t="s">
        <v>79</v>
      </c>
      <c r="AA21" s="25" t="s">
        <v>282</v>
      </c>
    </row>
    <row r="22" spans="2:28" ht="53.4" thickBot="1">
      <c r="B22" s="168"/>
      <c r="C22" s="158"/>
      <c r="D22" s="159"/>
      <c r="E22" s="7" t="s">
        <v>65</v>
      </c>
      <c r="F22" s="160"/>
      <c r="G22" s="146"/>
      <c r="H22" s="12" t="s">
        <v>120</v>
      </c>
      <c r="I22" s="12" t="s">
        <v>121</v>
      </c>
      <c r="J22" s="12" t="s">
        <v>122</v>
      </c>
      <c r="K22" s="12" t="s">
        <v>123</v>
      </c>
      <c r="L22" s="11"/>
      <c r="M22" s="11"/>
      <c r="N22" s="11"/>
      <c r="O22" s="11"/>
      <c r="P22" s="11"/>
      <c r="Q22" s="11">
        <v>1</v>
      </c>
      <c r="R22" s="11"/>
      <c r="S22" s="11"/>
      <c r="T22" s="11"/>
      <c r="U22" s="11"/>
      <c r="V22" s="11"/>
      <c r="W22" s="11">
        <v>1</v>
      </c>
      <c r="X22" s="54">
        <v>800000</v>
      </c>
      <c r="Y22" s="11" t="s">
        <v>78</v>
      </c>
      <c r="Z22" s="11" t="s">
        <v>79</v>
      </c>
      <c r="AA22" s="25" t="s">
        <v>282</v>
      </c>
      <c r="AB22" s="47">
        <f>SUM(X19:X22)</f>
        <v>3600000</v>
      </c>
    </row>
    <row r="23" spans="2:28" ht="79.8" thickBot="1">
      <c r="B23" s="168"/>
      <c r="C23" s="158"/>
      <c r="D23" s="159" t="s">
        <v>13</v>
      </c>
      <c r="E23" s="7" t="s">
        <v>66</v>
      </c>
      <c r="F23" s="160" t="s">
        <v>4</v>
      </c>
      <c r="G23" s="144" t="s">
        <v>14</v>
      </c>
      <c r="H23" s="12" t="s">
        <v>15</v>
      </c>
      <c r="I23" s="12" t="s">
        <v>124</v>
      </c>
      <c r="J23" s="12" t="s">
        <v>125</v>
      </c>
      <c r="K23" s="12" t="s">
        <v>126</v>
      </c>
      <c r="L23" s="11"/>
      <c r="M23" s="11"/>
      <c r="N23" s="55">
        <v>1</v>
      </c>
      <c r="O23" s="11"/>
      <c r="P23" s="11"/>
      <c r="Q23" s="55">
        <v>1</v>
      </c>
      <c r="R23" s="11"/>
      <c r="S23" s="11"/>
      <c r="T23" s="55">
        <v>1</v>
      </c>
      <c r="U23" s="11"/>
      <c r="V23" s="11"/>
      <c r="W23" s="55">
        <v>1</v>
      </c>
      <c r="X23" s="52">
        <v>300000</v>
      </c>
      <c r="Y23" s="11" t="s">
        <v>78</v>
      </c>
      <c r="Z23" s="11" t="s">
        <v>127</v>
      </c>
      <c r="AA23" s="25" t="s">
        <v>282</v>
      </c>
    </row>
    <row r="24" spans="2:28" ht="117.45" customHeight="1" thickBot="1">
      <c r="B24" s="168"/>
      <c r="C24" s="158"/>
      <c r="D24" s="159"/>
      <c r="E24" s="7" t="s">
        <v>67</v>
      </c>
      <c r="F24" s="160"/>
      <c r="G24" s="145"/>
      <c r="H24" s="12" t="s">
        <v>128</v>
      </c>
      <c r="I24" s="12" t="s">
        <v>129</v>
      </c>
      <c r="J24" s="12" t="s">
        <v>131</v>
      </c>
      <c r="K24" s="12" t="s">
        <v>130</v>
      </c>
      <c r="L24" s="11"/>
      <c r="M24" s="11"/>
      <c r="N24" s="11"/>
      <c r="O24" s="11"/>
      <c r="P24" s="11"/>
      <c r="Q24" s="11"/>
      <c r="R24" s="55">
        <v>1</v>
      </c>
      <c r="S24" s="11"/>
      <c r="T24" s="11"/>
      <c r="U24" s="11"/>
      <c r="V24" s="11"/>
      <c r="W24" s="55">
        <v>1</v>
      </c>
      <c r="X24" s="52">
        <v>400000</v>
      </c>
      <c r="Y24" s="11" t="s">
        <v>78</v>
      </c>
      <c r="Z24" s="11" t="s">
        <v>127</v>
      </c>
      <c r="AA24" s="25" t="s">
        <v>282</v>
      </c>
    </row>
    <row r="25" spans="2:28" ht="79.8" thickBot="1">
      <c r="B25" s="168"/>
      <c r="C25" s="158"/>
      <c r="D25" s="159"/>
      <c r="E25" s="7" t="s">
        <v>68</v>
      </c>
      <c r="F25" s="160"/>
      <c r="G25" s="146"/>
      <c r="H25" s="12" t="s">
        <v>132</v>
      </c>
      <c r="I25" s="12" t="s">
        <v>133</v>
      </c>
      <c r="J25" s="12" t="s">
        <v>134</v>
      </c>
      <c r="K25" s="12" t="s">
        <v>135</v>
      </c>
      <c r="L25" s="11"/>
      <c r="M25" s="11"/>
      <c r="N25" s="55">
        <v>1</v>
      </c>
      <c r="O25" s="11"/>
      <c r="P25" s="11"/>
      <c r="Q25" s="55">
        <v>5</v>
      </c>
      <c r="R25" s="11"/>
      <c r="S25" s="55">
        <v>3</v>
      </c>
      <c r="T25" s="11"/>
      <c r="U25" s="11"/>
      <c r="V25" s="11"/>
      <c r="W25" s="55">
        <v>3</v>
      </c>
      <c r="X25" s="52">
        <v>300000</v>
      </c>
      <c r="Y25" s="11" t="s">
        <v>78</v>
      </c>
      <c r="Z25" s="11" t="s">
        <v>127</v>
      </c>
      <c r="AA25" s="25" t="s">
        <v>282</v>
      </c>
      <c r="AB25" s="47">
        <f>SUM(X23:X25)</f>
        <v>1000000</v>
      </c>
    </row>
    <row r="26" spans="2:28" ht="66.599999999999994" thickBot="1">
      <c r="B26" s="168"/>
      <c r="C26" s="158"/>
      <c r="D26" s="159" t="s">
        <v>16</v>
      </c>
      <c r="E26" s="7" t="s">
        <v>69</v>
      </c>
      <c r="F26" s="160" t="s">
        <v>17</v>
      </c>
      <c r="G26" s="144" t="s">
        <v>18</v>
      </c>
      <c r="H26" s="12" t="s">
        <v>136</v>
      </c>
      <c r="I26" s="12" t="s">
        <v>137</v>
      </c>
      <c r="J26" s="12" t="s">
        <v>138</v>
      </c>
      <c r="K26" s="12" t="s">
        <v>160</v>
      </c>
      <c r="L26" s="11"/>
      <c r="M26" s="11"/>
      <c r="N26" s="55">
        <v>1</v>
      </c>
      <c r="O26" s="11"/>
      <c r="P26" s="11"/>
      <c r="Q26" s="55">
        <v>3</v>
      </c>
      <c r="R26" s="11"/>
      <c r="S26" s="11"/>
      <c r="T26" s="55">
        <v>2</v>
      </c>
      <c r="U26" s="11"/>
      <c r="V26" s="11"/>
      <c r="W26" s="11"/>
      <c r="X26" s="53">
        <v>10100000</v>
      </c>
      <c r="Y26" s="11" t="s">
        <v>78</v>
      </c>
      <c r="Z26" s="11" t="s">
        <v>79</v>
      </c>
      <c r="AA26" s="25" t="s">
        <v>282</v>
      </c>
    </row>
    <row r="27" spans="2:28" ht="66.599999999999994" thickBot="1">
      <c r="B27" s="168"/>
      <c r="C27" s="158"/>
      <c r="D27" s="159"/>
      <c r="E27" s="2" t="s">
        <v>70</v>
      </c>
      <c r="F27" s="160"/>
      <c r="G27" s="145"/>
      <c r="H27" s="11" t="s">
        <v>139</v>
      </c>
      <c r="I27" s="11" t="s">
        <v>140</v>
      </c>
      <c r="J27" s="11" t="s">
        <v>141</v>
      </c>
      <c r="K27" s="11" t="s">
        <v>142</v>
      </c>
      <c r="L27" s="11"/>
      <c r="M27" s="11"/>
      <c r="N27" s="11"/>
      <c r="O27" s="11"/>
      <c r="P27" s="11"/>
      <c r="Q27" s="11"/>
      <c r="R27" s="11"/>
      <c r="S27" s="11"/>
      <c r="T27" s="11"/>
      <c r="U27" s="55">
        <v>1</v>
      </c>
      <c r="V27" s="11"/>
      <c r="W27" s="11"/>
      <c r="X27" s="53">
        <v>1000000</v>
      </c>
      <c r="Y27" s="11" t="s">
        <v>78</v>
      </c>
      <c r="Z27" s="11" t="s">
        <v>79</v>
      </c>
      <c r="AA27" s="25" t="s">
        <v>282</v>
      </c>
    </row>
    <row r="28" spans="2:28" ht="66.599999999999994" thickBot="1">
      <c r="B28" s="168"/>
      <c r="C28" s="158"/>
      <c r="D28" s="159"/>
      <c r="E28" s="2" t="s">
        <v>71</v>
      </c>
      <c r="F28" s="160"/>
      <c r="G28" s="145"/>
      <c r="H28" s="11" t="s">
        <v>143</v>
      </c>
      <c r="I28" s="11" t="s">
        <v>144</v>
      </c>
      <c r="J28" s="11" t="s">
        <v>145</v>
      </c>
      <c r="K28" s="11" t="s">
        <v>146</v>
      </c>
      <c r="L28" s="11"/>
      <c r="M28" s="11"/>
      <c r="N28" s="55">
        <v>30</v>
      </c>
      <c r="O28" s="11"/>
      <c r="P28" s="11"/>
      <c r="Q28" s="55">
        <v>60</v>
      </c>
      <c r="R28" s="11"/>
      <c r="S28" s="11"/>
      <c r="T28" s="11"/>
      <c r="U28" s="55">
        <v>70</v>
      </c>
      <c r="V28" s="11"/>
      <c r="W28" s="11"/>
      <c r="X28" s="53">
        <v>500000</v>
      </c>
      <c r="Y28" s="11" t="s">
        <v>78</v>
      </c>
      <c r="Z28" s="11" t="s">
        <v>147</v>
      </c>
      <c r="AA28" s="25" t="s">
        <v>282</v>
      </c>
    </row>
    <row r="29" spans="2:28" ht="66.599999999999994" thickBot="1">
      <c r="B29" s="168"/>
      <c r="C29" s="158"/>
      <c r="D29" s="159"/>
      <c r="E29" s="2" t="s">
        <v>72</v>
      </c>
      <c r="F29" s="160"/>
      <c r="G29" s="145"/>
      <c r="H29" s="11" t="s">
        <v>148</v>
      </c>
      <c r="I29" s="11" t="s">
        <v>149</v>
      </c>
      <c r="J29" s="11" t="s">
        <v>150</v>
      </c>
      <c r="K29" s="11" t="s">
        <v>151</v>
      </c>
      <c r="L29" s="11"/>
      <c r="M29" s="11"/>
      <c r="N29" s="55">
        <v>2</v>
      </c>
      <c r="O29" s="11"/>
      <c r="P29" s="11"/>
      <c r="Q29" s="55">
        <v>4</v>
      </c>
      <c r="R29" s="11"/>
      <c r="S29" s="11"/>
      <c r="T29" s="55">
        <v>4</v>
      </c>
      <c r="U29" s="11"/>
      <c r="V29" s="11"/>
      <c r="W29" s="11"/>
      <c r="X29" s="53">
        <v>500000</v>
      </c>
      <c r="Y29" s="11" t="s">
        <v>78</v>
      </c>
      <c r="Z29" s="11" t="s">
        <v>158</v>
      </c>
      <c r="AA29" s="25" t="s">
        <v>282</v>
      </c>
    </row>
    <row r="30" spans="2:28" ht="51.45" customHeight="1" thickBot="1">
      <c r="B30" s="168"/>
      <c r="C30" s="158"/>
      <c r="D30" s="159"/>
      <c r="E30" s="19" t="s">
        <v>73</v>
      </c>
      <c r="F30" s="160"/>
      <c r="G30" s="146"/>
      <c r="H30" s="13" t="s">
        <v>152</v>
      </c>
      <c r="I30" s="13" t="s">
        <v>153</v>
      </c>
      <c r="J30" s="13" t="s">
        <v>154</v>
      </c>
      <c r="K30" s="13" t="s">
        <v>155</v>
      </c>
      <c r="L30" s="13"/>
      <c r="M30" s="13"/>
      <c r="N30" s="13"/>
      <c r="O30" s="13"/>
      <c r="P30" s="13"/>
      <c r="Q30" s="55">
        <v>2</v>
      </c>
      <c r="R30" s="13"/>
      <c r="S30" s="13"/>
      <c r="T30" s="13"/>
      <c r="U30" s="13"/>
      <c r="V30" s="13"/>
      <c r="W30" s="55">
        <v>1</v>
      </c>
      <c r="X30" s="53">
        <v>606500</v>
      </c>
      <c r="Y30" s="13" t="s">
        <v>78</v>
      </c>
      <c r="Z30" s="13" t="s">
        <v>159</v>
      </c>
      <c r="AA30" s="25" t="s">
        <v>282</v>
      </c>
      <c r="AB30" s="47">
        <f>SUM(X26:X30)</f>
        <v>12706500</v>
      </c>
    </row>
    <row r="31" spans="2:28">
      <c r="AB31" s="47">
        <f>SUM(AB30,AB25,AB22,AB18,AB14)</f>
        <v>30106500</v>
      </c>
    </row>
  </sheetData>
  <mergeCells count="37">
    <mergeCell ref="D23:D25"/>
    <mergeCell ref="F23:F25"/>
    <mergeCell ref="G26:G30"/>
    <mergeCell ref="G23:G25"/>
    <mergeCell ref="G19:G22"/>
    <mergeCell ref="D9:Z9"/>
    <mergeCell ref="B5:Z5"/>
    <mergeCell ref="B6:Z6"/>
    <mergeCell ref="B7:B30"/>
    <mergeCell ref="C7:C30"/>
    <mergeCell ref="D8:Z8"/>
    <mergeCell ref="D10:D14"/>
    <mergeCell ref="D15:D18"/>
    <mergeCell ref="D19:D22"/>
    <mergeCell ref="F10:F14"/>
    <mergeCell ref="G10:G14"/>
    <mergeCell ref="F15:F18"/>
    <mergeCell ref="F19:F22"/>
    <mergeCell ref="G15:G18"/>
    <mergeCell ref="D26:D30"/>
    <mergeCell ref="F26:F30"/>
    <mergeCell ref="AA3:AA4"/>
    <mergeCell ref="B2:Z2"/>
    <mergeCell ref="B3:B4"/>
    <mergeCell ref="C3:C4"/>
    <mergeCell ref="D3:D4"/>
    <mergeCell ref="E3:E4"/>
    <mergeCell ref="G3:G4"/>
    <mergeCell ref="H3:H4"/>
    <mergeCell ref="I3:I4"/>
    <mergeCell ref="J3:J4"/>
    <mergeCell ref="K3:K4"/>
    <mergeCell ref="L3:N3"/>
    <mergeCell ref="O3:Q3"/>
    <mergeCell ref="R3:T3"/>
    <mergeCell ref="U3:W3"/>
    <mergeCell ref="Y3:Z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1"/>
  <sheetViews>
    <sheetView workbookViewId="0">
      <selection activeCell="A22" sqref="A22"/>
    </sheetView>
  </sheetViews>
  <sheetFormatPr defaultRowHeight="13.8"/>
  <cols>
    <col min="1" max="1" width="129" bestFit="1" customWidth="1"/>
  </cols>
  <sheetData>
    <row r="1" spans="1:1">
      <c r="A1" s="58" t="s">
        <v>288</v>
      </c>
    </row>
    <row r="2" spans="1:1">
      <c r="A2" t="s">
        <v>300</v>
      </c>
    </row>
    <row r="3" spans="1:1">
      <c r="A3" t="s">
        <v>301</v>
      </c>
    </row>
    <row r="4" spans="1:1">
      <c r="A4" t="s">
        <v>289</v>
      </c>
    </row>
    <row r="5" spans="1:1">
      <c r="A5" t="s">
        <v>290</v>
      </c>
    </row>
    <row r="6" spans="1:1">
      <c r="A6" t="s">
        <v>302</v>
      </c>
    </row>
    <row r="7" spans="1:1">
      <c r="A7" t="s">
        <v>303</v>
      </c>
    </row>
    <row r="8" spans="1:1">
      <c r="A8" t="s">
        <v>291</v>
      </c>
    </row>
    <row r="9" spans="1:1">
      <c r="A9" t="s">
        <v>292</v>
      </c>
    </row>
    <row r="10" spans="1:1">
      <c r="A10" t="s">
        <v>304</v>
      </c>
    </row>
    <row r="11" spans="1:1">
      <c r="A11" t="s">
        <v>293</v>
      </c>
    </row>
    <row r="12" spans="1:1">
      <c r="A12" t="s">
        <v>305</v>
      </c>
    </row>
    <row r="13" spans="1:1">
      <c r="A13" t="s">
        <v>294</v>
      </c>
    </row>
    <row r="14" spans="1:1">
      <c r="A14" t="s">
        <v>306</v>
      </c>
    </row>
    <row r="15" spans="1:1">
      <c r="A15" t="s">
        <v>307</v>
      </c>
    </row>
    <row r="16" spans="1:1">
      <c r="A16" t="s">
        <v>308</v>
      </c>
    </row>
    <row r="17" spans="1:1">
      <c r="A17" t="s">
        <v>295</v>
      </c>
    </row>
    <row r="18" spans="1:1">
      <c r="A18" t="s">
        <v>296</v>
      </c>
    </row>
    <row r="19" spans="1:1">
      <c r="A19" t="s">
        <v>297</v>
      </c>
    </row>
    <row r="20" spans="1:1">
      <c r="A20" t="s">
        <v>298</v>
      </c>
    </row>
    <row r="21" spans="1:1">
      <c r="A21" t="s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Priority Work Plan</vt:lpstr>
      <vt:lpstr>Budget</vt:lpstr>
      <vt:lpstr>Wishlist</vt:lpstr>
      <vt:lpstr>Template</vt:lpstr>
      <vt:lpstr>Strategic Issue 3</vt:lpstr>
      <vt:lpstr>Section functions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Akama Charles</dc:creator>
  <cp:lastModifiedBy>Patrick Mwaura</cp:lastModifiedBy>
  <dcterms:created xsi:type="dcterms:W3CDTF">2026-03-17T12:37:54Z</dcterms:created>
  <dcterms:modified xsi:type="dcterms:W3CDTF">2026-06-26T04:51:05Z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2026-03-17T14:25:46Z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e086c75d-ed44-4165-8450-6fed41cbeacb</vt:lpwstr>
  </property>
  <property fmtid="{D5CDD505-2E9C-101B-9397-08002B2CF9AE}" pid="7" name="MSIP_Label_defa4170-0d19-0005-0004-bc88714345d2_ActionId">
    <vt:lpwstr>37f664f1-43a9-450d-8395-dc4934e5a8f0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