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23040" windowHeight="8688"/>
  </bookViews>
  <sheets>
    <sheet name="WP1" sheetId="1" r:id="rId1"/>
    <sheet name="WP2" sheetId="2" r:id="rId2"/>
    <sheet name="WP3" sheetId="3" r:id="rId3"/>
    <sheet name="WP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62" i="1" s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sharedStrings.xml><?xml version="1.0" encoding="utf-8"?>
<sst xmlns="http://schemas.openxmlformats.org/spreadsheetml/2006/main" count="190" uniqueCount="112">
  <si>
    <t>Target</t>
  </si>
  <si>
    <t xml:space="preserve">Activity </t>
  </si>
  <si>
    <t>Subactivity</t>
  </si>
  <si>
    <t>Details</t>
  </si>
  <si>
    <t>Quantity</t>
  </si>
  <si>
    <t xml:space="preserve">Unit price </t>
  </si>
  <si>
    <t>Estimated Cost</t>
  </si>
  <si>
    <t>Stakeholder Input &amp; Review</t>
  </si>
  <si>
    <t xml:space="preserve">Venue and refreshments for policy workshop 
DSA: 40 X14000, 
Conference: 4000 X 40 X 7 days,
Transport/Fuel:  200000 </t>
  </si>
  <si>
    <t>Policy Drafting</t>
  </si>
  <si>
    <r>
      <t>The total budget for a 40-person, 2-day
 policy workshop and drafting phase is </t>
    </r>
    <r>
      <rPr>
        <sz val="10"/>
        <color rgb="FF0A0A0A"/>
        <rFont val="Arial"/>
        <family val="2"/>
      </rPr>
      <t>3,200,000, 
covering 1,120,000 for DSA, 480,000 for 
venue/refreshments, 100,000 for transport, 
and 1,200,000 for the consultant/legal drafting fee.</t>
    </r>
  </si>
  <si>
    <t>Charter Development</t>
  </si>
  <si>
    <t>DSA: 20 X 14,000X5
Conference: 20 X 4,000X5
Transport/Fuel: 250,000 (lump sum)</t>
  </si>
  <si>
    <t>Board/Council Approval</t>
  </si>
  <si>
    <r>
      <t xml:space="preserve">Sitting allowance: 8 X 20000X4 , 
Board Lunch : 2000X8X4 , 
Board Mileage: 50000X4, 
Refreshments:20000X4 , 
</t>
    </r>
    <r>
      <rPr>
        <sz val="11"/>
        <color rgb="FFFF0000"/>
        <rFont val="Calibri"/>
        <charset val="1"/>
        <scheme val="minor"/>
      </rPr>
      <t>Meeting allowances and printing of Terms of Reference</t>
    </r>
  </si>
  <si>
    <t>Zero Critical Vulnerabilities</t>
  </si>
  <si>
    <t>Vulnerability Assessment</t>
  </si>
  <si>
    <t>Penetration Testing (Pen-Test) by certified Ethical Hackers</t>
  </si>
  <si>
    <t>Protocol Implementation</t>
  </si>
  <si>
    <t>MFA (Multi-Factor Authentication) license and setup for 60 users</t>
  </si>
  <si>
    <t>API Development</t>
  </si>
  <si>
    <t>Automated CSPro-REDCap integration for secure, offline-to-cloud research data pipelines.</t>
  </si>
  <si>
    <t>Tablets</t>
  </si>
  <si>
    <t>Mobile tablets configured for offline/online field data collection and  synchronization and tools development.</t>
  </si>
  <si>
    <t>Staff Capacity</t>
  </si>
  <si>
    <t>Data Science &amp; ML Bootcamp (Professional training for lead team)
Conference:  4000X12X7, 
DSA: 12X14000X7 , 
Transport/Fuel: 100000</t>
  </si>
  <si>
    <t>Research Hardware</t>
  </si>
  <si>
    <t xml:space="preserve">Expert Modeling </t>
  </si>
  <si>
    <t>i7/i9 High-end Tower PCs for bio-modeling (GPU-accelerated for ML)</t>
  </si>
  <si>
    <t>Qualified Workforce</t>
  </si>
  <si>
    <t>Advanced Training</t>
  </si>
  <si>
    <t>Data Science &amp; ML 6-Month Bootcamp (per person)</t>
  </si>
  <si>
    <t>Continuous Coaching</t>
  </si>
  <si>
    <t>Monthly expert mentorship/statistical coaching sessions (Facilitation fee of the coach)</t>
  </si>
  <si>
    <t>Capacity Building</t>
  </si>
  <si>
    <t>Data Science &amp; ML 6-Month Bootcamp (Specialized)</t>
  </si>
  <si>
    <t>Monitoring Support</t>
  </si>
  <si>
    <t>Monthly statistical coaching/consultancy sessions</t>
  </si>
  <si>
    <t>Scientific Excellence</t>
  </si>
  <si>
    <t>High-End Server Cluster</t>
  </si>
  <si>
    <t>2x AMD EPYC (64 cores), 2x RTX 4090 GPUs, 256GB RAM</t>
  </si>
  <si>
    <t>99.9% Uptime</t>
  </si>
  <si>
    <t>Central Power Backup</t>
  </si>
  <si>
    <t>Smart UPS 3KVA (For server rack protection)</t>
  </si>
  <si>
    <t>Zero Data Loss</t>
  </si>
  <si>
    <t>Enterprise Virtualization</t>
  </si>
  <si>
    <t>Proxmox/Docker Setup &amp; Cloud Sync (Consultancy)</t>
  </si>
  <si>
    <t>Zero Vulnerabilities</t>
  </si>
  <si>
    <t>Network Security</t>
  </si>
  <si>
    <t>Firewall, VPN Setup &amp; SSL Certificates (Annual)</t>
  </si>
  <si>
    <t>Backup Storage  and archiving</t>
  </si>
  <si>
    <t>2TB External Drives (Physical backup of data systems)</t>
  </si>
  <si>
    <t>Server intalling and configurations consultations</t>
  </si>
  <si>
    <t>Consultations</t>
  </si>
  <si>
    <t>Cooling system</t>
  </si>
  <si>
    <t>Maintenance</t>
  </si>
  <si>
    <t>Server room</t>
  </si>
  <si>
    <t>Operations</t>
  </si>
  <si>
    <t>Communication &amp; Data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</si>
  <si>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</si>
  <si>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</si>
  <si>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</si>
  <si>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</si>
  <si>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</si>
  <si>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</si>
  <si>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</si>
  <si>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</si>
  <si>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</si>
  <si>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13Amps AVS sollateck (Pcs)</t>
  </si>
  <si>
    <t>30Amps AVS sollateck (Pcs)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</si>
  <si>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</si>
  <si>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</si>
  <si>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</si>
  <si>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</si>
  <si>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</si>
  <si>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</si>
  <si>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Industrial gloves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</si>
  <si>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</si>
  <si>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</si>
  <si>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</si>
  <si>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</si>
  <si>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</si>
  <si>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</si>
  <si>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</si>
  <si>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</si>
  <si>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</si>
  <si>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</si>
  <si>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</si>
  <si>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</si>
  <si>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</si>
  <si>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</si>
  <si>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38 in 1 electron screw driver set</t>
  </si>
  <si>
    <t>Flash Disk 16Gb</t>
  </si>
  <si>
    <t>UPS 1.5KvA</t>
  </si>
  <si>
    <t>Smart UPS 3KVA</t>
  </si>
  <si>
    <t>Office Point magnetic white board 8*4ft</t>
  </si>
  <si>
    <t>WP2</t>
  </si>
  <si>
    <t>New Policies</t>
  </si>
  <si>
    <t>Operational Framework</t>
  </si>
  <si>
    <t>Key Pipelines Automated</t>
  </si>
  <si>
    <t>Data Governance &amp; Systems</t>
  </si>
  <si>
    <t>Bioinformatics &amp; Innovation</t>
  </si>
  <si>
    <t>Ensure data security and integrity</t>
  </si>
  <si>
    <t>Automate data collection processes</t>
  </si>
  <si>
    <t>Establish data governance frameworks</t>
  </si>
  <si>
    <t>Develop and review data policies and strategies</t>
  </si>
  <si>
    <t>Analytical Reports</t>
  </si>
  <si>
    <t>Statistical/Analytical support</t>
  </si>
  <si>
    <t>Analyze and interpret data</t>
  </si>
  <si>
    <t>Total</t>
  </si>
  <si>
    <t xml:space="preserve">MacBook Pro 16-inch (M4 Max,14-16 core CPU, 32-40 core GPU, 64 GB unified memory, 2 TB SSD)
</t>
  </si>
  <si>
    <t>Open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</si>
</sst>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-&quot;Ksh&quot;* #,##0.00_-;\-&quot;Ksh&quot;* #,##0.00_-;_-&quot;Ksh&quot;* &quot;-&quot;??_-;_-@_-"/>
    <numFmt numFmtId="167" formatCode="_-* #,##0.00_-;\-* #,##0.00_-;_-* &quot;-&quot;??_-;_-@_-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"/>
      <scheme val="minor"/>
    </font>
    <font>
      <sz val="10"/>
      <color rgb="FF0A0A0A"/>
      <name val="Arial"/>
      <family val="2"/>
    </font>
    <font>
      <sz val="11"/>
      <color rgb="FFFF0000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1"/>
    <xf numFmtId="0" fontId="1" fillId="0" borderId="1" xfId="1" applyBorder="1" applyAlignment="1">
      <alignment horizontal="left" vertical="top" wrapText="1"/>
    </xf>
    <xf numFmtId="3" fontId="1" fillId="0" borderId="0" xfId="1" applyNumberFormat="1"/>
    <xf numFmtId="0" fontId="6" fillId="0" borderId="1" xfId="1" applyFont="1" applyBorder="1" applyAlignment="1">
      <alignment horizontal="left" vertical="top" wrapText="1"/>
    </xf>
    <xf numFmtId="3" fontId="1" fillId="0" borderId="1" xfId="1" applyNumberFormat="1" applyBorder="1" applyAlignment="1">
      <alignment horizontal="right" vertical="top" wrapText="1"/>
    </xf>
    <xf numFmtId="0" fontId="1" fillId="0" borderId="1" xfId="1" applyFill="1" applyBorder="1" applyAlignment="1">
      <alignment horizontal="left" vertical="top" wrapText="1"/>
    </xf>
    <xf numFmtId="3" fontId="1" fillId="0" borderId="1" xfId="1" applyNumberFormat="1" applyBorder="1" applyAlignment="1">
      <alignment vertical="top" wrapText="1"/>
    </xf>
    <xf numFmtId="3" fontId="1" fillId="0" borderId="0" xfId="1" applyNumberFormat="1" applyFill="1" applyBorder="1" applyAlignment="1">
      <alignment horizontal="right" vertical="top" wrapText="1"/>
    </xf>
    <xf numFmtId="166" fontId="3" fillId="0" borderId="0" xfId="1" applyNumberFormat="1" applyFont="1"/>
    <xf numFmtId="0" fontId="1" fillId="0" borderId="0" xfId="1" applyAlignment="1">
      <alignment vertical="top"/>
    </xf>
    <xf numFmtId="0" fontId="6" fillId="0" borderId="1" xfId="1" applyFont="1" applyFill="1" applyBorder="1" applyAlignment="1">
      <alignment horizontal="left" vertical="top" wrapText="1"/>
    </xf>
    <xf numFmtId="3" fontId="1" fillId="0" borderId="0" xfId="1" applyNumberFormat="1" applyFill="1"/>
    <xf numFmtId="0" fontId="1" fillId="0" borderId="0" xfId="1" applyFill="1"/>
    <xf numFmtId="166" fontId="1" fillId="0" borderId="0" xfId="1" applyNumberFormat="1" applyFill="1"/>
    <xf numFmtId="0" fontId="1" fillId="0" borderId="0" xfId="1" applyAlignment="1">
      <alignment vertical="top" wrapText="1"/>
    </xf>
    <xf numFmtId="0" fontId="7" fillId="0" borderId="1" xfId="1" applyFont="1" applyBorder="1" applyAlignment="1">
      <alignment vertical="top"/>
    </xf>
    <xf numFmtId="0" fontId="1" fillId="0" borderId="1" xfId="1" applyBorder="1" applyAlignment="1">
      <alignment vertical="top"/>
    </xf>
    <xf numFmtId="0" fontId="2" fillId="0" borderId="0" xfId="1" applyFont="1"/>
    <xf numFmtId="0" fontId="0" fillId="0" borderId="0" xfId="0" applyFill="1"/>
    <xf numFmtId="3" fontId="1" fillId="0" borderId="1" xfId="1" applyNumberFormat="1" applyFill="1" applyBorder="1" applyAlignment="1">
      <alignment vertical="top" wrapText="1"/>
    </xf>
    <xf numFmtId="0" fontId="3" fillId="0" borderId="0" xfId="1" applyFont="1" applyAlignment="1">
      <alignment vertical="center"/>
    </xf>
    <xf numFmtId="0" fontId="0" fillId="0" borderId="0" xfId="0" applyAlignment="1">
      <alignment vertical="center"/>
    </xf>
    <xf numFmtId="167" fontId="7" fillId="0" borderId="1" xfId="2" applyFont="1" applyBorder="1" applyAlignment="1">
      <alignment vertical="top"/>
    </xf>
    <xf numFmtId="0" fontId="7" fillId="0" borderId="1" xfId="1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right" vertical="top"/>
    </xf>
    <xf numFmtId="0" fontId="1" fillId="0" borderId="2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2" xfId="1" applyFill="1" applyBorder="1" applyAlignment="1">
      <alignment horizontal="left" vertical="top" wrapText="1"/>
    </xf>
    <xf numFmtId="0" fontId="1" fillId="0" borderId="3" xfId="1" applyFill="1" applyBorder="1" applyAlignment="1">
      <alignment horizontal="left" vertical="top" wrapText="1"/>
    </xf>
    <xf numFmtId="0" fontId="1" fillId="0" borderId="4" xfId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3" xfId="1" applyBorder="1" applyAlignment="1">
      <alignment horizontal="left" vertical="top" wrapText="1"/>
    </xf>
    <xf numFmtId="167" fontId="7" fillId="0" borderId="0" xfId="2" applyFont="1" applyFill="1" applyBorder="1" applyAlignment="1">
      <alignment vertical="top"/>
    </xf>
    <xf numFmtId="0" fontId="7" fillId="0" borderId="1" xfId="1" applyFont="1" applyFill="1" applyBorder="1" applyAlignment="1">
      <alignment vertical="top"/>
    </xf>
    <xf numFmtId="0" fontId="7" fillId="0" borderId="1" xfId="1" applyFont="1" applyFill="1" applyBorder="1" applyAlignment="1">
      <alignment horizontal="left" vertical="top"/>
    </xf>
    <xf numFmtId="167" fontId="7" fillId="0" borderId="1" xfId="2" applyFont="1" applyFill="1" applyBorder="1" applyAlignment="1">
      <alignment vertical="top"/>
    </xf>
    <xf numFmtId="0" fontId="1" fillId="0" borderId="1" xfId="1" applyBorder="1" applyAlignment="1">
      <alignment horizontal="left" vertical="top"/>
    </xf>
    <xf numFmtId="0" fontId="2" fillId="0" borderId="2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3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1" applyFont="1" applyAlignment="1">
      <alignment vertical="top"/>
    </xf>
    <xf numFmtId="3" fontId="2" fillId="0" borderId="0" xfId="1" applyNumberFormat="1" applyFont="1" applyFill="1" applyBorder="1" applyAlignment="1">
      <alignment horizontal="right" vertical="top" wrapText="1"/>
    </xf>
    <xf numFmtId="0" fontId="2" fillId="0" borderId="0" xfId="0" applyFont="1"/>
    <xf numFmtId="0" fontId="1" fillId="0" borderId="1" xfId="1" applyFont="1" applyFill="1" applyBorder="1" applyAlignment="1">
      <alignment horizontal="left" vertical="top" wrapText="1"/>
    </xf>
    <xf numFmtId="3" fontId="1" fillId="0" borderId="5" xfId="1" applyNumberFormat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topLeftCell="A54" workbookViewId="0">
      <selection activeCell="C14" sqref="A14:XFD14"/>
    </sheetView>
  </sheetViews>
  <sheetFormatPr defaultRowHeight="14.4" x14ac:dyDescent="0.3"/>
  <cols>
    <col min="1" max="1" width="23.5546875" style="22" bestFit="1" customWidth="1"/>
    <col min="2" max="2" width="19.44140625" style="34" customWidth="1"/>
    <col min="3" max="3" width="23.77734375" style="35" customWidth="1"/>
    <col min="4" max="4" width="70.109375" style="35" bestFit="1" customWidth="1"/>
    <col min="5" max="5" width="8.33203125" style="35" bestFit="1" customWidth="1"/>
    <col min="6" max="6" width="11.21875" style="35" bestFit="1" customWidth="1"/>
    <col min="7" max="7" width="13.5546875" style="35" bestFit="1" customWidth="1"/>
    <col min="8" max="8" width="11.21875" bestFit="1" customWidth="1"/>
  </cols>
  <sheetData>
    <row r="1" spans="1:10" ht="15" thickBot="1" x14ac:dyDescent="0.35">
      <c r="A1" s="21" t="s">
        <v>0</v>
      </c>
      <c r="B1" s="25" t="s">
        <v>1</v>
      </c>
      <c r="C1" s="26" t="s">
        <v>2</v>
      </c>
      <c r="D1" s="27" t="s">
        <v>3</v>
      </c>
      <c r="E1" s="25" t="s">
        <v>4</v>
      </c>
      <c r="F1" s="27" t="s">
        <v>5</v>
      </c>
      <c r="G1" s="28" t="s">
        <v>6</v>
      </c>
      <c r="H1" s="1"/>
      <c r="I1" s="1"/>
      <c r="J1" s="9"/>
    </row>
    <row r="2" spans="1:10" ht="58.2" thickBot="1" x14ac:dyDescent="0.35">
      <c r="A2" s="42" t="s">
        <v>97</v>
      </c>
      <c r="B2" s="29" t="s">
        <v>105</v>
      </c>
      <c r="C2" s="4" t="s">
        <v>7</v>
      </c>
      <c r="D2" s="2" t="s">
        <v>8</v>
      </c>
      <c r="E2" s="2">
        <v>2</v>
      </c>
      <c r="F2" s="7">
        <v>1000000</v>
      </c>
      <c r="G2" s="5">
        <f>F2*E2</f>
        <v>2000000</v>
      </c>
      <c r="H2" s="1"/>
      <c r="I2" s="1"/>
      <c r="J2" s="1"/>
    </row>
    <row r="3" spans="1:10" ht="69" thickBot="1" x14ac:dyDescent="0.35">
      <c r="A3" s="43"/>
      <c r="B3" s="30"/>
      <c r="C3" s="4" t="s">
        <v>9</v>
      </c>
      <c r="D3" s="15" t="s">
        <v>10</v>
      </c>
      <c r="E3" s="2">
        <v>1</v>
      </c>
      <c r="F3" s="7">
        <v>2900000</v>
      </c>
      <c r="G3" s="5">
        <f t="shared" ref="G3:G61" si="0">F3*E3</f>
        <v>2900000</v>
      </c>
      <c r="H3" s="3"/>
      <c r="I3" s="1"/>
      <c r="J3" s="1"/>
    </row>
    <row r="4" spans="1:10" ht="43.8" thickBot="1" x14ac:dyDescent="0.35">
      <c r="A4" s="42" t="s">
        <v>98</v>
      </c>
      <c r="B4" s="29" t="s">
        <v>104</v>
      </c>
      <c r="C4" s="4" t="s">
        <v>11</v>
      </c>
      <c r="D4" s="2" t="s">
        <v>12</v>
      </c>
      <c r="E4" s="2">
        <v>1</v>
      </c>
      <c r="F4" s="7">
        <v>2050000</v>
      </c>
      <c r="G4" s="5">
        <f t="shared" si="0"/>
        <v>2050000</v>
      </c>
      <c r="H4" s="1"/>
      <c r="I4" s="1"/>
      <c r="J4" s="1"/>
    </row>
    <row r="5" spans="1:10" ht="72.599999999999994" thickBot="1" x14ac:dyDescent="0.35">
      <c r="A5" s="43"/>
      <c r="B5" s="30"/>
      <c r="C5" s="4" t="s">
        <v>13</v>
      </c>
      <c r="D5" s="2" t="s">
        <v>14</v>
      </c>
      <c r="E5" s="2">
        <v>4</v>
      </c>
      <c r="F5" s="7">
        <v>246000</v>
      </c>
      <c r="G5" s="5">
        <f t="shared" si="0"/>
        <v>984000</v>
      </c>
      <c r="H5" s="3"/>
      <c r="I5" s="1"/>
      <c r="J5" s="1"/>
    </row>
    <row r="6" spans="1:10" ht="29.4" customHeight="1" thickBot="1" x14ac:dyDescent="0.35">
      <c r="A6" s="42" t="s">
        <v>15</v>
      </c>
      <c r="B6" s="29" t="s">
        <v>102</v>
      </c>
      <c r="C6" s="4" t="s">
        <v>16</v>
      </c>
      <c r="D6" s="4" t="s">
        <v>17</v>
      </c>
      <c r="E6" s="2">
        <v>1</v>
      </c>
      <c r="F6" s="7">
        <v>650000</v>
      </c>
      <c r="G6" s="5">
        <f t="shared" si="0"/>
        <v>650000</v>
      </c>
      <c r="H6" s="3"/>
      <c r="I6" s="1"/>
      <c r="J6" s="1"/>
    </row>
    <row r="7" spans="1:10" ht="15" thickBot="1" x14ac:dyDescent="0.35">
      <c r="A7" s="43"/>
      <c r="B7" s="30"/>
      <c r="C7" s="4" t="s">
        <v>18</v>
      </c>
      <c r="D7" s="4" t="s">
        <v>19</v>
      </c>
      <c r="E7" s="2">
        <v>60</v>
      </c>
      <c r="F7" s="7">
        <v>7500</v>
      </c>
      <c r="G7" s="5">
        <f t="shared" si="0"/>
        <v>450000</v>
      </c>
      <c r="H7" s="3"/>
      <c r="I7" s="1"/>
      <c r="J7" s="1"/>
    </row>
    <row r="8" spans="1:10" s="19" customFormat="1" ht="29.4" thickBot="1" x14ac:dyDescent="0.35">
      <c r="A8" s="44" t="s">
        <v>99</v>
      </c>
      <c r="B8" s="31" t="s">
        <v>103</v>
      </c>
      <c r="C8" s="11" t="s">
        <v>20</v>
      </c>
      <c r="D8" s="6" t="s">
        <v>21</v>
      </c>
      <c r="E8" s="6">
        <v>1</v>
      </c>
      <c r="F8" s="20">
        <v>550000</v>
      </c>
      <c r="G8" s="5">
        <f t="shared" si="0"/>
        <v>550000</v>
      </c>
      <c r="H8" s="12"/>
      <c r="I8" s="13"/>
      <c r="J8" s="13"/>
    </row>
    <row r="9" spans="1:10" s="19" customFormat="1" ht="29.4" thickBot="1" x14ac:dyDescent="0.35">
      <c r="A9" s="45"/>
      <c r="B9" s="32"/>
      <c r="C9" s="11" t="s">
        <v>22</v>
      </c>
      <c r="D9" s="6" t="s">
        <v>23</v>
      </c>
      <c r="E9" s="6">
        <v>5</v>
      </c>
      <c r="F9" s="20">
        <v>20000</v>
      </c>
      <c r="G9" s="5">
        <f t="shared" si="0"/>
        <v>100000</v>
      </c>
      <c r="H9" s="12"/>
      <c r="I9" s="13"/>
      <c r="J9" s="14"/>
    </row>
    <row r="10" spans="1:10" s="19" customFormat="1" ht="58.2" thickBot="1" x14ac:dyDescent="0.35">
      <c r="A10" s="46"/>
      <c r="B10" s="33"/>
      <c r="C10" s="11" t="s">
        <v>24</v>
      </c>
      <c r="D10" s="11" t="s">
        <v>25</v>
      </c>
      <c r="E10" s="6">
        <v>1</v>
      </c>
      <c r="F10" s="20">
        <v>1512000</v>
      </c>
      <c r="G10" s="5">
        <f t="shared" si="0"/>
        <v>1512000</v>
      </c>
      <c r="H10" s="12"/>
      <c r="I10" s="13"/>
      <c r="J10" s="14"/>
    </row>
    <row r="11" spans="1:10" s="19" customFormat="1" ht="43.8" customHeight="1" thickBot="1" x14ac:dyDescent="0.35">
      <c r="A11" s="44" t="s">
        <v>29</v>
      </c>
      <c r="B11" s="31" t="s">
        <v>107</v>
      </c>
      <c r="C11" s="11" t="s">
        <v>30</v>
      </c>
      <c r="D11" s="11" t="s">
        <v>31</v>
      </c>
      <c r="E11" s="6">
        <v>2</v>
      </c>
      <c r="F11" s="20">
        <v>180000</v>
      </c>
      <c r="G11" s="5">
        <f t="shared" si="0"/>
        <v>360000</v>
      </c>
      <c r="H11" s="12"/>
      <c r="I11" s="13"/>
      <c r="J11" s="13"/>
    </row>
    <row r="12" spans="1:10" ht="29.4" thickBot="1" x14ac:dyDescent="0.35">
      <c r="A12" s="45"/>
      <c r="B12" s="32"/>
      <c r="C12" s="4" t="s">
        <v>32</v>
      </c>
      <c r="D12" s="2" t="s">
        <v>33</v>
      </c>
      <c r="E12" s="2">
        <v>12</v>
      </c>
      <c r="F12" s="7">
        <v>25000</v>
      </c>
      <c r="G12" s="5">
        <f t="shared" si="0"/>
        <v>300000</v>
      </c>
      <c r="H12" s="3"/>
      <c r="I12" s="1"/>
      <c r="J12" s="1"/>
    </row>
    <row r="13" spans="1:10" ht="15" thickBot="1" x14ac:dyDescent="0.35">
      <c r="A13" s="45"/>
      <c r="B13" s="32"/>
      <c r="C13" s="4" t="s">
        <v>34</v>
      </c>
      <c r="D13" s="4" t="s">
        <v>35</v>
      </c>
      <c r="E13" s="2">
        <v>2</v>
      </c>
      <c r="F13" s="7">
        <v>250000</v>
      </c>
      <c r="G13" s="5">
        <f t="shared" si="0"/>
        <v>500000</v>
      </c>
      <c r="H13" s="3"/>
      <c r="I13" s="1"/>
      <c r="J13" s="1"/>
    </row>
    <row r="14" spans="1:10" ht="15" thickBot="1" x14ac:dyDescent="0.35">
      <c r="A14" s="46"/>
      <c r="B14" s="33"/>
      <c r="C14" s="4" t="s">
        <v>36</v>
      </c>
      <c r="D14" s="2" t="s">
        <v>37</v>
      </c>
      <c r="E14" s="2">
        <v>12</v>
      </c>
      <c r="F14" s="7">
        <v>25000</v>
      </c>
      <c r="G14" s="5">
        <f t="shared" si="0"/>
        <v>300000</v>
      </c>
      <c r="H14" s="3"/>
      <c r="I14" s="1"/>
      <c r="J14" s="1"/>
    </row>
    <row r="15" spans="1:10" ht="29.4" thickBot="1" x14ac:dyDescent="0.35">
      <c r="A15" s="47" t="s">
        <v>38</v>
      </c>
      <c r="B15" s="2" t="s">
        <v>101</v>
      </c>
      <c r="C15" s="4" t="s">
        <v>39</v>
      </c>
      <c r="D15" s="2" t="s">
        <v>40</v>
      </c>
      <c r="E15" s="2">
        <v>1</v>
      </c>
      <c r="F15" s="7">
        <v>9680000</v>
      </c>
      <c r="G15" s="5">
        <f t="shared" si="0"/>
        <v>9680000</v>
      </c>
      <c r="H15" s="3"/>
      <c r="I15" s="1"/>
      <c r="J15" s="1"/>
    </row>
    <row r="16" spans="1:10" ht="29.4" thickBot="1" x14ac:dyDescent="0.35">
      <c r="A16" s="47" t="s">
        <v>41</v>
      </c>
      <c r="B16" s="2" t="s">
        <v>100</v>
      </c>
      <c r="C16" s="4" t="s">
        <v>42</v>
      </c>
      <c r="D16" s="2" t="s">
        <v>43</v>
      </c>
      <c r="E16" s="2">
        <v>1</v>
      </c>
      <c r="F16" s="7">
        <v>110000</v>
      </c>
      <c r="G16" s="5">
        <f t="shared" si="0"/>
        <v>110000</v>
      </c>
      <c r="H16" s="3"/>
      <c r="I16" s="1"/>
      <c r="J16" s="1"/>
    </row>
    <row r="17" spans="1:10" ht="29.4" thickBot="1" x14ac:dyDescent="0.35">
      <c r="A17" s="47" t="s">
        <v>44</v>
      </c>
      <c r="B17" s="2" t="s">
        <v>100</v>
      </c>
      <c r="C17" s="4" t="s">
        <v>45</v>
      </c>
      <c r="D17" s="2" t="s">
        <v>46</v>
      </c>
      <c r="E17" s="2">
        <v>1</v>
      </c>
      <c r="F17" s="7">
        <v>250000</v>
      </c>
      <c r="G17" s="5">
        <f t="shared" si="0"/>
        <v>250000</v>
      </c>
      <c r="H17" s="3"/>
      <c r="I17" s="1"/>
      <c r="J17" s="1"/>
    </row>
    <row r="18" spans="1:10" ht="29.4" customHeight="1" thickBot="1" x14ac:dyDescent="0.35">
      <c r="A18" s="42" t="s">
        <v>47</v>
      </c>
      <c r="B18" s="29" t="s">
        <v>100</v>
      </c>
      <c r="C18" s="4" t="s">
        <v>48</v>
      </c>
      <c r="D18" s="2" t="s">
        <v>49</v>
      </c>
      <c r="E18" s="2">
        <v>1</v>
      </c>
      <c r="F18" s="7">
        <v>185000</v>
      </c>
      <c r="G18" s="5">
        <f t="shared" si="0"/>
        <v>185000</v>
      </c>
      <c r="H18" s="1"/>
      <c r="I18" s="1"/>
      <c r="J18" s="1"/>
    </row>
    <row r="19" spans="1:10" s="19" customFormat="1" ht="29.4" thickBot="1" x14ac:dyDescent="0.35">
      <c r="A19" s="48"/>
      <c r="B19" s="36"/>
      <c r="C19" s="11" t="s">
        <v>50</v>
      </c>
      <c r="D19" s="11" t="s">
        <v>51</v>
      </c>
      <c r="E19" s="6">
        <v>7</v>
      </c>
      <c r="F19" s="20">
        <v>15000</v>
      </c>
      <c r="G19" s="5">
        <f t="shared" si="0"/>
        <v>105000</v>
      </c>
      <c r="H19" s="12"/>
      <c r="I19" s="13"/>
      <c r="J19" s="14"/>
    </row>
    <row r="20" spans="1:10" ht="43.8" thickBot="1" x14ac:dyDescent="0.35">
      <c r="A20" s="43"/>
      <c r="B20" s="30"/>
      <c r="C20" s="4" t="s">
        <v>52</v>
      </c>
      <c r="D20" s="16" t="s">
        <v>53</v>
      </c>
      <c r="E20" s="24">
        <v>2</v>
      </c>
      <c r="F20" s="23">
        <v>750000</v>
      </c>
      <c r="G20" s="5">
        <f t="shared" si="0"/>
        <v>1500000</v>
      </c>
      <c r="H20" s="3"/>
      <c r="I20" s="1"/>
      <c r="J20" s="1"/>
    </row>
    <row r="21" spans="1:10" ht="29.4" thickBot="1" x14ac:dyDescent="0.35">
      <c r="A21" s="47" t="s">
        <v>54</v>
      </c>
      <c r="B21" s="2" t="s">
        <v>100</v>
      </c>
      <c r="C21" s="4" t="s">
        <v>55</v>
      </c>
      <c r="D21" s="2" t="s">
        <v>56</v>
      </c>
      <c r="E21" s="2">
        <v>1</v>
      </c>
      <c r="F21" s="37">
        <v>400000</v>
      </c>
      <c r="G21" s="5">
        <f t="shared" si="0"/>
        <v>400000</v>
      </c>
      <c r="H21" s="3"/>
      <c r="I21" s="1"/>
      <c r="J21" s="1"/>
    </row>
    <row r="22" spans="1:10" ht="15" thickBot="1" x14ac:dyDescent="0.35">
      <c r="A22" s="48"/>
      <c r="B22" s="2" t="s">
        <v>57</v>
      </c>
      <c r="C22" s="4" t="s">
        <v>58</v>
      </c>
      <c r="D22" s="16" t="s">
        <v>59</v>
      </c>
      <c r="E22" s="2">
        <v>1</v>
      </c>
      <c r="F22" s="23">
        <v>100000</v>
      </c>
      <c r="G22" s="5">
        <f t="shared" si="0"/>
        <v>100000</v>
      </c>
      <c r="H22" s="3"/>
      <c r="I22" s="1"/>
      <c r="J22" s="1"/>
    </row>
    <row r="23" spans="1:10" ht="15" thickBot="1" x14ac:dyDescent="0.35">
      <c r="A23" s="48"/>
      <c r="B23" s="2" t="s">
        <v>57</v>
      </c>
      <c r="C23" s="4" t="s">
        <v>58</v>
      </c>
      <c r="D23" s="16" t="s">
        <v>60</v>
      </c>
      <c r="E23" s="2">
        <v>1</v>
      </c>
      <c r="F23" s="23">
        <v>150000</v>
      </c>
      <c r="G23" s="5">
        <f t="shared" si="0"/>
        <v>150000</v>
      </c>
      <c r="H23" s="3"/>
      <c r="I23" s="1"/>
      <c r="J23" s="1"/>
    </row>
    <row r="24" spans="1:10" ht="15" thickBot="1" x14ac:dyDescent="0.35">
      <c r="A24" s="48"/>
      <c r="B24" s="2" t="s">
        <v>57</v>
      </c>
      <c r="C24" s="4" t="s">
        <v>58</v>
      </c>
      <c r="D24" s="16" t="s">
        <v>61</v>
      </c>
      <c r="E24" s="6">
        <v>1</v>
      </c>
      <c r="F24" s="23">
        <v>100000</v>
      </c>
      <c r="G24" s="5">
        <f t="shared" si="0"/>
        <v>100000</v>
      </c>
      <c r="H24" s="3"/>
      <c r="I24" s="1"/>
      <c r="J24" s="1"/>
    </row>
    <row r="25" spans="1:10" ht="15" thickBot="1" x14ac:dyDescent="0.35">
      <c r="A25" s="48"/>
      <c r="B25" s="2" t="s">
        <v>57</v>
      </c>
      <c r="C25" s="4" t="s">
        <v>58</v>
      </c>
      <c r="D25" s="16" t="s">
        <v>62</v>
      </c>
      <c r="E25" s="24">
        <v>1</v>
      </c>
      <c r="F25" s="23">
        <v>15000</v>
      </c>
      <c r="G25" s="5">
        <f t="shared" si="0"/>
        <v>15000</v>
      </c>
      <c r="H25" s="3"/>
      <c r="I25" s="1"/>
      <c r="J25" s="1"/>
    </row>
    <row r="26" spans="1:10" ht="15" thickBot="1" x14ac:dyDescent="0.35">
      <c r="A26" s="48"/>
      <c r="B26" s="2" t="s">
        <v>57</v>
      </c>
      <c r="C26" s="4" t="s">
        <v>58</v>
      </c>
      <c r="D26" s="16" t="s">
        <v>63</v>
      </c>
      <c r="E26" s="24">
        <v>1</v>
      </c>
      <c r="F26" s="23">
        <v>12000</v>
      </c>
      <c r="G26" s="5">
        <f t="shared" si="0"/>
        <v>12000</v>
      </c>
      <c r="H26" s="3"/>
      <c r="I26" s="1"/>
      <c r="J26" s="1"/>
    </row>
    <row r="27" spans="1:10" ht="15" thickBot="1" x14ac:dyDescent="0.35">
      <c r="A27" s="48"/>
      <c r="B27" s="2" t="s">
        <v>57</v>
      </c>
      <c r="C27" s="4" t="s">
        <v>58</v>
      </c>
      <c r="D27" s="16" t="s">
        <v>64</v>
      </c>
      <c r="E27" s="24">
        <v>1</v>
      </c>
      <c r="F27" s="23">
        <v>300</v>
      </c>
      <c r="G27" s="5">
        <f t="shared" si="0"/>
        <v>300</v>
      </c>
      <c r="H27" s="3"/>
      <c r="I27" s="1"/>
      <c r="J27" s="1"/>
    </row>
    <row r="28" spans="1:10" ht="15" thickBot="1" x14ac:dyDescent="0.35">
      <c r="A28" s="48"/>
      <c r="B28" s="2" t="s">
        <v>57</v>
      </c>
      <c r="C28" s="4" t="s">
        <v>58</v>
      </c>
      <c r="D28" s="16" t="s">
        <v>65</v>
      </c>
      <c r="E28" s="24">
        <v>1</v>
      </c>
      <c r="F28" s="23">
        <v>200</v>
      </c>
      <c r="G28" s="5">
        <f t="shared" si="0"/>
        <v>200</v>
      </c>
      <c r="H28" s="3"/>
      <c r="I28" s="1"/>
      <c r="J28" s="1"/>
    </row>
    <row r="29" spans="1:10" ht="15" thickBot="1" x14ac:dyDescent="0.35">
      <c r="A29" s="48"/>
      <c r="B29" s="2" t="s">
        <v>57</v>
      </c>
      <c r="C29" s="4" t="s">
        <v>58</v>
      </c>
      <c r="D29" s="16" t="s">
        <v>66</v>
      </c>
      <c r="E29" s="24">
        <v>1</v>
      </c>
      <c r="F29" s="23">
        <v>100</v>
      </c>
      <c r="G29" s="5">
        <f t="shared" si="0"/>
        <v>100</v>
      </c>
      <c r="H29" s="3"/>
      <c r="I29" s="1"/>
      <c r="J29" s="1"/>
    </row>
    <row r="30" spans="1:10" ht="15" thickBot="1" x14ac:dyDescent="0.35">
      <c r="A30" s="48"/>
      <c r="B30" s="2" t="s">
        <v>57</v>
      </c>
      <c r="C30" s="4" t="s">
        <v>58</v>
      </c>
      <c r="D30" s="16" t="s">
        <v>67</v>
      </c>
      <c r="E30" s="24">
        <v>1</v>
      </c>
      <c r="F30" s="23">
        <v>150</v>
      </c>
      <c r="G30" s="5">
        <f t="shared" si="0"/>
        <v>150</v>
      </c>
      <c r="H30" s="3"/>
      <c r="I30" s="1"/>
      <c r="J30" s="1"/>
    </row>
    <row r="31" spans="1:10" s="19" customFormat="1" ht="15" thickBot="1" x14ac:dyDescent="0.35">
      <c r="A31" s="48"/>
      <c r="B31" s="6" t="s">
        <v>57</v>
      </c>
      <c r="C31" s="11" t="s">
        <v>58</v>
      </c>
      <c r="D31" s="38" t="s">
        <v>68</v>
      </c>
      <c r="E31" s="39">
        <v>3</v>
      </c>
      <c r="F31" s="40">
        <v>5000</v>
      </c>
      <c r="G31" s="5">
        <f t="shared" si="0"/>
        <v>15000</v>
      </c>
      <c r="H31" s="12"/>
      <c r="I31" s="13"/>
      <c r="J31" s="14"/>
    </row>
    <row r="32" spans="1:10" ht="15" thickBot="1" x14ac:dyDescent="0.35">
      <c r="A32" s="48"/>
      <c r="B32" s="6" t="s">
        <v>57</v>
      </c>
      <c r="C32" s="11" t="s">
        <v>58</v>
      </c>
      <c r="D32" s="38" t="s">
        <v>69</v>
      </c>
      <c r="E32" s="39">
        <v>1</v>
      </c>
      <c r="F32" s="40">
        <v>9500</v>
      </c>
      <c r="G32" s="5">
        <f t="shared" si="0"/>
        <v>9500</v>
      </c>
      <c r="H32" s="12"/>
      <c r="I32" s="13"/>
      <c r="J32" s="14"/>
    </row>
    <row r="33" spans="1:10" ht="15" thickBot="1" x14ac:dyDescent="0.35">
      <c r="A33" s="48"/>
      <c r="B33" s="2" t="s">
        <v>57</v>
      </c>
      <c r="C33" s="4" t="s">
        <v>58</v>
      </c>
      <c r="D33" s="16" t="s">
        <v>70</v>
      </c>
      <c r="E33" s="41">
        <v>1</v>
      </c>
      <c r="F33" s="23">
        <v>0</v>
      </c>
      <c r="G33" s="5">
        <f t="shared" si="0"/>
        <v>0</v>
      </c>
      <c r="H33" s="56" t="s">
        <v>111</v>
      </c>
      <c r="I33" s="1"/>
      <c r="J33" s="1"/>
    </row>
    <row r="34" spans="1:10" ht="15" thickBot="1" x14ac:dyDescent="0.35">
      <c r="A34" s="48"/>
      <c r="B34" s="2" t="s">
        <v>57</v>
      </c>
      <c r="C34" s="4" t="s">
        <v>58</v>
      </c>
      <c r="D34" s="16" t="s">
        <v>71</v>
      </c>
      <c r="E34" s="41">
        <v>1</v>
      </c>
      <c r="F34" s="23">
        <v>0</v>
      </c>
      <c r="G34" s="5">
        <f t="shared" si="0"/>
        <v>0</v>
      </c>
      <c r="H34" s="56"/>
      <c r="I34" s="1"/>
      <c r="J34" s="1"/>
    </row>
    <row r="35" spans="1:10" ht="15" thickBot="1" x14ac:dyDescent="0.35">
      <c r="A35" s="48"/>
      <c r="B35" s="2" t="s">
        <v>57</v>
      </c>
      <c r="C35" s="4" t="s">
        <v>58</v>
      </c>
      <c r="D35" s="16" t="s">
        <v>72</v>
      </c>
      <c r="E35" s="41">
        <v>1</v>
      </c>
      <c r="F35" s="23">
        <v>0</v>
      </c>
      <c r="G35" s="5">
        <f t="shared" si="0"/>
        <v>0</v>
      </c>
      <c r="H35" s="56"/>
      <c r="I35" s="1"/>
      <c r="J35" s="1"/>
    </row>
    <row r="36" spans="1:10" ht="15" thickBot="1" x14ac:dyDescent="0.35">
      <c r="A36" s="48"/>
      <c r="B36" s="2" t="s">
        <v>57</v>
      </c>
      <c r="C36" s="4" t="s">
        <v>58</v>
      </c>
      <c r="D36" s="16" t="s">
        <v>73</v>
      </c>
      <c r="E36" s="41">
        <v>1</v>
      </c>
      <c r="F36" s="23">
        <v>0</v>
      </c>
      <c r="G36" s="5">
        <f t="shared" si="0"/>
        <v>0</v>
      </c>
      <c r="H36" s="56"/>
      <c r="I36" s="1"/>
      <c r="J36" s="1"/>
    </row>
    <row r="37" spans="1:10" ht="15" thickBot="1" x14ac:dyDescent="0.35">
      <c r="A37" s="48"/>
      <c r="B37" s="2" t="s">
        <v>57</v>
      </c>
      <c r="C37" s="4" t="s">
        <v>58</v>
      </c>
      <c r="D37" s="16" t="s">
        <v>74</v>
      </c>
      <c r="E37" s="41">
        <v>1</v>
      </c>
      <c r="F37" s="23">
        <v>0</v>
      </c>
      <c r="G37" s="5">
        <f t="shared" si="0"/>
        <v>0</v>
      </c>
      <c r="H37" s="56"/>
      <c r="I37" s="1"/>
      <c r="J37" s="1"/>
    </row>
    <row r="38" spans="1:10" ht="15" thickBot="1" x14ac:dyDescent="0.35">
      <c r="A38" s="48"/>
      <c r="B38" s="2" t="s">
        <v>57</v>
      </c>
      <c r="C38" s="4" t="s">
        <v>58</v>
      </c>
      <c r="D38" s="16" t="s">
        <v>75</v>
      </c>
      <c r="E38" s="41">
        <v>1</v>
      </c>
      <c r="F38" s="17"/>
      <c r="G38" s="5">
        <f t="shared" si="0"/>
        <v>0</v>
      </c>
      <c r="H38" s="56"/>
      <c r="I38" s="1"/>
      <c r="J38" s="1"/>
    </row>
    <row r="39" spans="1:10" ht="15" thickBot="1" x14ac:dyDescent="0.35">
      <c r="A39" s="48"/>
      <c r="B39" s="2" t="s">
        <v>57</v>
      </c>
      <c r="C39" s="4" t="s">
        <v>58</v>
      </c>
      <c r="D39" s="16" t="s">
        <v>76</v>
      </c>
      <c r="E39" s="41">
        <v>1</v>
      </c>
      <c r="F39" s="40">
        <v>1000</v>
      </c>
      <c r="G39" s="5">
        <f t="shared" si="0"/>
        <v>1000</v>
      </c>
      <c r="H39" s="3"/>
      <c r="I39" s="1"/>
      <c r="J39" s="1"/>
    </row>
    <row r="40" spans="1:10" ht="15" thickBot="1" x14ac:dyDescent="0.35">
      <c r="A40" s="48"/>
      <c r="B40" s="2" t="s">
        <v>57</v>
      </c>
      <c r="C40" s="4" t="s">
        <v>58</v>
      </c>
      <c r="D40" s="16" t="s">
        <v>77</v>
      </c>
      <c r="E40" s="24">
        <v>1</v>
      </c>
      <c r="F40" s="23">
        <v>500</v>
      </c>
      <c r="G40" s="5">
        <f t="shared" si="0"/>
        <v>500</v>
      </c>
      <c r="H40" s="3"/>
      <c r="I40" s="1"/>
      <c r="J40" s="1"/>
    </row>
    <row r="41" spans="1:10" ht="15" thickBot="1" x14ac:dyDescent="0.35">
      <c r="A41" s="48"/>
      <c r="B41" s="2" t="s">
        <v>57</v>
      </c>
      <c r="C41" s="4" t="s">
        <v>58</v>
      </c>
      <c r="D41" s="16" t="s">
        <v>78</v>
      </c>
      <c r="E41" s="24">
        <v>1</v>
      </c>
      <c r="F41" s="23">
        <v>500</v>
      </c>
      <c r="G41" s="5">
        <f t="shared" si="0"/>
        <v>500</v>
      </c>
      <c r="H41" s="3"/>
      <c r="I41" s="1"/>
      <c r="J41" s="1"/>
    </row>
    <row r="42" spans="1:10" ht="15" thickBot="1" x14ac:dyDescent="0.35">
      <c r="A42" s="48"/>
      <c r="B42" s="2" t="s">
        <v>57</v>
      </c>
      <c r="C42" s="4" t="s">
        <v>58</v>
      </c>
      <c r="D42" s="16" t="s">
        <v>79</v>
      </c>
      <c r="E42" s="24">
        <v>1</v>
      </c>
      <c r="F42" s="23">
        <v>15000</v>
      </c>
      <c r="G42" s="5">
        <f t="shared" si="0"/>
        <v>15000</v>
      </c>
      <c r="H42" s="3"/>
      <c r="I42" s="1"/>
      <c r="J42" s="1"/>
    </row>
    <row r="43" spans="1:10" s="19" customFormat="1" ht="15" thickBot="1" x14ac:dyDescent="0.35">
      <c r="A43" s="48"/>
      <c r="B43" s="6" t="s">
        <v>57</v>
      </c>
      <c r="C43" s="11" t="s">
        <v>58</v>
      </c>
      <c r="D43" s="38" t="s">
        <v>80</v>
      </c>
      <c r="E43" s="39">
        <v>1</v>
      </c>
      <c r="F43" s="40">
        <v>2000</v>
      </c>
      <c r="G43" s="5">
        <f t="shared" si="0"/>
        <v>2000</v>
      </c>
      <c r="H43" s="12"/>
      <c r="I43" s="13"/>
      <c r="J43" s="14"/>
    </row>
    <row r="44" spans="1:10" s="19" customFormat="1" ht="15" thickBot="1" x14ac:dyDescent="0.35">
      <c r="A44" s="48"/>
      <c r="B44" s="6" t="s">
        <v>57</v>
      </c>
      <c r="C44" s="11" t="s">
        <v>58</v>
      </c>
      <c r="D44" s="38" t="s">
        <v>81</v>
      </c>
      <c r="E44" s="39">
        <v>1</v>
      </c>
      <c r="F44" s="40">
        <v>50000</v>
      </c>
      <c r="G44" s="5">
        <f t="shared" si="0"/>
        <v>50000</v>
      </c>
      <c r="H44" s="12"/>
      <c r="I44" s="13"/>
      <c r="J44" s="14"/>
    </row>
    <row r="45" spans="1:10" s="19" customFormat="1" ht="15" thickBot="1" x14ac:dyDescent="0.35">
      <c r="A45" s="48"/>
      <c r="B45" s="6" t="s">
        <v>57</v>
      </c>
      <c r="C45" s="11" t="s">
        <v>58</v>
      </c>
      <c r="D45" s="38" t="s">
        <v>82</v>
      </c>
      <c r="E45" s="39">
        <v>1</v>
      </c>
      <c r="F45" s="40">
        <v>20000</v>
      </c>
      <c r="G45" s="5">
        <f t="shared" si="0"/>
        <v>20000</v>
      </c>
      <c r="H45" s="12"/>
      <c r="I45" s="13"/>
      <c r="J45" s="13"/>
    </row>
    <row r="46" spans="1:10" s="19" customFormat="1" ht="15" thickBot="1" x14ac:dyDescent="0.35">
      <c r="A46" s="48"/>
      <c r="B46" s="6" t="s">
        <v>57</v>
      </c>
      <c r="C46" s="11" t="s">
        <v>58</v>
      </c>
      <c r="D46" s="38" t="s">
        <v>83</v>
      </c>
      <c r="E46" s="39">
        <v>1</v>
      </c>
      <c r="F46" s="40">
        <v>4000</v>
      </c>
      <c r="G46" s="5">
        <f t="shared" si="0"/>
        <v>4000</v>
      </c>
      <c r="H46" s="12"/>
      <c r="I46" s="13"/>
      <c r="J46" s="14"/>
    </row>
    <row r="47" spans="1:10" s="19" customFormat="1" ht="15" thickBot="1" x14ac:dyDescent="0.35">
      <c r="A47" s="48"/>
      <c r="B47" s="6" t="s">
        <v>57</v>
      </c>
      <c r="C47" s="11" t="s">
        <v>58</v>
      </c>
      <c r="D47" s="38" t="s">
        <v>84</v>
      </c>
      <c r="E47" s="39">
        <v>1</v>
      </c>
      <c r="F47" s="40">
        <v>6000</v>
      </c>
      <c r="G47" s="5">
        <f t="shared" si="0"/>
        <v>6000</v>
      </c>
      <c r="H47" s="12"/>
      <c r="I47" s="13"/>
      <c r="J47" s="14"/>
    </row>
    <row r="48" spans="1:10" s="19" customFormat="1" ht="15" thickBot="1" x14ac:dyDescent="0.35">
      <c r="A48" s="48"/>
      <c r="B48" s="6" t="s">
        <v>57</v>
      </c>
      <c r="C48" s="11" t="s">
        <v>58</v>
      </c>
      <c r="D48" s="38" t="s">
        <v>85</v>
      </c>
      <c r="E48" s="39">
        <v>1</v>
      </c>
      <c r="F48" s="40">
        <v>2500</v>
      </c>
      <c r="G48" s="5">
        <f t="shared" si="0"/>
        <v>2500</v>
      </c>
      <c r="H48" s="12"/>
      <c r="I48" s="13"/>
      <c r="J48" s="14"/>
    </row>
    <row r="49" spans="1:10" s="19" customFormat="1" ht="15" thickBot="1" x14ac:dyDescent="0.35">
      <c r="A49" s="48"/>
      <c r="B49" s="6" t="s">
        <v>57</v>
      </c>
      <c r="C49" s="11" t="s">
        <v>58</v>
      </c>
      <c r="D49" s="38" t="s">
        <v>86</v>
      </c>
      <c r="E49" s="39">
        <v>1</v>
      </c>
      <c r="F49" s="40">
        <v>500</v>
      </c>
      <c r="G49" s="5">
        <f t="shared" si="0"/>
        <v>500</v>
      </c>
      <c r="H49" s="12"/>
      <c r="I49" s="13"/>
      <c r="J49" s="14"/>
    </row>
    <row r="50" spans="1:10" s="19" customFormat="1" ht="15" thickBot="1" x14ac:dyDescent="0.35">
      <c r="A50" s="48"/>
      <c r="B50" s="6" t="s">
        <v>57</v>
      </c>
      <c r="C50" s="11" t="s">
        <v>58</v>
      </c>
      <c r="D50" s="38" t="s">
        <v>87</v>
      </c>
      <c r="E50" s="39">
        <v>1</v>
      </c>
      <c r="F50" s="40">
        <v>700</v>
      </c>
      <c r="G50" s="5">
        <f t="shared" si="0"/>
        <v>700</v>
      </c>
      <c r="H50" s="12"/>
      <c r="I50" s="13"/>
      <c r="J50" s="14"/>
    </row>
    <row r="51" spans="1:10" s="19" customFormat="1" ht="15" thickBot="1" x14ac:dyDescent="0.35">
      <c r="A51" s="48"/>
      <c r="B51" s="6" t="s">
        <v>57</v>
      </c>
      <c r="C51" s="11" t="s">
        <v>58</v>
      </c>
      <c r="D51" s="38" t="s">
        <v>88</v>
      </c>
      <c r="E51" s="39">
        <v>1</v>
      </c>
      <c r="F51" s="40">
        <v>1000</v>
      </c>
      <c r="G51" s="5">
        <f t="shared" si="0"/>
        <v>1000</v>
      </c>
      <c r="H51" s="12"/>
      <c r="I51" s="13"/>
      <c r="J51" s="14"/>
    </row>
    <row r="52" spans="1:10" s="19" customFormat="1" ht="15" thickBot="1" x14ac:dyDescent="0.35">
      <c r="A52" s="48"/>
      <c r="B52" s="6" t="s">
        <v>57</v>
      </c>
      <c r="C52" s="11" t="s">
        <v>58</v>
      </c>
      <c r="D52" s="38" t="s">
        <v>89</v>
      </c>
      <c r="E52" s="39">
        <v>1</v>
      </c>
      <c r="F52" s="40">
        <v>10000</v>
      </c>
      <c r="G52" s="5">
        <f t="shared" si="0"/>
        <v>10000</v>
      </c>
      <c r="H52" s="12"/>
      <c r="I52" s="13"/>
      <c r="J52" s="14"/>
    </row>
    <row r="53" spans="1:10" s="19" customFormat="1" ht="15" thickBot="1" x14ac:dyDescent="0.35">
      <c r="A53" s="48"/>
      <c r="B53" s="6" t="s">
        <v>57</v>
      </c>
      <c r="C53" s="11" t="s">
        <v>58</v>
      </c>
      <c r="D53" s="38" t="s">
        <v>90</v>
      </c>
      <c r="E53" s="39">
        <v>1</v>
      </c>
      <c r="F53" s="40">
        <v>20000</v>
      </c>
      <c r="G53" s="5">
        <f t="shared" si="0"/>
        <v>20000</v>
      </c>
      <c r="H53" s="12"/>
      <c r="I53" s="13"/>
      <c r="J53" s="14"/>
    </row>
    <row r="54" spans="1:10" s="19" customFormat="1" ht="15" thickBot="1" x14ac:dyDescent="0.35">
      <c r="A54" s="48"/>
      <c r="B54" s="6" t="s">
        <v>57</v>
      </c>
      <c r="C54" s="11" t="s">
        <v>58</v>
      </c>
      <c r="D54" s="38" t="s">
        <v>91</v>
      </c>
      <c r="E54" s="39">
        <v>1</v>
      </c>
      <c r="F54" s="40">
        <v>5000</v>
      </c>
      <c r="G54" s="5">
        <f t="shared" si="0"/>
        <v>5000</v>
      </c>
      <c r="H54" s="12"/>
      <c r="I54" s="13"/>
      <c r="J54" s="13"/>
    </row>
    <row r="55" spans="1:10" s="19" customFormat="1" ht="15" thickBot="1" x14ac:dyDescent="0.35">
      <c r="A55" s="48"/>
      <c r="B55" s="6" t="s">
        <v>57</v>
      </c>
      <c r="C55" s="11" t="s">
        <v>58</v>
      </c>
      <c r="D55" s="38" t="s">
        <v>90</v>
      </c>
      <c r="E55" s="39">
        <v>1</v>
      </c>
      <c r="F55" s="40">
        <v>20000</v>
      </c>
      <c r="G55" s="5">
        <f t="shared" si="0"/>
        <v>20000</v>
      </c>
      <c r="H55" s="12"/>
      <c r="I55" s="13"/>
      <c r="J55" s="13"/>
    </row>
    <row r="56" spans="1:10" s="19" customFormat="1" ht="15" thickBot="1" x14ac:dyDescent="0.35">
      <c r="A56" s="48"/>
      <c r="B56" s="6" t="s">
        <v>57</v>
      </c>
      <c r="C56" s="11" t="s">
        <v>58</v>
      </c>
      <c r="D56" s="38" t="s">
        <v>92</v>
      </c>
      <c r="E56" s="39">
        <v>4</v>
      </c>
      <c r="F56" s="40">
        <v>2500</v>
      </c>
      <c r="G56" s="5">
        <f t="shared" si="0"/>
        <v>10000</v>
      </c>
      <c r="H56" s="12"/>
      <c r="I56" s="13"/>
      <c r="J56" s="13"/>
    </row>
    <row r="57" spans="1:10" s="19" customFormat="1" ht="15" thickBot="1" x14ac:dyDescent="0.35">
      <c r="A57" s="48"/>
      <c r="B57" s="6" t="s">
        <v>57</v>
      </c>
      <c r="C57" s="11" t="s">
        <v>58</v>
      </c>
      <c r="D57" s="38" t="s">
        <v>93</v>
      </c>
      <c r="E57" s="39">
        <v>2</v>
      </c>
      <c r="F57" s="40">
        <v>150000</v>
      </c>
      <c r="G57" s="5">
        <f t="shared" si="0"/>
        <v>300000</v>
      </c>
      <c r="H57" s="12"/>
      <c r="I57" s="13"/>
      <c r="J57" s="13"/>
    </row>
    <row r="58" spans="1:10" s="19" customFormat="1" ht="15" thickBot="1" x14ac:dyDescent="0.35">
      <c r="A58" s="48"/>
      <c r="B58" s="6" t="s">
        <v>57</v>
      </c>
      <c r="C58" s="11" t="s">
        <v>58</v>
      </c>
      <c r="D58" s="38" t="s">
        <v>94</v>
      </c>
      <c r="E58" s="39">
        <v>1</v>
      </c>
      <c r="F58" s="40">
        <v>130000</v>
      </c>
      <c r="G58" s="5">
        <f t="shared" si="0"/>
        <v>130000</v>
      </c>
      <c r="H58" s="12"/>
      <c r="I58" s="13"/>
      <c r="J58" s="13"/>
    </row>
    <row r="59" spans="1:10" s="19" customFormat="1" ht="15" thickBot="1" x14ac:dyDescent="0.35">
      <c r="A59" s="43"/>
      <c r="B59" s="6" t="s">
        <v>57</v>
      </c>
      <c r="C59" s="11" t="s">
        <v>58</v>
      </c>
      <c r="D59" s="38" t="s">
        <v>95</v>
      </c>
      <c r="E59" s="39">
        <v>1</v>
      </c>
      <c r="F59" s="40">
        <v>28000</v>
      </c>
      <c r="G59" s="5">
        <f t="shared" si="0"/>
        <v>28000</v>
      </c>
      <c r="H59" s="12"/>
      <c r="I59" s="13"/>
      <c r="J59" s="13"/>
    </row>
    <row r="60" spans="1:10" s="19" customFormat="1" ht="29.4" customHeight="1" thickBot="1" x14ac:dyDescent="0.35">
      <c r="A60" s="44" t="s">
        <v>106</v>
      </c>
      <c r="B60" s="31" t="s">
        <v>108</v>
      </c>
      <c r="C60" s="11" t="s">
        <v>26</v>
      </c>
      <c r="D60" s="55" t="s">
        <v>110</v>
      </c>
      <c r="E60" s="6">
        <v>2</v>
      </c>
      <c r="F60" s="20">
        <v>300000</v>
      </c>
      <c r="G60" s="5">
        <f t="shared" si="0"/>
        <v>600000</v>
      </c>
      <c r="H60" s="12"/>
      <c r="I60" s="13"/>
      <c r="J60" s="14"/>
    </row>
    <row r="61" spans="1:10" s="19" customFormat="1" ht="15" thickBot="1" x14ac:dyDescent="0.35">
      <c r="A61" s="46"/>
      <c r="B61" s="33"/>
      <c r="C61" s="11" t="s">
        <v>27</v>
      </c>
      <c r="D61" s="11" t="s">
        <v>28</v>
      </c>
      <c r="E61" s="6">
        <v>2</v>
      </c>
      <c r="F61" s="20">
        <v>300000</v>
      </c>
      <c r="G61" s="5">
        <f t="shared" si="0"/>
        <v>600000</v>
      </c>
      <c r="H61" s="12"/>
      <c r="I61" s="13"/>
      <c r="J61" s="14"/>
    </row>
    <row r="62" spans="1:10" s="54" customFormat="1" x14ac:dyDescent="0.3">
      <c r="A62" s="49" t="s">
        <v>109</v>
      </c>
      <c r="B62" s="50"/>
      <c r="C62" s="51"/>
      <c r="D62" s="52"/>
      <c r="E62" s="52"/>
      <c r="F62" s="52"/>
      <c r="G62" s="53">
        <f>SUM(G2:G61)</f>
        <v>27114950</v>
      </c>
      <c r="H62" s="18"/>
    </row>
    <row r="63" spans="1:10" x14ac:dyDescent="0.3">
      <c r="D63" s="10"/>
      <c r="E63" s="10"/>
      <c r="F63" s="10"/>
      <c r="G63" s="8"/>
      <c r="H63" s="3"/>
    </row>
    <row r="64" spans="1:10" x14ac:dyDescent="0.3">
      <c r="D64" s="10"/>
      <c r="E64" s="10"/>
      <c r="F64" s="10"/>
      <c r="G64" s="8"/>
      <c r="H64" s="3"/>
    </row>
    <row r="65" spans="4:8" x14ac:dyDescent="0.3">
      <c r="D65" s="10"/>
      <c r="E65" s="10"/>
      <c r="F65" s="10"/>
      <c r="G65" s="8"/>
      <c r="H65" s="1"/>
    </row>
  </sheetData>
  <mergeCells count="16">
    <mergeCell ref="H33:H38"/>
    <mergeCell ref="A2:A3"/>
    <mergeCell ref="B11:B14"/>
    <mergeCell ref="B18:B20"/>
    <mergeCell ref="B2:B3"/>
    <mergeCell ref="B4:B5"/>
    <mergeCell ref="B6:B7"/>
    <mergeCell ref="B60:B61"/>
    <mergeCell ref="A60:A61"/>
    <mergeCell ref="B8:B10"/>
    <mergeCell ref="A22:A59"/>
    <mergeCell ref="A18:A20"/>
    <mergeCell ref="A11:A14"/>
    <mergeCell ref="A8:A10"/>
    <mergeCell ref="A6:A7"/>
    <mergeCell ref="A4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WP1</vt:lpstr>
      <vt:lpstr>WP2</vt:lpstr>
      <vt:lpstr>WP3</vt:lpstr>
      <vt:lpstr>WP4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2026-06-25T19:45:45Z</dcterms:created>
  <dcterms:modified xsi:type="dcterms:W3CDTF">2026-06-25T20:14:30Z</dcterms:modified>
</cp:coreProperties>
</file>