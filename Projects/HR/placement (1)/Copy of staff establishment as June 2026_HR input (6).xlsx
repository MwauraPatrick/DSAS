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SAS\Projects\HR\placement (1)\"/>
    </mc:Choice>
  </mc:AlternateContent>
  <bookViews>
    <workbookView xWindow="-120" yWindow="-120" windowWidth="29040" windowHeight="15720"/>
  </bookViews>
  <sheets>
    <sheet name="Sheet1" sheetId="1" r:id="rId1"/>
    <sheet name="Sheet3" sheetId="3" r:id="rId2"/>
    <sheet name="Sheet2" sheetId="2" r:id="rId3"/>
  </sheets>
  <calcPr calcId="152511"/>
</workbook>
</file>

<file path=xl/calcChain.xml><?xml version="1.0" encoding="utf-8"?>
<calcChain xmlns="http://schemas.openxmlformats.org/spreadsheetml/2006/main">
  <c r="F9" i="1" l="1"/>
  <c r="F10" i="1"/>
  <c r="F12" i="1"/>
  <c r="F13" i="1"/>
  <c r="F14"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P4" i="3"/>
  <c r="F11" i="1" s="1"/>
  <c r="P5" i="3"/>
  <c r="P6" i="3"/>
  <c r="P7" i="3"/>
  <c r="P8" i="3"/>
  <c r="P9" i="3"/>
  <c r="P10" i="3"/>
  <c r="P11" i="3"/>
  <c r="P12" i="3"/>
  <c r="P13" i="3"/>
  <c r="F15" i="1" s="1"/>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F202" i="1" s="1"/>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3" i="3"/>
  <c r="F8" i="1" s="1"/>
  <c r="F220" i="3"/>
  <c r="B1" i="3" a="1"/>
  <c r="B1" i="3" s="1"/>
  <c r="L362" i="1" l="1"/>
  <c r="K362" i="1"/>
</calcChain>
</file>

<file path=xl/sharedStrings.xml><?xml version="1.0" encoding="utf-8"?>
<sst xmlns="http://schemas.openxmlformats.org/spreadsheetml/2006/main" count="5099" uniqueCount="967">
  <si>
    <t xml:space="preserve">Programme Code </t>
  </si>
  <si>
    <t>Designation /Position Title</t>
  </si>
  <si>
    <t>Job Group (KIP Grade)</t>
  </si>
  <si>
    <t>Authorized Establishment</t>
  </si>
  <si>
    <t>OFFICE OF THE DIRECTOR GENERAL/ CEO</t>
  </si>
  <si>
    <t>Director General / CEO</t>
  </si>
  <si>
    <t>Technical Assistant</t>
  </si>
  <si>
    <t>Principal Office Administrator</t>
  </si>
  <si>
    <t>Office Administrator/ Senior</t>
  </si>
  <si>
    <t>7/6</t>
  </si>
  <si>
    <t>Principal Driver</t>
  </si>
  <si>
    <t>Driver/Senior</t>
  </si>
  <si>
    <t>11/10</t>
  </si>
  <si>
    <t>Principal Office Assistant</t>
  </si>
  <si>
    <t>Office Assistant/Senior</t>
  </si>
  <si>
    <t>12/11</t>
  </si>
  <si>
    <t>CORPORATION SECRETARY AND DIRECTOR LEGAL SERVICES DIRECTORATE</t>
  </si>
  <si>
    <t>Corporation Secretary and Director Legal Services</t>
  </si>
  <si>
    <t>Deputy Director, Legal Services</t>
  </si>
  <si>
    <t>Assistant Director</t>
  </si>
  <si>
    <t>Principal Legal Officer</t>
  </si>
  <si>
    <t>Legal Officer/Senior</t>
  </si>
  <si>
    <t>Principal Assistant Legal Officer</t>
  </si>
  <si>
    <t>Assistant Legal Officer / Senior</t>
  </si>
  <si>
    <t>9/8</t>
  </si>
  <si>
    <t>Assistant Office Administrator/ Senior</t>
  </si>
  <si>
    <t>RESEARCH AND PRODUCT DEVELOPMENT DIRECTORATE</t>
  </si>
  <si>
    <t>Director, Research and Product Development</t>
  </si>
  <si>
    <t>Chief Research Scientist</t>
  </si>
  <si>
    <t>Driver / Senior</t>
  </si>
  <si>
    <t>Office Assistant / Senior</t>
  </si>
  <si>
    <t>INFECTIOUS DISEASES AND ONE HEALTH DIVISION</t>
  </si>
  <si>
    <t>Deputy Director, Infectious Diseases and One Health</t>
  </si>
  <si>
    <t>Senior Principal, Research Scientist</t>
  </si>
  <si>
    <t>VIROLOGY SECTION</t>
  </si>
  <si>
    <t>Assistant Director, Research</t>
  </si>
  <si>
    <t>Principal Research Scientist</t>
  </si>
  <si>
    <t>Senior Research Scientist</t>
  </si>
  <si>
    <t>Assistant Research Scientist / Research Scientist</t>
  </si>
  <si>
    <t>Principal Laboratory Technician</t>
  </si>
  <si>
    <t>Laboratory Technician/Senior</t>
  </si>
  <si>
    <t>MICROBIOLOGY, PARASITOLOGY AND VECTOR BIOLOGY SECTION</t>
  </si>
  <si>
    <t>IMMUNOLOGY AND VACCINE DEVELOPMENT SECTION</t>
  </si>
  <si>
    <t>ZOONOTIC SURVEILLANCE &amp; DISEASE ECOLOGY SECTION</t>
  </si>
  <si>
    <t>CLIMATE &amp; HEALTH SECTION</t>
  </si>
  <si>
    <t>REPRODUCTIVE HEALTH &amp; BIOLOGY DIVISION</t>
  </si>
  <si>
    <t>Deputy Director, Reproductive Health &amp; Biology</t>
  </si>
  <si>
    <t>Senior Principal Research Scientist</t>
  </si>
  <si>
    <t>REPRODUCTIVE DISEASES AND DISORDERS SECTION</t>
  </si>
  <si>
    <t>CONTRACEPTION AND FAMILY PLANNING SECTION</t>
  </si>
  <si>
    <t>ASSISTED REPRODUCTIVE TECHNOLOGIES SECTION</t>
  </si>
  <si>
    <t>MICROBICIDES AND SEXUALLY TRANSMITTED INFECTIONS SECTION</t>
  </si>
  <si>
    <t>KENYA SNAKEBITE RESEARCH AND INTERVENTION DIVISION</t>
  </si>
  <si>
    <t>Deputy Director, Kenya Snakebite Research and Intervention</t>
  </si>
  <si>
    <t>ANTIVENOM (BIOLOGICS) QUALITY CONTROL, DEVELOPMENT AND PRODUCTION SECTION</t>
  </si>
  <si>
    <t>SNAKEBITE EPIDEMIOLOGY, PUBLIC HEALTH, AND COMMUNITY ENGAGEMENT</t>
  </si>
  <si>
    <t>SNAKEBITE CLINICAL SCIENCES SECTION</t>
  </si>
  <si>
    <t>Principal Animal Health Technician</t>
  </si>
  <si>
    <t>Animal Health Technician / Senior</t>
  </si>
  <si>
    <t>Principal Animal Health Assistant</t>
  </si>
  <si>
    <t>Animal Health Assistant / Senior</t>
  </si>
  <si>
    <t>NON-COMMUNICABLE DISEASES DIVISION</t>
  </si>
  <si>
    <t>Deputy Director, Non-Communicable Diseases</t>
  </si>
  <si>
    <t>NEUROSCIENCES SECTION</t>
  </si>
  <si>
    <t>CANCER, GENETIC AND METABOLIC DISEASES SECTION</t>
  </si>
  <si>
    <t>CHRONIC LUNG DISEASES  SECTION</t>
  </si>
  <si>
    <t>CARDIOVASCULAR, REGENERATIVE AND SPORTS SCIENCES SECTION</t>
  </si>
  <si>
    <t>EVOLUTIONARY ECOLOGY, CONSERVATION &amp; ECOSYSTEM HEALTH DIVISION</t>
  </si>
  <si>
    <t>Deputy Director, Evolutionary Ecology, Conservation &amp; Ecosystem Health</t>
  </si>
  <si>
    <t>POPULATIONS &amp; COMMUNITY ECOLOGY SECTION</t>
  </si>
  <si>
    <t>BEHAVIORAL &amp; APPLIED ECOLOGY SECTION</t>
  </si>
  <si>
    <t>CLIMATE CHANGE, BIODIVERSITY &amp; ECOSYSTEM HEALTH SECTION</t>
  </si>
  <si>
    <t>ANTHROPOLOGY &amp; CONSERVATION SECTION</t>
  </si>
  <si>
    <t>LABORATORY SERVICES SECTION</t>
  </si>
  <si>
    <t>Principal Technician</t>
  </si>
  <si>
    <t>Technician/Senior</t>
  </si>
  <si>
    <t>DATA SCIENCE AND ANALYTICS SECTION</t>
  </si>
  <si>
    <t>ANIMAL SCIENCES, WELFARE AND ETHICS DIRECTORATE</t>
  </si>
  <si>
    <t>Director, Animal Sciences, Welfare and Ethics</t>
  </si>
  <si>
    <t>VETERINARY CLINICAL AND DIAGNOSTIC SERVICES DIVISION</t>
  </si>
  <si>
    <t>Deputy Director, Veterinary Clinical and Diagnostic Services</t>
  </si>
  <si>
    <t>ANIMAL CLINIC AND SURGERY SECTION</t>
  </si>
  <si>
    <t>DIAGNOSTICS LABORATORY AND PATHOLOGY SECTION</t>
  </si>
  <si>
    <t>Laboratory Technician /Senior</t>
  </si>
  <si>
    <t>NATIONAL LABORATORY ANIMAL BREEDING DIVISION</t>
  </si>
  <si>
    <t>Deputy Director, National Laboratory Animal Breeding</t>
  </si>
  <si>
    <t>WELFARE AND ETHICS DIVISION</t>
  </si>
  <si>
    <t>Deputy Director, Research</t>
  </si>
  <si>
    <t>CAPACITY BUILDING, PARTNERSHIP &amp; GRANT MANAGEMENT DIRECTORATE</t>
  </si>
  <si>
    <t>Director Capacity Building, Partnership &amp; Grant Management</t>
  </si>
  <si>
    <t>Assistant Office Administrator /Senior</t>
  </si>
  <si>
    <t>INNOVATION, INCUBATION AND MARKETING DIVISION</t>
  </si>
  <si>
    <t>Deputy Director Innovation, Incubation and Marketing</t>
  </si>
  <si>
    <t>INTELLECTUAL PROPERTY RIGHTS SECTION</t>
  </si>
  <si>
    <t>INDUSTRY LIAISON SECTION</t>
  </si>
  <si>
    <t>Principal Sales and Marketing Officer</t>
  </si>
  <si>
    <t>Sales and Marketing Officer / Senior</t>
  </si>
  <si>
    <t>DRUG DISCOVERY, DEVELOPMENT &amp; DELIVERY SECTION</t>
  </si>
  <si>
    <t>TRAINING &amp; CAPACITY BUILDING DIVISION</t>
  </si>
  <si>
    <t>Deputy Director, Training &amp; Capacity Building</t>
  </si>
  <si>
    <t>TRAINING AND CAPACITY BUILDING SECTION</t>
  </si>
  <si>
    <t>RESOURCE AND KNOWLEDGE MANAGEMENT SECTION</t>
  </si>
  <si>
    <t>Assistant Director Research</t>
  </si>
  <si>
    <t>Principal Knowledge Management Officer</t>
  </si>
  <si>
    <t>Knowledge Management Officer / Senior</t>
  </si>
  <si>
    <t>Assistant Knowledge Management Officer / Senior</t>
  </si>
  <si>
    <t>PARTNERSHIP AND GRANTS MANAGEMENT DIVISION</t>
  </si>
  <si>
    <t>Deputy Director, Partnership and Grants Management</t>
  </si>
  <si>
    <t>Assistant Director,</t>
  </si>
  <si>
    <t>Principal Planning Officer</t>
  </si>
  <si>
    <t>Planning Officer / Senior</t>
  </si>
  <si>
    <t>PLANNING &amp; STRATEGY DIVISION</t>
  </si>
  <si>
    <t>Deputy Director, Planning &amp; Strategy</t>
  </si>
  <si>
    <t>Assistant Director, Planning &amp; Strategy</t>
  </si>
  <si>
    <t>SUPPLY CHAIN MANAGEMENT DIVISION</t>
  </si>
  <si>
    <t>Deputy Director, Supply Chain Management</t>
  </si>
  <si>
    <t>Assistant Director, Supply chain management</t>
  </si>
  <si>
    <t>Principal Supply Chain Management Officer</t>
  </si>
  <si>
    <t>Supply Chain Management Officer /Senior</t>
  </si>
  <si>
    <t>Principal Supply Chain Management Assistant</t>
  </si>
  <si>
    <t>Supply Chain Management Assistant / Senior</t>
  </si>
  <si>
    <t>COOPERATE SERVICES DIRECTORATE</t>
  </si>
  <si>
    <t>Director, Cooperate services</t>
  </si>
  <si>
    <t>HUMAN RESOURCE AND ADMINISTRATION DIVISION</t>
  </si>
  <si>
    <t>Deputy Director, Human Resource and Administration</t>
  </si>
  <si>
    <t>HUMAN RESOURCE MANAGEMENT SECTION</t>
  </si>
  <si>
    <t>Assistant Director, Human Resource Management &amp; Development</t>
  </si>
  <si>
    <t>Principal Human Resource Officer</t>
  </si>
  <si>
    <t>Human Resource Officer/Senior</t>
  </si>
  <si>
    <t>Principal Human Resource Assistant</t>
  </si>
  <si>
    <t>Human Resource Management Assistant / Senior</t>
  </si>
  <si>
    <t>ADMINISTRATION SECTION</t>
  </si>
  <si>
    <t>Assistant Director, Administration</t>
  </si>
  <si>
    <t>Principal Administrative Officer</t>
  </si>
  <si>
    <t>Administrative Officer / Senior</t>
  </si>
  <si>
    <t>Principal Administrative Assistant</t>
  </si>
  <si>
    <t>Administrative Assistant / Senior</t>
  </si>
  <si>
    <t>Technician / Senior</t>
  </si>
  <si>
    <t>Principal Craftsman</t>
  </si>
  <si>
    <t>Craftsman/ Senior</t>
  </si>
  <si>
    <t>Principal Artisan</t>
  </si>
  <si>
    <t>Artisan / Senior</t>
  </si>
  <si>
    <t>Principal Security Assistant</t>
  </si>
  <si>
    <t>Security Assistant / Senior</t>
  </si>
  <si>
    <t>FINANCE AND ACCOUNTS DIVISION</t>
  </si>
  <si>
    <t>Deputy Director, Finance and Accounts</t>
  </si>
  <si>
    <t>FINANCE SECTION</t>
  </si>
  <si>
    <t>Assistant Director, Finance</t>
  </si>
  <si>
    <t>Principal Accountant</t>
  </si>
  <si>
    <t>Accountant / Senior</t>
  </si>
  <si>
    <t>ACCOUNTS SECTION</t>
  </si>
  <si>
    <t>Assistant Director, Accounts</t>
  </si>
  <si>
    <t>Principal Accounts Assistant</t>
  </si>
  <si>
    <t>Accounts Assistant / Senior</t>
  </si>
  <si>
    <t>CORPORATE COMMUNICATION DIVISION</t>
  </si>
  <si>
    <t>Deputy Director, Corporate Communication</t>
  </si>
  <si>
    <t>Assistant Director, Corporate Communication</t>
  </si>
  <si>
    <t>Principal Corporate Communications Officer</t>
  </si>
  <si>
    <t>Corporate Communications Officer / Senior</t>
  </si>
  <si>
    <t>Principal Customer Care Assistant</t>
  </si>
  <si>
    <t>Customer Care Assistant / Senior</t>
  </si>
  <si>
    <t>INFORMATION COMMUNICATION TECHNOLOGY DIVISION</t>
  </si>
  <si>
    <t>Deputy Director, Information Communication Technology</t>
  </si>
  <si>
    <t>Principal Information Communications Technology Officer</t>
  </si>
  <si>
    <t>Information Communications Technology Officer /Senior</t>
  </si>
  <si>
    <t>Principal Assistant Information Communication Technology Officer</t>
  </si>
  <si>
    <t>Assistant Information Communications Technology Officer / Senior</t>
  </si>
  <si>
    <t>INTERNAL AUDIT &amp; RISK ASSURANCE DIRECTORATE</t>
  </si>
  <si>
    <t>Director, Internal Audit &amp; Risk Assurance</t>
  </si>
  <si>
    <t>Deputy Director, Internal Audit &amp; Risk Assurance</t>
  </si>
  <si>
    <t>Assistant Director, Internal Audit &amp; Risk Assurance</t>
  </si>
  <si>
    <t>Principal Auditor</t>
  </si>
  <si>
    <t>Internal Auditor / Senior</t>
  </si>
  <si>
    <t>GRAND TOTAL</t>
  </si>
  <si>
    <t>TABLE I: STAFF ESTABLISHMENT AND PROJECTIONS-KENYA INSTITUTE OF PRIMATE RESEARCH (KIPRE)</t>
  </si>
  <si>
    <t>2025/2026</t>
  </si>
  <si>
    <t>2026/2027</t>
  </si>
  <si>
    <t>2027/2028</t>
  </si>
  <si>
    <t>2028/2029</t>
  </si>
  <si>
    <t>Funded positions</t>
  </si>
  <si>
    <t>Positions to be funded</t>
  </si>
  <si>
    <t>Programme Title</t>
  </si>
  <si>
    <t>In Post as at June 2025</t>
  </si>
  <si>
    <t>Names</t>
  </si>
  <si>
    <t>Dr Mercy Akinyi</t>
  </si>
  <si>
    <t>Collins Melubo</t>
  </si>
  <si>
    <t>Musembi Muthoka</t>
  </si>
  <si>
    <t>Wanjala Wavumbah</t>
  </si>
  <si>
    <t>PhD ongoing</t>
  </si>
  <si>
    <t>Highest qualifications</t>
  </si>
  <si>
    <t>Benjamin Mwongela</t>
  </si>
  <si>
    <t>KIP Grade</t>
  </si>
  <si>
    <t>current grade</t>
  </si>
  <si>
    <t>fellowship, NM8</t>
  </si>
  <si>
    <t>Priscilla Kimiti</t>
  </si>
  <si>
    <t>NM10</t>
  </si>
  <si>
    <t>Kenneth Waititu</t>
  </si>
  <si>
    <t>NM11</t>
  </si>
  <si>
    <t>NM7</t>
  </si>
  <si>
    <t>Career guideline page no.</t>
  </si>
  <si>
    <t>Rose Kavurani</t>
  </si>
  <si>
    <t>Caroline Jerono</t>
  </si>
  <si>
    <t>NM8</t>
  </si>
  <si>
    <t>Hilary Omondi</t>
  </si>
  <si>
    <t>Mary Nzuve</t>
  </si>
  <si>
    <t>Janet Mwadime</t>
  </si>
  <si>
    <t>Fatuma Woche</t>
  </si>
  <si>
    <t>Thomas Adino</t>
  </si>
  <si>
    <t>S/No.</t>
  </si>
  <si>
    <t>Payroll Number</t>
  </si>
  <si>
    <t>Full Name</t>
  </si>
  <si>
    <t>ID Number</t>
  </si>
  <si>
    <t>Gender</t>
  </si>
  <si>
    <t>Age</t>
  </si>
  <si>
    <t>Designation</t>
  </si>
  <si>
    <t>Department</t>
  </si>
  <si>
    <t>Job Group</t>
  </si>
  <si>
    <t>Employment Status</t>
  </si>
  <si>
    <t>ROD</t>
  </si>
  <si>
    <t>Qualification</t>
  </si>
  <si>
    <t>Terms of Employment</t>
  </si>
  <si>
    <t>Ethnicity</t>
  </si>
  <si>
    <t>ADMINISTRATION &amp; HUMAN RESOURCE</t>
  </si>
  <si>
    <t>Dr. Mwethera, Peter Gichuhi</t>
  </si>
  <si>
    <t>M</t>
  </si>
  <si>
    <t xml:space="preserve"> Director General - EL - C01AT</t>
  </si>
  <si>
    <t>Reproductive Health &amp; Biology</t>
  </si>
  <si>
    <t>T</t>
  </si>
  <si>
    <t>0 - Active</t>
  </si>
  <si>
    <t>01/09/2029</t>
  </si>
  <si>
    <t>PhD</t>
  </si>
  <si>
    <t>Local Contract</t>
  </si>
  <si>
    <t>Kikuyu</t>
  </si>
  <si>
    <t>Mrs. Hassan, Hamida Adam</t>
  </si>
  <si>
    <t>F</t>
  </si>
  <si>
    <t>Senior Personal Assistant - EL - T02AN</t>
  </si>
  <si>
    <t>Administration &amp; HR</t>
  </si>
  <si>
    <t>N</t>
  </si>
  <si>
    <t>14/08/2034</t>
  </si>
  <si>
    <t>Higher Diploma</t>
  </si>
  <si>
    <t>Permanent</t>
  </si>
  <si>
    <t>Luhya</t>
  </si>
  <si>
    <t>Mr. Manene, Patrick Kimathi</t>
  </si>
  <si>
    <t>Administrative Officer [1] - EL - C01AN</t>
  </si>
  <si>
    <t>05/04/2032</t>
  </si>
  <si>
    <t>Masters</t>
  </si>
  <si>
    <t>Meru</t>
  </si>
  <si>
    <t>Ms. Ondiba, Stella Nyamorambo</t>
  </si>
  <si>
    <t>Human Resource Officer [1] - EL - C04AN</t>
  </si>
  <si>
    <t>Planning &amp; Strategy</t>
  </si>
  <si>
    <t>05/06/2035</t>
  </si>
  <si>
    <t>Kisii</t>
  </si>
  <si>
    <t>Mr. Ochien'g, Zaddock Ojall</t>
  </si>
  <si>
    <t>Administrative Officer [3] - EL - C01AL</t>
  </si>
  <si>
    <t>L</t>
  </si>
  <si>
    <t>31/07/2027</t>
  </si>
  <si>
    <t>Degree</t>
  </si>
  <si>
    <t>Luo</t>
  </si>
  <si>
    <t>Mr. Owuor, John Robert</t>
  </si>
  <si>
    <t>Human Resource Officer [3] - EL - C04AL</t>
  </si>
  <si>
    <t>30/01/2028</t>
  </si>
  <si>
    <t>Ms. Rotich, Celestine Jepkoech</t>
  </si>
  <si>
    <t>Librarian [2] - EL - M05AK</t>
  </si>
  <si>
    <t>K</t>
  </si>
  <si>
    <t>27/11/2036</t>
  </si>
  <si>
    <t>Diploma</t>
  </si>
  <si>
    <t>Kalenjin</t>
  </si>
  <si>
    <t>Mr. Kioko, Prester Kitonga</t>
  </si>
  <si>
    <t>Higher Clerical Officer - EL - T03AH</t>
  </si>
  <si>
    <t>Public Relations &amp; Marketing</t>
  </si>
  <si>
    <t>H</t>
  </si>
  <si>
    <t>24/02/2035</t>
  </si>
  <si>
    <t>O-Level</t>
  </si>
  <si>
    <t>Kamba</t>
  </si>
  <si>
    <t>Mrs. Muthoni, Elizabeth Ng'ang'a</t>
  </si>
  <si>
    <t>Telephone Officer [1] - EL - M09AJ</t>
  </si>
  <si>
    <t>J</t>
  </si>
  <si>
    <t>19/12/2031</t>
  </si>
  <si>
    <t>A-Level</t>
  </si>
  <si>
    <t>Ms. Lithira, Sabina Nkoyai</t>
  </si>
  <si>
    <t>Telephone Officer [2] - EL - M09AH</t>
  </si>
  <si>
    <t>27/08/2033</t>
  </si>
  <si>
    <t>Miss. Koech, Beatrice Chebet</t>
  </si>
  <si>
    <t>Office Assistant [2] - EL - T04DH</t>
  </si>
  <si>
    <t>Form iv</t>
  </si>
  <si>
    <t>Mrs. Kassim, Kulthum Mohamed</t>
  </si>
  <si>
    <t>Clerical Officer - EL - T03AG</t>
  </si>
  <si>
    <t>G</t>
  </si>
  <si>
    <t>30/04/2032</t>
  </si>
  <si>
    <t>Bajun</t>
  </si>
  <si>
    <t>Miss. Opanga, Brenda Kwamboka</t>
  </si>
  <si>
    <t>22/01/2028</t>
  </si>
  <si>
    <t>ANIMANL SCIENCE WELFARE &amp; ETHICS</t>
  </si>
  <si>
    <t>Dr. Chivatsi, Chai Daniel</t>
  </si>
  <si>
    <t>Chief Veterinary Officer - EL - H04AQ</t>
  </si>
  <si>
    <t>Animal Science &amp;Welfare ethics</t>
  </si>
  <si>
    <t>Q</t>
  </si>
  <si>
    <t>01/07/2025</t>
  </si>
  <si>
    <t>Mijikenda</t>
  </si>
  <si>
    <t>Mrs. Akinyi, Mercy Yvonne</t>
  </si>
  <si>
    <t>Senior Research Scientist [2] - ET - R01AP</t>
  </si>
  <si>
    <t>P</t>
  </si>
  <si>
    <t>30/01/2051</t>
  </si>
  <si>
    <t>Mr. Kariuki, Kenneth Waititu</t>
  </si>
  <si>
    <t>Senior Laboratory Technologist - EL - L07CM</t>
  </si>
  <si>
    <t>09/10/2037</t>
  </si>
  <si>
    <t>Mr. Nashon, Wanjala Wavumbah</t>
  </si>
  <si>
    <t>Veterinary Officer - EL - H04AM</t>
  </si>
  <si>
    <t>30/11/2027</t>
  </si>
  <si>
    <t>Mrs. Mwadime, Janet Mghambi</t>
  </si>
  <si>
    <t>Taita</t>
  </si>
  <si>
    <t>Mrs. Kavurani, Rose Owino</t>
  </si>
  <si>
    <t>Animal Health Technologist [1] - EL - H03FL</t>
  </si>
  <si>
    <t>20/12/2035</t>
  </si>
  <si>
    <t>Mrs. Woche, Fatuma Galgalo</t>
  </si>
  <si>
    <t>Assistant Research Scientist - EL - R01BL</t>
  </si>
  <si>
    <t>Burji</t>
  </si>
  <si>
    <t>Ms. Kimiti, Priscila Wangari</t>
  </si>
  <si>
    <t>Senior Animal Health Assistant - EL - H03EJ</t>
  </si>
  <si>
    <t>06/07/2038</t>
  </si>
  <si>
    <t>Mr. Adino, Thomas Agutu</t>
  </si>
  <si>
    <t>22/07/2029</t>
  </si>
  <si>
    <t xml:space="preserve">Ms. Jerono, Caroline </t>
  </si>
  <si>
    <t>Laboratory Technologist [3] - EL - L07CJ</t>
  </si>
  <si>
    <t>09/05/2048</t>
  </si>
  <si>
    <t>Mr. Omondi, Hillary Ochieng</t>
  </si>
  <si>
    <t>30/06/2025</t>
  </si>
  <si>
    <t>Ms. Kigen, Daisy Jebet</t>
  </si>
  <si>
    <t>01/05/2027</t>
  </si>
  <si>
    <t>Mr. Githinji, James Ndungu</t>
  </si>
  <si>
    <t>Animal Health Assistant [1] - EL - H03EH</t>
  </si>
  <si>
    <t>05/11/2029</t>
  </si>
  <si>
    <t>Ms. Nzuve, Mary Ngusye</t>
  </si>
  <si>
    <t>Laboratory Assistant [2] - EL - L07BH</t>
  </si>
  <si>
    <t>25/05/2035</t>
  </si>
  <si>
    <t>Mr. Alembi, Jason Emmanuel</t>
  </si>
  <si>
    <t>04/08/2034</t>
  </si>
  <si>
    <t>Mr. Ngacha, James Gichuru</t>
  </si>
  <si>
    <t>Curatorial Assistant [2] - EL - M16BH</t>
  </si>
  <si>
    <t>14/09/2036</t>
  </si>
  <si>
    <t>Mr. Nayok, Collins Melubo</t>
  </si>
  <si>
    <t>07/02/2038</t>
  </si>
  <si>
    <t>Maasai</t>
  </si>
  <si>
    <t>Mr. Kiage, Walter Omaribah</t>
  </si>
  <si>
    <t>03/10/2040</t>
  </si>
  <si>
    <t>Mr. Gahoyo, Furaha Ali</t>
  </si>
  <si>
    <t>31/08/2027</t>
  </si>
  <si>
    <t>Mr. Karongo, Stephen Kinyanjui</t>
  </si>
  <si>
    <t>Animal Health Assistant [2] - EL - H03EG</t>
  </si>
  <si>
    <t>16/04/2029</t>
  </si>
  <si>
    <t>Mr. Loitareng, Sammy Poghon</t>
  </si>
  <si>
    <t>Senior Auxiliary staff - EL - T04CG</t>
  </si>
  <si>
    <t>Dr. Mwongela, Benjamin Muuo</t>
  </si>
  <si>
    <t>Fellowship - EL - M16XG</t>
  </si>
  <si>
    <t>31/01/2026</t>
  </si>
  <si>
    <t>Part Time Contract</t>
  </si>
  <si>
    <t>Mr. Momanyi, Sam Ocharo</t>
  </si>
  <si>
    <t>28/02/2026</t>
  </si>
  <si>
    <t>Hannah Ndiko Waweru</t>
  </si>
  <si>
    <t>Animal Health Assistant 11</t>
  </si>
  <si>
    <t>Collins Kivuva Kioko</t>
  </si>
  <si>
    <t>Daniel Obondi Morara</t>
  </si>
  <si>
    <t>Mr. Gichuhi, Jaffer Ibrahim</t>
  </si>
  <si>
    <t>Auxiliary staff [1] - EL - T04CF</t>
  </si>
  <si>
    <t>Mr. Kengo, Isaac Nduka</t>
  </si>
  <si>
    <t>Animal Health Assistant [3] - EL - H03EF</t>
  </si>
  <si>
    <t>16/07/2028</t>
  </si>
  <si>
    <t>Ms. Korir, Gladys Chepkemoi</t>
  </si>
  <si>
    <t>25/12/2048</t>
  </si>
  <si>
    <t>Hillary Kadende Masiva</t>
  </si>
  <si>
    <t>Kennedy Mwangi Kamande</t>
  </si>
  <si>
    <t>CONSERVATION &amp; ECOLOGY</t>
  </si>
  <si>
    <t>Mr. Kivai, Stanslaus Mulu</t>
  </si>
  <si>
    <t>Senior Research Scientist [1] - ET - R01AQ</t>
  </si>
  <si>
    <t>Conservation &amp; Ecology</t>
  </si>
  <si>
    <t>06/11/2046</t>
  </si>
  <si>
    <t>Ms. Otoli, Pauline Muranditsi</t>
  </si>
  <si>
    <t>31/12/2027</t>
  </si>
  <si>
    <t>Ms. Okero, Caroline Achieng'</t>
  </si>
  <si>
    <t>Human Resource Assistant [2] - EL - C04BJ</t>
  </si>
  <si>
    <t>Mr. Nguli, Jonathan Ngalatu</t>
  </si>
  <si>
    <t>kamba</t>
  </si>
  <si>
    <t>Mr. Maingi, Charles Kivasu</t>
  </si>
  <si>
    <t>31/12/2025</t>
  </si>
  <si>
    <t>Mr. Wambua, Tony Muisyo</t>
  </si>
  <si>
    <t>Ms. Mbugua, Joyce Wairimu</t>
  </si>
  <si>
    <t>Miss. Ruth Wambui Mburu</t>
  </si>
  <si>
    <t>30/04/2026</t>
  </si>
  <si>
    <t>Balozi Lekaso</t>
  </si>
  <si>
    <t>Samburu</t>
  </si>
  <si>
    <t>Paxton Kabasa Mugamangi</t>
  </si>
  <si>
    <t>FINANCE &amp; ACCOUNTING</t>
  </si>
  <si>
    <t>Mr. Mohamed, Salla Daudi</t>
  </si>
  <si>
    <t>Principal Accountant - EL - D01AP</t>
  </si>
  <si>
    <t>Finance &amp; Accounting</t>
  </si>
  <si>
    <t>06/09/2026</t>
  </si>
  <si>
    <t>Masters/CPAK</t>
  </si>
  <si>
    <t>Mrs. Njogu, Esther Mukami</t>
  </si>
  <si>
    <t>27/05/2048</t>
  </si>
  <si>
    <t>Mr. Kahethu, Francis Kariuki</t>
  </si>
  <si>
    <t>Accountant [1] - EL - D01AM</t>
  </si>
  <si>
    <t>01/12/2026</t>
  </si>
  <si>
    <t>kikuyu</t>
  </si>
  <si>
    <t>Ms. Musyoka, Cecilia Ndethya</t>
  </si>
  <si>
    <t>Accountant [2] - EL - D01AL</t>
  </si>
  <si>
    <t>Mr. Mwaniki, Samuel Macharia</t>
  </si>
  <si>
    <t>Auditor [1] - EL - D07AL</t>
  </si>
  <si>
    <t>Sylvia mercy Abere</t>
  </si>
  <si>
    <t>Accountant 11</t>
  </si>
  <si>
    <t>Lewis Gitonga Nyaga</t>
  </si>
  <si>
    <t>Embu</t>
  </si>
  <si>
    <t>Janet Wanjui Kinyua</t>
  </si>
  <si>
    <t>Mr. Nkarero, Antony Ntiita</t>
  </si>
  <si>
    <t>31/01/2028</t>
  </si>
  <si>
    <t>INFORMATION COMMUNICATION &amp; TECHNOLOGY</t>
  </si>
  <si>
    <t>Mr. Sing'oei, Johnson Kiplangat</t>
  </si>
  <si>
    <t>Information Communication Technology Officer [2] - EL - M11AL</t>
  </si>
  <si>
    <t>ICT</t>
  </si>
  <si>
    <t>Mr. Kirima, Vincent Mwenda</t>
  </si>
  <si>
    <t>30/06/2026</t>
  </si>
  <si>
    <t>Mr. Chai, David Chivatsi</t>
  </si>
  <si>
    <t>Information Communication Technology Assistant [2] - EL - M11BJ</t>
  </si>
  <si>
    <t>KSRIC</t>
  </si>
  <si>
    <t>Dr. Oluoch, George Omondi</t>
  </si>
  <si>
    <t>Senior Veterinary Officer - EL - H04AP</t>
  </si>
  <si>
    <t>16/09/2045</t>
  </si>
  <si>
    <t>Ms. Ngari, Cecilia Wairimu</t>
  </si>
  <si>
    <t>Ms. Asila, Loreta Anyanje</t>
  </si>
  <si>
    <t>Ms. Antar, Munira Said A</t>
  </si>
  <si>
    <t>02/01/2026</t>
  </si>
  <si>
    <t>Kenyan Arab</t>
  </si>
  <si>
    <t>Mr. Abisai, Fredrick Angote</t>
  </si>
  <si>
    <t>14/07/2025</t>
  </si>
  <si>
    <t>Mr. Musau, Brian Mukeli</t>
  </si>
  <si>
    <t>31/07/2025</t>
  </si>
  <si>
    <t>Mr. Musalia, Miheso Hannington</t>
  </si>
  <si>
    <t xml:space="preserve">Miss. Musabyimana, Valentine </t>
  </si>
  <si>
    <t>other Kenyan</t>
  </si>
  <si>
    <t>Mr. Maalim, Hussein Abass</t>
  </si>
  <si>
    <t>27/02/2026</t>
  </si>
  <si>
    <t>Somali-So-State</t>
  </si>
  <si>
    <t>Mr. Tiyo, Lawi Totana</t>
  </si>
  <si>
    <t>Miss. Saitoti, Anne Sein</t>
  </si>
  <si>
    <t>Mr. Parkurito, Stanley Leteipan</t>
  </si>
  <si>
    <t>30/09/2025</t>
  </si>
  <si>
    <t>Mr. Oluoch, Ezekiel Adino</t>
  </si>
  <si>
    <t>Mr. Kephah, Geofrey Maranga</t>
  </si>
  <si>
    <t>Curatorial Assistant [3] - EL - M16BG</t>
  </si>
  <si>
    <t>Ms. Mukweyi, Pamela Khasandi</t>
  </si>
  <si>
    <t>Mr.. Makuani, Dennis Kotti</t>
  </si>
  <si>
    <t>31/05/2026</t>
  </si>
  <si>
    <t>Mr. Ngage, Tonny Onyango Ouma</t>
  </si>
  <si>
    <t>Mr. Arwa, Steven Wasonga</t>
  </si>
  <si>
    <t>Mr. Micheal, Evans Kisilu</t>
  </si>
  <si>
    <t>30/11/2025</t>
  </si>
  <si>
    <t>Mrs. Ngugi, Cecilia Wangui</t>
  </si>
  <si>
    <t>Mr. Hiribae, Said Rhova</t>
  </si>
  <si>
    <t>Miss. Fiona Kanana Kimathi</t>
  </si>
  <si>
    <t>LIBRARY</t>
  </si>
  <si>
    <t>Mrs. Wafula, Dinah Nanjala</t>
  </si>
  <si>
    <t>Library</t>
  </si>
  <si>
    <t>05/08/2048</t>
  </si>
  <si>
    <t>Mr. Ongata, Evans NickOwuor</t>
  </si>
  <si>
    <t>Mr. Ahomo, Geoff Henderson</t>
  </si>
  <si>
    <t>Mr. Kivite, Joachim Maundu</t>
  </si>
  <si>
    <t>29/12/2027</t>
  </si>
  <si>
    <t>NON COMMUNICABLE DISEASES</t>
  </si>
  <si>
    <t>Mr. Jillani, Edward Ngalla</t>
  </si>
  <si>
    <t>Non-Communicable Diseases</t>
  </si>
  <si>
    <t>13/06/2036</t>
  </si>
  <si>
    <t>Ms. Kimani, Clare Njoki</t>
  </si>
  <si>
    <t>22/09/2051</t>
  </si>
  <si>
    <t>Dr. Ndung'u, Michael Njenga</t>
  </si>
  <si>
    <t>Research Scientist [1] - ET - R01AN</t>
  </si>
  <si>
    <t>02/11/2035</t>
  </si>
  <si>
    <t>Mr. Katana, Gift Thoya</t>
  </si>
  <si>
    <t>Laboratory Assistant [1] - EL - L07BJ</t>
  </si>
  <si>
    <t>29/05/2048</t>
  </si>
  <si>
    <t>ONE HEALTH</t>
  </si>
  <si>
    <t>Dr. Kamau, Joseph Muiruri</t>
  </si>
  <si>
    <t>28/10/2044</t>
  </si>
  <si>
    <t>Mr. Mwandime, Victor Mwaliko</t>
  </si>
  <si>
    <t>One Health</t>
  </si>
  <si>
    <t>01/04/2044</t>
  </si>
  <si>
    <t>Mr. Mutura, Samson Kamawe</t>
  </si>
  <si>
    <t>26/04/2034</t>
  </si>
  <si>
    <t>Mr. Mwaura, Patrick Waweru</t>
  </si>
  <si>
    <t>01/04/2027</t>
  </si>
  <si>
    <t>Ms. Akunda, Irene Karegi</t>
  </si>
  <si>
    <t>29/02/2028</t>
  </si>
  <si>
    <t>Ms. Chege, Mary Njeri</t>
  </si>
  <si>
    <t>30/09/2027</t>
  </si>
  <si>
    <t>Ms. Daisy Karwitha</t>
  </si>
  <si>
    <t>28/02/2028</t>
  </si>
  <si>
    <t>PHYSICAL MAINTENANCE &amp; TRANSPORT</t>
  </si>
  <si>
    <t>Mr. Mugao, Victor Nthiga</t>
  </si>
  <si>
    <t>Senior Procurement Officer - EL - D06AN</t>
  </si>
  <si>
    <t>Supply Chain Management</t>
  </si>
  <si>
    <t>31/12/2034</t>
  </si>
  <si>
    <t>Mr. Murage, Samuel Maina</t>
  </si>
  <si>
    <t>Assistant Transport Officer - EL - U01AK</t>
  </si>
  <si>
    <t>Physical &amp; Transport</t>
  </si>
  <si>
    <t>11/12/2041</t>
  </si>
  <si>
    <t>Mr. Adewa, Damian Okelo</t>
  </si>
  <si>
    <t>23/03/2049</t>
  </si>
  <si>
    <t>Mr. Kaitano, Simon Ashono</t>
  </si>
  <si>
    <t>Driver Grade [3] - EL - U01AF</t>
  </si>
  <si>
    <t>31/12/2031</t>
  </si>
  <si>
    <t xml:space="preserve">Mr. Muthoka, Musembi </t>
  </si>
  <si>
    <t>Driver Grade [2] - EL - U01AG</t>
  </si>
  <si>
    <t>Mr. Runguma, Moses Kirinya</t>
  </si>
  <si>
    <t>Mr. Kuria, Martin Muchoki</t>
  </si>
  <si>
    <t>01/02/2028</t>
  </si>
  <si>
    <t>Ms. Muiruri, Susan Wambui</t>
  </si>
  <si>
    <t>Mr. Langat, Brian Kipngetich</t>
  </si>
  <si>
    <t xml:space="preserve">Mr. Langat, Nicholas </t>
  </si>
  <si>
    <t>13/12/2042</t>
  </si>
  <si>
    <t xml:space="preserve">Mr. Itila, Smith </t>
  </si>
  <si>
    <t>Physical Operations &amp; Maintenance</t>
  </si>
  <si>
    <t>01/07/2034</t>
  </si>
  <si>
    <t>Mr. Luvyu, John Kioko</t>
  </si>
  <si>
    <t>Office Assistant [1] - EL - T04DJ</t>
  </si>
  <si>
    <t>Mr. OYUGA, WILLIAM ODHIAMBO</t>
  </si>
  <si>
    <t>Artisan [2] - EL - U03AH</t>
  </si>
  <si>
    <t>30/11/2033</t>
  </si>
  <si>
    <t>Mr. Lentunta, Philip Stylo</t>
  </si>
  <si>
    <t>Mr. Kikaya, Haruni Angosi</t>
  </si>
  <si>
    <t>Senior Security Guard - EL - O10AG</t>
  </si>
  <si>
    <t>09/07/2027</t>
  </si>
  <si>
    <t>Mr. Kago, Jackson Kamau</t>
  </si>
  <si>
    <t>01/03/2038</t>
  </si>
  <si>
    <t>Mr. Muteti, Francis Sina</t>
  </si>
  <si>
    <t>20/11/2035</t>
  </si>
  <si>
    <t>Form IV</t>
  </si>
  <si>
    <t xml:space="preserve">PLANNING &amp; STRATEGY </t>
  </si>
  <si>
    <t>Mr. Charles, Akama Okioma</t>
  </si>
  <si>
    <t>Information Communication Technology Officer [1] - EL - M11AM</t>
  </si>
  <si>
    <t>Ms. OSORO, EDNA KERUBO</t>
  </si>
  <si>
    <t>Research Scientist [1] - EL - R01AN</t>
  </si>
  <si>
    <t>Detached: 101 - 01/05/2024</t>
  </si>
  <si>
    <t>19/05/2039</t>
  </si>
  <si>
    <t>Mr. Guracha, Halkano Mulo</t>
  </si>
  <si>
    <t>Boran</t>
  </si>
  <si>
    <t xml:space="preserve">Mrs. Makena, Florence </t>
  </si>
  <si>
    <t>PUBLIC RELATION &amp; MARKETING</t>
  </si>
  <si>
    <t>Miss. Mbogori, Lucyline Kinanu</t>
  </si>
  <si>
    <t>Manager - Marketing - EL - D10AQ</t>
  </si>
  <si>
    <t>11/10/2035</t>
  </si>
  <si>
    <t>Miss. Kivuva, Rodah Syombua</t>
  </si>
  <si>
    <t>Audio Visual Media Officer [2] - EL - M06BL</t>
  </si>
  <si>
    <t>Evodia Waithera Kijuu</t>
  </si>
  <si>
    <t>Audio Visual Media Officer</t>
  </si>
  <si>
    <t>Ms. Mukuchia, Sarah Muthoni</t>
  </si>
  <si>
    <t>30/07/2040</t>
  </si>
  <si>
    <t>Ms. Middi, Joyce Akoth</t>
  </si>
  <si>
    <t>Customer Care Assistant [1] - EL - M06DJ</t>
  </si>
  <si>
    <t>Silver Mmatsi Alukavi</t>
  </si>
  <si>
    <t>Customer Care Assistant 11</t>
  </si>
  <si>
    <t>Mr. Wangui, Charles Thige</t>
  </si>
  <si>
    <t>03/02/2032</t>
  </si>
  <si>
    <t>Mr. Mburu, Kenneth Macharia</t>
  </si>
  <si>
    <t>21/03/2037</t>
  </si>
  <si>
    <t>Mrs. Opiyo, Joy Akinyi</t>
  </si>
  <si>
    <t>31/10/2025</t>
  </si>
  <si>
    <t>Ms. Abuya, Alliet Moraa</t>
  </si>
  <si>
    <t>31/08/2025</t>
  </si>
  <si>
    <t>GRANTS MANAGENT &amp; CAPACITY BUILDING</t>
  </si>
  <si>
    <t>Dr. Mwangi, Danson Kareri</t>
  </si>
  <si>
    <t>28/03/2047</t>
  </si>
  <si>
    <t>Mrs. Kamanda, Cynicah Nyaboke</t>
  </si>
  <si>
    <t>Ms. Mayabi, Doreen Nekesa</t>
  </si>
  <si>
    <t>Public Relations Officer [3] - EL - M06DL</t>
  </si>
  <si>
    <t>REPRODUCTIVE HEALTH &amp; BIOLOGY</t>
  </si>
  <si>
    <t xml:space="preserve">Dr. Nyachieo, Atunga </t>
  </si>
  <si>
    <t>Principal Research Scientist - EL - R01AR</t>
  </si>
  <si>
    <t>R</t>
  </si>
  <si>
    <t>04/07/2026</t>
  </si>
  <si>
    <t>Dr.. Adoyo, Pius Aoko</t>
  </si>
  <si>
    <t>22/12/2029</t>
  </si>
  <si>
    <t>Dr. Obiero, Jael Apondi</t>
  </si>
  <si>
    <t>27/03/2038</t>
  </si>
  <si>
    <t>Dr. Irungu, Stella Nyamburu</t>
  </si>
  <si>
    <t>01/04/2055</t>
  </si>
  <si>
    <t>Dr. Chepkwony, Sharon Cherotich</t>
  </si>
  <si>
    <t>25/09/2054</t>
  </si>
  <si>
    <t>Dr. Juma, Almas Ramathan</t>
  </si>
  <si>
    <t>Senior Research Scientist [2] - EL - R01AP</t>
  </si>
  <si>
    <t>Mr. Kiulia, Nicholas Mukaria</t>
  </si>
  <si>
    <t>28/12/2050</t>
  </si>
  <si>
    <t>Mr. Kunyera, Robert Mwangi</t>
  </si>
  <si>
    <t>Research Scientist [2] - ET - R01AM</t>
  </si>
  <si>
    <t>25/08/2053</t>
  </si>
  <si>
    <t>Ms. Hassan, Fatima Hussein</t>
  </si>
  <si>
    <t>Research Scientist [2] - EL - R01AM</t>
  </si>
  <si>
    <t>Mr. Kariuki, Christopher Kinyanjui</t>
  </si>
  <si>
    <t>14/10/2042</t>
  </si>
  <si>
    <t>Ms. Juma, Angela Anyango</t>
  </si>
  <si>
    <t>01/08/2027</t>
  </si>
  <si>
    <t>Miss. Oreng, Purity Apiyo</t>
  </si>
  <si>
    <t>01/09/2025</t>
  </si>
  <si>
    <t>Mr. Mwaura, David Kiragu</t>
  </si>
  <si>
    <t>Arthur Israel Wafula</t>
  </si>
  <si>
    <t>Assistant Research Scientist</t>
  </si>
  <si>
    <t>Lewis Mungoma Ngalla</t>
  </si>
  <si>
    <t>Ms. Galo, Mary Ingasiani</t>
  </si>
  <si>
    <t>Laboratory Technologist [2] - EL - L07CK</t>
  </si>
  <si>
    <t>22/12/2026</t>
  </si>
  <si>
    <t>Mrs. Akunga, Tabitha Nyaboke</t>
  </si>
  <si>
    <t>23/09/2026</t>
  </si>
  <si>
    <t>Ms. Mutai, Ivy Jepkurui</t>
  </si>
  <si>
    <t>07/08/2025</t>
  </si>
  <si>
    <t>kalenjin</t>
  </si>
  <si>
    <t xml:space="preserve">Mr. Nyongesa, Justus </t>
  </si>
  <si>
    <t>Kathryn Nderitu Wanjiku</t>
  </si>
  <si>
    <t>Fellowship</t>
  </si>
  <si>
    <t>SECURITY</t>
  </si>
  <si>
    <t>Mr. Njoroge, Peter Karanu</t>
  </si>
  <si>
    <t>Senior Security Officer - EL - O10AL</t>
  </si>
  <si>
    <t>Security</t>
  </si>
  <si>
    <t>31/12/2026</t>
  </si>
  <si>
    <t xml:space="preserve">Mr. Nyamweya, Justin </t>
  </si>
  <si>
    <t>Senior Security Supervisor - EL - O10AJ</t>
  </si>
  <si>
    <t>20/05/2041</t>
  </si>
  <si>
    <t>Mr. Kariuki, John Mureri</t>
  </si>
  <si>
    <t>30/09/2031</t>
  </si>
  <si>
    <t>Mr. Ashanda, Garicha Mega</t>
  </si>
  <si>
    <t>07/05/2029</t>
  </si>
  <si>
    <t>Mr. Abduba, Mohamed Noor</t>
  </si>
  <si>
    <t>Security Guard [1] - EL - O10AF</t>
  </si>
  <si>
    <t>28/08/2039</t>
  </si>
  <si>
    <t>Mr. Nyapala, Joel Lwomba</t>
  </si>
  <si>
    <t>02/06/2025</t>
  </si>
  <si>
    <t>SUPPLY CHAIN MANAGEMENT</t>
  </si>
  <si>
    <t>Mrs. Maimuna, Juma Alhamid</t>
  </si>
  <si>
    <t>Human Resource Officer [2] - EL - C04AM</t>
  </si>
  <si>
    <t>24/05/2041</t>
  </si>
  <si>
    <t>Mr. Obinge, Francis Oyoo</t>
  </si>
  <si>
    <t>05/06/2029</t>
  </si>
  <si>
    <t>Mr. Gitahi, Elias Mukundi</t>
  </si>
  <si>
    <t>Procurement Assistant [1] - EL - D06BJ</t>
  </si>
  <si>
    <t>17/08/2034</t>
  </si>
  <si>
    <t>Miss. Nyanchama, Happiness Omanwa</t>
  </si>
  <si>
    <t>01/02/2045</t>
  </si>
  <si>
    <t>Mr. Oloo, Joseoh Odwori</t>
  </si>
  <si>
    <t>Procurement Assistant [2] - EL - D06BH</t>
  </si>
  <si>
    <t>21/11/2035</t>
  </si>
  <si>
    <t>Mr. Musau, Abednego Makuthi</t>
  </si>
  <si>
    <t>TROPICA INFECTIOUS DISEASES</t>
  </si>
  <si>
    <t>Dr. Ozwara, Hastings Suba</t>
  </si>
  <si>
    <t>Chief Research Scientist - ET - R01AS</t>
  </si>
  <si>
    <t>Tropical Infectious Diseases</t>
  </si>
  <si>
    <t>S</t>
  </si>
  <si>
    <t>14/03/2037</t>
  </si>
  <si>
    <t>Dr. Ochola, Lucy Atieno</t>
  </si>
  <si>
    <t>04/10/2045</t>
  </si>
  <si>
    <t>Mrs. Onditi, Faith Isdorah</t>
  </si>
  <si>
    <t>19/11/2052</t>
  </si>
  <si>
    <t>Mr. Wanjohi, Elephas Munene</t>
  </si>
  <si>
    <t>18/09/2036</t>
  </si>
  <si>
    <t>Mrs. Kagasi, Esther Ambogo</t>
  </si>
  <si>
    <t>29/11/2039</t>
  </si>
  <si>
    <t>Miss. Nyakundi, Ruth Kerubo</t>
  </si>
  <si>
    <t>25/09/2045</t>
  </si>
  <si>
    <t>Ms. Maranga, Dawn Nyawira</t>
  </si>
  <si>
    <t>Detached: 104 - 31/01/2024</t>
  </si>
  <si>
    <t>Mr. Alfred, Martin Omondi</t>
  </si>
  <si>
    <t>28/09/2059</t>
  </si>
  <si>
    <t>Mr. Opiyo, Elisha Okeyo</t>
  </si>
  <si>
    <t>31/03/2026</t>
  </si>
  <si>
    <t>Ms. Kimata, Yvonne Mukami</t>
  </si>
  <si>
    <t>01/07/2027</t>
  </si>
  <si>
    <t>Rebeccah Moraa Ayako</t>
  </si>
  <si>
    <t>Research Scientist 11</t>
  </si>
  <si>
    <t>Mr. Collins, Otengo Ngudi</t>
  </si>
  <si>
    <t>15/01/2040</t>
  </si>
  <si>
    <t xml:space="preserve">Miss. Nyanchama, Kelly </t>
  </si>
  <si>
    <t>Mr. Khadiagala, Kelly Mwangani</t>
  </si>
  <si>
    <t>Miss. Carorylne Kerubo Uhuru</t>
  </si>
  <si>
    <t>Mr. Lekadaa Sirere Jonathan</t>
  </si>
  <si>
    <t>TOP MANAGEMENT</t>
  </si>
  <si>
    <t xml:space="preserve"> Director General </t>
  </si>
  <si>
    <t>Ag.Director Research &amp; Product</t>
  </si>
  <si>
    <t>Ag.Director Capacity,Partnership &amp; Grants</t>
  </si>
  <si>
    <t>Ag.Deputy Director Corporate services</t>
  </si>
  <si>
    <t>Ass.Deputy Director/Principal Accountant</t>
  </si>
  <si>
    <t>Ag. Corporation Secretary</t>
  </si>
  <si>
    <t>DOE</t>
  </si>
  <si>
    <t xml:space="preserve">PhD </t>
  </si>
  <si>
    <t>Bachelors/Higher Diploma</t>
  </si>
  <si>
    <t>Certificate</t>
  </si>
  <si>
    <t>KCSE</t>
  </si>
  <si>
    <t>KCPE</t>
  </si>
  <si>
    <t>Proffesional Qualification</t>
  </si>
  <si>
    <t>PhD in Philosophy</t>
  </si>
  <si>
    <t>Master in Science</t>
  </si>
  <si>
    <t>Bachelor of Science</t>
  </si>
  <si>
    <t>Diploma in HRM, PR</t>
  </si>
  <si>
    <t>Master in Public Policy and Administration</t>
  </si>
  <si>
    <t>Bachelor of Arts</t>
  </si>
  <si>
    <t>Diploma in Human Resource Management</t>
  </si>
  <si>
    <t>IHRM, HRMPB, KSG (Strategic Leadership Development Programme, Senior Management Course)</t>
  </si>
  <si>
    <t>Bachelorof Business Management ( Supplies and Procurement option)</t>
  </si>
  <si>
    <t>KISM</t>
  </si>
  <si>
    <t>Master of Business Administration,Finace Option</t>
  </si>
  <si>
    <t>Bachelor of Arts in Commerce</t>
  </si>
  <si>
    <t>Diploma in Business Management in TEP</t>
  </si>
  <si>
    <t>Certificate in Public Accounts</t>
  </si>
  <si>
    <t>ICPAK</t>
  </si>
  <si>
    <t>Bachelor of Arts In Human Resource</t>
  </si>
  <si>
    <t>Bachelor of Business Administration,with IT(Finance Option)</t>
  </si>
  <si>
    <t>Higher Diploma in Archives and Records  Management</t>
  </si>
  <si>
    <t>Diploma in Telephone Receptionist</t>
  </si>
  <si>
    <t xml:space="preserve">Certificate in Telephone Teceptionist and Supervision </t>
  </si>
  <si>
    <t>Diploma in Human Resource</t>
  </si>
  <si>
    <t>Master of Science in Veterinary Pathology and Diagnostics</t>
  </si>
  <si>
    <t>Bachelor of Veterinary Medicine</t>
  </si>
  <si>
    <t>Advanced Certificate of Education</t>
  </si>
  <si>
    <t>Senior Management Course</t>
  </si>
  <si>
    <t>Dr. Akinyi, Mercy Yvonne</t>
  </si>
  <si>
    <t>Doctor of Philosophy</t>
  </si>
  <si>
    <t>Master of Science in Medical physiology</t>
  </si>
  <si>
    <t>Bachelor o of veterinary medicine</t>
  </si>
  <si>
    <t>Certificate of Registration of a Veterinary Surgeon</t>
  </si>
  <si>
    <t>Master of Science in Medical Microbiology</t>
  </si>
  <si>
    <t>Bachelor of Science in Public Health</t>
  </si>
  <si>
    <t>Diploma in Medical  Laboratory Technology</t>
  </si>
  <si>
    <t>Master of Science in Veterinary Epidemiology and Economics.</t>
  </si>
  <si>
    <t>Bachelor of veterinary medicine</t>
  </si>
  <si>
    <t>Master of Science of Health of Acquatic Animal Resources</t>
  </si>
  <si>
    <t>Master of Science in Molecular Biology and Bionformatics</t>
  </si>
  <si>
    <t>Bachelor of Science in Medical Microbiology</t>
  </si>
  <si>
    <t>Higher Diploma in Biotechnology, Diploma in Applied Biology.</t>
  </si>
  <si>
    <t>Certificate in Science Laboratory Technician.</t>
  </si>
  <si>
    <t>Bachelor of Science in Animal Science</t>
  </si>
  <si>
    <t>Certificate in Animal Health</t>
  </si>
  <si>
    <t>Certificate in Baboon Insertable Cardiac Monitor Project</t>
  </si>
  <si>
    <t>Bachelor of Science of Technology and Applied Biology</t>
  </si>
  <si>
    <t>Diploma in Technology (INDUSTRIAL AND APPLIED BIOLOGY)</t>
  </si>
  <si>
    <t>Certificate in Medical  Laboratory  Science lab</t>
  </si>
  <si>
    <t>Bachelor of Science of Technology in Biotechnology</t>
  </si>
  <si>
    <t>Diploma in Applied Biology</t>
  </si>
  <si>
    <t>13/08/2015</t>
  </si>
  <si>
    <t>Diploma in Technology (Industrial and Applied Biology</t>
  </si>
  <si>
    <t>Diploma in Community Nutrition</t>
  </si>
  <si>
    <t xml:space="preserve">Certificate in Medical Laboratory Science </t>
  </si>
  <si>
    <t>Certificate in Store Keeping</t>
  </si>
  <si>
    <t>Certificate in Library Studies</t>
  </si>
  <si>
    <t>Certificate in Technical Education</t>
  </si>
  <si>
    <t>Ordinary Diploma in Clearing,Forwarding and Shipping Procedure.</t>
  </si>
  <si>
    <t>Masters of Arts (Heath Social Science)</t>
  </si>
  <si>
    <t>Bachelor of Science (Enviromental Heath)</t>
  </si>
  <si>
    <t>Diploma in Enviromental Studies</t>
  </si>
  <si>
    <t>Dr. Kivai, Stanslaus Mulu</t>
  </si>
  <si>
    <t xml:space="preserve">Doctor of Philosophy </t>
  </si>
  <si>
    <t>Masters of Science in Biology, Dryland Biodiversity</t>
  </si>
  <si>
    <t>Bachelor of Science in Nutural Resources Management</t>
  </si>
  <si>
    <t>Bachelor of Science in Natural Resources (Wildlife management option)</t>
  </si>
  <si>
    <t>Diploma in Business Administration</t>
  </si>
  <si>
    <t>20/05/1992</t>
  </si>
  <si>
    <t>Diploma Wildlife /Forestry Conservation</t>
  </si>
  <si>
    <t>Master of Science in Biology of Conservation</t>
  </si>
  <si>
    <t>Bachelor of Science( in Environmental Conservation &amp; Natural Resource Management)</t>
  </si>
  <si>
    <t>Bachelor Of Science</t>
  </si>
  <si>
    <t>Bachelor of Science in Environmental Studies(Planning&amp;Management</t>
  </si>
  <si>
    <t>Bachelor of Science in Wildlife Enterprise&amp; Management</t>
  </si>
  <si>
    <t>Bachelor of Environmental Studies-Science(Enviromental Biology&amp; Health)</t>
  </si>
  <si>
    <t>Bachelor of Science (Conservation Biology)</t>
  </si>
  <si>
    <t>26/02/1992</t>
  </si>
  <si>
    <t>Bachelor of Business Management (Accounting)</t>
  </si>
  <si>
    <t>CPAK</t>
  </si>
  <si>
    <t>16/06/2009</t>
  </si>
  <si>
    <t>Master of Arts in Finance</t>
  </si>
  <si>
    <t>KATC</t>
  </si>
  <si>
    <t>Bachelor of Arts Commerce</t>
  </si>
  <si>
    <t>Bachelor of Commerce (Accounting)</t>
  </si>
  <si>
    <t>Bachelor of Commerce (Finance)</t>
  </si>
  <si>
    <t>20/01/2022</t>
  </si>
  <si>
    <t>Certificate in Early Childhood Development</t>
  </si>
  <si>
    <t>15/07/2020</t>
  </si>
  <si>
    <t>Bachelor of Science in Statistics and Programming</t>
  </si>
  <si>
    <t>Bachelor of Arts in IT</t>
  </si>
  <si>
    <t>Diploma In IT</t>
  </si>
  <si>
    <t>21/02/2022</t>
  </si>
  <si>
    <t>Diploma in Health  Records and Informatiom Technology</t>
  </si>
  <si>
    <t>Master of Science in Tropical and Infectious Diseases</t>
  </si>
  <si>
    <t>Certificate of Registration of A Veterinary Surgeon</t>
  </si>
  <si>
    <t>Bachelor of Science in Nursing</t>
  </si>
  <si>
    <t>Nursing Council Of Kenya</t>
  </si>
  <si>
    <t>Bachelor of Science in Biostatistics</t>
  </si>
  <si>
    <t>Bachelor of Science in Microbiology</t>
  </si>
  <si>
    <t>Bachelor of Science Microbiology</t>
  </si>
  <si>
    <t xml:space="preserve">certificate in intoduction to biology </t>
  </si>
  <si>
    <t>Diploma in Food Technology</t>
  </si>
  <si>
    <t>Certificate in Food Technology Processing and Preservation</t>
  </si>
  <si>
    <t>Bachelor of Science in Biology</t>
  </si>
  <si>
    <t xml:space="preserve">Diploma in Modern Humanities </t>
  </si>
  <si>
    <t>None</t>
  </si>
  <si>
    <t>Diploma in Community Health Nursing</t>
  </si>
  <si>
    <t>Bachelor of Education in Early Childhood Education</t>
  </si>
  <si>
    <t xml:space="preserve">Diploma in Early Childhood Education </t>
  </si>
  <si>
    <t>Certificate in Early Childhood Education</t>
  </si>
  <si>
    <t>Diploma in Tour Guide and Administration</t>
  </si>
  <si>
    <t>Certificate in Tour Guiding and Administration</t>
  </si>
  <si>
    <t>Bachelor of Science in Biotechnology</t>
  </si>
  <si>
    <t>Bachelor of Science ( major Biology ) Biomedical Option</t>
  </si>
  <si>
    <t>Diploma in Technology ( Biochemistry)</t>
  </si>
  <si>
    <t>16/07/2024</t>
  </si>
  <si>
    <t>Bachelor Of Arts (Anthropology)</t>
  </si>
  <si>
    <t>Bachelor of Science in Statistics</t>
  </si>
  <si>
    <t>Diploma in Registered Nursing</t>
  </si>
  <si>
    <t>Bachelor of Arts in Information Studies</t>
  </si>
  <si>
    <t>25/01/2022</t>
  </si>
  <si>
    <t>Master of Arts</t>
  </si>
  <si>
    <t>Kenya Advanced  Certification of Education</t>
  </si>
  <si>
    <t>Doctor of Philosophy (Pharmacology)</t>
  </si>
  <si>
    <t>Masters of Science (In pharmacology and Toxicology)</t>
  </si>
  <si>
    <t>Bachelor of Science (Biomedical Science and Technology) Pharmacology and Physiology option</t>
  </si>
  <si>
    <t>Masters of Master of Philosophy</t>
  </si>
  <si>
    <t>Bachelor of Science of Veterinary Medicine</t>
  </si>
  <si>
    <t>kenya Advanced Certficate of Education</t>
  </si>
  <si>
    <t>13/12/2007</t>
  </si>
  <si>
    <t>Diploma in Technology (Industrial and Applied Biology)</t>
  </si>
  <si>
    <t xml:space="preserve">Doctor of Phillosophy </t>
  </si>
  <si>
    <t>Master of Science (In Animal Breeding and Genetics)</t>
  </si>
  <si>
    <t>Certificate of Registration of a Veterinary Surgeon.</t>
  </si>
  <si>
    <t>Bachelor of Science in Biochemisry</t>
  </si>
  <si>
    <t>Bachelor of Science in Animal Production</t>
  </si>
  <si>
    <t>13/04/2021</t>
  </si>
  <si>
    <t>Bachelor of Science of Applied Statistics with Computing</t>
  </si>
  <si>
    <t>Bachelor of Science in Microbiology  and Biotechnology</t>
  </si>
  <si>
    <t>Masters of Science in bioinformatics and Molecular Biology</t>
  </si>
  <si>
    <t>Bachelor of Science in Biochemistry and Molecular Biology</t>
  </si>
  <si>
    <t xml:space="preserve"> Driving License</t>
  </si>
  <si>
    <t>Bachelor of Management and Leadership</t>
  </si>
  <si>
    <t>Driving License</t>
  </si>
  <si>
    <t>23/01/2017</t>
  </si>
  <si>
    <t>Certificate in Automotive Engineering , Driving License</t>
  </si>
  <si>
    <t>15/02/2022</t>
  </si>
  <si>
    <t>23/01/2022</t>
  </si>
  <si>
    <t>Diploma in Building and Civil Engineering</t>
  </si>
  <si>
    <t>Mr. Mulwa, Isaac Kavuta</t>
  </si>
  <si>
    <t>Human Resource Assistant [1] - EL - C04BK</t>
  </si>
  <si>
    <t>Certificate in Masonry</t>
  </si>
  <si>
    <t>Certificate in Computer Networking Engineering</t>
  </si>
  <si>
    <r>
      <rPr>
        <b/>
        <sz val="12"/>
        <color rgb="FF000000"/>
        <rFont val="Times New Roman"/>
        <family val="1"/>
      </rPr>
      <t>PLANNING &amp; STRATEGY</t>
    </r>
    <r>
      <rPr>
        <sz val="11"/>
        <color rgb="FF000000"/>
        <rFont val="Times New Roman"/>
        <family val="1"/>
      </rPr>
      <t xml:space="preserve"> </t>
    </r>
  </si>
  <si>
    <t xml:space="preserve">Master of Arts in Human Resource </t>
  </si>
  <si>
    <t>Bachelor in Business Administration  in Resourse Management</t>
  </si>
  <si>
    <t>Diploma in Business Administration,Diploma in Human Resource Management</t>
  </si>
  <si>
    <t>Certificate in Business Management,Certificate in co-operative mangement</t>
  </si>
  <si>
    <t>KSG ( Conduct of Meetings and Minute Writing, Corporate Governance)</t>
  </si>
  <si>
    <t>BSc in Analytical Chemistry</t>
  </si>
  <si>
    <t>Master of Arts in Enterpreneurship</t>
  </si>
  <si>
    <t>Bachelor of Arts in Business Administration</t>
  </si>
  <si>
    <t>Public Relations Society of Kenya certificate</t>
  </si>
  <si>
    <t>Bachelor of Arts Journalism and Media studies</t>
  </si>
  <si>
    <t>Bachelor Education Arts with IT</t>
  </si>
  <si>
    <t>Bachelor of Arts in Psycology &amp; Couselling</t>
  </si>
  <si>
    <t>Diplomain Business Administration</t>
  </si>
  <si>
    <t>Certificate in Management</t>
  </si>
  <si>
    <t>Diploma in Front Office Operations &amp; Administration, House keeping and Accomodation Studies,and Intenantional Business Communications</t>
  </si>
  <si>
    <t>Diploma in Business Tourism Management</t>
  </si>
  <si>
    <t xml:space="preserve">Certificate in Purchasing and Supplies Management </t>
  </si>
  <si>
    <t>Certificate in Tours and Travel Course</t>
  </si>
  <si>
    <t>|Bachelor Arts Journalism</t>
  </si>
  <si>
    <t>Bachelor of Business information Technology</t>
  </si>
  <si>
    <t>Doctor of Philosophy  in Biomedical Sciences</t>
  </si>
  <si>
    <t>Master of Science in Molecular biology</t>
  </si>
  <si>
    <t xml:space="preserve">Bachelor of Science </t>
  </si>
  <si>
    <t>KSG(Strategic Leadership Development Program, Corporate Governace)</t>
  </si>
  <si>
    <t>Doctor in philosophy</t>
  </si>
  <si>
    <t xml:space="preserve">Master </t>
  </si>
  <si>
    <t>Diploma in Biochemical Methods</t>
  </si>
  <si>
    <t>Certificate for medical research fellow, Participate in International congress on fertilization,Embryo Development and Implantation,attended sperm function workshop</t>
  </si>
  <si>
    <t>Doctor of Philosophy (Medical Microbiology)</t>
  </si>
  <si>
    <t>Master in Comparative Mammalian Physiology</t>
  </si>
  <si>
    <t>Bachelor of Education (science)</t>
  </si>
  <si>
    <t>Master in biochemical science(medical microbiology)</t>
  </si>
  <si>
    <t>Bachelor of Science in  Biomedical Technology</t>
  </si>
  <si>
    <t>Doctor of Philosophy  in Veterinary Science</t>
  </si>
  <si>
    <t>Master of Science Immunilogy</t>
  </si>
  <si>
    <t xml:space="preserve"> Bachelor of Education (Science)</t>
  </si>
  <si>
    <t>Doctor of Phillosophy</t>
  </si>
  <si>
    <t>Master of Science</t>
  </si>
  <si>
    <t>Bachelor of Science (in Biomedical Technology)</t>
  </si>
  <si>
    <t xml:space="preserve">Masters of Science in tropical and infectious disease </t>
  </si>
  <si>
    <t>Bachelor of Science in Medical laboratory Science</t>
  </si>
  <si>
    <t>Contract Ended: 01/03/2024</t>
  </si>
  <si>
    <t>01/03/2024</t>
  </si>
  <si>
    <t>Master of Business Administration</t>
  </si>
  <si>
    <t>Advanced Diploma in Medical Laboratory Science</t>
  </si>
  <si>
    <t>Doctor of Philosophy  in Bioengeneering Sciences</t>
  </si>
  <si>
    <t>Master of Science in Molecular Biology</t>
  </si>
  <si>
    <t>Bachelor of Science (Biomedical Science and Technology) Medical Biotechnology option.</t>
  </si>
  <si>
    <t>17/09/2021</t>
  </si>
  <si>
    <t>Bachelor of Technology in Biotechnology</t>
  </si>
  <si>
    <t>30/08/2021</t>
  </si>
  <si>
    <t>Masters of Science in Molecular Biology and Bioinformatics</t>
  </si>
  <si>
    <t>Bachelor of Science in Microbiology and Biotechnology</t>
  </si>
  <si>
    <t>Bachelor of Science (Molecular &amp; Cellular Biology)</t>
  </si>
  <si>
    <t>Mr. Omolo, Erick Otieno</t>
  </si>
  <si>
    <t>19/10/2025</t>
  </si>
  <si>
    <t>Diploma in Industrial Microbiology</t>
  </si>
  <si>
    <t>Certificate in Junior laboratory Technicians</t>
  </si>
  <si>
    <t>Certificate in Office Practice</t>
  </si>
  <si>
    <t xml:space="preserve">Bachelor of Science in biochemistry </t>
  </si>
  <si>
    <t>Doctor of Phillosophy in Biochemistry</t>
  </si>
  <si>
    <t>Master of Science (BioChemistry)</t>
  </si>
  <si>
    <t>Advanced Diploma in Management Studies</t>
  </si>
  <si>
    <t>Diploma in Business Studies, Management studies</t>
  </si>
  <si>
    <t>Diploma in Security Management</t>
  </si>
  <si>
    <t>Certificate in National Youtj Service</t>
  </si>
  <si>
    <t>14/11/1995</t>
  </si>
  <si>
    <t>Bachelor of Science in procurement &amp; Contract Management</t>
  </si>
  <si>
    <t>Diploma in Sales Management and Marketing</t>
  </si>
  <si>
    <t>Master of Business Administration (Human Resource Management)</t>
  </si>
  <si>
    <t>Higher Diploma in Human Resources management</t>
  </si>
  <si>
    <t>Diploma in Leadership Studies</t>
  </si>
  <si>
    <t>Advanced Diploma in Business Tech Education Programme Advanced Diploma in Business Administration</t>
  </si>
  <si>
    <t>Certified Human Resource Professional Kenya, HRM Professionals Examination Board</t>
  </si>
  <si>
    <t>22/05/1995</t>
  </si>
  <si>
    <t>Bachelor of Commerce (procurement and Supply Chain Management Option)</t>
  </si>
  <si>
    <t>Diploma in Management - Purchase Supplies Option</t>
  </si>
  <si>
    <t>Certificate in Business Management</t>
  </si>
  <si>
    <t>Certificate in Purchasing and Supplies Management</t>
  </si>
  <si>
    <t>Bachelor of Science in Procurement and Contract Management</t>
  </si>
  <si>
    <t>Diploma Supply Chain Management</t>
  </si>
  <si>
    <t>Master of Science in Zoology</t>
  </si>
  <si>
    <t>Bachelor of Science Zoology</t>
  </si>
  <si>
    <t>KSG ( Strategic Leadership Development Programme)</t>
  </si>
  <si>
    <t>Doctor of Philosophy  in Epidemiology</t>
  </si>
  <si>
    <t>Master of Science of Philosophy</t>
  </si>
  <si>
    <t>Doctor of Philosophy  in Immunology and Infectious Diseases</t>
  </si>
  <si>
    <t>Bachelor of Science (cum laude) major:Biology minor:Chemistry</t>
  </si>
  <si>
    <t>Master of Science in Immunology</t>
  </si>
  <si>
    <t>Higher Diploma in Medical Laboratory Science</t>
  </si>
  <si>
    <t>Diploma in Medical Laboratory Sciences</t>
  </si>
  <si>
    <t>Master of Science in Medical Laboratory Sciences(Hematology and Blood Transfusion)</t>
  </si>
  <si>
    <t>Bachelor of Science (Medical laboratory Science)</t>
  </si>
  <si>
    <t>KMLTTB ( Medical laboratory Technologist)</t>
  </si>
  <si>
    <t>Doctor of Immunology and infectious diseases</t>
  </si>
  <si>
    <t>Master of Science in Biochemistry and Molecular Biology</t>
  </si>
  <si>
    <t>Bachelor of Science (In Biochemistry)</t>
  </si>
  <si>
    <t>Bachelor of Science (Molecular and Cellular Biology)</t>
  </si>
  <si>
    <t>Master of Science in Medical Virology</t>
  </si>
  <si>
    <t>Bachelor of Science in Medical Laboratory Science</t>
  </si>
  <si>
    <t>Bachelor of Science (Biology)</t>
  </si>
  <si>
    <t>Jumba Gloria Gweyani</t>
  </si>
  <si>
    <t>Master of Science (in Tropical &amp; infectious Diseases)</t>
  </si>
  <si>
    <t>Bachelor of Science (in Microbiology &amp; Biotechnology)</t>
  </si>
  <si>
    <t>Certificate in Science Laboratory Technician</t>
  </si>
  <si>
    <t>26/01/2022</t>
  </si>
  <si>
    <t>Bachelor of Science (Hoticulture with IT)</t>
  </si>
  <si>
    <t>Bachelor of Science in applied Bioengineering</t>
  </si>
  <si>
    <t>Ag. Director Animal Science Welfare Ethics</t>
  </si>
  <si>
    <t>Serial Number</t>
  </si>
  <si>
    <t>ANALYSIS</t>
  </si>
  <si>
    <t xml:space="preserve">Number of Staff </t>
  </si>
  <si>
    <t>Number of Researchers (Including Fellowship)</t>
  </si>
  <si>
    <t>Number of Support Staff (Including Fellowship)</t>
  </si>
  <si>
    <t>Number of Lab Technicians and animal attendants</t>
  </si>
  <si>
    <t>Total</t>
  </si>
  <si>
    <t>Mastar of Science ( Statistics and Data Science (Biostatistics)</t>
  </si>
  <si>
    <t>Certificate of Python Mastery, Certificate in R programming, Certificate in Budgeting and Scheduling of Projects, Certificate of SQL mastery, Certificate of data Structures and Algorithms,Certificate Participate in Africa One Health Network workshop,Certificate Trainer on Statistics for Biomedical Research, Certificate Training on Covid -19 molecular laboratory testing</t>
  </si>
  <si>
    <t>Cstat</t>
  </si>
  <si>
    <t>Computer Packages Certificate,Craft in Science Laboratory Technology Certificate</t>
  </si>
  <si>
    <t>Patrick Waweru Mwaura</t>
  </si>
  <si>
    <t>PRN</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</si>
</sst>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charset val="134"/>
      <scheme val="minor"/>
    </font>
    <font>
      <sz val="11"/>
      <color theme="1"/>
      <name val="Calibri"/>
      <family val="2"/>
      <scheme val="minor"/>
    </font>
    <font>
      <sz val="9"/>
      <color theme="1"/>
      <name val="Calibri"/>
      <family val="2"/>
      <scheme val="minor"/>
    </font>
    <font>
      <b/>
      <sz val="9"/>
      <color theme="1"/>
      <name val="Calibri"/>
      <family val="2"/>
      <scheme val="minor"/>
    </font>
    <font>
      <b/>
      <sz val="9"/>
      <color theme="1"/>
      <name val="Tahoma"/>
      <family val="2"/>
    </font>
    <font>
      <b/>
      <sz val="11"/>
      <color rgb="FF000000"/>
      <name val="Times New Roman"/>
      <family val="1"/>
    </font>
    <font>
      <sz val="11"/>
      <color rgb="FF000000"/>
      <name val="Times New Roman"/>
      <family val="1"/>
    </font>
    <font>
      <sz val="11"/>
      <color rgb="FF000000"/>
      <name val="Calibri"/>
      <family val="2"/>
    </font>
    <font>
      <b/>
      <sz val="11"/>
      <color theme="1"/>
      <name val="Calibri"/>
      <family val="2"/>
      <scheme val="minor"/>
    </font>
    <font>
      <sz val="12"/>
      <color rgb="FF000000"/>
      <name val="Times New Roman"/>
      <family val="1"/>
    </font>
    <font>
      <b/>
      <sz val="12"/>
      <color rgb="FF000000"/>
      <name val="Times New Roman"/>
      <family val="1"/>
    </font>
    <font>
      <sz val="12"/>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0.14999847407452621"/>
        <bgColor indexed="64"/>
      </patternFill>
    </fill>
    <fill>
      <patternFill patternType="solid">
        <fgColor rgb="FF0070C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0">
    <xf numFmtId="0" fontId="0" fillId="0" borderId="0" xfId="0"/>
    <xf numFmtId="0" fontId="2" fillId="0" borderId="0" xfId="0" applyFont="1"/>
    <xf numFmtId="0" fontId="4" fillId="0" borderId="2" xfId="0" applyFont="1" applyBorder="1" applyAlignment="1">
      <alignment horizontal="center" vertical="top" wrapText="1"/>
    </xf>
    <xf numFmtId="0" fontId="4" fillId="2" borderId="2" xfId="0" applyFont="1" applyFill="1" applyBorder="1" applyAlignment="1">
      <alignment horizontal="center" vertical="top" wrapText="1"/>
    </xf>
    <xf numFmtId="0" fontId="4" fillId="0" borderId="2" xfId="0" applyFont="1" applyBorder="1" applyAlignment="1">
      <alignment horizontal="left" vertical="top" wrapText="1"/>
    </xf>
    <xf numFmtId="0" fontId="4" fillId="2" borderId="2"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2" fillId="0" borderId="1" xfId="0" applyFont="1" applyBorder="1"/>
    <xf numFmtId="0" fontId="2" fillId="3" borderId="1" xfId="0" applyFont="1" applyFill="1" applyBorder="1"/>
    <xf numFmtId="0" fontId="2"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xf numFmtId="0" fontId="2" fillId="0" borderId="2" xfId="0" applyFont="1" applyBorder="1" applyAlignment="1">
      <alignment horizontal="center"/>
    </xf>
    <xf numFmtId="16" fontId="2" fillId="0" borderId="1" xfId="0" quotePrefix="1" applyNumberFormat="1" applyFont="1" applyBorder="1" applyAlignment="1">
      <alignment horizontal="center"/>
    </xf>
    <xf numFmtId="16" fontId="2" fillId="0" borderId="3" xfId="0" quotePrefix="1" applyNumberFormat="1" applyFont="1" applyBorder="1" applyAlignment="1">
      <alignment horizontal="center"/>
    </xf>
    <xf numFmtId="0" fontId="3" fillId="3" borderId="1" xfId="0" applyFont="1" applyFill="1" applyBorder="1" applyAlignment="1">
      <alignment wrapText="1"/>
    </xf>
    <xf numFmtId="0" fontId="3" fillId="3" borderId="1" xfId="0" applyFont="1" applyFill="1" applyBorder="1"/>
    <xf numFmtId="0" fontId="3" fillId="0" borderId="1" xfId="0" applyFont="1" applyBorder="1"/>
    <xf numFmtId="0" fontId="3" fillId="0" borderId="1" xfId="0" applyFont="1" applyBorder="1" applyAlignment="1">
      <alignment wrapText="1"/>
    </xf>
    <xf numFmtId="0" fontId="2" fillId="0" borderId="1" xfId="0" applyFont="1" applyBorder="1" applyAlignment="1">
      <alignment wrapText="1"/>
    </xf>
    <xf numFmtId="0" fontId="2" fillId="2" borderId="0" xfId="0" applyFont="1" applyFill="1"/>
    <xf numFmtId="16" fontId="2" fillId="0" borderId="1" xfId="0" quotePrefix="1" applyNumberFormat="1" applyFont="1" applyBorder="1" applyAlignment="1">
      <alignment horizontal="center" wrapText="1"/>
    </xf>
    <xf numFmtId="0" fontId="3" fillId="0" borderId="1" xfId="0" applyFont="1" applyBorder="1" applyAlignment="1">
      <alignment horizontal="center"/>
    </xf>
    <xf numFmtId="0" fontId="3" fillId="0" borderId="0" xfId="0" applyFont="1"/>
    <xf numFmtId="0" fontId="2" fillId="0" borderId="0" xfId="0" applyFont="1" applyAlignment="1">
      <alignment horizontal="center"/>
    </xf>
    <xf numFmtId="1" fontId="2" fillId="0" borderId="1" xfId="0" quotePrefix="1" applyNumberFormat="1" applyFont="1" applyBorder="1" applyAlignment="1">
      <alignment horizontal="center"/>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3" xfId="0" applyFont="1" applyBorder="1" applyAlignment="1">
      <alignment horizontal="left" vertical="center"/>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1" fillId="0" borderId="0" xfId="0" applyFont="1"/>
    <xf numFmtId="0" fontId="3" fillId="2" borderId="0" xfId="0" applyFont="1" applyFill="1" applyAlignment="1">
      <alignment horizontal="center"/>
    </xf>
    <xf numFmtId="0" fontId="3"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right"/>
    </xf>
    <xf numFmtId="0" fontId="2" fillId="0" borderId="5" xfId="0" applyFont="1" applyBorder="1" applyAlignment="1">
      <alignment horizontal="right"/>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16" fontId="2" fillId="0" borderId="2" xfId="0" quotePrefix="1" applyNumberFormat="1" applyFont="1" applyBorder="1" applyAlignment="1">
      <alignment horizontal="center" vertical="center"/>
    </xf>
    <xf numFmtId="16" fontId="2" fillId="0" borderId="3" xfId="0" quotePrefix="1" applyNumberFormat="1" applyFont="1" applyBorder="1" applyAlignment="1">
      <alignment horizontal="center" vertical="center"/>
    </xf>
    <xf numFmtId="1" fontId="2" fillId="0" borderId="2" xfId="0" quotePrefix="1" applyNumberFormat="1" applyFont="1" applyBorder="1" applyAlignment="1">
      <alignment horizontal="center" vertical="center"/>
    </xf>
    <xf numFmtId="1" fontId="2" fillId="0" borderId="3" xfId="0" quotePrefix="1" applyNumberFormat="1" applyFont="1" applyBorder="1" applyAlignment="1">
      <alignment horizontal="center" vertical="center"/>
    </xf>
    <xf numFmtId="0" fontId="2" fillId="0" borderId="3" xfId="0" applyFont="1" applyBorder="1" applyAlignment="1">
      <alignment horizontal="left" vertical="center"/>
    </xf>
    <xf numFmtId="0" fontId="5" fillId="0" borderId="1" xfId="0" applyFont="1" applyBorder="1"/>
    <xf numFmtId="0" fontId="5" fillId="0" borderId="1" xfId="0" applyFont="1" applyBorder="1" applyAlignment="1">
      <alignment horizontal="center"/>
    </xf>
    <xf numFmtId="0" fontId="5" fillId="0" borderId="7"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6" fillId="4" borderId="1" xfId="0" applyFont="1" applyFill="1" applyBorder="1"/>
    <xf numFmtId="0" fontId="5" fillId="4" borderId="1"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xf numFmtId="0" fontId="5" fillId="4" borderId="1" xfId="0" applyFont="1" applyFill="1" applyBorder="1" applyAlignment="1">
      <alignment horizontal="center"/>
    </xf>
    <xf numFmtId="0" fontId="0" fillId="4" borderId="1" xfId="0" applyFill="1" applyBorder="1"/>
    <xf numFmtId="0" fontId="0" fillId="4" borderId="0" xfId="0" applyFill="1"/>
    <xf numFmtId="0" fontId="6" fillId="5" borderId="1" xfId="0" applyFont="1" applyFill="1" applyBorder="1"/>
    <xf numFmtId="0" fontId="6" fillId="5" borderId="1" xfId="0" applyFont="1" applyFill="1" applyBorder="1" applyAlignment="1">
      <alignment horizontal="center"/>
    </xf>
    <xf numFmtId="14" fontId="6" fillId="5" borderId="1" xfId="0" applyNumberFormat="1" applyFont="1" applyFill="1" applyBorder="1" applyAlignment="1">
      <alignment horizontal="center"/>
    </xf>
    <xf numFmtId="0" fontId="7" fillId="5" borderId="1" xfId="0" applyFont="1" applyFill="1" applyBorder="1"/>
    <xf numFmtId="0" fontId="0" fillId="5" borderId="0" xfId="0" applyFill="1"/>
    <xf numFmtId="0" fontId="7" fillId="5" borderId="0" xfId="0" applyFont="1" applyFill="1"/>
    <xf numFmtId="0" fontId="6" fillId="0" borderId="1" xfId="0" applyFont="1" applyBorder="1"/>
    <xf numFmtId="0" fontId="6" fillId="0" borderId="1" xfId="0" applyFont="1" applyBorder="1" applyAlignment="1">
      <alignment horizontal="center"/>
    </xf>
    <xf numFmtId="14" fontId="6" fillId="0" borderId="1" xfId="0" applyNumberFormat="1" applyFont="1" applyBorder="1" applyAlignment="1">
      <alignment horizontal="center"/>
    </xf>
    <xf numFmtId="0" fontId="7" fillId="0" borderId="1" xfId="0" applyFont="1" applyBorder="1"/>
    <xf numFmtId="0" fontId="0" fillId="0" borderId="1" xfId="0" applyBorder="1"/>
    <xf numFmtId="0" fontId="6" fillId="4" borderId="1" xfId="0" applyFont="1" applyFill="1" applyBorder="1" applyAlignment="1">
      <alignment horizontal="center"/>
    </xf>
    <xf numFmtId="0" fontId="1" fillId="5" borderId="1" xfId="0" applyFont="1" applyFill="1" applyBorder="1"/>
    <xf numFmtId="0" fontId="6" fillId="5" borderId="9" xfId="0" applyFont="1" applyFill="1" applyBorder="1" applyAlignment="1">
      <alignment horizontal="center"/>
    </xf>
    <xf numFmtId="0" fontId="1" fillId="5" borderId="0" xfId="0" applyFont="1" applyFill="1"/>
    <xf numFmtId="0" fontId="6" fillId="0" borderId="9" xfId="0" applyFont="1" applyBorder="1" applyAlignment="1">
      <alignment horizontal="center"/>
    </xf>
    <xf numFmtId="0" fontId="8" fillId="0" borderId="1" xfId="0" applyFont="1" applyBorder="1"/>
    <xf numFmtId="0" fontId="6" fillId="0" borderId="3" xfId="0" applyFont="1" applyBorder="1"/>
    <xf numFmtId="0" fontId="6" fillId="2" borderId="1" xfId="0" applyFont="1" applyFill="1" applyBorder="1" applyAlignment="1">
      <alignment horizontal="center"/>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6" fillId="2" borderId="1" xfId="0" applyFont="1" applyFill="1" applyBorder="1"/>
    <xf numFmtId="14" fontId="6" fillId="2" borderId="1" xfId="0" applyNumberFormat="1" applyFont="1" applyFill="1" applyBorder="1" applyAlignment="1">
      <alignment horizontal="center"/>
    </xf>
    <xf numFmtId="0" fontId="7" fillId="2" borderId="1" xfId="0" applyFont="1" applyFill="1" applyBorder="1"/>
    <xf numFmtId="0" fontId="0" fillId="2" borderId="0" xfId="0" applyFill="1"/>
    <xf numFmtId="0" fontId="0" fillId="5" borderId="1" xfId="0" applyFill="1" applyBorder="1"/>
    <xf numFmtId="0" fontId="6" fillId="0" borderId="3" xfId="0" applyFont="1" applyBorder="1" applyAlignment="1">
      <alignment horizontal="center"/>
    </xf>
    <xf numFmtId="0" fontId="7" fillId="0" borderId="0" xfId="0" applyFont="1"/>
    <xf numFmtId="0" fontId="9" fillId="0" borderId="1" xfId="0" applyFont="1" applyBorder="1" applyAlignment="1">
      <alignment horizontal="center"/>
    </xf>
    <xf numFmtId="0" fontId="10" fillId="4" borderId="1" xfId="0" applyFon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0" fontId="6" fillId="0" borderId="6" xfId="0" applyFont="1" applyBorder="1" applyAlignment="1">
      <alignment horizontal="center"/>
    </xf>
    <xf numFmtId="0" fontId="6" fillId="0" borderId="6" xfId="0" applyFont="1" applyBorder="1"/>
    <xf numFmtId="0" fontId="9" fillId="4" borderId="1" xfId="0" applyFont="1" applyFill="1" applyBorder="1"/>
    <xf numFmtId="0" fontId="9" fillId="4" borderId="1" xfId="0" applyFont="1" applyFill="1" applyBorder="1" applyAlignment="1">
      <alignment horizontal="center"/>
    </xf>
    <xf numFmtId="0" fontId="11" fillId="4" borderId="1" xfId="0" applyFont="1" applyFill="1" applyBorder="1"/>
    <xf numFmtId="0" fontId="11" fillId="4" borderId="0" xfId="0" applyFont="1" applyFill="1"/>
    <xf numFmtId="0" fontId="6" fillId="0" borderId="9" xfId="0" applyFont="1" applyBorder="1"/>
    <xf numFmtId="0" fontId="6" fillId="0" borderId="7" xfId="0" applyFont="1" applyBorder="1" applyAlignment="1">
      <alignment horizontal="center"/>
    </xf>
    <xf numFmtId="0" fontId="9" fillId="4" borderId="1" xfId="0" applyFont="1" applyFill="1" applyBorder="1" applyAlignment="1">
      <alignment vertical="center" wrapText="1"/>
    </xf>
    <xf numFmtId="0" fontId="10"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14" fontId="6" fillId="4" borderId="1" xfId="0" applyNumberFormat="1" applyFont="1" applyFill="1" applyBorder="1" applyAlignment="1">
      <alignment horizontal="center"/>
    </xf>
    <xf numFmtId="0" fontId="6" fillId="0" borderId="2" xfId="0" applyFont="1" applyBorder="1"/>
    <xf numFmtId="0" fontId="6" fillId="0" borderId="2" xfId="0" applyFont="1" applyBorder="1" applyAlignment="1">
      <alignment horizontal="center"/>
    </xf>
    <xf numFmtId="14" fontId="6" fillId="0" borderId="2" xfId="0" applyNumberFormat="1" applyFont="1" applyBorder="1" applyAlignment="1">
      <alignment horizontal="center"/>
    </xf>
    <xf numFmtId="0" fontId="0" fillId="0" borderId="1" xfId="0" applyBorder="1" applyAlignment="1">
      <alignment horizontal="center"/>
    </xf>
    <xf numFmtId="0" fontId="7" fillId="0" borderId="1" xfId="0" applyFont="1" applyBorder="1" applyAlignment="1">
      <alignment horizontal="center"/>
    </xf>
    <xf numFmtId="14" fontId="7" fillId="0" borderId="2" xfId="0" applyNumberFormat="1" applyFont="1" applyBorder="1" applyAlignment="1">
      <alignment horizontal="center"/>
    </xf>
    <xf numFmtId="0" fontId="0" fillId="0" borderId="9" xfId="0" applyBorder="1"/>
    <xf numFmtId="0" fontId="5" fillId="4" borderId="0" xfId="0" applyFont="1" applyFill="1" applyAlignment="1">
      <alignment horizontal="center"/>
    </xf>
    <xf numFmtId="0" fontId="0" fillId="4" borderId="0" xfId="0" applyFill="1" applyAlignment="1">
      <alignment horizont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6" fillId="0" borderId="1" xfId="0" applyFont="1" applyFill="1" applyBorder="1" applyAlignment="1">
      <alignment horizontal="center"/>
    </xf>
    <xf numFmtId="0" fontId="6" fillId="6" borderId="1" xfId="0"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xf numFmtId="0" fontId="1" fillId="2" borderId="0" xfId="0" applyFont="1" applyFill="1"/>
    <xf numFmtId="0" fontId="2"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62"/>
  <sheetViews>
    <sheetView tabSelected="1" zoomScale="85" zoomScaleNormal="85" workbookViewId="0">
      <pane xSplit="3" ySplit="5" topLeftCell="D6" activePane="bottomRight" state="frozen"/>
      <selection pane="topRight" activeCell="D1" sqref="D1"/>
      <selection pane="bottomLeft" activeCell="A6" sqref="A6"/>
      <selection pane="bottomRight" activeCell="E23" sqref="E23"/>
    </sheetView>
  </sheetViews>
  <sheetFormatPr defaultColWidth="9" defaultRowHeight="12"/>
  <cols>
    <col min="1" max="2" width="9" style="1"/>
    <col min="3" max="3" width="54.109375" style="1" bestFit="1" customWidth="1"/>
    <col min="4" max="4" width="12.44140625" style="1" bestFit="1" customWidth="1"/>
    <col min="5" max="5" width="23.109375" style="1" bestFit="1" customWidth="1"/>
    <col min="6" max="6" width="50.77734375" style="1" bestFit="1" customWidth="1"/>
    <col min="7" max="7" width="5.88671875" style="1" bestFit="1" customWidth="1"/>
    <col min="8" max="9" width="6.88671875" style="1" customWidth="1"/>
    <col min="10" max="10" width="6.44140625" style="1" customWidth="1"/>
    <col min="11" max="11" width="12.6640625" style="26" bestFit="1" customWidth="1"/>
    <col min="12" max="15" width="13.44140625" style="1" customWidth="1"/>
    <col min="16" max="16" width="14.33203125" style="1" customWidth="1"/>
    <col min="17" max="16384" width="9" style="1"/>
  </cols>
  <sheetData>
    <row r="2" spans="1:16">
      <c r="C2" s="34" t="s">
        <v>174</v>
      </c>
      <c r="D2" s="34"/>
      <c r="E2" s="34"/>
      <c r="F2" s="34"/>
      <c r="G2" s="34"/>
      <c r="H2" s="34"/>
      <c r="I2" s="34"/>
      <c r="J2" s="34"/>
      <c r="K2" s="34"/>
      <c r="L2" s="34"/>
      <c r="M2" s="34"/>
      <c r="N2" s="34"/>
      <c r="O2" s="34"/>
      <c r="P2" s="34"/>
    </row>
    <row r="5" spans="1:16" ht="50.1" customHeight="1">
      <c r="A5" s="37" t="s">
        <v>0</v>
      </c>
      <c r="B5" s="37" t="s">
        <v>181</v>
      </c>
      <c r="C5" s="37" t="s">
        <v>1</v>
      </c>
      <c r="D5" s="31" t="s">
        <v>966</v>
      </c>
      <c r="E5" s="2" t="s">
        <v>183</v>
      </c>
      <c r="F5" s="2" t="s">
        <v>189</v>
      </c>
      <c r="G5" s="3" t="s">
        <v>191</v>
      </c>
      <c r="H5" s="39" t="s">
        <v>2</v>
      </c>
      <c r="I5" s="4" t="s">
        <v>199</v>
      </c>
      <c r="J5" s="5" t="s">
        <v>192</v>
      </c>
      <c r="K5" s="39" t="s">
        <v>3</v>
      </c>
      <c r="L5" s="35" t="s">
        <v>182</v>
      </c>
      <c r="M5" s="4" t="s">
        <v>175</v>
      </c>
      <c r="N5" s="4" t="s">
        <v>176</v>
      </c>
      <c r="O5" s="4" t="s">
        <v>177</v>
      </c>
      <c r="P5" s="6" t="s">
        <v>178</v>
      </c>
    </row>
    <row r="6" spans="1:16" ht="22.8">
      <c r="A6" s="38"/>
      <c r="B6" s="38"/>
      <c r="C6" s="38"/>
      <c r="D6" s="32"/>
      <c r="E6" s="7"/>
      <c r="F6" s="7"/>
      <c r="G6" s="7"/>
      <c r="H6" s="36"/>
      <c r="I6" s="8"/>
      <c r="J6" s="8"/>
      <c r="K6" s="36"/>
      <c r="L6" s="36"/>
      <c r="M6" s="8" t="s">
        <v>179</v>
      </c>
      <c r="N6" s="8" t="s">
        <v>180</v>
      </c>
      <c r="O6" s="8" t="s">
        <v>180</v>
      </c>
      <c r="P6" s="6"/>
    </row>
    <row r="7" spans="1:16">
      <c r="A7" s="9"/>
      <c r="B7" s="9"/>
      <c r="C7" s="10" t="s">
        <v>4</v>
      </c>
      <c r="D7" s="10"/>
      <c r="E7" s="10"/>
      <c r="F7" s="10"/>
      <c r="G7" s="10"/>
      <c r="H7" s="11"/>
      <c r="I7" s="11"/>
      <c r="J7" s="11"/>
      <c r="K7" s="11"/>
      <c r="L7" s="9"/>
      <c r="M7" s="9"/>
      <c r="N7" s="9"/>
      <c r="O7" s="9"/>
      <c r="P7" s="9"/>
    </row>
    <row r="8" spans="1:16">
      <c r="A8" s="9"/>
      <c r="B8" s="9"/>
      <c r="C8" s="9" t="s">
        <v>5</v>
      </c>
      <c r="D8" s="9">
        <v>19901899045</v>
      </c>
      <c r="E8" s="9" t="s">
        <v>223</v>
      </c>
      <c r="F8" s="9" t="str">
        <f ca="1">IF(D8="", "", VLOOKUP(D8, Sheet3!C:P, 14, FALSE) &amp; ", " &amp; DATEDIF(VLOOKUP(D8, Sheet3!C:N, 12, FALSE), TODAY(), "y") &amp; " Years Experience")</f>
        <v>PhD, MSc, Bachelors, KCSE, KCPE, 36 Years Experience</v>
      </c>
      <c r="G8" s="9"/>
      <c r="H8" s="11">
        <v>1</v>
      </c>
      <c r="I8" s="11"/>
      <c r="J8" s="11"/>
      <c r="K8" s="11">
        <v>1</v>
      </c>
      <c r="L8" s="9">
        <v>1</v>
      </c>
      <c r="M8" s="9"/>
      <c r="N8" s="9"/>
      <c r="O8" s="9"/>
      <c r="P8" s="9"/>
    </row>
    <row r="9" spans="1:16">
      <c r="A9" s="9"/>
      <c r="B9" s="9"/>
      <c r="C9" s="9" t="s">
        <v>6</v>
      </c>
      <c r="D9" s="9"/>
      <c r="E9" s="9"/>
      <c r="F9" s="9" t="str">
        <f ca="1">IF(D9="", "", VLOOKUP(D9, Sheet3!C:P, 14, FALSE) &amp; ", " &amp; DATEDIF(VLOOKUP(D9, Sheet3!C:N, 12, FALSE), TODAY(), "y") &amp; " Years Experience")</f>
        <v/>
      </c>
      <c r="G9" s="9"/>
      <c r="H9" s="12">
        <v>0</v>
      </c>
      <c r="I9" s="12"/>
      <c r="J9" s="12"/>
      <c r="K9" s="12">
        <v>0</v>
      </c>
      <c r="L9" s="13">
        <v>0</v>
      </c>
      <c r="M9" s="9"/>
      <c r="N9" s="9">
        <v>0</v>
      </c>
      <c r="O9" s="9"/>
      <c r="P9" s="9"/>
    </row>
    <row r="10" spans="1:16">
      <c r="A10" s="9"/>
      <c r="B10" s="9"/>
      <c r="C10" s="9" t="s">
        <v>7</v>
      </c>
      <c r="D10" s="9"/>
      <c r="E10" s="9"/>
      <c r="F10" s="9" t="str">
        <f ca="1">IF(D10="", "", VLOOKUP(D10, Sheet3!C:P, 14, FALSE) &amp; ", " &amp; DATEDIF(VLOOKUP(D10, Sheet3!C:N, 12, FALSE), TODAY(), "y") &amp; " Years Experience")</f>
        <v/>
      </c>
      <c r="G10" s="9"/>
      <c r="H10" s="11">
        <v>5</v>
      </c>
      <c r="I10" s="14"/>
      <c r="J10" s="14"/>
      <c r="K10" s="40">
        <v>1</v>
      </c>
      <c r="L10" s="42">
        <v>1</v>
      </c>
      <c r="M10" s="9"/>
      <c r="N10" s="9"/>
      <c r="O10" s="9"/>
      <c r="P10" s="9"/>
    </row>
    <row r="11" spans="1:16" ht="14.4">
      <c r="A11" s="9"/>
      <c r="B11" s="9"/>
      <c r="C11" s="9" t="s">
        <v>8</v>
      </c>
      <c r="D11">
        <v>19990495773</v>
      </c>
      <c r="E11" s="9" t="s">
        <v>233</v>
      </c>
      <c r="F11" s="9" t="str">
        <f ca="1">IF(D11="", "", VLOOKUP(D11, Sheet3!C:P, 14, FALSE) &amp; ", " &amp; DATEDIF(VLOOKUP(D11, Sheet3!C:N, 12, FALSE), TODAY(), "y") &amp; " Years Experience")</f>
        <v>Dip, KCSE, KCPE, 27 Years Experience</v>
      </c>
      <c r="G11" s="9"/>
      <c r="H11" s="15" t="s">
        <v>9</v>
      </c>
      <c r="I11" s="16"/>
      <c r="J11" s="16"/>
      <c r="K11" s="41"/>
      <c r="L11" s="43"/>
      <c r="M11" s="9"/>
      <c r="N11" s="9"/>
      <c r="O11" s="9"/>
      <c r="P11" s="9"/>
    </row>
    <row r="12" spans="1:16">
      <c r="A12" s="9"/>
      <c r="B12" s="9"/>
      <c r="C12" s="9" t="s">
        <v>10</v>
      </c>
      <c r="D12" s="9"/>
      <c r="E12" s="9"/>
      <c r="F12" s="9" t="str">
        <f ca="1">IF(D12="", "", VLOOKUP(D12, Sheet3!C:P, 14, FALSE) &amp; ", " &amp; DATEDIF(VLOOKUP(D12, Sheet3!C:N, 12, FALSE), TODAY(), "y") &amp; " Years Experience")</f>
        <v/>
      </c>
      <c r="G12" s="9"/>
      <c r="H12" s="11">
        <v>9</v>
      </c>
      <c r="I12" s="14"/>
      <c r="J12" s="14"/>
      <c r="K12" s="40">
        <v>1</v>
      </c>
      <c r="L12" s="42">
        <v>1</v>
      </c>
      <c r="M12" s="9"/>
      <c r="N12" s="9"/>
      <c r="O12" s="9"/>
      <c r="P12" s="9"/>
    </row>
    <row r="13" spans="1:16">
      <c r="A13" s="9"/>
      <c r="B13" s="9"/>
      <c r="C13" s="9" t="s">
        <v>11</v>
      </c>
      <c r="D13" s="9"/>
      <c r="E13" s="9"/>
      <c r="F13" s="9" t="str">
        <f ca="1">IF(D13="", "", VLOOKUP(D13, Sheet3!C:P, 14, FALSE) &amp; ", " &amp; DATEDIF(VLOOKUP(D13, Sheet3!C:N, 12, FALSE), TODAY(), "y") &amp; " Years Experience")</f>
        <v/>
      </c>
      <c r="G13" s="9"/>
      <c r="H13" s="15" t="s">
        <v>12</v>
      </c>
      <c r="I13" s="16"/>
      <c r="J13" s="16"/>
      <c r="K13" s="41"/>
      <c r="L13" s="43"/>
      <c r="M13" s="9"/>
      <c r="N13" s="9"/>
      <c r="O13" s="9"/>
      <c r="P13" s="9"/>
    </row>
    <row r="14" spans="1:16">
      <c r="A14" s="9"/>
      <c r="B14" s="9"/>
      <c r="C14" s="9" t="s">
        <v>13</v>
      </c>
      <c r="D14" s="9"/>
      <c r="E14" s="9"/>
      <c r="F14" s="9" t="str">
        <f ca="1">IF(D14="", "", VLOOKUP(D14, Sheet3!C:P, 14, FALSE) &amp; ", " &amp; DATEDIF(VLOOKUP(D14, Sheet3!C:N, 12, FALSE), TODAY(), "y") &amp; " Years Experience")</f>
        <v/>
      </c>
      <c r="G14" s="9"/>
      <c r="H14" s="11">
        <v>10</v>
      </c>
      <c r="I14" s="14"/>
      <c r="J14" s="14"/>
      <c r="K14" s="40">
        <v>1</v>
      </c>
      <c r="L14" s="42">
        <v>1</v>
      </c>
      <c r="M14" s="9"/>
      <c r="N14" s="9"/>
      <c r="O14" s="9"/>
      <c r="P14" s="9"/>
    </row>
    <row r="15" spans="1:16" ht="13.8">
      <c r="A15" s="9"/>
      <c r="B15" s="9"/>
      <c r="C15" s="9" t="s">
        <v>14</v>
      </c>
      <c r="D15" s="74">
        <v>20220598130</v>
      </c>
      <c r="E15" s="9" t="s">
        <v>282</v>
      </c>
      <c r="F15" s="9" t="str">
        <f ca="1">IF(D15="", "", VLOOKUP(D15, Sheet3!C:P, 14, FALSE) &amp; ", " &amp; DATEDIF(VLOOKUP(D15, Sheet3!C:N, 12, FALSE), TODAY(), "y") &amp; " Years Experience")</f>
        <v>KCSE, KCPE, 4 Years Experience</v>
      </c>
      <c r="G15" s="9"/>
      <c r="H15" s="15" t="s">
        <v>15</v>
      </c>
      <c r="I15" s="16"/>
      <c r="J15" s="16"/>
      <c r="K15" s="41"/>
      <c r="L15" s="43"/>
      <c r="M15" s="9"/>
      <c r="N15" s="9"/>
      <c r="O15" s="9"/>
      <c r="P15" s="9"/>
    </row>
    <row r="16" spans="1:16">
      <c r="A16" s="9"/>
      <c r="B16" s="9"/>
      <c r="C16" s="17" t="s">
        <v>16</v>
      </c>
      <c r="D16" s="17"/>
      <c r="E16" s="17"/>
      <c r="F16" s="9" t="str">
        <f ca="1">IF(D16="", "", VLOOKUP(D16, Sheet3!C:P, 14, FALSE) &amp; ", " &amp; DATEDIF(VLOOKUP(D16, Sheet3!C:N, 12, FALSE), TODAY(), "y") &amp; " Years Experience")</f>
        <v/>
      </c>
      <c r="G16" s="17"/>
      <c r="H16" s="11"/>
      <c r="I16" s="11"/>
      <c r="J16" s="11"/>
      <c r="K16" s="11"/>
      <c r="L16" s="9"/>
      <c r="M16" s="9"/>
      <c r="N16" s="9"/>
      <c r="O16" s="9"/>
      <c r="P16" s="9"/>
    </row>
    <row r="17" spans="1:16">
      <c r="A17" s="9"/>
      <c r="B17" s="9"/>
      <c r="C17" s="9" t="s">
        <v>17</v>
      </c>
      <c r="D17" s="9"/>
      <c r="E17" s="9"/>
      <c r="F17" s="9" t="str">
        <f ca="1">IF(D17="", "", VLOOKUP(D17, Sheet3!C:P, 14, FALSE) &amp; ", " &amp; DATEDIF(VLOOKUP(D17, Sheet3!C:N, 12, FALSE), TODAY(), "y") &amp; " Years Experience")</f>
        <v/>
      </c>
      <c r="G17" s="9"/>
      <c r="H17" s="11">
        <v>2</v>
      </c>
      <c r="I17" s="11"/>
      <c r="J17" s="11"/>
      <c r="K17" s="11">
        <v>1</v>
      </c>
      <c r="L17" s="9">
        <v>0</v>
      </c>
      <c r="M17" s="9"/>
      <c r="N17" s="9"/>
      <c r="O17" s="9"/>
      <c r="P17" s="9"/>
    </row>
    <row r="18" spans="1:16">
      <c r="A18" s="9"/>
      <c r="B18" s="9"/>
      <c r="C18" s="9" t="s">
        <v>18</v>
      </c>
      <c r="D18" s="9"/>
      <c r="E18" s="9"/>
      <c r="F18" s="9" t="str">
        <f ca="1">IF(D18="", "", VLOOKUP(D18, Sheet3!C:P, 14, FALSE) &amp; ", " &amp; DATEDIF(VLOOKUP(D18, Sheet3!C:N, 12, FALSE), TODAY(), "y") &amp; " Years Experience")</f>
        <v/>
      </c>
      <c r="G18" s="9"/>
      <c r="H18" s="11">
        <v>3</v>
      </c>
      <c r="I18" s="11"/>
      <c r="J18" s="11"/>
      <c r="K18" s="11">
        <v>1</v>
      </c>
      <c r="L18" s="9">
        <v>0</v>
      </c>
      <c r="M18" s="9"/>
      <c r="N18" s="9"/>
      <c r="O18" s="9"/>
      <c r="P18" s="9"/>
    </row>
    <row r="19" spans="1:16">
      <c r="A19" s="9"/>
      <c r="B19" s="9"/>
      <c r="C19" s="9" t="s">
        <v>19</v>
      </c>
      <c r="D19" s="9"/>
      <c r="E19" s="9"/>
      <c r="F19" s="9" t="str">
        <f ca="1">IF(D19="", "", VLOOKUP(D19, Sheet3!C:P, 14, FALSE) &amp; ", " &amp; DATEDIF(VLOOKUP(D19, Sheet3!C:N, 12, FALSE), TODAY(), "y") &amp; " Years Experience")</f>
        <v/>
      </c>
      <c r="G19" s="9"/>
      <c r="H19" s="11">
        <v>4</v>
      </c>
      <c r="I19" s="11"/>
      <c r="J19" s="11"/>
      <c r="K19" s="11">
        <v>0</v>
      </c>
      <c r="L19" s="9">
        <v>0</v>
      </c>
      <c r="M19" s="9"/>
      <c r="N19" s="9"/>
      <c r="O19" s="9"/>
      <c r="P19" s="9"/>
    </row>
    <row r="20" spans="1:16">
      <c r="A20" s="9"/>
      <c r="B20" s="9"/>
      <c r="C20" s="9" t="s">
        <v>20</v>
      </c>
      <c r="D20" s="9"/>
      <c r="E20" s="9"/>
      <c r="F20" s="9" t="str">
        <f ca="1">IF(D20="", "", VLOOKUP(D20, Sheet3!C:P, 14, FALSE) &amp; ", " &amp; DATEDIF(VLOOKUP(D20, Sheet3!C:N, 12, FALSE), TODAY(), "y") &amp; " Years Experience")</f>
        <v/>
      </c>
      <c r="G20" s="9"/>
      <c r="H20" s="11">
        <v>5</v>
      </c>
      <c r="I20" s="11"/>
      <c r="J20" s="11"/>
      <c r="K20" s="11">
        <v>0</v>
      </c>
      <c r="L20" s="9">
        <v>0</v>
      </c>
      <c r="M20" s="9"/>
      <c r="N20" s="9"/>
      <c r="O20" s="9"/>
      <c r="P20" s="9"/>
    </row>
    <row r="21" spans="1:16">
      <c r="A21" s="9"/>
      <c r="B21" s="9"/>
      <c r="C21" s="9" t="s">
        <v>21</v>
      </c>
      <c r="D21" s="9"/>
      <c r="E21" s="9"/>
      <c r="F21" s="9" t="str">
        <f ca="1">IF(D21="", "", VLOOKUP(D21, Sheet3!C:P, 14, FALSE) &amp; ", " &amp; DATEDIF(VLOOKUP(D21, Sheet3!C:N, 12, FALSE), TODAY(), "y") &amp; " Years Experience")</f>
        <v/>
      </c>
      <c r="G21" s="9"/>
      <c r="H21" s="15" t="s">
        <v>9</v>
      </c>
      <c r="I21" s="15"/>
      <c r="J21" s="15"/>
      <c r="K21" s="11">
        <v>0</v>
      </c>
      <c r="L21" s="9">
        <v>0</v>
      </c>
      <c r="M21" s="9"/>
      <c r="N21" s="9"/>
      <c r="O21" s="9"/>
      <c r="P21" s="9"/>
    </row>
    <row r="22" spans="1:16">
      <c r="A22" s="9"/>
      <c r="B22" s="9"/>
      <c r="C22" s="9" t="s">
        <v>22</v>
      </c>
      <c r="D22" s="9"/>
      <c r="E22" s="9"/>
      <c r="F22" s="9" t="str">
        <f ca="1">IF(D22="", "", VLOOKUP(D22, Sheet3!C:P, 14, FALSE) &amp; ", " &amp; DATEDIF(VLOOKUP(D22, Sheet3!C:N, 12, FALSE), TODAY(), "y") &amp; " Years Experience")</f>
        <v/>
      </c>
      <c r="G22" s="9"/>
      <c r="H22" s="11">
        <v>7</v>
      </c>
      <c r="I22" s="11"/>
      <c r="J22" s="11"/>
      <c r="K22" s="11">
        <v>1</v>
      </c>
      <c r="L22" s="9">
        <v>0</v>
      </c>
      <c r="M22" s="9"/>
      <c r="N22" s="9"/>
      <c r="O22" s="9"/>
      <c r="P22" s="9"/>
    </row>
    <row r="23" spans="1:16">
      <c r="A23" s="9"/>
      <c r="B23" s="9"/>
      <c r="C23" s="9" t="s">
        <v>23</v>
      </c>
      <c r="D23" s="9"/>
      <c r="E23" s="9"/>
      <c r="F23" s="9" t="str">
        <f ca="1">IF(D23="", "", VLOOKUP(D23, Sheet3!C:P, 14, FALSE) &amp; ", " &amp; DATEDIF(VLOOKUP(D23, Sheet3!C:N, 12, FALSE), TODAY(), "y") &amp; " Years Experience")</f>
        <v/>
      </c>
      <c r="G23" s="9"/>
      <c r="H23" s="15" t="s">
        <v>24</v>
      </c>
      <c r="I23" s="15"/>
      <c r="J23" s="15"/>
      <c r="K23" s="11">
        <v>0</v>
      </c>
      <c r="L23" s="9">
        <v>0</v>
      </c>
      <c r="M23" s="9"/>
      <c r="N23" s="9"/>
      <c r="O23" s="9"/>
      <c r="P23" s="9"/>
    </row>
    <row r="24" spans="1:16">
      <c r="A24" s="9"/>
      <c r="B24" s="9"/>
      <c r="C24" s="9" t="s">
        <v>25</v>
      </c>
      <c r="D24" s="9"/>
      <c r="E24" s="9"/>
      <c r="F24" s="9" t="str">
        <f ca="1">IF(D24="", "", VLOOKUP(D24, Sheet3!C:P, 14, FALSE) &amp; ", " &amp; DATEDIF(VLOOKUP(D24, Sheet3!C:N, 12, FALSE), TODAY(), "y") &amp; " Years Experience")</f>
        <v/>
      </c>
      <c r="G24" s="9"/>
      <c r="H24" s="15" t="s">
        <v>24</v>
      </c>
      <c r="I24" s="15"/>
      <c r="J24" s="15"/>
      <c r="K24" s="11">
        <v>1</v>
      </c>
      <c r="L24" s="9">
        <v>0</v>
      </c>
      <c r="M24" s="9"/>
      <c r="N24" s="9"/>
      <c r="O24" s="9"/>
      <c r="P24" s="9"/>
    </row>
    <row r="25" spans="1:16">
      <c r="A25" s="9"/>
      <c r="B25" s="9"/>
      <c r="C25" s="18" t="s">
        <v>26</v>
      </c>
      <c r="D25" s="18"/>
      <c r="E25" s="18"/>
      <c r="F25" s="9" t="str">
        <f ca="1">IF(D25="", "", VLOOKUP(D25, Sheet3!C:P, 14, FALSE) &amp; ", " &amp; DATEDIF(VLOOKUP(D25, Sheet3!C:N, 12, FALSE), TODAY(), "y") &amp; " Years Experience")</f>
        <v/>
      </c>
      <c r="G25" s="18"/>
      <c r="H25" s="11"/>
      <c r="I25" s="11"/>
      <c r="J25" s="11"/>
      <c r="K25" s="11"/>
      <c r="L25" s="9"/>
      <c r="M25" s="9"/>
      <c r="N25" s="9"/>
      <c r="O25" s="9"/>
      <c r="P25" s="9"/>
    </row>
    <row r="26" spans="1:16">
      <c r="A26" s="9"/>
      <c r="B26" s="9"/>
      <c r="C26" s="9" t="s">
        <v>27</v>
      </c>
      <c r="D26" s="9"/>
      <c r="E26" s="9"/>
      <c r="F26" s="9" t="str">
        <f ca="1">IF(D26="", "", VLOOKUP(D26, Sheet3!C:P, 14, FALSE) &amp; ", " &amp; DATEDIF(VLOOKUP(D26, Sheet3!C:N, 12, FALSE), TODAY(), "y") &amp; " Years Experience")</f>
        <v/>
      </c>
      <c r="G26" s="9"/>
      <c r="H26" s="11">
        <v>2</v>
      </c>
      <c r="I26" s="11"/>
      <c r="J26" s="11"/>
      <c r="K26" s="11">
        <v>1</v>
      </c>
      <c r="L26" s="9">
        <v>1</v>
      </c>
      <c r="M26" s="9"/>
      <c r="N26" s="9"/>
      <c r="O26" s="9"/>
      <c r="P26" s="9"/>
    </row>
    <row r="27" spans="1:16">
      <c r="A27" s="9"/>
      <c r="B27" s="9"/>
      <c r="C27" s="9" t="s">
        <v>28</v>
      </c>
      <c r="D27" s="9"/>
      <c r="E27" s="9"/>
      <c r="F27" s="9" t="str">
        <f ca="1">IF(D27="", "", VLOOKUP(D27, Sheet3!C:P, 14, FALSE) &amp; ", " &amp; DATEDIF(VLOOKUP(D27, Sheet3!C:N, 12, FALSE), TODAY(), "y") &amp; " Years Experience")</f>
        <v/>
      </c>
      <c r="G27" s="9"/>
      <c r="H27" s="11">
        <v>2</v>
      </c>
      <c r="I27" s="11"/>
      <c r="J27" s="11"/>
      <c r="K27" s="11">
        <v>1</v>
      </c>
      <c r="L27" s="9">
        <v>1</v>
      </c>
      <c r="M27" s="9"/>
      <c r="N27" s="9"/>
      <c r="O27" s="9"/>
      <c r="P27" s="9"/>
    </row>
    <row r="28" spans="1:16">
      <c r="A28" s="9"/>
      <c r="B28" s="9"/>
      <c r="C28" s="9" t="s">
        <v>25</v>
      </c>
      <c r="D28" s="9"/>
      <c r="E28" s="9"/>
      <c r="F28" s="9" t="str">
        <f ca="1">IF(D28="", "", VLOOKUP(D28, Sheet3!C:P, 14, FALSE) &amp; ", " &amp; DATEDIF(VLOOKUP(D28, Sheet3!C:N, 12, FALSE), TODAY(), "y") &amp; " Years Experience")</f>
        <v/>
      </c>
      <c r="G28" s="9"/>
      <c r="H28" s="15" t="s">
        <v>24</v>
      </c>
      <c r="I28" s="15"/>
      <c r="J28" s="15"/>
      <c r="K28" s="11">
        <v>1</v>
      </c>
      <c r="L28" s="9">
        <v>1</v>
      </c>
      <c r="M28" s="9"/>
      <c r="N28" s="9"/>
      <c r="O28" s="9"/>
      <c r="P28" s="9"/>
    </row>
    <row r="29" spans="1:16">
      <c r="A29" s="9"/>
      <c r="B29" s="9"/>
      <c r="C29" s="9" t="s">
        <v>29</v>
      </c>
      <c r="D29" s="9"/>
      <c r="E29" s="9"/>
      <c r="F29" s="9" t="str">
        <f ca="1">IF(D29="", "", VLOOKUP(D29, Sheet3!C:P, 14, FALSE) &amp; ", " &amp; DATEDIF(VLOOKUP(D29, Sheet3!C:N, 12, FALSE), TODAY(), "y") &amp; " Years Experience")</f>
        <v/>
      </c>
      <c r="G29" s="9"/>
      <c r="H29" s="15" t="s">
        <v>12</v>
      </c>
      <c r="I29" s="15"/>
      <c r="J29" s="15"/>
      <c r="K29" s="11">
        <v>1</v>
      </c>
      <c r="L29" s="9">
        <v>0</v>
      </c>
      <c r="M29" s="9"/>
      <c r="N29" s="9"/>
      <c r="O29" s="9"/>
      <c r="P29" s="9"/>
    </row>
    <row r="30" spans="1:16">
      <c r="A30" s="9"/>
      <c r="B30" s="9"/>
      <c r="C30" s="9" t="s">
        <v>30</v>
      </c>
      <c r="D30" s="9"/>
      <c r="E30" s="9"/>
      <c r="F30" s="9" t="str">
        <f ca="1">IF(D30="", "", VLOOKUP(D30, Sheet3!C:P, 14, FALSE) &amp; ", " &amp; DATEDIF(VLOOKUP(D30, Sheet3!C:N, 12, FALSE), TODAY(), "y") &amp; " Years Experience")</f>
        <v/>
      </c>
      <c r="G30" s="9"/>
      <c r="H30" s="15" t="s">
        <v>15</v>
      </c>
      <c r="I30" s="15"/>
      <c r="J30" s="15"/>
      <c r="K30" s="11">
        <v>1</v>
      </c>
      <c r="L30" s="9">
        <v>0</v>
      </c>
      <c r="M30" s="9"/>
      <c r="N30" s="9"/>
      <c r="O30" s="9"/>
      <c r="P30" s="9"/>
    </row>
    <row r="31" spans="1:16">
      <c r="A31" s="9"/>
      <c r="B31" s="9"/>
      <c r="C31" s="18" t="s">
        <v>31</v>
      </c>
      <c r="D31" s="18"/>
      <c r="E31" s="18"/>
      <c r="F31" s="9" t="str">
        <f ca="1">IF(D31="", "", VLOOKUP(D31, Sheet3!C:P, 14, FALSE) &amp; ", " &amp; DATEDIF(VLOOKUP(D31, Sheet3!C:N, 12, FALSE), TODAY(), "y") &amp; " Years Experience")</f>
        <v/>
      </c>
      <c r="G31" s="18"/>
      <c r="H31" s="11"/>
      <c r="I31" s="11"/>
      <c r="J31" s="11"/>
      <c r="K31" s="11"/>
      <c r="L31" s="9"/>
      <c r="M31" s="9"/>
      <c r="N31" s="9"/>
      <c r="O31" s="9"/>
      <c r="P31" s="9"/>
    </row>
    <row r="32" spans="1:16">
      <c r="A32" s="9"/>
      <c r="B32" s="9"/>
      <c r="C32" s="9" t="s">
        <v>32</v>
      </c>
      <c r="D32" s="9"/>
      <c r="E32" s="9"/>
      <c r="F32" s="9" t="str">
        <f ca="1">IF(D32="", "", VLOOKUP(D32, Sheet3!C:P, 14, FALSE) &amp; ", " &amp; DATEDIF(VLOOKUP(D32, Sheet3!C:N, 12, FALSE), TODAY(), "y") &amp; " Years Experience")</f>
        <v/>
      </c>
      <c r="G32" s="9"/>
      <c r="H32" s="11">
        <v>3</v>
      </c>
      <c r="I32" s="11"/>
      <c r="J32" s="11"/>
      <c r="K32" s="11">
        <v>1</v>
      </c>
      <c r="L32" s="9">
        <v>0</v>
      </c>
      <c r="M32" s="9"/>
      <c r="N32" s="9"/>
      <c r="O32" s="9"/>
      <c r="P32" s="9"/>
    </row>
    <row r="33" spans="1:16">
      <c r="A33" s="9"/>
      <c r="B33" s="9"/>
      <c r="C33" s="9" t="s">
        <v>33</v>
      </c>
      <c r="D33" s="9"/>
      <c r="E33" s="9"/>
      <c r="F33" s="9" t="str">
        <f ca="1">IF(D33="", "", VLOOKUP(D33, Sheet3!C:P, 14, FALSE) &amp; ", " &amp; DATEDIF(VLOOKUP(D33, Sheet3!C:N, 12, FALSE), TODAY(), "y") &amp; " Years Experience")</f>
        <v/>
      </c>
      <c r="G33" s="9"/>
      <c r="H33" s="11">
        <v>3</v>
      </c>
      <c r="I33" s="11"/>
      <c r="J33" s="11"/>
      <c r="K33" s="11">
        <v>1</v>
      </c>
      <c r="L33" s="9">
        <v>0</v>
      </c>
      <c r="M33" s="9"/>
      <c r="N33" s="9"/>
      <c r="O33" s="9"/>
      <c r="P33" s="9"/>
    </row>
    <row r="34" spans="1:16">
      <c r="A34" s="9"/>
      <c r="B34" s="9"/>
      <c r="C34" s="18" t="s">
        <v>34</v>
      </c>
      <c r="D34" s="18"/>
      <c r="E34" s="18"/>
      <c r="F34" s="9" t="str">
        <f ca="1">IF(D34="", "", VLOOKUP(D34, Sheet3!C:P, 14, FALSE) &amp; ", " &amp; DATEDIF(VLOOKUP(D34, Sheet3!C:N, 12, FALSE), TODAY(), "y") &amp; " Years Experience")</f>
        <v/>
      </c>
      <c r="G34" s="18"/>
      <c r="H34" s="11"/>
      <c r="I34" s="11"/>
      <c r="J34" s="11"/>
      <c r="K34" s="11"/>
      <c r="L34" s="9"/>
      <c r="M34" s="9"/>
      <c r="N34" s="9"/>
      <c r="O34" s="9"/>
      <c r="P34" s="9"/>
    </row>
    <row r="35" spans="1:16">
      <c r="A35" s="9"/>
      <c r="B35" s="9"/>
      <c r="C35" s="9" t="s">
        <v>35</v>
      </c>
      <c r="D35" s="9"/>
      <c r="E35" s="9"/>
      <c r="F35" s="9" t="str">
        <f ca="1">IF(D35="", "", VLOOKUP(D35, Sheet3!C:P, 14, FALSE) &amp; ", " &amp; DATEDIF(VLOOKUP(D35, Sheet3!C:N, 12, FALSE), TODAY(), "y") &amp; " Years Experience")</f>
        <v/>
      </c>
      <c r="G35" s="9"/>
      <c r="H35" s="11">
        <v>4</v>
      </c>
      <c r="I35" s="11"/>
      <c r="J35" s="11"/>
      <c r="K35" s="11">
        <v>1</v>
      </c>
      <c r="L35" s="9">
        <v>1</v>
      </c>
      <c r="M35" s="9"/>
      <c r="N35" s="9"/>
      <c r="O35" s="9"/>
      <c r="P35" s="9"/>
    </row>
    <row r="36" spans="1:16">
      <c r="A36" s="9"/>
      <c r="B36" s="9"/>
      <c r="C36" s="9" t="s">
        <v>36</v>
      </c>
      <c r="D36" s="9"/>
      <c r="E36" s="9"/>
      <c r="F36" s="9" t="str">
        <f ca="1">IF(D36="", "", VLOOKUP(D36, Sheet3!C:P, 14, FALSE) &amp; ", " &amp; DATEDIF(VLOOKUP(D36, Sheet3!C:N, 12, FALSE), TODAY(), "y") &amp; " Years Experience")</f>
        <v/>
      </c>
      <c r="G36" s="9"/>
      <c r="H36" s="11">
        <v>4</v>
      </c>
      <c r="I36" s="11"/>
      <c r="J36" s="11"/>
      <c r="K36" s="11">
        <v>1</v>
      </c>
      <c r="L36" s="9">
        <v>1</v>
      </c>
      <c r="M36" s="9"/>
      <c r="N36" s="9"/>
      <c r="O36" s="9"/>
      <c r="P36" s="9"/>
    </row>
    <row r="37" spans="1:16">
      <c r="A37" s="9"/>
      <c r="B37" s="9"/>
      <c r="C37" s="9" t="s">
        <v>37</v>
      </c>
      <c r="D37" s="9"/>
      <c r="E37" s="9"/>
      <c r="F37" s="9" t="str">
        <f ca="1">IF(D37="", "", VLOOKUP(D37, Sheet3!C:P, 14, FALSE) &amp; ", " &amp; DATEDIF(VLOOKUP(D37, Sheet3!C:N, 12, FALSE), TODAY(), "y") &amp; " Years Experience")</f>
        <v/>
      </c>
      <c r="G37" s="9"/>
      <c r="H37" s="11">
        <v>5</v>
      </c>
      <c r="I37" s="11"/>
      <c r="J37" s="11"/>
      <c r="K37" s="11">
        <v>2</v>
      </c>
      <c r="L37" s="9">
        <v>1</v>
      </c>
      <c r="M37" s="9"/>
      <c r="N37" s="9"/>
      <c r="O37" s="9"/>
      <c r="P37" s="9"/>
    </row>
    <row r="38" spans="1:16">
      <c r="A38" s="9"/>
      <c r="B38" s="9"/>
      <c r="C38" s="9" t="s">
        <v>38</v>
      </c>
      <c r="D38" s="9"/>
      <c r="E38" s="9"/>
      <c r="F38" s="9" t="str">
        <f ca="1">IF(D38="", "", VLOOKUP(D38, Sheet3!C:P, 14, FALSE) &amp; ", " &amp; DATEDIF(VLOOKUP(D38, Sheet3!C:N, 12, FALSE), TODAY(), "y") &amp; " Years Experience")</f>
        <v/>
      </c>
      <c r="G38" s="9"/>
      <c r="H38" s="15" t="s">
        <v>9</v>
      </c>
      <c r="I38" s="15"/>
      <c r="J38" s="15"/>
      <c r="K38" s="11">
        <v>2</v>
      </c>
      <c r="L38" s="9">
        <v>2</v>
      </c>
      <c r="M38" s="9"/>
      <c r="N38" s="9"/>
      <c r="O38" s="9"/>
      <c r="P38" s="9"/>
    </row>
    <row r="39" spans="1:16">
      <c r="A39" s="9"/>
      <c r="B39" s="9"/>
      <c r="C39" s="9" t="s">
        <v>39</v>
      </c>
      <c r="D39" s="9"/>
      <c r="E39" s="9"/>
      <c r="F39" s="9" t="str">
        <f ca="1">IF(D39="", "", VLOOKUP(D39, Sheet3!C:P, 14, FALSE) &amp; ", " &amp; DATEDIF(VLOOKUP(D39, Sheet3!C:N, 12, FALSE), TODAY(), "y") &amp; " Years Experience")</f>
        <v/>
      </c>
      <c r="G39" s="9"/>
      <c r="H39" s="11">
        <v>7</v>
      </c>
      <c r="I39" s="11"/>
      <c r="J39" s="11"/>
      <c r="K39" s="11">
        <v>2</v>
      </c>
      <c r="L39" s="9">
        <v>2</v>
      </c>
      <c r="M39" s="9"/>
      <c r="N39" s="9"/>
      <c r="O39" s="9"/>
      <c r="P39" s="9"/>
    </row>
    <row r="40" spans="1:16">
      <c r="A40" s="9"/>
      <c r="B40" s="9"/>
      <c r="C40" s="9" t="s">
        <v>40</v>
      </c>
      <c r="D40" s="9"/>
      <c r="E40" s="9"/>
      <c r="F40" s="9" t="str">
        <f ca="1">IF(D40="", "", VLOOKUP(D40, Sheet3!C:P, 14, FALSE) &amp; ", " &amp; DATEDIF(VLOOKUP(D40, Sheet3!C:N, 12, FALSE), TODAY(), "y") &amp; " Years Experience")</f>
        <v/>
      </c>
      <c r="G40" s="9"/>
      <c r="H40" s="15" t="s">
        <v>24</v>
      </c>
      <c r="I40" s="15"/>
      <c r="J40" s="15"/>
      <c r="K40" s="11">
        <v>0</v>
      </c>
      <c r="L40" s="9">
        <v>0</v>
      </c>
      <c r="M40" s="9"/>
      <c r="N40" s="9"/>
      <c r="O40" s="9"/>
      <c r="P40" s="9"/>
    </row>
    <row r="41" spans="1:16">
      <c r="A41" s="9"/>
      <c r="B41" s="9"/>
      <c r="C41" s="18" t="s">
        <v>41</v>
      </c>
      <c r="D41" s="18"/>
      <c r="E41" s="18"/>
      <c r="F41" s="9" t="str">
        <f ca="1">IF(D41="", "", VLOOKUP(D41, Sheet3!C:P, 14, FALSE) &amp; ", " &amp; DATEDIF(VLOOKUP(D41, Sheet3!C:N, 12, FALSE), TODAY(), "y") &amp; " Years Experience")</f>
        <v/>
      </c>
      <c r="G41" s="18"/>
      <c r="H41" s="11"/>
      <c r="I41" s="11"/>
      <c r="J41" s="11"/>
      <c r="K41" s="11"/>
      <c r="L41" s="9"/>
      <c r="M41" s="9"/>
      <c r="N41" s="9"/>
      <c r="O41" s="9"/>
      <c r="P41" s="9"/>
    </row>
    <row r="42" spans="1:16">
      <c r="A42" s="9"/>
      <c r="B42" s="9"/>
      <c r="C42" s="9" t="s">
        <v>35</v>
      </c>
      <c r="D42" s="9"/>
      <c r="E42" s="9"/>
      <c r="F42" s="9" t="str">
        <f ca="1">IF(D42="", "", VLOOKUP(D42, Sheet3!C:P, 14, FALSE) &amp; ", " &amp; DATEDIF(VLOOKUP(D42, Sheet3!C:N, 12, FALSE), TODAY(), "y") &amp; " Years Experience")</f>
        <v/>
      </c>
      <c r="G42" s="9"/>
      <c r="H42" s="11">
        <v>4</v>
      </c>
      <c r="I42" s="11"/>
      <c r="J42" s="11"/>
      <c r="K42" s="11">
        <v>1</v>
      </c>
      <c r="L42" s="9">
        <v>0</v>
      </c>
      <c r="M42" s="9"/>
      <c r="N42" s="9"/>
      <c r="O42" s="9"/>
      <c r="P42" s="9"/>
    </row>
    <row r="43" spans="1:16">
      <c r="A43" s="9"/>
      <c r="B43" s="9"/>
      <c r="C43" s="9" t="s">
        <v>36</v>
      </c>
      <c r="D43" s="9"/>
      <c r="E43" s="9"/>
      <c r="F43" s="9" t="str">
        <f ca="1">IF(D43="", "", VLOOKUP(D43, Sheet3!C:P, 14, FALSE) &amp; ", " &amp; DATEDIF(VLOOKUP(D43, Sheet3!C:N, 12, FALSE), TODAY(), "y") &amp; " Years Experience")</f>
        <v/>
      </c>
      <c r="G43" s="9"/>
      <c r="H43" s="11">
        <v>4</v>
      </c>
      <c r="I43" s="11"/>
      <c r="J43" s="11"/>
      <c r="K43" s="11">
        <v>1</v>
      </c>
      <c r="L43" s="9">
        <v>0</v>
      </c>
      <c r="M43" s="9"/>
      <c r="N43" s="9"/>
      <c r="O43" s="9"/>
      <c r="P43" s="9"/>
    </row>
    <row r="44" spans="1:16">
      <c r="A44" s="9"/>
      <c r="B44" s="9"/>
      <c r="C44" s="9" t="s">
        <v>37</v>
      </c>
      <c r="D44" s="9"/>
      <c r="E44" s="9"/>
      <c r="F44" s="9" t="str">
        <f ca="1">IF(D44="", "", VLOOKUP(D44, Sheet3!C:P, 14, FALSE) &amp; ", " &amp; DATEDIF(VLOOKUP(D44, Sheet3!C:N, 12, FALSE), TODAY(), "y") &amp; " Years Experience")</f>
        <v/>
      </c>
      <c r="G44" s="9"/>
      <c r="H44" s="11">
        <v>5</v>
      </c>
      <c r="I44" s="11"/>
      <c r="J44" s="11"/>
      <c r="K44" s="11">
        <v>2</v>
      </c>
      <c r="L44" s="9">
        <v>0</v>
      </c>
      <c r="M44" s="9"/>
      <c r="N44" s="9"/>
      <c r="O44" s="9"/>
      <c r="P44" s="9"/>
    </row>
    <row r="45" spans="1:16">
      <c r="A45" s="9"/>
      <c r="B45" s="9"/>
      <c r="C45" s="9" t="s">
        <v>38</v>
      </c>
      <c r="D45" s="9"/>
      <c r="E45" s="9"/>
      <c r="F45" s="9" t="str">
        <f ca="1">IF(D45="", "", VLOOKUP(D45, Sheet3!C:P, 14, FALSE) &amp; ", " &amp; DATEDIF(VLOOKUP(D45, Sheet3!C:N, 12, FALSE), TODAY(), "y") &amp; " Years Experience")</f>
        <v/>
      </c>
      <c r="G45" s="9"/>
      <c r="H45" s="15" t="s">
        <v>9</v>
      </c>
      <c r="I45" s="15"/>
      <c r="J45" s="15"/>
      <c r="K45" s="11">
        <v>2</v>
      </c>
      <c r="L45" s="9">
        <v>2</v>
      </c>
      <c r="M45" s="9"/>
      <c r="N45" s="9"/>
      <c r="O45" s="9"/>
      <c r="P45" s="9"/>
    </row>
    <row r="46" spans="1:16">
      <c r="A46" s="9"/>
      <c r="B46" s="9"/>
      <c r="C46" s="9" t="s">
        <v>39</v>
      </c>
      <c r="D46" s="9"/>
      <c r="E46" s="9"/>
      <c r="F46" s="9" t="str">
        <f ca="1">IF(D46="", "", VLOOKUP(D46, Sheet3!C:P, 14, FALSE) &amp; ", " &amp; DATEDIF(VLOOKUP(D46, Sheet3!C:N, 12, FALSE), TODAY(), "y") &amp; " Years Experience")</f>
        <v/>
      </c>
      <c r="G46" s="9"/>
      <c r="H46" s="11">
        <v>7</v>
      </c>
      <c r="I46" s="11"/>
      <c r="J46" s="11"/>
      <c r="K46" s="11">
        <v>2</v>
      </c>
      <c r="L46" s="9">
        <v>2</v>
      </c>
      <c r="M46" s="9"/>
      <c r="N46" s="9"/>
      <c r="O46" s="9"/>
      <c r="P46" s="9"/>
    </row>
    <row r="47" spans="1:16">
      <c r="A47" s="9"/>
      <c r="B47" s="9"/>
      <c r="C47" s="9" t="s">
        <v>40</v>
      </c>
      <c r="D47" s="9"/>
      <c r="E47" s="9"/>
      <c r="F47" s="9" t="str">
        <f ca="1">IF(D47="", "", VLOOKUP(D47, Sheet3!C:P, 14, FALSE) &amp; ", " &amp; DATEDIF(VLOOKUP(D47, Sheet3!C:N, 12, FALSE), TODAY(), "y") &amp; " Years Experience")</f>
        <v/>
      </c>
      <c r="G47" s="9"/>
      <c r="H47" s="15" t="s">
        <v>24</v>
      </c>
      <c r="I47" s="15"/>
      <c r="J47" s="15"/>
      <c r="K47" s="11">
        <v>0</v>
      </c>
      <c r="L47" s="9">
        <v>0</v>
      </c>
      <c r="M47" s="9"/>
      <c r="N47" s="9"/>
      <c r="O47" s="9"/>
      <c r="P47" s="9"/>
    </row>
    <row r="48" spans="1:16">
      <c r="A48" s="9"/>
      <c r="B48" s="9"/>
      <c r="C48" s="18" t="s">
        <v>42</v>
      </c>
      <c r="D48" s="18"/>
      <c r="E48" s="18"/>
      <c r="F48" s="9" t="str">
        <f ca="1">IF(D48="", "", VLOOKUP(D48, Sheet3!C:P, 14, FALSE) &amp; ", " &amp; DATEDIF(VLOOKUP(D48, Sheet3!C:N, 12, FALSE), TODAY(), "y") &amp; " Years Experience")</f>
        <v/>
      </c>
      <c r="G48" s="18"/>
      <c r="H48" s="11"/>
      <c r="I48" s="11"/>
      <c r="J48" s="11"/>
      <c r="K48" s="11"/>
      <c r="L48" s="9"/>
      <c r="M48" s="9"/>
      <c r="N48" s="9"/>
      <c r="O48" s="9"/>
      <c r="P48" s="9"/>
    </row>
    <row r="49" spans="1:16">
      <c r="A49" s="9"/>
      <c r="B49" s="9"/>
      <c r="C49" s="9" t="s">
        <v>35</v>
      </c>
      <c r="D49" s="9"/>
      <c r="E49" s="9"/>
      <c r="F49" s="9" t="str">
        <f ca="1">IF(D49="", "", VLOOKUP(D49, Sheet3!C:P, 14, FALSE) &amp; ", " &amp; DATEDIF(VLOOKUP(D49, Sheet3!C:N, 12, FALSE), TODAY(), "y") &amp; " Years Experience")</f>
        <v/>
      </c>
      <c r="G49" s="9"/>
      <c r="H49" s="11">
        <v>4</v>
      </c>
      <c r="I49" s="11"/>
      <c r="J49" s="11"/>
      <c r="K49" s="11">
        <v>1</v>
      </c>
      <c r="L49" s="9">
        <v>0</v>
      </c>
      <c r="M49" s="9"/>
      <c r="N49" s="9"/>
      <c r="O49" s="9"/>
      <c r="P49" s="9"/>
    </row>
    <row r="50" spans="1:16">
      <c r="A50" s="9"/>
      <c r="B50" s="9"/>
      <c r="C50" s="9" t="s">
        <v>36</v>
      </c>
      <c r="D50" s="9"/>
      <c r="E50" s="9"/>
      <c r="F50" s="9" t="str">
        <f ca="1">IF(D50="", "", VLOOKUP(D50, Sheet3!C:P, 14, FALSE) &amp; ", " &amp; DATEDIF(VLOOKUP(D50, Sheet3!C:N, 12, FALSE), TODAY(), "y") &amp; " Years Experience")</f>
        <v/>
      </c>
      <c r="G50" s="9"/>
      <c r="H50" s="11">
        <v>4</v>
      </c>
      <c r="I50" s="11"/>
      <c r="J50" s="11"/>
      <c r="K50" s="11">
        <v>1</v>
      </c>
      <c r="L50" s="9">
        <v>0</v>
      </c>
      <c r="M50" s="9"/>
      <c r="N50" s="9"/>
      <c r="O50" s="9"/>
      <c r="P50" s="9"/>
    </row>
    <row r="51" spans="1:16">
      <c r="A51" s="9"/>
      <c r="B51" s="9"/>
      <c r="C51" s="9" t="s">
        <v>37</v>
      </c>
      <c r="D51" s="9"/>
      <c r="E51" s="9"/>
      <c r="F51" s="9" t="str">
        <f ca="1">IF(D51="", "", VLOOKUP(D51, Sheet3!C:P, 14, FALSE) &amp; ", " &amp; DATEDIF(VLOOKUP(D51, Sheet3!C:N, 12, FALSE), TODAY(), "y") &amp; " Years Experience")</f>
        <v/>
      </c>
      <c r="G51" s="9"/>
      <c r="H51" s="11">
        <v>5</v>
      </c>
      <c r="I51" s="11"/>
      <c r="J51" s="11"/>
      <c r="K51" s="11">
        <v>2</v>
      </c>
      <c r="L51" s="9">
        <v>0</v>
      </c>
      <c r="M51" s="9"/>
      <c r="N51" s="9"/>
      <c r="O51" s="9"/>
      <c r="P51" s="9"/>
    </row>
    <row r="52" spans="1:16">
      <c r="A52" s="9"/>
      <c r="B52" s="9"/>
      <c r="C52" s="9" t="s">
        <v>38</v>
      </c>
      <c r="D52" s="9"/>
      <c r="E52" s="9"/>
      <c r="F52" s="9" t="str">
        <f ca="1">IF(D52="", "", VLOOKUP(D52, Sheet3!C:P, 14, FALSE) &amp; ", " &amp; DATEDIF(VLOOKUP(D52, Sheet3!C:N, 12, FALSE), TODAY(), "y") &amp; " Years Experience")</f>
        <v/>
      </c>
      <c r="G52" s="9"/>
      <c r="H52" s="15" t="s">
        <v>9</v>
      </c>
      <c r="I52" s="15"/>
      <c r="J52" s="15"/>
      <c r="K52" s="11">
        <v>2</v>
      </c>
      <c r="L52" s="9">
        <v>2</v>
      </c>
      <c r="M52" s="9"/>
      <c r="N52" s="9"/>
      <c r="O52" s="9"/>
      <c r="P52" s="9"/>
    </row>
    <row r="53" spans="1:16">
      <c r="A53" s="9"/>
      <c r="B53" s="9"/>
      <c r="C53" s="9" t="s">
        <v>39</v>
      </c>
      <c r="D53" s="9"/>
      <c r="E53" s="9"/>
      <c r="F53" s="9" t="str">
        <f ca="1">IF(D53="", "", VLOOKUP(D53, Sheet3!C:P, 14, FALSE) &amp; ", " &amp; DATEDIF(VLOOKUP(D53, Sheet3!C:N, 12, FALSE), TODAY(), "y") &amp; " Years Experience")</f>
        <v/>
      </c>
      <c r="G53" s="9"/>
      <c r="H53" s="11">
        <v>7</v>
      </c>
      <c r="I53" s="11"/>
      <c r="J53" s="11"/>
      <c r="K53" s="11">
        <v>2</v>
      </c>
      <c r="L53" s="9">
        <v>2</v>
      </c>
      <c r="M53" s="9"/>
      <c r="N53" s="9"/>
      <c r="O53" s="9"/>
      <c r="P53" s="9"/>
    </row>
    <row r="54" spans="1:16">
      <c r="A54" s="9"/>
      <c r="B54" s="9"/>
      <c r="C54" s="9" t="s">
        <v>40</v>
      </c>
      <c r="D54" s="9"/>
      <c r="E54" s="9"/>
      <c r="F54" s="9" t="str">
        <f ca="1">IF(D54="", "", VLOOKUP(D54, Sheet3!C:P, 14, FALSE) &amp; ", " &amp; DATEDIF(VLOOKUP(D54, Sheet3!C:N, 12, FALSE), TODAY(), "y") &amp; " Years Experience")</f>
        <v/>
      </c>
      <c r="G54" s="9"/>
      <c r="H54" s="15" t="s">
        <v>24</v>
      </c>
      <c r="I54" s="15"/>
      <c r="J54" s="15"/>
      <c r="K54" s="11">
        <v>0</v>
      </c>
      <c r="L54" s="9">
        <v>1</v>
      </c>
      <c r="M54" s="9"/>
      <c r="N54" s="9"/>
      <c r="O54" s="9"/>
      <c r="P54" s="9"/>
    </row>
    <row r="55" spans="1:16">
      <c r="A55" s="9"/>
      <c r="B55" s="9"/>
      <c r="C55" s="18" t="s">
        <v>43</v>
      </c>
      <c r="D55" s="18"/>
      <c r="E55" s="18"/>
      <c r="F55" s="9" t="str">
        <f ca="1">IF(D55="", "", VLOOKUP(D55, Sheet3!C:P, 14, FALSE) &amp; ", " &amp; DATEDIF(VLOOKUP(D55, Sheet3!C:N, 12, FALSE), TODAY(), "y") &amp; " Years Experience")</f>
        <v/>
      </c>
      <c r="G55" s="18"/>
      <c r="H55" s="11"/>
      <c r="I55" s="11"/>
      <c r="J55" s="11"/>
      <c r="K55" s="11"/>
      <c r="L55" s="9"/>
      <c r="M55" s="9"/>
      <c r="N55" s="9"/>
      <c r="O55" s="9"/>
      <c r="P55" s="9"/>
    </row>
    <row r="56" spans="1:16">
      <c r="A56" s="9"/>
      <c r="B56" s="9"/>
      <c r="C56" s="9" t="s">
        <v>35</v>
      </c>
      <c r="D56" s="9"/>
      <c r="E56" s="9"/>
      <c r="F56" s="9" t="str">
        <f ca="1">IF(D56="", "", VLOOKUP(D56, Sheet3!C:P, 14, FALSE) &amp; ", " &amp; DATEDIF(VLOOKUP(D56, Sheet3!C:N, 12, FALSE), TODAY(), "y") &amp; " Years Experience")</f>
        <v/>
      </c>
      <c r="G56" s="9"/>
      <c r="H56" s="11">
        <v>4</v>
      </c>
      <c r="I56" s="11"/>
      <c r="J56" s="11"/>
      <c r="K56" s="11">
        <v>1</v>
      </c>
      <c r="L56" s="9">
        <v>0</v>
      </c>
      <c r="M56" s="9"/>
      <c r="N56" s="9"/>
      <c r="O56" s="9"/>
      <c r="P56" s="9"/>
    </row>
    <row r="57" spans="1:16">
      <c r="A57" s="9"/>
      <c r="B57" s="9"/>
      <c r="C57" s="9" t="s">
        <v>36</v>
      </c>
      <c r="D57" s="9"/>
      <c r="E57" s="9"/>
      <c r="F57" s="9" t="str">
        <f ca="1">IF(D57="", "", VLOOKUP(D57, Sheet3!C:P, 14, FALSE) &amp; ", " &amp; DATEDIF(VLOOKUP(D57, Sheet3!C:N, 12, FALSE), TODAY(), "y") &amp; " Years Experience")</f>
        <v/>
      </c>
      <c r="G57" s="9"/>
      <c r="H57" s="11">
        <v>4</v>
      </c>
      <c r="I57" s="11"/>
      <c r="J57" s="11"/>
      <c r="K57" s="11">
        <v>1</v>
      </c>
      <c r="L57" s="9">
        <v>0</v>
      </c>
      <c r="M57" s="9"/>
      <c r="N57" s="9"/>
      <c r="O57" s="9"/>
      <c r="P57" s="9"/>
    </row>
    <row r="58" spans="1:16">
      <c r="A58" s="9"/>
      <c r="B58" s="9"/>
      <c r="C58" s="9" t="s">
        <v>37</v>
      </c>
      <c r="D58" s="9"/>
      <c r="E58" s="9"/>
      <c r="F58" s="9" t="str">
        <f ca="1">IF(D58="", "", VLOOKUP(D58, Sheet3!C:P, 14, FALSE) &amp; ", " &amp; DATEDIF(VLOOKUP(D58, Sheet3!C:N, 12, FALSE), TODAY(), "y") &amp; " Years Experience")</f>
        <v/>
      </c>
      <c r="G58" s="9"/>
      <c r="H58" s="11">
        <v>5</v>
      </c>
      <c r="I58" s="11"/>
      <c r="J58" s="11"/>
      <c r="K58" s="11">
        <v>2</v>
      </c>
      <c r="L58" s="9">
        <v>0</v>
      </c>
      <c r="M58" s="9"/>
      <c r="N58" s="9"/>
      <c r="O58" s="9"/>
      <c r="P58" s="9"/>
    </row>
    <row r="59" spans="1:16">
      <c r="A59" s="9"/>
      <c r="B59" s="9"/>
      <c r="C59" s="9" t="s">
        <v>38</v>
      </c>
      <c r="D59" s="9"/>
      <c r="E59" s="9"/>
      <c r="F59" s="9" t="str">
        <f ca="1">IF(D59="", "", VLOOKUP(D59, Sheet3!C:P, 14, FALSE) &amp; ", " &amp; DATEDIF(VLOOKUP(D59, Sheet3!C:N, 12, FALSE), TODAY(), "y") &amp; " Years Experience")</f>
        <v/>
      </c>
      <c r="G59" s="9"/>
      <c r="H59" s="15" t="s">
        <v>9</v>
      </c>
      <c r="I59" s="15"/>
      <c r="J59" s="15"/>
      <c r="K59" s="11">
        <v>2</v>
      </c>
      <c r="L59" s="9">
        <v>2</v>
      </c>
      <c r="M59" s="9"/>
      <c r="N59" s="9"/>
      <c r="O59" s="9"/>
      <c r="P59" s="9"/>
    </row>
    <row r="60" spans="1:16">
      <c r="A60" s="9"/>
      <c r="B60" s="9"/>
      <c r="C60" s="9" t="s">
        <v>39</v>
      </c>
      <c r="D60" s="9"/>
      <c r="E60" s="9"/>
      <c r="F60" s="9" t="str">
        <f ca="1">IF(D60="", "", VLOOKUP(D60, Sheet3!C:P, 14, FALSE) &amp; ", " &amp; DATEDIF(VLOOKUP(D60, Sheet3!C:N, 12, FALSE), TODAY(), "y") &amp; " Years Experience")</f>
        <v/>
      </c>
      <c r="G60" s="9"/>
      <c r="H60" s="11">
        <v>7</v>
      </c>
      <c r="I60" s="11"/>
      <c r="J60" s="11"/>
      <c r="K60" s="11">
        <v>2</v>
      </c>
      <c r="L60" s="9">
        <v>2</v>
      </c>
      <c r="M60" s="9"/>
      <c r="N60" s="9"/>
      <c r="O60" s="9"/>
      <c r="P60" s="9"/>
    </row>
    <row r="61" spans="1:16">
      <c r="A61" s="9"/>
      <c r="B61" s="9"/>
      <c r="C61" s="9" t="s">
        <v>40</v>
      </c>
      <c r="D61" s="9"/>
      <c r="E61" s="9"/>
      <c r="F61" s="9" t="str">
        <f ca="1">IF(D61="", "", VLOOKUP(D61, Sheet3!C:P, 14, FALSE) &amp; ", " &amp; DATEDIF(VLOOKUP(D61, Sheet3!C:N, 12, FALSE), TODAY(), "y") &amp; " Years Experience")</f>
        <v/>
      </c>
      <c r="G61" s="9"/>
      <c r="H61" s="15" t="s">
        <v>24</v>
      </c>
      <c r="I61" s="15"/>
      <c r="J61" s="15"/>
      <c r="K61" s="11">
        <v>0</v>
      </c>
      <c r="L61" s="9">
        <v>0</v>
      </c>
      <c r="M61" s="9"/>
      <c r="N61" s="9"/>
      <c r="O61" s="9"/>
      <c r="P61" s="9"/>
    </row>
    <row r="62" spans="1:16">
      <c r="A62" s="9"/>
      <c r="B62" s="9"/>
      <c r="C62" s="18" t="s">
        <v>44</v>
      </c>
      <c r="D62" s="18"/>
      <c r="E62" s="18"/>
      <c r="F62" s="9" t="str">
        <f ca="1">IF(D62="", "", VLOOKUP(D62, Sheet3!C:P, 14, FALSE) &amp; ", " &amp; DATEDIF(VLOOKUP(D62, Sheet3!C:N, 12, FALSE), TODAY(), "y") &amp; " Years Experience")</f>
        <v/>
      </c>
      <c r="G62" s="18"/>
      <c r="H62" s="11"/>
      <c r="I62" s="11"/>
      <c r="J62" s="11"/>
      <c r="K62" s="11"/>
      <c r="L62" s="9"/>
      <c r="M62" s="9"/>
      <c r="N62" s="9"/>
      <c r="O62" s="9"/>
      <c r="P62" s="9"/>
    </row>
    <row r="63" spans="1:16">
      <c r="A63" s="9"/>
      <c r="B63" s="9"/>
      <c r="C63" s="9" t="s">
        <v>35</v>
      </c>
      <c r="D63" s="9"/>
      <c r="E63" s="9"/>
      <c r="F63" s="9" t="str">
        <f ca="1">IF(D63="", "", VLOOKUP(D63, Sheet3!C:P, 14, FALSE) &amp; ", " &amp; DATEDIF(VLOOKUP(D63, Sheet3!C:N, 12, FALSE), TODAY(), "y") &amp; " Years Experience")</f>
        <v/>
      </c>
      <c r="G63" s="9"/>
      <c r="H63" s="11">
        <v>4</v>
      </c>
      <c r="I63" s="11"/>
      <c r="J63" s="11"/>
      <c r="K63" s="11">
        <v>1</v>
      </c>
      <c r="L63" s="9">
        <v>0</v>
      </c>
      <c r="M63" s="9"/>
      <c r="N63" s="9"/>
      <c r="O63" s="9"/>
      <c r="P63" s="9"/>
    </row>
    <row r="64" spans="1:16">
      <c r="A64" s="9"/>
      <c r="B64" s="9"/>
      <c r="C64" s="9" t="s">
        <v>36</v>
      </c>
      <c r="D64" s="9"/>
      <c r="E64" s="9"/>
      <c r="F64" s="9" t="str">
        <f ca="1">IF(D64="", "", VLOOKUP(D64, Sheet3!C:P, 14, FALSE) &amp; ", " &amp; DATEDIF(VLOOKUP(D64, Sheet3!C:N, 12, FALSE), TODAY(), "y") &amp; " Years Experience")</f>
        <v/>
      </c>
      <c r="G64" s="9"/>
      <c r="H64" s="11">
        <v>4</v>
      </c>
      <c r="I64" s="11"/>
      <c r="J64" s="11"/>
      <c r="K64" s="11">
        <v>1</v>
      </c>
      <c r="L64" s="9">
        <v>0</v>
      </c>
      <c r="M64" s="9"/>
      <c r="N64" s="9"/>
      <c r="O64" s="9"/>
      <c r="P64" s="9"/>
    </row>
    <row r="65" spans="1:16">
      <c r="A65" s="9"/>
      <c r="B65" s="9"/>
      <c r="C65" s="9" t="s">
        <v>37</v>
      </c>
      <c r="D65" s="9"/>
      <c r="E65" s="9"/>
      <c r="F65" s="9" t="str">
        <f ca="1">IF(D65="", "", VLOOKUP(D65, Sheet3!C:P, 14, FALSE) &amp; ", " &amp; DATEDIF(VLOOKUP(D65, Sheet3!C:N, 12, FALSE), TODAY(), "y") &amp; " Years Experience")</f>
        <v/>
      </c>
      <c r="G65" s="9"/>
      <c r="H65" s="11">
        <v>5</v>
      </c>
      <c r="I65" s="11"/>
      <c r="J65" s="11"/>
      <c r="K65" s="11">
        <v>2</v>
      </c>
      <c r="L65" s="9">
        <v>0</v>
      </c>
      <c r="M65" s="9"/>
      <c r="N65" s="9"/>
      <c r="O65" s="9"/>
      <c r="P65" s="9"/>
    </row>
    <row r="66" spans="1:16">
      <c r="A66" s="9"/>
      <c r="B66" s="9"/>
      <c r="C66" s="9" t="s">
        <v>38</v>
      </c>
      <c r="D66" s="9"/>
      <c r="E66" s="9"/>
      <c r="F66" s="9" t="str">
        <f ca="1">IF(D66="", "", VLOOKUP(D66, Sheet3!C:P, 14, FALSE) &amp; ", " &amp; DATEDIF(VLOOKUP(D66, Sheet3!C:N, 12, FALSE), TODAY(), "y") &amp; " Years Experience")</f>
        <v/>
      </c>
      <c r="G66" s="9"/>
      <c r="H66" s="15" t="s">
        <v>9</v>
      </c>
      <c r="I66" s="15"/>
      <c r="J66" s="15"/>
      <c r="K66" s="11">
        <v>2</v>
      </c>
      <c r="L66" s="9">
        <v>2</v>
      </c>
      <c r="M66" s="9"/>
      <c r="N66" s="9"/>
      <c r="O66" s="9"/>
      <c r="P66" s="9"/>
    </row>
    <row r="67" spans="1:16">
      <c r="A67" s="9"/>
      <c r="B67" s="9"/>
      <c r="C67" s="9" t="s">
        <v>39</v>
      </c>
      <c r="D67" s="9"/>
      <c r="E67" s="9"/>
      <c r="F67" s="9" t="str">
        <f ca="1">IF(D67="", "", VLOOKUP(D67, Sheet3!C:P, 14, FALSE) &amp; ", " &amp; DATEDIF(VLOOKUP(D67, Sheet3!C:N, 12, FALSE), TODAY(), "y") &amp; " Years Experience")</f>
        <v/>
      </c>
      <c r="G67" s="9"/>
      <c r="H67" s="11">
        <v>7</v>
      </c>
      <c r="I67" s="11"/>
      <c r="J67" s="11"/>
      <c r="K67" s="11">
        <v>2</v>
      </c>
      <c r="L67" s="9">
        <v>1</v>
      </c>
      <c r="M67" s="9"/>
      <c r="N67" s="9"/>
      <c r="O67" s="9"/>
      <c r="P67" s="9"/>
    </row>
    <row r="68" spans="1:16">
      <c r="A68" s="9"/>
      <c r="B68" s="9"/>
      <c r="C68" s="9" t="s">
        <v>40</v>
      </c>
      <c r="D68" s="9"/>
      <c r="E68" s="9"/>
      <c r="F68" s="9" t="str">
        <f ca="1">IF(D68="", "", VLOOKUP(D68, Sheet3!C:P, 14, FALSE) &amp; ", " &amp; DATEDIF(VLOOKUP(D68, Sheet3!C:N, 12, FALSE), TODAY(), "y") &amp; " Years Experience")</f>
        <v/>
      </c>
      <c r="G68" s="9"/>
      <c r="H68" s="15" t="s">
        <v>24</v>
      </c>
      <c r="I68" s="15"/>
      <c r="J68" s="15"/>
      <c r="K68" s="11">
        <v>0</v>
      </c>
      <c r="L68" s="9">
        <v>0</v>
      </c>
      <c r="M68" s="9"/>
      <c r="N68" s="9"/>
      <c r="O68" s="9"/>
      <c r="P68" s="9"/>
    </row>
    <row r="69" spans="1:16">
      <c r="A69" s="9"/>
      <c r="B69" s="9"/>
      <c r="C69" s="18" t="s">
        <v>45</v>
      </c>
      <c r="D69" s="18"/>
      <c r="E69" s="18"/>
      <c r="F69" s="9" t="str">
        <f ca="1">IF(D69="", "", VLOOKUP(D69, Sheet3!C:P, 14, FALSE) &amp; ", " &amp; DATEDIF(VLOOKUP(D69, Sheet3!C:N, 12, FALSE), TODAY(), "y") &amp; " Years Experience")</f>
        <v/>
      </c>
      <c r="G69" s="18"/>
      <c r="H69" s="11"/>
      <c r="I69" s="11"/>
      <c r="J69" s="11"/>
      <c r="K69" s="11"/>
      <c r="L69" s="9"/>
      <c r="M69" s="9"/>
      <c r="N69" s="9"/>
      <c r="O69" s="9"/>
      <c r="P69" s="9"/>
    </row>
    <row r="70" spans="1:16">
      <c r="A70" s="9"/>
      <c r="B70" s="9"/>
      <c r="C70" s="9" t="s">
        <v>46</v>
      </c>
      <c r="D70" s="9"/>
      <c r="E70" s="9"/>
      <c r="F70" s="9" t="str">
        <f ca="1">IF(D70="", "", VLOOKUP(D70, Sheet3!C:P, 14, FALSE) &amp; ", " &amp; DATEDIF(VLOOKUP(D70, Sheet3!C:N, 12, FALSE), TODAY(), "y") &amp; " Years Experience")</f>
        <v/>
      </c>
      <c r="G70" s="9"/>
      <c r="H70" s="11">
        <v>3</v>
      </c>
      <c r="I70" s="11"/>
      <c r="J70" s="11"/>
      <c r="K70" s="11">
        <v>1</v>
      </c>
      <c r="L70" s="9">
        <v>0</v>
      </c>
      <c r="M70" s="9"/>
      <c r="N70" s="9"/>
      <c r="O70" s="9"/>
      <c r="P70" s="9"/>
    </row>
    <row r="71" spans="1:16">
      <c r="A71" s="9"/>
      <c r="B71" s="9"/>
      <c r="C71" s="9" t="s">
        <v>47</v>
      </c>
      <c r="D71" s="9"/>
      <c r="E71" s="9"/>
      <c r="F71" s="9" t="str">
        <f ca="1">IF(D71="", "", VLOOKUP(D71, Sheet3!C:P, 14, FALSE) &amp; ", " &amp; DATEDIF(VLOOKUP(D71, Sheet3!C:N, 12, FALSE), TODAY(), "y") &amp; " Years Experience")</f>
        <v/>
      </c>
      <c r="G71" s="9"/>
      <c r="H71" s="11">
        <v>3</v>
      </c>
      <c r="I71" s="11"/>
      <c r="J71" s="11"/>
      <c r="K71" s="11">
        <v>1</v>
      </c>
      <c r="L71" s="9">
        <v>0</v>
      </c>
      <c r="M71" s="9"/>
      <c r="N71" s="9"/>
      <c r="O71" s="9"/>
      <c r="P71" s="9"/>
    </row>
    <row r="72" spans="1:16">
      <c r="A72" s="9"/>
      <c r="B72" s="9"/>
      <c r="C72" s="18" t="s">
        <v>48</v>
      </c>
      <c r="D72" s="18"/>
      <c r="E72" s="18"/>
      <c r="F72" s="9" t="str">
        <f ca="1">IF(D72="", "", VLOOKUP(D72, Sheet3!C:P, 14, FALSE) &amp; ", " &amp; DATEDIF(VLOOKUP(D72, Sheet3!C:N, 12, FALSE), TODAY(), "y") &amp; " Years Experience")</f>
        <v/>
      </c>
      <c r="G72" s="18"/>
      <c r="H72" s="11"/>
      <c r="I72" s="11"/>
      <c r="J72" s="11"/>
      <c r="K72" s="11"/>
      <c r="L72" s="9"/>
      <c r="M72" s="9"/>
      <c r="N72" s="9"/>
      <c r="O72" s="9"/>
      <c r="P72" s="9"/>
    </row>
    <row r="73" spans="1:16">
      <c r="A73" s="9"/>
      <c r="B73" s="9"/>
      <c r="C73" s="9" t="s">
        <v>35</v>
      </c>
      <c r="D73" s="9"/>
      <c r="E73" s="9"/>
      <c r="F73" s="9" t="str">
        <f ca="1">IF(D73="", "", VLOOKUP(D73, Sheet3!C:P, 14, FALSE) &amp; ", " &amp; DATEDIF(VLOOKUP(D73, Sheet3!C:N, 12, FALSE), TODAY(), "y") &amp; " Years Experience")</f>
        <v/>
      </c>
      <c r="G73" s="9"/>
      <c r="H73" s="11">
        <v>4</v>
      </c>
      <c r="I73" s="11"/>
      <c r="J73" s="11"/>
      <c r="K73" s="11">
        <v>1</v>
      </c>
      <c r="L73" s="9">
        <v>1</v>
      </c>
      <c r="M73" s="9"/>
      <c r="N73" s="9"/>
      <c r="O73" s="9"/>
      <c r="P73" s="9"/>
    </row>
    <row r="74" spans="1:16">
      <c r="A74" s="9"/>
      <c r="B74" s="9"/>
      <c r="C74" s="9" t="s">
        <v>36</v>
      </c>
      <c r="D74" s="9"/>
      <c r="E74" s="9"/>
      <c r="F74" s="9" t="str">
        <f ca="1">IF(D74="", "", VLOOKUP(D74, Sheet3!C:P, 14, FALSE) &amp; ", " &amp; DATEDIF(VLOOKUP(D74, Sheet3!C:N, 12, FALSE), TODAY(), "y") &amp; " Years Experience")</f>
        <v/>
      </c>
      <c r="G74" s="9"/>
      <c r="H74" s="11">
        <v>4</v>
      </c>
      <c r="I74" s="11"/>
      <c r="J74" s="11"/>
      <c r="K74" s="11">
        <v>1</v>
      </c>
      <c r="L74" s="9">
        <v>1</v>
      </c>
      <c r="M74" s="9"/>
      <c r="N74" s="9"/>
      <c r="O74" s="9"/>
      <c r="P74" s="9"/>
    </row>
    <row r="75" spans="1:16">
      <c r="A75" s="9"/>
      <c r="B75" s="9"/>
      <c r="C75" s="9" t="s">
        <v>37</v>
      </c>
      <c r="D75" s="9"/>
      <c r="E75" s="9"/>
      <c r="F75" s="9" t="str">
        <f ca="1">IF(D75="", "", VLOOKUP(D75, Sheet3!C:P, 14, FALSE) &amp; ", " &amp; DATEDIF(VLOOKUP(D75, Sheet3!C:N, 12, FALSE), TODAY(), "y") &amp; " Years Experience")</f>
        <v/>
      </c>
      <c r="G75" s="9"/>
      <c r="H75" s="11">
        <v>5</v>
      </c>
      <c r="I75" s="11"/>
      <c r="J75" s="11"/>
      <c r="K75" s="11">
        <v>2</v>
      </c>
      <c r="L75" s="9">
        <v>2</v>
      </c>
      <c r="M75" s="9"/>
      <c r="N75" s="9"/>
      <c r="O75" s="9"/>
      <c r="P75" s="9"/>
    </row>
    <row r="76" spans="1:16">
      <c r="A76" s="9"/>
      <c r="B76" s="9"/>
      <c r="C76" s="9" t="s">
        <v>38</v>
      </c>
      <c r="D76" s="9"/>
      <c r="E76" s="9"/>
      <c r="F76" s="9" t="str">
        <f ca="1">IF(D76="", "", VLOOKUP(D76, Sheet3!C:P, 14, FALSE) &amp; ", " &amp; DATEDIF(VLOOKUP(D76, Sheet3!C:N, 12, FALSE), TODAY(), "y") &amp; " Years Experience")</f>
        <v/>
      </c>
      <c r="G76" s="9"/>
      <c r="H76" s="15" t="s">
        <v>9</v>
      </c>
      <c r="I76" s="15"/>
      <c r="J76" s="15"/>
      <c r="K76" s="11">
        <v>2</v>
      </c>
      <c r="L76" s="9">
        <v>2</v>
      </c>
      <c r="M76" s="9"/>
      <c r="N76" s="9"/>
      <c r="O76" s="9"/>
      <c r="P76" s="9"/>
    </row>
    <row r="77" spans="1:16">
      <c r="A77" s="9"/>
      <c r="B77" s="9"/>
      <c r="C77" s="9" t="s">
        <v>39</v>
      </c>
      <c r="D77" s="9"/>
      <c r="E77" s="9"/>
      <c r="F77" s="9" t="str">
        <f ca="1">IF(D77="", "", VLOOKUP(D77, Sheet3!C:P, 14, FALSE) &amp; ", " &amp; DATEDIF(VLOOKUP(D77, Sheet3!C:N, 12, FALSE), TODAY(), "y") &amp; " Years Experience")</f>
        <v/>
      </c>
      <c r="G77" s="9"/>
      <c r="H77" s="11">
        <v>7</v>
      </c>
      <c r="I77" s="11"/>
      <c r="J77" s="11"/>
      <c r="K77" s="11">
        <v>2</v>
      </c>
      <c r="L77" s="9">
        <v>2</v>
      </c>
      <c r="M77" s="9"/>
      <c r="N77" s="9"/>
      <c r="O77" s="9"/>
      <c r="P77" s="9"/>
    </row>
    <row r="78" spans="1:16">
      <c r="A78" s="9"/>
      <c r="B78" s="9"/>
      <c r="C78" s="9" t="s">
        <v>40</v>
      </c>
      <c r="D78" s="9"/>
      <c r="E78" s="9"/>
      <c r="F78" s="9" t="str">
        <f ca="1">IF(D78="", "", VLOOKUP(D78, Sheet3!C:P, 14, FALSE) &amp; ", " &amp; DATEDIF(VLOOKUP(D78, Sheet3!C:N, 12, FALSE), TODAY(), "y") &amp; " Years Experience")</f>
        <v/>
      </c>
      <c r="G78" s="9"/>
      <c r="H78" s="15" t="s">
        <v>24</v>
      </c>
      <c r="I78" s="15"/>
      <c r="J78" s="15"/>
      <c r="K78" s="11">
        <v>0</v>
      </c>
      <c r="L78" s="9">
        <v>0</v>
      </c>
      <c r="M78" s="9"/>
      <c r="N78" s="9"/>
      <c r="O78" s="9"/>
      <c r="P78" s="9"/>
    </row>
    <row r="79" spans="1:16">
      <c r="A79" s="9"/>
      <c r="B79" s="9"/>
      <c r="C79" s="19" t="s">
        <v>49</v>
      </c>
      <c r="D79" s="19"/>
      <c r="E79" s="19"/>
      <c r="F79" s="9" t="str">
        <f ca="1">IF(D79="", "", VLOOKUP(D79, Sheet3!C:P, 14, FALSE) &amp; ", " &amp; DATEDIF(VLOOKUP(D79, Sheet3!C:N, 12, FALSE), TODAY(), "y") &amp; " Years Experience")</f>
        <v/>
      </c>
      <c r="G79" s="19"/>
      <c r="H79" s="11"/>
      <c r="I79" s="11"/>
      <c r="J79" s="11"/>
      <c r="K79" s="11"/>
      <c r="L79" s="9"/>
      <c r="M79" s="9"/>
      <c r="N79" s="9"/>
      <c r="O79" s="9"/>
      <c r="P79" s="9"/>
    </row>
    <row r="80" spans="1:16">
      <c r="A80" s="9"/>
      <c r="B80" s="9"/>
      <c r="C80" s="9" t="s">
        <v>35</v>
      </c>
      <c r="D80" s="9"/>
      <c r="E80" s="9"/>
      <c r="F80" s="9" t="str">
        <f ca="1">IF(D80="", "", VLOOKUP(D80, Sheet3!C:P, 14, FALSE) &amp; ", " &amp; DATEDIF(VLOOKUP(D80, Sheet3!C:N, 12, FALSE), TODAY(), "y") &amp; " Years Experience")</f>
        <v/>
      </c>
      <c r="G80" s="9"/>
      <c r="H80" s="11">
        <v>4</v>
      </c>
      <c r="I80" s="11"/>
      <c r="J80" s="11"/>
      <c r="K80" s="11">
        <v>1</v>
      </c>
      <c r="L80" s="9">
        <v>0</v>
      </c>
      <c r="M80" s="9"/>
      <c r="N80" s="9"/>
      <c r="O80" s="9"/>
      <c r="P80" s="9"/>
    </row>
    <row r="81" spans="1:16">
      <c r="A81" s="9"/>
      <c r="B81" s="9"/>
      <c r="C81" s="9" t="s">
        <v>36</v>
      </c>
      <c r="D81" s="9"/>
      <c r="E81" s="9"/>
      <c r="F81" s="9" t="str">
        <f ca="1">IF(D81="", "", VLOOKUP(D81, Sheet3!C:P, 14, FALSE) &amp; ", " &amp; DATEDIF(VLOOKUP(D81, Sheet3!C:N, 12, FALSE), TODAY(), "y") &amp; " Years Experience")</f>
        <v/>
      </c>
      <c r="G81" s="9"/>
      <c r="H81" s="11">
        <v>4</v>
      </c>
      <c r="I81" s="11"/>
      <c r="J81" s="11"/>
      <c r="K81" s="11">
        <v>1</v>
      </c>
      <c r="L81" s="9">
        <v>1</v>
      </c>
      <c r="M81" s="9"/>
      <c r="N81" s="9"/>
      <c r="O81" s="9"/>
      <c r="P81" s="9"/>
    </row>
    <row r="82" spans="1:16">
      <c r="A82" s="9"/>
      <c r="B82" s="9"/>
      <c r="C82" s="9" t="s">
        <v>37</v>
      </c>
      <c r="D82" s="9"/>
      <c r="E82" s="9"/>
      <c r="F82" s="9" t="str">
        <f ca="1">IF(D82="", "", VLOOKUP(D82, Sheet3!C:P, 14, FALSE) &amp; ", " &amp; DATEDIF(VLOOKUP(D82, Sheet3!C:N, 12, FALSE), TODAY(), "y") &amp; " Years Experience")</f>
        <v/>
      </c>
      <c r="G82" s="9"/>
      <c r="H82" s="11">
        <v>5</v>
      </c>
      <c r="I82" s="11"/>
      <c r="J82" s="11"/>
      <c r="K82" s="11">
        <v>2</v>
      </c>
      <c r="L82" s="9">
        <v>1</v>
      </c>
      <c r="M82" s="9"/>
      <c r="N82" s="9"/>
      <c r="O82" s="9"/>
      <c r="P82" s="9"/>
    </row>
    <row r="83" spans="1:16">
      <c r="A83" s="9"/>
      <c r="B83" s="9"/>
      <c r="C83" s="9" t="s">
        <v>38</v>
      </c>
      <c r="D83" s="9"/>
      <c r="E83" s="9"/>
      <c r="F83" s="9" t="str">
        <f ca="1">IF(D83="", "", VLOOKUP(D83, Sheet3!C:P, 14, FALSE) &amp; ", " &amp; DATEDIF(VLOOKUP(D83, Sheet3!C:N, 12, FALSE), TODAY(), "y") &amp; " Years Experience")</f>
        <v/>
      </c>
      <c r="G83" s="9"/>
      <c r="H83" s="15" t="s">
        <v>9</v>
      </c>
      <c r="I83" s="15"/>
      <c r="J83" s="15"/>
      <c r="K83" s="11">
        <v>2</v>
      </c>
      <c r="L83" s="9">
        <v>2</v>
      </c>
      <c r="M83" s="9"/>
      <c r="N83" s="9"/>
      <c r="O83" s="9"/>
      <c r="P83" s="9"/>
    </row>
    <row r="84" spans="1:16">
      <c r="A84" s="9"/>
      <c r="B84" s="9"/>
      <c r="C84" s="9" t="s">
        <v>39</v>
      </c>
      <c r="D84" s="9"/>
      <c r="E84" s="9"/>
      <c r="F84" s="9" t="str">
        <f ca="1">IF(D84="", "", VLOOKUP(D84, Sheet3!C:P, 14, FALSE) &amp; ", " &amp; DATEDIF(VLOOKUP(D84, Sheet3!C:N, 12, FALSE), TODAY(), "y") &amp; " Years Experience")</f>
        <v/>
      </c>
      <c r="G84" s="9"/>
      <c r="H84" s="11">
        <v>7</v>
      </c>
      <c r="I84" s="11"/>
      <c r="J84" s="11"/>
      <c r="K84" s="11">
        <v>2</v>
      </c>
      <c r="L84" s="9">
        <v>2</v>
      </c>
      <c r="M84" s="9"/>
      <c r="N84" s="9"/>
      <c r="O84" s="9"/>
      <c r="P84" s="9"/>
    </row>
    <row r="85" spans="1:16">
      <c r="A85" s="9"/>
      <c r="B85" s="9"/>
      <c r="C85" s="9" t="s">
        <v>40</v>
      </c>
      <c r="D85" s="9"/>
      <c r="E85" s="9"/>
      <c r="F85" s="9" t="str">
        <f ca="1">IF(D85="", "", VLOOKUP(D85, Sheet3!C:P, 14, FALSE) &amp; ", " &amp; DATEDIF(VLOOKUP(D85, Sheet3!C:N, 12, FALSE), TODAY(), "y") &amp; " Years Experience")</f>
        <v/>
      </c>
      <c r="G85" s="9"/>
      <c r="H85" s="15" t="s">
        <v>24</v>
      </c>
      <c r="I85" s="15"/>
      <c r="J85" s="15"/>
      <c r="K85" s="11">
        <v>0</v>
      </c>
      <c r="L85" s="9">
        <v>0</v>
      </c>
      <c r="M85" s="9"/>
      <c r="N85" s="9"/>
      <c r="O85" s="9"/>
      <c r="P85" s="9"/>
    </row>
    <row r="86" spans="1:16">
      <c r="A86" s="9"/>
      <c r="B86" s="9"/>
      <c r="C86" s="19" t="s">
        <v>50</v>
      </c>
      <c r="D86" s="19"/>
      <c r="E86" s="19"/>
      <c r="F86" s="9" t="str">
        <f ca="1">IF(D86="", "", VLOOKUP(D86, Sheet3!C:P, 14, FALSE) &amp; ", " &amp; DATEDIF(VLOOKUP(D86, Sheet3!C:N, 12, FALSE), TODAY(), "y") &amp; " Years Experience")</f>
        <v/>
      </c>
      <c r="G86" s="19"/>
      <c r="H86" s="11"/>
      <c r="I86" s="11"/>
      <c r="J86" s="11"/>
      <c r="K86" s="11"/>
      <c r="L86" s="9"/>
      <c r="M86" s="9"/>
      <c r="N86" s="9"/>
      <c r="O86" s="9"/>
      <c r="P86" s="9"/>
    </row>
    <row r="87" spans="1:16">
      <c r="A87" s="9"/>
      <c r="B87" s="9"/>
      <c r="C87" s="9" t="s">
        <v>35</v>
      </c>
      <c r="D87" s="9"/>
      <c r="E87" s="9"/>
      <c r="F87" s="9" t="str">
        <f ca="1">IF(D87="", "", VLOOKUP(D87, Sheet3!C:P, 14, FALSE) &amp; ", " &amp; DATEDIF(VLOOKUP(D87, Sheet3!C:N, 12, FALSE), TODAY(), "y") &amp; " Years Experience")</f>
        <v/>
      </c>
      <c r="G87" s="9"/>
      <c r="H87" s="11">
        <v>4</v>
      </c>
      <c r="I87" s="11"/>
      <c r="J87" s="11"/>
      <c r="K87" s="11">
        <v>1</v>
      </c>
      <c r="L87" s="9">
        <v>0</v>
      </c>
      <c r="M87" s="9"/>
      <c r="N87" s="9"/>
      <c r="O87" s="9"/>
      <c r="P87" s="9"/>
    </row>
    <row r="88" spans="1:16">
      <c r="A88" s="9"/>
      <c r="B88" s="9"/>
      <c r="C88" s="9" t="s">
        <v>36</v>
      </c>
      <c r="D88" s="9"/>
      <c r="E88" s="9"/>
      <c r="F88" s="9" t="str">
        <f ca="1">IF(D88="", "", VLOOKUP(D88, Sheet3!C:P, 14, FALSE) &amp; ", " &amp; DATEDIF(VLOOKUP(D88, Sheet3!C:N, 12, FALSE), TODAY(), "y") &amp; " Years Experience")</f>
        <v/>
      </c>
      <c r="G88" s="9"/>
      <c r="H88" s="11">
        <v>4</v>
      </c>
      <c r="I88" s="11"/>
      <c r="J88" s="11"/>
      <c r="K88" s="11">
        <v>1</v>
      </c>
      <c r="L88" s="9">
        <v>0</v>
      </c>
      <c r="M88" s="9"/>
      <c r="N88" s="9"/>
      <c r="O88" s="9"/>
      <c r="P88" s="9"/>
    </row>
    <row r="89" spans="1:16">
      <c r="A89" s="9"/>
      <c r="B89" s="9"/>
      <c r="C89" s="9" t="s">
        <v>37</v>
      </c>
      <c r="D89" s="9"/>
      <c r="E89" s="9"/>
      <c r="F89" s="9" t="str">
        <f ca="1">IF(D89="", "", VLOOKUP(D89, Sheet3!C:P, 14, FALSE) &amp; ", " &amp; DATEDIF(VLOOKUP(D89, Sheet3!C:N, 12, FALSE), TODAY(), "y") &amp; " Years Experience")</f>
        <v/>
      </c>
      <c r="G89" s="9"/>
      <c r="H89" s="11">
        <v>5</v>
      </c>
      <c r="I89" s="11"/>
      <c r="J89" s="11"/>
      <c r="K89" s="11">
        <v>2</v>
      </c>
      <c r="L89" s="9">
        <v>0</v>
      </c>
      <c r="M89" s="9"/>
      <c r="N89" s="9"/>
      <c r="O89" s="9"/>
      <c r="P89" s="9"/>
    </row>
    <row r="90" spans="1:16">
      <c r="A90" s="9"/>
      <c r="B90" s="9"/>
      <c r="C90" s="9" t="s">
        <v>38</v>
      </c>
      <c r="D90" s="9"/>
      <c r="E90" s="9"/>
      <c r="F90" s="9" t="str">
        <f ca="1">IF(D90="", "", VLOOKUP(D90, Sheet3!C:P, 14, FALSE) &amp; ", " &amp; DATEDIF(VLOOKUP(D90, Sheet3!C:N, 12, FALSE), TODAY(), "y") &amp; " Years Experience")</f>
        <v/>
      </c>
      <c r="G90" s="9"/>
      <c r="H90" s="15" t="s">
        <v>9</v>
      </c>
      <c r="I90" s="15"/>
      <c r="J90" s="15"/>
      <c r="K90" s="11">
        <v>2</v>
      </c>
      <c r="L90" s="9">
        <v>2</v>
      </c>
      <c r="M90" s="9"/>
      <c r="N90" s="9"/>
      <c r="O90" s="9"/>
      <c r="P90" s="9"/>
    </row>
    <row r="91" spans="1:16">
      <c r="A91" s="9"/>
      <c r="B91" s="9"/>
      <c r="C91" s="9" t="s">
        <v>39</v>
      </c>
      <c r="D91" s="9"/>
      <c r="E91" s="9"/>
      <c r="F91" s="9" t="str">
        <f ca="1">IF(D91="", "", VLOOKUP(D91, Sheet3!C:P, 14, FALSE) &amp; ", " &amp; DATEDIF(VLOOKUP(D91, Sheet3!C:N, 12, FALSE), TODAY(), "y") &amp; " Years Experience")</f>
        <v/>
      </c>
      <c r="G91" s="9"/>
      <c r="H91" s="11">
        <v>7</v>
      </c>
      <c r="I91" s="11"/>
      <c r="J91" s="11"/>
      <c r="K91" s="11">
        <v>2</v>
      </c>
      <c r="L91" s="9">
        <v>0</v>
      </c>
      <c r="M91" s="9"/>
      <c r="N91" s="9"/>
      <c r="O91" s="9"/>
      <c r="P91" s="9"/>
    </row>
    <row r="92" spans="1:16">
      <c r="A92" s="9"/>
      <c r="B92" s="9"/>
      <c r="C92" s="9" t="s">
        <v>40</v>
      </c>
      <c r="D92" s="9"/>
      <c r="E92" s="9"/>
      <c r="F92" s="9" t="str">
        <f ca="1">IF(D92="", "", VLOOKUP(D92, Sheet3!C:P, 14, FALSE) &amp; ", " &amp; DATEDIF(VLOOKUP(D92, Sheet3!C:N, 12, FALSE), TODAY(), "y") &amp; " Years Experience")</f>
        <v/>
      </c>
      <c r="G92" s="9"/>
      <c r="H92" s="15" t="s">
        <v>24</v>
      </c>
      <c r="I92" s="15"/>
      <c r="J92" s="15"/>
      <c r="K92" s="11">
        <v>0</v>
      </c>
      <c r="L92" s="9">
        <v>1</v>
      </c>
      <c r="M92" s="9"/>
      <c r="N92" s="9"/>
      <c r="O92" s="9"/>
      <c r="P92" s="9"/>
    </row>
    <row r="93" spans="1:16">
      <c r="A93" s="9"/>
      <c r="B93" s="9"/>
      <c r="C93" s="20" t="s">
        <v>51</v>
      </c>
      <c r="D93" s="20"/>
      <c r="E93" s="20"/>
      <c r="F93" s="9" t="str">
        <f ca="1">IF(D93="", "", VLOOKUP(D93, Sheet3!C:P, 14, FALSE) &amp; ", " &amp; DATEDIF(VLOOKUP(D93, Sheet3!C:N, 12, FALSE), TODAY(), "y") &amp; " Years Experience")</f>
        <v/>
      </c>
      <c r="G93" s="20"/>
      <c r="H93" s="11"/>
      <c r="I93" s="11"/>
      <c r="J93" s="11"/>
      <c r="K93" s="11"/>
      <c r="L93" s="9"/>
      <c r="M93" s="9"/>
      <c r="N93" s="9"/>
      <c r="O93" s="9"/>
      <c r="P93" s="9"/>
    </row>
    <row r="94" spans="1:16">
      <c r="A94" s="9"/>
      <c r="B94" s="9"/>
      <c r="C94" s="9" t="s">
        <v>35</v>
      </c>
      <c r="D94" s="9"/>
      <c r="E94" s="9"/>
      <c r="F94" s="9" t="str">
        <f ca="1">IF(D94="", "", VLOOKUP(D94, Sheet3!C:P, 14, FALSE) &amp; ", " &amp; DATEDIF(VLOOKUP(D94, Sheet3!C:N, 12, FALSE), TODAY(), "y") &amp; " Years Experience")</f>
        <v/>
      </c>
      <c r="G94" s="9"/>
      <c r="H94" s="11">
        <v>4</v>
      </c>
      <c r="I94" s="11"/>
      <c r="J94" s="11"/>
      <c r="K94" s="11">
        <v>1</v>
      </c>
      <c r="L94" s="9">
        <v>0</v>
      </c>
      <c r="M94" s="9"/>
      <c r="N94" s="9"/>
      <c r="O94" s="9"/>
      <c r="P94" s="9"/>
    </row>
    <row r="95" spans="1:16">
      <c r="A95" s="9"/>
      <c r="B95" s="9"/>
      <c r="C95" s="9" t="s">
        <v>36</v>
      </c>
      <c r="D95" s="9"/>
      <c r="E95" s="9"/>
      <c r="F95" s="9" t="str">
        <f ca="1">IF(D95="", "", VLOOKUP(D95, Sheet3!C:P, 14, FALSE) &amp; ", " &amp; DATEDIF(VLOOKUP(D95, Sheet3!C:N, 12, FALSE), TODAY(), "y") &amp; " Years Experience")</f>
        <v/>
      </c>
      <c r="G95" s="9"/>
      <c r="H95" s="11">
        <v>4</v>
      </c>
      <c r="I95" s="11"/>
      <c r="J95" s="11"/>
      <c r="K95" s="11">
        <v>1</v>
      </c>
      <c r="L95" s="9">
        <v>0</v>
      </c>
      <c r="M95" s="9"/>
      <c r="N95" s="9"/>
      <c r="O95" s="9"/>
      <c r="P95" s="9"/>
    </row>
    <row r="96" spans="1:16">
      <c r="A96" s="9"/>
      <c r="B96" s="9"/>
      <c r="C96" s="9" t="s">
        <v>37</v>
      </c>
      <c r="D96" s="9"/>
      <c r="E96" s="9"/>
      <c r="F96" s="9" t="str">
        <f ca="1">IF(D96="", "", VLOOKUP(D96, Sheet3!C:P, 14, FALSE) &amp; ", " &amp; DATEDIF(VLOOKUP(D96, Sheet3!C:N, 12, FALSE), TODAY(), "y") &amp; " Years Experience")</f>
        <v/>
      </c>
      <c r="G96" s="9"/>
      <c r="H96" s="11">
        <v>5</v>
      </c>
      <c r="I96" s="11"/>
      <c r="J96" s="11"/>
      <c r="K96" s="11">
        <v>2</v>
      </c>
      <c r="L96" s="9">
        <v>0</v>
      </c>
      <c r="M96" s="9"/>
      <c r="N96" s="9"/>
      <c r="O96" s="9"/>
      <c r="P96" s="9"/>
    </row>
    <row r="97" spans="1:16">
      <c r="A97" s="9"/>
      <c r="B97" s="9"/>
      <c r="C97" s="9" t="s">
        <v>38</v>
      </c>
      <c r="D97" s="9"/>
      <c r="E97" s="9"/>
      <c r="F97" s="9" t="str">
        <f ca="1">IF(D97="", "", VLOOKUP(D97, Sheet3!C:P, 14, FALSE) &amp; ", " &amp; DATEDIF(VLOOKUP(D97, Sheet3!C:N, 12, FALSE), TODAY(), "y") &amp; " Years Experience")</f>
        <v/>
      </c>
      <c r="G97" s="9"/>
      <c r="H97" s="15" t="s">
        <v>9</v>
      </c>
      <c r="I97" s="15"/>
      <c r="J97" s="15"/>
      <c r="K97" s="11">
        <v>2</v>
      </c>
      <c r="L97" s="9">
        <v>0</v>
      </c>
      <c r="M97" s="9"/>
      <c r="N97" s="9"/>
      <c r="O97" s="9"/>
      <c r="P97" s="9"/>
    </row>
    <row r="98" spans="1:16">
      <c r="A98" s="9"/>
      <c r="B98" s="9"/>
      <c r="C98" s="9" t="s">
        <v>39</v>
      </c>
      <c r="D98" s="9"/>
      <c r="E98" s="9"/>
      <c r="F98" s="9" t="str">
        <f ca="1">IF(D98="", "", VLOOKUP(D98, Sheet3!C:P, 14, FALSE) &amp; ", " &amp; DATEDIF(VLOOKUP(D98, Sheet3!C:N, 12, FALSE), TODAY(), "y") &amp; " Years Experience")</f>
        <v/>
      </c>
      <c r="G98" s="9"/>
      <c r="H98" s="11">
        <v>7</v>
      </c>
      <c r="I98" s="11"/>
      <c r="J98" s="11"/>
      <c r="K98" s="11">
        <v>2</v>
      </c>
      <c r="L98" s="9">
        <v>0</v>
      </c>
      <c r="M98" s="9"/>
      <c r="N98" s="9"/>
      <c r="O98" s="9"/>
      <c r="P98" s="9"/>
    </row>
    <row r="99" spans="1:16">
      <c r="A99" s="9"/>
      <c r="B99" s="9"/>
      <c r="C99" s="9" t="s">
        <v>40</v>
      </c>
      <c r="D99" s="9"/>
      <c r="E99" s="9"/>
      <c r="F99" s="9" t="str">
        <f ca="1">IF(D99="", "", VLOOKUP(D99, Sheet3!C:P, 14, FALSE) &amp; ", " &amp; DATEDIF(VLOOKUP(D99, Sheet3!C:N, 12, FALSE), TODAY(), "y") &amp; " Years Experience")</f>
        <v/>
      </c>
      <c r="G99" s="9"/>
      <c r="H99" s="15" t="s">
        <v>24</v>
      </c>
      <c r="I99" s="15"/>
      <c r="J99" s="15"/>
      <c r="K99" s="11">
        <v>0</v>
      </c>
      <c r="L99" s="9">
        <v>1</v>
      </c>
      <c r="M99" s="9"/>
      <c r="N99" s="9"/>
      <c r="O99" s="9"/>
      <c r="P99" s="9"/>
    </row>
    <row r="100" spans="1:16">
      <c r="A100" s="9"/>
      <c r="B100" s="9"/>
      <c r="C100" s="19" t="s">
        <v>52</v>
      </c>
      <c r="D100" s="19"/>
      <c r="E100" s="19"/>
      <c r="F100" s="9" t="str">
        <f ca="1">IF(D100="", "", VLOOKUP(D100, Sheet3!C:P, 14, FALSE) &amp; ", " &amp; DATEDIF(VLOOKUP(D100, Sheet3!C:N, 12, FALSE), TODAY(), "y") &amp; " Years Experience")</f>
        <v/>
      </c>
      <c r="G100" s="19"/>
      <c r="H100" s="11"/>
      <c r="I100" s="11"/>
      <c r="J100" s="11"/>
      <c r="K100" s="11"/>
      <c r="L100" s="9"/>
      <c r="M100" s="9"/>
      <c r="N100" s="9"/>
      <c r="O100" s="9"/>
      <c r="P100" s="9"/>
    </row>
    <row r="101" spans="1:16">
      <c r="A101" s="9"/>
      <c r="B101" s="9"/>
      <c r="C101" s="9" t="s">
        <v>53</v>
      </c>
      <c r="D101" s="9"/>
      <c r="E101" s="9"/>
      <c r="F101" s="9" t="str">
        <f ca="1">IF(D101="", "", VLOOKUP(D101, Sheet3!C:P, 14, FALSE) &amp; ", " &amp; DATEDIF(VLOOKUP(D101, Sheet3!C:N, 12, FALSE), TODAY(), "y") &amp; " Years Experience")</f>
        <v/>
      </c>
      <c r="G101" s="9"/>
      <c r="H101" s="11">
        <v>3</v>
      </c>
      <c r="I101" s="11"/>
      <c r="J101" s="11"/>
      <c r="K101" s="11">
        <v>1</v>
      </c>
      <c r="L101" s="9">
        <v>0</v>
      </c>
      <c r="M101" s="9"/>
      <c r="N101" s="9"/>
      <c r="O101" s="9"/>
      <c r="P101" s="9"/>
    </row>
    <row r="102" spans="1:16">
      <c r="A102" s="9"/>
      <c r="B102" s="9"/>
      <c r="C102" s="9" t="s">
        <v>47</v>
      </c>
      <c r="D102" s="9"/>
      <c r="E102" s="9"/>
      <c r="F102" s="9" t="str">
        <f ca="1">IF(D102="", "", VLOOKUP(D102, Sheet3!C:P, 14, FALSE) &amp; ", " &amp; DATEDIF(VLOOKUP(D102, Sheet3!C:N, 12, FALSE), TODAY(), "y") &amp; " Years Experience")</f>
        <v/>
      </c>
      <c r="G102" s="9"/>
      <c r="H102" s="11">
        <v>3</v>
      </c>
      <c r="I102" s="11"/>
      <c r="J102" s="11"/>
      <c r="K102" s="11">
        <v>1</v>
      </c>
      <c r="L102" s="9">
        <v>0</v>
      </c>
      <c r="M102" s="9"/>
      <c r="N102" s="9"/>
      <c r="O102" s="9"/>
      <c r="P102" s="9"/>
    </row>
    <row r="103" spans="1:16" ht="24">
      <c r="A103" s="9"/>
      <c r="B103" s="9"/>
      <c r="C103" s="20" t="s">
        <v>54</v>
      </c>
      <c r="D103" s="20"/>
      <c r="E103" s="20"/>
      <c r="F103" s="9" t="str">
        <f ca="1">IF(D103="", "", VLOOKUP(D103, Sheet3!C:P, 14, FALSE) &amp; ", " &amp; DATEDIF(VLOOKUP(D103, Sheet3!C:N, 12, FALSE), TODAY(), "y") &amp; " Years Experience")</f>
        <v/>
      </c>
      <c r="G103" s="20"/>
      <c r="H103" s="11"/>
      <c r="I103" s="11"/>
      <c r="J103" s="11"/>
      <c r="K103" s="11"/>
      <c r="L103" s="9"/>
      <c r="M103" s="9"/>
      <c r="N103" s="9"/>
      <c r="O103" s="9"/>
      <c r="P103" s="9"/>
    </row>
    <row r="104" spans="1:16">
      <c r="A104" s="9"/>
      <c r="B104" s="9"/>
      <c r="C104" s="9" t="s">
        <v>35</v>
      </c>
      <c r="D104" s="9"/>
      <c r="E104" s="9"/>
      <c r="F104" s="9" t="str">
        <f ca="1">IF(D104="", "", VLOOKUP(D104, Sheet3!C:P, 14, FALSE) &amp; ", " &amp; DATEDIF(VLOOKUP(D104, Sheet3!C:N, 12, FALSE), TODAY(), "y") &amp; " Years Experience")</f>
        <v/>
      </c>
      <c r="G104" s="9"/>
      <c r="H104" s="11">
        <v>4</v>
      </c>
      <c r="I104" s="11"/>
      <c r="J104" s="11"/>
      <c r="K104" s="11">
        <v>1</v>
      </c>
      <c r="L104" s="9">
        <v>0</v>
      </c>
      <c r="M104" s="9"/>
      <c r="N104" s="9"/>
      <c r="O104" s="9"/>
      <c r="P104" s="9"/>
    </row>
    <row r="105" spans="1:16">
      <c r="A105" s="9"/>
      <c r="B105" s="9"/>
      <c r="C105" s="9" t="s">
        <v>36</v>
      </c>
      <c r="D105" s="9"/>
      <c r="E105" s="9"/>
      <c r="F105" s="9" t="str">
        <f ca="1">IF(D105="", "", VLOOKUP(D105, Sheet3!C:P, 14, FALSE) &amp; ", " &amp; DATEDIF(VLOOKUP(D105, Sheet3!C:N, 12, FALSE), TODAY(), "y") &amp; " Years Experience")</f>
        <v/>
      </c>
      <c r="G105" s="9"/>
      <c r="H105" s="11">
        <v>4</v>
      </c>
      <c r="I105" s="11"/>
      <c r="J105" s="11"/>
      <c r="K105" s="11">
        <v>1</v>
      </c>
      <c r="L105" s="9">
        <v>0</v>
      </c>
      <c r="M105" s="9"/>
      <c r="N105" s="9"/>
      <c r="O105" s="9"/>
      <c r="P105" s="9"/>
    </row>
    <row r="106" spans="1:16">
      <c r="A106" s="9"/>
      <c r="B106" s="9"/>
      <c r="C106" s="9" t="s">
        <v>37</v>
      </c>
      <c r="D106" s="9"/>
      <c r="E106" s="9"/>
      <c r="F106" s="9" t="str">
        <f ca="1">IF(D106="", "", VLOOKUP(D106, Sheet3!C:P, 14, FALSE) &amp; ", " &amp; DATEDIF(VLOOKUP(D106, Sheet3!C:N, 12, FALSE), TODAY(), "y") &amp; " Years Experience")</f>
        <v/>
      </c>
      <c r="G106" s="9"/>
      <c r="H106" s="11">
        <v>5</v>
      </c>
      <c r="I106" s="11"/>
      <c r="J106" s="11"/>
      <c r="K106" s="11">
        <v>2</v>
      </c>
      <c r="L106" s="9">
        <v>1</v>
      </c>
      <c r="M106" s="9"/>
      <c r="N106" s="9"/>
      <c r="O106" s="9"/>
      <c r="P106" s="9"/>
    </row>
    <row r="107" spans="1:16">
      <c r="A107" s="9"/>
      <c r="B107" s="9"/>
      <c r="C107" s="9" t="s">
        <v>38</v>
      </c>
      <c r="D107" s="9"/>
      <c r="E107" s="9"/>
      <c r="F107" s="9" t="str">
        <f ca="1">IF(D107="", "", VLOOKUP(D107, Sheet3!C:P, 14, FALSE) &amp; ", " &amp; DATEDIF(VLOOKUP(D107, Sheet3!C:N, 12, FALSE), TODAY(), "y") &amp; " Years Experience")</f>
        <v/>
      </c>
      <c r="G107" s="9"/>
      <c r="H107" s="15" t="s">
        <v>9</v>
      </c>
      <c r="I107" s="15"/>
      <c r="J107" s="15"/>
      <c r="K107" s="11">
        <v>2</v>
      </c>
      <c r="L107" s="9">
        <v>4</v>
      </c>
      <c r="M107" s="9"/>
      <c r="N107" s="9"/>
      <c r="O107" s="9"/>
      <c r="P107" s="9"/>
    </row>
    <row r="108" spans="1:16">
      <c r="A108" s="9"/>
      <c r="B108" s="9"/>
      <c r="C108" s="9" t="s">
        <v>39</v>
      </c>
      <c r="D108" s="9"/>
      <c r="E108" s="9"/>
      <c r="F108" s="9" t="str">
        <f ca="1">IF(D108="", "", VLOOKUP(D108, Sheet3!C:P, 14, FALSE) &amp; ", " &amp; DATEDIF(VLOOKUP(D108, Sheet3!C:N, 12, FALSE), TODAY(), "y") &amp; " Years Experience")</f>
        <v/>
      </c>
      <c r="G108" s="9"/>
      <c r="H108" s="11">
        <v>7</v>
      </c>
      <c r="I108" s="11"/>
      <c r="J108" s="11"/>
      <c r="K108" s="11">
        <v>2</v>
      </c>
      <c r="L108" s="9">
        <v>1</v>
      </c>
      <c r="M108" s="9"/>
      <c r="N108" s="9"/>
      <c r="O108" s="9"/>
      <c r="P108" s="9"/>
    </row>
    <row r="109" spans="1:16">
      <c r="A109" s="9"/>
      <c r="B109" s="9"/>
      <c r="C109" s="9" t="s">
        <v>40</v>
      </c>
      <c r="D109" s="9"/>
      <c r="E109" s="9"/>
      <c r="F109" s="9" t="str">
        <f ca="1">IF(D109="", "", VLOOKUP(D109, Sheet3!C:P, 14, FALSE) &amp; ", " &amp; DATEDIF(VLOOKUP(D109, Sheet3!C:N, 12, FALSE), TODAY(), "y") &amp; " Years Experience")</f>
        <v/>
      </c>
      <c r="G109" s="9"/>
      <c r="H109" s="15" t="s">
        <v>24</v>
      </c>
      <c r="I109" s="15"/>
      <c r="J109" s="15"/>
      <c r="K109" s="11">
        <v>0</v>
      </c>
      <c r="L109" s="9">
        <v>0</v>
      </c>
      <c r="M109" s="9"/>
      <c r="N109" s="9"/>
      <c r="O109" s="9"/>
      <c r="P109" s="9"/>
    </row>
    <row r="110" spans="1:16" ht="24">
      <c r="A110" s="9"/>
      <c r="B110" s="9"/>
      <c r="C110" s="20" t="s">
        <v>55</v>
      </c>
      <c r="D110" s="20"/>
      <c r="E110" s="20"/>
      <c r="F110" s="9" t="str">
        <f ca="1">IF(D110="", "", VLOOKUP(D110, Sheet3!C:P, 14, FALSE) &amp; ", " &amp; DATEDIF(VLOOKUP(D110, Sheet3!C:N, 12, FALSE), TODAY(), "y") &amp; " Years Experience")</f>
        <v/>
      </c>
      <c r="G110" s="20"/>
      <c r="H110" s="11"/>
      <c r="I110" s="11"/>
      <c r="J110" s="11"/>
      <c r="K110" s="11"/>
      <c r="L110" s="9"/>
      <c r="M110" s="9"/>
      <c r="N110" s="9"/>
      <c r="O110" s="9"/>
      <c r="P110" s="9"/>
    </row>
    <row r="111" spans="1:16">
      <c r="A111" s="9"/>
      <c r="B111" s="9"/>
      <c r="C111" s="9" t="s">
        <v>35</v>
      </c>
      <c r="D111" s="9"/>
      <c r="E111" s="9"/>
      <c r="F111" s="9" t="str">
        <f ca="1">IF(D111="", "", VLOOKUP(D111, Sheet3!C:P, 14, FALSE) &amp; ", " &amp; DATEDIF(VLOOKUP(D111, Sheet3!C:N, 12, FALSE), TODAY(), "y") &amp; " Years Experience")</f>
        <v/>
      </c>
      <c r="G111" s="9"/>
      <c r="H111" s="11">
        <v>4</v>
      </c>
      <c r="I111" s="11"/>
      <c r="J111" s="11"/>
      <c r="K111" s="11">
        <v>1</v>
      </c>
      <c r="L111" s="9">
        <v>0</v>
      </c>
      <c r="M111" s="9"/>
      <c r="N111" s="9"/>
      <c r="O111" s="9"/>
      <c r="P111" s="9"/>
    </row>
    <row r="112" spans="1:16">
      <c r="A112" s="9"/>
      <c r="B112" s="9"/>
      <c r="C112" s="9" t="s">
        <v>36</v>
      </c>
      <c r="D112" s="9"/>
      <c r="E112" s="9"/>
      <c r="F112" s="9" t="str">
        <f ca="1">IF(D112="", "", VLOOKUP(D112, Sheet3!C:P, 14, FALSE) &amp; ", " &amp; DATEDIF(VLOOKUP(D112, Sheet3!C:N, 12, FALSE), TODAY(), "y") &amp; " Years Experience")</f>
        <v/>
      </c>
      <c r="G112" s="9"/>
      <c r="H112" s="11">
        <v>4</v>
      </c>
      <c r="I112" s="11"/>
      <c r="J112" s="11"/>
      <c r="K112" s="11">
        <v>1</v>
      </c>
      <c r="L112" s="9">
        <v>0</v>
      </c>
      <c r="M112" s="9"/>
      <c r="N112" s="9"/>
      <c r="O112" s="9"/>
      <c r="P112" s="9"/>
    </row>
    <row r="113" spans="1:16">
      <c r="A113" s="9"/>
      <c r="B113" s="9"/>
      <c r="C113" s="9" t="s">
        <v>37</v>
      </c>
      <c r="D113" s="9"/>
      <c r="E113" s="9"/>
      <c r="F113" s="9" t="str">
        <f ca="1">IF(D113="", "", VLOOKUP(D113, Sheet3!C:P, 14, FALSE) &amp; ", " &amp; DATEDIF(VLOOKUP(D113, Sheet3!C:N, 12, FALSE), TODAY(), "y") &amp; " Years Experience")</f>
        <v/>
      </c>
      <c r="G113" s="9"/>
      <c r="H113" s="11">
        <v>5</v>
      </c>
      <c r="I113" s="11"/>
      <c r="J113" s="11"/>
      <c r="K113" s="11">
        <v>2</v>
      </c>
      <c r="L113" s="9">
        <v>0</v>
      </c>
      <c r="M113" s="9"/>
      <c r="N113" s="9"/>
      <c r="O113" s="9"/>
      <c r="P113" s="9"/>
    </row>
    <row r="114" spans="1:16">
      <c r="A114" s="9"/>
      <c r="B114" s="9"/>
      <c r="C114" s="9" t="s">
        <v>38</v>
      </c>
      <c r="D114" s="9"/>
      <c r="E114" s="9"/>
      <c r="F114" s="9" t="str">
        <f ca="1">IF(D114="", "", VLOOKUP(D114, Sheet3!C:P, 14, FALSE) &amp; ", " &amp; DATEDIF(VLOOKUP(D114, Sheet3!C:N, 12, FALSE), TODAY(), "y") &amp; " Years Experience")</f>
        <v/>
      </c>
      <c r="G114" s="9"/>
      <c r="H114" s="15" t="s">
        <v>9</v>
      </c>
      <c r="I114" s="15"/>
      <c r="J114" s="15"/>
      <c r="K114" s="11">
        <v>2</v>
      </c>
      <c r="L114" s="9">
        <v>4</v>
      </c>
      <c r="M114" s="9"/>
      <c r="N114" s="9"/>
      <c r="O114" s="9"/>
      <c r="P114" s="9"/>
    </row>
    <row r="115" spans="1:16">
      <c r="A115" s="9"/>
      <c r="B115" s="9"/>
      <c r="C115" s="9" t="s">
        <v>39</v>
      </c>
      <c r="D115" s="9"/>
      <c r="E115" s="9"/>
      <c r="F115" s="9" t="str">
        <f ca="1">IF(D115="", "", VLOOKUP(D115, Sheet3!C:P, 14, FALSE) &amp; ", " &amp; DATEDIF(VLOOKUP(D115, Sheet3!C:N, 12, FALSE), TODAY(), "y") &amp; " Years Experience")</f>
        <v/>
      </c>
      <c r="G115" s="9"/>
      <c r="H115" s="11">
        <v>7</v>
      </c>
      <c r="I115" s="11"/>
      <c r="J115" s="11"/>
      <c r="K115" s="11">
        <v>2</v>
      </c>
      <c r="L115" s="9">
        <v>0</v>
      </c>
      <c r="M115" s="9"/>
      <c r="N115" s="9"/>
      <c r="O115" s="9"/>
      <c r="P115" s="9"/>
    </row>
    <row r="116" spans="1:16">
      <c r="A116" s="9"/>
      <c r="B116" s="9"/>
      <c r="C116" s="9" t="s">
        <v>40</v>
      </c>
      <c r="D116" s="9"/>
      <c r="E116" s="9"/>
      <c r="F116" s="9" t="str">
        <f ca="1">IF(D116="", "", VLOOKUP(D116, Sheet3!C:P, 14, FALSE) &amp; ", " &amp; DATEDIF(VLOOKUP(D116, Sheet3!C:N, 12, FALSE), TODAY(), "y") &amp; " Years Experience")</f>
        <v/>
      </c>
      <c r="G116" s="9"/>
      <c r="H116" s="15" t="s">
        <v>24</v>
      </c>
      <c r="I116" s="15"/>
      <c r="J116" s="15"/>
      <c r="K116" s="11">
        <v>0</v>
      </c>
      <c r="L116" s="9">
        <v>2</v>
      </c>
      <c r="M116" s="9"/>
      <c r="N116" s="9"/>
      <c r="O116" s="9"/>
      <c r="P116" s="9"/>
    </row>
    <row r="117" spans="1:16">
      <c r="A117" s="9"/>
      <c r="B117" s="9"/>
      <c r="C117" s="19" t="s">
        <v>56</v>
      </c>
      <c r="D117" s="19"/>
      <c r="E117" s="19"/>
      <c r="F117" s="9" t="str">
        <f ca="1">IF(D117="", "", VLOOKUP(D117, Sheet3!C:P, 14, FALSE) &amp; ", " &amp; DATEDIF(VLOOKUP(D117, Sheet3!C:N, 12, FALSE), TODAY(), "y") &amp; " Years Experience")</f>
        <v/>
      </c>
      <c r="G117" s="19"/>
      <c r="H117" s="11"/>
      <c r="I117" s="11"/>
      <c r="J117" s="11"/>
      <c r="K117" s="11"/>
      <c r="L117" s="9"/>
      <c r="M117" s="9"/>
      <c r="N117" s="9"/>
      <c r="O117" s="9"/>
      <c r="P117" s="9"/>
    </row>
    <row r="118" spans="1:16">
      <c r="A118" s="9"/>
      <c r="B118" s="9"/>
      <c r="C118" s="9" t="s">
        <v>35</v>
      </c>
      <c r="D118" s="9"/>
      <c r="E118" s="9"/>
      <c r="F118" s="9" t="str">
        <f ca="1">IF(D118="", "", VLOOKUP(D118, Sheet3!C:P, 14, FALSE) &amp; ", " &amp; DATEDIF(VLOOKUP(D118, Sheet3!C:N, 12, FALSE), TODAY(), "y") &amp; " Years Experience")</f>
        <v/>
      </c>
      <c r="G118" s="9"/>
      <c r="H118" s="11">
        <v>4</v>
      </c>
      <c r="I118" s="11"/>
      <c r="J118" s="11"/>
      <c r="K118" s="11">
        <v>1</v>
      </c>
      <c r="L118" s="9">
        <v>0</v>
      </c>
      <c r="M118" s="9"/>
      <c r="N118" s="9"/>
      <c r="O118" s="9"/>
      <c r="P118" s="9"/>
    </row>
    <row r="119" spans="1:16">
      <c r="A119" s="9"/>
      <c r="B119" s="9"/>
      <c r="C119" s="9" t="s">
        <v>36</v>
      </c>
      <c r="D119" s="9"/>
      <c r="E119" s="9"/>
      <c r="F119" s="9" t="str">
        <f ca="1">IF(D119="", "", VLOOKUP(D119, Sheet3!C:P, 14, FALSE) &amp; ", " &amp; DATEDIF(VLOOKUP(D119, Sheet3!C:N, 12, FALSE), TODAY(), "y") &amp; " Years Experience")</f>
        <v/>
      </c>
      <c r="G119" s="9"/>
      <c r="H119" s="11">
        <v>4</v>
      </c>
      <c r="I119" s="11"/>
      <c r="J119" s="11"/>
      <c r="K119" s="11">
        <v>1</v>
      </c>
      <c r="L119" s="9">
        <v>0</v>
      </c>
      <c r="M119" s="9"/>
      <c r="N119" s="9"/>
      <c r="O119" s="9"/>
      <c r="P119" s="9"/>
    </row>
    <row r="120" spans="1:16">
      <c r="A120" s="9"/>
      <c r="B120" s="9"/>
      <c r="C120" s="9" t="s">
        <v>37</v>
      </c>
      <c r="D120" s="9"/>
      <c r="E120" s="9"/>
      <c r="F120" s="9" t="str">
        <f ca="1">IF(D120="", "", VLOOKUP(D120, Sheet3!C:P, 14, FALSE) &amp; ", " &amp; DATEDIF(VLOOKUP(D120, Sheet3!C:N, 12, FALSE), TODAY(), "y") &amp; " Years Experience")</f>
        <v/>
      </c>
      <c r="G120" s="9"/>
      <c r="H120" s="11">
        <v>5</v>
      </c>
      <c r="I120" s="11"/>
      <c r="J120" s="11"/>
      <c r="K120" s="11">
        <v>2</v>
      </c>
      <c r="L120" s="9">
        <v>0</v>
      </c>
      <c r="M120" s="9"/>
      <c r="N120" s="9"/>
      <c r="O120" s="9"/>
      <c r="P120" s="9"/>
    </row>
    <row r="121" spans="1:16">
      <c r="A121" s="9"/>
      <c r="B121" s="9"/>
      <c r="C121" s="9" t="s">
        <v>38</v>
      </c>
      <c r="D121" s="9"/>
      <c r="E121" s="9"/>
      <c r="F121" s="9" t="str">
        <f ca="1">IF(D121="", "", VLOOKUP(D121, Sheet3!C:P, 14, FALSE) &amp; ", " &amp; DATEDIF(VLOOKUP(D121, Sheet3!C:N, 12, FALSE), TODAY(), "y") &amp; " Years Experience")</f>
        <v/>
      </c>
      <c r="G121" s="9"/>
      <c r="H121" s="15" t="s">
        <v>9</v>
      </c>
      <c r="I121" s="15"/>
      <c r="J121" s="15"/>
      <c r="K121" s="11">
        <v>2</v>
      </c>
      <c r="L121" s="9">
        <v>4</v>
      </c>
      <c r="M121" s="9"/>
      <c r="N121" s="9"/>
      <c r="O121" s="9"/>
      <c r="P121" s="9"/>
    </row>
    <row r="122" spans="1:16">
      <c r="A122" s="9"/>
      <c r="B122" s="9"/>
      <c r="C122" s="9" t="s">
        <v>39</v>
      </c>
      <c r="D122" s="9"/>
      <c r="E122" s="9"/>
      <c r="F122" s="9" t="str">
        <f ca="1">IF(D122="", "", VLOOKUP(D122, Sheet3!C:P, 14, FALSE) &amp; ", " &amp; DATEDIF(VLOOKUP(D122, Sheet3!C:N, 12, FALSE), TODAY(), "y") &amp; " Years Experience")</f>
        <v/>
      </c>
      <c r="G122" s="9"/>
      <c r="H122" s="11">
        <v>7</v>
      </c>
      <c r="I122" s="11"/>
      <c r="J122" s="11"/>
      <c r="K122" s="11">
        <v>2</v>
      </c>
      <c r="L122" s="9">
        <v>0</v>
      </c>
      <c r="M122" s="9"/>
      <c r="N122" s="9"/>
      <c r="O122" s="9"/>
      <c r="P122" s="9"/>
    </row>
    <row r="123" spans="1:16">
      <c r="A123" s="9"/>
      <c r="B123" s="9"/>
      <c r="C123" s="9" t="s">
        <v>40</v>
      </c>
      <c r="D123" s="9"/>
      <c r="E123" s="9"/>
      <c r="F123" s="9" t="str">
        <f ca="1">IF(D123="", "", VLOOKUP(D123, Sheet3!C:P, 14, FALSE) &amp; ", " &amp; DATEDIF(VLOOKUP(D123, Sheet3!C:N, 12, FALSE), TODAY(), "y") &amp; " Years Experience")</f>
        <v/>
      </c>
      <c r="G123" s="9"/>
      <c r="H123" s="15" t="s">
        <v>24</v>
      </c>
      <c r="I123" s="15"/>
      <c r="J123" s="15"/>
      <c r="K123" s="11">
        <v>0</v>
      </c>
      <c r="L123" s="9">
        <v>0</v>
      </c>
      <c r="M123" s="9"/>
      <c r="N123" s="9"/>
      <c r="O123" s="9"/>
      <c r="P123" s="9"/>
    </row>
    <row r="124" spans="1:16">
      <c r="A124" s="9"/>
      <c r="B124" s="9"/>
      <c r="C124" s="9" t="s">
        <v>57</v>
      </c>
      <c r="D124" s="9"/>
      <c r="E124" s="9"/>
      <c r="F124" s="9" t="str">
        <f ca="1">IF(D124="", "", VLOOKUP(D124, Sheet3!C:P, 14, FALSE) &amp; ", " &amp; DATEDIF(VLOOKUP(D124, Sheet3!C:N, 12, FALSE), TODAY(), "y") &amp; " Years Experience")</f>
        <v/>
      </c>
      <c r="G124" s="9"/>
      <c r="H124" s="11">
        <v>7</v>
      </c>
      <c r="I124" s="11"/>
      <c r="J124" s="11"/>
      <c r="K124" s="11">
        <v>0</v>
      </c>
      <c r="L124" s="9">
        <v>0</v>
      </c>
      <c r="M124" s="9"/>
      <c r="N124" s="9"/>
      <c r="O124" s="9"/>
      <c r="P124" s="9"/>
    </row>
    <row r="125" spans="1:16">
      <c r="A125" s="9"/>
      <c r="B125" s="9"/>
      <c r="C125" s="9" t="s">
        <v>58</v>
      </c>
      <c r="D125" s="9"/>
      <c r="E125" s="9"/>
      <c r="F125" s="9" t="str">
        <f ca="1">IF(D125="", "", VLOOKUP(D125, Sheet3!C:P, 14, FALSE) &amp; ", " &amp; DATEDIF(VLOOKUP(D125, Sheet3!C:N, 12, FALSE), TODAY(), "y") &amp; " Years Experience")</f>
        <v/>
      </c>
      <c r="G125" s="9"/>
      <c r="H125" s="15" t="s">
        <v>24</v>
      </c>
      <c r="I125" s="15"/>
      <c r="J125" s="15"/>
      <c r="K125" s="11">
        <v>2</v>
      </c>
      <c r="L125" s="9">
        <v>2</v>
      </c>
      <c r="M125" s="9"/>
      <c r="N125" s="9"/>
      <c r="O125" s="9"/>
      <c r="P125" s="9"/>
    </row>
    <row r="126" spans="1:16">
      <c r="A126" s="9"/>
      <c r="B126" s="9"/>
      <c r="C126" s="9" t="s">
        <v>59</v>
      </c>
      <c r="D126" s="9"/>
      <c r="E126" s="9"/>
      <c r="F126" s="9" t="str">
        <f ca="1">IF(D126="", "", VLOOKUP(D126, Sheet3!C:P, 14, FALSE) &amp; ", " &amp; DATEDIF(VLOOKUP(D126, Sheet3!C:N, 12, FALSE), TODAY(), "y") &amp; " Years Experience")</f>
        <v/>
      </c>
      <c r="G126" s="9"/>
      <c r="H126" s="11">
        <v>10</v>
      </c>
      <c r="I126" s="11"/>
      <c r="J126" s="11"/>
      <c r="K126" s="11">
        <v>0</v>
      </c>
      <c r="L126" s="9">
        <v>0</v>
      </c>
      <c r="M126" s="9"/>
      <c r="N126" s="9"/>
      <c r="O126" s="9"/>
      <c r="P126" s="9"/>
    </row>
    <row r="127" spans="1:16">
      <c r="A127" s="9"/>
      <c r="B127" s="9"/>
      <c r="C127" s="9" t="s">
        <v>60</v>
      </c>
      <c r="D127" s="9"/>
      <c r="E127" s="9"/>
      <c r="F127" s="9" t="str">
        <f ca="1">IF(D127="", "", VLOOKUP(D127, Sheet3!C:P, 14, FALSE) &amp; ", " &amp; DATEDIF(VLOOKUP(D127, Sheet3!C:N, 12, FALSE), TODAY(), "y") &amp; " Years Experience")</f>
        <v/>
      </c>
      <c r="G127" s="9"/>
      <c r="H127" s="15" t="s">
        <v>15</v>
      </c>
      <c r="I127" s="15"/>
      <c r="J127" s="15"/>
      <c r="K127" s="11">
        <v>2</v>
      </c>
      <c r="L127" s="9">
        <v>3</v>
      </c>
      <c r="M127" s="9"/>
      <c r="N127" s="9"/>
      <c r="O127" s="9"/>
      <c r="P127" s="9"/>
    </row>
    <row r="128" spans="1:16">
      <c r="A128" s="9"/>
      <c r="B128" s="9"/>
      <c r="C128" s="19" t="s">
        <v>61</v>
      </c>
      <c r="D128" s="19"/>
      <c r="E128" s="19"/>
      <c r="F128" s="9" t="str">
        <f ca="1">IF(D128="", "", VLOOKUP(D128, Sheet3!C:P, 14, FALSE) &amp; ", " &amp; DATEDIF(VLOOKUP(D128, Sheet3!C:N, 12, FALSE), TODAY(), "y") &amp; " Years Experience")</f>
        <v/>
      </c>
      <c r="G128" s="19"/>
      <c r="H128" s="11"/>
      <c r="I128" s="11"/>
      <c r="J128" s="11"/>
      <c r="K128" s="11"/>
      <c r="L128" s="9"/>
      <c r="M128" s="9"/>
      <c r="N128" s="9"/>
      <c r="O128" s="9"/>
      <c r="P128" s="9"/>
    </row>
    <row r="129" spans="1:16">
      <c r="A129" s="9"/>
      <c r="B129" s="9"/>
      <c r="C129" s="9" t="s">
        <v>62</v>
      </c>
      <c r="D129" s="9"/>
      <c r="E129" s="9"/>
      <c r="F129" s="9" t="str">
        <f ca="1">IF(D129="", "", VLOOKUP(D129, Sheet3!C:P, 14, FALSE) &amp; ", " &amp; DATEDIF(VLOOKUP(D129, Sheet3!C:N, 12, FALSE), TODAY(), "y") &amp; " Years Experience")</f>
        <v/>
      </c>
      <c r="G129" s="9"/>
      <c r="H129" s="11">
        <v>3</v>
      </c>
      <c r="I129" s="11"/>
      <c r="J129" s="11"/>
      <c r="K129" s="11">
        <v>1</v>
      </c>
      <c r="L129" s="9">
        <v>0</v>
      </c>
      <c r="M129" s="9"/>
      <c r="N129" s="9"/>
      <c r="O129" s="9"/>
      <c r="P129" s="9"/>
    </row>
    <row r="130" spans="1:16">
      <c r="A130" s="9"/>
      <c r="B130" s="9"/>
      <c r="C130" s="9" t="s">
        <v>47</v>
      </c>
      <c r="D130" s="9"/>
      <c r="E130" s="9"/>
      <c r="F130" s="9" t="str">
        <f ca="1">IF(D130="", "", VLOOKUP(D130, Sheet3!C:P, 14, FALSE) &amp; ", " &amp; DATEDIF(VLOOKUP(D130, Sheet3!C:N, 12, FALSE), TODAY(), "y") &amp; " Years Experience")</f>
        <v/>
      </c>
      <c r="G130" s="9"/>
      <c r="H130" s="11">
        <v>3</v>
      </c>
      <c r="I130" s="11"/>
      <c r="J130" s="11"/>
      <c r="K130" s="11">
        <v>1</v>
      </c>
      <c r="L130" s="9">
        <v>0</v>
      </c>
      <c r="M130" s="9"/>
      <c r="N130" s="9"/>
      <c r="O130" s="9"/>
      <c r="P130" s="9"/>
    </row>
    <row r="131" spans="1:16">
      <c r="A131" s="9"/>
      <c r="B131" s="9"/>
      <c r="C131" s="19" t="s">
        <v>63</v>
      </c>
      <c r="D131" s="19"/>
      <c r="E131" s="19"/>
      <c r="F131" s="9" t="str">
        <f ca="1">IF(D131="", "", VLOOKUP(D131, Sheet3!C:P, 14, FALSE) &amp; ", " &amp; DATEDIF(VLOOKUP(D131, Sheet3!C:N, 12, FALSE), TODAY(), "y") &amp; " Years Experience")</f>
        <v/>
      </c>
      <c r="G131" s="19"/>
      <c r="H131" s="11"/>
      <c r="I131" s="11"/>
      <c r="J131" s="11"/>
      <c r="K131" s="11"/>
      <c r="L131" s="9"/>
      <c r="M131" s="9"/>
      <c r="N131" s="9"/>
      <c r="O131" s="9"/>
      <c r="P131" s="9"/>
    </row>
    <row r="132" spans="1:16">
      <c r="A132" s="9"/>
      <c r="B132" s="9"/>
      <c r="C132" s="9" t="s">
        <v>35</v>
      </c>
      <c r="D132" s="9"/>
      <c r="E132" s="9"/>
      <c r="F132" s="9" t="str">
        <f ca="1">IF(D132="", "", VLOOKUP(D132, Sheet3!C:P, 14, FALSE) &amp; ", " &amp; DATEDIF(VLOOKUP(D132, Sheet3!C:N, 12, FALSE), TODAY(), "y") &amp; " Years Experience")</f>
        <v/>
      </c>
      <c r="G132" s="9"/>
      <c r="H132" s="11">
        <v>4</v>
      </c>
      <c r="I132" s="11"/>
      <c r="J132" s="11"/>
      <c r="K132" s="11">
        <v>1</v>
      </c>
      <c r="L132" s="9">
        <v>0</v>
      </c>
      <c r="M132" s="9"/>
      <c r="N132" s="9"/>
      <c r="O132" s="9"/>
      <c r="P132" s="9"/>
    </row>
    <row r="133" spans="1:16">
      <c r="A133" s="9"/>
      <c r="B133" s="9"/>
      <c r="C133" s="9" t="s">
        <v>36</v>
      </c>
      <c r="D133" s="9"/>
      <c r="E133" s="9"/>
      <c r="F133" s="9" t="str">
        <f ca="1">IF(D133="", "", VLOOKUP(D133, Sheet3!C:P, 14, FALSE) &amp; ", " &amp; DATEDIF(VLOOKUP(D133, Sheet3!C:N, 12, FALSE), TODAY(), "y") &amp; " Years Experience")</f>
        <v/>
      </c>
      <c r="G133" s="9"/>
      <c r="H133" s="11">
        <v>4</v>
      </c>
      <c r="I133" s="11"/>
      <c r="J133" s="11"/>
      <c r="K133" s="11">
        <v>1</v>
      </c>
      <c r="L133" s="9">
        <v>1</v>
      </c>
      <c r="M133" s="9"/>
      <c r="N133" s="9"/>
      <c r="O133" s="9"/>
      <c r="P133" s="9"/>
    </row>
    <row r="134" spans="1:16">
      <c r="A134" s="9"/>
      <c r="B134" s="9"/>
      <c r="C134" s="9" t="s">
        <v>37</v>
      </c>
      <c r="D134" s="9"/>
      <c r="E134" s="9"/>
      <c r="F134" s="9" t="str">
        <f ca="1">IF(D134="", "", VLOOKUP(D134, Sheet3!C:P, 14, FALSE) &amp; ", " &amp; DATEDIF(VLOOKUP(D134, Sheet3!C:N, 12, FALSE), TODAY(), "y") &amp; " Years Experience")</f>
        <v/>
      </c>
      <c r="G134" s="9"/>
      <c r="H134" s="11">
        <v>5</v>
      </c>
      <c r="I134" s="11"/>
      <c r="J134" s="11"/>
      <c r="K134" s="11">
        <v>2</v>
      </c>
      <c r="L134" s="9">
        <v>1</v>
      </c>
      <c r="M134" s="9"/>
      <c r="N134" s="9"/>
      <c r="O134" s="9"/>
      <c r="P134" s="9"/>
    </row>
    <row r="135" spans="1:16">
      <c r="A135" s="9"/>
      <c r="B135" s="9"/>
      <c r="C135" s="9" t="s">
        <v>38</v>
      </c>
      <c r="D135" s="9"/>
      <c r="E135" s="9"/>
      <c r="F135" s="9" t="str">
        <f ca="1">IF(D135="", "", VLOOKUP(D135, Sheet3!C:P, 14, FALSE) &amp; ", " &amp; DATEDIF(VLOOKUP(D135, Sheet3!C:N, 12, FALSE), TODAY(), "y") &amp; " Years Experience")</f>
        <v/>
      </c>
      <c r="G135" s="9"/>
      <c r="H135" s="15" t="s">
        <v>9</v>
      </c>
      <c r="I135" s="15"/>
      <c r="J135" s="15"/>
      <c r="K135" s="11">
        <v>2</v>
      </c>
      <c r="L135" s="9">
        <v>1</v>
      </c>
      <c r="M135" s="9"/>
      <c r="N135" s="9"/>
      <c r="O135" s="9"/>
      <c r="P135" s="9"/>
    </row>
    <row r="136" spans="1:16">
      <c r="A136" s="9"/>
      <c r="B136" s="9"/>
      <c r="C136" s="9" t="s">
        <v>39</v>
      </c>
      <c r="D136" s="9"/>
      <c r="E136" s="9"/>
      <c r="F136" s="9" t="str">
        <f ca="1">IF(D136="", "", VLOOKUP(D136, Sheet3!C:P, 14, FALSE) &amp; ", " &amp; DATEDIF(VLOOKUP(D136, Sheet3!C:N, 12, FALSE), TODAY(), "y") &amp; " Years Experience")</f>
        <v/>
      </c>
      <c r="G136" s="9"/>
      <c r="H136" s="11">
        <v>7</v>
      </c>
      <c r="I136" s="11"/>
      <c r="J136" s="11"/>
      <c r="K136" s="11">
        <v>2</v>
      </c>
      <c r="L136" s="9">
        <v>0</v>
      </c>
      <c r="M136" s="9"/>
      <c r="N136" s="9"/>
      <c r="O136" s="9"/>
      <c r="P136" s="9"/>
    </row>
    <row r="137" spans="1:16">
      <c r="A137" s="9"/>
      <c r="B137" s="9"/>
      <c r="C137" s="9" t="s">
        <v>40</v>
      </c>
      <c r="D137" s="9"/>
      <c r="E137" s="9"/>
      <c r="F137" s="9" t="str">
        <f ca="1">IF(D137="", "", VLOOKUP(D137, Sheet3!C:P, 14, FALSE) &amp; ", " &amp; DATEDIF(VLOOKUP(D137, Sheet3!C:N, 12, FALSE), TODAY(), "y") &amp; " Years Experience")</f>
        <v/>
      </c>
      <c r="G137" s="9"/>
      <c r="H137" s="15" t="s">
        <v>24</v>
      </c>
      <c r="I137" s="15"/>
      <c r="J137" s="15"/>
      <c r="K137" s="11">
        <v>0</v>
      </c>
      <c r="L137" s="9">
        <v>1</v>
      </c>
      <c r="M137" s="9"/>
      <c r="N137" s="9"/>
      <c r="O137" s="9"/>
      <c r="P137" s="9"/>
    </row>
    <row r="138" spans="1:16">
      <c r="A138" s="9"/>
      <c r="B138" s="9"/>
      <c r="C138" s="19" t="s">
        <v>64</v>
      </c>
      <c r="D138" s="19"/>
      <c r="E138" s="19"/>
      <c r="F138" s="9" t="str">
        <f ca="1">IF(D138="", "", VLOOKUP(D138, Sheet3!C:P, 14, FALSE) &amp; ", " &amp; DATEDIF(VLOOKUP(D138, Sheet3!C:N, 12, FALSE), TODAY(), "y") &amp; " Years Experience")</f>
        <v/>
      </c>
      <c r="G138" s="19"/>
      <c r="H138" s="11"/>
      <c r="I138" s="11"/>
      <c r="J138" s="11"/>
      <c r="K138" s="11"/>
      <c r="L138" s="9"/>
      <c r="M138" s="9"/>
      <c r="N138" s="9"/>
      <c r="O138" s="9"/>
      <c r="P138" s="9"/>
    </row>
    <row r="139" spans="1:16">
      <c r="A139" s="9"/>
      <c r="B139" s="9"/>
      <c r="C139" s="9" t="s">
        <v>35</v>
      </c>
      <c r="D139" s="9"/>
      <c r="E139" s="9"/>
      <c r="F139" s="9" t="str">
        <f ca="1">IF(D139="", "", VLOOKUP(D139, Sheet3!C:P, 14, FALSE) &amp; ", " &amp; DATEDIF(VLOOKUP(D139, Sheet3!C:N, 12, FALSE), TODAY(), "y") &amp; " Years Experience")</f>
        <v/>
      </c>
      <c r="G139" s="9"/>
      <c r="H139" s="11">
        <v>4</v>
      </c>
      <c r="I139" s="11"/>
      <c r="J139" s="11"/>
      <c r="K139" s="11">
        <v>1</v>
      </c>
      <c r="L139" s="9">
        <v>0</v>
      </c>
      <c r="M139" s="9"/>
      <c r="N139" s="9"/>
      <c r="O139" s="9"/>
      <c r="P139" s="9"/>
    </row>
    <row r="140" spans="1:16">
      <c r="A140" s="9"/>
      <c r="B140" s="9"/>
      <c r="C140" s="9" t="s">
        <v>36</v>
      </c>
      <c r="D140" s="9"/>
      <c r="E140" s="9"/>
      <c r="F140" s="9" t="str">
        <f ca="1">IF(D140="", "", VLOOKUP(D140, Sheet3!C:P, 14, FALSE) &amp; ", " &amp; DATEDIF(VLOOKUP(D140, Sheet3!C:N, 12, FALSE), TODAY(), "y") &amp; " Years Experience")</f>
        <v/>
      </c>
      <c r="G140" s="9"/>
      <c r="H140" s="11">
        <v>4</v>
      </c>
      <c r="I140" s="11"/>
      <c r="J140" s="11"/>
      <c r="K140" s="11">
        <v>1</v>
      </c>
      <c r="L140" s="9">
        <v>0</v>
      </c>
      <c r="M140" s="9"/>
      <c r="N140" s="9"/>
      <c r="O140" s="9"/>
      <c r="P140" s="9"/>
    </row>
    <row r="141" spans="1:16">
      <c r="A141" s="9"/>
      <c r="B141" s="9"/>
      <c r="C141" s="9" t="s">
        <v>37</v>
      </c>
      <c r="D141" s="9"/>
      <c r="E141" s="9"/>
      <c r="F141" s="9" t="str">
        <f ca="1">IF(D141="", "", VLOOKUP(D141, Sheet3!C:P, 14, FALSE) &amp; ", " &amp; DATEDIF(VLOOKUP(D141, Sheet3!C:N, 12, FALSE), TODAY(), "y") &amp; " Years Experience")</f>
        <v/>
      </c>
      <c r="G141" s="9"/>
      <c r="H141" s="11">
        <v>5</v>
      </c>
      <c r="I141" s="11"/>
      <c r="J141" s="11"/>
      <c r="K141" s="11">
        <v>2</v>
      </c>
      <c r="L141" s="9">
        <v>0</v>
      </c>
      <c r="M141" s="9"/>
      <c r="N141" s="9"/>
      <c r="O141" s="9"/>
      <c r="P141" s="9"/>
    </row>
    <row r="142" spans="1:16">
      <c r="A142" s="9"/>
      <c r="B142" s="9"/>
      <c r="C142" s="9" t="s">
        <v>38</v>
      </c>
      <c r="D142" s="9"/>
      <c r="E142" s="9"/>
      <c r="F142" s="9" t="str">
        <f ca="1">IF(D142="", "", VLOOKUP(D142, Sheet3!C:P, 14, FALSE) &amp; ", " &amp; DATEDIF(VLOOKUP(D142, Sheet3!C:N, 12, FALSE), TODAY(), "y") &amp; " Years Experience")</f>
        <v/>
      </c>
      <c r="G142" s="9"/>
      <c r="H142" s="15" t="s">
        <v>9</v>
      </c>
      <c r="I142" s="15"/>
      <c r="J142" s="15"/>
      <c r="K142" s="11">
        <v>2</v>
      </c>
      <c r="L142" s="9">
        <v>0</v>
      </c>
      <c r="M142" s="9"/>
      <c r="N142" s="9"/>
      <c r="O142" s="9"/>
      <c r="P142" s="9"/>
    </row>
    <row r="143" spans="1:16">
      <c r="A143" s="9"/>
      <c r="B143" s="9"/>
      <c r="C143" s="9" t="s">
        <v>39</v>
      </c>
      <c r="D143" s="9"/>
      <c r="E143" s="9"/>
      <c r="F143" s="9" t="str">
        <f ca="1">IF(D143="", "", VLOOKUP(D143, Sheet3!C:P, 14, FALSE) &amp; ", " &amp; DATEDIF(VLOOKUP(D143, Sheet3!C:N, 12, FALSE), TODAY(), "y") &amp; " Years Experience")</f>
        <v/>
      </c>
      <c r="G143" s="9"/>
      <c r="H143" s="11">
        <v>7</v>
      </c>
      <c r="I143" s="11"/>
      <c r="J143" s="11"/>
      <c r="K143" s="11">
        <v>2</v>
      </c>
      <c r="L143" s="9">
        <v>0</v>
      </c>
      <c r="M143" s="9"/>
      <c r="N143" s="9"/>
      <c r="O143" s="9"/>
      <c r="P143" s="9"/>
    </row>
    <row r="144" spans="1:16">
      <c r="A144" s="9"/>
      <c r="B144" s="9"/>
      <c r="C144" s="9" t="s">
        <v>40</v>
      </c>
      <c r="D144" s="9"/>
      <c r="E144" s="9"/>
      <c r="F144" s="9" t="str">
        <f ca="1">IF(D144="", "", VLOOKUP(D144, Sheet3!C:P, 14, FALSE) &amp; ", " &amp; DATEDIF(VLOOKUP(D144, Sheet3!C:N, 12, FALSE), TODAY(), "y") &amp; " Years Experience")</f>
        <v/>
      </c>
      <c r="G144" s="9"/>
      <c r="H144" s="15" t="s">
        <v>24</v>
      </c>
      <c r="I144" s="15"/>
      <c r="J144" s="15"/>
      <c r="K144" s="11">
        <v>0</v>
      </c>
      <c r="L144" s="9">
        <v>0</v>
      </c>
      <c r="M144" s="9"/>
      <c r="N144" s="9"/>
      <c r="O144" s="9"/>
      <c r="P144" s="9"/>
    </row>
    <row r="145" spans="1:16">
      <c r="A145" s="9"/>
      <c r="B145" s="9"/>
      <c r="C145" s="19" t="s">
        <v>65</v>
      </c>
      <c r="D145" s="19"/>
      <c r="E145" s="19"/>
      <c r="F145" s="9" t="str">
        <f ca="1">IF(D145="", "", VLOOKUP(D145, Sheet3!C:P, 14, FALSE) &amp; ", " &amp; DATEDIF(VLOOKUP(D145, Sheet3!C:N, 12, FALSE), TODAY(), "y") &amp; " Years Experience")</f>
        <v/>
      </c>
      <c r="G145" s="19"/>
      <c r="H145" s="11"/>
      <c r="I145" s="11"/>
      <c r="J145" s="11"/>
      <c r="K145" s="11"/>
      <c r="L145" s="9"/>
      <c r="M145" s="9"/>
      <c r="N145" s="9"/>
      <c r="O145" s="9"/>
      <c r="P145" s="9"/>
    </row>
    <row r="146" spans="1:16">
      <c r="A146" s="9"/>
      <c r="B146" s="9"/>
      <c r="C146" s="9" t="s">
        <v>35</v>
      </c>
      <c r="D146" s="9"/>
      <c r="E146" s="9"/>
      <c r="F146" s="9" t="str">
        <f ca="1">IF(D146="", "", VLOOKUP(D146, Sheet3!C:P, 14, FALSE) &amp; ", " &amp; DATEDIF(VLOOKUP(D146, Sheet3!C:N, 12, FALSE), TODAY(), "y") &amp; " Years Experience")</f>
        <v/>
      </c>
      <c r="G146" s="9"/>
      <c r="H146" s="11">
        <v>4</v>
      </c>
      <c r="I146" s="11"/>
      <c r="J146" s="11"/>
      <c r="K146" s="11">
        <v>1</v>
      </c>
      <c r="L146" s="9">
        <v>0</v>
      </c>
      <c r="M146" s="9"/>
      <c r="N146" s="9"/>
      <c r="O146" s="9"/>
      <c r="P146" s="9"/>
    </row>
    <row r="147" spans="1:16">
      <c r="A147" s="9"/>
      <c r="B147" s="9"/>
      <c r="C147" s="9" t="s">
        <v>36</v>
      </c>
      <c r="D147" s="9"/>
      <c r="E147" s="9"/>
      <c r="F147" s="9" t="str">
        <f ca="1">IF(D147="", "", VLOOKUP(D147, Sheet3!C:P, 14, FALSE) &amp; ", " &amp; DATEDIF(VLOOKUP(D147, Sheet3!C:N, 12, FALSE), TODAY(), "y") &amp; " Years Experience")</f>
        <v/>
      </c>
      <c r="G147" s="9"/>
      <c r="H147" s="11">
        <v>4</v>
      </c>
      <c r="I147" s="11"/>
      <c r="J147" s="11"/>
      <c r="K147" s="11">
        <v>1</v>
      </c>
      <c r="L147" s="9">
        <v>0</v>
      </c>
      <c r="M147" s="9"/>
      <c r="N147" s="9"/>
      <c r="O147" s="9"/>
      <c r="P147" s="9"/>
    </row>
    <row r="148" spans="1:16">
      <c r="A148" s="9"/>
      <c r="B148" s="9"/>
      <c r="C148" s="9" t="s">
        <v>37</v>
      </c>
      <c r="D148" s="9"/>
      <c r="E148" s="9"/>
      <c r="F148" s="9" t="str">
        <f ca="1">IF(D148="", "", VLOOKUP(D148, Sheet3!C:P, 14, FALSE) &amp; ", " &amp; DATEDIF(VLOOKUP(D148, Sheet3!C:N, 12, FALSE), TODAY(), "y") &amp; " Years Experience")</f>
        <v/>
      </c>
      <c r="G148" s="9"/>
      <c r="H148" s="11">
        <v>5</v>
      </c>
      <c r="I148" s="11"/>
      <c r="J148" s="11"/>
      <c r="K148" s="11">
        <v>2</v>
      </c>
      <c r="L148" s="9">
        <v>0</v>
      </c>
      <c r="M148" s="9"/>
      <c r="N148" s="9"/>
      <c r="O148" s="9"/>
      <c r="P148" s="9"/>
    </row>
    <row r="149" spans="1:16">
      <c r="A149" s="9"/>
      <c r="B149" s="9"/>
      <c r="C149" s="9" t="s">
        <v>38</v>
      </c>
      <c r="D149" s="9"/>
      <c r="E149" s="9"/>
      <c r="F149" s="9" t="str">
        <f ca="1">IF(D149="", "", VLOOKUP(D149, Sheet3!C:P, 14, FALSE) &amp; ", " &amp; DATEDIF(VLOOKUP(D149, Sheet3!C:N, 12, FALSE), TODAY(), "y") &amp; " Years Experience")</f>
        <v/>
      </c>
      <c r="G149" s="9"/>
      <c r="H149" s="15" t="s">
        <v>9</v>
      </c>
      <c r="I149" s="15"/>
      <c r="J149" s="15"/>
      <c r="K149" s="11">
        <v>2</v>
      </c>
      <c r="L149" s="9">
        <v>0</v>
      </c>
      <c r="M149" s="9"/>
      <c r="N149" s="9"/>
      <c r="O149" s="9"/>
      <c r="P149" s="9"/>
    </row>
    <row r="150" spans="1:16">
      <c r="A150" s="9"/>
      <c r="B150" s="9"/>
      <c r="C150" s="9" t="s">
        <v>39</v>
      </c>
      <c r="D150" s="9"/>
      <c r="E150" s="9"/>
      <c r="F150" s="9" t="str">
        <f ca="1">IF(D150="", "", VLOOKUP(D150, Sheet3!C:P, 14, FALSE) &amp; ", " &amp; DATEDIF(VLOOKUP(D150, Sheet3!C:N, 12, FALSE), TODAY(), "y") &amp; " Years Experience")</f>
        <v/>
      </c>
      <c r="G150" s="9"/>
      <c r="H150" s="11">
        <v>7</v>
      </c>
      <c r="I150" s="11"/>
      <c r="J150" s="11"/>
      <c r="K150" s="11">
        <v>2</v>
      </c>
      <c r="L150" s="9">
        <v>0</v>
      </c>
      <c r="M150" s="9"/>
      <c r="N150" s="9"/>
      <c r="O150" s="9"/>
      <c r="P150" s="9"/>
    </row>
    <row r="151" spans="1:16">
      <c r="A151" s="9"/>
      <c r="B151" s="9"/>
      <c r="C151" s="9" t="s">
        <v>40</v>
      </c>
      <c r="D151" s="9"/>
      <c r="E151" s="9"/>
      <c r="F151" s="9" t="str">
        <f ca="1">IF(D151="", "", VLOOKUP(D151, Sheet3!C:P, 14, FALSE) &amp; ", " &amp; DATEDIF(VLOOKUP(D151, Sheet3!C:N, 12, FALSE), TODAY(), "y") &amp; " Years Experience")</f>
        <v/>
      </c>
      <c r="G151" s="9"/>
      <c r="H151" s="15" t="s">
        <v>24</v>
      </c>
      <c r="I151" s="15"/>
      <c r="J151" s="15"/>
      <c r="K151" s="11">
        <v>0</v>
      </c>
      <c r="L151" s="9">
        <v>0</v>
      </c>
      <c r="M151" s="9"/>
      <c r="N151" s="9"/>
      <c r="O151" s="9"/>
      <c r="P151" s="9"/>
    </row>
    <row r="152" spans="1:16">
      <c r="A152" s="9"/>
      <c r="B152" s="9"/>
      <c r="C152" s="19" t="s">
        <v>66</v>
      </c>
      <c r="D152" s="19"/>
      <c r="E152" s="19"/>
      <c r="F152" s="9" t="str">
        <f ca="1">IF(D152="", "", VLOOKUP(D152, Sheet3!C:P, 14, FALSE) &amp; ", " &amp; DATEDIF(VLOOKUP(D152, Sheet3!C:N, 12, FALSE), TODAY(), "y") &amp; " Years Experience")</f>
        <v/>
      </c>
      <c r="G152" s="19"/>
      <c r="H152" s="11"/>
      <c r="I152" s="11"/>
      <c r="J152" s="11"/>
      <c r="K152" s="11"/>
      <c r="L152" s="9"/>
      <c r="M152" s="9"/>
      <c r="N152" s="9"/>
      <c r="O152" s="9"/>
      <c r="P152" s="9"/>
    </row>
    <row r="153" spans="1:16">
      <c r="A153" s="9"/>
      <c r="B153" s="9"/>
      <c r="C153" s="9" t="s">
        <v>35</v>
      </c>
      <c r="D153" s="9"/>
      <c r="E153" s="9"/>
      <c r="F153" s="9" t="str">
        <f ca="1">IF(D153="", "", VLOOKUP(D153, Sheet3!C:P, 14, FALSE) &amp; ", " &amp; DATEDIF(VLOOKUP(D153, Sheet3!C:N, 12, FALSE), TODAY(), "y") &amp; " Years Experience")</f>
        <v/>
      </c>
      <c r="G153" s="9"/>
      <c r="H153" s="11">
        <v>4</v>
      </c>
      <c r="I153" s="11"/>
      <c r="J153" s="11"/>
      <c r="K153" s="11">
        <v>1</v>
      </c>
      <c r="L153" s="9">
        <v>0</v>
      </c>
      <c r="M153" s="9"/>
      <c r="N153" s="9"/>
      <c r="O153" s="9"/>
      <c r="P153" s="9"/>
    </row>
    <row r="154" spans="1:16">
      <c r="A154" s="9"/>
      <c r="B154" s="9"/>
      <c r="C154" s="9" t="s">
        <v>36</v>
      </c>
      <c r="D154" s="9"/>
      <c r="E154" s="9"/>
      <c r="F154" s="9" t="str">
        <f ca="1">IF(D154="", "", VLOOKUP(D154, Sheet3!C:P, 14, FALSE) &amp; ", " &amp; DATEDIF(VLOOKUP(D154, Sheet3!C:N, 12, FALSE), TODAY(), "y") &amp; " Years Experience")</f>
        <v/>
      </c>
      <c r="G154" s="9"/>
      <c r="H154" s="11">
        <v>4</v>
      </c>
      <c r="I154" s="11"/>
      <c r="J154" s="11"/>
      <c r="K154" s="11">
        <v>1</v>
      </c>
      <c r="L154" s="9">
        <v>0</v>
      </c>
      <c r="M154" s="9"/>
      <c r="N154" s="9"/>
      <c r="O154" s="9"/>
      <c r="P154" s="9"/>
    </row>
    <row r="155" spans="1:16">
      <c r="A155" s="9"/>
      <c r="B155" s="9"/>
      <c r="C155" s="9" t="s">
        <v>37</v>
      </c>
      <c r="D155" s="9"/>
      <c r="E155" s="9"/>
      <c r="F155" s="9" t="str">
        <f ca="1">IF(D155="", "", VLOOKUP(D155, Sheet3!C:P, 14, FALSE) &amp; ", " &amp; DATEDIF(VLOOKUP(D155, Sheet3!C:N, 12, FALSE), TODAY(), "y") &amp; " Years Experience")</f>
        <v/>
      </c>
      <c r="G155" s="9"/>
      <c r="H155" s="11">
        <v>5</v>
      </c>
      <c r="I155" s="11"/>
      <c r="J155" s="11"/>
      <c r="K155" s="11">
        <v>2</v>
      </c>
      <c r="L155" s="9">
        <v>0</v>
      </c>
      <c r="M155" s="9"/>
      <c r="N155" s="9"/>
      <c r="O155" s="9"/>
      <c r="P155" s="9"/>
    </row>
    <row r="156" spans="1:16">
      <c r="A156" s="9"/>
      <c r="B156" s="9"/>
      <c r="C156" s="9" t="s">
        <v>38</v>
      </c>
      <c r="D156" s="9"/>
      <c r="E156" s="9"/>
      <c r="F156" s="9" t="str">
        <f ca="1">IF(D156="", "", VLOOKUP(D156, Sheet3!C:P, 14, FALSE) &amp; ", " &amp; DATEDIF(VLOOKUP(D156, Sheet3!C:N, 12, FALSE), TODAY(), "y") &amp; " Years Experience")</f>
        <v/>
      </c>
      <c r="G156" s="9"/>
      <c r="H156" s="15" t="s">
        <v>9</v>
      </c>
      <c r="I156" s="15"/>
      <c r="J156" s="15"/>
      <c r="K156" s="11">
        <v>2</v>
      </c>
      <c r="L156" s="9">
        <v>0</v>
      </c>
      <c r="M156" s="9"/>
      <c r="N156" s="9"/>
      <c r="O156" s="9"/>
      <c r="P156" s="9"/>
    </row>
    <row r="157" spans="1:16">
      <c r="A157" s="9"/>
      <c r="B157" s="9"/>
      <c r="C157" s="9" t="s">
        <v>39</v>
      </c>
      <c r="D157" s="9"/>
      <c r="E157" s="9"/>
      <c r="F157" s="9" t="str">
        <f ca="1">IF(D157="", "", VLOOKUP(D157, Sheet3!C:P, 14, FALSE) &amp; ", " &amp; DATEDIF(VLOOKUP(D157, Sheet3!C:N, 12, FALSE), TODAY(), "y") &amp; " Years Experience")</f>
        <v/>
      </c>
      <c r="G157" s="9"/>
      <c r="H157" s="11">
        <v>7</v>
      </c>
      <c r="I157" s="11"/>
      <c r="J157" s="11"/>
      <c r="K157" s="11">
        <v>2</v>
      </c>
      <c r="L157" s="9">
        <v>0</v>
      </c>
      <c r="M157" s="9"/>
      <c r="N157" s="9"/>
      <c r="O157" s="9"/>
      <c r="P157" s="9"/>
    </row>
    <row r="158" spans="1:16">
      <c r="A158" s="9"/>
      <c r="B158" s="9"/>
      <c r="C158" s="9" t="s">
        <v>40</v>
      </c>
      <c r="D158" s="9"/>
      <c r="E158" s="9"/>
      <c r="F158" s="9" t="str">
        <f ca="1">IF(D158="", "", VLOOKUP(D158, Sheet3!C:P, 14, FALSE) &amp; ", " &amp; DATEDIF(VLOOKUP(D158, Sheet3!C:N, 12, FALSE), TODAY(), "y") &amp; " Years Experience")</f>
        <v/>
      </c>
      <c r="G158" s="9"/>
      <c r="H158" s="15" t="s">
        <v>24</v>
      </c>
      <c r="I158" s="15"/>
      <c r="J158" s="15"/>
      <c r="K158" s="11">
        <v>0</v>
      </c>
      <c r="L158" s="9">
        <v>0</v>
      </c>
      <c r="M158" s="9"/>
      <c r="N158" s="9"/>
      <c r="O158" s="9"/>
      <c r="P158" s="9"/>
    </row>
    <row r="159" spans="1:16">
      <c r="A159" s="9"/>
      <c r="B159" s="9"/>
      <c r="C159" s="20" t="s">
        <v>67</v>
      </c>
      <c r="D159" s="20"/>
      <c r="E159" s="20"/>
      <c r="F159" s="9" t="str">
        <f ca="1">IF(D159="", "", VLOOKUP(D159, Sheet3!C:P, 14, FALSE) &amp; ", " &amp; DATEDIF(VLOOKUP(D159, Sheet3!C:N, 12, FALSE), TODAY(), "y") &amp; " Years Experience")</f>
        <v/>
      </c>
      <c r="G159" s="20"/>
      <c r="H159" s="11"/>
      <c r="I159" s="11"/>
      <c r="J159" s="11"/>
      <c r="K159" s="11"/>
      <c r="L159" s="9"/>
      <c r="M159" s="9"/>
      <c r="N159" s="9"/>
      <c r="O159" s="9"/>
      <c r="P159" s="9"/>
    </row>
    <row r="160" spans="1:16">
      <c r="A160" s="9"/>
      <c r="B160" s="9"/>
      <c r="C160" s="21" t="s">
        <v>68</v>
      </c>
      <c r="D160" s="21"/>
      <c r="E160" s="21"/>
      <c r="F160" s="9" t="str">
        <f ca="1">IF(D160="", "", VLOOKUP(D160, Sheet3!C:P, 14, FALSE) &amp; ", " &amp; DATEDIF(VLOOKUP(D160, Sheet3!C:N, 12, FALSE), TODAY(), "y") &amp; " Years Experience")</f>
        <v/>
      </c>
      <c r="G160" s="21"/>
      <c r="H160" s="11">
        <v>3</v>
      </c>
      <c r="I160" s="11"/>
      <c r="J160" s="11"/>
      <c r="K160" s="11">
        <v>1</v>
      </c>
      <c r="L160" s="9">
        <v>0</v>
      </c>
      <c r="M160" s="9"/>
      <c r="N160" s="9"/>
      <c r="O160" s="9"/>
      <c r="P160" s="9"/>
    </row>
    <row r="161" spans="1:16">
      <c r="A161" s="9"/>
      <c r="B161" s="9"/>
      <c r="C161" s="9" t="s">
        <v>47</v>
      </c>
      <c r="D161" s="9"/>
      <c r="E161" s="9"/>
      <c r="F161" s="9" t="str">
        <f ca="1">IF(D161="", "", VLOOKUP(D161, Sheet3!C:P, 14, FALSE) &amp; ", " &amp; DATEDIF(VLOOKUP(D161, Sheet3!C:N, 12, FALSE), TODAY(), "y") &amp; " Years Experience")</f>
        <v/>
      </c>
      <c r="G161" s="9"/>
      <c r="H161" s="11">
        <v>3</v>
      </c>
      <c r="I161" s="11"/>
      <c r="J161" s="11"/>
      <c r="K161" s="11">
        <v>1</v>
      </c>
      <c r="L161" s="9">
        <v>0</v>
      </c>
      <c r="M161" s="9"/>
      <c r="N161" s="9"/>
      <c r="O161" s="9"/>
      <c r="P161" s="9"/>
    </row>
    <row r="162" spans="1:16">
      <c r="A162" s="9"/>
      <c r="B162" s="9"/>
      <c r="C162" s="19" t="s">
        <v>69</v>
      </c>
      <c r="D162" s="19"/>
      <c r="E162" s="19"/>
      <c r="F162" s="9" t="str">
        <f ca="1">IF(D162="", "", VLOOKUP(D162, Sheet3!C:P, 14, FALSE) &amp; ", " &amp; DATEDIF(VLOOKUP(D162, Sheet3!C:N, 12, FALSE), TODAY(), "y") &amp; " Years Experience")</f>
        <v/>
      </c>
      <c r="G162" s="19"/>
      <c r="H162" s="11"/>
      <c r="I162" s="11"/>
      <c r="J162" s="11"/>
      <c r="K162" s="11"/>
      <c r="L162" s="9"/>
      <c r="M162" s="9"/>
      <c r="N162" s="9"/>
      <c r="O162" s="9"/>
      <c r="P162" s="9"/>
    </row>
    <row r="163" spans="1:16">
      <c r="A163" s="9"/>
      <c r="B163" s="9"/>
      <c r="C163" s="9" t="s">
        <v>35</v>
      </c>
      <c r="D163" s="9"/>
      <c r="E163" s="9"/>
      <c r="F163" s="9" t="str">
        <f ca="1">IF(D163="", "", VLOOKUP(D163, Sheet3!C:P, 14, FALSE) &amp; ", " &amp; DATEDIF(VLOOKUP(D163, Sheet3!C:N, 12, FALSE), TODAY(), "y") &amp; " Years Experience")</f>
        <v/>
      </c>
      <c r="G163" s="9"/>
      <c r="H163" s="11">
        <v>4</v>
      </c>
      <c r="I163" s="11"/>
      <c r="J163" s="11"/>
      <c r="K163" s="11">
        <v>1</v>
      </c>
      <c r="L163" s="9">
        <v>0</v>
      </c>
      <c r="M163" s="9"/>
      <c r="N163" s="9"/>
      <c r="O163" s="9"/>
      <c r="P163" s="9"/>
    </row>
    <row r="164" spans="1:16">
      <c r="A164" s="9"/>
      <c r="B164" s="9"/>
      <c r="C164" s="9" t="s">
        <v>36</v>
      </c>
      <c r="D164" s="9"/>
      <c r="E164" s="9"/>
      <c r="F164" s="9" t="str">
        <f ca="1">IF(D164="", "", VLOOKUP(D164, Sheet3!C:P, 14, FALSE) &amp; ", " &amp; DATEDIF(VLOOKUP(D164, Sheet3!C:N, 12, FALSE), TODAY(), "y") &amp; " Years Experience")</f>
        <v/>
      </c>
      <c r="G164" s="9"/>
      <c r="H164" s="11">
        <v>4</v>
      </c>
      <c r="I164" s="11"/>
      <c r="J164" s="11"/>
      <c r="K164" s="11">
        <v>1</v>
      </c>
      <c r="L164" s="9">
        <v>1</v>
      </c>
      <c r="M164" s="9"/>
      <c r="N164" s="9"/>
      <c r="O164" s="9"/>
      <c r="P164" s="9"/>
    </row>
    <row r="165" spans="1:16">
      <c r="A165" s="9"/>
      <c r="B165" s="9"/>
      <c r="C165" s="9" t="s">
        <v>37</v>
      </c>
      <c r="D165" s="9"/>
      <c r="E165" s="9"/>
      <c r="F165" s="9" t="str">
        <f ca="1">IF(D165="", "", VLOOKUP(D165, Sheet3!C:P, 14, FALSE) &amp; ", " &amp; DATEDIF(VLOOKUP(D165, Sheet3!C:N, 12, FALSE), TODAY(), "y") &amp; " Years Experience")</f>
        <v/>
      </c>
      <c r="G165" s="9"/>
      <c r="H165" s="11">
        <v>5</v>
      </c>
      <c r="I165" s="11"/>
      <c r="J165" s="11"/>
      <c r="K165" s="11">
        <v>2</v>
      </c>
      <c r="L165" s="9">
        <v>0</v>
      </c>
      <c r="M165" s="9"/>
      <c r="N165" s="9"/>
      <c r="O165" s="9"/>
      <c r="P165" s="9"/>
    </row>
    <row r="166" spans="1:16">
      <c r="A166" s="9"/>
      <c r="B166" s="9"/>
      <c r="C166" s="9" t="s">
        <v>38</v>
      </c>
      <c r="D166" s="9"/>
      <c r="E166" s="9"/>
      <c r="F166" s="9" t="str">
        <f ca="1">IF(D166="", "", VLOOKUP(D166, Sheet3!C:P, 14, FALSE) &amp; ", " &amp; DATEDIF(VLOOKUP(D166, Sheet3!C:N, 12, FALSE), TODAY(), "y") &amp; " Years Experience")</f>
        <v/>
      </c>
      <c r="G166" s="9"/>
      <c r="H166" s="15" t="s">
        <v>9</v>
      </c>
      <c r="I166" s="15"/>
      <c r="J166" s="15"/>
      <c r="K166" s="11">
        <v>2</v>
      </c>
      <c r="L166" s="9">
        <v>2</v>
      </c>
      <c r="M166" s="9"/>
      <c r="N166" s="9"/>
      <c r="O166" s="9"/>
      <c r="P166" s="9"/>
    </row>
    <row r="167" spans="1:16">
      <c r="A167" s="9"/>
      <c r="B167" s="9"/>
      <c r="C167" s="9" t="s">
        <v>39</v>
      </c>
      <c r="D167" s="9"/>
      <c r="E167" s="9"/>
      <c r="F167" s="9" t="str">
        <f ca="1">IF(D167="", "", VLOOKUP(D167, Sheet3!C:P, 14, FALSE) &amp; ", " &amp; DATEDIF(VLOOKUP(D167, Sheet3!C:N, 12, FALSE), TODAY(), "y") &amp; " Years Experience")</f>
        <v/>
      </c>
      <c r="G167" s="9"/>
      <c r="H167" s="11">
        <v>7</v>
      </c>
      <c r="I167" s="11"/>
      <c r="J167" s="11"/>
      <c r="K167" s="11">
        <v>2</v>
      </c>
      <c r="L167" s="9">
        <v>0</v>
      </c>
      <c r="M167" s="9"/>
      <c r="N167" s="9"/>
      <c r="O167" s="9"/>
      <c r="P167" s="9"/>
    </row>
    <row r="168" spans="1:16">
      <c r="A168" s="9"/>
      <c r="B168" s="9"/>
      <c r="C168" s="9" t="s">
        <v>40</v>
      </c>
      <c r="D168" s="9"/>
      <c r="E168" s="9"/>
      <c r="F168" s="9" t="str">
        <f ca="1">IF(D168="", "", VLOOKUP(D168, Sheet3!C:P, 14, FALSE) &amp; ", " &amp; DATEDIF(VLOOKUP(D168, Sheet3!C:N, 12, FALSE), TODAY(), "y") &amp; " Years Experience")</f>
        <v/>
      </c>
      <c r="G168" s="9"/>
      <c r="H168" s="15" t="s">
        <v>24</v>
      </c>
      <c r="I168" s="15"/>
      <c r="J168" s="15"/>
      <c r="K168" s="11">
        <v>0</v>
      </c>
      <c r="L168" s="9">
        <v>1</v>
      </c>
      <c r="M168" s="9"/>
      <c r="N168" s="9"/>
      <c r="O168" s="9"/>
      <c r="P168" s="9"/>
    </row>
    <row r="169" spans="1:16">
      <c r="A169" s="9"/>
      <c r="B169" s="9"/>
      <c r="C169" s="19" t="s">
        <v>70</v>
      </c>
      <c r="D169" s="19"/>
      <c r="E169" s="19"/>
      <c r="F169" s="9" t="str">
        <f ca="1">IF(D169="", "", VLOOKUP(D169, Sheet3!C:P, 14, FALSE) &amp; ", " &amp; DATEDIF(VLOOKUP(D169, Sheet3!C:N, 12, FALSE), TODAY(), "y") &amp; " Years Experience")</f>
        <v/>
      </c>
      <c r="G169" s="19"/>
      <c r="H169" s="11"/>
      <c r="I169" s="11"/>
      <c r="J169" s="11"/>
      <c r="K169" s="11"/>
      <c r="L169" s="9"/>
      <c r="M169" s="9"/>
      <c r="N169" s="9"/>
      <c r="O169" s="9"/>
      <c r="P169" s="9"/>
    </row>
    <row r="170" spans="1:16">
      <c r="A170" s="9"/>
      <c r="B170" s="9"/>
      <c r="C170" s="9" t="s">
        <v>35</v>
      </c>
      <c r="D170" s="9"/>
      <c r="E170" s="9"/>
      <c r="F170" s="9" t="str">
        <f ca="1">IF(D170="", "", VLOOKUP(D170, Sheet3!C:P, 14, FALSE) &amp; ", " &amp; DATEDIF(VLOOKUP(D170, Sheet3!C:N, 12, FALSE), TODAY(), "y") &amp; " Years Experience")</f>
        <v/>
      </c>
      <c r="G170" s="9"/>
      <c r="H170" s="11">
        <v>4</v>
      </c>
      <c r="I170" s="11"/>
      <c r="J170" s="11"/>
      <c r="K170" s="11">
        <v>1</v>
      </c>
      <c r="L170" s="9">
        <v>0</v>
      </c>
      <c r="M170" s="9"/>
      <c r="N170" s="9"/>
      <c r="O170" s="9"/>
      <c r="P170" s="9"/>
    </row>
    <row r="171" spans="1:16">
      <c r="A171" s="9"/>
      <c r="B171" s="9"/>
      <c r="C171" s="9" t="s">
        <v>36</v>
      </c>
      <c r="D171" s="9"/>
      <c r="E171" s="9"/>
      <c r="F171" s="9" t="str">
        <f ca="1">IF(D171="", "", VLOOKUP(D171, Sheet3!C:P, 14, FALSE) &amp; ", " &amp; DATEDIF(VLOOKUP(D171, Sheet3!C:N, 12, FALSE), TODAY(), "y") &amp; " Years Experience")</f>
        <v/>
      </c>
      <c r="G171" s="9"/>
      <c r="H171" s="11">
        <v>4</v>
      </c>
      <c r="I171" s="11"/>
      <c r="J171" s="11"/>
      <c r="K171" s="11">
        <v>1</v>
      </c>
      <c r="L171" s="9">
        <v>0</v>
      </c>
      <c r="M171" s="9"/>
      <c r="N171" s="9"/>
      <c r="O171" s="9"/>
      <c r="P171" s="9"/>
    </row>
    <row r="172" spans="1:16">
      <c r="A172" s="9"/>
      <c r="B172" s="9"/>
      <c r="C172" s="9" t="s">
        <v>37</v>
      </c>
      <c r="D172" s="9"/>
      <c r="E172" s="9"/>
      <c r="F172" s="9" t="str">
        <f ca="1">IF(D172="", "", VLOOKUP(D172, Sheet3!C:P, 14, FALSE) &amp; ", " &amp; DATEDIF(VLOOKUP(D172, Sheet3!C:N, 12, FALSE), TODAY(), "y") &amp; " Years Experience")</f>
        <v/>
      </c>
      <c r="G172" s="9"/>
      <c r="H172" s="11">
        <v>5</v>
      </c>
      <c r="I172" s="11"/>
      <c r="J172" s="11"/>
      <c r="K172" s="11">
        <v>2</v>
      </c>
      <c r="L172" s="9">
        <v>0</v>
      </c>
      <c r="M172" s="9"/>
      <c r="N172" s="9"/>
      <c r="O172" s="9"/>
      <c r="P172" s="9"/>
    </row>
    <row r="173" spans="1:16">
      <c r="A173" s="9"/>
      <c r="B173" s="9"/>
      <c r="C173" s="9" t="s">
        <v>38</v>
      </c>
      <c r="D173" s="9"/>
      <c r="E173" s="9"/>
      <c r="F173" s="9" t="str">
        <f ca="1">IF(D173="", "", VLOOKUP(D173, Sheet3!C:P, 14, FALSE) &amp; ", " &amp; DATEDIF(VLOOKUP(D173, Sheet3!C:N, 12, FALSE), TODAY(), "y") &amp; " Years Experience")</f>
        <v/>
      </c>
      <c r="G173" s="9"/>
      <c r="H173" s="15" t="s">
        <v>9</v>
      </c>
      <c r="I173" s="15"/>
      <c r="J173" s="15"/>
      <c r="K173" s="11">
        <v>2</v>
      </c>
      <c r="L173" s="9">
        <v>2</v>
      </c>
      <c r="M173" s="9"/>
      <c r="N173" s="9"/>
      <c r="O173" s="9"/>
      <c r="P173" s="9"/>
    </row>
    <row r="174" spans="1:16">
      <c r="A174" s="9"/>
      <c r="B174" s="9"/>
      <c r="C174" s="9" t="s">
        <v>39</v>
      </c>
      <c r="D174" s="9"/>
      <c r="E174" s="9"/>
      <c r="F174" s="9" t="str">
        <f ca="1">IF(D174="", "", VLOOKUP(D174, Sheet3!C:P, 14, FALSE) &amp; ", " &amp; DATEDIF(VLOOKUP(D174, Sheet3!C:N, 12, FALSE), TODAY(), "y") &amp; " Years Experience")</f>
        <v/>
      </c>
      <c r="G174" s="9"/>
      <c r="H174" s="11">
        <v>7</v>
      </c>
      <c r="I174" s="11"/>
      <c r="J174" s="11"/>
      <c r="K174" s="11">
        <v>2</v>
      </c>
      <c r="L174" s="9">
        <v>0</v>
      </c>
      <c r="M174" s="9"/>
      <c r="N174" s="9"/>
      <c r="O174" s="9"/>
      <c r="P174" s="9"/>
    </row>
    <row r="175" spans="1:16">
      <c r="A175" s="9"/>
      <c r="B175" s="9"/>
      <c r="C175" s="9" t="s">
        <v>40</v>
      </c>
      <c r="D175" s="9"/>
      <c r="E175" s="9"/>
      <c r="F175" s="9" t="str">
        <f ca="1">IF(D175="", "", VLOOKUP(D175, Sheet3!C:P, 14, FALSE) &amp; ", " &amp; DATEDIF(VLOOKUP(D175, Sheet3!C:N, 12, FALSE), TODAY(), "y") &amp; " Years Experience")</f>
        <v/>
      </c>
      <c r="G175" s="9"/>
      <c r="H175" s="15" t="s">
        <v>24</v>
      </c>
      <c r="I175" s="15"/>
      <c r="J175" s="15"/>
      <c r="K175" s="11">
        <v>0</v>
      </c>
      <c r="L175" s="9">
        <v>0</v>
      </c>
      <c r="M175" s="9"/>
      <c r="N175" s="9"/>
      <c r="O175" s="9"/>
      <c r="P175" s="9"/>
    </row>
    <row r="176" spans="1:16">
      <c r="A176" s="9"/>
      <c r="B176" s="9"/>
      <c r="C176" s="19" t="s">
        <v>71</v>
      </c>
      <c r="D176" s="19"/>
      <c r="E176" s="19"/>
      <c r="F176" s="9" t="str">
        <f ca="1">IF(D176="", "", VLOOKUP(D176, Sheet3!C:P, 14, FALSE) &amp; ", " &amp; DATEDIF(VLOOKUP(D176, Sheet3!C:N, 12, FALSE), TODAY(), "y") &amp; " Years Experience")</f>
        <v/>
      </c>
      <c r="G176" s="19"/>
      <c r="H176" s="11"/>
      <c r="I176" s="11"/>
      <c r="J176" s="11"/>
      <c r="K176" s="11"/>
      <c r="L176" s="9"/>
      <c r="M176" s="9"/>
      <c r="N176" s="9"/>
      <c r="O176" s="9"/>
      <c r="P176" s="9"/>
    </row>
    <row r="177" spans="1:16">
      <c r="A177" s="9"/>
      <c r="B177" s="9"/>
      <c r="C177" s="9" t="s">
        <v>35</v>
      </c>
      <c r="D177" s="9"/>
      <c r="E177" s="9"/>
      <c r="F177" s="9" t="str">
        <f ca="1">IF(D177="", "", VLOOKUP(D177, Sheet3!C:P, 14, FALSE) &amp; ", " &amp; DATEDIF(VLOOKUP(D177, Sheet3!C:N, 12, FALSE), TODAY(), "y") &amp; " Years Experience")</f>
        <v/>
      </c>
      <c r="G177" s="9"/>
      <c r="H177" s="11">
        <v>4</v>
      </c>
      <c r="I177" s="11"/>
      <c r="J177" s="11"/>
      <c r="K177" s="11">
        <v>1</v>
      </c>
      <c r="L177" s="9">
        <v>0</v>
      </c>
      <c r="M177" s="9"/>
      <c r="N177" s="9"/>
      <c r="O177" s="9"/>
      <c r="P177" s="9"/>
    </row>
    <row r="178" spans="1:16">
      <c r="A178" s="9"/>
      <c r="B178" s="9"/>
      <c r="C178" s="9" t="s">
        <v>36</v>
      </c>
      <c r="D178" s="9"/>
      <c r="E178" s="9"/>
      <c r="F178" s="9" t="str">
        <f ca="1">IF(D178="", "", VLOOKUP(D178, Sheet3!C:P, 14, FALSE) &amp; ", " &amp; DATEDIF(VLOOKUP(D178, Sheet3!C:N, 12, FALSE), TODAY(), "y") &amp; " Years Experience")</f>
        <v/>
      </c>
      <c r="G178" s="9"/>
      <c r="H178" s="11">
        <v>4</v>
      </c>
      <c r="I178" s="11"/>
      <c r="J178" s="11"/>
      <c r="K178" s="11">
        <v>1</v>
      </c>
      <c r="L178" s="9">
        <v>0</v>
      </c>
      <c r="M178" s="9"/>
      <c r="N178" s="9"/>
      <c r="O178" s="9"/>
      <c r="P178" s="9"/>
    </row>
    <row r="179" spans="1:16">
      <c r="A179" s="9"/>
      <c r="B179" s="9"/>
      <c r="C179" s="9" t="s">
        <v>37</v>
      </c>
      <c r="D179" s="9"/>
      <c r="E179" s="9"/>
      <c r="F179" s="9" t="str">
        <f ca="1">IF(D179="", "", VLOOKUP(D179, Sheet3!C:P, 14, FALSE) &amp; ", " &amp; DATEDIF(VLOOKUP(D179, Sheet3!C:N, 12, FALSE), TODAY(), "y") &amp; " Years Experience")</f>
        <v/>
      </c>
      <c r="G179" s="9"/>
      <c r="H179" s="11">
        <v>5</v>
      </c>
      <c r="I179" s="11"/>
      <c r="J179" s="11"/>
      <c r="K179" s="11">
        <v>2</v>
      </c>
      <c r="L179" s="9">
        <v>0</v>
      </c>
      <c r="M179" s="9"/>
      <c r="N179" s="9"/>
      <c r="O179" s="9"/>
      <c r="P179" s="9"/>
    </row>
    <row r="180" spans="1:16">
      <c r="A180" s="9"/>
      <c r="B180" s="9"/>
      <c r="C180" s="9" t="s">
        <v>38</v>
      </c>
      <c r="D180" s="9"/>
      <c r="E180" s="9"/>
      <c r="F180" s="9" t="str">
        <f ca="1">IF(D180="", "", VLOOKUP(D180, Sheet3!C:P, 14, FALSE) &amp; ", " &amp; DATEDIF(VLOOKUP(D180, Sheet3!C:N, 12, FALSE), TODAY(), "y") &amp; " Years Experience")</f>
        <v/>
      </c>
      <c r="G180" s="9"/>
      <c r="H180" s="15" t="s">
        <v>9</v>
      </c>
      <c r="I180" s="15"/>
      <c r="J180" s="15"/>
      <c r="K180" s="11">
        <v>2</v>
      </c>
      <c r="L180" s="9">
        <v>2</v>
      </c>
      <c r="M180" s="9"/>
      <c r="N180" s="9"/>
      <c r="O180" s="9"/>
      <c r="P180" s="9"/>
    </row>
    <row r="181" spans="1:16">
      <c r="A181" s="9"/>
      <c r="B181" s="9"/>
      <c r="C181" s="9" t="s">
        <v>39</v>
      </c>
      <c r="D181" s="9"/>
      <c r="E181" s="9"/>
      <c r="F181" s="9" t="str">
        <f ca="1">IF(D181="", "", VLOOKUP(D181, Sheet3!C:P, 14, FALSE) &amp; ", " &amp; DATEDIF(VLOOKUP(D181, Sheet3!C:N, 12, FALSE), TODAY(), "y") &amp; " Years Experience")</f>
        <v/>
      </c>
      <c r="G181" s="9"/>
      <c r="H181" s="11">
        <v>7</v>
      </c>
      <c r="I181" s="11"/>
      <c r="J181" s="11"/>
      <c r="K181" s="11">
        <v>2</v>
      </c>
      <c r="L181" s="9">
        <v>0</v>
      </c>
      <c r="M181" s="9"/>
      <c r="N181" s="9"/>
      <c r="O181" s="9"/>
      <c r="P181" s="9"/>
    </row>
    <row r="182" spans="1:16">
      <c r="A182" s="9"/>
      <c r="B182" s="9"/>
      <c r="C182" s="9" t="s">
        <v>40</v>
      </c>
      <c r="D182" s="9"/>
      <c r="E182" s="9"/>
      <c r="F182" s="9" t="str">
        <f ca="1">IF(D182="", "", VLOOKUP(D182, Sheet3!C:P, 14, FALSE) &amp; ", " &amp; DATEDIF(VLOOKUP(D182, Sheet3!C:N, 12, FALSE), TODAY(), "y") &amp; " Years Experience")</f>
        <v/>
      </c>
      <c r="G182" s="9"/>
      <c r="H182" s="15" t="s">
        <v>24</v>
      </c>
      <c r="I182" s="15"/>
      <c r="J182" s="15"/>
      <c r="K182" s="11">
        <v>0</v>
      </c>
      <c r="L182" s="9">
        <v>0</v>
      </c>
      <c r="M182" s="9"/>
      <c r="N182" s="9"/>
      <c r="O182" s="9"/>
      <c r="P182" s="9"/>
    </row>
    <row r="183" spans="1:16">
      <c r="A183" s="9"/>
      <c r="B183" s="9"/>
      <c r="C183" s="19" t="s">
        <v>72</v>
      </c>
      <c r="D183" s="19"/>
      <c r="E183" s="19"/>
      <c r="F183" s="9" t="str">
        <f ca="1">IF(D183="", "", VLOOKUP(D183, Sheet3!C:P, 14, FALSE) &amp; ", " &amp; DATEDIF(VLOOKUP(D183, Sheet3!C:N, 12, FALSE), TODAY(), "y") &amp; " Years Experience")</f>
        <v/>
      </c>
      <c r="G183" s="19"/>
      <c r="H183" s="11"/>
      <c r="I183" s="11"/>
      <c r="J183" s="11"/>
      <c r="K183" s="11"/>
      <c r="L183" s="9"/>
      <c r="M183" s="9"/>
      <c r="N183" s="9"/>
      <c r="O183" s="9"/>
      <c r="P183" s="9"/>
    </row>
    <row r="184" spans="1:16">
      <c r="A184" s="9"/>
      <c r="B184" s="9"/>
      <c r="C184" s="9" t="s">
        <v>35</v>
      </c>
      <c r="D184" s="9"/>
      <c r="E184" s="9"/>
      <c r="F184" s="9" t="str">
        <f ca="1">IF(D184="", "", VLOOKUP(D184, Sheet3!C:P, 14, FALSE) &amp; ", " &amp; DATEDIF(VLOOKUP(D184, Sheet3!C:N, 12, FALSE), TODAY(), "y") &amp; " Years Experience")</f>
        <v/>
      </c>
      <c r="G184" s="9"/>
      <c r="H184" s="11">
        <v>4</v>
      </c>
      <c r="I184" s="11"/>
      <c r="J184" s="11"/>
      <c r="K184" s="11">
        <v>1</v>
      </c>
      <c r="L184" s="9">
        <v>0</v>
      </c>
      <c r="M184" s="9"/>
      <c r="N184" s="9"/>
      <c r="O184" s="9"/>
      <c r="P184" s="9"/>
    </row>
    <row r="185" spans="1:16">
      <c r="A185" s="9"/>
      <c r="B185" s="9"/>
      <c r="C185" s="9" t="s">
        <v>36</v>
      </c>
      <c r="D185" s="9"/>
      <c r="E185" s="9"/>
      <c r="F185" s="9" t="str">
        <f ca="1">IF(D185="", "", VLOOKUP(D185, Sheet3!C:P, 14, FALSE) &amp; ", " &amp; DATEDIF(VLOOKUP(D185, Sheet3!C:N, 12, FALSE), TODAY(), "y") &amp; " Years Experience")</f>
        <v/>
      </c>
      <c r="G185" s="9"/>
      <c r="H185" s="11">
        <v>4</v>
      </c>
      <c r="I185" s="11"/>
      <c r="J185" s="11"/>
      <c r="K185" s="11">
        <v>1</v>
      </c>
      <c r="L185" s="9">
        <v>0</v>
      </c>
      <c r="M185" s="9"/>
      <c r="N185" s="9"/>
      <c r="O185" s="9"/>
      <c r="P185" s="9"/>
    </row>
    <row r="186" spans="1:16">
      <c r="A186" s="9"/>
      <c r="B186" s="9"/>
      <c r="C186" s="9" t="s">
        <v>37</v>
      </c>
      <c r="D186" s="9"/>
      <c r="E186" s="9"/>
      <c r="F186" s="9" t="str">
        <f ca="1">IF(D186="", "", VLOOKUP(D186, Sheet3!C:P, 14, FALSE) &amp; ", " &amp; DATEDIF(VLOOKUP(D186, Sheet3!C:N, 12, FALSE), TODAY(), "y") &amp; " Years Experience")</f>
        <v/>
      </c>
      <c r="G186" s="9"/>
      <c r="H186" s="11">
        <v>5</v>
      </c>
      <c r="I186" s="11"/>
      <c r="J186" s="11"/>
      <c r="K186" s="11">
        <v>2</v>
      </c>
      <c r="L186" s="9">
        <v>0</v>
      </c>
      <c r="M186" s="9"/>
      <c r="N186" s="9"/>
      <c r="O186" s="9"/>
      <c r="P186" s="9"/>
    </row>
    <row r="187" spans="1:16">
      <c r="A187" s="9"/>
      <c r="B187" s="9"/>
      <c r="C187" s="9" t="s">
        <v>38</v>
      </c>
      <c r="D187" s="9"/>
      <c r="E187" s="9"/>
      <c r="F187" s="9" t="str">
        <f ca="1">IF(D187="", "", VLOOKUP(D187, Sheet3!C:P, 14, FALSE) &amp; ", " &amp; DATEDIF(VLOOKUP(D187, Sheet3!C:N, 12, FALSE), TODAY(), "y") &amp; " Years Experience")</f>
        <v/>
      </c>
      <c r="G187" s="9"/>
      <c r="H187" s="15" t="s">
        <v>9</v>
      </c>
      <c r="I187" s="15"/>
      <c r="J187" s="15"/>
      <c r="K187" s="11">
        <v>2</v>
      </c>
      <c r="L187" s="9">
        <v>1</v>
      </c>
      <c r="M187" s="9"/>
      <c r="N187" s="9"/>
      <c r="O187" s="9"/>
      <c r="P187" s="9"/>
    </row>
    <row r="188" spans="1:16">
      <c r="A188" s="9"/>
      <c r="B188" s="9"/>
      <c r="C188" s="9" t="s">
        <v>39</v>
      </c>
      <c r="D188" s="9"/>
      <c r="E188" s="9"/>
      <c r="F188" s="9" t="str">
        <f ca="1">IF(D188="", "", VLOOKUP(D188, Sheet3!C:P, 14, FALSE) &amp; ", " &amp; DATEDIF(VLOOKUP(D188, Sheet3!C:N, 12, FALSE), TODAY(), "y") &amp; " Years Experience")</f>
        <v/>
      </c>
      <c r="G188" s="9"/>
      <c r="H188" s="11">
        <v>7</v>
      </c>
      <c r="I188" s="11"/>
      <c r="J188" s="11"/>
      <c r="K188" s="11">
        <v>2</v>
      </c>
      <c r="L188" s="9">
        <v>0</v>
      </c>
      <c r="M188" s="9"/>
      <c r="N188" s="9"/>
      <c r="O188" s="9"/>
      <c r="P188" s="9"/>
    </row>
    <row r="189" spans="1:16">
      <c r="A189" s="9"/>
      <c r="B189" s="9"/>
      <c r="C189" s="9" t="s">
        <v>40</v>
      </c>
      <c r="D189" s="9"/>
      <c r="E189" s="9"/>
      <c r="F189" s="9" t="str">
        <f ca="1">IF(D189="", "", VLOOKUP(D189, Sheet3!C:P, 14, FALSE) &amp; ", " &amp; DATEDIF(VLOOKUP(D189, Sheet3!C:N, 12, FALSE), TODAY(), "y") &amp; " Years Experience")</f>
        <v/>
      </c>
      <c r="G189" s="9"/>
      <c r="H189" s="15" t="s">
        <v>24</v>
      </c>
      <c r="I189" s="15"/>
      <c r="J189" s="15"/>
      <c r="K189" s="11">
        <v>0</v>
      </c>
      <c r="L189" s="9">
        <v>1</v>
      </c>
      <c r="M189" s="9"/>
      <c r="N189" s="9"/>
      <c r="O189" s="9"/>
      <c r="P189" s="9"/>
    </row>
    <row r="190" spans="1:16">
      <c r="A190" s="9"/>
      <c r="B190" s="9"/>
      <c r="C190" s="19" t="s">
        <v>73</v>
      </c>
      <c r="D190" s="19"/>
      <c r="E190" s="19"/>
      <c r="F190" s="9" t="str">
        <f ca="1">IF(D190="", "", VLOOKUP(D190, Sheet3!C:P, 14, FALSE) &amp; ", " &amp; DATEDIF(VLOOKUP(D190, Sheet3!C:N, 12, FALSE), TODAY(), "y") &amp; " Years Experience")</f>
        <v/>
      </c>
      <c r="G190" s="19"/>
      <c r="H190" s="11"/>
      <c r="I190" s="11"/>
      <c r="J190" s="11"/>
      <c r="K190" s="11"/>
      <c r="L190" s="9"/>
      <c r="M190" s="9"/>
      <c r="N190" s="9"/>
      <c r="O190" s="9"/>
      <c r="P190" s="9"/>
    </row>
    <row r="191" spans="1:16">
      <c r="A191" s="9"/>
      <c r="B191" s="9"/>
      <c r="C191" s="9" t="s">
        <v>35</v>
      </c>
      <c r="D191" s="9"/>
      <c r="E191" s="9"/>
      <c r="F191" s="9" t="str">
        <f ca="1">IF(D191="", "", VLOOKUP(D191, Sheet3!C:P, 14, FALSE) &amp; ", " &amp; DATEDIF(VLOOKUP(D191, Sheet3!C:N, 12, FALSE), TODAY(), "y") &amp; " Years Experience")</f>
        <v/>
      </c>
      <c r="G191" s="9"/>
      <c r="H191" s="11">
        <v>4</v>
      </c>
      <c r="I191" s="11"/>
      <c r="J191" s="11"/>
      <c r="K191" s="11">
        <v>1</v>
      </c>
      <c r="L191" s="9">
        <v>0</v>
      </c>
      <c r="M191" s="9"/>
      <c r="N191" s="9"/>
      <c r="O191" s="9"/>
      <c r="P191" s="9"/>
    </row>
    <row r="192" spans="1:16">
      <c r="A192" s="9"/>
      <c r="B192" s="9"/>
      <c r="C192" s="9" t="s">
        <v>37</v>
      </c>
      <c r="D192" s="9"/>
      <c r="E192" s="9"/>
      <c r="F192" s="9" t="str">
        <f ca="1">IF(D192="", "", VLOOKUP(D192, Sheet3!C:P, 14, FALSE) &amp; ", " &amp; DATEDIF(VLOOKUP(D192, Sheet3!C:N, 12, FALSE), TODAY(), "y") &amp; " Years Experience")</f>
        <v/>
      </c>
      <c r="G192" s="9"/>
      <c r="H192" s="11">
        <v>5</v>
      </c>
      <c r="I192" s="11"/>
      <c r="J192" s="11"/>
      <c r="K192" s="11">
        <v>1</v>
      </c>
      <c r="L192" s="9">
        <v>0</v>
      </c>
      <c r="M192" s="9"/>
      <c r="N192" s="9"/>
      <c r="O192" s="9"/>
      <c r="P192" s="9"/>
    </row>
    <row r="193" spans="1:16">
      <c r="A193" s="9"/>
      <c r="B193" s="9"/>
      <c r="C193" s="9" t="s">
        <v>38</v>
      </c>
      <c r="D193" s="9"/>
      <c r="E193" s="9"/>
      <c r="F193" s="9" t="str">
        <f ca="1">IF(D193="", "", VLOOKUP(D193, Sheet3!C:P, 14, FALSE) &amp; ", " &amp; DATEDIF(VLOOKUP(D193, Sheet3!C:N, 12, FALSE), TODAY(), "y") &amp; " Years Experience")</f>
        <v/>
      </c>
      <c r="G193" s="9"/>
      <c r="H193" s="15" t="s">
        <v>9</v>
      </c>
      <c r="I193" s="15"/>
      <c r="J193" s="15"/>
      <c r="K193" s="11">
        <v>1</v>
      </c>
      <c r="L193" s="9">
        <v>0</v>
      </c>
      <c r="M193" s="9"/>
      <c r="N193" s="9"/>
      <c r="O193" s="9"/>
      <c r="P193" s="9"/>
    </row>
    <row r="194" spans="1:16">
      <c r="A194" s="9"/>
      <c r="B194" s="9"/>
      <c r="C194" s="9" t="s">
        <v>39</v>
      </c>
      <c r="D194" s="9"/>
      <c r="E194" s="9"/>
      <c r="F194" s="9" t="str">
        <f ca="1">IF(D194="", "", VLOOKUP(D194, Sheet3!C:P, 14, FALSE) &amp; ", " &amp; DATEDIF(VLOOKUP(D194, Sheet3!C:N, 12, FALSE), TODAY(), "y") &amp; " Years Experience")</f>
        <v/>
      </c>
      <c r="G194" s="9"/>
      <c r="H194" s="11">
        <v>7</v>
      </c>
      <c r="I194" s="11"/>
      <c r="J194" s="11"/>
      <c r="K194" s="11">
        <v>2</v>
      </c>
      <c r="L194" s="9">
        <v>0</v>
      </c>
      <c r="M194" s="9"/>
      <c r="N194" s="9"/>
      <c r="O194" s="9"/>
      <c r="P194" s="9"/>
    </row>
    <row r="195" spans="1:16">
      <c r="A195" s="9"/>
      <c r="B195" s="9"/>
      <c r="C195" s="9" t="s">
        <v>40</v>
      </c>
      <c r="D195" s="9"/>
      <c r="E195" s="9"/>
      <c r="F195" s="9" t="str">
        <f ca="1">IF(D195="", "", VLOOKUP(D195, Sheet3!C:P, 14, FALSE) &amp; ", " &amp; DATEDIF(VLOOKUP(D195, Sheet3!C:N, 12, FALSE), TODAY(), "y") &amp; " Years Experience")</f>
        <v/>
      </c>
      <c r="G195" s="9"/>
      <c r="H195" s="15" t="s">
        <v>24</v>
      </c>
      <c r="I195" s="15"/>
      <c r="J195" s="15"/>
      <c r="K195" s="11">
        <v>0</v>
      </c>
      <c r="L195" s="9">
        <v>0</v>
      </c>
      <c r="M195" s="9"/>
      <c r="N195" s="9"/>
      <c r="O195" s="9"/>
      <c r="P195" s="9"/>
    </row>
    <row r="196" spans="1:16">
      <c r="A196" s="9"/>
      <c r="B196" s="9"/>
      <c r="C196" s="9" t="s">
        <v>74</v>
      </c>
      <c r="D196" s="9"/>
      <c r="E196" s="9"/>
      <c r="F196" s="9" t="str">
        <f ca="1">IF(D196="", "", VLOOKUP(D196, Sheet3!C:P, 14, FALSE) &amp; ", " &amp; DATEDIF(VLOOKUP(D196, Sheet3!C:N, 12, FALSE), TODAY(), "y") &amp; " Years Experience")</f>
        <v/>
      </c>
      <c r="G196" s="9"/>
      <c r="H196" s="11">
        <v>7</v>
      </c>
      <c r="I196" s="11"/>
      <c r="J196" s="11"/>
      <c r="K196" s="11">
        <v>0</v>
      </c>
      <c r="L196" s="9">
        <v>0</v>
      </c>
      <c r="M196" s="9"/>
      <c r="N196" s="9"/>
      <c r="O196" s="9"/>
      <c r="P196" s="9"/>
    </row>
    <row r="197" spans="1:16">
      <c r="A197" s="9"/>
      <c r="B197" s="9"/>
      <c r="C197" s="9" t="s">
        <v>75</v>
      </c>
      <c r="D197" s="9"/>
      <c r="E197" s="9"/>
      <c r="F197" s="9" t="str">
        <f ca="1">IF(D197="", "", VLOOKUP(D197, Sheet3!C:P, 14, FALSE) &amp; ", " &amp; DATEDIF(VLOOKUP(D197, Sheet3!C:N, 12, FALSE), TODAY(), "y") &amp; " Years Experience")</f>
        <v/>
      </c>
      <c r="G197" s="9"/>
      <c r="H197" s="15" t="s">
        <v>24</v>
      </c>
      <c r="I197" s="15"/>
      <c r="J197" s="15"/>
      <c r="K197" s="11">
        <v>1</v>
      </c>
      <c r="L197" s="9">
        <v>1</v>
      </c>
      <c r="M197" s="9"/>
      <c r="N197" s="9"/>
      <c r="O197" s="9"/>
      <c r="P197" s="9"/>
    </row>
    <row r="198" spans="1:16">
      <c r="A198" s="9"/>
      <c r="B198" s="9"/>
      <c r="C198" s="19" t="s">
        <v>76</v>
      </c>
      <c r="D198" s="19"/>
      <c r="E198" s="19"/>
      <c r="F198" s="9" t="str">
        <f ca="1">IF(D198="", "", VLOOKUP(D198, Sheet3!C:P, 14, FALSE) &amp; ", " &amp; DATEDIF(VLOOKUP(D198, Sheet3!C:N, 12, FALSE), TODAY(), "y") &amp; " Years Experience")</f>
        <v/>
      </c>
      <c r="G198" s="19"/>
      <c r="H198" s="11"/>
      <c r="I198" s="11"/>
      <c r="J198" s="11"/>
      <c r="K198" s="11"/>
      <c r="L198" s="9"/>
      <c r="M198" s="9"/>
      <c r="N198" s="9"/>
      <c r="O198" s="9"/>
      <c r="P198" s="9"/>
    </row>
    <row r="199" spans="1:16">
      <c r="A199" s="9"/>
      <c r="B199" s="9"/>
      <c r="C199" s="9" t="s">
        <v>35</v>
      </c>
      <c r="D199" s="9"/>
      <c r="E199" s="9"/>
      <c r="F199" s="9" t="str">
        <f ca="1">IF(D199="", "", VLOOKUP(D199, Sheet3!C:P, 14, FALSE) &amp; ", " &amp; DATEDIF(VLOOKUP(D199, Sheet3!C:N, 12, FALSE), TODAY(), "y") &amp; " Years Experience")</f>
        <v/>
      </c>
      <c r="G199" s="9"/>
      <c r="H199" s="11">
        <v>4</v>
      </c>
      <c r="I199" s="11"/>
      <c r="J199" s="11"/>
      <c r="K199" s="11">
        <v>1</v>
      </c>
      <c r="L199" s="9">
        <v>0</v>
      </c>
      <c r="M199" s="9"/>
      <c r="N199" s="9"/>
      <c r="O199" s="9"/>
      <c r="P199" s="9"/>
    </row>
    <row r="200" spans="1:16">
      <c r="A200" s="9"/>
      <c r="B200" s="9"/>
      <c r="C200" s="9" t="s">
        <v>36</v>
      </c>
      <c r="D200" s="9"/>
      <c r="E200" s="9"/>
      <c r="F200" s="9" t="str">
        <f ca="1">IF(D200="", "", VLOOKUP(D200, Sheet3!C:P, 14, FALSE) &amp; ", " &amp; DATEDIF(VLOOKUP(D200, Sheet3!C:N, 12, FALSE), TODAY(), "y") &amp; " Years Experience")</f>
        <v/>
      </c>
      <c r="G200" s="9"/>
      <c r="H200" s="11">
        <v>4</v>
      </c>
      <c r="I200" s="11"/>
      <c r="J200" s="11"/>
      <c r="K200" s="11">
        <v>1</v>
      </c>
      <c r="L200" s="9">
        <v>0</v>
      </c>
      <c r="M200" s="9"/>
      <c r="N200" s="9"/>
      <c r="O200" s="9"/>
      <c r="P200" s="9"/>
    </row>
    <row r="201" spans="1:16">
      <c r="A201" s="9"/>
      <c r="B201" s="9"/>
      <c r="C201" s="9" t="s">
        <v>37</v>
      </c>
      <c r="D201" s="9"/>
      <c r="E201" s="9"/>
      <c r="F201" s="9" t="str">
        <f ca="1">IF(D201="", "", VLOOKUP(D201, Sheet3!C:P, 14, FALSE) &amp; ", " &amp; DATEDIF(VLOOKUP(D201, Sheet3!C:N, 12, FALSE), TODAY(), "y") &amp; " Years Experience")</f>
        <v/>
      </c>
      <c r="G201" s="9"/>
      <c r="H201" s="11">
        <v>5</v>
      </c>
      <c r="I201" s="11"/>
      <c r="J201" s="11"/>
      <c r="K201" s="11">
        <v>2</v>
      </c>
      <c r="L201" s="9">
        <v>0</v>
      </c>
      <c r="M201" s="9"/>
      <c r="N201" s="9"/>
      <c r="O201" s="9"/>
      <c r="P201" s="9"/>
    </row>
    <row r="202" spans="1:16" ht="13.8">
      <c r="A202" s="9"/>
      <c r="B202" s="9"/>
      <c r="C202" s="9" t="s">
        <v>38</v>
      </c>
      <c r="D202" s="74">
        <v>20190118042</v>
      </c>
      <c r="E202" s="9" t="s">
        <v>965</v>
      </c>
      <c r="F202" s="9" t="str">
        <f ca="1">IF(D202="", "", VLOOKUP(D202, Sheet3!C:P, 14, FALSE) &amp; ", " &amp; DATEDIF(VLOOKUP(D202, Sheet3!C:N, 12, FALSE), TODAY(), "y") &amp; " Years Experience")</f>
        <v>MSc, Bachelors, KCSE, KCPE, Cstat, 8, Certificates, 5 Years Experience</v>
      </c>
      <c r="G202" s="9"/>
      <c r="H202" s="15" t="s">
        <v>9</v>
      </c>
      <c r="I202" s="15"/>
      <c r="J202" s="15"/>
      <c r="K202" s="11">
        <v>2</v>
      </c>
      <c r="L202" s="9">
        <v>0</v>
      </c>
      <c r="M202" s="9"/>
      <c r="N202" s="9"/>
      <c r="O202" s="9"/>
      <c r="P202" s="9"/>
    </row>
    <row r="203" spans="1:16">
      <c r="A203" s="9"/>
      <c r="B203" s="9"/>
      <c r="C203" s="18" t="s">
        <v>77</v>
      </c>
      <c r="D203" s="18"/>
      <c r="E203" s="18"/>
      <c r="F203" s="9" t="str">
        <f ca="1">IF(D203="", "", VLOOKUP(D203, Sheet3!C:P, 14, FALSE) &amp; ", " &amp; DATEDIF(VLOOKUP(D203, Sheet3!C:N, 12, FALSE), TODAY(), "y") &amp; " Years Experience")</f>
        <v/>
      </c>
      <c r="G203" s="18"/>
      <c r="H203" s="11"/>
      <c r="I203" s="11"/>
      <c r="J203" s="11"/>
      <c r="K203" s="11"/>
      <c r="L203" s="9"/>
      <c r="M203" s="9"/>
      <c r="N203" s="9"/>
      <c r="O203" s="9"/>
      <c r="P203" s="9"/>
    </row>
    <row r="204" spans="1:16">
      <c r="A204" s="9"/>
      <c r="B204" s="9"/>
      <c r="C204" s="9" t="s">
        <v>78</v>
      </c>
      <c r="D204" s="9"/>
      <c r="E204" s="9" t="s">
        <v>184</v>
      </c>
      <c r="F204" s="9" t="str">
        <f ca="1">IF(D204="", "", VLOOKUP(D204, Sheet3!C:P, 14, FALSE) &amp; ", " &amp; DATEDIF(VLOOKUP(D204, Sheet3!C:N, 12, FALSE), TODAY(), "y") &amp; " Years Experience")</f>
        <v/>
      </c>
      <c r="G204" s="9"/>
      <c r="H204" s="11">
        <v>2</v>
      </c>
      <c r="I204" s="11"/>
      <c r="J204" s="11"/>
      <c r="K204" s="11">
        <v>1</v>
      </c>
      <c r="L204" s="9">
        <v>0</v>
      </c>
      <c r="M204" s="9"/>
      <c r="N204" s="9"/>
      <c r="O204" s="9"/>
      <c r="P204" s="9"/>
    </row>
    <row r="205" spans="1:16">
      <c r="A205" s="9"/>
      <c r="B205" s="9"/>
      <c r="C205" s="9" t="s">
        <v>28</v>
      </c>
      <c r="D205" s="9"/>
      <c r="E205" s="13"/>
      <c r="F205" s="9" t="str">
        <f ca="1">IF(D205="", "", VLOOKUP(D205, Sheet3!C:P, 14, FALSE) &amp; ", " &amp; DATEDIF(VLOOKUP(D205, Sheet3!C:N, 12, FALSE), TODAY(), "y") &amp; " Years Experience")</f>
        <v/>
      </c>
      <c r="G205" s="13"/>
      <c r="H205" s="11">
        <v>2</v>
      </c>
      <c r="I205" s="11"/>
      <c r="J205" s="11"/>
      <c r="K205" s="11">
        <v>1</v>
      </c>
      <c r="L205" s="9">
        <v>1</v>
      </c>
      <c r="M205" s="9"/>
      <c r="N205" s="9"/>
      <c r="O205" s="9"/>
      <c r="P205" s="9"/>
    </row>
    <row r="206" spans="1:16">
      <c r="A206" s="9"/>
      <c r="B206" s="9"/>
      <c r="C206" s="9" t="s">
        <v>25</v>
      </c>
      <c r="D206" s="129"/>
      <c r="E206" s="22"/>
      <c r="F206" s="9" t="str">
        <f ca="1">IF(D206="", "", VLOOKUP(D206, Sheet3!C:P, 14, FALSE) &amp; ", " &amp; DATEDIF(VLOOKUP(D206, Sheet3!C:N, 12, FALSE), TODAY(), "y") &amp; " Years Experience")</f>
        <v/>
      </c>
      <c r="G206" s="22"/>
      <c r="H206" s="15" t="s">
        <v>24</v>
      </c>
      <c r="I206" s="15"/>
      <c r="J206" s="15"/>
      <c r="K206" s="11">
        <v>1</v>
      </c>
      <c r="L206" s="9">
        <v>0</v>
      </c>
      <c r="M206" s="9"/>
      <c r="N206" s="9"/>
      <c r="O206" s="9"/>
      <c r="P206" s="9"/>
    </row>
    <row r="207" spans="1:16">
      <c r="A207" s="9"/>
      <c r="B207" s="9"/>
      <c r="C207" s="9" t="s">
        <v>29</v>
      </c>
      <c r="D207" s="9"/>
      <c r="E207" s="9" t="s">
        <v>186</v>
      </c>
      <c r="F207" s="9" t="str">
        <f ca="1">IF(D207="", "", VLOOKUP(D207, Sheet3!C:P, 14, FALSE) &amp; ", " &amp; DATEDIF(VLOOKUP(D207, Sheet3!C:N, 12, FALSE), TODAY(), "y") &amp; " Years Experience")</f>
        <v/>
      </c>
      <c r="G207" s="9"/>
      <c r="H207" s="15" t="s">
        <v>12</v>
      </c>
      <c r="I207" s="15"/>
      <c r="J207" s="15"/>
      <c r="K207" s="11">
        <v>1</v>
      </c>
      <c r="L207" s="9">
        <v>0</v>
      </c>
      <c r="M207" s="9"/>
      <c r="N207" s="9"/>
      <c r="O207" s="9"/>
      <c r="P207" s="9"/>
    </row>
    <row r="208" spans="1:16">
      <c r="A208" s="9"/>
      <c r="B208" s="9"/>
      <c r="C208" s="9" t="s">
        <v>30</v>
      </c>
      <c r="D208" s="9"/>
      <c r="E208" s="9" t="s">
        <v>185</v>
      </c>
      <c r="F208" s="9" t="str">
        <f ca="1">IF(D208="", "", VLOOKUP(D208, Sheet3!C:P, 14, FALSE) &amp; ", " &amp; DATEDIF(VLOOKUP(D208, Sheet3!C:N, 12, FALSE), TODAY(), "y") &amp; " Years Experience")</f>
        <v/>
      </c>
      <c r="G208" s="21"/>
      <c r="H208" s="15" t="s">
        <v>15</v>
      </c>
      <c r="I208" s="15"/>
      <c r="J208" s="15"/>
      <c r="K208" s="11">
        <v>1</v>
      </c>
      <c r="L208" s="9">
        <v>3</v>
      </c>
      <c r="M208" s="9"/>
      <c r="N208" s="9"/>
      <c r="O208" s="9"/>
      <c r="P208" s="9"/>
    </row>
    <row r="209" spans="1:17">
      <c r="A209" s="9"/>
      <c r="B209" s="9"/>
      <c r="C209" s="19" t="s">
        <v>79</v>
      </c>
      <c r="D209" s="19"/>
      <c r="E209" s="19"/>
      <c r="F209" s="9" t="str">
        <f ca="1">IF(D209="", "", VLOOKUP(D209, Sheet3!C:P, 14, FALSE) &amp; ", " &amp; DATEDIF(VLOOKUP(D209, Sheet3!C:N, 12, FALSE), TODAY(), "y") &amp; " Years Experience")</f>
        <v/>
      </c>
      <c r="G209" s="19"/>
      <c r="H209" s="11"/>
      <c r="I209" s="11"/>
      <c r="J209" s="11"/>
      <c r="K209" s="11"/>
      <c r="L209" s="9"/>
      <c r="M209" s="9"/>
      <c r="N209" s="9"/>
      <c r="O209" s="9"/>
      <c r="P209" s="9"/>
    </row>
    <row r="210" spans="1:17">
      <c r="A210" s="9"/>
      <c r="B210" s="9"/>
      <c r="C210" s="9" t="s">
        <v>80</v>
      </c>
      <c r="D210" s="9"/>
      <c r="E210" s="9" t="s">
        <v>187</v>
      </c>
      <c r="F210" s="9" t="str">
        <f ca="1">IF(D210="", "", VLOOKUP(D210, Sheet3!C:P, 14, FALSE) &amp; ", " &amp; DATEDIF(VLOOKUP(D210, Sheet3!C:N, 12, FALSE), TODAY(), "y") &amp; " Years Experience")</f>
        <v/>
      </c>
      <c r="G210" s="9"/>
      <c r="H210" s="11">
        <v>3</v>
      </c>
      <c r="I210" s="11"/>
      <c r="J210" s="11"/>
      <c r="K210" s="11">
        <v>1</v>
      </c>
      <c r="L210" s="9">
        <v>0</v>
      </c>
      <c r="M210" s="9"/>
      <c r="N210" s="9"/>
      <c r="O210" s="9"/>
      <c r="P210" s="9"/>
      <c r="Q210" s="1" t="s">
        <v>188</v>
      </c>
    </row>
    <row r="211" spans="1:17">
      <c r="A211" s="9"/>
      <c r="B211" s="9"/>
      <c r="C211" s="9" t="s">
        <v>47</v>
      </c>
      <c r="D211" s="9"/>
      <c r="E211" s="13"/>
      <c r="F211" s="9" t="str">
        <f ca="1">IF(D211="", "", VLOOKUP(D211, Sheet3!C:P, 14, FALSE) &amp; ", " &amp; DATEDIF(VLOOKUP(D211, Sheet3!C:N, 12, FALSE), TODAY(), "y") &amp; " Years Experience")</f>
        <v/>
      </c>
      <c r="G211" s="9"/>
      <c r="H211" s="11">
        <v>3</v>
      </c>
      <c r="I211" s="11"/>
      <c r="J211" s="11"/>
      <c r="K211" s="11">
        <v>1</v>
      </c>
      <c r="L211" s="9">
        <v>0</v>
      </c>
      <c r="M211" s="9"/>
      <c r="N211" s="9"/>
      <c r="O211" s="9"/>
      <c r="P211" s="9"/>
    </row>
    <row r="212" spans="1:17">
      <c r="A212" s="9"/>
      <c r="B212" s="9"/>
      <c r="C212" s="19" t="s">
        <v>81</v>
      </c>
      <c r="D212" s="19"/>
      <c r="E212" s="19"/>
      <c r="F212" s="9" t="str">
        <f ca="1">IF(D212="", "", VLOOKUP(D212, Sheet3!C:P, 14, FALSE) &amp; ", " &amp; DATEDIF(VLOOKUP(D212, Sheet3!C:N, 12, FALSE), TODAY(), "y") &amp; " Years Experience")</f>
        <v/>
      </c>
      <c r="G212" s="19"/>
      <c r="H212" s="11"/>
      <c r="I212" s="11"/>
      <c r="J212" s="11"/>
      <c r="K212" s="11"/>
      <c r="L212" s="9"/>
      <c r="M212" s="9"/>
      <c r="N212" s="9"/>
      <c r="O212" s="9"/>
      <c r="P212" s="9"/>
    </row>
    <row r="213" spans="1:17">
      <c r="A213" s="9"/>
      <c r="B213" s="9"/>
      <c r="C213" s="9" t="s">
        <v>35</v>
      </c>
      <c r="D213" s="9"/>
      <c r="E213" s="13"/>
      <c r="F213" s="9" t="str">
        <f ca="1">IF(D213="", "", VLOOKUP(D213, Sheet3!C:P, 14, FALSE) &amp; ", " &amp; DATEDIF(VLOOKUP(D213, Sheet3!C:N, 12, FALSE), TODAY(), "y") &amp; " Years Experience")</f>
        <v/>
      </c>
      <c r="G213" s="9"/>
      <c r="H213" s="11">
        <v>4</v>
      </c>
      <c r="I213" s="11"/>
      <c r="J213" s="11"/>
      <c r="K213" s="11">
        <v>1</v>
      </c>
      <c r="L213" s="9">
        <v>0</v>
      </c>
      <c r="M213" s="9"/>
      <c r="N213" s="9"/>
      <c r="O213" s="9"/>
      <c r="P213" s="9"/>
    </row>
    <row r="214" spans="1:17">
      <c r="A214" s="9"/>
      <c r="B214" s="9"/>
      <c r="C214" s="9" t="s">
        <v>36</v>
      </c>
      <c r="D214" s="9"/>
      <c r="E214" s="13"/>
      <c r="F214" s="9" t="str">
        <f ca="1">IF(D214="", "", VLOOKUP(D214, Sheet3!C:P, 14, FALSE) &amp; ", " &amp; DATEDIF(VLOOKUP(D214, Sheet3!C:N, 12, FALSE), TODAY(), "y") &amp; " Years Experience")</f>
        <v/>
      </c>
      <c r="G214" s="9"/>
      <c r="H214" s="11">
        <v>4</v>
      </c>
      <c r="I214" s="11"/>
      <c r="J214" s="11"/>
      <c r="K214" s="11">
        <v>1</v>
      </c>
      <c r="L214" s="9">
        <v>0</v>
      </c>
      <c r="M214" s="9"/>
      <c r="N214" s="9"/>
      <c r="O214" s="9"/>
      <c r="P214" s="9"/>
    </row>
    <row r="215" spans="1:17">
      <c r="A215" s="9"/>
      <c r="B215" s="9"/>
      <c r="C215" s="9" t="s">
        <v>37</v>
      </c>
      <c r="D215" s="9"/>
      <c r="E215" s="13"/>
      <c r="F215" s="9" t="str">
        <f ca="1">IF(D215="", "", VLOOKUP(D215, Sheet3!C:P, 14, FALSE) &amp; ", " &amp; DATEDIF(VLOOKUP(D215, Sheet3!C:N, 12, FALSE), TODAY(), "y") &amp; " Years Experience")</f>
        <v/>
      </c>
      <c r="G215" s="9"/>
      <c r="H215" s="11">
        <v>5</v>
      </c>
      <c r="I215" s="11"/>
      <c r="J215" s="11"/>
      <c r="K215" s="11">
        <v>2</v>
      </c>
      <c r="L215" s="9">
        <v>1</v>
      </c>
      <c r="M215" s="9"/>
      <c r="N215" s="9"/>
      <c r="O215" s="9"/>
      <c r="P215" s="9"/>
    </row>
    <row r="216" spans="1:17" ht="36">
      <c r="A216" s="9"/>
      <c r="B216" s="9"/>
      <c r="C216" s="9" t="s">
        <v>38</v>
      </c>
      <c r="D216" s="9"/>
      <c r="E216" s="21" t="s">
        <v>190</v>
      </c>
      <c r="F216" s="9" t="str">
        <f ca="1">IF(D216="", "", VLOOKUP(D216, Sheet3!C:P, 14, FALSE) &amp; ", " &amp; DATEDIF(VLOOKUP(D216, Sheet3!C:N, 12, FALSE), TODAY(), "y") &amp; " Years Experience")</f>
        <v/>
      </c>
      <c r="G216" s="9">
        <v>6</v>
      </c>
      <c r="H216" s="15" t="s">
        <v>9</v>
      </c>
      <c r="I216" s="15"/>
      <c r="J216" s="23" t="s">
        <v>193</v>
      </c>
      <c r="K216" s="11">
        <v>2</v>
      </c>
      <c r="L216" s="9">
        <v>2</v>
      </c>
      <c r="M216" s="9"/>
      <c r="N216" s="9"/>
      <c r="O216" s="9"/>
      <c r="P216" s="9"/>
    </row>
    <row r="217" spans="1:17">
      <c r="A217" s="9"/>
      <c r="B217" s="9"/>
      <c r="C217" s="9" t="s">
        <v>57</v>
      </c>
      <c r="D217" s="129"/>
      <c r="E217" s="22"/>
      <c r="F217" s="9" t="str">
        <f ca="1">IF(D217="", "", VLOOKUP(D217, Sheet3!C:P, 14, FALSE) &amp; ", " &amp; DATEDIF(VLOOKUP(D217, Sheet3!C:N, 12, FALSE), TODAY(), "y") &amp; " Years Experience")</f>
        <v/>
      </c>
      <c r="G217" s="9"/>
      <c r="H217" s="11">
        <v>7</v>
      </c>
      <c r="I217" s="11"/>
      <c r="J217" s="11"/>
      <c r="K217" s="11">
        <v>2</v>
      </c>
      <c r="L217" s="9">
        <v>0</v>
      </c>
      <c r="M217" s="9"/>
      <c r="N217" s="9"/>
      <c r="O217" s="9"/>
      <c r="P217" s="9"/>
    </row>
    <row r="218" spans="1:17">
      <c r="A218" s="9"/>
      <c r="B218" s="9"/>
      <c r="C218" s="9" t="s">
        <v>58</v>
      </c>
      <c r="D218" s="9"/>
      <c r="E218" s="9" t="s">
        <v>194</v>
      </c>
      <c r="F218" s="9" t="str">
        <f ca="1">IF(D218="", "", VLOOKUP(D218, Sheet3!C:P, 14, FALSE) &amp; ", " &amp; DATEDIF(VLOOKUP(D218, Sheet3!C:N, 12, FALSE), TODAY(), "y") &amp; " Years Experience")</f>
        <v/>
      </c>
      <c r="G218" s="9">
        <v>9</v>
      </c>
      <c r="H218" s="15" t="s">
        <v>24</v>
      </c>
      <c r="I218" s="15"/>
      <c r="J218" s="15" t="s">
        <v>195</v>
      </c>
      <c r="K218" s="11">
        <v>2</v>
      </c>
      <c r="L218" s="9">
        <v>2</v>
      </c>
      <c r="M218" s="9"/>
      <c r="N218" s="9"/>
      <c r="O218" s="9"/>
      <c r="P218" s="9"/>
    </row>
    <row r="219" spans="1:17">
      <c r="A219" s="9"/>
      <c r="B219" s="9"/>
      <c r="C219" s="19" t="s">
        <v>82</v>
      </c>
      <c r="D219" s="19"/>
      <c r="E219" s="19"/>
      <c r="F219" s="9" t="str">
        <f ca="1">IF(D219="", "", VLOOKUP(D219, Sheet3!C:P, 14, FALSE) &amp; ", " &amp; DATEDIF(VLOOKUP(D219, Sheet3!C:N, 12, FALSE), TODAY(), "y") &amp; " Years Experience")</f>
        <v/>
      </c>
      <c r="G219" s="19"/>
      <c r="H219" s="11"/>
      <c r="I219" s="11"/>
      <c r="J219" s="11"/>
      <c r="K219" s="11"/>
      <c r="L219" s="9"/>
      <c r="M219" s="9"/>
      <c r="N219" s="9"/>
      <c r="O219" s="9"/>
      <c r="P219" s="9"/>
    </row>
    <row r="220" spans="1:17">
      <c r="A220" s="9"/>
      <c r="B220" s="9"/>
      <c r="C220" s="9" t="s">
        <v>35</v>
      </c>
      <c r="D220" s="9"/>
      <c r="E220" s="13"/>
      <c r="F220" s="9" t="str">
        <f ca="1">IF(D220="", "", VLOOKUP(D220, Sheet3!C:P, 14, FALSE) &amp; ", " &amp; DATEDIF(VLOOKUP(D220, Sheet3!C:N, 12, FALSE), TODAY(), "y") &amp; " Years Experience")</f>
        <v/>
      </c>
      <c r="G220" s="9"/>
      <c r="H220" s="11">
        <v>4</v>
      </c>
      <c r="I220" s="11"/>
      <c r="J220" s="11"/>
      <c r="K220" s="11">
        <v>1</v>
      </c>
      <c r="L220" s="9">
        <v>0</v>
      </c>
      <c r="M220" s="9"/>
      <c r="N220" s="9"/>
      <c r="O220" s="9"/>
      <c r="P220" s="9"/>
    </row>
    <row r="221" spans="1:17">
      <c r="A221" s="9"/>
      <c r="B221" s="9"/>
      <c r="C221" s="9" t="s">
        <v>36</v>
      </c>
      <c r="D221" s="9"/>
      <c r="E221" s="13"/>
      <c r="F221" s="9" t="str">
        <f ca="1">IF(D221="", "", VLOOKUP(D221, Sheet3!C:P, 14, FALSE) &amp; ", " &amp; DATEDIF(VLOOKUP(D221, Sheet3!C:N, 12, FALSE), TODAY(), "y") &amp; " Years Experience")</f>
        <v/>
      </c>
      <c r="G221" s="9"/>
      <c r="H221" s="11">
        <v>4</v>
      </c>
      <c r="I221" s="11"/>
      <c r="J221" s="11"/>
      <c r="K221" s="11">
        <v>0</v>
      </c>
      <c r="L221" s="9">
        <v>0</v>
      </c>
      <c r="M221" s="9"/>
      <c r="N221" s="9"/>
      <c r="O221" s="9"/>
      <c r="P221" s="9"/>
    </row>
    <row r="222" spans="1:17">
      <c r="A222" s="9"/>
      <c r="B222" s="9"/>
      <c r="C222" s="44" t="s">
        <v>37</v>
      </c>
      <c r="D222" s="28"/>
      <c r="E222" s="9" t="s">
        <v>196</v>
      </c>
      <c r="F222" s="9" t="str">
        <f ca="1">IF(D222="", "", VLOOKUP(D222, Sheet3!C:P, 14, FALSE) &amp; ", " &amp; DATEDIF(VLOOKUP(D222, Sheet3!C:N, 12, FALSE), TODAY(), "y") &amp; " Years Experience")</f>
        <v/>
      </c>
      <c r="G222" s="9">
        <v>5</v>
      </c>
      <c r="H222" s="11">
        <v>5</v>
      </c>
      <c r="I222" s="11">
        <v>100</v>
      </c>
      <c r="J222" s="11" t="s">
        <v>198</v>
      </c>
      <c r="K222" s="46">
        <v>3</v>
      </c>
      <c r="L222" s="9">
        <v>0</v>
      </c>
      <c r="M222" s="9"/>
      <c r="N222" s="9"/>
      <c r="O222" s="9"/>
      <c r="P222" s="9"/>
    </row>
    <row r="223" spans="1:17">
      <c r="A223" s="9"/>
      <c r="B223" s="9"/>
      <c r="C223" s="45"/>
      <c r="D223" s="29"/>
      <c r="E223" s="9" t="s">
        <v>200</v>
      </c>
      <c r="F223" s="9" t="str">
        <f ca="1">IF(D223="", "", VLOOKUP(D223, Sheet3!C:P, 14, FALSE) &amp; ", " &amp; DATEDIF(VLOOKUP(D223, Sheet3!C:N, 12, FALSE), TODAY(), "y") &amp; " Years Experience")</f>
        <v/>
      </c>
      <c r="G223" s="9">
        <v>5</v>
      </c>
      <c r="H223" s="11">
        <v>5</v>
      </c>
      <c r="I223" s="11">
        <v>100</v>
      </c>
      <c r="J223" s="11" t="s">
        <v>202</v>
      </c>
      <c r="K223" s="47"/>
      <c r="L223" s="9"/>
      <c r="M223" s="9"/>
      <c r="N223" s="9"/>
      <c r="O223" s="9"/>
      <c r="P223" s="9"/>
    </row>
    <row r="224" spans="1:17">
      <c r="A224" s="9"/>
      <c r="B224" s="9"/>
      <c r="C224" s="9" t="s">
        <v>38</v>
      </c>
      <c r="D224" s="9"/>
      <c r="E224" s="9" t="s">
        <v>201</v>
      </c>
      <c r="F224" s="9" t="str">
        <f ca="1">IF(D224="", "", VLOOKUP(D224, Sheet3!C:P, 14, FALSE) &amp; ", " &amp; DATEDIF(VLOOKUP(D224, Sheet3!C:N, 12, FALSE), TODAY(), "y") &amp; " Years Experience")</f>
        <v/>
      </c>
      <c r="G224" s="9">
        <v>6</v>
      </c>
      <c r="H224" s="15" t="s">
        <v>9</v>
      </c>
      <c r="I224" s="27">
        <v>96</v>
      </c>
      <c r="J224" s="15" t="s">
        <v>195</v>
      </c>
      <c r="K224" s="48"/>
      <c r="L224" s="9">
        <v>2</v>
      </c>
      <c r="M224" s="9"/>
      <c r="N224" s="9"/>
      <c r="O224" s="9"/>
      <c r="P224" s="9"/>
    </row>
    <row r="225" spans="1:16">
      <c r="A225" s="9"/>
      <c r="B225" s="9"/>
      <c r="C225" s="9" t="s">
        <v>39</v>
      </c>
      <c r="D225" s="9"/>
      <c r="E225" s="9" t="s">
        <v>203</v>
      </c>
      <c r="F225" s="9" t="str">
        <f ca="1">IF(D225="", "", VLOOKUP(D225, Sheet3!C:P, 14, FALSE) &amp; ", " &amp; DATEDIF(VLOOKUP(D225, Sheet3!C:N, 12, FALSE), TODAY(), "y") &amp; " Years Experience")</f>
        <v/>
      </c>
      <c r="G225" s="9">
        <v>7</v>
      </c>
      <c r="H225" s="11">
        <v>7</v>
      </c>
      <c r="I225" s="11">
        <v>119</v>
      </c>
      <c r="J225" s="11" t="s">
        <v>195</v>
      </c>
      <c r="K225" s="11">
        <v>1</v>
      </c>
      <c r="L225" s="9">
        <v>1</v>
      </c>
      <c r="M225" s="9"/>
      <c r="N225" s="9"/>
      <c r="O225" s="9"/>
      <c r="P225" s="9"/>
    </row>
    <row r="226" spans="1:16">
      <c r="A226" s="9"/>
      <c r="B226" s="9"/>
      <c r="C226" s="9" t="s">
        <v>83</v>
      </c>
      <c r="D226" s="9"/>
      <c r="E226" s="9" t="s">
        <v>204</v>
      </c>
      <c r="F226" s="9" t="str">
        <f ca="1">IF(D226="", "", VLOOKUP(D226, Sheet3!C:P, 14, FALSE) &amp; ", " &amp; DATEDIF(VLOOKUP(D226, Sheet3!C:N, 12, FALSE), TODAY(), "y") &amp; " Years Experience")</f>
        <v/>
      </c>
      <c r="G226" s="9">
        <v>9</v>
      </c>
      <c r="H226" s="15" t="s">
        <v>24</v>
      </c>
      <c r="I226" s="27">
        <v>117</v>
      </c>
      <c r="J226" s="15" t="s">
        <v>197</v>
      </c>
      <c r="K226" s="11">
        <v>1</v>
      </c>
      <c r="L226" s="9">
        <v>1</v>
      </c>
      <c r="M226" s="9"/>
      <c r="N226" s="9"/>
      <c r="O226" s="9"/>
      <c r="P226" s="9"/>
    </row>
    <row r="227" spans="1:16">
      <c r="A227" s="9"/>
      <c r="B227" s="9"/>
      <c r="C227" s="19" t="s">
        <v>84</v>
      </c>
      <c r="D227" s="19"/>
      <c r="E227" s="19"/>
      <c r="F227" s="9" t="str">
        <f ca="1">IF(D227="", "", VLOOKUP(D227, Sheet3!C:P, 14, FALSE) &amp; ", " &amp; DATEDIF(VLOOKUP(D227, Sheet3!C:N, 12, FALSE), TODAY(), "y") &amp; " Years Experience")</f>
        <v/>
      </c>
      <c r="G227" s="19"/>
      <c r="H227" s="11"/>
      <c r="I227" s="11"/>
      <c r="J227" s="11"/>
      <c r="K227" s="11"/>
      <c r="L227" s="9"/>
      <c r="M227" s="9"/>
      <c r="N227" s="9"/>
      <c r="O227" s="9"/>
      <c r="P227" s="9"/>
    </row>
    <row r="228" spans="1:16">
      <c r="A228" s="9"/>
      <c r="B228" s="9"/>
      <c r="C228" s="9" t="s">
        <v>85</v>
      </c>
      <c r="D228" s="9"/>
      <c r="E228" s="13"/>
      <c r="F228" s="9" t="str">
        <f ca="1">IF(D228="", "", VLOOKUP(D228, Sheet3!C:P, 14, FALSE) &amp; ", " &amp; DATEDIF(VLOOKUP(D228, Sheet3!C:N, 12, FALSE), TODAY(), "y") &amp; " Years Experience")</f>
        <v/>
      </c>
      <c r="G228" s="9"/>
      <c r="H228" s="11">
        <v>3</v>
      </c>
      <c r="I228" s="11"/>
      <c r="J228" s="11"/>
      <c r="K228" s="11">
        <v>1</v>
      </c>
      <c r="L228" s="9">
        <v>0</v>
      </c>
      <c r="M228" s="9"/>
      <c r="N228" s="9"/>
      <c r="O228" s="9"/>
      <c r="P228" s="9"/>
    </row>
    <row r="229" spans="1:16">
      <c r="A229" s="9"/>
      <c r="B229" s="9"/>
      <c r="C229" s="9" t="s">
        <v>47</v>
      </c>
      <c r="D229" s="9"/>
      <c r="E229" s="13"/>
      <c r="F229" s="9" t="str">
        <f ca="1">IF(D229="", "", VLOOKUP(D229, Sheet3!C:P, 14, FALSE) &amp; ", " &amp; DATEDIF(VLOOKUP(D229, Sheet3!C:N, 12, FALSE), TODAY(), "y") &amp; " Years Experience")</f>
        <v/>
      </c>
      <c r="G229" s="9"/>
      <c r="H229" s="11">
        <v>3</v>
      </c>
      <c r="I229" s="11"/>
      <c r="J229" s="11"/>
      <c r="K229" s="11">
        <v>1</v>
      </c>
      <c r="L229" s="9">
        <v>0</v>
      </c>
      <c r="M229" s="9"/>
      <c r="N229" s="9"/>
      <c r="O229" s="9"/>
      <c r="P229" s="9"/>
    </row>
    <row r="230" spans="1:16">
      <c r="A230" s="9"/>
      <c r="B230" s="9"/>
      <c r="C230" s="9" t="s">
        <v>35</v>
      </c>
      <c r="D230" s="9"/>
      <c r="E230" s="13"/>
      <c r="F230" s="9" t="str">
        <f ca="1">IF(D230="", "", VLOOKUP(D230, Sheet3!C:P, 14, FALSE) &amp; ", " &amp; DATEDIF(VLOOKUP(D230, Sheet3!C:N, 12, FALSE), TODAY(), "y") &amp; " Years Experience")</f>
        <v/>
      </c>
      <c r="G230" s="9"/>
      <c r="H230" s="11">
        <v>4</v>
      </c>
      <c r="I230" s="11"/>
      <c r="J230" s="11"/>
      <c r="K230" s="11">
        <v>1</v>
      </c>
      <c r="L230" s="9">
        <v>0</v>
      </c>
      <c r="M230" s="9"/>
      <c r="N230" s="9"/>
      <c r="O230" s="9"/>
      <c r="P230" s="9"/>
    </row>
    <row r="231" spans="1:16">
      <c r="A231" s="9"/>
      <c r="B231" s="9"/>
      <c r="C231" s="9" t="s">
        <v>36</v>
      </c>
      <c r="D231" s="9"/>
      <c r="E231" s="13"/>
      <c r="F231" s="9" t="str">
        <f ca="1">IF(D231="", "", VLOOKUP(D231, Sheet3!C:P, 14, FALSE) &amp; ", " &amp; DATEDIF(VLOOKUP(D231, Sheet3!C:N, 12, FALSE), TODAY(), "y") &amp; " Years Experience")</f>
        <v/>
      </c>
      <c r="G231" s="9"/>
      <c r="H231" s="11">
        <v>4</v>
      </c>
      <c r="I231" s="11"/>
      <c r="J231" s="11"/>
      <c r="K231" s="11">
        <v>3</v>
      </c>
      <c r="L231" s="9">
        <v>0</v>
      </c>
      <c r="M231" s="9"/>
      <c r="N231" s="9"/>
      <c r="O231" s="9"/>
      <c r="P231" s="9"/>
    </row>
    <row r="232" spans="1:16">
      <c r="A232" s="9"/>
      <c r="B232" s="9"/>
      <c r="C232" s="9" t="s">
        <v>37</v>
      </c>
      <c r="D232" s="9"/>
      <c r="E232" s="9" t="s">
        <v>205</v>
      </c>
      <c r="F232" s="9" t="str">
        <f ca="1">IF(D232="", "", VLOOKUP(D232, Sheet3!C:P, 14, FALSE) &amp; ", " &amp; DATEDIF(VLOOKUP(D232, Sheet3!C:N, 12, FALSE), TODAY(), "y") &amp; " Years Experience")</f>
        <v/>
      </c>
      <c r="G232" s="9">
        <v>5</v>
      </c>
      <c r="H232" s="11">
        <v>5</v>
      </c>
      <c r="I232" s="11">
        <v>100</v>
      </c>
      <c r="J232" s="11" t="s">
        <v>198</v>
      </c>
      <c r="K232" s="11">
        <v>0</v>
      </c>
      <c r="L232" s="9">
        <v>0</v>
      </c>
      <c r="M232" s="9"/>
      <c r="N232" s="9"/>
      <c r="O232" s="9"/>
      <c r="P232" s="9"/>
    </row>
    <row r="233" spans="1:16">
      <c r="A233" s="9"/>
      <c r="B233" s="9"/>
      <c r="C233" s="44" t="s">
        <v>38</v>
      </c>
      <c r="D233" s="28"/>
      <c r="E233" s="9" t="s">
        <v>206</v>
      </c>
      <c r="F233" s="9" t="str">
        <f ca="1">IF(D233="", "", VLOOKUP(D233, Sheet3!C:P, 14, FALSE) &amp; ", " &amp; DATEDIF(VLOOKUP(D233, Sheet3!C:N, 12, FALSE), TODAY(), "y") &amp; " Years Experience")</f>
        <v/>
      </c>
      <c r="G233" s="9">
        <v>6</v>
      </c>
      <c r="H233" s="49" t="s">
        <v>9</v>
      </c>
      <c r="I233" s="51">
        <v>96</v>
      </c>
      <c r="J233" s="15" t="s">
        <v>202</v>
      </c>
      <c r="K233" s="46">
        <v>2</v>
      </c>
      <c r="L233" s="9">
        <v>2</v>
      </c>
      <c r="M233" s="9"/>
      <c r="N233" s="9"/>
      <c r="O233" s="9"/>
      <c r="P233" s="9"/>
    </row>
    <row r="234" spans="1:16">
      <c r="A234" s="9"/>
      <c r="B234" s="9"/>
      <c r="C234" s="53"/>
      <c r="D234" s="30"/>
      <c r="E234" s="9" t="s">
        <v>207</v>
      </c>
      <c r="F234" s="9" t="str">
        <f ca="1">IF(D234="", "", VLOOKUP(D234, Sheet3!C:P, 14, FALSE) &amp; ", " &amp; DATEDIF(VLOOKUP(D234, Sheet3!C:N, 12, FALSE), TODAY(), "y") &amp; " Years Experience")</f>
        <v/>
      </c>
      <c r="G234" s="9">
        <v>6</v>
      </c>
      <c r="H234" s="50"/>
      <c r="I234" s="52"/>
      <c r="J234" s="15" t="s">
        <v>195</v>
      </c>
      <c r="K234" s="48"/>
      <c r="L234" s="9"/>
      <c r="M234" s="9"/>
      <c r="N234" s="9"/>
      <c r="O234" s="9"/>
      <c r="P234" s="9"/>
    </row>
    <row r="235" spans="1:16">
      <c r="A235" s="9"/>
      <c r="B235" s="9"/>
      <c r="C235" s="9" t="s">
        <v>57</v>
      </c>
      <c r="D235" s="9"/>
      <c r="E235" s="9"/>
      <c r="F235" s="9" t="str">
        <f ca="1">IF(D235="", "", VLOOKUP(D235, Sheet3!C:P, 14, FALSE) &amp; ", " &amp; DATEDIF(VLOOKUP(D235, Sheet3!C:N, 12, FALSE), TODAY(), "y") &amp; " Years Experience")</f>
        <v/>
      </c>
      <c r="G235" s="9"/>
      <c r="H235" s="11">
        <v>7</v>
      </c>
      <c r="I235" s="11"/>
      <c r="J235" s="11"/>
      <c r="K235" s="11">
        <v>2</v>
      </c>
      <c r="L235" s="9">
        <v>0</v>
      </c>
      <c r="M235" s="9"/>
      <c r="N235" s="9"/>
      <c r="O235" s="9"/>
      <c r="P235" s="9"/>
    </row>
    <row r="236" spans="1:16">
      <c r="A236" s="9"/>
      <c r="B236" s="9"/>
      <c r="C236" s="9" t="s">
        <v>58</v>
      </c>
      <c r="D236" s="9"/>
      <c r="E236" s="9"/>
      <c r="F236" s="9" t="str">
        <f ca="1">IF(D236="", "", VLOOKUP(D236, Sheet3!C:P, 14, FALSE) &amp; ", " &amp; DATEDIF(VLOOKUP(D236, Sheet3!C:N, 12, FALSE), TODAY(), "y") &amp; " Years Experience")</f>
        <v/>
      </c>
      <c r="G236" s="9"/>
      <c r="H236" s="15" t="s">
        <v>24</v>
      </c>
      <c r="I236" s="15"/>
      <c r="J236" s="15"/>
      <c r="K236" s="11">
        <v>2</v>
      </c>
      <c r="L236" s="9">
        <v>4</v>
      </c>
      <c r="M236" s="9"/>
      <c r="N236" s="9"/>
      <c r="O236" s="9"/>
      <c r="P236" s="9"/>
    </row>
    <row r="237" spans="1:16">
      <c r="A237" s="9"/>
      <c r="B237" s="9"/>
      <c r="C237" s="9" t="s">
        <v>59</v>
      </c>
      <c r="D237" s="9"/>
      <c r="E237" s="9"/>
      <c r="F237" s="9" t="str">
        <f ca="1">IF(D237="", "", VLOOKUP(D237, Sheet3!C:P, 14, FALSE) &amp; ", " &amp; DATEDIF(VLOOKUP(D237, Sheet3!C:N, 12, FALSE), TODAY(), "y") &amp; " Years Experience")</f>
        <v/>
      </c>
      <c r="G237" s="9"/>
      <c r="H237" s="11">
        <v>10</v>
      </c>
      <c r="I237" s="11"/>
      <c r="J237" s="11"/>
      <c r="K237" s="11">
        <v>2</v>
      </c>
      <c r="L237" s="9">
        <v>2</v>
      </c>
      <c r="M237" s="9"/>
      <c r="N237" s="9"/>
      <c r="O237" s="9"/>
      <c r="P237" s="9"/>
    </row>
    <row r="238" spans="1:16">
      <c r="A238" s="9"/>
      <c r="B238" s="9"/>
      <c r="C238" s="9" t="s">
        <v>60</v>
      </c>
      <c r="D238" s="9"/>
      <c r="E238" s="9"/>
      <c r="F238" s="9" t="str">
        <f ca="1">IF(D238="", "", VLOOKUP(D238, Sheet3!C:P, 14, FALSE) &amp; ", " &amp; DATEDIF(VLOOKUP(D238, Sheet3!C:N, 12, FALSE), TODAY(), "y") &amp; " Years Experience")</f>
        <v/>
      </c>
      <c r="G238" s="9"/>
      <c r="H238" s="15" t="s">
        <v>15</v>
      </c>
      <c r="I238" s="15"/>
      <c r="J238" s="15"/>
      <c r="K238" s="11">
        <v>0</v>
      </c>
      <c r="L238" s="9">
        <v>8</v>
      </c>
      <c r="M238" s="9"/>
      <c r="N238" s="9"/>
      <c r="O238" s="9"/>
      <c r="P238" s="9"/>
    </row>
    <row r="239" spans="1:16">
      <c r="A239" s="9"/>
      <c r="B239" s="9"/>
      <c r="C239" s="19" t="s">
        <v>86</v>
      </c>
      <c r="D239" s="19"/>
      <c r="E239" s="19"/>
      <c r="F239" s="9" t="str">
        <f ca="1">IF(D239="", "", VLOOKUP(D239, Sheet3!C:P, 14, FALSE) &amp; ", " &amp; DATEDIF(VLOOKUP(D239, Sheet3!C:N, 12, FALSE), TODAY(), "y") &amp; " Years Experience")</f>
        <v/>
      </c>
      <c r="G239" s="19"/>
      <c r="H239" s="11"/>
      <c r="I239" s="11"/>
      <c r="J239" s="11"/>
      <c r="K239" s="11"/>
      <c r="L239" s="9"/>
      <c r="M239" s="9"/>
      <c r="N239" s="9"/>
      <c r="O239" s="9"/>
      <c r="P239" s="9"/>
    </row>
    <row r="240" spans="1:16">
      <c r="A240" s="9"/>
      <c r="B240" s="9"/>
      <c r="C240" s="9" t="s">
        <v>87</v>
      </c>
      <c r="D240" s="9"/>
      <c r="E240" s="9"/>
      <c r="F240" s="9" t="str">
        <f ca="1">IF(D240="", "", VLOOKUP(D240, Sheet3!C:P, 14, FALSE) &amp; ", " &amp; DATEDIF(VLOOKUP(D240, Sheet3!C:N, 12, FALSE), TODAY(), "y") &amp; " Years Experience")</f>
        <v/>
      </c>
      <c r="G240" s="9"/>
      <c r="H240" s="11">
        <v>3</v>
      </c>
      <c r="I240" s="11"/>
      <c r="J240" s="11"/>
      <c r="K240" s="11">
        <v>1</v>
      </c>
      <c r="L240" s="9">
        <v>0</v>
      </c>
      <c r="M240" s="9"/>
      <c r="N240" s="9"/>
      <c r="O240" s="9"/>
      <c r="P240" s="9"/>
    </row>
    <row r="241" spans="1:16">
      <c r="A241" s="9"/>
      <c r="B241" s="9"/>
      <c r="C241" s="9" t="s">
        <v>47</v>
      </c>
      <c r="D241" s="9"/>
      <c r="E241" s="9"/>
      <c r="F241" s="9" t="str">
        <f ca="1">IF(D241="", "", VLOOKUP(D241, Sheet3!C:P, 14, FALSE) &amp; ", " &amp; DATEDIF(VLOOKUP(D241, Sheet3!C:N, 12, FALSE), TODAY(), "y") &amp; " Years Experience")</f>
        <v/>
      </c>
      <c r="G241" s="9"/>
      <c r="H241" s="11">
        <v>3</v>
      </c>
      <c r="I241" s="11"/>
      <c r="J241" s="11"/>
      <c r="K241" s="11">
        <v>1</v>
      </c>
      <c r="L241" s="9">
        <v>0</v>
      </c>
      <c r="M241" s="9"/>
      <c r="N241" s="9"/>
      <c r="O241" s="9"/>
      <c r="P241" s="9"/>
    </row>
    <row r="242" spans="1:16">
      <c r="A242" s="9"/>
      <c r="B242" s="9"/>
      <c r="C242" s="9" t="s">
        <v>35</v>
      </c>
      <c r="D242" s="9"/>
      <c r="E242" s="9"/>
      <c r="F242" s="9" t="str">
        <f ca="1">IF(D242="", "", VLOOKUP(D242, Sheet3!C:P, 14, FALSE) &amp; ", " &amp; DATEDIF(VLOOKUP(D242, Sheet3!C:N, 12, FALSE), TODAY(), "y") &amp; " Years Experience")</f>
        <v/>
      </c>
      <c r="G242" s="9"/>
      <c r="H242" s="11">
        <v>4</v>
      </c>
      <c r="I242" s="11"/>
      <c r="J242" s="11"/>
      <c r="K242" s="11">
        <v>1</v>
      </c>
      <c r="L242" s="9">
        <v>0</v>
      </c>
      <c r="M242" s="9"/>
      <c r="N242" s="9"/>
      <c r="O242" s="9"/>
      <c r="P242" s="9"/>
    </row>
    <row r="243" spans="1:16">
      <c r="A243" s="9"/>
      <c r="B243" s="9"/>
      <c r="C243" s="9" t="s">
        <v>36</v>
      </c>
      <c r="D243" s="9"/>
      <c r="E243" s="9"/>
      <c r="F243" s="9" t="str">
        <f ca="1">IF(D243="", "", VLOOKUP(D243, Sheet3!C:P, 14, FALSE) &amp; ", " &amp; DATEDIF(VLOOKUP(D243, Sheet3!C:N, 12, FALSE), TODAY(), "y") &amp; " Years Experience")</f>
        <v/>
      </c>
      <c r="G243" s="9"/>
      <c r="H243" s="11">
        <v>4</v>
      </c>
      <c r="I243" s="11"/>
      <c r="J243" s="11"/>
      <c r="K243" s="11">
        <v>1</v>
      </c>
      <c r="L243" s="9">
        <v>0</v>
      </c>
      <c r="M243" s="9"/>
      <c r="N243" s="9"/>
      <c r="O243" s="9"/>
      <c r="P243" s="9"/>
    </row>
    <row r="244" spans="1:16">
      <c r="A244" s="9"/>
      <c r="B244" s="9"/>
      <c r="C244" s="9" t="s">
        <v>37</v>
      </c>
      <c r="D244" s="9"/>
      <c r="E244" s="9"/>
      <c r="F244" s="9" t="str">
        <f ca="1">IF(D244="", "", VLOOKUP(D244, Sheet3!C:P, 14, FALSE) &amp; ", " &amp; DATEDIF(VLOOKUP(D244, Sheet3!C:N, 12, FALSE), TODAY(), "y") &amp; " Years Experience")</f>
        <v/>
      </c>
      <c r="G244" s="9"/>
      <c r="H244" s="11">
        <v>5</v>
      </c>
      <c r="I244" s="11"/>
      <c r="J244" s="11"/>
      <c r="K244" s="11">
        <v>2</v>
      </c>
      <c r="L244" s="9">
        <v>0</v>
      </c>
      <c r="M244" s="9"/>
      <c r="N244" s="9"/>
      <c r="O244" s="9"/>
      <c r="P244" s="9"/>
    </row>
    <row r="245" spans="1:16">
      <c r="A245" s="9"/>
      <c r="B245" s="9"/>
      <c r="C245" s="9" t="s">
        <v>38</v>
      </c>
      <c r="D245" s="9"/>
      <c r="E245" s="9"/>
      <c r="F245" s="9" t="str">
        <f ca="1">IF(D245="", "", VLOOKUP(D245, Sheet3!C:P, 14, FALSE) &amp; ", " &amp; DATEDIF(VLOOKUP(D245, Sheet3!C:N, 12, FALSE), TODAY(), "y") &amp; " Years Experience")</f>
        <v/>
      </c>
      <c r="G245" s="9"/>
      <c r="H245" s="15" t="s">
        <v>9</v>
      </c>
      <c r="I245" s="15"/>
      <c r="J245" s="15"/>
      <c r="K245" s="11">
        <v>2</v>
      </c>
      <c r="L245" s="9">
        <v>1</v>
      </c>
      <c r="M245" s="9"/>
      <c r="N245" s="9"/>
      <c r="O245" s="9"/>
      <c r="P245" s="9"/>
    </row>
    <row r="246" spans="1:16">
      <c r="A246" s="9"/>
      <c r="B246" s="9"/>
      <c r="C246" s="20" t="s">
        <v>88</v>
      </c>
      <c r="D246" s="20"/>
      <c r="E246" s="20"/>
      <c r="F246" s="9" t="str">
        <f ca="1">IF(D246="", "", VLOOKUP(D246, Sheet3!C:P, 14, FALSE) &amp; ", " &amp; DATEDIF(VLOOKUP(D246, Sheet3!C:N, 12, FALSE), TODAY(), "y") &amp; " Years Experience")</f>
        <v/>
      </c>
      <c r="G246" s="20"/>
      <c r="H246" s="11"/>
      <c r="I246" s="11"/>
      <c r="J246" s="11"/>
      <c r="K246" s="11"/>
      <c r="L246" s="9"/>
      <c r="M246" s="9"/>
      <c r="N246" s="9"/>
      <c r="O246" s="9"/>
      <c r="P246" s="9"/>
    </row>
    <row r="247" spans="1:16">
      <c r="A247" s="9"/>
      <c r="B247" s="9"/>
      <c r="C247" s="9" t="s">
        <v>89</v>
      </c>
      <c r="D247" s="9"/>
      <c r="E247" s="9"/>
      <c r="F247" s="9" t="str">
        <f ca="1">IF(D247="", "", VLOOKUP(D247, Sheet3!C:P, 14, FALSE) &amp; ", " &amp; DATEDIF(VLOOKUP(D247, Sheet3!C:N, 12, FALSE), TODAY(), "y") &amp; " Years Experience")</f>
        <v/>
      </c>
      <c r="G247" s="9"/>
      <c r="H247" s="11">
        <v>2</v>
      </c>
      <c r="I247" s="11"/>
      <c r="J247" s="11"/>
      <c r="K247" s="11">
        <v>1</v>
      </c>
      <c r="L247" s="9">
        <v>1</v>
      </c>
      <c r="M247" s="9"/>
      <c r="N247" s="9"/>
      <c r="O247" s="9"/>
      <c r="P247" s="9"/>
    </row>
    <row r="248" spans="1:16">
      <c r="A248" s="9"/>
      <c r="B248" s="9"/>
      <c r="C248" s="9" t="s">
        <v>28</v>
      </c>
      <c r="D248" s="9"/>
      <c r="E248" s="9"/>
      <c r="F248" s="9" t="str">
        <f ca="1">IF(D248="", "", VLOOKUP(D248, Sheet3!C:P, 14, FALSE) &amp; ", " &amp; DATEDIF(VLOOKUP(D248, Sheet3!C:N, 12, FALSE), TODAY(), "y") &amp; " Years Experience")</f>
        <v/>
      </c>
      <c r="G248" s="9"/>
      <c r="H248" s="11">
        <v>2</v>
      </c>
      <c r="I248" s="11"/>
      <c r="J248" s="11"/>
      <c r="K248" s="11">
        <v>1</v>
      </c>
      <c r="L248" s="9">
        <v>0</v>
      </c>
      <c r="M248" s="9"/>
      <c r="N248" s="9"/>
      <c r="O248" s="9"/>
      <c r="P248" s="9"/>
    </row>
    <row r="249" spans="1:16">
      <c r="A249" s="9"/>
      <c r="B249" s="9"/>
      <c r="C249" s="9" t="s">
        <v>90</v>
      </c>
      <c r="D249" s="9"/>
      <c r="E249" s="9"/>
      <c r="F249" s="9" t="str">
        <f ca="1">IF(D249="", "", VLOOKUP(D249, Sheet3!C:P, 14, FALSE) &amp; ", " &amp; DATEDIF(VLOOKUP(D249, Sheet3!C:N, 12, FALSE), TODAY(), "y") &amp; " Years Experience")</f>
        <v/>
      </c>
      <c r="G249" s="9"/>
      <c r="H249" s="15" t="s">
        <v>24</v>
      </c>
      <c r="I249" s="15"/>
      <c r="J249" s="15"/>
      <c r="K249" s="11">
        <v>1</v>
      </c>
      <c r="L249" s="9">
        <v>0</v>
      </c>
      <c r="M249" s="9"/>
      <c r="N249" s="9"/>
      <c r="O249" s="9"/>
      <c r="P249" s="9"/>
    </row>
    <row r="250" spans="1:16">
      <c r="A250" s="9"/>
      <c r="B250" s="9"/>
      <c r="C250" s="9" t="s">
        <v>11</v>
      </c>
      <c r="D250" s="9"/>
      <c r="E250" s="9"/>
      <c r="F250" s="9" t="str">
        <f ca="1">IF(D250="", "", VLOOKUP(D250, Sheet3!C:P, 14, FALSE) &amp; ", " &amp; DATEDIF(VLOOKUP(D250, Sheet3!C:N, 12, FALSE), TODAY(), "y") &amp; " Years Experience")</f>
        <v/>
      </c>
      <c r="G250" s="9"/>
      <c r="H250" s="15" t="s">
        <v>12</v>
      </c>
      <c r="I250" s="15"/>
      <c r="J250" s="15"/>
      <c r="K250" s="11">
        <v>1</v>
      </c>
      <c r="L250" s="9">
        <v>0</v>
      </c>
      <c r="M250" s="9"/>
      <c r="N250" s="9"/>
      <c r="O250" s="9"/>
      <c r="P250" s="9"/>
    </row>
    <row r="251" spans="1:16">
      <c r="A251" s="9"/>
      <c r="B251" s="9"/>
      <c r="C251" s="9" t="s">
        <v>14</v>
      </c>
      <c r="D251" s="9"/>
      <c r="E251" s="9"/>
      <c r="F251" s="9" t="str">
        <f ca="1">IF(D251="", "", VLOOKUP(D251, Sheet3!C:P, 14, FALSE) &amp; ", " &amp; DATEDIF(VLOOKUP(D251, Sheet3!C:N, 12, FALSE), TODAY(), "y") &amp; " Years Experience")</f>
        <v/>
      </c>
      <c r="G251" s="9"/>
      <c r="H251" s="15" t="s">
        <v>15</v>
      </c>
      <c r="I251" s="15"/>
      <c r="J251" s="15"/>
      <c r="K251" s="11">
        <v>1</v>
      </c>
      <c r="L251" s="9">
        <v>0</v>
      </c>
      <c r="M251" s="9"/>
      <c r="N251" s="9"/>
      <c r="O251" s="9"/>
      <c r="P251" s="9"/>
    </row>
    <row r="252" spans="1:16">
      <c r="A252" s="9"/>
      <c r="B252" s="9"/>
      <c r="C252" s="19" t="s">
        <v>91</v>
      </c>
      <c r="D252" s="19"/>
      <c r="E252" s="19"/>
      <c r="F252" s="9" t="str">
        <f ca="1">IF(D252="", "", VLOOKUP(D252, Sheet3!C:P, 14, FALSE) &amp; ", " &amp; DATEDIF(VLOOKUP(D252, Sheet3!C:N, 12, FALSE), TODAY(), "y") &amp; " Years Experience")</f>
        <v/>
      </c>
      <c r="G252" s="19"/>
      <c r="H252" s="11"/>
      <c r="I252" s="11"/>
      <c r="J252" s="11"/>
      <c r="K252" s="11"/>
      <c r="L252" s="9"/>
      <c r="M252" s="9"/>
      <c r="N252" s="9"/>
      <c r="O252" s="9"/>
      <c r="P252" s="9"/>
    </row>
    <row r="253" spans="1:16">
      <c r="A253" s="9"/>
      <c r="B253" s="9"/>
      <c r="C253" s="9" t="s">
        <v>92</v>
      </c>
      <c r="D253" s="9"/>
      <c r="E253" s="9"/>
      <c r="F253" s="9" t="str">
        <f ca="1">IF(D253="", "", VLOOKUP(D253, Sheet3!C:P, 14, FALSE) &amp; ", " &amp; DATEDIF(VLOOKUP(D253, Sheet3!C:N, 12, FALSE), TODAY(), "y") &amp; " Years Experience")</f>
        <v/>
      </c>
      <c r="G253" s="9"/>
      <c r="H253" s="11">
        <v>3</v>
      </c>
      <c r="I253" s="11"/>
      <c r="J253" s="11"/>
      <c r="K253" s="11">
        <v>1</v>
      </c>
      <c r="L253" s="9">
        <v>0</v>
      </c>
      <c r="M253" s="9"/>
      <c r="N253" s="9"/>
      <c r="O253" s="9"/>
      <c r="P253" s="9"/>
    </row>
    <row r="254" spans="1:16">
      <c r="A254" s="9"/>
      <c r="B254" s="9"/>
      <c r="C254" s="9" t="s">
        <v>47</v>
      </c>
      <c r="D254" s="9"/>
      <c r="E254" s="9"/>
      <c r="F254" s="9" t="str">
        <f ca="1">IF(D254="", "", VLOOKUP(D254, Sheet3!C:P, 14, FALSE) &amp; ", " &amp; DATEDIF(VLOOKUP(D254, Sheet3!C:N, 12, FALSE), TODAY(), "y") &amp; " Years Experience")</f>
        <v/>
      </c>
      <c r="G254" s="9"/>
      <c r="H254" s="11">
        <v>3</v>
      </c>
      <c r="I254" s="11"/>
      <c r="J254" s="11"/>
      <c r="K254" s="11">
        <v>1</v>
      </c>
      <c r="L254" s="9">
        <v>0</v>
      </c>
      <c r="M254" s="9"/>
      <c r="N254" s="9"/>
      <c r="O254" s="9"/>
      <c r="P254" s="9"/>
    </row>
    <row r="255" spans="1:16">
      <c r="A255" s="9"/>
      <c r="B255" s="9"/>
      <c r="C255" s="19" t="s">
        <v>93</v>
      </c>
      <c r="D255" s="19"/>
      <c r="E255" s="19"/>
      <c r="F255" s="9" t="str">
        <f ca="1">IF(D255="", "", VLOOKUP(D255, Sheet3!C:P, 14, FALSE) &amp; ", " &amp; DATEDIF(VLOOKUP(D255, Sheet3!C:N, 12, FALSE), TODAY(), "y") &amp; " Years Experience")</f>
        <v/>
      </c>
      <c r="G255" s="19"/>
      <c r="H255" s="11"/>
      <c r="I255" s="11"/>
      <c r="J255" s="11"/>
      <c r="K255" s="11"/>
      <c r="L255" s="9"/>
      <c r="M255" s="9"/>
      <c r="N255" s="9"/>
      <c r="O255" s="9"/>
      <c r="P255" s="9"/>
    </row>
    <row r="256" spans="1:16">
      <c r="A256" s="9"/>
      <c r="B256" s="9"/>
      <c r="C256" s="9" t="s">
        <v>35</v>
      </c>
      <c r="D256" s="9"/>
      <c r="E256" s="9"/>
      <c r="F256" s="9" t="str">
        <f ca="1">IF(D256="", "", VLOOKUP(D256, Sheet3!C:P, 14, FALSE) &amp; ", " &amp; DATEDIF(VLOOKUP(D256, Sheet3!C:N, 12, FALSE), TODAY(), "y") &amp; " Years Experience")</f>
        <v/>
      </c>
      <c r="G256" s="9"/>
      <c r="H256" s="11">
        <v>4</v>
      </c>
      <c r="I256" s="11"/>
      <c r="J256" s="11"/>
      <c r="K256" s="11">
        <v>1</v>
      </c>
      <c r="L256" s="9">
        <v>0</v>
      </c>
      <c r="M256" s="9"/>
      <c r="N256" s="9"/>
      <c r="O256" s="9"/>
      <c r="P256" s="9"/>
    </row>
    <row r="257" spans="1:16">
      <c r="A257" s="9"/>
      <c r="B257" s="9"/>
      <c r="C257" s="9" t="s">
        <v>36</v>
      </c>
      <c r="D257" s="9"/>
      <c r="E257" s="9"/>
      <c r="F257" s="9" t="str">
        <f ca="1">IF(D257="", "", VLOOKUP(D257, Sheet3!C:P, 14, FALSE) &amp; ", " &amp; DATEDIF(VLOOKUP(D257, Sheet3!C:N, 12, FALSE), TODAY(), "y") &amp; " Years Experience")</f>
        <v/>
      </c>
      <c r="G257" s="9"/>
      <c r="H257" s="11">
        <v>4</v>
      </c>
      <c r="I257" s="11"/>
      <c r="J257" s="11"/>
      <c r="K257" s="11">
        <v>1</v>
      </c>
      <c r="L257" s="9">
        <v>0</v>
      </c>
      <c r="M257" s="9"/>
      <c r="N257" s="9"/>
      <c r="O257" s="9"/>
      <c r="P257" s="9"/>
    </row>
    <row r="258" spans="1:16">
      <c r="A258" s="9"/>
      <c r="B258" s="9"/>
      <c r="C258" s="9" t="s">
        <v>37</v>
      </c>
      <c r="D258" s="9"/>
      <c r="E258" s="9"/>
      <c r="F258" s="9" t="str">
        <f ca="1">IF(D258="", "", VLOOKUP(D258, Sheet3!C:P, 14, FALSE) &amp; ", " &amp; DATEDIF(VLOOKUP(D258, Sheet3!C:N, 12, FALSE), TODAY(), "y") &amp; " Years Experience")</f>
        <v/>
      </c>
      <c r="G258" s="9"/>
      <c r="H258" s="11">
        <v>5</v>
      </c>
      <c r="I258" s="11"/>
      <c r="J258" s="11"/>
      <c r="K258" s="11">
        <v>0</v>
      </c>
      <c r="L258" s="9">
        <v>0</v>
      </c>
      <c r="M258" s="9"/>
      <c r="N258" s="9"/>
      <c r="O258" s="9"/>
      <c r="P258" s="9"/>
    </row>
    <row r="259" spans="1:16">
      <c r="A259" s="9"/>
      <c r="B259" s="9"/>
      <c r="C259" s="9" t="s">
        <v>38</v>
      </c>
      <c r="D259" s="9"/>
      <c r="E259" s="9"/>
      <c r="F259" s="9" t="str">
        <f ca="1">IF(D259="", "", VLOOKUP(D259, Sheet3!C:P, 14, FALSE) &amp; ", " &amp; DATEDIF(VLOOKUP(D259, Sheet3!C:N, 12, FALSE), TODAY(), "y") &amp; " Years Experience")</f>
        <v/>
      </c>
      <c r="G259" s="9"/>
      <c r="H259" s="15" t="s">
        <v>9</v>
      </c>
      <c r="I259" s="15"/>
      <c r="J259" s="15"/>
      <c r="K259" s="11">
        <v>1</v>
      </c>
      <c r="L259" s="9">
        <v>0</v>
      </c>
      <c r="M259" s="9"/>
      <c r="N259" s="9"/>
      <c r="O259" s="9"/>
      <c r="P259" s="9"/>
    </row>
    <row r="260" spans="1:16">
      <c r="A260" s="9"/>
      <c r="B260" s="9"/>
      <c r="C260" s="19" t="s">
        <v>94</v>
      </c>
      <c r="D260" s="19"/>
      <c r="E260" s="19"/>
      <c r="F260" s="9" t="str">
        <f ca="1">IF(D260="", "", VLOOKUP(D260, Sheet3!C:P, 14, FALSE) &amp; ", " &amp; DATEDIF(VLOOKUP(D260, Sheet3!C:N, 12, FALSE), TODAY(), "y") &amp; " Years Experience")</f>
        <v/>
      </c>
      <c r="G260" s="19"/>
      <c r="H260" s="11"/>
      <c r="I260" s="11"/>
      <c r="J260" s="11"/>
      <c r="K260" s="11"/>
      <c r="L260" s="9"/>
      <c r="M260" s="9"/>
      <c r="N260" s="9"/>
      <c r="O260" s="9"/>
      <c r="P260" s="9"/>
    </row>
    <row r="261" spans="1:16">
      <c r="A261" s="9"/>
      <c r="B261" s="9"/>
      <c r="C261" s="9" t="s">
        <v>35</v>
      </c>
      <c r="D261" s="9"/>
      <c r="E261" s="9"/>
      <c r="F261" s="9" t="str">
        <f ca="1">IF(D261="", "", VLOOKUP(D261, Sheet3!C:P, 14, FALSE) &amp; ", " &amp; DATEDIF(VLOOKUP(D261, Sheet3!C:N, 12, FALSE), TODAY(), "y") &amp; " Years Experience")</f>
        <v/>
      </c>
      <c r="G261" s="9"/>
      <c r="H261" s="11">
        <v>4</v>
      </c>
      <c r="I261" s="11"/>
      <c r="J261" s="11"/>
      <c r="K261" s="11">
        <v>1</v>
      </c>
      <c r="L261" s="9">
        <v>0</v>
      </c>
      <c r="M261" s="9"/>
      <c r="N261" s="9"/>
      <c r="O261" s="9"/>
      <c r="P261" s="9"/>
    </row>
    <row r="262" spans="1:16">
      <c r="A262" s="9"/>
      <c r="B262" s="9"/>
      <c r="C262" s="9" t="s">
        <v>36</v>
      </c>
      <c r="D262" s="9"/>
      <c r="E262" s="9"/>
      <c r="F262" s="9" t="str">
        <f ca="1">IF(D262="", "", VLOOKUP(D262, Sheet3!C:P, 14, FALSE) &amp; ", " &amp; DATEDIF(VLOOKUP(D262, Sheet3!C:N, 12, FALSE), TODAY(), "y") &amp; " Years Experience")</f>
        <v/>
      </c>
      <c r="G262" s="9"/>
      <c r="H262" s="11">
        <v>4</v>
      </c>
      <c r="I262" s="11"/>
      <c r="J262" s="11"/>
      <c r="K262" s="11">
        <v>1</v>
      </c>
      <c r="L262" s="9">
        <v>0</v>
      </c>
      <c r="M262" s="9"/>
      <c r="N262" s="9"/>
      <c r="O262" s="9"/>
      <c r="P262" s="9"/>
    </row>
    <row r="263" spans="1:16">
      <c r="A263" s="9"/>
      <c r="B263" s="9"/>
      <c r="C263" s="9" t="s">
        <v>37</v>
      </c>
      <c r="D263" s="9"/>
      <c r="E263" s="9"/>
      <c r="F263" s="9" t="str">
        <f ca="1">IF(D263="", "", VLOOKUP(D263, Sheet3!C:P, 14, FALSE) &amp; ", " &amp; DATEDIF(VLOOKUP(D263, Sheet3!C:N, 12, FALSE), TODAY(), "y") &amp; " Years Experience")</f>
        <v/>
      </c>
      <c r="G263" s="9"/>
      <c r="H263" s="11">
        <v>5</v>
      </c>
      <c r="I263" s="11"/>
      <c r="J263" s="11"/>
      <c r="K263" s="11">
        <v>0</v>
      </c>
      <c r="L263" s="9">
        <v>0</v>
      </c>
      <c r="M263" s="9"/>
      <c r="N263" s="9"/>
      <c r="O263" s="9"/>
      <c r="P263" s="9"/>
    </row>
    <row r="264" spans="1:16">
      <c r="A264" s="9"/>
      <c r="B264" s="9"/>
      <c r="C264" s="9" t="s">
        <v>38</v>
      </c>
      <c r="D264" s="9"/>
      <c r="E264" s="9"/>
      <c r="F264" s="9" t="str">
        <f ca="1">IF(D264="", "", VLOOKUP(D264, Sheet3!C:P, 14, FALSE) &amp; ", " &amp; DATEDIF(VLOOKUP(D264, Sheet3!C:N, 12, FALSE), TODAY(), "y") &amp; " Years Experience")</f>
        <v/>
      </c>
      <c r="G264" s="9"/>
      <c r="H264" s="15" t="s">
        <v>9</v>
      </c>
      <c r="I264" s="15"/>
      <c r="J264" s="15"/>
      <c r="K264" s="11">
        <v>1</v>
      </c>
      <c r="L264" s="9">
        <v>0</v>
      </c>
      <c r="M264" s="9"/>
      <c r="N264" s="9"/>
      <c r="O264" s="9"/>
      <c r="P264" s="9"/>
    </row>
    <row r="265" spans="1:16">
      <c r="A265" s="9"/>
      <c r="B265" s="9"/>
      <c r="C265" s="9" t="s">
        <v>95</v>
      </c>
      <c r="D265" s="9"/>
      <c r="E265" s="9"/>
      <c r="F265" s="9" t="str">
        <f ca="1">IF(D265="", "", VLOOKUP(D265, Sheet3!C:P, 14, FALSE) &amp; ", " &amp; DATEDIF(VLOOKUP(D265, Sheet3!C:N, 12, FALSE), TODAY(), "y") &amp; " Years Experience")</f>
        <v/>
      </c>
      <c r="G265" s="9"/>
      <c r="H265" s="11">
        <v>5</v>
      </c>
      <c r="I265" s="11"/>
      <c r="J265" s="11"/>
      <c r="K265" s="11">
        <v>1</v>
      </c>
      <c r="L265" s="9">
        <v>0</v>
      </c>
      <c r="M265" s="9"/>
      <c r="N265" s="9"/>
      <c r="O265" s="9"/>
      <c r="P265" s="9"/>
    </row>
    <row r="266" spans="1:16">
      <c r="A266" s="9"/>
      <c r="B266" s="9"/>
      <c r="C266" s="9" t="s">
        <v>96</v>
      </c>
      <c r="D266" s="9"/>
      <c r="E266" s="9"/>
      <c r="F266" s="9" t="str">
        <f ca="1">IF(D266="", "", VLOOKUP(D266, Sheet3!C:P, 14, FALSE) &amp; ", " &amp; DATEDIF(VLOOKUP(D266, Sheet3!C:N, 12, FALSE), TODAY(), "y") &amp; " Years Experience")</f>
        <v/>
      </c>
      <c r="G266" s="9"/>
      <c r="H266" s="15" t="s">
        <v>9</v>
      </c>
      <c r="I266" s="15"/>
      <c r="J266" s="15"/>
      <c r="K266" s="11">
        <v>1</v>
      </c>
      <c r="L266" s="9">
        <v>0</v>
      </c>
      <c r="M266" s="9"/>
      <c r="N266" s="9"/>
      <c r="O266" s="9"/>
      <c r="P266" s="9"/>
    </row>
    <row r="267" spans="1:16">
      <c r="A267" s="9"/>
      <c r="B267" s="9"/>
      <c r="C267" s="19" t="s">
        <v>97</v>
      </c>
      <c r="D267" s="19"/>
      <c r="E267" s="19"/>
      <c r="F267" s="9" t="str">
        <f ca="1">IF(D267="", "", VLOOKUP(D267, Sheet3!C:P, 14, FALSE) &amp; ", " &amp; DATEDIF(VLOOKUP(D267, Sheet3!C:N, 12, FALSE), TODAY(), "y") &amp; " Years Experience")</f>
        <v/>
      </c>
      <c r="G267" s="19"/>
      <c r="H267" s="11"/>
      <c r="I267" s="11"/>
      <c r="J267" s="11"/>
      <c r="K267" s="11"/>
      <c r="L267" s="9"/>
      <c r="M267" s="9"/>
      <c r="N267" s="9"/>
      <c r="O267" s="9"/>
      <c r="P267" s="9"/>
    </row>
    <row r="268" spans="1:16">
      <c r="A268" s="9"/>
      <c r="B268" s="9"/>
      <c r="C268" s="9" t="s">
        <v>35</v>
      </c>
      <c r="D268" s="9"/>
      <c r="E268" s="9"/>
      <c r="F268" s="9" t="str">
        <f ca="1">IF(D268="", "", VLOOKUP(D268, Sheet3!C:P, 14, FALSE) &amp; ", " &amp; DATEDIF(VLOOKUP(D268, Sheet3!C:N, 12, FALSE), TODAY(), "y") &amp; " Years Experience")</f>
        <v/>
      </c>
      <c r="G268" s="9"/>
      <c r="H268" s="11">
        <v>4</v>
      </c>
      <c r="I268" s="11"/>
      <c r="J268" s="11"/>
      <c r="K268" s="11">
        <v>1</v>
      </c>
      <c r="L268" s="9">
        <v>0</v>
      </c>
      <c r="M268" s="9"/>
      <c r="N268" s="9"/>
      <c r="O268" s="9"/>
      <c r="P268" s="9"/>
    </row>
    <row r="269" spans="1:16">
      <c r="A269" s="9"/>
      <c r="B269" s="9"/>
      <c r="C269" s="9" t="s">
        <v>36</v>
      </c>
      <c r="D269" s="9"/>
      <c r="E269" s="9"/>
      <c r="F269" s="9" t="str">
        <f ca="1">IF(D269="", "", VLOOKUP(D269, Sheet3!C:P, 14, FALSE) &amp; ", " &amp; DATEDIF(VLOOKUP(D269, Sheet3!C:N, 12, FALSE), TODAY(), "y") &amp; " Years Experience")</f>
        <v/>
      </c>
      <c r="G269" s="9"/>
      <c r="H269" s="11">
        <v>4</v>
      </c>
      <c r="I269" s="11"/>
      <c r="J269" s="11"/>
      <c r="K269" s="11">
        <v>0</v>
      </c>
      <c r="L269" s="9">
        <v>0</v>
      </c>
      <c r="M269" s="9"/>
      <c r="N269" s="9"/>
      <c r="O269" s="9"/>
      <c r="P269" s="9"/>
    </row>
    <row r="270" spans="1:16">
      <c r="A270" s="9"/>
      <c r="B270" s="9"/>
      <c r="C270" s="9" t="s">
        <v>37</v>
      </c>
      <c r="D270" s="9"/>
      <c r="E270" s="9"/>
      <c r="F270" s="9" t="str">
        <f ca="1">IF(D270="", "", VLOOKUP(D270, Sheet3!C:P, 14, FALSE) &amp; ", " &amp; DATEDIF(VLOOKUP(D270, Sheet3!C:N, 12, FALSE), TODAY(), "y") &amp; " Years Experience")</f>
        <v/>
      </c>
      <c r="G270" s="9"/>
      <c r="H270" s="11">
        <v>5</v>
      </c>
      <c r="I270" s="11"/>
      <c r="J270" s="11"/>
      <c r="K270" s="11">
        <v>1</v>
      </c>
      <c r="L270" s="9">
        <v>0</v>
      </c>
      <c r="M270" s="9"/>
      <c r="N270" s="9"/>
      <c r="O270" s="9"/>
      <c r="P270" s="9"/>
    </row>
    <row r="271" spans="1:16">
      <c r="A271" s="9"/>
      <c r="B271" s="9"/>
      <c r="C271" s="9" t="s">
        <v>38</v>
      </c>
      <c r="D271" s="9"/>
      <c r="E271" s="9"/>
      <c r="F271" s="9" t="str">
        <f ca="1">IF(D271="", "", VLOOKUP(D271, Sheet3!C:P, 14, FALSE) &amp; ", " &amp; DATEDIF(VLOOKUP(D271, Sheet3!C:N, 12, FALSE), TODAY(), "y") &amp; " Years Experience")</f>
        <v/>
      </c>
      <c r="G271" s="9"/>
      <c r="H271" s="15" t="s">
        <v>9</v>
      </c>
      <c r="I271" s="15"/>
      <c r="J271" s="15"/>
      <c r="K271" s="11">
        <v>1</v>
      </c>
      <c r="L271" s="9">
        <v>0</v>
      </c>
      <c r="M271" s="9"/>
      <c r="N271" s="9"/>
      <c r="O271" s="9"/>
      <c r="P271" s="9"/>
    </row>
    <row r="272" spans="1:16">
      <c r="A272" s="9"/>
      <c r="B272" s="9"/>
      <c r="C272" s="19" t="s">
        <v>98</v>
      </c>
      <c r="D272" s="19"/>
      <c r="E272" s="19"/>
      <c r="F272" s="9" t="str">
        <f ca="1">IF(D272="", "", VLOOKUP(D272, Sheet3!C:P, 14, FALSE) &amp; ", " &amp; DATEDIF(VLOOKUP(D272, Sheet3!C:N, 12, FALSE), TODAY(), "y") &amp; " Years Experience")</f>
        <v/>
      </c>
      <c r="G272" s="19"/>
      <c r="H272" s="11"/>
      <c r="I272" s="11"/>
      <c r="J272" s="11"/>
      <c r="K272" s="11"/>
      <c r="L272" s="9"/>
      <c r="M272" s="9"/>
      <c r="N272" s="9"/>
      <c r="O272" s="9"/>
      <c r="P272" s="9"/>
    </row>
    <row r="273" spans="1:16">
      <c r="A273" s="9"/>
      <c r="B273" s="9"/>
      <c r="C273" s="9" t="s">
        <v>99</v>
      </c>
      <c r="D273" s="9"/>
      <c r="E273" s="9"/>
      <c r="F273" s="9" t="str">
        <f ca="1">IF(D273="", "", VLOOKUP(D273, Sheet3!C:P, 14, FALSE) &amp; ", " &amp; DATEDIF(VLOOKUP(D273, Sheet3!C:N, 12, FALSE), TODAY(), "y") &amp; " Years Experience")</f>
        <v/>
      </c>
      <c r="G273" s="9"/>
      <c r="H273" s="11">
        <v>3</v>
      </c>
      <c r="I273" s="11"/>
      <c r="J273" s="11"/>
      <c r="K273" s="11">
        <v>1</v>
      </c>
      <c r="L273" s="9">
        <v>0</v>
      </c>
      <c r="M273" s="9"/>
      <c r="N273" s="9"/>
      <c r="O273" s="9"/>
      <c r="P273" s="9"/>
    </row>
    <row r="274" spans="1:16">
      <c r="A274" s="9"/>
      <c r="B274" s="9"/>
      <c r="C274" s="19" t="s">
        <v>100</v>
      </c>
      <c r="D274" s="19"/>
      <c r="E274" s="19"/>
      <c r="F274" s="9" t="str">
        <f ca="1">IF(D274="", "", VLOOKUP(D274, Sheet3!C:P, 14, FALSE) &amp; ", " &amp; DATEDIF(VLOOKUP(D274, Sheet3!C:N, 12, FALSE), TODAY(), "y") &amp; " Years Experience")</f>
        <v/>
      </c>
      <c r="G274" s="19"/>
      <c r="H274" s="11"/>
      <c r="I274" s="11"/>
      <c r="J274" s="11"/>
      <c r="K274" s="11"/>
      <c r="L274" s="9"/>
      <c r="M274" s="9"/>
      <c r="N274" s="9"/>
      <c r="O274" s="9"/>
      <c r="P274" s="9"/>
    </row>
    <row r="275" spans="1:16">
      <c r="A275" s="9"/>
      <c r="B275" s="9"/>
      <c r="C275" s="9" t="s">
        <v>35</v>
      </c>
      <c r="D275" s="9"/>
      <c r="E275" s="9"/>
      <c r="F275" s="9" t="str">
        <f ca="1">IF(D275="", "", VLOOKUP(D275, Sheet3!C:P, 14, FALSE) &amp; ", " &amp; DATEDIF(VLOOKUP(D275, Sheet3!C:N, 12, FALSE), TODAY(), "y") &amp; " Years Experience")</f>
        <v/>
      </c>
      <c r="G275" s="9"/>
      <c r="H275" s="11">
        <v>4</v>
      </c>
      <c r="I275" s="11"/>
      <c r="J275" s="11"/>
      <c r="K275" s="11">
        <v>1</v>
      </c>
      <c r="L275" s="9">
        <v>0</v>
      </c>
      <c r="M275" s="9"/>
      <c r="N275" s="9"/>
      <c r="O275" s="9"/>
      <c r="P275" s="9"/>
    </row>
    <row r="276" spans="1:16">
      <c r="A276" s="9"/>
      <c r="B276" s="9"/>
      <c r="C276" s="9" t="s">
        <v>37</v>
      </c>
      <c r="D276" s="9"/>
      <c r="E276" s="9"/>
      <c r="F276" s="9" t="str">
        <f ca="1">IF(D276="", "", VLOOKUP(D276, Sheet3!C:P, 14, FALSE) &amp; ", " &amp; DATEDIF(VLOOKUP(D276, Sheet3!C:N, 12, FALSE), TODAY(), "y") &amp; " Years Experience")</f>
        <v/>
      </c>
      <c r="G276" s="9"/>
      <c r="H276" s="11">
        <v>5</v>
      </c>
      <c r="I276" s="11"/>
      <c r="J276" s="11"/>
      <c r="K276" s="11">
        <v>1</v>
      </c>
      <c r="L276" s="9">
        <v>0</v>
      </c>
      <c r="M276" s="9"/>
      <c r="N276" s="9"/>
      <c r="O276" s="9"/>
      <c r="P276" s="9"/>
    </row>
    <row r="277" spans="1:16">
      <c r="A277" s="9"/>
      <c r="B277" s="9"/>
      <c r="C277" s="9" t="s">
        <v>38</v>
      </c>
      <c r="D277" s="9"/>
      <c r="E277" s="9"/>
      <c r="F277" s="9" t="str">
        <f ca="1">IF(D277="", "", VLOOKUP(D277, Sheet3!C:P, 14, FALSE) &amp; ", " &amp; DATEDIF(VLOOKUP(D277, Sheet3!C:N, 12, FALSE), TODAY(), "y") &amp; " Years Experience")</f>
        <v/>
      </c>
      <c r="G277" s="9"/>
      <c r="H277" s="15" t="s">
        <v>9</v>
      </c>
      <c r="I277" s="15"/>
      <c r="J277" s="15"/>
      <c r="K277" s="11">
        <v>1</v>
      </c>
      <c r="L277" s="9">
        <v>0</v>
      </c>
      <c r="M277" s="9"/>
      <c r="N277" s="9"/>
      <c r="O277" s="9"/>
      <c r="P277" s="9"/>
    </row>
    <row r="278" spans="1:16">
      <c r="A278" s="9"/>
      <c r="B278" s="9"/>
      <c r="C278" s="19" t="s">
        <v>101</v>
      </c>
      <c r="D278" s="19"/>
      <c r="E278" s="19"/>
      <c r="F278" s="9" t="str">
        <f ca="1">IF(D278="", "", VLOOKUP(D278, Sheet3!C:P, 14, FALSE) &amp; ", " &amp; DATEDIF(VLOOKUP(D278, Sheet3!C:N, 12, FALSE), TODAY(), "y") &amp; " Years Experience")</f>
        <v/>
      </c>
      <c r="G278" s="19"/>
      <c r="H278" s="11"/>
      <c r="I278" s="11"/>
      <c r="J278" s="11"/>
      <c r="K278" s="11"/>
      <c r="L278" s="9"/>
      <c r="M278" s="9"/>
      <c r="N278" s="9"/>
      <c r="O278" s="9"/>
      <c r="P278" s="9"/>
    </row>
    <row r="279" spans="1:16">
      <c r="A279" s="9"/>
      <c r="B279" s="9"/>
      <c r="C279" s="9" t="s">
        <v>102</v>
      </c>
      <c r="D279" s="9"/>
      <c r="E279" s="9"/>
      <c r="F279" s="9" t="str">
        <f ca="1">IF(D279="", "", VLOOKUP(D279, Sheet3!C:P, 14, FALSE) &amp; ", " &amp; DATEDIF(VLOOKUP(D279, Sheet3!C:N, 12, FALSE), TODAY(), "y") &amp; " Years Experience")</f>
        <v/>
      </c>
      <c r="G279" s="9"/>
      <c r="H279" s="11">
        <v>4</v>
      </c>
      <c r="I279" s="11"/>
      <c r="J279" s="11"/>
      <c r="K279" s="11">
        <v>1</v>
      </c>
      <c r="L279" s="9">
        <v>0</v>
      </c>
      <c r="M279" s="9"/>
      <c r="N279" s="9"/>
      <c r="O279" s="9"/>
      <c r="P279" s="9"/>
    </row>
    <row r="280" spans="1:16">
      <c r="A280" s="9"/>
      <c r="B280" s="9"/>
      <c r="C280" s="9" t="s">
        <v>103</v>
      </c>
      <c r="D280" s="9"/>
      <c r="E280" s="9"/>
      <c r="F280" s="9" t="str">
        <f ca="1">IF(D280="", "", VLOOKUP(D280, Sheet3!C:P, 14, FALSE) &amp; ", " &amp; DATEDIF(VLOOKUP(D280, Sheet3!C:N, 12, FALSE), TODAY(), "y") &amp; " Years Experience")</f>
        <v/>
      </c>
      <c r="G280" s="9"/>
      <c r="H280" s="11">
        <v>5</v>
      </c>
      <c r="I280" s="11"/>
      <c r="J280" s="11"/>
      <c r="K280" s="11">
        <v>1</v>
      </c>
      <c r="L280" s="9">
        <v>0</v>
      </c>
      <c r="M280" s="9"/>
      <c r="N280" s="9"/>
      <c r="O280" s="9"/>
      <c r="P280" s="9"/>
    </row>
    <row r="281" spans="1:16">
      <c r="A281" s="9"/>
      <c r="B281" s="9"/>
      <c r="C281" s="9" t="s">
        <v>104</v>
      </c>
      <c r="D281" s="9"/>
      <c r="E281" s="9"/>
      <c r="F281" s="9" t="str">
        <f ca="1">IF(D281="", "", VLOOKUP(D281, Sheet3!C:P, 14, FALSE) &amp; ", " &amp; DATEDIF(VLOOKUP(D281, Sheet3!C:N, 12, FALSE), TODAY(), "y") &amp; " Years Experience")</f>
        <v/>
      </c>
      <c r="G281" s="9"/>
      <c r="H281" s="15" t="s">
        <v>9</v>
      </c>
      <c r="I281" s="15"/>
      <c r="J281" s="15"/>
      <c r="K281" s="11">
        <v>1</v>
      </c>
      <c r="L281" s="9">
        <v>2</v>
      </c>
      <c r="M281" s="9"/>
      <c r="N281" s="9"/>
      <c r="O281" s="9"/>
      <c r="P281" s="9"/>
    </row>
    <row r="282" spans="1:16">
      <c r="A282" s="9"/>
      <c r="B282" s="9"/>
      <c r="C282" s="9" t="s">
        <v>103</v>
      </c>
      <c r="D282" s="9"/>
      <c r="E282" s="9"/>
      <c r="F282" s="9" t="str">
        <f ca="1">IF(D282="", "", VLOOKUP(D282, Sheet3!C:P, 14, FALSE) &amp; ", " &amp; DATEDIF(VLOOKUP(D282, Sheet3!C:N, 12, FALSE), TODAY(), "y") &amp; " Years Experience")</f>
        <v/>
      </c>
      <c r="G282" s="9"/>
      <c r="H282" s="11">
        <v>7</v>
      </c>
      <c r="I282" s="11"/>
      <c r="J282" s="11"/>
      <c r="K282" s="11">
        <v>0</v>
      </c>
      <c r="L282" s="9">
        <v>0</v>
      </c>
      <c r="M282" s="9"/>
      <c r="N282" s="9"/>
      <c r="O282" s="9"/>
      <c r="P282" s="9"/>
    </row>
    <row r="283" spans="1:16">
      <c r="A283" s="9"/>
      <c r="B283" s="9"/>
      <c r="C283" s="9" t="s">
        <v>105</v>
      </c>
      <c r="D283" s="9"/>
      <c r="E283" s="9"/>
      <c r="F283" s="9" t="str">
        <f ca="1">IF(D283="", "", VLOOKUP(D283, Sheet3!C:P, 14, FALSE) &amp; ", " &amp; DATEDIF(VLOOKUP(D283, Sheet3!C:N, 12, FALSE), TODAY(), "y") &amp; " Years Experience")</f>
        <v/>
      </c>
      <c r="G283" s="9"/>
      <c r="H283" s="15" t="s">
        <v>24</v>
      </c>
      <c r="I283" s="15"/>
      <c r="J283" s="15"/>
      <c r="K283" s="11">
        <v>3</v>
      </c>
      <c r="L283" s="9">
        <v>2</v>
      </c>
      <c r="M283" s="9"/>
      <c r="N283" s="9"/>
      <c r="O283" s="9"/>
      <c r="P283" s="9"/>
    </row>
    <row r="284" spans="1:16">
      <c r="A284" s="9"/>
      <c r="B284" s="9"/>
      <c r="C284" s="19" t="s">
        <v>106</v>
      </c>
      <c r="D284" s="19"/>
      <c r="E284" s="19"/>
      <c r="F284" s="9" t="str">
        <f ca="1">IF(D284="", "", VLOOKUP(D284, Sheet3!C:P, 14, FALSE) &amp; ", " &amp; DATEDIF(VLOOKUP(D284, Sheet3!C:N, 12, FALSE), TODAY(), "y") &amp; " Years Experience")</f>
        <v/>
      </c>
      <c r="G284" s="19"/>
      <c r="H284" s="11"/>
      <c r="I284" s="11"/>
      <c r="J284" s="11"/>
      <c r="K284" s="11"/>
      <c r="L284" s="9"/>
      <c r="M284" s="9"/>
      <c r="N284" s="9"/>
      <c r="O284" s="9"/>
      <c r="P284" s="9"/>
    </row>
    <row r="285" spans="1:16">
      <c r="A285" s="9"/>
      <c r="B285" s="9"/>
      <c r="C285" s="9" t="s">
        <v>107</v>
      </c>
      <c r="D285" s="9"/>
      <c r="E285" s="9"/>
      <c r="F285" s="9" t="str">
        <f ca="1">IF(D285="", "", VLOOKUP(D285, Sheet3!C:P, 14, FALSE) &amp; ", " &amp; DATEDIF(VLOOKUP(D285, Sheet3!C:N, 12, FALSE), TODAY(), "y") &amp; " Years Experience")</f>
        <v/>
      </c>
      <c r="G285" s="9"/>
      <c r="H285" s="11">
        <v>3</v>
      </c>
      <c r="I285" s="11"/>
      <c r="J285" s="11"/>
      <c r="K285" s="11">
        <v>1</v>
      </c>
      <c r="L285" s="9">
        <v>0</v>
      </c>
      <c r="M285" s="9"/>
      <c r="N285" s="9"/>
      <c r="O285" s="9"/>
      <c r="P285" s="9"/>
    </row>
    <row r="286" spans="1:16">
      <c r="A286" s="9"/>
      <c r="B286" s="9"/>
      <c r="C286" s="9" t="s">
        <v>108</v>
      </c>
      <c r="D286" s="9"/>
      <c r="E286" s="9"/>
      <c r="F286" s="9" t="str">
        <f ca="1">IF(D286="", "", VLOOKUP(D286, Sheet3!C:P, 14, FALSE) &amp; ", " &amp; DATEDIF(VLOOKUP(D286, Sheet3!C:N, 12, FALSE), TODAY(), "y") &amp; " Years Experience")</f>
        <v/>
      </c>
      <c r="G286" s="9"/>
      <c r="H286" s="11">
        <v>4</v>
      </c>
      <c r="I286" s="11"/>
      <c r="J286" s="11"/>
      <c r="K286" s="11">
        <v>1</v>
      </c>
      <c r="L286" s="9">
        <v>0</v>
      </c>
      <c r="M286" s="9"/>
      <c r="N286" s="9"/>
      <c r="O286" s="9"/>
      <c r="P286" s="9"/>
    </row>
    <row r="287" spans="1:16">
      <c r="A287" s="9"/>
      <c r="B287" s="9"/>
      <c r="C287" s="9" t="s">
        <v>37</v>
      </c>
      <c r="D287" s="9"/>
      <c r="E287" s="9"/>
      <c r="F287" s="9" t="str">
        <f ca="1">IF(D287="", "", VLOOKUP(D287, Sheet3!C:P, 14, FALSE) &amp; ", " &amp; DATEDIF(VLOOKUP(D287, Sheet3!C:N, 12, FALSE), TODAY(), "y") &amp; " Years Experience")</f>
        <v/>
      </c>
      <c r="G287" s="9"/>
      <c r="H287" s="11">
        <v>5</v>
      </c>
      <c r="I287" s="11"/>
      <c r="J287" s="11"/>
      <c r="K287" s="11">
        <v>0</v>
      </c>
      <c r="L287" s="9">
        <v>0</v>
      </c>
      <c r="M287" s="9"/>
      <c r="N287" s="9"/>
      <c r="O287" s="9"/>
      <c r="P287" s="9"/>
    </row>
    <row r="288" spans="1:16">
      <c r="A288" s="9"/>
      <c r="B288" s="9"/>
      <c r="C288" s="9" t="s">
        <v>38</v>
      </c>
      <c r="D288" s="9"/>
      <c r="E288" s="9"/>
      <c r="F288" s="9" t="str">
        <f ca="1">IF(D288="", "", VLOOKUP(D288, Sheet3!C:P, 14, FALSE) &amp; ", " &amp; DATEDIF(VLOOKUP(D288, Sheet3!C:N, 12, FALSE), TODAY(), "y") &amp; " Years Experience")</f>
        <v/>
      </c>
      <c r="G288" s="9"/>
      <c r="H288" s="15" t="s">
        <v>9</v>
      </c>
      <c r="I288" s="15"/>
      <c r="J288" s="15"/>
      <c r="K288" s="11">
        <v>1</v>
      </c>
      <c r="L288" s="9">
        <v>0</v>
      </c>
      <c r="M288" s="9"/>
      <c r="N288" s="9"/>
      <c r="O288" s="9"/>
      <c r="P288" s="9"/>
    </row>
    <row r="289" spans="1:16">
      <c r="A289" s="9"/>
      <c r="B289" s="9"/>
      <c r="C289" s="9" t="s">
        <v>109</v>
      </c>
      <c r="D289" s="9"/>
      <c r="E289" s="9"/>
      <c r="F289" s="9" t="str">
        <f ca="1">IF(D289="", "", VLOOKUP(D289, Sheet3!C:P, 14, FALSE) &amp; ", " &amp; DATEDIF(VLOOKUP(D289, Sheet3!C:N, 12, FALSE), TODAY(), "y") &amp; " Years Experience")</f>
        <v/>
      </c>
      <c r="G289" s="9"/>
      <c r="H289" s="11">
        <v>5</v>
      </c>
      <c r="I289" s="11"/>
      <c r="J289" s="11"/>
      <c r="K289" s="11">
        <v>0</v>
      </c>
      <c r="L289" s="9">
        <v>0</v>
      </c>
      <c r="M289" s="9"/>
      <c r="N289" s="9"/>
      <c r="O289" s="9"/>
      <c r="P289" s="9"/>
    </row>
    <row r="290" spans="1:16">
      <c r="A290" s="9"/>
      <c r="B290" s="9"/>
      <c r="C290" s="9" t="s">
        <v>110</v>
      </c>
      <c r="D290" s="9"/>
      <c r="E290" s="9"/>
      <c r="F290" s="9" t="str">
        <f ca="1">IF(D290="", "", VLOOKUP(D290, Sheet3!C:P, 14, FALSE) &amp; ", " &amp; DATEDIF(VLOOKUP(D290, Sheet3!C:N, 12, FALSE), TODAY(), "y") &amp; " Years Experience")</f>
        <v/>
      </c>
      <c r="G290" s="9"/>
      <c r="H290" s="15" t="s">
        <v>9</v>
      </c>
      <c r="I290" s="15"/>
      <c r="J290" s="15"/>
      <c r="K290" s="11">
        <v>1</v>
      </c>
      <c r="L290" s="9">
        <v>1</v>
      </c>
      <c r="M290" s="9"/>
      <c r="N290" s="9"/>
      <c r="O290" s="9"/>
      <c r="P290" s="9"/>
    </row>
    <row r="291" spans="1:16">
      <c r="A291" s="9"/>
      <c r="B291" s="9"/>
      <c r="C291" s="19" t="s">
        <v>111</v>
      </c>
      <c r="D291" s="19"/>
      <c r="E291" s="19"/>
      <c r="F291" s="9" t="str">
        <f ca="1">IF(D291="", "", VLOOKUP(D291, Sheet3!C:P, 14, FALSE) &amp; ", " &amp; DATEDIF(VLOOKUP(D291, Sheet3!C:N, 12, FALSE), TODAY(), "y") &amp; " Years Experience")</f>
        <v/>
      </c>
      <c r="G291" s="19"/>
      <c r="H291" s="11"/>
      <c r="I291" s="11"/>
      <c r="J291" s="11"/>
      <c r="K291" s="11"/>
      <c r="L291" s="9"/>
      <c r="M291" s="9"/>
      <c r="N291" s="9"/>
      <c r="O291" s="9"/>
      <c r="P291" s="9"/>
    </row>
    <row r="292" spans="1:16">
      <c r="A292" s="9"/>
      <c r="B292" s="9"/>
      <c r="C292" s="9" t="s">
        <v>112</v>
      </c>
      <c r="D292" s="9"/>
      <c r="E292" s="9"/>
      <c r="F292" s="9" t="str">
        <f ca="1">IF(D292="", "", VLOOKUP(D292, Sheet3!C:P, 14, FALSE) &amp; ", " &amp; DATEDIF(VLOOKUP(D292, Sheet3!C:N, 12, FALSE), TODAY(), "y") &amp; " Years Experience")</f>
        <v/>
      </c>
      <c r="G292" s="9"/>
      <c r="H292" s="11">
        <v>3</v>
      </c>
      <c r="I292" s="11"/>
      <c r="J292" s="11"/>
      <c r="K292" s="11">
        <v>1</v>
      </c>
      <c r="L292" s="9">
        <v>0</v>
      </c>
      <c r="M292" s="9"/>
      <c r="N292" s="9"/>
      <c r="O292" s="9"/>
      <c r="P292" s="9"/>
    </row>
    <row r="293" spans="1:16">
      <c r="A293" s="9"/>
      <c r="B293" s="9"/>
      <c r="C293" s="9" t="s">
        <v>113</v>
      </c>
      <c r="D293" s="9"/>
      <c r="E293" s="9"/>
      <c r="F293" s="9" t="str">
        <f ca="1">IF(D293="", "", VLOOKUP(D293, Sheet3!C:P, 14, FALSE) &amp; ", " &amp; DATEDIF(VLOOKUP(D293, Sheet3!C:N, 12, FALSE), TODAY(), "y") &amp; " Years Experience")</f>
        <v/>
      </c>
      <c r="G293" s="9"/>
      <c r="H293" s="11">
        <v>4</v>
      </c>
      <c r="I293" s="11"/>
      <c r="J293" s="11"/>
      <c r="K293" s="11">
        <v>0</v>
      </c>
      <c r="L293" s="9">
        <v>0</v>
      </c>
      <c r="M293" s="9"/>
      <c r="N293" s="9"/>
      <c r="O293" s="9"/>
      <c r="P293" s="9"/>
    </row>
    <row r="294" spans="1:16">
      <c r="A294" s="9"/>
      <c r="B294" s="9"/>
      <c r="C294" s="9" t="s">
        <v>109</v>
      </c>
      <c r="D294" s="9"/>
      <c r="E294" s="9"/>
      <c r="F294" s="9" t="str">
        <f ca="1">IF(D294="", "", VLOOKUP(D294, Sheet3!C:P, 14, FALSE) &amp; ", " &amp; DATEDIF(VLOOKUP(D294, Sheet3!C:N, 12, FALSE), TODAY(), "y") &amp; " Years Experience")</f>
        <v/>
      </c>
      <c r="G294" s="9"/>
      <c r="H294" s="11">
        <v>5</v>
      </c>
      <c r="I294" s="11"/>
      <c r="J294" s="11"/>
      <c r="K294" s="11">
        <v>1</v>
      </c>
      <c r="L294" s="9">
        <v>0</v>
      </c>
      <c r="M294" s="9"/>
      <c r="N294" s="9"/>
      <c r="O294" s="9"/>
      <c r="P294" s="9"/>
    </row>
    <row r="295" spans="1:16">
      <c r="A295" s="9"/>
      <c r="B295" s="9"/>
      <c r="C295" s="9" t="s">
        <v>110</v>
      </c>
      <c r="D295" s="9"/>
      <c r="E295" s="9"/>
      <c r="F295" s="9" t="str">
        <f ca="1">IF(D295="", "", VLOOKUP(D295, Sheet3!C:P, 14, FALSE) &amp; ", " &amp; DATEDIF(VLOOKUP(D295, Sheet3!C:N, 12, FALSE), TODAY(), "y") &amp; " Years Experience")</f>
        <v/>
      </c>
      <c r="G295" s="9"/>
      <c r="H295" s="15" t="s">
        <v>9</v>
      </c>
      <c r="I295" s="15"/>
      <c r="J295" s="15"/>
      <c r="K295" s="11">
        <v>1</v>
      </c>
      <c r="L295" s="9">
        <v>2</v>
      </c>
      <c r="M295" s="9"/>
      <c r="N295" s="9"/>
      <c r="O295" s="9"/>
      <c r="P295" s="9"/>
    </row>
    <row r="296" spans="1:16">
      <c r="A296" s="9"/>
      <c r="B296" s="9"/>
      <c r="C296" s="19" t="s">
        <v>114</v>
      </c>
      <c r="D296" s="19"/>
      <c r="E296" s="19"/>
      <c r="F296" s="9" t="str">
        <f ca="1">IF(D296="", "", VLOOKUP(D296, Sheet3!C:P, 14, FALSE) &amp; ", " &amp; DATEDIF(VLOOKUP(D296, Sheet3!C:N, 12, FALSE), TODAY(), "y") &amp; " Years Experience")</f>
        <v/>
      </c>
      <c r="G296" s="19"/>
      <c r="H296" s="11"/>
      <c r="I296" s="11"/>
      <c r="J296" s="11"/>
      <c r="K296" s="11"/>
      <c r="L296" s="9"/>
      <c r="M296" s="9"/>
      <c r="N296" s="9"/>
      <c r="O296" s="9"/>
      <c r="P296" s="9"/>
    </row>
    <row r="297" spans="1:16">
      <c r="A297" s="9"/>
      <c r="B297" s="9"/>
      <c r="C297" s="9" t="s">
        <v>115</v>
      </c>
      <c r="D297" s="9"/>
      <c r="E297" s="9"/>
      <c r="F297" s="9" t="str">
        <f ca="1">IF(D297="", "", VLOOKUP(D297, Sheet3!C:P, 14, FALSE) &amp; ", " &amp; DATEDIF(VLOOKUP(D297, Sheet3!C:N, 12, FALSE), TODAY(), "y") &amp; " Years Experience")</f>
        <v/>
      </c>
      <c r="G297" s="9"/>
      <c r="H297" s="11">
        <v>3</v>
      </c>
      <c r="I297" s="11"/>
      <c r="J297" s="11"/>
      <c r="K297" s="11">
        <v>1</v>
      </c>
      <c r="L297" s="9">
        <v>0</v>
      </c>
      <c r="M297" s="9"/>
      <c r="N297" s="9"/>
      <c r="O297" s="9"/>
      <c r="P297" s="9"/>
    </row>
    <row r="298" spans="1:16">
      <c r="A298" s="9"/>
      <c r="B298" s="9"/>
      <c r="C298" s="9" t="s">
        <v>116</v>
      </c>
      <c r="D298" s="9"/>
      <c r="E298" s="9"/>
      <c r="F298" s="9" t="str">
        <f ca="1">IF(D298="", "", VLOOKUP(D298, Sheet3!C:P, 14, FALSE) &amp; ", " &amp; DATEDIF(VLOOKUP(D298, Sheet3!C:N, 12, FALSE), TODAY(), "y") &amp; " Years Experience")</f>
        <v/>
      </c>
      <c r="G298" s="9"/>
      <c r="H298" s="11">
        <v>4</v>
      </c>
      <c r="I298" s="11"/>
      <c r="J298" s="11"/>
      <c r="K298" s="11">
        <v>0</v>
      </c>
      <c r="L298" s="9">
        <v>0</v>
      </c>
      <c r="M298" s="9"/>
      <c r="N298" s="9"/>
      <c r="O298" s="9"/>
      <c r="P298" s="9"/>
    </row>
    <row r="299" spans="1:16">
      <c r="A299" s="9"/>
      <c r="B299" s="9"/>
      <c r="C299" s="9" t="s">
        <v>117</v>
      </c>
      <c r="D299" s="9"/>
      <c r="E299" s="9"/>
      <c r="F299" s="9" t="str">
        <f ca="1">IF(D299="", "", VLOOKUP(D299, Sheet3!C:P, 14, FALSE) &amp; ", " &amp; DATEDIF(VLOOKUP(D299, Sheet3!C:N, 12, FALSE), TODAY(), "y") &amp; " Years Experience")</f>
        <v/>
      </c>
      <c r="G299" s="9"/>
      <c r="H299" s="11">
        <v>5</v>
      </c>
      <c r="I299" s="11"/>
      <c r="J299" s="11"/>
      <c r="K299" s="11">
        <v>1</v>
      </c>
      <c r="L299" s="9">
        <v>1</v>
      </c>
      <c r="M299" s="9"/>
      <c r="N299" s="9"/>
      <c r="O299" s="9"/>
      <c r="P299" s="9"/>
    </row>
    <row r="300" spans="1:16">
      <c r="A300" s="9"/>
      <c r="B300" s="9"/>
      <c r="C300" s="9" t="s">
        <v>118</v>
      </c>
      <c r="D300" s="9"/>
      <c r="E300" s="9"/>
      <c r="F300" s="9" t="str">
        <f ca="1">IF(D300="", "", VLOOKUP(D300, Sheet3!C:P, 14, FALSE) &amp; ", " &amp; DATEDIF(VLOOKUP(D300, Sheet3!C:N, 12, FALSE), TODAY(), "y") &amp; " Years Experience")</f>
        <v/>
      </c>
      <c r="G300" s="9"/>
      <c r="H300" s="15" t="s">
        <v>9</v>
      </c>
      <c r="I300" s="15"/>
      <c r="J300" s="15"/>
      <c r="K300" s="11">
        <v>2</v>
      </c>
      <c r="L300" s="9">
        <v>2</v>
      </c>
      <c r="M300" s="9"/>
      <c r="N300" s="9"/>
      <c r="O300" s="9"/>
      <c r="P300" s="9"/>
    </row>
    <row r="301" spans="1:16">
      <c r="A301" s="9"/>
      <c r="B301" s="9"/>
      <c r="C301" s="9" t="s">
        <v>119</v>
      </c>
      <c r="D301" s="9"/>
      <c r="E301" s="9"/>
      <c r="F301" s="9" t="str">
        <f ca="1">IF(D301="", "", VLOOKUP(D301, Sheet3!C:P, 14, FALSE) &amp; ", " &amp; DATEDIF(VLOOKUP(D301, Sheet3!C:N, 12, FALSE), TODAY(), "y") &amp; " Years Experience")</f>
        <v/>
      </c>
      <c r="G301" s="9"/>
      <c r="H301" s="11">
        <v>7</v>
      </c>
      <c r="I301" s="11"/>
      <c r="J301" s="11"/>
      <c r="K301" s="11">
        <v>0</v>
      </c>
      <c r="L301" s="9">
        <v>0</v>
      </c>
      <c r="M301" s="9"/>
      <c r="N301" s="9"/>
      <c r="O301" s="9"/>
      <c r="P301" s="9"/>
    </row>
    <row r="302" spans="1:16">
      <c r="A302" s="9"/>
      <c r="B302" s="9"/>
      <c r="C302" s="9" t="s">
        <v>120</v>
      </c>
      <c r="D302" s="9"/>
      <c r="E302" s="9"/>
      <c r="F302" s="9" t="str">
        <f ca="1">IF(D302="", "", VLOOKUP(D302, Sheet3!C:P, 14, FALSE) &amp; ", " &amp; DATEDIF(VLOOKUP(D302, Sheet3!C:N, 12, FALSE), TODAY(), "y") &amp; " Years Experience")</f>
        <v/>
      </c>
      <c r="G302" s="9"/>
      <c r="H302" s="15" t="s">
        <v>24</v>
      </c>
      <c r="I302" s="15"/>
      <c r="J302" s="15"/>
      <c r="K302" s="11">
        <v>2</v>
      </c>
      <c r="L302" s="9">
        <v>3</v>
      </c>
      <c r="M302" s="9"/>
      <c r="N302" s="9"/>
      <c r="O302" s="9"/>
      <c r="P302" s="9"/>
    </row>
    <row r="303" spans="1:16">
      <c r="A303" s="9"/>
      <c r="B303" s="9"/>
      <c r="C303" s="19" t="s">
        <v>121</v>
      </c>
      <c r="D303" s="19"/>
      <c r="E303" s="19"/>
      <c r="F303" s="9" t="str">
        <f ca="1">IF(D303="", "", VLOOKUP(D303, Sheet3!C:P, 14, FALSE) &amp; ", " &amp; DATEDIF(VLOOKUP(D303, Sheet3!C:N, 12, FALSE), TODAY(), "y") &amp; " Years Experience")</f>
        <v/>
      </c>
      <c r="G303" s="19"/>
      <c r="H303" s="11"/>
      <c r="I303" s="11"/>
      <c r="J303" s="11"/>
      <c r="K303" s="11"/>
      <c r="L303" s="9"/>
      <c r="M303" s="9"/>
      <c r="N303" s="9"/>
      <c r="O303" s="9"/>
      <c r="P303" s="9"/>
    </row>
    <row r="304" spans="1:16">
      <c r="A304" s="9"/>
      <c r="B304" s="9"/>
      <c r="C304" s="9" t="s">
        <v>122</v>
      </c>
      <c r="D304" s="9"/>
      <c r="E304" s="9"/>
      <c r="F304" s="9" t="str">
        <f ca="1">IF(D304="", "", VLOOKUP(D304, Sheet3!C:P, 14, FALSE) &amp; ", " &amp; DATEDIF(VLOOKUP(D304, Sheet3!C:N, 12, FALSE), TODAY(), "y") &amp; " Years Experience")</f>
        <v/>
      </c>
      <c r="G304" s="9"/>
      <c r="H304" s="11">
        <v>2</v>
      </c>
      <c r="I304" s="11"/>
      <c r="J304" s="11"/>
      <c r="K304" s="11">
        <v>1</v>
      </c>
      <c r="L304" s="9">
        <v>0</v>
      </c>
      <c r="M304" s="9"/>
      <c r="N304" s="9"/>
      <c r="O304" s="9"/>
      <c r="P304" s="9"/>
    </row>
    <row r="305" spans="1:16">
      <c r="A305" s="9"/>
      <c r="B305" s="9"/>
      <c r="C305" s="9" t="s">
        <v>25</v>
      </c>
      <c r="D305" s="9"/>
      <c r="E305" s="9"/>
      <c r="F305" s="9" t="str">
        <f ca="1">IF(D305="", "", VLOOKUP(D305, Sheet3!C:P, 14, FALSE) &amp; ", " &amp; DATEDIF(VLOOKUP(D305, Sheet3!C:N, 12, FALSE), TODAY(), "y") &amp; " Years Experience")</f>
        <v/>
      </c>
      <c r="G305" s="9"/>
      <c r="H305" s="15" t="s">
        <v>24</v>
      </c>
      <c r="I305" s="15"/>
      <c r="J305" s="15"/>
      <c r="K305" s="11">
        <v>1</v>
      </c>
      <c r="L305" s="9">
        <v>1</v>
      </c>
      <c r="M305" s="9"/>
      <c r="N305" s="9"/>
      <c r="O305" s="9"/>
      <c r="P305" s="9"/>
    </row>
    <row r="306" spans="1:16">
      <c r="A306" s="9"/>
      <c r="B306" s="9"/>
      <c r="C306" s="19" t="s">
        <v>123</v>
      </c>
      <c r="D306" s="19"/>
      <c r="E306" s="19"/>
      <c r="F306" s="9" t="str">
        <f ca="1">IF(D306="", "", VLOOKUP(D306, Sheet3!C:P, 14, FALSE) &amp; ", " &amp; DATEDIF(VLOOKUP(D306, Sheet3!C:N, 12, FALSE), TODAY(), "y") &amp; " Years Experience")</f>
        <v/>
      </c>
      <c r="G306" s="19"/>
      <c r="H306" s="11"/>
      <c r="I306" s="11"/>
      <c r="J306" s="11"/>
      <c r="K306" s="11"/>
      <c r="L306" s="9"/>
      <c r="M306" s="9"/>
      <c r="N306" s="9"/>
      <c r="O306" s="9"/>
      <c r="P306" s="9"/>
    </row>
    <row r="307" spans="1:16">
      <c r="A307" s="9"/>
      <c r="B307" s="9"/>
      <c r="C307" s="9" t="s">
        <v>124</v>
      </c>
      <c r="D307" s="9"/>
      <c r="E307" s="9"/>
      <c r="F307" s="9" t="str">
        <f ca="1">IF(D307="", "", VLOOKUP(D307, Sheet3!C:P, 14, FALSE) &amp; ", " &amp; DATEDIF(VLOOKUP(D307, Sheet3!C:N, 12, FALSE), TODAY(), "y") &amp; " Years Experience")</f>
        <v/>
      </c>
      <c r="G307" s="9"/>
      <c r="H307" s="11">
        <v>3</v>
      </c>
      <c r="I307" s="11"/>
      <c r="J307" s="11"/>
      <c r="K307" s="11">
        <v>1</v>
      </c>
      <c r="L307" s="9">
        <v>0</v>
      </c>
      <c r="M307" s="9"/>
      <c r="N307" s="9"/>
      <c r="O307" s="9"/>
      <c r="P307" s="9"/>
    </row>
    <row r="308" spans="1:16">
      <c r="A308" s="9"/>
      <c r="B308" s="9"/>
      <c r="C308" s="19" t="s">
        <v>125</v>
      </c>
      <c r="D308" s="19"/>
      <c r="E308" s="19"/>
      <c r="F308" s="9" t="str">
        <f ca="1">IF(D308="", "", VLOOKUP(D308, Sheet3!C:P, 14, FALSE) &amp; ", " &amp; DATEDIF(VLOOKUP(D308, Sheet3!C:N, 12, FALSE), TODAY(), "y") &amp; " Years Experience")</f>
        <v/>
      </c>
      <c r="G308" s="19"/>
      <c r="H308" s="11"/>
      <c r="I308" s="11"/>
      <c r="J308" s="11"/>
      <c r="K308" s="11"/>
      <c r="L308" s="9"/>
      <c r="M308" s="9"/>
      <c r="N308" s="9"/>
      <c r="O308" s="9"/>
      <c r="P308" s="9"/>
    </row>
    <row r="309" spans="1:16">
      <c r="A309" s="9"/>
      <c r="B309" s="9"/>
      <c r="C309" s="9" t="s">
        <v>126</v>
      </c>
      <c r="D309" s="9"/>
      <c r="E309" s="9"/>
      <c r="F309" s="9" t="str">
        <f ca="1">IF(D309="", "", VLOOKUP(D309, Sheet3!C:P, 14, FALSE) &amp; ", " &amp; DATEDIF(VLOOKUP(D309, Sheet3!C:N, 12, FALSE), TODAY(), "y") &amp; " Years Experience")</f>
        <v/>
      </c>
      <c r="G309" s="9"/>
      <c r="H309" s="11">
        <v>4</v>
      </c>
      <c r="I309" s="11"/>
      <c r="J309" s="11"/>
      <c r="K309" s="11">
        <v>1</v>
      </c>
      <c r="L309" s="9">
        <v>0</v>
      </c>
      <c r="M309" s="9"/>
      <c r="N309" s="9"/>
      <c r="O309" s="9"/>
      <c r="P309" s="9"/>
    </row>
    <row r="310" spans="1:16">
      <c r="A310" s="9"/>
      <c r="B310" s="9"/>
      <c r="C310" s="9" t="s">
        <v>127</v>
      </c>
      <c r="D310" s="9"/>
      <c r="E310" s="9"/>
      <c r="F310" s="9" t="str">
        <f ca="1">IF(D310="", "", VLOOKUP(D310, Sheet3!C:P, 14, FALSE) &amp; ", " &amp; DATEDIF(VLOOKUP(D310, Sheet3!C:N, 12, FALSE), TODAY(), "y") &amp; " Years Experience")</f>
        <v/>
      </c>
      <c r="G310" s="9"/>
      <c r="H310" s="11">
        <v>5</v>
      </c>
      <c r="I310" s="11"/>
      <c r="J310" s="11"/>
      <c r="K310" s="11">
        <v>0</v>
      </c>
      <c r="L310" s="9">
        <v>1</v>
      </c>
      <c r="M310" s="9"/>
      <c r="N310" s="9"/>
      <c r="O310" s="9"/>
      <c r="P310" s="9"/>
    </row>
    <row r="311" spans="1:16">
      <c r="A311" s="9"/>
      <c r="B311" s="9"/>
      <c r="C311" s="9" t="s">
        <v>128</v>
      </c>
      <c r="D311" s="9"/>
      <c r="E311" s="9"/>
      <c r="F311" s="9" t="str">
        <f ca="1">IF(D311="", "", VLOOKUP(D311, Sheet3!C:P, 14, FALSE) &amp; ", " &amp; DATEDIF(VLOOKUP(D311, Sheet3!C:N, 12, FALSE), TODAY(), "y") &amp; " Years Experience")</f>
        <v/>
      </c>
      <c r="G311" s="9"/>
      <c r="H311" s="15" t="s">
        <v>9</v>
      </c>
      <c r="I311" s="15"/>
      <c r="J311" s="15"/>
      <c r="K311" s="11">
        <v>1</v>
      </c>
      <c r="L311" s="9">
        <v>2</v>
      </c>
      <c r="M311" s="9"/>
      <c r="N311" s="9"/>
      <c r="O311" s="9"/>
      <c r="P311" s="9"/>
    </row>
    <row r="312" spans="1:16">
      <c r="A312" s="9"/>
      <c r="B312" s="9"/>
      <c r="C312" s="9" t="s">
        <v>129</v>
      </c>
      <c r="D312" s="9"/>
      <c r="E312" s="9"/>
      <c r="F312" s="9" t="str">
        <f ca="1">IF(D312="", "", VLOOKUP(D312, Sheet3!C:P, 14, FALSE) &amp; ", " &amp; DATEDIF(VLOOKUP(D312, Sheet3!C:N, 12, FALSE), TODAY(), "y") &amp; " Years Experience")</f>
        <v/>
      </c>
      <c r="G312" s="9"/>
      <c r="H312" s="11">
        <v>7</v>
      </c>
      <c r="I312" s="11"/>
      <c r="J312" s="11"/>
      <c r="K312" s="11">
        <v>1</v>
      </c>
      <c r="L312" s="9">
        <v>3</v>
      </c>
      <c r="M312" s="9"/>
      <c r="N312" s="9"/>
      <c r="O312" s="9"/>
      <c r="P312" s="9"/>
    </row>
    <row r="313" spans="1:16">
      <c r="A313" s="9"/>
      <c r="B313" s="9"/>
      <c r="C313" s="9" t="s">
        <v>130</v>
      </c>
      <c r="D313" s="9"/>
      <c r="E313" s="9"/>
      <c r="F313" s="9" t="str">
        <f ca="1">IF(D313="", "", VLOOKUP(D313, Sheet3!C:P, 14, FALSE) &amp; ", " &amp; DATEDIF(VLOOKUP(D313, Sheet3!C:N, 12, FALSE), TODAY(), "y") &amp; " Years Experience")</f>
        <v/>
      </c>
      <c r="G313" s="9"/>
      <c r="H313" s="15" t="s">
        <v>24</v>
      </c>
      <c r="I313" s="15"/>
      <c r="J313" s="15"/>
      <c r="K313" s="11">
        <v>0</v>
      </c>
      <c r="L313" s="9">
        <v>2</v>
      </c>
      <c r="M313" s="9"/>
      <c r="N313" s="9"/>
      <c r="O313" s="9"/>
      <c r="P313" s="9"/>
    </row>
    <row r="314" spans="1:16">
      <c r="A314" s="9"/>
      <c r="B314" s="9"/>
      <c r="C314" s="19" t="s">
        <v>131</v>
      </c>
      <c r="D314" s="19"/>
      <c r="E314" s="19"/>
      <c r="F314" s="9" t="str">
        <f ca="1">IF(D314="", "", VLOOKUP(D314, Sheet3!C:P, 14, FALSE) &amp; ", " &amp; DATEDIF(VLOOKUP(D314, Sheet3!C:N, 12, FALSE), TODAY(), "y") &amp; " Years Experience")</f>
        <v/>
      </c>
      <c r="G314" s="19"/>
      <c r="H314" s="11"/>
      <c r="I314" s="11"/>
      <c r="J314" s="11"/>
      <c r="K314" s="11"/>
      <c r="L314" s="9"/>
      <c r="M314" s="9"/>
      <c r="N314" s="9"/>
      <c r="O314" s="9"/>
      <c r="P314" s="9"/>
    </row>
    <row r="315" spans="1:16">
      <c r="A315" s="9"/>
      <c r="B315" s="9"/>
      <c r="C315" s="9" t="s">
        <v>132</v>
      </c>
      <c r="D315" s="9"/>
      <c r="E315" s="9"/>
      <c r="F315" s="9" t="str">
        <f ca="1">IF(D315="", "", VLOOKUP(D315, Sheet3!C:P, 14, FALSE) &amp; ", " &amp; DATEDIF(VLOOKUP(D315, Sheet3!C:N, 12, FALSE), TODAY(), "y") &amp; " Years Experience")</f>
        <v/>
      </c>
      <c r="G315" s="9"/>
      <c r="H315" s="11">
        <v>4</v>
      </c>
      <c r="I315" s="11"/>
      <c r="J315" s="11"/>
      <c r="K315" s="11">
        <v>1</v>
      </c>
      <c r="L315" s="9">
        <v>0</v>
      </c>
      <c r="M315" s="9"/>
      <c r="N315" s="9"/>
      <c r="O315" s="9"/>
      <c r="P315" s="9"/>
    </row>
    <row r="316" spans="1:16">
      <c r="A316" s="9"/>
      <c r="B316" s="9"/>
      <c r="C316" s="9" t="s">
        <v>133</v>
      </c>
      <c r="D316" s="9"/>
      <c r="E316" s="9"/>
      <c r="F316" s="9" t="str">
        <f ca="1">IF(D316="", "", VLOOKUP(D316, Sheet3!C:P, 14, FALSE) &amp; ", " &amp; DATEDIF(VLOOKUP(D316, Sheet3!C:N, 12, FALSE), TODAY(), "y") &amp; " Years Experience")</f>
        <v/>
      </c>
      <c r="G316" s="9"/>
      <c r="H316" s="11">
        <v>5</v>
      </c>
      <c r="I316" s="11"/>
      <c r="J316" s="11"/>
      <c r="K316" s="11">
        <v>0</v>
      </c>
      <c r="L316" s="9">
        <v>0</v>
      </c>
      <c r="M316" s="9"/>
      <c r="N316" s="9"/>
      <c r="O316" s="9"/>
      <c r="P316" s="9"/>
    </row>
    <row r="317" spans="1:16">
      <c r="A317" s="9"/>
      <c r="B317" s="9"/>
      <c r="C317" s="9" t="s">
        <v>134</v>
      </c>
      <c r="D317" s="9"/>
      <c r="E317" s="9"/>
      <c r="F317" s="9" t="str">
        <f ca="1">IF(D317="", "", VLOOKUP(D317, Sheet3!C:P, 14, FALSE) &amp; ", " &amp; DATEDIF(VLOOKUP(D317, Sheet3!C:N, 12, FALSE), TODAY(), "y") &amp; " Years Experience")</f>
        <v/>
      </c>
      <c r="G317" s="9"/>
      <c r="H317" s="15" t="s">
        <v>9</v>
      </c>
      <c r="I317" s="15"/>
      <c r="J317" s="15"/>
      <c r="K317" s="11">
        <v>1</v>
      </c>
      <c r="L317" s="9">
        <v>1</v>
      </c>
      <c r="M317" s="9"/>
      <c r="N317" s="9"/>
      <c r="O317" s="9"/>
      <c r="P317" s="9"/>
    </row>
    <row r="318" spans="1:16">
      <c r="A318" s="9"/>
      <c r="B318" s="9"/>
      <c r="C318" s="9" t="s">
        <v>135</v>
      </c>
      <c r="D318" s="9"/>
      <c r="E318" s="9"/>
      <c r="F318" s="9" t="str">
        <f ca="1">IF(D318="", "", VLOOKUP(D318, Sheet3!C:P, 14, FALSE) &amp; ", " &amp; DATEDIF(VLOOKUP(D318, Sheet3!C:N, 12, FALSE), TODAY(), "y") &amp; " Years Experience")</f>
        <v/>
      </c>
      <c r="G318" s="9"/>
      <c r="H318" s="11">
        <v>7</v>
      </c>
      <c r="I318" s="11"/>
      <c r="J318" s="11"/>
      <c r="K318" s="11">
        <v>2</v>
      </c>
      <c r="L318" s="9">
        <v>2</v>
      </c>
      <c r="M318" s="9"/>
      <c r="N318" s="9"/>
      <c r="O318" s="9"/>
      <c r="P318" s="9"/>
    </row>
    <row r="319" spans="1:16">
      <c r="A319" s="9"/>
      <c r="B319" s="9"/>
      <c r="C319" s="9" t="s">
        <v>136</v>
      </c>
      <c r="D319" s="9"/>
      <c r="E319" s="9"/>
      <c r="F319" s="9" t="str">
        <f ca="1">IF(D319="", "", VLOOKUP(D319, Sheet3!C:P, 14, FALSE) &amp; ", " &amp; DATEDIF(VLOOKUP(D319, Sheet3!C:N, 12, FALSE), TODAY(), "y") &amp; " Years Experience")</f>
        <v/>
      </c>
      <c r="G319" s="9"/>
      <c r="H319" s="15" t="s">
        <v>24</v>
      </c>
      <c r="I319" s="15"/>
      <c r="J319" s="15"/>
      <c r="K319" s="11">
        <v>0</v>
      </c>
      <c r="L319" s="9">
        <v>1</v>
      </c>
      <c r="M319" s="9"/>
      <c r="N319" s="9"/>
      <c r="O319" s="9"/>
      <c r="P319" s="9"/>
    </row>
    <row r="320" spans="1:16">
      <c r="A320" s="9"/>
      <c r="B320" s="9"/>
      <c r="C320" s="9" t="s">
        <v>29</v>
      </c>
      <c r="D320" s="9"/>
      <c r="E320" s="9"/>
      <c r="F320" s="9" t="str">
        <f ca="1">IF(D320="", "", VLOOKUP(D320, Sheet3!C:P, 14, FALSE) &amp; ", " &amp; DATEDIF(VLOOKUP(D320, Sheet3!C:N, 12, FALSE), TODAY(), "y") &amp; " Years Experience")</f>
        <v/>
      </c>
      <c r="G320" s="9"/>
      <c r="H320" s="15" t="s">
        <v>12</v>
      </c>
      <c r="I320" s="15"/>
      <c r="J320" s="15"/>
      <c r="K320" s="11">
        <v>4</v>
      </c>
      <c r="L320" s="9">
        <v>7</v>
      </c>
      <c r="M320" s="9"/>
      <c r="N320" s="9"/>
      <c r="O320" s="9"/>
      <c r="P320" s="9"/>
    </row>
    <row r="321" spans="1:16">
      <c r="A321" s="9"/>
      <c r="B321" s="9"/>
      <c r="C321" s="9" t="s">
        <v>74</v>
      </c>
      <c r="D321" s="9"/>
      <c r="E321" s="9"/>
      <c r="F321" s="9" t="str">
        <f ca="1">IF(D321="", "", VLOOKUP(D321, Sheet3!C:P, 14, FALSE) &amp; ", " &amp; DATEDIF(VLOOKUP(D321, Sheet3!C:N, 12, FALSE), TODAY(), "y") &amp; " Years Experience")</f>
        <v/>
      </c>
      <c r="G321" s="9"/>
      <c r="H321" s="11">
        <v>7</v>
      </c>
      <c r="I321" s="11"/>
      <c r="J321" s="11"/>
      <c r="K321" s="11">
        <v>1</v>
      </c>
      <c r="L321" s="9">
        <v>1</v>
      </c>
      <c r="M321" s="9"/>
      <c r="N321" s="9"/>
      <c r="O321" s="9"/>
      <c r="P321" s="9"/>
    </row>
    <row r="322" spans="1:16">
      <c r="A322" s="9"/>
      <c r="B322" s="9"/>
      <c r="C322" s="9" t="s">
        <v>137</v>
      </c>
      <c r="D322" s="9"/>
      <c r="E322" s="9"/>
      <c r="F322" s="9" t="str">
        <f ca="1">IF(D322="", "", VLOOKUP(D322, Sheet3!C:P, 14, FALSE) &amp; ", " &amp; DATEDIF(VLOOKUP(D322, Sheet3!C:N, 12, FALSE), TODAY(), "y") &amp; " Years Experience")</f>
        <v/>
      </c>
      <c r="G322" s="9"/>
      <c r="H322" s="15" t="s">
        <v>24</v>
      </c>
      <c r="I322" s="15"/>
      <c r="J322" s="15"/>
      <c r="K322" s="11">
        <v>0</v>
      </c>
      <c r="L322" s="9">
        <v>0</v>
      </c>
      <c r="M322" s="9"/>
      <c r="N322" s="9"/>
      <c r="O322" s="9"/>
      <c r="P322" s="9"/>
    </row>
    <row r="323" spans="1:16">
      <c r="A323" s="9"/>
      <c r="B323" s="9"/>
      <c r="C323" s="9" t="s">
        <v>138</v>
      </c>
      <c r="D323" s="9"/>
      <c r="E323" s="9"/>
      <c r="F323" s="9" t="str">
        <f ca="1">IF(D323="", "", VLOOKUP(D323, Sheet3!C:P, 14, FALSE) &amp; ", " &amp; DATEDIF(VLOOKUP(D323, Sheet3!C:N, 12, FALSE), TODAY(), "y") &amp; " Years Experience")</f>
        <v/>
      </c>
      <c r="G323" s="9"/>
      <c r="H323" s="11">
        <v>9</v>
      </c>
      <c r="I323" s="11"/>
      <c r="J323" s="11"/>
      <c r="K323" s="11">
        <v>2</v>
      </c>
      <c r="L323" s="9">
        <v>2</v>
      </c>
      <c r="M323" s="9"/>
      <c r="N323" s="9"/>
      <c r="O323" s="9"/>
      <c r="P323" s="9"/>
    </row>
    <row r="324" spans="1:16">
      <c r="A324" s="9"/>
      <c r="B324" s="9"/>
      <c r="C324" s="9" t="s">
        <v>139</v>
      </c>
      <c r="D324" s="9"/>
      <c r="E324" s="9"/>
      <c r="F324" s="9" t="str">
        <f ca="1">IF(D324="", "", VLOOKUP(D324, Sheet3!C:P, 14, FALSE) &amp; ", " &amp; DATEDIF(VLOOKUP(D324, Sheet3!C:N, 12, FALSE), TODAY(), "y") &amp; " Years Experience")</f>
        <v/>
      </c>
      <c r="G324" s="9"/>
      <c r="H324" s="15" t="s">
        <v>12</v>
      </c>
      <c r="I324" s="15"/>
      <c r="J324" s="15"/>
      <c r="K324" s="11">
        <v>0</v>
      </c>
      <c r="L324" s="9">
        <v>0</v>
      </c>
      <c r="M324" s="9"/>
      <c r="N324" s="9"/>
      <c r="O324" s="9"/>
      <c r="P324" s="9"/>
    </row>
    <row r="325" spans="1:16">
      <c r="A325" s="9"/>
      <c r="B325" s="9"/>
      <c r="C325" s="9" t="s">
        <v>140</v>
      </c>
      <c r="D325" s="9"/>
      <c r="E325" s="9"/>
      <c r="F325" s="9" t="str">
        <f ca="1">IF(D325="", "", VLOOKUP(D325, Sheet3!C:P, 14, FALSE) &amp; ", " &amp; DATEDIF(VLOOKUP(D325, Sheet3!C:N, 12, FALSE), TODAY(), "y") &amp; " Years Experience")</f>
        <v/>
      </c>
      <c r="G325" s="9"/>
      <c r="H325" s="11">
        <v>10</v>
      </c>
      <c r="I325" s="11"/>
      <c r="J325" s="11"/>
      <c r="K325" s="11">
        <v>2</v>
      </c>
      <c r="L325" s="9">
        <v>1</v>
      </c>
      <c r="M325" s="9"/>
      <c r="N325" s="9"/>
      <c r="O325" s="9"/>
      <c r="P325" s="9"/>
    </row>
    <row r="326" spans="1:16">
      <c r="A326" s="9"/>
      <c r="B326" s="9"/>
      <c r="C326" s="9" t="s">
        <v>141</v>
      </c>
      <c r="D326" s="9"/>
      <c r="E326" s="9"/>
      <c r="F326" s="9" t="str">
        <f ca="1">IF(D326="", "", VLOOKUP(D326, Sheet3!C:P, 14, FALSE) &amp; ", " &amp; DATEDIF(VLOOKUP(D326, Sheet3!C:N, 12, FALSE), TODAY(), "y") &amp; " Years Experience")</f>
        <v/>
      </c>
      <c r="G326" s="9"/>
      <c r="H326" s="15" t="s">
        <v>15</v>
      </c>
      <c r="I326" s="15"/>
      <c r="J326" s="15"/>
      <c r="K326" s="11">
        <v>0</v>
      </c>
      <c r="L326" s="9">
        <v>4</v>
      </c>
      <c r="M326" s="9"/>
      <c r="N326" s="9"/>
      <c r="O326" s="9"/>
      <c r="P326" s="9"/>
    </row>
    <row r="327" spans="1:16">
      <c r="A327" s="9"/>
      <c r="B327" s="9"/>
      <c r="C327" s="9" t="s">
        <v>30</v>
      </c>
      <c r="D327" s="9"/>
      <c r="E327" s="9"/>
      <c r="F327" s="9" t="str">
        <f ca="1">IF(D327="", "", VLOOKUP(D327, Sheet3!C:P, 14, FALSE) &amp; ", " &amp; DATEDIF(VLOOKUP(D327, Sheet3!C:N, 12, FALSE), TODAY(), "y") &amp; " Years Experience")</f>
        <v/>
      </c>
      <c r="G327" s="9"/>
      <c r="H327" s="15" t="s">
        <v>15</v>
      </c>
      <c r="I327" s="15"/>
      <c r="J327" s="15"/>
      <c r="K327" s="11">
        <v>3</v>
      </c>
      <c r="L327" s="9">
        <v>3</v>
      </c>
      <c r="M327" s="9"/>
      <c r="N327" s="9"/>
      <c r="O327" s="9"/>
      <c r="P327" s="9"/>
    </row>
    <row r="328" spans="1:16">
      <c r="A328" s="9"/>
      <c r="B328" s="9"/>
      <c r="C328" s="9" t="s">
        <v>142</v>
      </c>
      <c r="D328" s="9"/>
      <c r="E328" s="9"/>
      <c r="F328" s="9" t="str">
        <f ca="1">IF(D328="", "", VLOOKUP(D328, Sheet3!C:P, 14, FALSE) &amp; ", " &amp; DATEDIF(VLOOKUP(D328, Sheet3!C:N, 12, FALSE), TODAY(), "y") &amp; " Years Experience")</f>
        <v/>
      </c>
      <c r="G328" s="9"/>
      <c r="H328" s="11">
        <v>7</v>
      </c>
      <c r="I328" s="11"/>
      <c r="J328" s="11"/>
      <c r="K328" s="11">
        <v>1</v>
      </c>
      <c r="L328" s="9">
        <v>1</v>
      </c>
      <c r="M328" s="9"/>
      <c r="N328" s="9"/>
      <c r="O328" s="9"/>
      <c r="P328" s="9"/>
    </row>
    <row r="329" spans="1:16">
      <c r="A329" s="9"/>
      <c r="B329" s="9"/>
      <c r="C329" s="9" t="s">
        <v>143</v>
      </c>
      <c r="D329" s="9"/>
      <c r="E329" s="9"/>
      <c r="F329" s="9" t="str">
        <f ca="1">IF(D329="", "", VLOOKUP(D329, Sheet3!C:P, 14, FALSE) &amp; ", " &amp; DATEDIF(VLOOKUP(D329, Sheet3!C:N, 12, FALSE), TODAY(), "y") &amp; " Years Experience")</f>
        <v/>
      </c>
      <c r="G329" s="9"/>
      <c r="H329" s="15" t="s">
        <v>24</v>
      </c>
      <c r="I329" s="15"/>
      <c r="J329" s="15"/>
      <c r="K329" s="11">
        <v>3</v>
      </c>
      <c r="L329" s="9">
        <v>1</v>
      </c>
      <c r="M329" s="9"/>
      <c r="N329" s="9"/>
      <c r="O329" s="9"/>
      <c r="P329" s="9"/>
    </row>
    <row r="330" spans="1:16">
      <c r="A330" s="9"/>
      <c r="B330" s="9"/>
      <c r="C330" s="19" t="s">
        <v>144</v>
      </c>
      <c r="D330" s="19"/>
      <c r="E330" s="19"/>
      <c r="F330" s="9" t="str">
        <f ca="1">IF(D330="", "", VLOOKUP(D330, Sheet3!C:P, 14, FALSE) &amp; ", " &amp; DATEDIF(VLOOKUP(D330, Sheet3!C:N, 12, FALSE), TODAY(), "y") &amp; " Years Experience")</f>
        <v/>
      </c>
      <c r="G330" s="19"/>
      <c r="H330" s="11"/>
      <c r="I330" s="11"/>
      <c r="J330" s="11"/>
      <c r="K330" s="11"/>
      <c r="L330" s="9"/>
      <c r="M330" s="9"/>
      <c r="N330" s="9"/>
      <c r="O330" s="9"/>
      <c r="P330" s="9"/>
    </row>
    <row r="331" spans="1:16">
      <c r="A331" s="9"/>
      <c r="B331" s="9"/>
      <c r="C331" s="9" t="s">
        <v>145</v>
      </c>
      <c r="D331" s="9"/>
      <c r="E331" s="9"/>
      <c r="F331" s="9" t="str">
        <f ca="1">IF(D331="", "", VLOOKUP(D331, Sheet3!C:P, 14, FALSE) &amp; ", " &amp; DATEDIF(VLOOKUP(D331, Sheet3!C:N, 12, FALSE), TODAY(), "y") &amp; " Years Experience")</f>
        <v/>
      </c>
      <c r="G331" s="9"/>
      <c r="H331" s="11">
        <v>3</v>
      </c>
      <c r="I331" s="11"/>
      <c r="J331" s="11"/>
      <c r="K331" s="11">
        <v>1</v>
      </c>
      <c r="L331" s="9">
        <v>0</v>
      </c>
      <c r="M331" s="9"/>
      <c r="N331" s="9"/>
      <c r="O331" s="9"/>
      <c r="P331" s="9"/>
    </row>
    <row r="332" spans="1:16">
      <c r="A332" s="9"/>
      <c r="B332" s="9"/>
      <c r="C332" s="19" t="s">
        <v>146</v>
      </c>
      <c r="D332" s="19"/>
      <c r="E332" s="19"/>
      <c r="F332" s="9" t="str">
        <f ca="1">IF(D332="", "", VLOOKUP(D332, Sheet3!C:P, 14, FALSE) &amp; ", " &amp; DATEDIF(VLOOKUP(D332, Sheet3!C:N, 12, FALSE), TODAY(), "y") &amp; " Years Experience")</f>
        <v/>
      </c>
      <c r="G332" s="19"/>
      <c r="H332" s="11"/>
      <c r="I332" s="11"/>
      <c r="J332" s="11"/>
      <c r="K332" s="11"/>
      <c r="L332" s="9"/>
      <c r="M332" s="9"/>
      <c r="N332" s="9"/>
      <c r="O332" s="9"/>
      <c r="P332" s="9"/>
    </row>
    <row r="333" spans="1:16">
      <c r="A333" s="9"/>
      <c r="B333" s="9"/>
      <c r="C333" s="9" t="s">
        <v>147</v>
      </c>
      <c r="D333" s="9"/>
      <c r="E333" s="9"/>
      <c r="F333" s="9" t="str">
        <f ca="1">IF(D333="", "", VLOOKUP(D333, Sheet3!C:P, 14, FALSE) &amp; ", " &amp; DATEDIF(VLOOKUP(D333, Sheet3!C:N, 12, FALSE), TODAY(), "y") &amp; " Years Experience")</f>
        <v/>
      </c>
      <c r="G333" s="9"/>
      <c r="H333" s="11">
        <v>4</v>
      </c>
      <c r="I333" s="11"/>
      <c r="J333" s="11"/>
      <c r="K333" s="11">
        <v>1</v>
      </c>
      <c r="L333" s="9">
        <v>0</v>
      </c>
      <c r="M333" s="9"/>
      <c r="N333" s="9"/>
      <c r="O333" s="9"/>
      <c r="P333" s="9"/>
    </row>
    <row r="334" spans="1:16">
      <c r="A334" s="9"/>
      <c r="B334" s="9"/>
      <c r="C334" s="9" t="s">
        <v>148</v>
      </c>
      <c r="D334" s="9"/>
      <c r="E334" s="9"/>
      <c r="F334" s="9" t="str">
        <f ca="1">IF(D334="", "", VLOOKUP(D334, Sheet3!C:P, 14, FALSE) &amp; ", " &amp; DATEDIF(VLOOKUP(D334, Sheet3!C:N, 12, FALSE), TODAY(), "y") &amp; " Years Experience")</f>
        <v/>
      </c>
      <c r="G334" s="9"/>
      <c r="H334" s="11">
        <v>5</v>
      </c>
      <c r="I334" s="11"/>
      <c r="J334" s="11"/>
      <c r="K334" s="11">
        <v>0</v>
      </c>
      <c r="L334" s="9">
        <v>1</v>
      </c>
      <c r="M334" s="9"/>
      <c r="N334" s="9"/>
      <c r="O334" s="9"/>
      <c r="P334" s="9"/>
    </row>
    <row r="335" spans="1:16">
      <c r="A335" s="9"/>
      <c r="B335" s="9"/>
      <c r="C335" s="9" t="s">
        <v>149</v>
      </c>
      <c r="D335" s="9"/>
      <c r="E335" s="9"/>
      <c r="F335" s="9" t="str">
        <f ca="1">IF(D335="", "", VLOOKUP(D335, Sheet3!C:P, 14, FALSE) &amp; ", " &amp; DATEDIF(VLOOKUP(D335, Sheet3!C:N, 12, FALSE), TODAY(), "y") &amp; " Years Experience")</f>
        <v/>
      </c>
      <c r="G335" s="9"/>
      <c r="H335" s="15" t="s">
        <v>9</v>
      </c>
      <c r="I335" s="15"/>
      <c r="J335" s="15"/>
      <c r="K335" s="11">
        <v>1</v>
      </c>
      <c r="L335" s="9">
        <v>1</v>
      </c>
      <c r="M335" s="9"/>
      <c r="N335" s="9"/>
      <c r="O335" s="9"/>
      <c r="P335" s="9"/>
    </row>
    <row r="336" spans="1:16">
      <c r="A336" s="9"/>
      <c r="B336" s="9"/>
      <c r="C336" s="19" t="s">
        <v>150</v>
      </c>
      <c r="D336" s="19"/>
      <c r="E336" s="19"/>
      <c r="F336" s="9" t="str">
        <f ca="1">IF(D336="", "", VLOOKUP(D336, Sheet3!C:P, 14, FALSE) &amp; ", " &amp; DATEDIF(VLOOKUP(D336, Sheet3!C:N, 12, FALSE), TODAY(), "y") &amp; " Years Experience")</f>
        <v/>
      </c>
      <c r="G336" s="19"/>
      <c r="H336" s="11"/>
      <c r="I336" s="11"/>
      <c r="J336" s="11"/>
      <c r="K336" s="11"/>
      <c r="L336" s="9"/>
      <c r="M336" s="9"/>
      <c r="N336" s="9"/>
      <c r="O336" s="9"/>
      <c r="P336" s="9"/>
    </row>
    <row r="337" spans="1:16">
      <c r="A337" s="9"/>
      <c r="B337" s="9"/>
      <c r="C337" s="9" t="s">
        <v>151</v>
      </c>
      <c r="D337" s="9"/>
      <c r="E337" s="9"/>
      <c r="F337" s="9" t="str">
        <f ca="1">IF(D337="", "", VLOOKUP(D337, Sheet3!C:P, 14, FALSE) &amp; ", " &amp; DATEDIF(VLOOKUP(D337, Sheet3!C:N, 12, FALSE), TODAY(), "y") &amp; " Years Experience")</f>
        <v/>
      </c>
      <c r="G337" s="9"/>
      <c r="H337" s="11">
        <v>4</v>
      </c>
      <c r="I337" s="11"/>
      <c r="J337" s="11"/>
      <c r="K337" s="11">
        <v>1</v>
      </c>
      <c r="L337" s="9">
        <v>0</v>
      </c>
      <c r="M337" s="9"/>
      <c r="N337" s="9"/>
      <c r="O337" s="9"/>
      <c r="P337" s="9"/>
    </row>
    <row r="338" spans="1:16">
      <c r="A338" s="9"/>
      <c r="B338" s="9"/>
      <c r="C338" s="9" t="s">
        <v>148</v>
      </c>
      <c r="D338" s="9"/>
      <c r="E338" s="9"/>
      <c r="F338" s="9" t="str">
        <f ca="1">IF(D338="", "", VLOOKUP(D338, Sheet3!C:P, 14, FALSE) &amp; ", " &amp; DATEDIF(VLOOKUP(D338, Sheet3!C:N, 12, FALSE), TODAY(), "y") &amp; " Years Experience")</f>
        <v/>
      </c>
      <c r="G338" s="9"/>
      <c r="H338" s="11">
        <v>5</v>
      </c>
      <c r="I338" s="11"/>
      <c r="J338" s="11"/>
      <c r="K338" s="11">
        <v>0</v>
      </c>
      <c r="L338" s="9">
        <v>1</v>
      </c>
      <c r="M338" s="9"/>
      <c r="N338" s="9"/>
      <c r="O338" s="9"/>
      <c r="P338" s="9"/>
    </row>
    <row r="339" spans="1:16">
      <c r="A339" s="9"/>
      <c r="B339" s="9"/>
      <c r="C339" s="9" t="s">
        <v>149</v>
      </c>
      <c r="D339" s="9"/>
      <c r="E339" s="9"/>
      <c r="F339" s="9" t="str">
        <f ca="1">IF(D339="", "", VLOOKUP(D339, Sheet3!C:P, 14, FALSE) &amp; ", " &amp; DATEDIF(VLOOKUP(D339, Sheet3!C:N, 12, FALSE), TODAY(), "y") &amp; " Years Experience")</f>
        <v/>
      </c>
      <c r="G339" s="9"/>
      <c r="H339" s="15" t="s">
        <v>9</v>
      </c>
      <c r="I339" s="15"/>
      <c r="J339" s="15"/>
      <c r="K339" s="11">
        <v>2</v>
      </c>
      <c r="L339" s="9">
        <v>1</v>
      </c>
      <c r="M339" s="9"/>
      <c r="N339" s="9"/>
      <c r="O339" s="9"/>
      <c r="P339" s="9"/>
    </row>
    <row r="340" spans="1:16">
      <c r="A340" s="9"/>
      <c r="B340" s="9"/>
      <c r="C340" s="9" t="s">
        <v>152</v>
      </c>
      <c r="D340" s="9"/>
      <c r="E340" s="9"/>
      <c r="F340" s="9" t="str">
        <f ca="1">IF(D340="", "", VLOOKUP(D340, Sheet3!C:P, 14, FALSE) &amp; ", " &amp; DATEDIF(VLOOKUP(D340, Sheet3!C:N, 12, FALSE), TODAY(), "y") &amp; " Years Experience")</f>
        <v/>
      </c>
      <c r="G340" s="9"/>
      <c r="H340" s="11">
        <v>7</v>
      </c>
      <c r="I340" s="11"/>
      <c r="J340" s="11"/>
      <c r="K340" s="11">
        <v>0</v>
      </c>
      <c r="L340" s="9">
        <v>3</v>
      </c>
      <c r="M340" s="9"/>
      <c r="N340" s="9"/>
      <c r="O340" s="9"/>
      <c r="P340" s="9"/>
    </row>
    <row r="341" spans="1:16">
      <c r="A341" s="9"/>
      <c r="B341" s="9"/>
      <c r="C341" s="9" t="s">
        <v>153</v>
      </c>
      <c r="D341" s="9"/>
      <c r="E341" s="9"/>
      <c r="F341" s="9" t="str">
        <f ca="1">IF(D341="", "", VLOOKUP(D341, Sheet3!C:P, 14, FALSE) &amp; ", " &amp; DATEDIF(VLOOKUP(D341, Sheet3!C:N, 12, FALSE), TODAY(), "y") &amp; " Years Experience")</f>
        <v/>
      </c>
      <c r="G341" s="9"/>
      <c r="H341" s="15" t="s">
        <v>24</v>
      </c>
      <c r="I341" s="15"/>
      <c r="J341" s="15"/>
      <c r="K341" s="11">
        <v>1</v>
      </c>
      <c r="L341" s="9">
        <v>1</v>
      </c>
      <c r="M341" s="9"/>
      <c r="N341" s="9"/>
      <c r="O341" s="9"/>
      <c r="P341" s="9"/>
    </row>
    <row r="342" spans="1:16">
      <c r="A342" s="9"/>
      <c r="B342" s="9"/>
      <c r="C342" s="19" t="s">
        <v>154</v>
      </c>
      <c r="D342" s="19"/>
      <c r="E342" s="19"/>
      <c r="F342" s="9" t="str">
        <f ca="1">IF(D342="", "", VLOOKUP(D342, Sheet3!C:P, 14, FALSE) &amp; ", " &amp; DATEDIF(VLOOKUP(D342, Sheet3!C:N, 12, FALSE), TODAY(), "y") &amp; " Years Experience")</f>
        <v/>
      </c>
      <c r="G342" s="19"/>
      <c r="H342" s="11"/>
      <c r="I342" s="11"/>
      <c r="J342" s="11"/>
      <c r="K342" s="11"/>
      <c r="L342" s="9"/>
      <c r="M342" s="9"/>
      <c r="N342" s="9"/>
      <c r="O342" s="9"/>
      <c r="P342" s="9"/>
    </row>
    <row r="343" spans="1:16">
      <c r="A343" s="9"/>
      <c r="B343" s="9"/>
      <c r="C343" s="9" t="s">
        <v>155</v>
      </c>
      <c r="D343" s="9"/>
      <c r="E343" s="9"/>
      <c r="F343" s="9" t="str">
        <f ca="1">IF(D343="", "", VLOOKUP(D343, Sheet3!C:P, 14, FALSE) &amp; ", " &amp; DATEDIF(VLOOKUP(D343, Sheet3!C:N, 12, FALSE), TODAY(), "y") &amp; " Years Experience")</f>
        <v/>
      </c>
      <c r="G343" s="9"/>
      <c r="H343" s="11">
        <v>3</v>
      </c>
      <c r="I343" s="11"/>
      <c r="J343" s="11"/>
      <c r="K343" s="11">
        <v>1</v>
      </c>
      <c r="L343" s="9">
        <v>0</v>
      </c>
      <c r="M343" s="9"/>
      <c r="N343" s="9"/>
      <c r="O343" s="9"/>
      <c r="P343" s="9"/>
    </row>
    <row r="344" spans="1:16">
      <c r="A344" s="9"/>
      <c r="B344" s="9"/>
      <c r="C344" s="9" t="s">
        <v>156</v>
      </c>
      <c r="D344" s="9"/>
      <c r="E344" s="9"/>
      <c r="F344" s="9" t="str">
        <f ca="1">IF(D344="", "", VLOOKUP(D344, Sheet3!C:P, 14, FALSE) &amp; ", " &amp; DATEDIF(VLOOKUP(D344, Sheet3!C:N, 12, FALSE), TODAY(), "y") &amp; " Years Experience")</f>
        <v/>
      </c>
      <c r="G344" s="9"/>
      <c r="H344" s="11">
        <v>4</v>
      </c>
      <c r="I344" s="11"/>
      <c r="J344" s="11"/>
      <c r="K344" s="11">
        <v>1</v>
      </c>
      <c r="L344" s="9">
        <v>0</v>
      </c>
      <c r="M344" s="9"/>
      <c r="N344" s="9"/>
      <c r="O344" s="9"/>
      <c r="P344" s="9"/>
    </row>
    <row r="345" spans="1:16">
      <c r="A345" s="9"/>
      <c r="B345" s="9"/>
      <c r="C345" s="9" t="s">
        <v>157</v>
      </c>
      <c r="D345" s="9"/>
      <c r="E345" s="9"/>
      <c r="F345" s="9" t="str">
        <f ca="1">IF(D345="", "", VLOOKUP(D345, Sheet3!C:P, 14, FALSE) &amp; ", " &amp; DATEDIF(VLOOKUP(D345, Sheet3!C:N, 12, FALSE), TODAY(), "y") &amp; " Years Experience")</f>
        <v/>
      </c>
      <c r="G345" s="9"/>
      <c r="H345" s="11">
        <v>5</v>
      </c>
      <c r="I345" s="11"/>
      <c r="J345" s="11"/>
      <c r="K345" s="11">
        <v>0</v>
      </c>
      <c r="L345" s="9">
        <v>1</v>
      </c>
      <c r="M345" s="9"/>
      <c r="N345" s="9"/>
      <c r="O345" s="9"/>
      <c r="P345" s="9"/>
    </row>
    <row r="346" spans="1:16">
      <c r="A346" s="9"/>
      <c r="B346" s="9"/>
      <c r="C346" s="9" t="s">
        <v>158</v>
      </c>
      <c r="D346" s="9"/>
      <c r="E346" s="9"/>
      <c r="F346" s="9" t="str">
        <f ca="1">IF(D346="", "", VLOOKUP(D346, Sheet3!C:P, 14, FALSE) &amp; ", " &amp; DATEDIF(VLOOKUP(D346, Sheet3!C:N, 12, FALSE), TODAY(), "y") &amp; " Years Experience")</f>
        <v/>
      </c>
      <c r="G346" s="9"/>
      <c r="H346" s="15" t="s">
        <v>9</v>
      </c>
      <c r="I346" s="15"/>
      <c r="J346" s="15"/>
      <c r="K346" s="11">
        <v>1</v>
      </c>
      <c r="L346" s="9">
        <v>5</v>
      </c>
      <c r="M346" s="9"/>
      <c r="N346" s="9"/>
      <c r="O346" s="9"/>
      <c r="P346" s="9"/>
    </row>
    <row r="347" spans="1:16">
      <c r="A347" s="9"/>
      <c r="B347" s="9"/>
      <c r="C347" s="9" t="s">
        <v>159</v>
      </c>
      <c r="D347" s="9"/>
      <c r="E347" s="9"/>
      <c r="F347" s="9" t="str">
        <f ca="1">IF(D347="", "", VLOOKUP(D347, Sheet3!C:P, 14, FALSE) &amp; ", " &amp; DATEDIF(VLOOKUP(D347, Sheet3!C:N, 12, FALSE), TODAY(), "y") &amp; " Years Experience")</f>
        <v/>
      </c>
      <c r="G347" s="9"/>
      <c r="H347" s="11">
        <v>7</v>
      </c>
      <c r="I347" s="11"/>
      <c r="J347" s="11"/>
      <c r="K347" s="11">
        <v>1</v>
      </c>
      <c r="L347" s="9">
        <v>1</v>
      </c>
      <c r="M347" s="9"/>
      <c r="N347" s="9"/>
      <c r="O347" s="9"/>
      <c r="P347" s="9"/>
    </row>
    <row r="348" spans="1:16">
      <c r="A348" s="9"/>
      <c r="B348" s="9"/>
      <c r="C348" s="9" t="s">
        <v>160</v>
      </c>
      <c r="D348" s="9"/>
      <c r="E348" s="9"/>
      <c r="F348" s="9" t="str">
        <f ca="1">IF(D348="", "", VLOOKUP(D348, Sheet3!C:P, 14, FALSE) &amp; ", " &amp; DATEDIF(VLOOKUP(D348, Sheet3!C:N, 12, FALSE), TODAY(), "y") &amp; " Years Experience")</f>
        <v/>
      </c>
      <c r="G348" s="9"/>
      <c r="H348" s="15" t="s">
        <v>24</v>
      </c>
      <c r="I348" s="15"/>
      <c r="J348" s="15"/>
      <c r="K348" s="11">
        <v>4</v>
      </c>
      <c r="L348" s="9">
        <v>5</v>
      </c>
      <c r="M348" s="9"/>
      <c r="N348" s="9"/>
      <c r="O348" s="9"/>
      <c r="P348" s="9"/>
    </row>
    <row r="349" spans="1:16">
      <c r="A349" s="9"/>
      <c r="B349" s="9"/>
      <c r="C349" s="19" t="s">
        <v>161</v>
      </c>
      <c r="D349" s="19"/>
      <c r="E349" s="19"/>
      <c r="F349" s="9" t="str">
        <f ca="1">IF(D349="", "", VLOOKUP(D349, Sheet3!C:P, 14, FALSE) &amp; ", " &amp; DATEDIF(VLOOKUP(D349, Sheet3!C:N, 12, FALSE), TODAY(), "y") &amp; " Years Experience")</f>
        <v/>
      </c>
      <c r="G349" s="19"/>
      <c r="H349" s="11"/>
      <c r="I349" s="11"/>
      <c r="J349" s="11"/>
      <c r="K349" s="11"/>
      <c r="L349" s="9"/>
      <c r="M349" s="9"/>
      <c r="N349" s="9"/>
      <c r="O349" s="9"/>
      <c r="P349" s="9"/>
    </row>
    <row r="350" spans="1:16">
      <c r="A350" s="9"/>
      <c r="B350" s="9"/>
      <c r="C350" s="9" t="s">
        <v>162</v>
      </c>
      <c r="D350" s="9"/>
      <c r="E350" s="9"/>
      <c r="F350" s="9" t="str">
        <f ca="1">IF(D350="", "", VLOOKUP(D350, Sheet3!C:P, 14, FALSE) &amp; ", " &amp; DATEDIF(VLOOKUP(D350, Sheet3!C:N, 12, FALSE), TODAY(), "y") &amp; " Years Experience")</f>
        <v/>
      </c>
      <c r="G350" s="9"/>
      <c r="H350" s="11">
        <v>3</v>
      </c>
      <c r="I350" s="11"/>
      <c r="J350" s="11"/>
      <c r="K350" s="11">
        <v>1</v>
      </c>
      <c r="L350" s="9">
        <v>0</v>
      </c>
      <c r="M350" s="9"/>
      <c r="N350" s="9"/>
      <c r="O350" s="9"/>
      <c r="P350" s="9"/>
    </row>
    <row r="351" spans="1:16">
      <c r="A351" s="9"/>
      <c r="B351" s="9"/>
      <c r="C351" s="9" t="s">
        <v>19</v>
      </c>
      <c r="D351" s="9"/>
      <c r="E351" s="9"/>
      <c r="F351" s="9" t="str">
        <f ca="1">IF(D351="", "", VLOOKUP(D351, Sheet3!C:P, 14, FALSE) &amp; ", " &amp; DATEDIF(VLOOKUP(D351, Sheet3!C:N, 12, FALSE), TODAY(), "y") &amp; " Years Experience")</f>
        <v/>
      </c>
      <c r="G351" s="9"/>
      <c r="H351" s="11">
        <v>4</v>
      </c>
      <c r="I351" s="11"/>
      <c r="J351" s="11"/>
      <c r="K351" s="11">
        <v>0</v>
      </c>
      <c r="L351" s="9">
        <v>0</v>
      </c>
      <c r="M351" s="9"/>
      <c r="N351" s="9"/>
      <c r="O351" s="9"/>
      <c r="P351" s="9"/>
    </row>
    <row r="352" spans="1:16">
      <c r="A352" s="9"/>
      <c r="B352" s="9"/>
      <c r="C352" s="9" t="s">
        <v>163</v>
      </c>
      <c r="D352" s="9"/>
      <c r="E352" s="9"/>
      <c r="F352" s="9" t="str">
        <f ca="1">IF(D352="", "", VLOOKUP(D352, Sheet3!C:P, 14, FALSE) &amp; ", " &amp; DATEDIF(VLOOKUP(D352, Sheet3!C:N, 12, FALSE), TODAY(), "y") &amp; " Years Experience")</f>
        <v/>
      </c>
      <c r="G352" s="9"/>
      <c r="H352" s="11">
        <v>5</v>
      </c>
      <c r="I352" s="11"/>
      <c r="J352" s="11"/>
      <c r="K352" s="11">
        <v>1</v>
      </c>
      <c r="L352" s="9">
        <v>0</v>
      </c>
      <c r="M352" s="9"/>
      <c r="N352" s="9"/>
      <c r="O352" s="9"/>
      <c r="P352" s="9"/>
    </row>
    <row r="353" spans="1:16">
      <c r="A353" s="9"/>
      <c r="B353" s="9"/>
      <c r="C353" s="9" t="s">
        <v>164</v>
      </c>
      <c r="D353" s="9"/>
      <c r="E353" s="9"/>
      <c r="F353" s="9" t="str">
        <f ca="1">IF(D353="", "", VLOOKUP(D353, Sheet3!C:P, 14, FALSE) &amp; ", " &amp; DATEDIF(VLOOKUP(D353, Sheet3!C:N, 12, FALSE), TODAY(), "y") &amp; " Years Experience")</f>
        <v/>
      </c>
      <c r="G353" s="9"/>
      <c r="H353" s="15" t="s">
        <v>9</v>
      </c>
      <c r="I353" s="15"/>
      <c r="J353" s="15"/>
      <c r="K353" s="11">
        <v>2</v>
      </c>
      <c r="L353" s="9">
        <v>1</v>
      </c>
      <c r="M353" s="9"/>
      <c r="N353" s="9"/>
      <c r="O353" s="9"/>
      <c r="P353" s="9"/>
    </row>
    <row r="354" spans="1:16">
      <c r="A354" s="9"/>
      <c r="B354" s="9"/>
      <c r="C354" s="9" t="s">
        <v>165</v>
      </c>
      <c r="D354" s="9"/>
      <c r="E354" s="9"/>
      <c r="F354" s="9" t="str">
        <f ca="1">IF(D354="", "", VLOOKUP(D354, Sheet3!C:P, 14, FALSE) &amp; ", " &amp; DATEDIF(VLOOKUP(D354, Sheet3!C:N, 12, FALSE), TODAY(), "y") &amp; " Years Experience")</f>
        <v/>
      </c>
      <c r="G354" s="9"/>
      <c r="H354" s="11">
        <v>7</v>
      </c>
      <c r="I354" s="11"/>
      <c r="J354" s="11"/>
      <c r="K354" s="11">
        <v>1</v>
      </c>
      <c r="L354" s="9">
        <v>2</v>
      </c>
      <c r="M354" s="9"/>
      <c r="N354" s="9"/>
      <c r="O354" s="9"/>
      <c r="P354" s="9"/>
    </row>
    <row r="355" spans="1:16">
      <c r="A355" s="9"/>
      <c r="B355" s="9"/>
      <c r="C355" s="9" t="s">
        <v>166</v>
      </c>
      <c r="D355" s="9"/>
      <c r="E355" s="9"/>
      <c r="F355" s="9" t="str">
        <f ca="1">IF(D355="", "", VLOOKUP(D355, Sheet3!C:P, 14, FALSE) &amp; ", " &amp; DATEDIF(VLOOKUP(D355, Sheet3!C:N, 12, FALSE), TODAY(), "y") &amp; " Years Experience")</f>
        <v/>
      </c>
      <c r="G355" s="9"/>
      <c r="H355" s="15" t="s">
        <v>24</v>
      </c>
      <c r="I355" s="15"/>
      <c r="J355" s="15"/>
      <c r="K355" s="11">
        <v>0</v>
      </c>
      <c r="L355" s="1">
        <v>1</v>
      </c>
    </row>
    <row r="356" spans="1:16">
      <c r="A356" s="9"/>
      <c r="B356" s="9"/>
      <c r="C356" s="19" t="s">
        <v>167</v>
      </c>
      <c r="D356" s="19"/>
      <c r="E356" s="19"/>
      <c r="F356" s="9" t="str">
        <f ca="1">IF(D356="", "", VLOOKUP(D356, Sheet3!C:P, 14, FALSE) &amp; ", " &amp; DATEDIF(VLOOKUP(D356, Sheet3!C:N, 12, FALSE), TODAY(), "y") &amp; " Years Experience")</f>
        <v/>
      </c>
      <c r="G356" s="19"/>
      <c r="H356" s="11"/>
      <c r="I356" s="11"/>
      <c r="J356" s="11"/>
      <c r="K356" s="11"/>
      <c r="L356" s="9"/>
      <c r="M356" s="9"/>
      <c r="N356" s="9"/>
      <c r="O356" s="9"/>
      <c r="P356" s="9"/>
    </row>
    <row r="357" spans="1:16">
      <c r="A357" s="9"/>
      <c r="B357" s="9"/>
      <c r="C357" s="9" t="s">
        <v>168</v>
      </c>
      <c r="D357" s="9"/>
      <c r="E357" s="9"/>
      <c r="F357" s="9" t="str">
        <f ca="1">IF(D357="", "", VLOOKUP(D357, Sheet3!C:P, 14, FALSE) &amp; ", " &amp; DATEDIF(VLOOKUP(D357, Sheet3!C:N, 12, FALSE), TODAY(), "y") &amp; " Years Experience")</f>
        <v/>
      </c>
      <c r="G357" s="9"/>
      <c r="H357" s="11">
        <v>2</v>
      </c>
      <c r="I357" s="11"/>
      <c r="J357" s="11"/>
      <c r="K357" s="11">
        <v>1</v>
      </c>
      <c r="L357" s="9">
        <v>0</v>
      </c>
      <c r="M357" s="9"/>
      <c r="N357" s="9"/>
      <c r="O357" s="9"/>
      <c r="P357" s="9"/>
    </row>
    <row r="358" spans="1:16">
      <c r="A358" s="9"/>
      <c r="B358" s="9"/>
      <c r="C358" s="9" t="s">
        <v>169</v>
      </c>
      <c r="D358" s="9"/>
      <c r="E358" s="9"/>
      <c r="F358" s="9" t="str">
        <f ca="1">IF(D358="", "", VLOOKUP(D358, Sheet3!C:P, 14, FALSE) &amp; ", " &amp; DATEDIF(VLOOKUP(D358, Sheet3!C:N, 12, FALSE), TODAY(), "y") &amp; " Years Experience")</f>
        <v/>
      </c>
      <c r="G358" s="9"/>
      <c r="H358" s="11">
        <v>3</v>
      </c>
      <c r="I358" s="11"/>
      <c r="J358" s="11"/>
      <c r="K358" s="11">
        <v>0</v>
      </c>
      <c r="L358" s="9">
        <v>0</v>
      </c>
      <c r="M358" s="9"/>
      <c r="N358" s="9"/>
      <c r="O358" s="9"/>
      <c r="P358" s="9"/>
    </row>
    <row r="359" spans="1:16">
      <c r="A359" s="9"/>
      <c r="B359" s="9"/>
      <c r="C359" s="9" t="s">
        <v>170</v>
      </c>
      <c r="D359" s="9"/>
      <c r="E359" s="9"/>
      <c r="F359" s="9" t="str">
        <f ca="1">IF(D359="", "", VLOOKUP(D359, Sheet3!C:P, 14, FALSE) &amp; ", " &amp; DATEDIF(VLOOKUP(D359, Sheet3!C:N, 12, FALSE), TODAY(), "y") &amp; " Years Experience")</f>
        <v/>
      </c>
      <c r="G359" s="9"/>
      <c r="H359" s="11">
        <v>4</v>
      </c>
      <c r="I359" s="11"/>
      <c r="J359" s="11"/>
      <c r="K359" s="11">
        <v>1</v>
      </c>
      <c r="L359" s="9">
        <v>0</v>
      </c>
      <c r="M359" s="9"/>
      <c r="N359" s="9"/>
      <c r="O359" s="9"/>
      <c r="P359" s="9"/>
    </row>
    <row r="360" spans="1:16">
      <c r="A360" s="9"/>
      <c r="B360" s="9"/>
      <c r="C360" s="9" t="s">
        <v>171</v>
      </c>
      <c r="D360" s="9"/>
      <c r="E360" s="9"/>
      <c r="F360" s="9" t="str">
        <f ca="1">IF(D360="", "", VLOOKUP(D360, Sheet3!C:P, 14, FALSE) &amp; ", " &amp; DATEDIF(VLOOKUP(D360, Sheet3!C:N, 12, FALSE), TODAY(), "y") &amp; " Years Experience")</f>
        <v/>
      </c>
      <c r="G360" s="9"/>
      <c r="H360" s="11">
        <v>5</v>
      </c>
      <c r="I360" s="11"/>
      <c r="J360" s="11"/>
      <c r="K360" s="11">
        <v>1</v>
      </c>
      <c r="L360" s="9">
        <v>0</v>
      </c>
      <c r="M360" s="9"/>
      <c r="N360" s="9"/>
      <c r="O360" s="9"/>
      <c r="P360" s="9"/>
    </row>
    <row r="361" spans="1:16">
      <c r="A361" s="9"/>
      <c r="B361" s="9"/>
      <c r="C361" s="9" t="s">
        <v>172</v>
      </c>
      <c r="D361" s="9"/>
      <c r="E361" s="9"/>
      <c r="F361" s="9" t="str">
        <f ca="1">IF(D361="", "", VLOOKUP(D361, Sheet3!C:P, 14, FALSE) &amp; ", " &amp; DATEDIF(VLOOKUP(D361, Sheet3!C:N, 12, FALSE), TODAY(), "y") &amp; " Years Experience")</f>
        <v/>
      </c>
      <c r="G361" s="9"/>
      <c r="H361" s="15" t="s">
        <v>9</v>
      </c>
      <c r="I361" s="15"/>
      <c r="J361" s="15"/>
      <c r="K361" s="11">
        <v>0</v>
      </c>
      <c r="L361" s="9">
        <v>1</v>
      </c>
      <c r="M361" s="9"/>
      <c r="N361" s="9"/>
      <c r="O361" s="9"/>
      <c r="P361" s="9"/>
    </row>
    <row r="362" spans="1:16" s="25" customFormat="1">
      <c r="A362" s="19"/>
      <c r="B362" s="19"/>
      <c r="C362" s="19" t="s">
        <v>173</v>
      </c>
      <c r="D362" s="19"/>
      <c r="E362" s="19"/>
      <c r="F362" s="9" t="str">
        <f>IF(D362="", "", VLOOKUP(D362, Sheet3!C:P, 14, FALSE))</f>
        <v/>
      </c>
      <c r="G362" s="19"/>
      <c r="H362" s="24"/>
      <c r="I362" s="24"/>
      <c r="J362" s="24"/>
      <c r="K362" s="24">
        <f>SUM(K8:K361)</f>
        <v>334</v>
      </c>
      <c r="L362" s="19">
        <f>SUM(L7:L361)</f>
        <v>186</v>
      </c>
      <c r="M362" s="19"/>
      <c r="N362" s="19"/>
      <c r="O362" s="19"/>
      <c r="P362" s="19"/>
    </row>
  </sheetData>
  <mergeCells count="19">
    <mergeCell ref="C222:C223"/>
    <mergeCell ref="K222:K224"/>
    <mergeCell ref="H233:H234"/>
    <mergeCell ref="K233:K234"/>
    <mergeCell ref="I233:I234"/>
    <mergeCell ref="C233:C234"/>
    <mergeCell ref="K10:K11"/>
    <mergeCell ref="L10:L11"/>
    <mergeCell ref="K12:K13"/>
    <mergeCell ref="L12:L13"/>
    <mergeCell ref="K14:K15"/>
    <mergeCell ref="L14:L15"/>
    <mergeCell ref="C2:P2"/>
    <mergeCell ref="L5:L6"/>
    <mergeCell ref="A5:A6"/>
    <mergeCell ref="B5:B6"/>
    <mergeCell ref="C5:C6"/>
    <mergeCell ref="H5:H6"/>
    <mergeCell ref="K5:K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20"/>
  <sheetViews>
    <sheetView zoomScale="76" zoomScaleNormal="76" workbookViewId="0">
      <selection activeCell="C13" sqref="C13"/>
    </sheetView>
  </sheetViews>
  <sheetFormatPr defaultRowHeight="14.4"/>
  <cols>
    <col min="1" max="1" width="6" customWidth="1"/>
    <col min="2" max="2" width="9" customWidth="1"/>
    <col min="3" max="3" width="15" bestFit="1" customWidth="1"/>
    <col min="4" max="4" width="44.44140625" bestFit="1" customWidth="1"/>
    <col min="5" max="5" width="44.44140625" customWidth="1"/>
    <col min="6" max="6" width="33.88671875" style="98" customWidth="1"/>
    <col min="7" max="7" width="7.5546875" bestFit="1" customWidth="1"/>
    <col min="8" max="8" width="4.44140625" bestFit="1" customWidth="1"/>
    <col min="9" max="9" width="39.44140625" style="98" customWidth="1"/>
    <col min="10" max="10" width="29.33203125" style="98" customWidth="1"/>
    <col min="11" max="11" width="9.5546875" style="98" customWidth="1"/>
    <col min="12" max="12" width="17.6640625" style="98" customWidth="1"/>
    <col min="13" max="13" width="12.33203125" style="98" customWidth="1"/>
    <col min="14" max="14" width="16.44140625" style="98" bestFit="1" customWidth="1"/>
    <col min="15" max="15" width="36.109375" style="98" bestFit="1" customWidth="1"/>
    <col min="16" max="16" width="57.88671875" style="98" bestFit="1" customWidth="1"/>
    <col min="17" max="17" width="34" style="98" customWidth="1"/>
    <col min="18" max="18" width="56.33203125" style="98" bestFit="1" customWidth="1"/>
    <col min="19" max="19" width="76.88671875" bestFit="1" customWidth="1"/>
    <col min="20" max="20" width="63.33203125" customWidth="1"/>
    <col min="21" max="21" width="47.88671875" style="98" customWidth="1"/>
    <col min="22" max="22" width="16.33203125" style="98" customWidth="1"/>
    <col min="23" max="23" width="18.109375" style="98" customWidth="1"/>
    <col min="24" max="24" width="42.6640625" style="98" customWidth="1"/>
    <col min="25" max="25" width="48.44140625" style="98" bestFit="1" customWidth="1"/>
    <col min="26" max="26" width="22.109375" bestFit="1" customWidth="1"/>
  </cols>
  <sheetData>
    <row r="1" spans="1:27">
      <c r="A1" s="54" t="s">
        <v>208</v>
      </c>
      <c r="B1" s="54" t="e">
        <f t="array" ref="B1">+B1:H41H214B1:H47B1:H47H214B1:H47B1:H53H2B1:I47</f>
        <v>#NAME?</v>
      </c>
      <c r="C1" s="54" t="s">
        <v>209</v>
      </c>
      <c r="D1" s="54" t="s">
        <v>210</v>
      </c>
      <c r="E1" s="54"/>
      <c r="F1" s="55" t="s">
        <v>211</v>
      </c>
      <c r="G1" s="54" t="s">
        <v>212</v>
      </c>
      <c r="H1" s="54" t="s">
        <v>213</v>
      </c>
      <c r="I1" s="55" t="s">
        <v>214</v>
      </c>
      <c r="J1" s="55" t="s">
        <v>215</v>
      </c>
      <c r="K1" s="55" t="s">
        <v>216</v>
      </c>
      <c r="L1" s="55" t="s">
        <v>217</v>
      </c>
      <c r="M1" s="55" t="s">
        <v>218</v>
      </c>
      <c r="N1" s="56" t="s">
        <v>686</v>
      </c>
      <c r="O1" s="56"/>
      <c r="P1" s="56"/>
      <c r="Q1" s="57">
        <v>0</v>
      </c>
      <c r="R1" s="58"/>
      <c r="S1" s="58"/>
      <c r="T1" s="58"/>
      <c r="U1" s="58"/>
      <c r="V1" s="58"/>
      <c r="W1" s="58"/>
      <c r="X1" s="59"/>
      <c r="Y1" s="55" t="s">
        <v>220</v>
      </c>
      <c r="Z1" s="55" t="s">
        <v>221</v>
      </c>
      <c r="AA1" s="55"/>
    </row>
    <row r="2" spans="1:27" s="67" customFormat="1">
      <c r="A2" s="60"/>
      <c r="B2" s="60"/>
      <c r="C2" s="61"/>
      <c r="D2" s="62" t="s">
        <v>222</v>
      </c>
      <c r="E2" s="63"/>
      <c r="F2" s="63"/>
      <c r="G2" s="63"/>
      <c r="H2" s="63"/>
      <c r="I2" s="64"/>
      <c r="J2" s="65"/>
      <c r="K2" s="65"/>
      <c r="L2" s="65"/>
      <c r="M2" s="65"/>
      <c r="N2" s="65"/>
      <c r="O2" s="65"/>
      <c r="P2" s="65"/>
      <c r="Q2" s="65" t="s">
        <v>687</v>
      </c>
      <c r="R2" s="61" t="s">
        <v>245</v>
      </c>
      <c r="S2" s="61" t="s">
        <v>688</v>
      </c>
      <c r="T2" s="65" t="s">
        <v>265</v>
      </c>
      <c r="U2" s="65" t="s">
        <v>689</v>
      </c>
      <c r="V2" s="65" t="s">
        <v>690</v>
      </c>
      <c r="W2" s="65" t="s">
        <v>691</v>
      </c>
      <c r="X2" s="55" t="s">
        <v>692</v>
      </c>
      <c r="Y2" s="65"/>
      <c r="Z2" s="66"/>
      <c r="AA2" s="66"/>
    </row>
    <row r="3" spans="1:27" s="72" customFormat="1">
      <c r="A3" s="68">
        <v>1</v>
      </c>
      <c r="B3" s="68">
        <v>1</v>
      </c>
      <c r="C3" s="68">
        <v>19901899045</v>
      </c>
      <c r="D3" s="68" t="s">
        <v>223</v>
      </c>
      <c r="E3" s="68"/>
      <c r="F3" s="69">
        <v>3731123</v>
      </c>
      <c r="G3" s="68" t="s">
        <v>224</v>
      </c>
      <c r="H3" s="68">
        <v>61</v>
      </c>
      <c r="I3" s="69" t="s">
        <v>225</v>
      </c>
      <c r="J3" s="69" t="s">
        <v>226</v>
      </c>
      <c r="K3" s="69" t="s">
        <v>227</v>
      </c>
      <c r="L3" s="69" t="s">
        <v>228</v>
      </c>
      <c r="M3" s="69" t="s">
        <v>229</v>
      </c>
      <c r="N3" s="70">
        <v>32908</v>
      </c>
      <c r="O3" s="68" t="s">
        <v>223</v>
      </c>
      <c r="P3" s="127" t="str">
        <f t="shared" ref="P3:P67" si="0">SUBSTITUTE(TRIM(
    IF(COUNTIF(Q3:X3, "*Philosophy*"), "PhD ", "") &amp;
    IF(COUNTIF(Q3:X3, "*Master*"), "MSc ", "") &amp;
    IF(COUNTIF(Q3:X3, "*Bachelor*"), "Bachelors ", "") &amp;
    IF(COUNTIF(Q3:X3, "*Diploma*"), "Dip ", "") &amp;
    IF(COUNTIF(Q3:X3, "*KCSE*"), "KCSE ", "") &amp;
    IF(COUNTIF(Q3:X3, "*KCPE*"), "KCPE ", "") &amp;
    IF(COUNTIF(Q3:X3, "*IHRM*"), "IHRM ", "") &amp;
    IF(COUNTIF(Q3:X3, "*HRMPB*"), "HRMPB ", "") &amp;
    IF(COUNTIF(Q3:X3, "*KISM*"), "KISM ", "") &amp;
    IF(COUNTIF(Q3:X3, "*ICPAK*"), "ICPAK ", "") &amp;
    IF(COUNTIF(Q3:X3, "*CPA*"), "CPA ", "") &amp;
    IF(COUNTIF(Q3:X3, "*Strategic Leadership*"), "SLDP ", "") &amp;
    IF(COUNTIF(Q3:X3, "*Senior Management*"), "SMC ", "") &amp;
    IF(COUNTIF(Q3:X3, "*Nursing*"), "NCK ", "") &amp;
    IF(COUNTIF(Q3:X3, "*KMLTTB*"), "KMLTTB ", "") &amp;
    IF(COUNTIF(Q3:X3, "*Cstat*"), "Cstat ", "") &amp;
    IF(SUMPRODUCT(LEN(Q3:X3)-LEN(SUBSTITUTE(UPPER(Q3:X3),"CERTIFICATE","")))/11&gt;0,
       SUMPRODUCT(LEN(Q3:X3)-LEN(SUBSTITUTE(UPPER(Q3:X3),"CERTIFICATE","")))/11 &amp; " Certificates ", "")
), " ", ", ")</f>
        <v>PhD, MSc, Bachelors, KCSE, KCPE</v>
      </c>
      <c r="Q3" s="69" t="s">
        <v>693</v>
      </c>
      <c r="R3" s="68" t="s">
        <v>694</v>
      </c>
      <c r="S3" s="68" t="s">
        <v>695</v>
      </c>
      <c r="T3" s="69"/>
      <c r="U3" s="69"/>
      <c r="V3" s="69" t="s">
        <v>690</v>
      </c>
      <c r="W3" s="69" t="s">
        <v>691</v>
      </c>
      <c r="X3" s="69"/>
      <c r="Y3" s="69" t="s">
        <v>231</v>
      </c>
      <c r="Z3" s="71" t="s">
        <v>232</v>
      </c>
    </row>
    <row r="4" spans="1:27" s="72" customFormat="1">
      <c r="A4" s="68">
        <v>2</v>
      </c>
      <c r="B4" s="68">
        <v>2</v>
      </c>
      <c r="C4" s="68">
        <v>19990495773</v>
      </c>
      <c r="D4" s="68" t="s">
        <v>233</v>
      </c>
      <c r="E4" s="68"/>
      <c r="F4" s="69">
        <v>12701644</v>
      </c>
      <c r="G4" s="68" t="s">
        <v>234</v>
      </c>
      <c r="H4" s="68">
        <v>50</v>
      </c>
      <c r="I4" s="69" t="s">
        <v>235</v>
      </c>
      <c r="J4" s="69" t="s">
        <v>236</v>
      </c>
      <c r="K4" s="69" t="s">
        <v>237</v>
      </c>
      <c r="L4" s="69" t="s">
        <v>228</v>
      </c>
      <c r="M4" s="69" t="s">
        <v>238</v>
      </c>
      <c r="N4" s="70">
        <v>36167</v>
      </c>
      <c r="O4" s="68" t="s">
        <v>233</v>
      </c>
      <c r="P4" s="127" t="str">
        <f t="shared" si="0"/>
        <v>Dip, KCSE, KCPE</v>
      </c>
      <c r="Q4" s="69"/>
      <c r="R4" s="68"/>
      <c r="S4" s="68"/>
      <c r="T4" s="69" t="s">
        <v>696</v>
      </c>
      <c r="U4" s="69"/>
      <c r="V4" s="69" t="s">
        <v>690</v>
      </c>
      <c r="W4" s="69" t="s">
        <v>691</v>
      </c>
      <c r="X4" s="69"/>
      <c r="Y4" s="69" t="s">
        <v>240</v>
      </c>
      <c r="Z4" s="71" t="s">
        <v>241</v>
      </c>
    </row>
    <row r="5" spans="1:27" s="72" customFormat="1">
      <c r="A5" s="68">
        <v>3</v>
      </c>
      <c r="B5" s="68">
        <v>3</v>
      </c>
      <c r="C5" s="68">
        <v>20114215626</v>
      </c>
      <c r="D5" s="68" t="s">
        <v>242</v>
      </c>
      <c r="E5" s="68"/>
      <c r="F5" s="69">
        <v>13361887</v>
      </c>
      <c r="G5" s="68" t="s">
        <v>224</v>
      </c>
      <c r="H5" s="68">
        <v>53</v>
      </c>
      <c r="I5" s="69" t="s">
        <v>243</v>
      </c>
      <c r="J5" s="69" t="s">
        <v>236</v>
      </c>
      <c r="K5" s="69" t="s">
        <v>237</v>
      </c>
      <c r="L5" s="69" t="s">
        <v>228</v>
      </c>
      <c r="M5" s="69" t="s">
        <v>244</v>
      </c>
      <c r="N5" s="70">
        <v>40546</v>
      </c>
      <c r="O5" s="68" t="s">
        <v>242</v>
      </c>
      <c r="P5" s="127" t="str">
        <f t="shared" si="0"/>
        <v>MSc, Bachelors, Dip, KCSE, KCPE, IHRM, HRMPB, SLDP, SMC</v>
      </c>
      <c r="Q5" s="69"/>
      <c r="R5" s="73" t="s">
        <v>697</v>
      </c>
      <c r="S5" s="72" t="s">
        <v>698</v>
      </c>
      <c r="T5" s="72" t="s">
        <v>699</v>
      </c>
      <c r="V5" s="69" t="s">
        <v>690</v>
      </c>
      <c r="W5" s="69" t="s">
        <v>691</v>
      </c>
      <c r="X5" s="73" t="s">
        <v>700</v>
      </c>
      <c r="Y5" s="69" t="s">
        <v>240</v>
      </c>
      <c r="Z5" s="71" t="s">
        <v>246</v>
      </c>
    </row>
    <row r="6" spans="1:27">
      <c r="A6" s="74">
        <v>4</v>
      </c>
      <c r="B6" s="74">
        <v>4</v>
      </c>
      <c r="C6" s="74">
        <v>20060933912</v>
      </c>
      <c r="D6" s="74" t="s">
        <v>633</v>
      </c>
      <c r="E6" s="74"/>
      <c r="F6" s="75">
        <v>23888972</v>
      </c>
      <c r="G6" s="74" t="s">
        <v>234</v>
      </c>
      <c r="H6" s="74">
        <v>43</v>
      </c>
      <c r="I6" s="75" t="s">
        <v>634</v>
      </c>
      <c r="J6" s="75" t="s">
        <v>236</v>
      </c>
      <c r="K6" s="75" t="s">
        <v>224</v>
      </c>
      <c r="L6" s="75" t="s">
        <v>228</v>
      </c>
      <c r="M6" s="75" t="s">
        <v>635</v>
      </c>
      <c r="N6" s="76">
        <v>38724</v>
      </c>
      <c r="O6" s="74" t="s">
        <v>633</v>
      </c>
      <c r="P6" s="127" t="str">
        <f t="shared" si="0"/>
        <v>Bachelors, KCSE, KCPE, KISM</v>
      </c>
      <c r="Q6" s="75"/>
      <c r="R6" s="74"/>
      <c r="S6" t="s">
        <v>701</v>
      </c>
      <c r="T6" s="75"/>
      <c r="U6" s="75"/>
      <c r="V6" s="124" t="s">
        <v>690</v>
      </c>
      <c r="W6" s="75" t="s">
        <v>691</v>
      </c>
      <c r="X6" s="75" t="s">
        <v>702</v>
      </c>
      <c r="Y6" s="75" t="s">
        <v>240</v>
      </c>
      <c r="Z6" s="77" t="s">
        <v>289</v>
      </c>
    </row>
    <row r="7" spans="1:27">
      <c r="A7" s="74">
        <v>5</v>
      </c>
      <c r="B7" s="74">
        <v>5</v>
      </c>
      <c r="C7" s="74">
        <v>20210646216</v>
      </c>
      <c r="D7" s="74" t="s">
        <v>569</v>
      </c>
      <c r="E7" s="74"/>
      <c r="F7" s="75">
        <v>24212658</v>
      </c>
      <c r="G7" s="74" t="s">
        <v>234</v>
      </c>
      <c r="H7" s="74">
        <v>40</v>
      </c>
      <c r="I7" s="75" t="s">
        <v>400</v>
      </c>
      <c r="J7" s="75" t="s">
        <v>236</v>
      </c>
      <c r="K7" s="75" t="s">
        <v>224</v>
      </c>
      <c r="L7" s="75" t="s">
        <v>228</v>
      </c>
      <c r="M7" s="75" t="s">
        <v>255</v>
      </c>
      <c r="N7" s="76">
        <v>44197</v>
      </c>
      <c r="O7" s="74" t="s">
        <v>569</v>
      </c>
      <c r="P7" s="127" t="str">
        <f t="shared" si="0"/>
        <v>MSc, Bachelors, Dip, KCSE, KCPE, ICPAK, CPA, 1, Certificates</v>
      </c>
      <c r="Q7" s="75"/>
      <c r="R7" t="s">
        <v>703</v>
      </c>
      <c r="S7" t="s">
        <v>704</v>
      </c>
      <c r="T7" t="s">
        <v>705</v>
      </c>
      <c r="U7" t="s">
        <v>706</v>
      </c>
      <c r="V7" s="124" t="s">
        <v>690</v>
      </c>
      <c r="W7" s="75" t="s">
        <v>691</v>
      </c>
      <c r="X7" s="75" t="s">
        <v>707</v>
      </c>
      <c r="Y7" s="75" t="s">
        <v>231</v>
      </c>
      <c r="Z7" s="77" t="s">
        <v>251</v>
      </c>
    </row>
    <row r="8" spans="1:27">
      <c r="A8" s="74">
        <v>6</v>
      </c>
      <c r="B8" s="74">
        <v>6</v>
      </c>
      <c r="C8" s="74">
        <v>20160708902</v>
      </c>
      <c r="D8" s="74" t="s">
        <v>252</v>
      </c>
      <c r="E8" s="74"/>
      <c r="F8" s="75">
        <v>24938714</v>
      </c>
      <c r="G8" s="74" t="s">
        <v>224</v>
      </c>
      <c r="H8" s="74">
        <v>38</v>
      </c>
      <c r="I8" s="75" t="s">
        <v>253</v>
      </c>
      <c r="J8" s="75" t="s">
        <v>236</v>
      </c>
      <c r="K8" s="75" t="s">
        <v>254</v>
      </c>
      <c r="L8" s="75" t="s">
        <v>228</v>
      </c>
      <c r="M8" s="75" t="s">
        <v>255</v>
      </c>
      <c r="N8" s="76">
        <v>42377</v>
      </c>
      <c r="O8" s="74" t="s">
        <v>252</v>
      </c>
      <c r="P8" s="127" t="str">
        <f t="shared" si="0"/>
        <v>Bachelors, KCSE, KCPE</v>
      </c>
      <c r="Q8" s="75"/>
      <c r="R8"/>
      <c r="S8" t="s">
        <v>708</v>
      </c>
      <c r="T8" s="75"/>
      <c r="U8" s="75"/>
      <c r="V8" s="124" t="s">
        <v>690</v>
      </c>
      <c r="W8" s="75" t="s">
        <v>691</v>
      </c>
      <c r="X8" s="75"/>
      <c r="Y8" s="75" t="s">
        <v>231</v>
      </c>
      <c r="Z8" s="77" t="s">
        <v>257</v>
      </c>
    </row>
    <row r="9" spans="1:27">
      <c r="A9" s="74">
        <v>7</v>
      </c>
      <c r="B9" s="74">
        <v>7</v>
      </c>
      <c r="C9" s="74">
        <v>20220598180</v>
      </c>
      <c r="D9" s="74" t="s">
        <v>258</v>
      </c>
      <c r="E9" s="74"/>
      <c r="F9" s="75">
        <v>31860798</v>
      </c>
      <c r="G9" s="74" t="s">
        <v>224</v>
      </c>
      <c r="H9" s="74">
        <v>30</v>
      </c>
      <c r="I9" s="75" t="s">
        <v>259</v>
      </c>
      <c r="J9" s="75" t="s">
        <v>236</v>
      </c>
      <c r="K9" s="75" t="s">
        <v>254</v>
      </c>
      <c r="L9" s="75" t="s">
        <v>228</v>
      </c>
      <c r="M9" s="75" t="s">
        <v>260</v>
      </c>
      <c r="N9" s="76">
        <v>44563</v>
      </c>
      <c r="O9" s="74" t="s">
        <v>258</v>
      </c>
      <c r="P9" s="127" t="str">
        <f t="shared" si="0"/>
        <v>Bachelors, KCSE, KCPE</v>
      </c>
      <c r="Q9" s="75"/>
      <c r="R9"/>
      <c r="S9" t="s">
        <v>709</v>
      </c>
      <c r="T9" s="75"/>
      <c r="U9" s="75"/>
      <c r="V9" s="124" t="s">
        <v>690</v>
      </c>
      <c r="W9" s="75" t="s">
        <v>691</v>
      </c>
      <c r="X9" s="75"/>
      <c r="Y9" s="75" t="s">
        <v>231</v>
      </c>
      <c r="Z9" s="77" t="s">
        <v>257</v>
      </c>
    </row>
    <row r="10" spans="1:27">
      <c r="A10" s="74">
        <v>8</v>
      </c>
      <c r="B10" s="74">
        <v>8</v>
      </c>
      <c r="C10" s="74">
        <v>19990495812</v>
      </c>
      <c r="D10" s="74" t="s">
        <v>261</v>
      </c>
      <c r="E10" s="74"/>
      <c r="F10" s="75">
        <v>20257607</v>
      </c>
      <c r="G10" s="74" t="s">
        <v>234</v>
      </c>
      <c r="H10" s="74">
        <v>48</v>
      </c>
      <c r="I10" s="75" t="s">
        <v>262</v>
      </c>
      <c r="J10" s="75" t="s">
        <v>236</v>
      </c>
      <c r="K10" s="75" t="s">
        <v>263</v>
      </c>
      <c r="L10" s="75" t="s">
        <v>228</v>
      </c>
      <c r="M10" s="75" t="s">
        <v>264</v>
      </c>
      <c r="N10" s="76">
        <v>36166</v>
      </c>
      <c r="O10" s="74" t="s">
        <v>261</v>
      </c>
      <c r="P10" s="127" t="str">
        <f t="shared" si="0"/>
        <v>Dip, KCSE, KCPE</v>
      </c>
      <c r="Q10" s="75"/>
      <c r="R10" s="74"/>
      <c r="S10" t="s">
        <v>710</v>
      </c>
      <c r="U10" s="75"/>
      <c r="V10" s="124" t="s">
        <v>690</v>
      </c>
      <c r="W10" s="75" t="s">
        <v>691</v>
      </c>
      <c r="X10" s="75"/>
      <c r="Y10" s="75" t="s">
        <v>240</v>
      </c>
      <c r="Z10" s="77" t="s">
        <v>266</v>
      </c>
    </row>
    <row r="11" spans="1:27">
      <c r="A11" s="74">
        <v>9</v>
      </c>
      <c r="B11" s="74">
        <v>9</v>
      </c>
      <c r="C11" s="74">
        <v>20077018333</v>
      </c>
      <c r="D11" s="74" t="s">
        <v>274</v>
      </c>
      <c r="E11" s="74"/>
      <c r="F11" s="75">
        <v>10998397</v>
      </c>
      <c r="G11" s="74" t="s">
        <v>234</v>
      </c>
      <c r="H11" s="74">
        <v>53</v>
      </c>
      <c r="I11" s="75" t="s">
        <v>275</v>
      </c>
      <c r="J11" s="75" t="s">
        <v>236</v>
      </c>
      <c r="K11" s="75" t="s">
        <v>276</v>
      </c>
      <c r="L11" s="75" t="s">
        <v>228</v>
      </c>
      <c r="M11" s="75" t="s">
        <v>277</v>
      </c>
      <c r="N11" s="76">
        <v>39083</v>
      </c>
      <c r="O11" s="74" t="s">
        <v>274</v>
      </c>
      <c r="P11" s="127" t="str">
        <f t="shared" si="0"/>
        <v>Dip, KCSE, KCPE</v>
      </c>
      <c r="Q11" s="75"/>
      <c r="R11" s="74"/>
      <c r="S11" s="74"/>
      <c r="T11" t="s">
        <v>711</v>
      </c>
      <c r="U11" s="75"/>
      <c r="V11" s="124" t="s">
        <v>690</v>
      </c>
      <c r="W11" s="75" t="s">
        <v>691</v>
      </c>
      <c r="X11" s="75"/>
      <c r="Y11" s="75" t="s">
        <v>240</v>
      </c>
      <c r="Z11" s="77" t="s">
        <v>232</v>
      </c>
    </row>
    <row r="12" spans="1:27">
      <c r="A12" s="74">
        <v>10</v>
      </c>
      <c r="B12" s="74">
        <v>10</v>
      </c>
      <c r="C12" s="74">
        <v>20077018202</v>
      </c>
      <c r="D12" s="74" t="s">
        <v>279</v>
      </c>
      <c r="E12" s="74"/>
      <c r="F12" s="75">
        <v>13133273</v>
      </c>
      <c r="G12" s="74" t="s">
        <v>234</v>
      </c>
      <c r="H12" s="74">
        <v>51</v>
      </c>
      <c r="I12" s="75" t="s">
        <v>280</v>
      </c>
      <c r="J12" s="75" t="s">
        <v>236</v>
      </c>
      <c r="K12" s="75" t="s">
        <v>270</v>
      </c>
      <c r="L12" s="75" t="s">
        <v>228</v>
      </c>
      <c r="M12" s="75" t="s">
        <v>281</v>
      </c>
      <c r="N12" s="76">
        <v>39417</v>
      </c>
      <c r="O12" s="74" t="s">
        <v>279</v>
      </c>
      <c r="P12" s="127" t="str">
        <f t="shared" si="0"/>
        <v>KCSE, KCPE, 1, Certificates</v>
      </c>
      <c r="Q12" s="75"/>
      <c r="R12" s="74"/>
      <c r="S12" s="74"/>
      <c r="T12" s="75"/>
      <c r="U12" t="s">
        <v>712</v>
      </c>
      <c r="V12" s="124" t="s">
        <v>690</v>
      </c>
      <c r="W12" s="75" t="s">
        <v>691</v>
      </c>
      <c r="X12" s="75"/>
      <c r="Y12" s="75" t="s">
        <v>240</v>
      </c>
      <c r="Z12" s="77" t="s">
        <v>246</v>
      </c>
    </row>
    <row r="13" spans="1:27">
      <c r="A13" s="74">
        <v>11</v>
      </c>
      <c r="B13" s="74">
        <v>11</v>
      </c>
      <c r="C13" s="74">
        <v>20220598130</v>
      </c>
      <c r="D13" s="74" t="s">
        <v>282</v>
      </c>
      <c r="E13" s="74"/>
      <c r="F13" s="75">
        <v>35698228</v>
      </c>
      <c r="G13" s="74" t="s">
        <v>234</v>
      </c>
      <c r="H13" s="74">
        <v>27</v>
      </c>
      <c r="I13" s="75" t="s">
        <v>283</v>
      </c>
      <c r="J13" s="75" t="s">
        <v>236</v>
      </c>
      <c r="K13" s="75" t="s">
        <v>270</v>
      </c>
      <c r="L13" s="75" t="s">
        <v>228</v>
      </c>
      <c r="M13" s="75" t="s">
        <v>260</v>
      </c>
      <c r="N13" s="76">
        <v>44563</v>
      </c>
      <c r="O13" s="74" t="s">
        <v>282</v>
      </c>
      <c r="P13" s="127" t="str">
        <f t="shared" si="0"/>
        <v>KCSE, KCPE</v>
      </c>
      <c r="Q13" s="75"/>
      <c r="R13" s="74"/>
      <c r="S13" s="74"/>
      <c r="T13" s="78"/>
      <c r="U13" s="75"/>
      <c r="V13" s="124" t="s">
        <v>690</v>
      </c>
      <c r="W13" s="75" t="s">
        <v>691</v>
      </c>
      <c r="X13" s="75"/>
      <c r="Y13" s="75" t="s">
        <v>231</v>
      </c>
      <c r="Z13" s="77" t="s">
        <v>266</v>
      </c>
    </row>
    <row r="14" spans="1:27">
      <c r="A14" s="74">
        <v>12</v>
      </c>
      <c r="B14" s="74">
        <v>12</v>
      </c>
      <c r="C14" s="74">
        <v>20077018391</v>
      </c>
      <c r="D14" s="74" t="s">
        <v>285</v>
      </c>
      <c r="E14" s="74"/>
      <c r="F14" s="75">
        <v>11625899</v>
      </c>
      <c r="G14" s="74" t="s">
        <v>234</v>
      </c>
      <c r="H14" s="74">
        <v>52</v>
      </c>
      <c r="I14" s="75" t="s">
        <v>286</v>
      </c>
      <c r="J14" s="75" t="s">
        <v>236</v>
      </c>
      <c r="K14" s="75" t="s">
        <v>287</v>
      </c>
      <c r="L14" s="75" t="s">
        <v>228</v>
      </c>
      <c r="M14" s="75" t="s">
        <v>288</v>
      </c>
      <c r="N14" s="76">
        <v>39083</v>
      </c>
      <c r="O14" s="74" t="s">
        <v>285</v>
      </c>
      <c r="P14" s="127" t="str">
        <f t="shared" si="0"/>
        <v>Dip, KCSE, KCPE</v>
      </c>
      <c r="Q14" s="75"/>
      <c r="R14" s="74"/>
      <c r="S14" s="74"/>
      <c r="T14" t="s">
        <v>713</v>
      </c>
      <c r="U14" s="75"/>
      <c r="V14" s="124" t="s">
        <v>690</v>
      </c>
      <c r="W14" s="75" t="s">
        <v>691</v>
      </c>
      <c r="X14" s="75"/>
      <c r="Y14" s="75" t="s">
        <v>240</v>
      </c>
      <c r="Z14" s="77" t="s">
        <v>289</v>
      </c>
    </row>
    <row r="15" spans="1:27">
      <c r="A15" s="74">
        <v>13</v>
      </c>
      <c r="B15" s="74">
        <v>13</v>
      </c>
      <c r="C15" s="74">
        <v>20240300989</v>
      </c>
      <c r="D15" s="74" t="s">
        <v>290</v>
      </c>
      <c r="E15" s="74"/>
      <c r="F15" s="75">
        <v>36675697</v>
      </c>
      <c r="G15" s="74" t="s">
        <v>234</v>
      </c>
      <c r="H15" s="74">
        <v>26</v>
      </c>
      <c r="I15" s="75" t="s">
        <v>286</v>
      </c>
      <c r="J15" s="75" t="s">
        <v>236</v>
      </c>
      <c r="K15" s="75" t="s">
        <v>287</v>
      </c>
      <c r="L15" s="75" t="s">
        <v>228</v>
      </c>
      <c r="M15" s="75" t="s">
        <v>291</v>
      </c>
      <c r="N15" s="76">
        <v>45334</v>
      </c>
      <c r="O15" s="74" t="s">
        <v>290</v>
      </c>
      <c r="P15" s="127" t="str">
        <f t="shared" si="0"/>
        <v>KCSE, KCPE</v>
      </c>
      <c r="Q15" s="75"/>
      <c r="R15" s="74"/>
      <c r="S15" s="74"/>
      <c r="T15" s="75"/>
      <c r="U15" s="75"/>
      <c r="V15" s="124" t="s">
        <v>690</v>
      </c>
      <c r="W15" s="75" t="s">
        <v>691</v>
      </c>
      <c r="X15" s="75"/>
      <c r="Y15" s="75" t="s">
        <v>231</v>
      </c>
      <c r="Z15" s="77" t="s">
        <v>251</v>
      </c>
    </row>
    <row r="16" spans="1:27" s="67" customFormat="1">
      <c r="A16" s="60"/>
      <c r="B16" s="60"/>
      <c r="C16" s="60"/>
      <c r="D16" s="60"/>
      <c r="E16" s="60"/>
      <c r="F16" s="65" t="s">
        <v>292</v>
      </c>
      <c r="G16" s="60"/>
      <c r="H16" s="60"/>
      <c r="I16" s="79"/>
      <c r="J16" s="79"/>
      <c r="K16" s="79"/>
      <c r="L16" s="79"/>
      <c r="M16" s="79"/>
      <c r="N16" s="79"/>
      <c r="O16" s="60"/>
      <c r="P16" s="127" t="str">
        <f t="shared" si="0"/>
        <v>KCSE</v>
      </c>
      <c r="Q16" s="79"/>
      <c r="R16" s="60"/>
      <c r="S16" s="60"/>
      <c r="T16" s="79"/>
      <c r="U16" s="79"/>
      <c r="V16" s="125" t="s">
        <v>690</v>
      </c>
      <c r="W16" s="79"/>
      <c r="X16" s="79"/>
      <c r="Y16" s="66"/>
      <c r="Z16" s="66"/>
    </row>
    <row r="17" spans="1:26" s="72" customFormat="1">
      <c r="A17" s="68">
        <v>14</v>
      </c>
      <c r="B17" s="68">
        <v>14</v>
      </c>
      <c r="C17" s="68">
        <v>19871318408</v>
      </c>
      <c r="D17" s="68" t="s">
        <v>293</v>
      </c>
      <c r="E17" s="68"/>
      <c r="F17" s="69">
        <v>5336502</v>
      </c>
      <c r="G17" s="68" t="s">
        <v>224</v>
      </c>
      <c r="H17" s="68">
        <v>65</v>
      </c>
      <c r="I17" s="69" t="s">
        <v>294</v>
      </c>
      <c r="J17" s="69" t="s">
        <v>295</v>
      </c>
      <c r="K17" s="69" t="s">
        <v>296</v>
      </c>
      <c r="L17" s="69" t="s">
        <v>228</v>
      </c>
      <c r="M17" s="69" t="s">
        <v>297</v>
      </c>
      <c r="N17" s="70">
        <v>31930</v>
      </c>
      <c r="O17" s="68" t="s">
        <v>293</v>
      </c>
      <c r="P17" s="127" t="str">
        <f t="shared" si="0"/>
        <v>MSc, Bachelors, KCSE, KCPE, SMC, 1, Certificates</v>
      </c>
      <c r="Q17" s="69"/>
      <c r="R17" s="80" t="s">
        <v>714</v>
      </c>
      <c r="S17" s="80" t="s">
        <v>715</v>
      </c>
      <c r="T17" s="81"/>
      <c r="U17" s="82" t="s">
        <v>716</v>
      </c>
      <c r="V17" s="126" t="s">
        <v>690</v>
      </c>
      <c r="W17" s="69" t="s">
        <v>691</v>
      </c>
      <c r="X17" s="72" t="s">
        <v>717</v>
      </c>
      <c r="Y17" s="69" t="s">
        <v>240</v>
      </c>
      <c r="Z17" s="71" t="s">
        <v>298</v>
      </c>
    </row>
    <row r="18" spans="1:26" s="72" customFormat="1">
      <c r="A18" s="68">
        <v>15</v>
      </c>
      <c r="B18" s="68">
        <v>15</v>
      </c>
      <c r="C18" s="68">
        <v>20077017769</v>
      </c>
      <c r="D18" s="68" t="s">
        <v>718</v>
      </c>
      <c r="E18" s="68"/>
      <c r="F18" s="69">
        <v>21963939</v>
      </c>
      <c r="G18" s="68" t="s">
        <v>234</v>
      </c>
      <c r="H18" s="68">
        <v>44</v>
      </c>
      <c r="I18" s="69" t="s">
        <v>300</v>
      </c>
      <c r="J18" s="69" t="s">
        <v>295</v>
      </c>
      <c r="K18" s="69" t="s">
        <v>301</v>
      </c>
      <c r="L18" s="69" t="s">
        <v>228</v>
      </c>
      <c r="M18" s="69" t="s">
        <v>302</v>
      </c>
      <c r="N18" s="70">
        <v>39427</v>
      </c>
      <c r="O18" s="68" t="s">
        <v>299</v>
      </c>
      <c r="P18" s="127" t="str">
        <f t="shared" si="0"/>
        <v>PhD, MSc, Bachelors, KCSE, KCPE, 1, Certificates</v>
      </c>
      <c r="Q18" s="69" t="s">
        <v>719</v>
      </c>
      <c r="R18" s="80" t="s">
        <v>720</v>
      </c>
      <c r="S18" s="71" t="s">
        <v>721</v>
      </c>
      <c r="T18" s="81"/>
      <c r="U18" s="69"/>
      <c r="V18" s="126" t="s">
        <v>690</v>
      </c>
      <c r="W18" s="69" t="s">
        <v>691</v>
      </c>
      <c r="X18" s="71" t="s">
        <v>722</v>
      </c>
      <c r="Y18" s="69" t="s">
        <v>240</v>
      </c>
      <c r="Z18" s="71" t="s">
        <v>257</v>
      </c>
    </row>
    <row r="19" spans="1:26">
      <c r="A19" s="74">
        <v>16</v>
      </c>
      <c r="B19" s="74">
        <v>16</v>
      </c>
      <c r="C19" s="74">
        <v>20030731445</v>
      </c>
      <c r="D19" s="74" t="s">
        <v>303</v>
      </c>
      <c r="E19" s="74"/>
      <c r="F19" s="75">
        <v>20742989</v>
      </c>
      <c r="G19" s="74" t="s">
        <v>224</v>
      </c>
      <c r="H19" s="74">
        <v>47</v>
      </c>
      <c r="I19" s="75" t="s">
        <v>304</v>
      </c>
      <c r="J19" s="75" t="s">
        <v>295</v>
      </c>
      <c r="K19" s="75" t="s">
        <v>224</v>
      </c>
      <c r="L19" s="75" t="s">
        <v>228</v>
      </c>
      <c r="M19" s="75" t="s">
        <v>305</v>
      </c>
      <c r="N19" s="76">
        <v>37867</v>
      </c>
      <c r="O19" s="74" t="s">
        <v>303</v>
      </c>
      <c r="P19" s="127" t="str">
        <f t="shared" si="0"/>
        <v>MSc, Bachelors, Dip, KCSE, KCPE</v>
      </c>
      <c r="Q19" s="75"/>
      <c r="R19" s="77" t="s">
        <v>723</v>
      </c>
      <c r="S19" s="77" t="s">
        <v>724</v>
      </c>
      <c r="T19" t="s">
        <v>725</v>
      </c>
      <c r="U19" s="75"/>
      <c r="V19" s="124" t="s">
        <v>690</v>
      </c>
      <c r="W19" s="75" t="s">
        <v>691</v>
      </c>
      <c r="X19" s="75"/>
      <c r="Y19" s="75" t="s">
        <v>240</v>
      </c>
      <c r="Z19" s="77" t="s">
        <v>232</v>
      </c>
    </row>
    <row r="20" spans="1:26">
      <c r="A20" s="74">
        <v>17</v>
      </c>
      <c r="B20" s="74">
        <v>17</v>
      </c>
      <c r="C20" s="74">
        <v>20178600817</v>
      </c>
      <c r="D20" s="74" t="s">
        <v>306</v>
      </c>
      <c r="E20" s="74"/>
      <c r="F20" s="75">
        <v>28951215</v>
      </c>
      <c r="G20" s="74" t="s">
        <v>224</v>
      </c>
      <c r="H20" s="74">
        <v>33</v>
      </c>
      <c r="I20" s="75" t="s">
        <v>307</v>
      </c>
      <c r="J20" s="75" t="s">
        <v>295</v>
      </c>
      <c r="K20" s="75" t="s">
        <v>224</v>
      </c>
      <c r="L20" s="75" t="s">
        <v>228</v>
      </c>
      <c r="M20" s="75" t="s">
        <v>308</v>
      </c>
      <c r="N20" s="76">
        <v>42747</v>
      </c>
      <c r="O20" s="74" t="s">
        <v>306</v>
      </c>
      <c r="P20" s="127" t="str">
        <f t="shared" si="0"/>
        <v>MSc, Bachelors, KCSE, KCPE, 1, Certificates</v>
      </c>
      <c r="Q20" s="75"/>
      <c r="R20" s="77" t="s">
        <v>726</v>
      </c>
      <c r="S20" s="77" t="s">
        <v>727</v>
      </c>
      <c r="T20" s="83"/>
      <c r="U20"/>
      <c r="V20" s="124" t="s">
        <v>690</v>
      </c>
      <c r="W20" s="75" t="s">
        <v>691</v>
      </c>
      <c r="X20" s="77" t="s">
        <v>722</v>
      </c>
      <c r="Y20" s="75" t="s">
        <v>231</v>
      </c>
      <c r="Z20" s="77" t="s">
        <v>241</v>
      </c>
    </row>
    <row r="21" spans="1:26">
      <c r="A21" s="74">
        <v>18</v>
      </c>
      <c r="B21" s="74">
        <v>18</v>
      </c>
      <c r="C21" s="74">
        <v>20178600833</v>
      </c>
      <c r="D21" s="74" t="s">
        <v>309</v>
      </c>
      <c r="E21" s="74"/>
      <c r="F21" s="75">
        <v>28189079</v>
      </c>
      <c r="G21" s="74" t="s">
        <v>234</v>
      </c>
      <c r="H21" s="74">
        <v>34</v>
      </c>
      <c r="I21" s="75" t="s">
        <v>307</v>
      </c>
      <c r="J21" s="75" t="s">
        <v>295</v>
      </c>
      <c r="K21" s="75" t="s">
        <v>224</v>
      </c>
      <c r="L21" s="75" t="s">
        <v>228</v>
      </c>
      <c r="M21" s="75" t="s">
        <v>308</v>
      </c>
      <c r="N21" s="76">
        <v>42747</v>
      </c>
      <c r="O21" s="74" t="s">
        <v>309</v>
      </c>
      <c r="P21" s="127" t="str">
        <f t="shared" si="0"/>
        <v>MSc, Bachelors, KCSE, KCPE, 1, Certificates</v>
      </c>
      <c r="Q21" s="75"/>
      <c r="R21" s="77" t="s">
        <v>728</v>
      </c>
      <c r="S21" s="77" t="s">
        <v>727</v>
      </c>
      <c r="T21" s="83"/>
      <c r="U21" s="75"/>
      <c r="V21" s="124" t="s">
        <v>690</v>
      </c>
      <c r="W21" s="75" t="s">
        <v>691</v>
      </c>
      <c r="X21" s="78" t="s">
        <v>722</v>
      </c>
      <c r="Y21" s="75" t="s">
        <v>231</v>
      </c>
      <c r="Z21" s="77" t="s">
        <v>310</v>
      </c>
    </row>
    <row r="22" spans="1:26">
      <c r="A22" s="74">
        <v>19</v>
      </c>
      <c r="B22" s="74">
        <v>19</v>
      </c>
      <c r="C22" s="74">
        <v>20010746137</v>
      </c>
      <c r="D22" s="74" t="s">
        <v>311</v>
      </c>
      <c r="E22" s="74"/>
      <c r="F22" s="75">
        <v>13634152</v>
      </c>
      <c r="G22" s="74" t="s">
        <v>234</v>
      </c>
      <c r="H22" s="74">
        <v>49</v>
      </c>
      <c r="I22" s="75" t="s">
        <v>312</v>
      </c>
      <c r="J22" s="75" t="s">
        <v>295</v>
      </c>
      <c r="K22" s="75" t="s">
        <v>254</v>
      </c>
      <c r="L22" s="75" t="s">
        <v>228</v>
      </c>
      <c r="M22" s="75" t="s">
        <v>313</v>
      </c>
      <c r="N22" s="76">
        <v>36896</v>
      </c>
      <c r="O22" s="74" t="s">
        <v>311</v>
      </c>
      <c r="P22" s="127" t="str">
        <f t="shared" si="0"/>
        <v>MSc, Bachelors, Dip, KCSE, KCPE, 1, Certificates</v>
      </c>
      <c r="Q22" s="75"/>
      <c r="R22" s="77" t="s">
        <v>729</v>
      </c>
      <c r="S22" s="84" t="s">
        <v>730</v>
      </c>
      <c r="T22" t="s">
        <v>731</v>
      </c>
      <c r="U22" t="s">
        <v>732</v>
      </c>
      <c r="V22" s="124" t="s">
        <v>690</v>
      </c>
      <c r="W22" s="75" t="s">
        <v>691</v>
      </c>
      <c r="X22" s="75"/>
      <c r="Y22" s="75" t="s">
        <v>240</v>
      </c>
      <c r="Z22" s="77" t="s">
        <v>241</v>
      </c>
    </row>
    <row r="23" spans="1:26">
      <c r="A23" s="74">
        <v>20</v>
      </c>
      <c r="B23" s="74">
        <v>20</v>
      </c>
      <c r="C23" s="74">
        <v>20220597833</v>
      </c>
      <c r="D23" s="74" t="s">
        <v>314</v>
      </c>
      <c r="E23" s="74"/>
      <c r="F23" s="75">
        <v>34811881</v>
      </c>
      <c r="G23" s="74" t="s">
        <v>234</v>
      </c>
      <c r="H23" s="74">
        <v>28</v>
      </c>
      <c r="I23" s="75" t="s">
        <v>315</v>
      </c>
      <c r="J23" s="75" t="s">
        <v>295</v>
      </c>
      <c r="K23" s="75" t="s">
        <v>254</v>
      </c>
      <c r="L23" s="75" t="s">
        <v>228</v>
      </c>
      <c r="M23" s="75" t="s">
        <v>260</v>
      </c>
      <c r="N23" s="76">
        <v>44564</v>
      </c>
      <c r="O23" s="74" t="s">
        <v>314</v>
      </c>
      <c r="P23" s="127" t="str">
        <f t="shared" si="0"/>
        <v>Bachelors, KCSE, KCPE</v>
      </c>
      <c r="Q23" s="75"/>
      <c r="R23" s="85"/>
      <c r="S23" t="s">
        <v>733</v>
      </c>
      <c r="T23" s="75"/>
      <c r="U23" s="75"/>
      <c r="V23" s="124" t="s">
        <v>690</v>
      </c>
      <c r="W23" s="75" t="s">
        <v>691</v>
      </c>
      <c r="X23" s="75"/>
      <c r="Y23" s="75" t="s">
        <v>231</v>
      </c>
      <c r="Z23" s="77" t="s">
        <v>316</v>
      </c>
    </row>
    <row r="24" spans="1:26">
      <c r="A24" s="74">
        <v>21</v>
      </c>
      <c r="B24" s="74">
        <v>21</v>
      </c>
      <c r="C24" s="74">
        <v>20089224039</v>
      </c>
      <c r="D24" s="74" t="s">
        <v>317</v>
      </c>
      <c r="E24" s="74"/>
      <c r="F24" s="75">
        <v>22245948</v>
      </c>
      <c r="G24" s="74" t="s">
        <v>234</v>
      </c>
      <c r="H24" s="74">
        <v>46</v>
      </c>
      <c r="I24" s="75" t="s">
        <v>318</v>
      </c>
      <c r="J24" s="75" t="s">
        <v>295</v>
      </c>
      <c r="K24" s="75" t="s">
        <v>276</v>
      </c>
      <c r="L24" s="75" t="s">
        <v>228</v>
      </c>
      <c r="M24" s="75" t="s">
        <v>319</v>
      </c>
      <c r="N24" s="76">
        <v>39479</v>
      </c>
      <c r="O24" s="74" t="s">
        <v>317</v>
      </c>
      <c r="P24" s="127" t="str">
        <f t="shared" si="0"/>
        <v>KCSE, KCPE, 2, Certificates</v>
      </c>
      <c r="Q24" s="75"/>
      <c r="R24" s="74"/>
      <c r="S24" s="74"/>
      <c r="T24" s="75"/>
      <c r="U24" t="s">
        <v>734</v>
      </c>
      <c r="V24" s="124" t="s">
        <v>690</v>
      </c>
      <c r="W24" s="75" t="s">
        <v>691</v>
      </c>
      <c r="X24" s="75" t="s">
        <v>735</v>
      </c>
      <c r="Y24" s="75" t="s">
        <v>240</v>
      </c>
      <c r="Z24" s="77" t="s">
        <v>232</v>
      </c>
    </row>
    <row r="25" spans="1:26">
      <c r="A25" s="74">
        <v>22</v>
      </c>
      <c r="B25" s="74">
        <v>22</v>
      </c>
      <c r="C25" s="74">
        <v>20114215537</v>
      </c>
      <c r="D25" s="74" t="s">
        <v>320</v>
      </c>
      <c r="E25" s="74"/>
      <c r="F25" s="75">
        <v>10344158</v>
      </c>
      <c r="G25" s="74" t="s">
        <v>224</v>
      </c>
      <c r="H25" s="74">
        <v>55</v>
      </c>
      <c r="I25" s="75" t="s">
        <v>318</v>
      </c>
      <c r="J25" s="75" t="s">
        <v>295</v>
      </c>
      <c r="K25" s="75" t="s">
        <v>276</v>
      </c>
      <c r="L25" s="75" t="s">
        <v>228</v>
      </c>
      <c r="M25" s="75" t="s">
        <v>321</v>
      </c>
      <c r="N25" s="76">
        <v>40549</v>
      </c>
      <c r="O25" s="74" t="s">
        <v>320</v>
      </c>
      <c r="P25" s="127" t="str">
        <f t="shared" si="0"/>
        <v>Bachelors, Dip, KCSE, KCPE, 1, Certificates</v>
      </c>
      <c r="Q25" s="75"/>
      <c r="R25" s="74"/>
      <c r="S25" t="s">
        <v>736</v>
      </c>
      <c r="T25" t="s">
        <v>737</v>
      </c>
      <c r="U25" t="s">
        <v>738</v>
      </c>
      <c r="V25" s="124" t="s">
        <v>690</v>
      </c>
      <c r="W25" s="75" t="s">
        <v>691</v>
      </c>
      <c r="X25" s="75"/>
      <c r="Y25" s="75" t="s">
        <v>240</v>
      </c>
      <c r="Z25" s="77" t="s">
        <v>257</v>
      </c>
    </row>
    <row r="26" spans="1:26">
      <c r="A26" s="74">
        <v>23</v>
      </c>
      <c r="B26" s="74">
        <v>23</v>
      </c>
      <c r="C26" s="74">
        <v>20142576250</v>
      </c>
      <c r="D26" s="74" t="s">
        <v>322</v>
      </c>
      <c r="E26" s="74"/>
      <c r="F26" s="75">
        <v>26426983</v>
      </c>
      <c r="G26" s="74" t="s">
        <v>234</v>
      </c>
      <c r="H26" s="74">
        <v>36</v>
      </c>
      <c r="I26" s="75" t="s">
        <v>323</v>
      </c>
      <c r="J26" s="75" t="s">
        <v>295</v>
      </c>
      <c r="K26" s="75" t="s">
        <v>276</v>
      </c>
      <c r="L26" s="75" t="s">
        <v>228</v>
      </c>
      <c r="M26" s="75" t="s">
        <v>324</v>
      </c>
      <c r="N26" s="76">
        <v>41640</v>
      </c>
      <c r="O26" s="74" t="s">
        <v>322</v>
      </c>
      <c r="P26" s="127" t="str">
        <f t="shared" si="0"/>
        <v>Bachelors, Dip, KCSE, KCPE</v>
      </c>
      <c r="Q26" s="75"/>
      <c r="R26" s="74"/>
      <c r="S26" t="s">
        <v>739</v>
      </c>
      <c r="T26" t="s">
        <v>740</v>
      </c>
      <c r="U26" s="75"/>
      <c r="V26" s="124" t="s">
        <v>690</v>
      </c>
      <c r="W26" s="75" t="s">
        <v>691</v>
      </c>
      <c r="X26" s="75"/>
      <c r="Y26" s="75" t="s">
        <v>240</v>
      </c>
      <c r="Z26" s="77" t="s">
        <v>266</v>
      </c>
    </row>
    <row r="27" spans="1:26">
      <c r="A27" s="74">
        <v>24</v>
      </c>
      <c r="B27" s="74">
        <v>24</v>
      </c>
      <c r="C27" s="74">
        <v>20152655226</v>
      </c>
      <c r="D27" s="74" t="s">
        <v>325</v>
      </c>
      <c r="E27" s="74"/>
      <c r="F27" s="75">
        <v>25584197</v>
      </c>
      <c r="G27" s="74" t="s">
        <v>224</v>
      </c>
      <c r="H27" s="74">
        <v>37</v>
      </c>
      <c r="I27" s="75" t="s">
        <v>318</v>
      </c>
      <c r="J27" s="75" t="s">
        <v>295</v>
      </c>
      <c r="K27" s="75" t="s">
        <v>276</v>
      </c>
      <c r="L27" s="75" t="s">
        <v>228</v>
      </c>
      <c r="M27" s="75" t="s">
        <v>326</v>
      </c>
      <c r="N27" s="75" t="s">
        <v>741</v>
      </c>
      <c r="O27" s="74" t="s">
        <v>325</v>
      </c>
      <c r="P27" s="127" t="str">
        <f t="shared" si="0"/>
        <v>Dip, KCSE, KCPE</v>
      </c>
      <c r="Q27" s="75"/>
      <c r="R27" s="74"/>
      <c r="S27" s="74"/>
      <c r="T27" t="s">
        <v>742</v>
      </c>
      <c r="U27" s="75"/>
      <c r="V27" s="124" t="s">
        <v>690</v>
      </c>
      <c r="W27" s="75" t="s">
        <v>691</v>
      </c>
      <c r="X27" s="75"/>
      <c r="Y27" s="75" t="s">
        <v>231</v>
      </c>
      <c r="Z27" s="77" t="s">
        <v>257</v>
      </c>
    </row>
    <row r="28" spans="1:26">
      <c r="A28" s="74">
        <v>25</v>
      </c>
      <c r="B28" s="74">
        <v>25</v>
      </c>
      <c r="C28" s="74">
        <v>20178600980</v>
      </c>
      <c r="D28" s="74" t="s">
        <v>327</v>
      </c>
      <c r="E28" s="74"/>
      <c r="F28" s="75">
        <v>22538194</v>
      </c>
      <c r="G28" s="74" t="s">
        <v>234</v>
      </c>
      <c r="H28" s="74">
        <v>44</v>
      </c>
      <c r="I28" s="75" t="s">
        <v>318</v>
      </c>
      <c r="J28" s="75" t="s">
        <v>295</v>
      </c>
      <c r="K28" s="75" t="s">
        <v>276</v>
      </c>
      <c r="L28" s="75" t="s">
        <v>228</v>
      </c>
      <c r="M28" s="75" t="s">
        <v>328</v>
      </c>
      <c r="N28" s="76">
        <v>42830</v>
      </c>
      <c r="O28" s="74" t="s">
        <v>327</v>
      </c>
      <c r="P28" s="127" t="str">
        <f t="shared" si="0"/>
        <v>Dip, KCSE, KCPE</v>
      </c>
      <c r="Q28" s="75"/>
      <c r="R28" s="74"/>
      <c r="S28" s="74"/>
      <c r="T28" t="s">
        <v>743</v>
      </c>
      <c r="U28" s="75"/>
      <c r="V28" s="124" t="s">
        <v>690</v>
      </c>
      <c r="W28" s="75" t="s">
        <v>691</v>
      </c>
      <c r="X28" s="75"/>
      <c r="Y28" s="75" t="s">
        <v>231</v>
      </c>
      <c r="Z28" s="77" t="s">
        <v>266</v>
      </c>
    </row>
    <row r="29" spans="1:26">
      <c r="A29" s="74">
        <v>26</v>
      </c>
      <c r="B29" s="74">
        <v>26</v>
      </c>
      <c r="C29" s="74">
        <v>19920654349</v>
      </c>
      <c r="D29" s="74" t="s">
        <v>329</v>
      </c>
      <c r="E29" s="74"/>
      <c r="F29" s="75">
        <v>11652898</v>
      </c>
      <c r="G29" s="74" t="s">
        <v>224</v>
      </c>
      <c r="H29" s="74">
        <v>55</v>
      </c>
      <c r="I29" s="75" t="s">
        <v>330</v>
      </c>
      <c r="J29" s="75" t="s">
        <v>295</v>
      </c>
      <c r="K29" s="75" t="s">
        <v>270</v>
      </c>
      <c r="L29" s="75" t="s">
        <v>228</v>
      </c>
      <c r="M29" s="75" t="s">
        <v>331</v>
      </c>
      <c r="N29" s="76">
        <v>33640</v>
      </c>
      <c r="O29" s="74" t="s">
        <v>329</v>
      </c>
      <c r="P29" s="127" t="str">
        <f t="shared" si="0"/>
        <v>KCSE, KCPE, 1, Certificates</v>
      </c>
      <c r="Q29" s="75"/>
      <c r="R29" s="74"/>
      <c r="S29" s="74"/>
      <c r="T29" s="75"/>
      <c r="U29" s="75"/>
      <c r="V29" s="124" t="s">
        <v>690</v>
      </c>
      <c r="W29" s="75" t="s">
        <v>691</v>
      </c>
      <c r="X29" s="75" t="s">
        <v>735</v>
      </c>
      <c r="Y29" s="75" t="s">
        <v>240</v>
      </c>
      <c r="Z29" s="77" t="s">
        <v>232</v>
      </c>
    </row>
    <row r="30" spans="1:26">
      <c r="A30" s="74">
        <v>27</v>
      </c>
      <c r="B30" s="74">
        <v>27</v>
      </c>
      <c r="C30" s="74">
        <v>19980490640</v>
      </c>
      <c r="D30" s="74" t="s">
        <v>332</v>
      </c>
      <c r="E30" s="74"/>
      <c r="F30" s="75">
        <v>13706972</v>
      </c>
      <c r="G30" s="74" t="s">
        <v>234</v>
      </c>
      <c r="H30" s="74">
        <v>49</v>
      </c>
      <c r="I30" s="75" t="s">
        <v>333</v>
      </c>
      <c r="J30" s="75" t="s">
        <v>295</v>
      </c>
      <c r="K30" s="75" t="s">
        <v>270</v>
      </c>
      <c r="L30" s="75" t="s">
        <v>228</v>
      </c>
      <c r="M30" s="75" t="s">
        <v>334</v>
      </c>
      <c r="N30" s="76">
        <v>36016</v>
      </c>
      <c r="O30" s="74" t="s">
        <v>332</v>
      </c>
      <c r="P30" s="127" t="str">
        <f t="shared" si="0"/>
        <v>KCSE, KCPE, 1, Certificates</v>
      </c>
      <c r="Q30" s="75"/>
      <c r="R30" s="74"/>
      <c r="S30" s="74"/>
      <c r="T30" s="75"/>
      <c r="U30" t="s">
        <v>744</v>
      </c>
      <c r="V30" s="124" t="s">
        <v>690</v>
      </c>
      <c r="W30" s="75" t="s">
        <v>691</v>
      </c>
      <c r="X30" s="75"/>
      <c r="Y30" s="75" t="s">
        <v>240</v>
      </c>
      <c r="Z30" s="77" t="s">
        <v>273</v>
      </c>
    </row>
    <row r="31" spans="1:26">
      <c r="A31" s="74">
        <v>28</v>
      </c>
      <c r="B31" s="74">
        <v>28</v>
      </c>
      <c r="C31" s="74">
        <v>20060933768</v>
      </c>
      <c r="D31" s="74" t="s">
        <v>335</v>
      </c>
      <c r="E31" s="74"/>
      <c r="F31" s="75">
        <v>13501715</v>
      </c>
      <c r="G31" s="74" t="s">
        <v>224</v>
      </c>
      <c r="H31" s="74">
        <v>50</v>
      </c>
      <c r="I31" s="75" t="s">
        <v>330</v>
      </c>
      <c r="J31" s="75" t="s">
        <v>295</v>
      </c>
      <c r="K31" s="75" t="s">
        <v>270</v>
      </c>
      <c r="L31" s="75" t="s">
        <v>228</v>
      </c>
      <c r="M31" s="75" t="s">
        <v>336</v>
      </c>
      <c r="N31" s="76">
        <v>38907</v>
      </c>
      <c r="O31" s="74" t="s">
        <v>335</v>
      </c>
      <c r="P31" s="127" t="str">
        <f t="shared" si="0"/>
        <v>KCSE, KCPE, 1, Certificates</v>
      </c>
      <c r="Q31" s="75"/>
      <c r="R31" s="74"/>
      <c r="S31" s="74"/>
      <c r="T31" s="75"/>
      <c r="U31" t="s">
        <v>745</v>
      </c>
      <c r="V31" s="124" t="s">
        <v>690</v>
      </c>
      <c r="W31" s="75" t="s">
        <v>691</v>
      </c>
      <c r="X31" s="75"/>
      <c r="Y31" s="75" t="s">
        <v>240</v>
      </c>
      <c r="Z31" s="77" t="s">
        <v>241</v>
      </c>
    </row>
    <row r="32" spans="1:26">
      <c r="A32" s="74">
        <v>29</v>
      </c>
      <c r="B32" s="74">
        <v>29</v>
      </c>
      <c r="C32" s="74">
        <v>20077018155</v>
      </c>
      <c r="D32" s="74" t="s">
        <v>337</v>
      </c>
      <c r="E32" s="74"/>
      <c r="F32" s="75">
        <v>14705584</v>
      </c>
      <c r="G32" s="74" t="s">
        <v>224</v>
      </c>
      <c r="H32" s="74">
        <v>48</v>
      </c>
      <c r="I32" s="75" t="s">
        <v>338</v>
      </c>
      <c r="J32" s="75" t="s">
        <v>295</v>
      </c>
      <c r="K32" s="75" t="s">
        <v>270</v>
      </c>
      <c r="L32" s="75" t="s">
        <v>228</v>
      </c>
      <c r="M32" s="75" t="s">
        <v>339</v>
      </c>
      <c r="N32" s="76">
        <v>39084</v>
      </c>
      <c r="O32" s="74" t="s">
        <v>337</v>
      </c>
      <c r="P32" s="127" t="str">
        <f t="shared" si="0"/>
        <v>KCSE, KCPE</v>
      </c>
      <c r="Q32" s="75"/>
      <c r="R32" s="74"/>
      <c r="S32" s="74"/>
      <c r="T32" s="75"/>
      <c r="U32" s="75"/>
      <c r="V32" s="124" t="s">
        <v>690</v>
      </c>
      <c r="W32" s="75" t="s">
        <v>691</v>
      </c>
      <c r="X32" s="75"/>
      <c r="Y32" s="75" t="s">
        <v>240</v>
      </c>
      <c r="Z32" s="77" t="s">
        <v>232</v>
      </c>
    </row>
    <row r="33" spans="1:26">
      <c r="A33" s="74">
        <v>30</v>
      </c>
      <c r="B33" s="74">
        <v>30</v>
      </c>
      <c r="C33" s="74">
        <v>20077018309</v>
      </c>
      <c r="D33" s="74" t="s">
        <v>340</v>
      </c>
      <c r="E33" s="74"/>
      <c r="F33" s="75">
        <v>22657472</v>
      </c>
      <c r="G33" s="74" t="s">
        <v>224</v>
      </c>
      <c r="H33" s="74">
        <v>47</v>
      </c>
      <c r="I33" s="75" t="s">
        <v>283</v>
      </c>
      <c r="J33" s="75" t="s">
        <v>295</v>
      </c>
      <c r="K33" s="75" t="s">
        <v>270</v>
      </c>
      <c r="L33" s="75" t="s">
        <v>228</v>
      </c>
      <c r="M33" s="75" t="s">
        <v>341</v>
      </c>
      <c r="N33" s="76">
        <v>39083</v>
      </c>
      <c r="O33" s="74" t="s">
        <v>340</v>
      </c>
      <c r="P33" s="127" t="str">
        <f t="shared" si="0"/>
        <v>KCSE, KCPE, 1, Certificates</v>
      </c>
      <c r="Q33" s="75"/>
      <c r="R33" s="74"/>
      <c r="S33" s="74"/>
      <c r="T33" s="75"/>
      <c r="U33" t="s">
        <v>746</v>
      </c>
      <c r="V33" s="124" t="s">
        <v>690</v>
      </c>
      <c r="W33" s="75" t="s">
        <v>691</v>
      </c>
      <c r="X33" s="75"/>
      <c r="Y33" s="75" t="s">
        <v>240</v>
      </c>
      <c r="Z33" s="77" t="s">
        <v>342</v>
      </c>
    </row>
    <row r="34" spans="1:26">
      <c r="A34" s="74">
        <v>31</v>
      </c>
      <c r="B34" s="74">
        <v>31</v>
      </c>
      <c r="C34" s="74">
        <v>20089223821</v>
      </c>
      <c r="D34" s="74" t="s">
        <v>343</v>
      </c>
      <c r="E34" s="74"/>
      <c r="F34" s="75">
        <v>22145871</v>
      </c>
      <c r="G34" s="74" t="s">
        <v>224</v>
      </c>
      <c r="H34" s="74">
        <v>44</v>
      </c>
      <c r="I34" s="75" t="s">
        <v>330</v>
      </c>
      <c r="J34" s="75" t="s">
        <v>295</v>
      </c>
      <c r="K34" s="75" t="s">
        <v>270</v>
      </c>
      <c r="L34" s="75" t="s">
        <v>228</v>
      </c>
      <c r="M34" s="75" t="s">
        <v>344</v>
      </c>
      <c r="N34" s="76">
        <v>39454</v>
      </c>
      <c r="O34" s="74" t="s">
        <v>343</v>
      </c>
      <c r="P34" s="127" t="str">
        <f t="shared" si="0"/>
        <v>KCSE, KCPE, 1, Certificates</v>
      </c>
      <c r="Q34" s="75"/>
      <c r="R34" s="74"/>
      <c r="S34" s="74"/>
      <c r="T34" s="75"/>
      <c r="U34" t="s">
        <v>747</v>
      </c>
      <c r="V34" s="124" t="s">
        <v>690</v>
      </c>
      <c r="W34" s="75" t="s">
        <v>691</v>
      </c>
      <c r="X34" s="75"/>
      <c r="Y34" s="75" t="s">
        <v>240</v>
      </c>
      <c r="Z34" s="77" t="s">
        <v>251</v>
      </c>
    </row>
    <row r="35" spans="1:26">
      <c r="A35" s="74">
        <v>32</v>
      </c>
      <c r="B35" s="74">
        <v>32</v>
      </c>
      <c r="C35" s="74">
        <v>20210646208</v>
      </c>
      <c r="D35" s="74" t="s">
        <v>345</v>
      </c>
      <c r="E35" s="74"/>
      <c r="F35" s="75">
        <v>14620321</v>
      </c>
      <c r="G35" s="74" t="s">
        <v>224</v>
      </c>
      <c r="H35" s="74">
        <v>49</v>
      </c>
      <c r="I35" s="75" t="s">
        <v>330</v>
      </c>
      <c r="J35" s="75" t="s">
        <v>295</v>
      </c>
      <c r="K35" s="75" t="s">
        <v>270</v>
      </c>
      <c r="L35" s="75" t="s">
        <v>228</v>
      </c>
      <c r="M35" s="75" t="s">
        <v>346</v>
      </c>
      <c r="N35" s="76">
        <v>44197</v>
      </c>
      <c r="O35" s="74" t="s">
        <v>345</v>
      </c>
      <c r="P35" s="127" t="str">
        <f t="shared" si="0"/>
        <v>Dip, KCSE, KCPE</v>
      </c>
      <c r="Q35" s="75"/>
      <c r="R35" s="74"/>
      <c r="S35" s="74"/>
      <c r="T35" t="s">
        <v>748</v>
      </c>
      <c r="U35" s="75"/>
      <c r="V35" s="124" t="s">
        <v>690</v>
      </c>
      <c r="W35" s="75" t="s">
        <v>691</v>
      </c>
      <c r="X35" s="75"/>
      <c r="Y35" s="75" t="s">
        <v>231</v>
      </c>
      <c r="Z35" s="77" t="s">
        <v>298</v>
      </c>
    </row>
    <row r="36" spans="1:26">
      <c r="A36" s="74">
        <v>33</v>
      </c>
      <c r="B36" s="74">
        <v>33</v>
      </c>
      <c r="C36" s="74">
        <v>20000078914</v>
      </c>
      <c r="D36" s="74" t="s">
        <v>347</v>
      </c>
      <c r="E36" s="74"/>
      <c r="F36" s="75">
        <v>10141052</v>
      </c>
      <c r="G36" s="74" t="s">
        <v>224</v>
      </c>
      <c r="H36" s="74">
        <v>56</v>
      </c>
      <c r="I36" s="75" t="s">
        <v>348</v>
      </c>
      <c r="J36" s="75" t="s">
        <v>295</v>
      </c>
      <c r="K36" s="75" t="s">
        <v>287</v>
      </c>
      <c r="L36" s="75" t="s">
        <v>228</v>
      </c>
      <c r="M36" s="75" t="s">
        <v>349</v>
      </c>
      <c r="N36" s="76">
        <v>36532</v>
      </c>
      <c r="O36" s="74" t="s">
        <v>347</v>
      </c>
      <c r="P36" s="127" t="str">
        <f t="shared" si="0"/>
        <v>KCPE</v>
      </c>
      <c r="Q36" s="75"/>
      <c r="R36" s="74"/>
      <c r="S36" s="74"/>
      <c r="T36" s="75"/>
      <c r="U36" s="75"/>
      <c r="V36" s="86"/>
      <c r="W36" s="75" t="s">
        <v>691</v>
      </c>
      <c r="X36" s="75"/>
      <c r="Y36" s="75" t="s">
        <v>240</v>
      </c>
      <c r="Z36" s="77" t="s">
        <v>232</v>
      </c>
    </row>
    <row r="37" spans="1:26">
      <c r="A37" s="74">
        <v>34</v>
      </c>
      <c r="B37" s="74">
        <v>34</v>
      </c>
      <c r="C37" s="74">
        <v>20178600786</v>
      </c>
      <c r="D37" s="74" t="s">
        <v>350</v>
      </c>
      <c r="E37" s="74"/>
      <c r="F37" s="75">
        <v>35374930</v>
      </c>
      <c r="G37" s="74" t="s">
        <v>224</v>
      </c>
      <c r="H37" s="74">
        <v>32</v>
      </c>
      <c r="I37" s="75" t="s">
        <v>351</v>
      </c>
      <c r="J37" s="75" t="s">
        <v>295</v>
      </c>
      <c r="K37" s="75" t="s">
        <v>287</v>
      </c>
      <c r="L37" s="75" t="s">
        <v>228</v>
      </c>
      <c r="M37" s="75" t="s">
        <v>308</v>
      </c>
      <c r="N37" s="76">
        <v>42898</v>
      </c>
      <c r="O37" s="74" t="s">
        <v>350</v>
      </c>
      <c r="P37" s="127" t="str">
        <f t="shared" si="0"/>
        <v>KCSE, KCPE</v>
      </c>
      <c r="Q37" s="75"/>
      <c r="R37" s="74"/>
      <c r="S37" s="74"/>
      <c r="T37" s="75"/>
      <c r="U37" s="75"/>
      <c r="V37" s="75" t="s">
        <v>690</v>
      </c>
      <c r="W37" s="75" t="s">
        <v>691</v>
      </c>
      <c r="X37" s="75"/>
      <c r="Y37" s="75" t="s">
        <v>231</v>
      </c>
      <c r="Z37" s="77" t="s">
        <v>342</v>
      </c>
    </row>
    <row r="38" spans="1:26">
      <c r="A38" s="74">
        <v>35</v>
      </c>
      <c r="B38" s="74">
        <v>35</v>
      </c>
      <c r="C38" s="74">
        <v>20250007973</v>
      </c>
      <c r="D38" s="74" t="s">
        <v>352</v>
      </c>
      <c r="E38" s="74"/>
      <c r="F38" s="75">
        <v>33556049</v>
      </c>
      <c r="G38" s="74" t="s">
        <v>224</v>
      </c>
      <c r="H38" s="74">
        <v>29</v>
      </c>
      <c r="I38" s="75" t="s">
        <v>353</v>
      </c>
      <c r="J38" s="75" t="s">
        <v>295</v>
      </c>
      <c r="K38" s="75" t="s">
        <v>287</v>
      </c>
      <c r="L38" s="75" t="s">
        <v>228</v>
      </c>
      <c r="M38" s="75" t="s">
        <v>354</v>
      </c>
      <c r="N38" s="76">
        <v>45659</v>
      </c>
      <c r="O38" s="74" t="s">
        <v>352</v>
      </c>
      <c r="P38" s="127" t="str">
        <f t="shared" si="0"/>
        <v>Bachelors, KCSE, KCPE, 1, Certificates</v>
      </c>
      <c r="Q38" s="75"/>
      <c r="R38" s="74"/>
      <c r="S38" s="74" t="s">
        <v>715</v>
      </c>
      <c r="T38" s="75"/>
      <c r="U38" s="75"/>
      <c r="V38" s="75" t="s">
        <v>690</v>
      </c>
      <c r="W38" s="75" t="s">
        <v>691</v>
      </c>
      <c r="X38" s="75" t="s">
        <v>722</v>
      </c>
      <c r="Y38" s="75" t="s">
        <v>355</v>
      </c>
      <c r="Z38" s="77" t="s">
        <v>273</v>
      </c>
    </row>
    <row r="39" spans="1:26">
      <c r="A39" s="74">
        <v>36</v>
      </c>
      <c r="B39" s="74">
        <v>36</v>
      </c>
      <c r="C39" s="74">
        <v>20250011100</v>
      </c>
      <c r="D39" s="74" t="s">
        <v>356</v>
      </c>
      <c r="E39" s="74"/>
      <c r="F39" s="75">
        <v>32277442</v>
      </c>
      <c r="G39" s="74" t="s">
        <v>224</v>
      </c>
      <c r="H39" s="74">
        <v>31</v>
      </c>
      <c r="I39" s="75" t="s">
        <v>353</v>
      </c>
      <c r="J39" s="75" t="s">
        <v>295</v>
      </c>
      <c r="K39" s="75" t="s">
        <v>287</v>
      </c>
      <c r="L39" s="75" t="s">
        <v>228</v>
      </c>
      <c r="M39" s="75" t="s">
        <v>357</v>
      </c>
      <c r="N39" s="76">
        <v>45660</v>
      </c>
      <c r="O39" s="74" t="s">
        <v>356</v>
      </c>
      <c r="P39" s="127" t="str">
        <f t="shared" si="0"/>
        <v>Bachelors, KCSE, KCPE</v>
      </c>
      <c r="Q39" s="75"/>
      <c r="R39" s="74"/>
      <c r="S39" s="74" t="s">
        <v>730</v>
      </c>
      <c r="T39" s="75"/>
      <c r="U39" s="75"/>
      <c r="V39" s="75" t="s">
        <v>690</v>
      </c>
      <c r="W39" s="75" t="s">
        <v>691</v>
      </c>
      <c r="X39" s="75"/>
      <c r="Y39" s="75" t="s">
        <v>355</v>
      </c>
      <c r="Z39" s="77" t="s">
        <v>251</v>
      </c>
    </row>
    <row r="40" spans="1:26" ht="15.6" customHeight="1">
      <c r="A40" s="74">
        <v>37</v>
      </c>
      <c r="B40" s="74">
        <v>37</v>
      </c>
      <c r="C40" s="77">
        <v>20250067282</v>
      </c>
      <c r="D40" s="87" t="s">
        <v>358</v>
      </c>
      <c r="E40" s="87"/>
      <c r="F40" s="88">
        <v>12925801</v>
      </c>
      <c r="G40" s="74" t="s">
        <v>234</v>
      </c>
      <c r="H40" s="74"/>
      <c r="I40" s="88" t="s">
        <v>359</v>
      </c>
      <c r="J40" s="88" t="s">
        <v>295</v>
      </c>
      <c r="K40" s="75" t="s">
        <v>287</v>
      </c>
      <c r="L40" s="75" t="s">
        <v>228</v>
      </c>
      <c r="M40" s="76">
        <v>46757</v>
      </c>
      <c r="N40" s="76">
        <v>45693</v>
      </c>
      <c r="O40" s="87" t="s">
        <v>358</v>
      </c>
      <c r="P40" s="127" t="str">
        <f t="shared" si="0"/>
        <v>KCSE, KCPE</v>
      </c>
      <c r="Q40" s="75"/>
      <c r="R40" s="74"/>
      <c r="S40" s="74"/>
      <c r="T40" s="75"/>
      <c r="U40" s="75"/>
      <c r="V40" s="75" t="s">
        <v>690</v>
      </c>
      <c r="W40" s="75" t="s">
        <v>691</v>
      </c>
      <c r="X40" s="75"/>
      <c r="Y40" s="75" t="s">
        <v>231</v>
      </c>
      <c r="Z40" s="77" t="s">
        <v>232</v>
      </c>
    </row>
    <row r="41" spans="1:26" ht="13.95" customHeight="1">
      <c r="A41" s="74">
        <v>38</v>
      </c>
      <c r="B41" s="74">
        <v>38</v>
      </c>
      <c r="C41" s="74">
        <v>20250089145</v>
      </c>
      <c r="D41" s="87" t="s">
        <v>360</v>
      </c>
      <c r="E41" s="87"/>
      <c r="F41" s="88">
        <v>37906155</v>
      </c>
      <c r="G41" s="74" t="s">
        <v>224</v>
      </c>
      <c r="H41" s="74"/>
      <c r="I41" s="88" t="s">
        <v>359</v>
      </c>
      <c r="J41" s="88" t="s">
        <v>295</v>
      </c>
      <c r="K41" s="75" t="s">
        <v>287</v>
      </c>
      <c r="L41" s="75" t="s">
        <v>228</v>
      </c>
      <c r="M41" s="76">
        <v>46757</v>
      </c>
      <c r="N41" s="76">
        <v>45693</v>
      </c>
      <c r="O41" s="87" t="s">
        <v>360</v>
      </c>
      <c r="P41" s="127" t="str">
        <f t="shared" si="0"/>
        <v>KCSE, KCPE</v>
      </c>
      <c r="Q41" s="75"/>
      <c r="R41" s="74"/>
      <c r="S41" s="74"/>
      <c r="T41" s="75"/>
      <c r="U41" s="75"/>
      <c r="V41" s="75" t="s">
        <v>690</v>
      </c>
      <c r="W41" s="75" t="s">
        <v>691</v>
      </c>
      <c r="X41" s="75"/>
      <c r="Y41" s="75" t="s">
        <v>231</v>
      </c>
      <c r="Z41" s="77" t="s">
        <v>273</v>
      </c>
    </row>
    <row r="42" spans="1:26" ht="13.95" customHeight="1">
      <c r="A42" s="74">
        <v>39</v>
      </c>
      <c r="B42" s="74">
        <v>39</v>
      </c>
      <c r="C42" s="77">
        <v>20250067266</v>
      </c>
      <c r="D42" s="87" t="s">
        <v>361</v>
      </c>
      <c r="E42" s="87"/>
      <c r="F42" s="88">
        <v>40223884</v>
      </c>
      <c r="G42" s="74" t="s">
        <v>224</v>
      </c>
      <c r="H42" s="74"/>
      <c r="I42" s="88" t="s">
        <v>359</v>
      </c>
      <c r="J42" s="88" t="s">
        <v>295</v>
      </c>
      <c r="K42" s="75" t="s">
        <v>287</v>
      </c>
      <c r="L42" s="75" t="s">
        <v>228</v>
      </c>
      <c r="M42" s="76">
        <v>46757</v>
      </c>
      <c r="N42" s="76">
        <v>45693</v>
      </c>
      <c r="O42" s="87" t="s">
        <v>361</v>
      </c>
      <c r="P42" s="127" t="str">
        <f t="shared" si="0"/>
        <v>KCSE, KCPE</v>
      </c>
      <c r="Q42" s="75"/>
      <c r="R42" s="74"/>
      <c r="S42" s="74"/>
      <c r="T42" s="75"/>
      <c r="U42" s="75"/>
      <c r="V42" s="75" t="s">
        <v>690</v>
      </c>
      <c r="W42" s="75" t="s">
        <v>691</v>
      </c>
      <c r="X42" s="75"/>
      <c r="Y42" s="75" t="s">
        <v>231</v>
      </c>
      <c r="Z42" s="77" t="s">
        <v>251</v>
      </c>
    </row>
    <row r="43" spans="1:26" s="92" customFormat="1">
      <c r="A43" s="89">
        <v>40</v>
      </c>
      <c r="B43" s="74">
        <v>40</v>
      </c>
      <c r="C43" s="89">
        <v>20060933849</v>
      </c>
      <c r="D43" s="89" t="s">
        <v>362</v>
      </c>
      <c r="E43" s="89"/>
      <c r="F43" s="86">
        <v>21717357</v>
      </c>
      <c r="G43" s="89" t="s">
        <v>224</v>
      </c>
      <c r="H43" s="89">
        <v>46</v>
      </c>
      <c r="I43" s="86" t="s">
        <v>363</v>
      </c>
      <c r="J43" s="86" t="s">
        <v>295</v>
      </c>
      <c r="K43" s="86" t="s">
        <v>234</v>
      </c>
      <c r="L43" s="86" t="s">
        <v>228</v>
      </c>
      <c r="M43" s="86" t="s">
        <v>319</v>
      </c>
      <c r="N43" s="90">
        <v>38725</v>
      </c>
      <c r="O43" s="89" t="s">
        <v>362</v>
      </c>
      <c r="P43" s="127" t="str">
        <f t="shared" si="0"/>
        <v/>
      </c>
      <c r="Q43" s="86"/>
      <c r="R43" s="89"/>
      <c r="S43" s="89"/>
      <c r="T43" s="86"/>
      <c r="U43" s="86"/>
      <c r="V43" s="86"/>
      <c r="W43" s="86"/>
      <c r="X43" s="86"/>
      <c r="Y43" s="86" t="s">
        <v>240</v>
      </c>
      <c r="Z43" s="91" t="s">
        <v>232</v>
      </c>
    </row>
    <row r="44" spans="1:26" s="92" customFormat="1">
      <c r="A44" s="89">
        <v>41</v>
      </c>
      <c r="B44" s="74">
        <v>41</v>
      </c>
      <c r="C44" s="89">
        <v>20121211057</v>
      </c>
      <c r="D44" s="89" t="s">
        <v>364</v>
      </c>
      <c r="E44" s="89"/>
      <c r="F44" s="86">
        <v>10164110</v>
      </c>
      <c r="G44" s="89" t="s">
        <v>224</v>
      </c>
      <c r="H44" s="89">
        <v>56</v>
      </c>
      <c r="I44" s="86" t="s">
        <v>365</v>
      </c>
      <c r="J44" s="86" t="s">
        <v>295</v>
      </c>
      <c r="K44" s="86" t="s">
        <v>234</v>
      </c>
      <c r="L44" s="86" t="s">
        <v>228</v>
      </c>
      <c r="M44" s="86" t="s">
        <v>366</v>
      </c>
      <c r="N44" s="90">
        <v>40915</v>
      </c>
      <c r="O44" s="89" t="s">
        <v>364</v>
      </c>
      <c r="P44" s="127" t="str">
        <f t="shared" si="0"/>
        <v/>
      </c>
      <c r="Q44" s="86"/>
      <c r="R44" s="89"/>
      <c r="S44" s="89"/>
      <c r="T44" s="86"/>
      <c r="U44" s="86"/>
      <c r="V44" s="86"/>
      <c r="W44" s="86"/>
      <c r="X44" s="86"/>
      <c r="Y44" s="86" t="s">
        <v>240</v>
      </c>
      <c r="Z44" s="91" t="s">
        <v>241</v>
      </c>
    </row>
    <row r="45" spans="1:26" s="92" customFormat="1">
      <c r="A45" s="89">
        <v>42</v>
      </c>
      <c r="B45" s="74">
        <v>42</v>
      </c>
      <c r="C45" s="89">
        <v>20142576234</v>
      </c>
      <c r="D45" s="89" t="s">
        <v>367</v>
      </c>
      <c r="E45" s="89"/>
      <c r="F45" s="86">
        <v>26041520</v>
      </c>
      <c r="G45" s="89" t="s">
        <v>234</v>
      </c>
      <c r="H45" s="89">
        <v>36</v>
      </c>
      <c r="I45" s="86" t="s">
        <v>365</v>
      </c>
      <c r="J45" s="86" t="s">
        <v>295</v>
      </c>
      <c r="K45" s="86" t="s">
        <v>234</v>
      </c>
      <c r="L45" s="86" t="s">
        <v>228</v>
      </c>
      <c r="M45" s="86" t="s">
        <v>368</v>
      </c>
      <c r="N45" s="90">
        <v>41640</v>
      </c>
      <c r="O45" s="89" t="s">
        <v>367</v>
      </c>
      <c r="P45" s="127" t="str">
        <f t="shared" si="0"/>
        <v>2, Certificates</v>
      </c>
      <c r="Q45" s="86"/>
      <c r="R45" s="89"/>
      <c r="S45" s="89"/>
      <c r="T45" s="86"/>
      <c r="U45" s="128" t="s">
        <v>964</v>
      </c>
      <c r="V45" s="86"/>
      <c r="W45" s="86"/>
      <c r="X45" s="86"/>
      <c r="Y45" s="86" t="s">
        <v>240</v>
      </c>
      <c r="Z45" s="91" t="s">
        <v>266</v>
      </c>
    </row>
    <row r="46" spans="1:26" ht="16.5" customHeight="1">
      <c r="A46" s="74">
        <v>43</v>
      </c>
      <c r="B46" s="74">
        <v>43</v>
      </c>
      <c r="C46" s="77">
        <v>20250067274</v>
      </c>
      <c r="D46" s="87" t="s">
        <v>369</v>
      </c>
      <c r="E46" s="87"/>
      <c r="F46" s="88">
        <v>39582151</v>
      </c>
      <c r="G46" s="74" t="s">
        <v>224</v>
      </c>
      <c r="H46" s="74"/>
      <c r="I46" s="88" t="s">
        <v>359</v>
      </c>
      <c r="J46" s="88" t="s">
        <v>226</v>
      </c>
      <c r="K46" s="75" t="s">
        <v>287</v>
      </c>
      <c r="L46" s="75" t="s">
        <v>228</v>
      </c>
      <c r="M46" s="76">
        <v>46757</v>
      </c>
      <c r="N46" s="76">
        <v>45693</v>
      </c>
      <c r="O46" s="87" t="s">
        <v>369</v>
      </c>
      <c r="P46" s="127" t="str">
        <f t="shared" si="0"/>
        <v>KCSE, KCPE</v>
      </c>
      <c r="Q46" s="75"/>
      <c r="R46" s="74"/>
      <c r="S46" s="74"/>
      <c r="T46" s="75"/>
      <c r="U46" s="75"/>
      <c r="V46" s="75" t="s">
        <v>690</v>
      </c>
      <c r="W46" s="75" t="s">
        <v>691</v>
      </c>
      <c r="X46" s="75"/>
      <c r="Y46" s="75" t="s">
        <v>231</v>
      </c>
      <c r="Z46" s="77" t="s">
        <v>241</v>
      </c>
    </row>
    <row r="47" spans="1:26" ht="18" customHeight="1">
      <c r="A47" s="74">
        <v>44</v>
      </c>
      <c r="B47" s="74">
        <v>44</v>
      </c>
      <c r="C47" s="74">
        <v>20250089137</v>
      </c>
      <c r="D47" s="87" t="s">
        <v>370</v>
      </c>
      <c r="E47" s="87"/>
      <c r="F47" s="88">
        <v>29388325</v>
      </c>
      <c r="G47" s="74" t="s">
        <v>224</v>
      </c>
      <c r="H47" s="74"/>
      <c r="I47" s="88" t="s">
        <v>359</v>
      </c>
      <c r="J47" s="88" t="s">
        <v>226</v>
      </c>
      <c r="K47" s="75" t="s">
        <v>287</v>
      </c>
      <c r="L47" s="75" t="s">
        <v>228</v>
      </c>
      <c r="M47" s="76">
        <v>46757</v>
      </c>
      <c r="N47" s="76">
        <v>45693</v>
      </c>
      <c r="O47" s="87" t="s">
        <v>370</v>
      </c>
      <c r="P47" s="127" t="str">
        <f t="shared" si="0"/>
        <v>KCSE, KCPE</v>
      </c>
      <c r="Q47" s="75"/>
      <c r="R47" s="74"/>
      <c r="S47" s="74"/>
      <c r="T47" s="75"/>
      <c r="U47" s="75"/>
      <c r="V47" s="75" t="s">
        <v>690</v>
      </c>
      <c r="W47" s="75" t="s">
        <v>691</v>
      </c>
      <c r="X47" s="75"/>
      <c r="Y47" s="75" t="s">
        <v>231</v>
      </c>
      <c r="Z47" s="77" t="s">
        <v>232</v>
      </c>
    </row>
    <row r="48" spans="1:26" s="67" customFormat="1">
      <c r="A48" s="60"/>
      <c r="B48" s="60"/>
      <c r="C48" s="60"/>
      <c r="D48" s="60"/>
      <c r="E48" s="60"/>
      <c r="F48" s="65" t="s">
        <v>371</v>
      </c>
      <c r="G48" s="60"/>
      <c r="H48" s="60"/>
      <c r="I48" s="79"/>
      <c r="J48" s="79"/>
      <c r="K48" s="79"/>
      <c r="L48" s="79"/>
      <c r="M48" s="79"/>
      <c r="N48" s="79"/>
      <c r="O48" s="60"/>
      <c r="P48" s="127" t="str">
        <f t="shared" si="0"/>
        <v/>
      </c>
      <c r="Q48" s="79"/>
      <c r="R48" s="60"/>
      <c r="S48" s="60"/>
      <c r="T48" s="79"/>
      <c r="U48" s="79"/>
      <c r="V48" s="79"/>
      <c r="W48" s="79"/>
      <c r="X48" s="79"/>
      <c r="Y48" s="66"/>
      <c r="Z48" s="66"/>
    </row>
    <row r="49" spans="1:26" s="72" customFormat="1">
      <c r="A49" s="68">
        <v>45</v>
      </c>
      <c r="B49" s="68">
        <v>45</v>
      </c>
      <c r="C49" s="68">
        <v>20020838693</v>
      </c>
      <c r="D49" s="68" t="s">
        <v>567</v>
      </c>
      <c r="E49" s="68"/>
      <c r="F49" s="69">
        <v>21301415</v>
      </c>
      <c r="G49" s="68" t="s">
        <v>224</v>
      </c>
      <c r="H49" s="68">
        <v>48</v>
      </c>
      <c r="I49" s="69" t="s">
        <v>300</v>
      </c>
      <c r="J49" s="69" t="s">
        <v>374</v>
      </c>
      <c r="K49" s="69" t="s">
        <v>301</v>
      </c>
      <c r="L49" s="69" t="s">
        <v>228</v>
      </c>
      <c r="M49" s="69" t="s">
        <v>568</v>
      </c>
      <c r="N49" s="70">
        <v>37469</v>
      </c>
      <c r="O49" s="68" t="s">
        <v>567</v>
      </c>
      <c r="P49" s="127" t="str">
        <f t="shared" si="0"/>
        <v>PhD, MSc, Bachelors, Dip, KCSE, KCPE</v>
      </c>
      <c r="Q49" s="93" t="s">
        <v>719</v>
      </c>
      <c r="R49" s="93" t="s">
        <v>749</v>
      </c>
      <c r="S49" s="93" t="s">
        <v>750</v>
      </c>
      <c r="T49" s="72" t="s">
        <v>751</v>
      </c>
      <c r="U49" s="69"/>
      <c r="V49" s="69" t="s">
        <v>690</v>
      </c>
      <c r="W49" s="69" t="s">
        <v>691</v>
      </c>
      <c r="X49" s="69"/>
      <c r="Y49" s="69" t="s">
        <v>240</v>
      </c>
      <c r="Z49" s="71" t="s">
        <v>232</v>
      </c>
    </row>
    <row r="50" spans="1:26" s="72" customFormat="1">
      <c r="A50" s="68">
        <v>46</v>
      </c>
      <c r="B50" s="68">
        <v>46</v>
      </c>
      <c r="C50" s="68">
        <v>20077018228</v>
      </c>
      <c r="D50" s="68" t="s">
        <v>752</v>
      </c>
      <c r="E50" s="68"/>
      <c r="F50" s="69">
        <v>20503322</v>
      </c>
      <c r="G50" s="68" t="s">
        <v>224</v>
      </c>
      <c r="H50" s="68">
        <v>48</v>
      </c>
      <c r="I50" s="69" t="s">
        <v>373</v>
      </c>
      <c r="J50" s="69" t="s">
        <v>374</v>
      </c>
      <c r="K50" s="69" t="s">
        <v>296</v>
      </c>
      <c r="L50" s="69" t="s">
        <v>228</v>
      </c>
      <c r="M50" s="69" t="s">
        <v>375</v>
      </c>
      <c r="N50" s="70">
        <v>39264</v>
      </c>
      <c r="O50" s="68" t="s">
        <v>752</v>
      </c>
      <c r="P50" s="127" t="str">
        <f t="shared" si="0"/>
        <v>PhD, MSc, Bachelors, KCSE, KCPE</v>
      </c>
      <c r="Q50" s="93" t="s">
        <v>753</v>
      </c>
      <c r="R50" s="93" t="s">
        <v>754</v>
      </c>
      <c r="S50" s="93" t="s">
        <v>755</v>
      </c>
      <c r="T50" s="81"/>
      <c r="U50" s="69"/>
      <c r="V50" s="69" t="s">
        <v>690</v>
      </c>
      <c r="W50" s="69" t="s">
        <v>691</v>
      </c>
      <c r="X50" s="69"/>
      <c r="Y50" s="69" t="s">
        <v>240</v>
      </c>
      <c r="Z50" s="71" t="s">
        <v>273</v>
      </c>
    </row>
    <row r="51" spans="1:26">
      <c r="A51" s="74">
        <v>47</v>
      </c>
      <c r="B51" s="74">
        <v>47</v>
      </c>
      <c r="C51" s="74">
        <v>20190119450</v>
      </c>
      <c r="D51" s="74" t="s">
        <v>376</v>
      </c>
      <c r="E51" s="74"/>
      <c r="F51" s="75">
        <v>28782265</v>
      </c>
      <c r="G51" s="74" t="s">
        <v>234</v>
      </c>
      <c r="H51" s="74">
        <v>33</v>
      </c>
      <c r="I51" s="75" t="s">
        <v>315</v>
      </c>
      <c r="J51" s="75" t="s">
        <v>374</v>
      </c>
      <c r="K51" s="75" t="s">
        <v>254</v>
      </c>
      <c r="L51" s="75" t="s">
        <v>228</v>
      </c>
      <c r="M51" s="75" t="s">
        <v>377</v>
      </c>
      <c r="N51" s="76">
        <v>44621</v>
      </c>
      <c r="O51" s="74" t="s">
        <v>376</v>
      </c>
      <c r="P51" s="127" t="str">
        <f t="shared" si="0"/>
        <v>Bachelors, KCSE, KCPE</v>
      </c>
      <c r="Q51" s="94"/>
      <c r="R51" s="85"/>
      <c r="S51" t="s">
        <v>756</v>
      </c>
      <c r="T51" s="75"/>
      <c r="U51" s="75"/>
      <c r="V51" s="75" t="s">
        <v>690</v>
      </c>
      <c r="W51" s="75" t="s">
        <v>691</v>
      </c>
      <c r="X51" s="75"/>
      <c r="Y51" s="75" t="s">
        <v>231</v>
      </c>
      <c r="Z51" s="77" t="s">
        <v>241</v>
      </c>
    </row>
    <row r="52" spans="1:26">
      <c r="A52" s="74">
        <v>48</v>
      </c>
      <c r="B52" s="74">
        <v>48</v>
      </c>
      <c r="C52" s="74">
        <v>20152655365</v>
      </c>
      <c r="D52" s="74" t="s">
        <v>378</v>
      </c>
      <c r="E52" s="74"/>
      <c r="F52" s="75">
        <v>25138933</v>
      </c>
      <c r="G52" s="74" t="s">
        <v>234</v>
      </c>
      <c r="H52" s="74">
        <v>39</v>
      </c>
      <c r="I52" s="75" t="s">
        <v>379</v>
      </c>
      <c r="J52" s="75" t="s">
        <v>374</v>
      </c>
      <c r="K52" s="75" t="s">
        <v>276</v>
      </c>
      <c r="L52" s="75" t="s">
        <v>228</v>
      </c>
      <c r="M52" s="75" t="s">
        <v>326</v>
      </c>
      <c r="N52" s="76">
        <v>42011</v>
      </c>
      <c r="O52" s="74" t="s">
        <v>378</v>
      </c>
      <c r="P52" s="127" t="str">
        <f t="shared" si="0"/>
        <v>Dip, KCSE, KCPE</v>
      </c>
      <c r="Q52" s="75"/>
      <c r="R52" s="74"/>
      <c r="S52" s="74"/>
      <c r="T52" t="s">
        <v>757</v>
      </c>
      <c r="U52" s="75"/>
      <c r="V52" s="75" t="s">
        <v>690</v>
      </c>
      <c r="W52" s="75" t="s">
        <v>691</v>
      </c>
      <c r="X52" s="75"/>
      <c r="Y52" s="75" t="s">
        <v>231</v>
      </c>
      <c r="Z52" s="77" t="s">
        <v>257</v>
      </c>
    </row>
    <row r="53" spans="1:26">
      <c r="A53" s="74">
        <v>49</v>
      </c>
      <c r="B53" s="74">
        <v>49</v>
      </c>
      <c r="C53" s="74">
        <v>19920654357</v>
      </c>
      <c r="D53" s="74" t="s">
        <v>380</v>
      </c>
      <c r="E53" s="74"/>
      <c r="F53" s="75">
        <v>9225573</v>
      </c>
      <c r="G53" s="74" t="s">
        <v>224</v>
      </c>
      <c r="H53" s="74">
        <v>57</v>
      </c>
      <c r="I53" s="75" t="s">
        <v>330</v>
      </c>
      <c r="J53" s="75" t="s">
        <v>374</v>
      </c>
      <c r="K53" s="75" t="s">
        <v>270</v>
      </c>
      <c r="L53" s="75" t="s">
        <v>228</v>
      </c>
      <c r="M53" s="75" t="s">
        <v>377</v>
      </c>
      <c r="N53" s="75" t="s">
        <v>758</v>
      </c>
      <c r="O53" s="74" t="s">
        <v>380</v>
      </c>
      <c r="P53" s="127" t="str">
        <f t="shared" si="0"/>
        <v>Dip, KCSE, KCPE</v>
      </c>
      <c r="Q53" s="75"/>
      <c r="R53" s="74"/>
      <c r="S53" s="74"/>
      <c r="T53" t="s">
        <v>759</v>
      </c>
      <c r="U53" s="75"/>
      <c r="V53" s="75" t="s">
        <v>690</v>
      </c>
      <c r="W53" s="75" t="s">
        <v>691</v>
      </c>
      <c r="X53" s="75"/>
      <c r="Y53" s="75" t="s">
        <v>240</v>
      </c>
      <c r="Z53" s="77" t="s">
        <v>381</v>
      </c>
    </row>
    <row r="54" spans="1:26">
      <c r="A54" s="74">
        <v>50</v>
      </c>
      <c r="B54" s="74">
        <v>50</v>
      </c>
      <c r="C54" s="74">
        <v>20250007868</v>
      </c>
      <c r="D54" s="74" t="s">
        <v>382</v>
      </c>
      <c r="E54" s="74"/>
      <c r="F54" s="75">
        <v>26449205</v>
      </c>
      <c r="G54" s="74" t="s">
        <v>224</v>
      </c>
      <c r="H54" s="74">
        <v>37</v>
      </c>
      <c r="I54" s="75" t="s">
        <v>353</v>
      </c>
      <c r="J54" s="75" t="s">
        <v>374</v>
      </c>
      <c r="K54" s="75" t="s">
        <v>287</v>
      </c>
      <c r="L54" s="75" t="s">
        <v>228</v>
      </c>
      <c r="M54" s="75" t="s">
        <v>383</v>
      </c>
      <c r="N54" s="76">
        <v>45658</v>
      </c>
      <c r="O54" s="74" t="s">
        <v>382</v>
      </c>
      <c r="P54" s="127" t="str">
        <f t="shared" si="0"/>
        <v>MSc, Bachelors, KCSE, KCPE</v>
      </c>
      <c r="Q54" s="75"/>
      <c r="R54" s="74" t="s">
        <v>760</v>
      </c>
      <c r="S54" s="74" t="s">
        <v>761</v>
      </c>
      <c r="T54" s="75"/>
      <c r="U54" s="75"/>
      <c r="V54" s="75" t="s">
        <v>690</v>
      </c>
      <c r="W54" s="75" t="s">
        <v>691</v>
      </c>
      <c r="X54" s="75"/>
      <c r="Y54" s="75" t="s">
        <v>355</v>
      </c>
      <c r="Z54" s="77" t="s">
        <v>381</v>
      </c>
    </row>
    <row r="55" spans="1:26">
      <c r="A55" s="74">
        <v>51</v>
      </c>
      <c r="B55" s="74">
        <v>51</v>
      </c>
      <c r="C55" s="74">
        <v>20250007931</v>
      </c>
      <c r="D55" s="74" t="s">
        <v>384</v>
      </c>
      <c r="E55" s="74"/>
      <c r="F55" s="75">
        <v>33308998</v>
      </c>
      <c r="G55" s="74" t="s">
        <v>224</v>
      </c>
      <c r="H55" s="74">
        <v>29</v>
      </c>
      <c r="I55" s="75" t="s">
        <v>353</v>
      </c>
      <c r="J55" s="75" t="s">
        <v>374</v>
      </c>
      <c r="K55" s="75" t="s">
        <v>287</v>
      </c>
      <c r="L55" s="75" t="s">
        <v>228</v>
      </c>
      <c r="M55" s="75" t="s">
        <v>357</v>
      </c>
      <c r="N55" s="76">
        <v>45660</v>
      </c>
      <c r="O55" s="74" t="s">
        <v>384</v>
      </c>
      <c r="P55" s="127" t="str">
        <f t="shared" si="0"/>
        <v>Bachelors, KCSE, KCPE</v>
      </c>
      <c r="Q55" s="75"/>
      <c r="R55" s="74"/>
      <c r="S55" s="74" t="s">
        <v>762</v>
      </c>
      <c r="T55" s="75"/>
      <c r="U55" s="75"/>
      <c r="V55" s="75" t="s">
        <v>690</v>
      </c>
      <c r="W55" s="75" t="s">
        <v>691</v>
      </c>
      <c r="X55" s="75"/>
      <c r="Y55" s="75" t="s">
        <v>355</v>
      </c>
      <c r="Z55" s="77" t="s">
        <v>273</v>
      </c>
    </row>
    <row r="56" spans="1:26">
      <c r="A56" s="74">
        <v>52</v>
      </c>
      <c r="B56" s="74">
        <v>52</v>
      </c>
      <c r="C56" s="74">
        <v>20250011215</v>
      </c>
      <c r="D56" s="74" t="s">
        <v>385</v>
      </c>
      <c r="E56" s="74"/>
      <c r="F56" s="75">
        <v>31592937</v>
      </c>
      <c r="G56" s="74" t="s">
        <v>234</v>
      </c>
      <c r="H56" s="74">
        <v>30</v>
      </c>
      <c r="I56" s="75" t="s">
        <v>353</v>
      </c>
      <c r="J56" s="75" t="s">
        <v>374</v>
      </c>
      <c r="K56" s="75" t="s">
        <v>287</v>
      </c>
      <c r="L56" s="75" t="s">
        <v>228</v>
      </c>
      <c r="M56" s="75" t="s">
        <v>383</v>
      </c>
      <c r="N56" s="76">
        <v>45658</v>
      </c>
      <c r="O56" s="74" t="s">
        <v>385</v>
      </c>
      <c r="P56" s="127" t="str">
        <f t="shared" si="0"/>
        <v>Bachelors, KCSE, KCPE</v>
      </c>
      <c r="Q56" s="75"/>
      <c r="R56" s="74"/>
      <c r="S56" s="74" t="s">
        <v>763</v>
      </c>
      <c r="T56" s="75"/>
      <c r="U56" s="75"/>
      <c r="V56" s="75" t="s">
        <v>690</v>
      </c>
      <c r="W56" s="75" t="s">
        <v>691</v>
      </c>
      <c r="X56" s="75"/>
      <c r="Y56" s="75" t="s">
        <v>355</v>
      </c>
      <c r="Z56" s="77" t="s">
        <v>232</v>
      </c>
    </row>
    <row r="57" spans="1:26">
      <c r="A57" s="74">
        <v>53</v>
      </c>
      <c r="B57" s="74">
        <v>53</v>
      </c>
      <c r="C57" s="74"/>
      <c r="D57" s="74" t="s">
        <v>386</v>
      </c>
      <c r="E57" s="74"/>
      <c r="F57" s="75">
        <v>39029408</v>
      </c>
      <c r="G57" s="74" t="s">
        <v>234</v>
      </c>
      <c r="H57" s="74"/>
      <c r="I57" s="75" t="s">
        <v>353</v>
      </c>
      <c r="J57" s="75" t="s">
        <v>374</v>
      </c>
      <c r="K57" s="75" t="s">
        <v>287</v>
      </c>
      <c r="L57" s="75" t="s">
        <v>228</v>
      </c>
      <c r="M57" s="75" t="s">
        <v>387</v>
      </c>
      <c r="N57" s="75"/>
      <c r="O57" s="74" t="s">
        <v>386</v>
      </c>
      <c r="P57" s="127" t="str">
        <f t="shared" si="0"/>
        <v>Bachelors, KCSE, KCPE</v>
      </c>
      <c r="Q57" s="75"/>
      <c r="R57" s="74"/>
      <c r="S57" s="74" t="s">
        <v>764</v>
      </c>
      <c r="T57" s="75"/>
      <c r="U57" s="75"/>
      <c r="V57" s="75" t="s">
        <v>690</v>
      </c>
      <c r="W57" s="75" t="s">
        <v>691</v>
      </c>
      <c r="X57" s="75"/>
      <c r="Y57" s="75" t="s">
        <v>355</v>
      </c>
      <c r="Z57" s="77" t="s">
        <v>232</v>
      </c>
    </row>
    <row r="58" spans="1:26">
      <c r="A58" s="74">
        <v>54</v>
      </c>
      <c r="B58" s="74">
        <v>54</v>
      </c>
      <c r="C58" s="74"/>
      <c r="D58" s="74" t="s">
        <v>388</v>
      </c>
      <c r="E58" s="74"/>
      <c r="F58" s="75">
        <v>36558749</v>
      </c>
      <c r="G58" s="74" t="s">
        <v>224</v>
      </c>
      <c r="H58" s="74"/>
      <c r="I58" s="75" t="s">
        <v>353</v>
      </c>
      <c r="J58" s="75" t="s">
        <v>374</v>
      </c>
      <c r="K58" s="75" t="s">
        <v>287</v>
      </c>
      <c r="L58" s="75" t="s">
        <v>228</v>
      </c>
      <c r="M58" s="75" t="s">
        <v>387</v>
      </c>
      <c r="N58" s="75"/>
      <c r="O58" s="74" t="s">
        <v>388</v>
      </c>
      <c r="P58" s="127" t="str">
        <f t="shared" si="0"/>
        <v>Bachelors, KCSE, KCPE</v>
      </c>
      <c r="Q58" s="75"/>
      <c r="R58" s="74"/>
      <c r="S58" s="74" t="s">
        <v>765</v>
      </c>
      <c r="T58" s="75"/>
      <c r="U58" s="75"/>
      <c r="V58" s="75" t="s">
        <v>690</v>
      </c>
      <c r="W58" s="75" t="s">
        <v>691</v>
      </c>
      <c r="X58" s="75"/>
      <c r="Y58" s="75" t="s">
        <v>355</v>
      </c>
      <c r="Z58" s="77" t="s">
        <v>389</v>
      </c>
    </row>
    <row r="59" spans="1:26">
      <c r="A59" s="74">
        <v>55</v>
      </c>
      <c r="B59" s="74">
        <v>55</v>
      </c>
      <c r="C59" s="74"/>
      <c r="D59" s="74" t="s">
        <v>390</v>
      </c>
      <c r="E59" s="74"/>
      <c r="F59" s="75">
        <v>30101934</v>
      </c>
      <c r="G59" s="74" t="s">
        <v>224</v>
      </c>
      <c r="H59" s="74">
        <v>31</v>
      </c>
      <c r="I59" s="75" t="s">
        <v>353</v>
      </c>
      <c r="J59" s="75" t="s">
        <v>374</v>
      </c>
      <c r="K59" s="75" t="s">
        <v>287</v>
      </c>
      <c r="L59" s="75" t="s">
        <v>228</v>
      </c>
      <c r="M59" s="75" t="s">
        <v>383</v>
      </c>
      <c r="N59" s="75"/>
      <c r="O59" s="74" t="s">
        <v>390</v>
      </c>
      <c r="P59" s="127" t="str">
        <f t="shared" si="0"/>
        <v>Bachelors, KCSE, KCPE</v>
      </c>
      <c r="Q59" s="75"/>
      <c r="R59" s="74"/>
      <c r="S59" s="74" t="s">
        <v>766</v>
      </c>
      <c r="T59" s="75"/>
      <c r="U59" s="75"/>
      <c r="V59" s="75" t="s">
        <v>690</v>
      </c>
      <c r="W59" s="75" t="s">
        <v>691</v>
      </c>
      <c r="X59" s="75"/>
      <c r="Y59" s="75" t="s">
        <v>355</v>
      </c>
      <c r="Z59" s="77" t="s">
        <v>241</v>
      </c>
    </row>
    <row r="60" spans="1:26">
      <c r="A60" s="74">
        <v>89</v>
      </c>
      <c r="B60" s="74">
        <v>56</v>
      </c>
      <c r="C60" s="74">
        <v>20250011207</v>
      </c>
      <c r="D60" s="74" t="s">
        <v>456</v>
      </c>
      <c r="E60" s="74"/>
      <c r="F60" s="75">
        <v>25880958</v>
      </c>
      <c r="G60" s="74" t="s">
        <v>224</v>
      </c>
      <c r="H60" s="74">
        <v>39</v>
      </c>
      <c r="I60" s="75" t="s">
        <v>353</v>
      </c>
      <c r="J60" s="75" t="s">
        <v>374</v>
      </c>
      <c r="K60" s="75" t="s">
        <v>287</v>
      </c>
      <c r="L60" s="75" t="s">
        <v>228</v>
      </c>
      <c r="M60" s="75" t="s">
        <v>383</v>
      </c>
      <c r="N60" s="76">
        <v>45658</v>
      </c>
      <c r="O60" s="74" t="s">
        <v>456</v>
      </c>
      <c r="P60" s="127" t="str">
        <f t="shared" si="0"/>
        <v>KCSE, KCPE</v>
      </c>
      <c r="Q60" s="75"/>
      <c r="R60" s="74"/>
      <c r="S60" s="74"/>
      <c r="T60" s="75"/>
      <c r="U60" s="75"/>
      <c r="V60" s="75" t="s">
        <v>690</v>
      </c>
      <c r="W60" s="75" t="s">
        <v>691</v>
      </c>
      <c r="X60" s="75"/>
      <c r="Y60" s="75" t="s">
        <v>355</v>
      </c>
      <c r="Z60" s="77" t="s">
        <v>298</v>
      </c>
    </row>
    <row r="61" spans="1:26" s="67" customFormat="1">
      <c r="A61" s="60"/>
      <c r="B61" s="60"/>
      <c r="C61" s="60"/>
      <c r="D61" s="61"/>
      <c r="E61" s="61"/>
      <c r="F61" s="65" t="s">
        <v>391</v>
      </c>
      <c r="G61" s="61"/>
      <c r="H61" s="60"/>
      <c r="I61" s="79"/>
      <c r="J61" s="79"/>
      <c r="K61" s="79"/>
      <c r="L61" s="79"/>
      <c r="M61" s="79"/>
      <c r="N61" s="79"/>
      <c r="O61" s="61"/>
      <c r="P61" s="127" t="str">
        <f t="shared" si="0"/>
        <v/>
      </c>
      <c r="Q61" s="79"/>
      <c r="R61" s="60"/>
      <c r="S61" s="60"/>
      <c r="T61" s="79"/>
      <c r="U61" s="79"/>
      <c r="V61" s="79"/>
      <c r="W61" s="79"/>
      <c r="X61" s="79"/>
      <c r="Y61" s="66"/>
      <c r="Z61" s="66"/>
    </row>
    <row r="62" spans="1:26" s="72" customFormat="1">
      <c r="A62" s="68">
        <v>56</v>
      </c>
      <c r="B62" s="68">
        <v>57</v>
      </c>
      <c r="C62" s="68">
        <v>19920654373</v>
      </c>
      <c r="D62" s="68" t="s">
        <v>392</v>
      </c>
      <c r="E62" s="68"/>
      <c r="F62" s="69">
        <v>8735350</v>
      </c>
      <c r="G62" s="68" t="s">
        <v>224</v>
      </c>
      <c r="H62" s="68">
        <v>58</v>
      </c>
      <c r="I62" s="69" t="s">
        <v>393</v>
      </c>
      <c r="J62" s="69" t="s">
        <v>394</v>
      </c>
      <c r="K62" s="69" t="s">
        <v>301</v>
      </c>
      <c r="L62" s="69" t="s">
        <v>228</v>
      </c>
      <c r="M62" s="69" t="s">
        <v>395</v>
      </c>
      <c r="N62" s="69" t="s">
        <v>767</v>
      </c>
      <c r="O62" s="68" t="s">
        <v>392</v>
      </c>
      <c r="P62" s="127" t="str">
        <f t="shared" si="0"/>
        <v>Bachelors, Dip, KCSE, KCPE, CPA</v>
      </c>
      <c r="Q62" s="69"/>
      <c r="R62" s="68"/>
      <c r="S62" s="73" t="s">
        <v>768</v>
      </c>
      <c r="T62" s="72" t="s">
        <v>699</v>
      </c>
      <c r="U62" s="69"/>
      <c r="V62" s="69" t="s">
        <v>690</v>
      </c>
      <c r="W62" s="69" t="s">
        <v>691</v>
      </c>
      <c r="X62" s="69" t="s">
        <v>769</v>
      </c>
      <c r="Y62" s="69" t="s">
        <v>240</v>
      </c>
      <c r="Z62" s="71" t="s">
        <v>316</v>
      </c>
    </row>
    <row r="63" spans="1:26">
      <c r="A63" s="74">
        <v>57</v>
      </c>
      <c r="B63" s="74">
        <v>58</v>
      </c>
      <c r="C63" s="74">
        <v>20095593234</v>
      </c>
      <c r="D63" s="74" t="s">
        <v>397</v>
      </c>
      <c r="E63" s="74"/>
      <c r="F63" s="75">
        <v>25394414</v>
      </c>
      <c r="G63" s="74" t="s">
        <v>234</v>
      </c>
      <c r="H63" s="74">
        <v>36</v>
      </c>
      <c r="I63" s="75" t="s">
        <v>393</v>
      </c>
      <c r="J63" s="75" t="s">
        <v>394</v>
      </c>
      <c r="K63" s="75" t="s">
        <v>301</v>
      </c>
      <c r="L63" s="75" t="s">
        <v>228</v>
      </c>
      <c r="M63" s="75" t="s">
        <v>398</v>
      </c>
      <c r="N63" s="75" t="s">
        <v>770</v>
      </c>
      <c r="O63" s="74" t="s">
        <v>397</v>
      </c>
      <c r="P63" s="127" t="str">
        <f t="shared" si="0"/>
        <v>MSc, Bachelors, KCSE, KCPE</v>
      </c>
      <c r="Q63" s="75"/>
      <c r="R63" s="95" t="s">
        <v>771</v>
      </c>
      <c r="S63" s="33" t="s">
        <v>704</v>
      </c>
      <c r="T63" s="75"/>
      <c r="U63" s="75"/>
      <c r="V63" s="75" t="s">
        <v>690</v>
      </c>
      <c r="W63" s="75" t="s">
        <v>691</v>
      </c>
      <c r="X63" s="75"/>
      <c r="Y63" s="75" t="s">
        <v>240</v>
      </c>
      <c r="Z63" s="77" t="s">
        <v>232</v>
      </c>
    </row>
    <row r="64" spans="1:26">
      <c r="A64" s="74">
        <v>58</v>
      </c>
      <c r="B64" s="74">
        <v>59</v>
      </c>
      <c r="C64" s="74">
        <v>19930980988</v>
      </c>
      <c r="D64" s="74" t="s">
        <v>399</v>
      </c>
      <c r="E64" s="74"/>
      <c r="F64" s="75">
        <v>8107003</v>
      </c>
      <c r="G64" s="74" t="s">
        <v>224</v>
      </c>
      <c r="H64" s="74">
        <v>58</v>
      </c>
      <c r="I64" s="75" t="s">
        <v>400</v>
      </c>
      <c r="J64" s="75" t="s">
        <v>394</v>
      </c>
      <c r="K64" s="75" t="s">
        <v>224</v>
      </c>
      <c r="L64" s="75" t="s">
        <v>228</v>
      </c>
      <c r="M64" s="75" t="s">
        <v>401</v>
      </c>
      <c r="N64" s="76">
        <v>33976</v>
      </c>
      <c r="O64" s="74" t="s">
        <v>399</v>
      </c>
      <c r="P64" s="127" t="str">
        <f t="shared" si="0"/>
        <v>KCSE, KCPE</v>
      </c>
      <c r="Q64" s="75"/>
      <c r="R64" s="74"/>
      <c r="S64" s="74"/>
      <c r="T64" s="75"/>
      <c r="U64" t="s">
        <v>772</v>
      </c>
      <c r="V64" s="75" t="s">
        <v>690</v>
      </c>
      <c r="W64" s="75" t="s">
        <v>691</v>
      </c>
      <c r="X64" s="75"/>
      <c r="Y64" s="75" t="s">
        <v>240</v>
      </c>
      <c r="Z64" s="77" t="s">
        <v>402</v>
      </c>
    </row>
    <row r="65" spans="1:26">
      <c r="A65" s="74">
        <v>59</v>
      </c>
      <c r="B65" s="74">
        <v>60</v>
      </c>
      <c r="C65" s="74">
        <v>20181472524</v>
      </c>
      <c r="D65" s="74" t="s">
        <v>403</v>
      </c>
      <c r="E65" s="74"/>
      <c r="F65" s="75">
        <v>24146874</v>
      </c>
      <c r="G65" s="74" t="s">
        <v>234</v>
      </c>
      <c r="H65" s="74">
        <v>40</v>
      </c>
      <c r="I65" s="75" t="s">
        <v>404</v>
      </c>
      <c r="J65" s="75" t="s">
        <v>394</v>
      </c>
      <c r="K65" s="75" t="s">
        <v>254</v>
      </c>
      <c r="L65" s="75" t="s">
        <v>228</v>
      </c>
      <c r="M65" s="75" t="s">
        <v>377</v>
      </c>
      <c r="N65" s="76">
        <v>43101</v>
      </c>
      <c r="O65" s="74" t="s">
        <v>403</v>
      </c>
      <c r="P65" s="127" t="str">
        <f t="shared" si="0"/>
        <v>Bachelors, KCSE, KCPE</v>
      </c>
      <c r="Q65" s="75"/>
      <c r="R65" s="74"/>
      <c r="S65" s="33" t="s">
        <v>773</v>
      </c>
      <c r="T65" s="75"/>
      <c r="U65" s="75"/>
      <c r="V65" s="75" t="s">
        <v>690</v>
      </c>
      <c r="W65" s="75" t="s">
        <v>691</v>
      </c>
      <c r="X65" s="75"/>
      <c r="Y65" s="75" t="s">
        <v>231</v>
      </c>
      <c r="Z65" s="77" t="s">
        <v>273</v>
      </c>
    </row>
    <row r="66" spans="1:26">
      <c r="A66" s="74">
        <v>60</v>
      </c>
      <c r="B66" s="74">
        <v>61</v>
      </c>
      <c r="C66" s="74">
        <v>20240300890</v>
      </c>
      <c r="D66" s="74" t="s">
        <v>405</v>
      </c>
      <c r="E66" s="74"/>
      <c r="F66" s="75">
        <v>37963481</v>
      </c>
      <c r="G66" s="74" t="s">
        <v>224</v>
      </c>
      <c r="H66" s="74">
        <v>25</v>
      </c>
      <c r="I66" s="75" t="s">
        <v>406</v>
      </c>
      <c r="J66" s="75" t="s">
        <v>394</v>
      </c>
      <c r="K66" s="75" t="s">
        <v>254</v>
      </c>
      <c r="L66" s="75" t="s">
        <v>228</v>
      </c>
      <c r="M66" s="76">
        <v>46883</v>
      </c>
      <c r="N66" s="76">
        <v>45301</v>
      </c>
      <c r="O66" s="74" t="s">
        <v>405</v>
      </c>
      <c r="P66" s="127" t="str">
        <f t="shared" si="0"/>
        <v>Bachelors, KCSE, KCPE</v>
      </c>
      <c r="Q66" s="75"/>
      <c r="R66" s="74"/>
      <c r="S66" s="74" t="s">
        <v>774</v>
      </c>
      <c r="T66" s="75"/>
      <c r="U66" s="75"/>
      <c r="V66" s="75" t="s">
        <v>690</v>
      </c>
      <c r="W66" s="75" t="s">
        <v>691</v>
      </c>
      <c r="X66" s="75"/>
      <c r="Y66" s="75" t="s">
        <v>231</v>
      </c>
      <c r="Z66" s="77" t="s">
        <v>232</v>
      </c>
    </row>
    <row r="67" spans="1:26" ht="14.25" customHeight="1">
      <c r="A67" s="74">
        <v>61</v>
      </c>
      <c r="B67" s="74">
        <v>62</v>
      </c>
      <c r="C67" s="77">
        <v>20250067240</v>
      </c>
      <c r="D67" s="87" t="s">
        <v>407</v>
      </c>
      <c r="E67" s="87"/>
      <c r="F67" s="88">
        <v>36697114</v>
      </c>
      <c r="G67" s="74" t="s">
        <v>234</v>
      </c>
      <c r="H67" s="74"/>
      <c r="I67" s="88" t="s">
        <v>408</v>
      </c>
      <c r="J67" s="88" t="s">
        <v>394</v>
      </c>
      <c r="K67" s="75" t="s">
        <v>254</v>
      </c>
      <c r="L67" s="75" t="s">
        <v>228</v>
      </c>
      <c r="M67" s="76">
        <v>46757</v>
      </c>
      <c r="N67" s="76">
        <v>45693</v>
      </c>
      <c r="O67" s="87" t="s">
        <v>407</v>
      </c>
      <c r="P67" s="127" t="str">
        <f t="shared" si="0"/>
        <v>Bachelors, KCSE, KCPE</v>
      </c>
      <c r="Q67" s="75"/>
      <c r="R67" s="74"/>
      <c r="S67" s="74" t="s">
        <v>775</v>
      </c>
      <c r="T67" s="75"/>
      <c r="U67" s="75"/>
      <c r="V67" s="75" t="s">
        <v>690</v>
      </c>
      <c r="W67" s="75" t="s">
        <v>691</v>
      </c>
      <c r="X67" s="75"/>
      <c r="Y67" s="75" t="s">
        <v>231</v>
      </c>
      <c r="Z67" s="77" t="s">
        <v>251</v>
      </c>
    </row>
    <row r="68" spans="1:26" ht="17.25" customHeight="1">
      <c r="A68" s="74">
        <v>62</v>
      </c>
      <c r="B68" s="74">
        <v>63</v>
      </c>
      <c r="C68" s="77">
        <v>20250067232</v>
      </c>
      <c r="D68" s="87" t="s">
        <v>409</v>
      </c>
      <c r="E68" s="87"/>
      <c r="F68" s="96">
        <v>33381959</v>
      </c>
      <c r="G68" s="74" t="s">
        <v>224</v>
      </c>
      <c r="H68" s="74"/>
      <c r="I68" s="88" t="s">
        <v>408</v>
      </c>
      <c r="J68" s="88" t="s">
        <v>394</v>
      </c>
      <c r="K68" s="75" t="s">
        <v>254</v>
      </c>
      <c r="L68" s="75" t="s">
        <v>228</v>
      </c>
      <c r="M68" s="76">
        <v>46757</v>
      </c>
      <c r="N68" s="76">
        <v>45693</v>
      </c>
      <c r="O68" s="87" t="s">
        <v>409</v>
      </c>
      <c r="P68" s="127" t="str">
        <f t="shared" ref="P68:P131" si="1">SUBSTITUTE(TRIM(
    IF(COUNTIF(Q68:X68, "*Philosophy*"), "PhD ", "") &amp;
    IF(COUNTIF(Q68:X68, "*Master*"), "MSc ", "") &amp;
    IF(COUNTIF(Q68:X68, "*Bachelor*"), "Bachelors ", "") &amp;
    IF(COUNTIF(Q68:X68, "*Diploma*"), "Dip ", "") &amp;
    IF(COUNTIF(Q68:X68, "*KCSE*"), "KCSE ", "") &amp;
    IF(COUNTIF(Q68:X68, "*KCPE*"), "KCPE ", "") &amp;
    IF(COUNTIF(Q68:X68, "*IHRM*"), "IHRM ", "") &amp;
    IF(COUNTIF(Q68:X68, "*HRMPB*"), "HRMPB ", "") &amp;
    IF(COUNTIF(Q68:X68, "*KISM*"), "KISM ", "") &amp;
    IF(COUNTIF(Q68:X68, "*ICPAK*"), "ICPAK ", "") &amp;
    IF(COUNTIF(Q68:X68, "*CPA*"), "CPA ", "") &amp;
    IF(COUNTIF(Q68:X68, "*Strategic Leadership*"), "SLDP ", "") &amp;
    IF(COUNTIF(Q68:X68, "*Senior Management*"), "SMC ", "") &amp;
    IF(COUNTIF(Q68:X68, "*Nursing*"), "NCK ", "") &amp;
    IF(COUNTIF(Q68:X68, "*KMLTTB*"), "KMLTTB ", "") &amp;
    IF(COUNTIF(Q68:X68, "*Cstat*"), "Cstat ", "") &amp;
    IF(SUMPRODUCT(LEN(Q68:X68)-LEN(SUBSTITUTE(UPPER(Q68:X68),"CERTIFICATE","")))/11&gt;0,
       SUMPRODUCT(LEN(Q68:X68)-LEN(SUBSTITUTE(UPPER(Q68:X68),"CERTIFICATE","")))/11 &amp; " Certificates ", "")
), " ", ", ")</f>
        <v>Bachelors, KCSE, KCPE</v>
      </c>
      <c r="Q68" s="75"/>
      <c r="R68" s="74"/>
      <c r="S68" s="74" t="s">
        <v>774</v>
      </c>
      <c r="T68" s="75"/>
      <c r="U68" s="75"/>
      <c r="V68" s="75" t="s">
        <v>690</v>
      </c>
      <c r="W68" s="75" t="s">
        <v>691</v>
      </c>
      <c r="X68" s="75"/>
      <c r="Y68" s="75" t="s">
        <v>231</v>
      </c>
      <c r="Z68" s="77" t="s">
        <v>410</v>
      </c>
    </row>
    <row r="69" spans="1:26" ht="18" customHeight="1">
      <c r="A69" s="74">
        <v>63</v>
      </c>
      <c r="B69" s="74">
        <v>64</v>
      </c>
      <c r="C69" s="77">
        <v>20250067258</v>
      </c>
      <c r="D69" s="87" t="s">
        <v>411</v>
      </c>
      <c r="E69" s="87"/>
      <c r="F69" s="75">
        <v>39000494</v>
      </c>
      <c r="G69" s="74" t="s">
        <v>234</v>
      </c>
      <c r="H69" s="74"/>
      <c r="I69" s="88" t="s">
        <v>408</v>
      </c>
      <c r="J69" s="88" t="s">
        <v>394</v>
      </c>
      <c r="K69" s="75" t="s">
        <v>254</v>
      </c>
      <c r="L69" s="75" t="s">
        <v>228</v>
      </c>
      <c r="M69" s="76">
        <v>46757</v>
      </c>
      <c r="N69" s="76">
        <v>45693</v>
      </c>
      <c r="O69" s="87" t="s">
        <v>411</v>
      </c>
      <c r="P69" s="127" t="str">
        <f t="shared" si="1"/>
        <v>Bachelors, KCSE, KCPE</v>
      </c>
      <c r="Q69" s="75"/>
      <c r="R69" s="74"/>
      <c r="S69" s="74" t="s">
        <v>775</v>
      </c>
      <c r="T69" s="75"/>
      <c r="U69" s="75"/>
      <c r="V69" s="75" t="s">
        <v>690</v>
      </c>
      <c r="W69" s="75" t="s">
        <v>691</v>
      </c>
      <c r="X69" s="75"/>
      <c r="Y69" s="75" t="s">
        <v>231</v>
      </c>
      <c r="Z69" s="77" t="s">
        <v>232</v>
      </c>
    </row>
    <row r="70" spans="1:26">
      <c r="A70" s="74">
        <v>64</v>
      </c>
      <c r="B70" s="74">
        <v>65</v>
      </c>
      <c r="C70" s="74">
        <v>20220598342</v>
      </c>
      <c r="D70" s="74" t="s">
        <v>412</v>
      </c>
      <c r="E70" s="74"/>
      <c r="F70" s="75">
        <v>31621426</v>
      </c>
      <c r="G70" s="74" t="s">
        <v>224</v>
      </c>
      <c r="H70" s="74">
        <v>30</v>
      </c>
      <c r="I70" s="75" t="s">
        <v>286</v>
      </c>
      <c r="J70" s="75" t="s">
        <v>394</v>
      </c>
      <c r="K70" s="75" t="s">
        <v>287</v>
      </c>
      <c r="L70" s="75" t="s">
        <v>228</v>
      </c>
      <c r="M70" s="75" t="s">
        <v>413</v>
      </c>
      <c r="N70" s="75" t="s">
        <v>776</v>
      </c>
      <c r="O70" s="74" t="s">
        <v>412</v>
      </c>
      <c r="P70" s="127" t="str">
        <f t="shared" si="1"/>
        <v>KCSE, KCPE, 1, Certificates</v>
      </c>
      <c r="Q70" s="75"/>
      <c r="R70" s="74"/>
      <c r="S70" s="74"/>
      <c r="T70" s="75"/>
      <c r="U70" t="s">
        <v>777</v>
      </c>
      <c r="V70" s="75" t="s">
        <v>690</v>
      </c>
      <c r="W70" s="75" t="s">
        <v>691</v>
      </c>
      <c r="X70" s="75"/>
      <c r="Y70" s="75" t="s">
        <v>231</v>
      </c>
      <c r="Z70" s="77" t="s">
        <v>342</v>
      </c>
    </row>
    <row r="71" spans="1:26" s="67" customFormat="1">
      <c r="A71" s="60"/>
      <c r="B71" s="60"/>
      <c r="C71" s="60"/>
      <c r="D71" s="60"/>
      <c r="E71" s="60"/>
      <c r="F71" s="65" t="s">
        <v>414</v>
      </c>
      <c r="G71" s="60"/>
      <c r="H71" s="60"/>
      <c r="I71" s="79"/>
      <c r="J71" s="79"/>
      <c r="K71" s="79"/>
      <c r="L71" s="79"/>
      <c r="M71" s="79"/>
      <c r="N71" s="79"/>
      <c r="O71" s="60"/>
      <c r="P71" s="127" t="str">
        <f t="shared" si="1"/>
        <v/>
      </c>
      <c r="Q71" s="79"/>
      <c r="R71" s="60"/>
      <c r="S71" s="60"/>
      <c r="T71" s="79"/>
      <c r="U71" s="79"/>
      <c r="V71" s="79"/>
      <c r="W71" s="79"/>
      <c r="X71" s="79"/>
      <c r="Y71" s="66"/>
      <c r="Z71" s="66"/>
    </row>
    <row r="72" spans="1:26">
      <c r="A72" s="74">
        <v>65</v>
      </c>
      <c r="B72" s="74">
        <v>66</v>
      </c>
      <c r="C72" s="74">
        <v>20200484002</v>
      </c>
      <c r="D72" s="74" t="s">
        <v>535</v>
      </c>
      <c r="E72" s="74"/>
      <c r="F72" s="75">
        <v>33171966</v>
      </c>
      <c r="G72" s="74" t="s">
        <v>224</v>
      </c>
      <c r="H72" s="74">
        <v>29</v>
      </c>
      <c r="I72" s="75" t="s">
        <v>536</v>
      </c>
      <c r="J72" s="75" t="s">
        <v>417</v>
      </c>
      <c r="K72" s="75" t="s">
        <v>224</v>
      </c>
      <c r="L72" s="75" t="s">
        <v>228</v>
      </c>
      <c r="M72" s="75" t="s">
        <v>377</v>
      </c>
      <c r="N72" s="75" t="s">
        <v>778</v>
      </c>
      <c r="O72" s="74" t="s">
        <v>535</v>
      </c>
      <c r="P72" s="127" t="str">
        <f t="shared" si="1"/>
        <v>Bachelors, KCSE, KCPE</v>
      </c>
      <c r="Q72" s="75"/>
      <c r="R72" s="74"/>
      <c r="S72" t="s">
        <v>779</v>
      </c>
      <c r="T72" s="75"/>
      <c r="U72" s="75"/>
      <c r="V72" s="75" t="s">
        <v>690</v>
      </c>
      <c r="W72" s="75" t="s">
        <v>691</v>
      </c>
      <c r="X72" s="75"/>
      <c r="Y72" s="75" t="s">
        <v>231</v>
      </c>
      <c r="Z72" s="77" t="s">
        <v>251</v>
      </c>
    </row>
    <row r="73" spans="1:26">
      <c r="A73" s="74">
        <v>66</v>
      </c>
      <c r="B73" s="74">
        <v>67</v>
      </c>
      <c r="C73" s="74">
        <v>20200484010</v>
      </c>
      <c r="D73" s="74" t="s">
        <v>418</v>
      </c>
      <c r="E73" s="74"/>
      <c r="F73" s="75">
        <v>30408351</v>
      </c>
      <c r="G73" s="74" t="s">
        <v>224</v>
      </c>
      <c r="H73" s="74">
        <v>32</v>
      </c>
      <c r="I73" s="75" t="s">
        <v>416</v>
      </c>
      <c r="J73" s="75" t="s">
        <v>417</v>
      </c>
      <c r="K73" s="75" t="s">
        <v>254</v>
      </c>
      <c r="L73" s="75" t="s">
        <v>228</v>
      </c>
      <c r="M73" s="75" t="s">
        <v>419</v>
      </c>
      <c r="N73" s="76">
        <v>43837</v>
      </c>
      <c r="O73" s="74" t="s">
        <v>418</v>
      </c>
      <c r="P73" s="127" t="str">
        <f t="shared" si="1"/>
        <v>Bachelors, Dip, KCSE, KCPE</v>
      </c>
      <c r="Q73" s="75"/>
      <c r="R73" s="74"/>
      <c r="S73" t="s">
        <v>780</v>
      </c>
      <c r="T73" t="s">
        <v>781</v>
      </c>
      <c r="U73" s="75"/>
      <c r="V73" s="75" t="s">
        <v>690</v>
      </c>
      <c r="W73" s="75" t="s">
        <v>691</v>
      </c>
      <c r="X73" s="75"/>
      <c r="Y73" s="75" t="s">
        <v>231</v>
      </c>
      <c r="Z73" s="77" t="s">
        <v>246</v>
      </c>
    </row>
    <row r="74" spans="1:26">
      <c r="A74" s="74">
        <v>67</v>
      </c>
      <c r="B74" s="74">
        <v>68</v>
      </c>
      <c r="C74" s="74">
        <v>20220597964</v>
      </c>
      <c r="D74" s="74" t="s">
        <v>415</v>
      </c>
      <c r="E74" s="74"/>
      <c r="F74" s="75">
        <v>35685292</v>
      </c>
      <c r="G74" s="74" t="s">
        <v>224</v>
      </c>
      <c r="H74" s="74">
        <v>26</v>
      </c>
      <c r="I74" s="75" t="s">
        <v>416</v>
      </c>
      <c r="J74" s="75" t="s">
        <v>417</v>
      </c>
      <c r="K74" s="75" t="s">
        <v>254</v>
      </c>
      <c r="L74" s="75" t="s">
        <v>228</v>
      </c>
      <c r="M74" s="75" t="s">
        <v>413</v>
      </c>
      <c r="N74" s="76">
        <v>44806</v>
      </c>
      <c r="O74" s="74" t="s">
        <v>415</v>
      </c>
      <c r="P74" s="127" t="str">
        <f t="shared" si="1"/>
        <v>Bachelors, KCSE, KCPE</v>
      </c>
      <c r="Q74" s="75"/>
      <c r="R74" s="74"/>
      <c r="S74" t="s">
        <v>780</v>
      </c>
      <c r="T74" s="75"/>
      <c r="U74" s="75"/>
      <c r="V74" s="75" t="s">
        <v>690</v>
      </c>
      <c r="W74" s="75" t="s">
        <v>691</v>
      </c>
      <c r="X74" s="75"/>
      <c r="Y74" s="75" t="s">
        <v>231</v>
      </c>
      <c r="Z74" s="77" t="s">
        <v>266</v>
      </c>
    </row>
    <row r="75" spans="1:26">
      <c r="A75" s="74">
        <v>68</v>
      </c>
      <c r="B75" s="74">
        <v>69</v>
      </c>
      <c r="C75" s="74">
        <v>20220597906</v>
      </c>
      <c r="D75" s="74" t="s">
        <v>420</v>
      </c>
      <c r="E75" s="74"/>
      <c r="F75" s="75">
        <v>30050596</v>
      </c>
      <c r="G75" s="74" t="s">
        <v>224</v>
      </c>
      <c r="H75" s="74">
        <v>32</v>
      </c>
      <c r="I75" s="75" t="s">
        <v>421</v>
      </c>
      <c r="J75" s="75" t="s">
        <v>417</v>
      </c>
      <c r="K75" s="75" t="s">
        <v>276</v>
      </c>
      <c r="L75" s="75" t="s">
        <v>228</v>
      </c>
      <c r="M75" s="75" t="s">
        <v>413</v>
      </c>
      <c r="N75" s="75" t="s">
        <v>782</v>
      </c>
      <c r="O75" s="74" t="s">
        <v>420</v>
      </c>
      <c r="P75" s="127" t="str">
        <f t="shared" si="1"/>
        <v>Dip, KCSE, KCPE</v>
      </c>
      <c r="Q75" s="75"/>
      <c r="R75" s="74"/>
      <c r="S75" s="74"/>
      <c r="T75" t="s">
        <v>783</v>
      </c>
      <c r="U75" s="75"/>
      <c r="V75" s="75" t="s">
        <v>690</v>
      </c>
      <c r="W75" s="75" t="s">
        <v>691</v>
      </c>
      <c r="X75" s="75"/>
      <c r="Y75" s="75" t="s">
        <v>231</v>
      </c>
      <c r="Z75" s="77" t="s">
        <v>298</v>
      </c>
    </row>
    <row r="76" spans="1:26" s="67" customFormat="1" ht="15.6">
      <c r="A76" s="60"/>
      <c r="B76" s="60"/>
      <c r="C76" s="60"/>
      <c r="D76" s="60"/>
      <c r="E76" s="60"/>
      <c r="F76" s="97" t="s">
        <v>422</v>
      </c>
      <c r="G76" s="60"/>
      <c r="H76" s="60"/>
      <c r="I76" s="79"/>
      <c r="J76" s="79"/>
      <c r="K76" s="79"/>
      <c r="L76" s="79"/>
      <c r="M76" s="79"/>
      <c r="N76" s="79"/>
      <c r="O76" s="60"/>
      <c r="P76" s="127" t="str">
        <f t="shared" si="1"/>
        <v/>
      </c>
      <c r="Q76" s="79"/>
      <c r="R76" s="60"/>
      <c r="S76" s="60"/>
      <c r="T76" s="79"/>
      <c r="U76" s="79"/>
      <c r="V76" s="79"/>
      <c r="W76" s="79"/>
      <c r="X76" s="79"/>
      <c r="Y76" s="66"/>
      <c r="Z76" s="66"/>
    </row>
    <row r="77" spans="1:26" s="72" customFormat="1">
      <c r="A77" s="68">
        <v>69</v>
      </c>
      <c r="B77" s="68">
        <v>70</v>
      </c>
      <c r="C77" s="68">
        <v>20121210938</v>
      </c>
      <c r="D77" s="68" t="s">
        <v>423</v>
      </c>
      <c r="E77" s="68"/>
      <c r="F77" s="69">
        <v>24416334</v>
      </c>
      <c r="G77" s="68" t="s">
        <v>224</v>
      </c>
      <c r="H77" s="68">
        <v>39</v>
      </c>
      <c r="I77" s="69" t="s">
        <v>424</v>
      </c>
      <c r="J77" s="69" t="s">
        <v>422</v>
      </c>
      <c r="K77" s="69" t="s">
        <v>301</v>
      </c>
      <c r="L77" s="69" t="s">
        <v>228</v>
      </c>
      <c r="M77" s="69" t="s">
        <v>425</v>
      </c>
      <c r="N77" s="70">
        <v>40916</v>
      </c>
      <c r="O77" s="68" t="s">
        <v>423</v>
      </c>
      <c r="P77" s="127" t="str">
        <f t="shared" si="1"/>
        <v>MSc, Bachelors, KCSE, KCPE, 1, Certificates</v>
      </c>
      <c r="Q77" s="69"/>
      <c r="R77" s="73" t="s">
        <v>784</v>
      </c>
      <c r="S77" s="72" t="s">
        <v>715</v>
      </c>
      <c r="T77" s="69"/>
      <c r="U77" s="69"/>
      <c r="V77" s="69" t="s">
        <v>690</v>
      </c>
      <c r="W77" s="69" t="s">
        <v>691</v>
      </c>
      <c r="X77" s="69" t="s">
        <v>785</v>
      </c>
      <c r="Y77" s="69" t="s">
        <v>240</v>
      </c>
      <c r="Z77" s="71" t="s">
        <v>257</v>
      </c>
    </row>
    <row r="78" spans="1:26">
      <c r="A78" s="74">
        <v>70</v>
      </c>
      <c r="B78" s="74">
        <v>71</v>
      </c>
      <c r="C78" s="74">
        <v>2013091337</v>
      </c>
      <c r="D78" s="74" t="s">
        <v>426</v>
      </c>
      <c r="E78" s="74"/>
      <c r="F78" s="75">
        <v>27494151</v>
      </c>
      <c r="G78" s="74" t="s">
        <v>234</v>
      </c>
      <c r="H78" s="74">
        <v>35</v>
      </c>
      <c r="I78" s="75" t="s">
        <v>315</v>
      </c>
      <c r="J78" s="75" t="s">
        <v>422</v>
      </c>
      <c r="K78" s="75" t="s">
        <v>254</v>
      </c>
      <c r="L78" s="75" t="s">
        <v>228</v>
      </c>
      <c r="M78" s="75" t="s">
        <v>377</v>
      </c>
      <c r="N78" s="76">
        <v>44621</v>
      </c>
      <c r="O78" s="74" t="s">
        <v>426</v>
      </c>
      <c r="P78" s="127" t="str">
        <f t="shared" si="1"/>
        <v>Bachelors, KCSE, KCPE, NCK</v>
      </c>
      <c r="Q78" s="75"/>
      <c r="R78" s="74"/>
      <c r="S78" t="s">
        <v>786</v>
      </c>
      <c r="T78" s="75"/>
      <c r="U78" s="75"/>
      <c r="V78" s="75" t="s">
        <v>690</v>
      </c>
      <c r="W78" s="75" t="s">
        <v>691</v>
      </c>
      <c r="X78" s="75" t="s">
        <v>787</v>
      </c>
      <c r="Y78" s="75" t="s">
        <v>231</v>
      </c>
      <c r="Z78" s="77" t="s">
        <v>232</v>
      </c>
    </row>
    <row r="79" spans="1:26">
      <c r="A79" s="74">
        <v>71</v>
      </c>
      <c r="B79" s="74">
        <v>72</v>
      </c>
      <c r="C79" s="74">
        <v>20220598960</v>
      </c>
      <c r="D79" s="74" t="s">
        <v>427</v>
      </c>
      <c r="E79" s="74"/>
      <c r="F79" s="75">
        <v>27895831</v>
      </c>
      <c r="G79" s="74" t="s">
        <v>234</v>
      </c>
      <c r="H79" s="74">
        <v>35</v>
      </c>
      <c r="I79" s="75" t="s">
        <v>315</v>
      </c>
      <c r="J79" s="75" t="s">
        <v>422</v>
      </c>
      <c r="K79" s="75" t="s">
        <v>254</v>
      </c>
      <c r="L79" s="75" t="s">
        <v>228</v>
      </c>
      <c r="M79" s="75" t="s">
        <v>308</v>
      </c>
      <c r="N79" s="76">
        <v>44621</v>
      </c>
      <c r="O79" s="74" t="s">
        <v>427</v>
      </c>
      <c r="P79" s="127" t="str">
        <f t="shared" si="1"/>
        <v>Bachelors, KCSE, KCPE</v>
      </c>
      <c r="Q79" s="75"/>
      <c r="R79" s="74"/>
      <c r="S79" s="74" t="s">
        <v>788</v>
      </c>
      <c r="T79" s="75"/>
      <c r="U79" s="75"/>
      <c r="V79" s="75" t="s">
        <v>690</v>
      </c>
      <c r="W79" s="75" t="s">
        <v>691</v>
      </c>
      <c r="X79" s="75"/>
      <c r="Y79" s="75" t="s">
        <v>231</v>
      </c>
      <c r="Z79" s="77" t="s">
        <v>241</v>
      </c>
    </row>
    <row r="80" spans="1:26">
      <c r="A80" s="74">
        <v>72</v>
      </c>
      <c r="B80" s="74">
        <v>73</v>
      </c>
      <c r="C80" s="74">
        <v>2012024370</v>
      </c>
      <c r="D80" s="74" t="s">
        <v>428</v>
      </c>
      <c r="E80" s="74"/>
      <c r="F80" s="75">
        <v>23875841</v>
      </c>
      <c r="G80" s="74" t="s">
        <v>234</v>
      </c>
      <c r="H80" s="74">
        <v>40</v>
      </c>
      <c r="I80" s="75" t="s">
        <v>353</v>
      </c>
      <c r="J80" s="75" t="s">
        <v>422</v>
      </c>
      <c r="K80" s="75" t="s">
        <v>287</v>
      </c>
      <c r="L80" s="75" t="s">
        <v>228</v>
      </c>
      <c r="M80" s="75" t="s">
        <v>429</v>
      </c>
      <c r="N80" s="76">
        <v>44621</v>
      </c>
      <c r="O80" s="74" t="s">
        <v>428</v>
      </c>
      <c r="P80" s="127" t="str">
        <f t="shared" si="1"/>
        <v>MSc, Bachelors, KCSE, KCPE</v>
      </c>
      <c r="Q80" s="75"/>
      <c r="R80" s="95" t="s">
        <v>723</v>
      </c>
      <c r="S80" t="s">
        <v>789</v>
      </c>
      <c r="T80" s="75"/>
      <c r="U80" s="75"/>
      <c r="V80" s="75" t="s">
        <v>690</v>
      </c>
      <c r="W80" s="75" t="s">
        <v>691</v>
      </c>
      <c r="X80" s="75"/>
      <c r="Y80" s="75" t="s">
        <v>355</v>
      </c>
      <c r="Z80" s="77" t="s">
        <v>430</v>
      </c>
    </row>
    <row r="81" spans="1:26">
      <c r="A81" s="74">
        <v>73</v>
      </c>
      <c r="B81" s="74">
        <v>74</v>
      </c>
      <c r="C81" s="74">
        <v>20181472223</v>
      </c>
      <c r="D81" s="74" t="s">
        <v>431</v>
      </c>
      <c r="E81" s="74"/>
      <c r="F81" s="75">
        <v>33852077</v>
      </c>
      <c r="G81" s="74" t="s">
        <v>224</v>
      </c>
      <c r="H81" s="74">
        <v>27</v>
      </c>
      <c r="I81" s="75" t="s">
        <v>353</v>
      </c>
      <c r="J81" s="75" t="s">
        <v>422</v>
      </c>
      <c r="K81" s="75" t="s">
        <v>287</v>
      </c>
      <c r="L81" s="75" t="s">
        <v>228</v>
      </c>
      <c r="M81" s="75" t="s">
        <v>432</v>
      </c>
      <c r="N81" s="76">
        <v>43284</v>
      </c>
      <c r="O81" s="74" t="s">
        <v>431</v>
      </c>
      <c r="P81" s="127" t="str">
        <f t="shared" si="1"/>
        <v>KCSE, KCPE</v>
      </c>
      <c r="Q81" s="75"/>
      <c r="R81" s="74"/>
      <c r="S81" s="74"/>
      <c r="T81" s="75"/>
      <c r="U81" s="75"/>
      <c r="V81" s="75" t="s">
        <v>690</v>
      </c>
      <c r="W81" s="75" t="s">
        <v>691</v>
      </c>
      <c r="X81" s="75"/>
      <c r="Y81" s="75" t="s">
        <v>355</v>
      </c>
      <c r="Z81" s="77" t="s">
        <v>241</v>
      </c>
    </row>
    <row r="82" spans="1:26">
      <c r="A82" s="74">
        <v>74</v>
      </c>
      <c r="B82" s="74">
        <v>75</v>
      </c>
      <c r="C82" s="74">
        <v>20190119343</v>
      </c>
      <c r="D82" s="74" t="s">
        <v>433</v>
      </c>
      <c r="E82" s="74"/>
      <c r="F82" s="75">
        <v>32487813</v>
      </c>
      <c r="G82" s="74" t="s">
        <v>224</v>
      </c>
      <c r="H82" s="74">
        <v>30</v>
      </c>
      <c r="I82" s="75" t="s">
        <v>353</v>
      </c>
      <c r="J82" s="75" t="s">
        <v>422</v>
      </c>
      <c r="K82" s="75" t="s">
        <v>287</v>
      </c>
      <c r="L82" s="75" t="s">
        <v>228</v>
      </c>
      <c r="M82" s="75" t="s">
        <v>434</v>
      </c>
      <c r="N82" s="76">
        <v>44205</v>
      </c>
      <c r="O82" s="74" t="s">
        <v>433</v>
      </c>
      <c r="P82" s="127" t="str">
        <f t="shared" si="1"/>
        <v>Bachelors, KCSE, KCPE, 1, Certificates</v>
      </c>
      <c r="Q82" s="75"/>
      <c r="R82" s="74"/>
      <c r="S82" s="33" t="s">
        <v>790</v>
      </c>
      <c r="T82" s="75"/>
      <c r="U82" t="s">
        <v>791</v>
      </c>
      <c r="V82" s="75" t="s">
        <v>690</v>
      </c>
      <c r="W82" s="75" t="s">
        <v>691</v>
      </c>
      <c r="X82" s="75"/>
      <c r="Y82" s="75" t="s">
        <v>355</v>
      </c>
      <c r="Z82" s="77" t="s">
        <v>273</v>
      </c>
    </row>
    <row r="83" spans="1:26">
      <c r="A83" s="74">
        <v>75</v>
      </c>
      <c r="B83" s="74">
        <v>76</v>
      </c>
      <c r="C83" s="74">
        <v>20190641465</v>
      </c>
      <c r="D83" s="74" t="s">
        <v>435</v>
      </c>
      <c r="E83" s="74"/>
      <c r="F83" s="75">
        <v>22231664</v>
      </c>
      <c r="G83" s="74" t="s">
        <v>224</v>
      </c>
      <c r="H83" s="74">
        <v>44</v>
      </c>
      <c r="I83" s="75" t="s">
        <v>353</v>
      </c>
      <c r="J83" s="75" t="s">
        <v>422</v>
      </c>
      <c r="K83" s="75" t="s">
        <v>287</v>
      </c>
      <c r="L83" s="75" t="s">
        <v>228</v>
      </c>
      <c r="M83" s="75" t="s">
        <v>432</v>
      </c>
      <c r="N83" s="76">
        <v>43471</v>
      </c>
      <c r="O83" s="74" t="s">
        <v>435</v>
      </c>
      <c r="P83" s="127" t="str">
        <f t="shared" si="1"/>
        <v>Dip, KCSE, KCPE, 1, Certificates</v>
      </c>
      <c r="Q83" s="75"/>
      <c r="R83" s="74"/>
      <c r="S83" s="74"/>
      <c r="T83" t="s">
        <v>792</v>
      </c>
      <c r="U83" t="s">
        <v>793</v>
      </c>
      <c r="V83" s="75" t="s">
        <v>690</v>
      </c>
      <c r="W83" s="75" t="s">
        <v>691</v>
      </c>
      <c r="X83" s="75"/>
      <c r="Y83" s="75" t="s">
        <v>355</v>
      </c>
      <c r="Z83" s="77" t="s">
        <v>241</v>
      </c>
    </row>
    <row r="84" spans="1:26">
      <c r="A84" s="74">
        <v>76</v>
      </c>
      <c r="B84" s="74">
        <v>77</v>
      </c>
      <c r="C84" s="74">
        <v>20210645977</v>
      </c>
      <c r="D84" s="74" t="s">
        <v>436</v>
      </c>
      <c r="E84" s="74"/>
      <c r="F84" s="75">
        <v>782066</v>
      </c>
      <c r="G84" s="74" t="s">
        <v>234</v>
      </c>
      <c r="H84" s="74">
        <v>28</v>
      </c>
      <c r="I84" s="75" t="s">
        <v>353</v>
      </c>
      <c r="J84" s="75" t="s">
        <v>422</v>
      </c>
      <c r="K84" s="75" t="s">
        <v>287</v>
      </c>
      <c r="L84" s="75" t="s">
        <v>228</v>
      </c>
      <c r="M84" s="75" t="s">
        <v>432</v>
      </c>
      <c r="N84" s="76">
        <v>44205</v>
      </c>
      <c r="O84" s="74" t="s">
        <v>436</v>
      </c>
      <c r="P84" s="127" t="str">
        <f t="shared" si="1"/>
        <v>Bachelors, Dip, KCSE, KCPE</v>
      </c>
      <c r="Q84" s="75"/>
      <c r="R84" s="74"/>
      <c r="S84" t="s">
        <v>794</v>
      </c>
      <c r="T84" t="s">
        <v>795</v>
      </c>
      <c r="U84" s="75"/>
      <c r="V84" s="75" t="s">
        <v>690</v>
      </c>
      <c r="W84" s="75" t="s">
        <v>691</v>
      </c>
      <c r="X84" s="75"/>
      <c r="Y84" s="75" t="s">
        <v>355</v>
      </c>
      <c r="Z84" s="77" t="s">
        <v>437</v>
      </c>
    </row>
    <row r="85" spans="1:26">
      <c r="A85" s="74">
        <v>77</v>
      </c>
      <c r="B85" s="74">
        <v>78</v>
      </c>
      <c r="C85" s="74">
        <v>20210646046</v>
      </c>
      <c r="D85" s="74" t="s">
        <v>438</v>
      </c>
      <c r="E85" s="74"/>
      <c r="F85" s="75">
        <v>35337775</v>
      </c>
      <c r="G85" s="74" t="s">
        <v>224</v>
      </c>
      <c r="H85" s="74">
        <v>28</v>
      </c>
      <c r="I85" s="75" t="s">
        <v>353</v>
      </c>
      <c r="J85" s="75" t="s">
        <v>422</v>
      </c>
      <c r="K85" s="75" t="s">
        <v>287</v>
      </c>
      <c r="L85" s="75" t="s">
        <v>228</v>
      </c>
      <c r="M85" s="75" t="s">
        <v>439</v>
      </c>
      <c r="N85" s="76">
        <v>44355</v>
      </c>
      <c r="O85" s="74" t="s">
        <v>438</v>
      </c>
      <c r="P85" s="127" t="str">
        <f t="shared" si="1"/>
        <v>KCSE</v>
      </c>
      <c r="Q85" s="75"/>
      <c r="R85" s="74"/>
      <c r="S85" s="74"/>
      <c r="T85" s="75"/>
      <c r="U85" s="75"/>
      <c r="V85" s="86" t="s">
        <v>690</v>
      </c>
      <c r="W85" s="75" t="s">
        <v>796</v>
      </c>
      <c r="X85" s="75"/>
      <c r="Y85" s="75" t="s">
        <v>355</v>
      </c>
      <c r="Z85" s="77" t="s">
        <v>440</v>
      </c>
    </row>
    <row r="86" spans="1:26">
      <c r="A86" s="74">
        <v>78</v>
      </c>
      <c r="B86" s="74">
        <v>79</v>
      </c>
      <c r="C86" s="74">
        <v>20210646062</v>
      </c>
      <c r="D86" s="74" t="s">
        <v>441</v>
      </c>
      <c r="E86" s="74"/>
      <c r="F86" s="75">
        <v>11710039</v>
      </c>
      <c r="G86" s="74" t="s">
        <v>224</v>
      </c>
      <c r="H86" s="74">
        <v>51</v>
      </c>
      <c r="I86" s="75" t="s">
        <v>353</v>
      </c>
      <c r="J86" s="75" t="s">
        <v>422</v>
      </c>
      <c r="K86" s="75" t="s">
        <v>287</v>
      </c>
      <c r="L86" s="75" t="s">
        <v>228</v>
      </c>
      <c r="M86" s="75" t="s">
        <v>439</v>
      </c>
      <c r="N86" s="76">
        <v>44355</v>
      </c>
      <c r="O86" s="74" t="s">
        <v>441</v>
      </c>
      <c r="P86" s="127" t="str">
        <f t="shared" si="1"/>
        <v>KCSE</v>
      </c>
      <c r="Q86" s="75"/>
      <c r="R86" s="74"/>
      <c r="S86" s="74"/>
      <c r="T86" s="75"/>
      <c r="U86" s="75"/>
      <c r="V86" s="75" t="s">
        <v>690</v>
      </c>
      <c r="W86" s="75" t="s">
        <v>796</v>
      </c>
      <c r="X86" s="75"/>
      <c r="Y86" s="75" t="s">
        <v>355</v>
      </c>
      <c r="Z86" s="77" t="s">
        <v>342</v>
      </c>
    </row>
    <row r="87" spans="1:26">
      <c r="A87" s="74">
        <v>79</v>
      </c>
      <c r="B87" s="74">
        <v>80</v>
      </c>
      <c r="C87" s="74">
        <v>20220598512</v>
      </c>
      <c r="D87" s="74" t="s">
        <v>442</v>
      </c>
      <c r="E87" s="74"/>
      <c r="F87" s="75">
        <v>29443115</v>
      </c>
      <c r="G87" s="74" t="s">
        <v>234</v>
      </c>
      <c r="H87" s="74">
        <v>32</v>
      </c>
      <c r="I87" s="75" t="s">
        <v>353</v>
      </c>
      <c r="J87" s="75" t="s">
        <v>422</v>
      </c>
      <c r="K87" s="75" t="s">
        <v>287</v>
      </c>
      <c r="L87" s="75" t="s">
        <v>228</v>
      </c>
      <c r="M87" s="75" t="s">
        <v>429</v>
      </c>
      <c r="N87" s="76">
        <v>44621</v>
      </c>
      <c r="O87" s="74" t="s">
        <v>442</v>
      </c>
      <c r="P87" s="127" t="str">
        <f t="shared" si="1"/>
        <v>Bachelors, KCSE, KCPE</v>
      </c>
      <c r="Q87" s="75"/>
      <c r="R87" s="74"/>
      <c r="S87" t="s">
        <v>730</v>
      </c>
      <c r="T87" s="75"/>
      <c r="U87" s="75"/>
      <c r="V87" s="75" t="s">
        <v>690</v>
      </c>
      <c r="W87" s="75" t="s">
        <v>691</v>
      </c>
      <c r="X87" s="75"/>
      <c r="Y87" s="75" t="s">
        <v>355</v>
      </c>
      <c r="Z87" s="77" t="s">
        <v>342</v>
      </c>
    </row>
    <row r="88" spans="1:26">
      <c r="A88" s="74">
        <v>80</v>
      </c>
      <c r="B88" s="74">
        <v>81</v>
      </c>
      <c r="C88" s="74">
        <v>20220598546</v>
      </c>
      <c r="D88" s="74" t="s">
        <v>443</v>
      </c>
      <c r="E88" s="74"/>
      <c r="F88" s="75">
        <v>28484103</v>
      </c>
      <c r="G88" s="74" t="s">
        <v>224</v>
      </c>
      <c r="H88" s="74">
        <v>33</v>
      </c>
      <c r="I88" s="75" t="s">
        <v>353</v>
      </c>
      <c r="J88" s="75" t="s">
        <v>422</v>
      </c>
      <c r="K88" s="75" t="s">
        <v>287</v>
      </c>
      <c r="L88" s="75" t="s">
        <v>228</v>
      </c>
      <c r="M88" s="75" t="s">
        <v>444</v>
      </c>
      <c r="N88" s="76">
        <v>44621</v>
      </c>
      <c r="O88" s="74" t="s">
        <v>443</v>
      </c>
      <c r="P88" s="127" t="str">
        <f t="shared" si="1"/>
        <v>Dip, KCSE, KCPE, NCK</v>
      </c>
      <c r="Q88" s="75"/>
      <c r="R88" s="74"/>
      <c r="S88" s="74"/>
      <c r="T88" t="s">
        <v>797</v>
      </c>
      <c r="U88" s="75"/>
      <c r="V88" s="75" t="s">
        <v>690</v>
      </c>
      <c r="W88" s="75" t="s">
        <v>691</v>
      </c>
      <c r="X88" s="75" t="s">
        <v>787</v>
      </c>
      <c r="Y88" s="75" t="s">
        <v>355</v>
      </c>
      <c r="Z88" s="77" t="s">
        <v>342</v>
      </c>
    </row>
    <row r="89" spans="1:26">
      <c r="A89" s="74">
        <v>81</v>
      </c>
      <c r="B89" s="74">
        <v>82</v>
      </c>
      <c r="C89" s="74">
        <v>20220598740</v>
      </c>
      <c r="D89" s="74" t="s">
        <v>445</v>
      </c>
      <c r="E89" s="74"/>
      <c r="F89" s="75">
        <v>30866902</v>
      </c>
      <c r="G89" s="74" t="s">
        <v>224</v>
      </c>
      <c r="H89" s="74">
        <v>32</v>
      </c>
      <c r="I89" s="75" t="s">
        <v>353</v>
      </c>
      <c r="J89" s="75" t="s">
        <v>422</v>
      </c>
      <c r="K89" s="75" t="s">
        <v>287</v>
      </c>
      <c r="L89" s="75" t="s">
        <v>228</v>
      </c>
      <c r="M89" s="75" t="s">
        <v>429</v>
      </c>
      <c r="N89" s="76">
        <v>44621</v>
      </c>
      <c r="O89" s="74" t="s">
        <v>445</v>
      </c>
      <c r="P89" s="127" t="str">
        <f t="shared" si="1"/>
        <v>Bachelors, Dip, KCSE, KCPE, 1, Certificates</v>
      </c>
      <c r="Q89" s="75"/>
      <c r="R89" s="74"/>
      <c r="S89" t="s">
        <v>798</v>
      </c>
      <c r="T89" t="s">
        <v>799</v>
      </c>
      <c r="U89" s="75" t="s">
        <v>800</v>
      </c>
      <c r="V89" s="75" t="s">
        <v>690</v>
      </c>
      <c r="W89" s="75" t="s">
        <v>691</v>
      </c>
      <c r="X89" s="75"/>
      <c r="Y89" s="75" t="s">
        <v>355</v>
      </c>
      <c r="Z89" s="77" t="s">
        <v>257</v>
      </c>
    </row>
    <row r="90" spans="1:26">
      <c r="A90" s="74">
        <v>82</v>
      </c>
      <c r="B90" s="74">
        <v>83</v>
      </c>
      <c r="C90" s="74">
        <v>20220598839</v>
      </c>
      <c r="D90" s="74" t="s">
        <v>446</v>
      </c>
      <c r="E90" s="74"/>
      <c r="F90" s="75">
        <v>23065759</v>
      </c>
      <c r="G90" s="74" t="s">
        <v>224</v>
      </c>
      <c r="H90" s="74">
        <v>42</v>
      </c>
      <c r="I90" s="75" t="s">
        <v>447</v>
      </c>
      <c r="J90" s="75" t="s">
        <v>422</v>
      </c>
      <c r="K90" s="75" t="s">
        <v>287</v>
      </c>
      <c r="L90" s="75" t="s">
        <v>228</v>
      </c>
      <c r="M90" s="75" t="s">
        <v>377</v>
      </c>
      <c r="N90" s="76">
        <v>42379</v>
      </c>
      <c r="O90" s="74" t="s">
        <v>446</v>
      </c>
      <c r="P90" s="127" t="str">
        <f t="shared" si="1"/>
        <v>Dip, KCSE, KCPE, 1, Certificates</v>
      </c>
      <c r="Q90" s="75"/>
      <c r="R90" s="74"/>
      <c r="S90" s="74"/>
      <c r="T90" t="s">
        <v>801</v>
      </c>
      <c r="U90" t="s">
        <v>802</v>
      </c>
      <c r="V90" s="75" t="s">
        <v>690</v>
      </c>
      <c r="W90" s="75" t="s">
        <v>691</v>
      </c>
      <c r="X90" s="75"/>
      <c r="Y90" s="75" t="s">
        <v>231</v>
      </c>
      <c r="Z90" s="77" t="s">
        <v>251</v>
      </c>
    </row>
    <row r="91" spans="1:26">
      <c r="A91" s="74">
        <v>83</v>
      </c>
      <c r="B91" s="74">
        <v>84</v>
      </c>
      <c r="C91" s="74">
        <v>20220598889</v>
      </c>
      <c r="D91" s="74" t="s">
        <v>448</v>
      </c>
      <c r="E91" s="74"/>
      <c r="F91" s="75">
        <v>25037835</v>
      </c>
      <c r="G91" s="74" t="s">
        <v>234</v>
      </c>
      <c r="H91" s="74">
        <v>37</v>
      </c>
      <c r="I91" s="75" t="s">
        <v>353</v>
      </c>
      <c r="J91" s="75" t="s">
        <v>422</v>
      </c>
      <c r="K91" s="75" t="s">
        <v>287</v>
      </c>
      <c r="L91" s="75" t="s">
        <v>228</v>
      </c>
      <c r="M91" s="75" t="s">
        <v>429</v>
      </c>
      <c r="N91" s="76">
        <v>44621</v>
      </c>
      <c r="O91" s="74" t="s">
        <v>448</v>
      </c>
      <c r="P91" s="127" t="str">
        <f t="shared" si="1"/>
        <v>Bachelors, KCSE, KCPE</v>
      </c>
      <c r="Q91" s="75"/>
      <c r="R91" s="74"/>
      <c r="S91" t="s">
        <v>803</v>
      </c>
      <c r="T91" s="75"/>
      <c r="U91" s="75"/>
      <c r="V91" s="75" t="s">
        <v>690</v>
      </c>
      <c r="W91" s="75" t="s">
        <v>691</v>
      </c>
      <c r="X91" s="75"/>
      <c r="Y91" s="75" t="s">
        <v>355</v>
      </c>
      <c r="Z91" s="77" t="s">
        <v>241</v>
      </c>
    </row>
    <row r="92" spans="1:26">
      <c r="A92" s="74">
        <v>84</v>
      </c>
      <c r="B92" s="74">
        <v>85</v>
      </c>
      <c r="C92" s="74">
        <v>20240090217</v>
      </c>
      <c r="D92" s="74" t="s">
        <v>449</v>
      </c>
      <c r="E92" s="74"/>
      <c r="F92" s="75">
        <v>33133984</v>
      </c>
      <c r="G92" s="74" t="s">
        <v>224</v>
      </c>
      <c r="H92" s="74">
        <v>30</v>
      </c>
      <c r="I92" s="75" t="s">
        <v>353</v>
      </c>
      <c r="J92" s="75" t="s">
        <v>422</v>
      </c>
      <c r="K92" s="75" t="s">
        <v>287</v>
      </c>
      <c r="L92" s="75" t="s">
        <v>228</v>
      </c>
      <c r="M92" s="75" t="s">
        <v>450</v>
      </c>
      <c r="N92" s="76">
        <v>45294</v>
      </c>
      <c r="O92" s="74" t="s">
        <v>449</v>
      </c>
      <c r="P92" s="127" t="str">
        <f t="shared" si="1"/>
        <v>Bachelors, Dip, KCSE, KCPE</v>
      </c>
      <c r="Q92" s="75"/>
      <c r="R92" s="74"/>
      <c r="S92" t="s">
        <v>804</v>
      </c>
      <c r="T92" s="75" t="s">
        <v>805</v>
      </c>
      <c r="U92" s="75"/>
      <c r="V92" s="75" t="s">
        <v>690</v>
      </c>
      <c r="W92" s="75" t="s">
        <v>691</v>
      </c>
      <c r="X92" s="75"/>
      <c r="Y92" s="75" t="s">
        <v>355</v>
      </c>
      <c r="Z92" s="77" t="s">
        <v>273</v>
      </c>
    </row>
    <row r="93" spans="1:26">
      <c r="A93" s="74">
        <v>85</v>
      </c>
      <c r="B93" s="74">
        <v>86</v>
      </c>
      <c r="C93" s="74">
        <v>20240300939</v>
      </c>
      <c r="D93" s="74" t="s">
        <v>451</v>
      </c>
      <c r="E93" s="74"/>
      <c r="F93" s="75">
        <v>32424642</v>
      </c>
      <c r="G93" s="74" t="s">
        <v>224</v>
      </c>
      <c r="H93" s="74">
        <v>30</v>
      </c>
      <c r="I93" s="75" t="s">
        <v>353</v>
      </c>
      <c r="J93" s="75" t="s">
        <v>422</v>
      </c>
      <c r="K93" s="75" t="s">
        <v>287</v>
      </c>
      <c r="L93" s="75" t="s">
        <v>228</v>
      </c>
      <c r="M93" s="75" t="s">
        <v>434</v>
      </c>
      <c r="N93" s="75" t="s">
        <v>806</v>
      </c>
      <c r="O93" s="74" t="s">
        <v>451</v>
      </c>
      <c r="P93" s="127" t="str">
        <f t="shared" si="1"/>
        <v>Bachelors, KCSE, KCPE</v>
      </c>
      <c r="Q93" s="75"/>
      <c r="R93" s="74"/>
      <c r="S93" s="74" t="s">
        <v>807</v>
      </c>
      <c r="T93" s="75"/>
      <c r="U93" s="75"/>
      <c r="V93" s="75" t="s">
        <v>690</v>
      </c>
      <c r="W93" s="75" t="s">
        <v>691</v>
      </c>
      <c r="X93" s="75"/>
      <c r="Y93" s="75" t="s">
        <v>355</v>
      </c>
      <c r="Z93" s="77" t="s">
        <v>257</v>
      </c>
    </row>
    <row r="94" spans="1:26">
      <c r="A94" s="74">
        <v>86</v>
      </c>
      <c r="B94" s="74">
        <v>87</v>
      </c>
      <c r="C94" s="74">
        <v>20240300955</v>
      </c>
      <c r="D94" s="74" t="s">
        <v>452</v>
      </c>
      <c r="E94" s="74"/>
      <c r="F94" s="75">
        <v>37415502</v>
      </c>
      <c r="G94" s="74" t="s">
        <v>224</v>
      </c>
      <c r="H94" s="74">
        <v>25</v>
      </c>
      <c r="I94" s="75" t="s">
        <v>353</v>
      </c>
      <c r="J94" s="75" t="s">
        <v>422</v>
      </c>
      <c r="K94" s="75" t="s">
        <v>287</v>
      </c>
      <c r="L94" s="75" t="s">
        <v>228</v>
      </c>
      <c r="M94" s="75" t="s">
        <v>434</v>
      </c>
      <c r="N94" s="75" t="s">
        <v>806</v>
      </c>
      <c r="O94" s="74" t="s">
        <v>452</v>
      </c>
      <c r="P94" s="127" t="str">
        <f t="shared" si="1"/>
        <v>Bachelors, KCSE, KCPE</v>
      </c>
      <c r="Q94" s="75"/>
      <c r="R94" s="74"/>
      <c r="S94" s="74" t="s">
        <v>808</v>
      </c>
      <c r="T94" s="75"/>
      <c r="U94" s="75"/>
      <c r="V94" s="75" t="s">
        <v>690</v>
      </c>
      <c r="W94" s="75" t="s">
        <v>691</v>
      </c>
      <c r="X94" s="75"/>
      <c r="Y94" s="75" t="s">
        <v>355</v>
      </c>
      <c r="Z94" s="77" t="s">
        <v>257</v>
      </c>
    </row>
    <row r="95" spans="1:26">
      <c r="A95" s="74">
        <v>87</v>
      </c>
      <c r="B95" s="74">
        <v>88</v>
      </c>
      <c r="C95" s="74">
        <v>20240300971</v>
      </c>
      <c r="D95" s="74" t="s">
        <v>453</v>
      </c>
      <c r="E95" s="74"/>
      <c r="F95" s="75">
        <v>39383066</v>
      </c>
      <c r="G95" s="74" t="s">
        <v>224</v>
      </c>
      <c r="H95" s="74">
        <v>23</v>
      </c>
      <c r="I95" s="75" t="s">
        <v>353</v>
      </c>
      <c r="J95" s="75" t="s">
        <v>422</v>
      </c>
      <c r="K95" s="75" t="s">
        <v>287</v>
      </c>
      <c r="L95" s="75" t="s">
        <v>228</v>
      </c>
      <c r="M95" s="75" t="s">
        <v>454</v>
      </c>
      <c r="N95" s="76">
        <v>45302</v>
      </c>
      <c r="O95" s="74" t="s">
        <v>453</v>
      </c>
      <c r="P95" s="127" t="str">
        <f t="shared" si="1"/>
        <v>Bachelors, KCSE, KCPE</v>
      </c>
      <c r="Q95" s="75"/>
      <c r="R95" s="74"/>
      <c r="S95" s="74" t="s">
        <v>715</v>
      </c>
      <c r="T95" s="75"/>
      <c r="U95" s="75"/>
      <c r="V95" s="75" t="s">
        <v>690</v>
      </c>
      <c r="W95" s="75" t="s">
        <v>691</v>
      </c>
      <c r="X95" s="75"/>
      <c r="Y95" s="75" t="s">
        <v>355</v>
      </c>
      <c r="Z95" s="77" t="s">
        <v>273</v>
      </c>
    </row>
    <row r="96" spans="1:26">
      <c r="A96" s="74">
        <v>88</v>
      </c>
      <c r="B96" s="74">
        <v>89</v>
      </c>
      <c r="C96" s="74">
        <v>20250008018</v>
      </c>
      <c r="D96" s="74" t="s">
        <v>455</v>
      </c>
      <c r="E96" s="74"/>
      <c r="F96" s="75">
        <v>38290848</v>
      </c>
      <c r="G96" s="74" t="s">
        <v>234</v>
      </c>
      <c r="H96" s="74">
        <v>23</v>
      </c>
      <c r="I96" s="75" t="s">
        <v>353</v>
      </c>
      <c r="J96" s="75" t="s">
        <v>422</v>
      </c>
      <c r="K96" s="75" t="s">
        <v>287</v>
      </c>
      <c r="L96" s="75" t="s">
        <v>228</v>
      </c>
      <c r="M96" s="75" t="s">
        <v>354</v>
      </c>
      <c r="N96" s="76">
        <v>45659</v>
      </c>
      <c r="O96" s="74" t="s">
        <v>455</v>
      </c>
      <c r="P96" s="127" t="str">
        <f t="shared" si="1"/>
        <v>Dip, KCSE, KCPE, NCK</v>
      </c>
      <c r="Q96" s="75"/>
      <c r="R96" s="74"/>
      <c r="S96" s="74"/>
      <c r="T96" s="75" t="s">
        <v>809</v>
      </c>
      <c r="U96" s="75"/>
      <c r="V96" s="75" t="s">
        <v>690</v>
      </c>
      <c r="W96" s="75" t="s">
        <v>691</v>
      </c>
      <c r="X96" s="75" t="s">
        <v>787</v>
      </c>
      <c r="Y96" s="75" t="s">
        <v>355</v>
      </c>
      <c r="Z96" s="77" t="s">
        <v>232</v>
      </c>
    </row>
    <row r="97" spans="1:26">
      <c r="A97" s="74">
        <v>90</v>
      </c>
      <c r="B97" s="74">
        <v>90</v>
      </c>
      <c r="C97" s="77">
        <v>20250067339</v>
      </c>
      <c r="D97" s="74" t="s">
        <v>457</v>
      </c>
      <c r="E97" s="74"/>
      <c r="F97" s="75">
        <v>40031044</v>
      </c>
      <c r="G97" s="74" t="s">
        <v>234</v>
      </c>
      <c r="H97" s="74"/>
      <c r="I97" s="75" t="s">
        <v>353</v>
      </c>
      <c r="J97" s="75" t="s">
        <v>422</v>
      </c>
      <c r="K97" s="75" t="s">
        <v>287</v>
      </c>
      <c r="L97" s="75" t="s">
        <v>228</v>
      </c>
      <c r="M97" s="75" t="s">
        <v>387</v>
      </c>
      <c r="N97" s="76">
        <v>45693</v>
      </c>
      <c r="O97" s="74" t="s">
        <v>457</v>
      </c>
      <c r="P97" s="127" t="str">
        <f t="shared" si="1"/>
        <v>Bachelors, KCSE, KCPE</v>
      </c>
      <c r="Q97" s="75"/>
      <c r="R97" s="74"/>
      <c r="S97" s="74" t="s">
        <v>724</v>
      </c>
      <c r="T97" s="75"/>
      <c r="U97" s="75"/>
      <c r="V97" s="75" t="s">
        <v>690</v>
      </c>
      <c r="W97" s="75" t="s">
        <v>691</v>
      </c>
      <c r="X97" s="75"/>
      <c r="Y97" s="75" t="s">
        <v>355</v>
      </c>
      <c r="Z97" s="77" t="s">
        <v>246</v>
      </c>
    </row>
    <row r="98" spans="1:26" s="67" customFormat="1" ht="15.6">
      <c r="A98" s="60"/>
      <c r="B98" s="60"/>
      <c r="C98" s="60"/>
      <c r="D98" s="60"/>
      <c r="E98" s="60"/>
      <c r="F98" s="97" t="s">
        <v>458</v>
      </c>
      <c r="G98" s="60"/>
      <c r="H98" s="60"/>
      <c r="I98" s="79"/>
      <c r="J98" s="79"/>
      <c r="K98" s="79"/>
      <c r="L98" s="79"/>
      <c r="M98" s="79"/>
      <c r="N98" s="79"/>
      <c r="O98" s="60"/>
      <c r="P98" s="127" t="str">
        <f t="shared" si="1"/>
        <v/>
      </c>
      <c r="Q98" s="79"/>
      <c r="R98" s="60"/>
      <c r="S98" s="60"/>
      <c r="T98" s="79"/>
      <c r="U98" s="79"/>
      <c r="V98" s="79"/>
      <c r="W98" s="79"/>
      <c r="X98" s="79"/>
      <c r="Y98" s="66"/>
      <c r="Z98" s="66"/>
    </row>
    <row r="99" spans="1:26">
      <c r="A99" s="74">
        <v>91</v>
      </c>
      <c r="B99" s="74">
        <v>91</v>
      </c>
      <c r="C99" s="74">
        <v>20152655585</v>
      </c>
      <c r="D99" s="74" t="s">
        <v>459</v>
      </c>
      <c r="E99" s="74"/>
      <c r="F99" s="75">
        <v>26673037</v>
      </c>
      <c r="G99" s="74" t="s">
        <v>234</v>
      </c>
      <c r="H99" s="74">
        <v>36</v>
      </c>
      <c r="I99" s="75" t="s">
        <v>262</v>
      </c>
      <c r="J99" s="75" t="s">
        <v>460</v>
      </c>
      <c r="K99" s="75" t="s">
        <v>263</v>
      </c>
      <c r="L99" s="75" t="s">
        <v>228</v>
      </c>
      <c r="M99" s="75" t="s">
        <v>461</v>
      </c>
      <c r="N99" s="76">
        <v>42221</v>
      </c>
      <c r="O99" s="74" t="s">
        <v>459</v>
      </c>
      <c r="P99" s="127" t="str">
        <f t="shared" si="1"/>
        <v>Bachelors, KCSE, KCPE</v>
      </c>
      <c r="Q99" s="75"/>
      <c r="R99" s="74"/>
      <c r="S99" t="s">
        <v>810</v>
      </c>
      <c r="T99" s="75"/>
      <c r="U99" s="75"/>
      <c r="V99" s="75" t="s">
        <v>690</v>
      </c>
      <c r="W99" s="75" t="s">
        <v>691</v>
      </c>
      <c r="X99" s="75"/>
      <c r="Y99" s="75" t="s">
        <v>240</v>
      </c>
      <c r="Z99" s="77" t="s">
        <v>241</v>
      </c>
    </row>
    <row r="100" spans="1:26">
      <c r="A100" s="74">
        <v>92</v>
      </c>
      <c r="B100" s="74">
        <v>92</v>
      </c>
      <c r="C100" s="74">
        <v>20160708685</v>
      </c>
      <c r="D100" s="74" t="s">
        <v>462</v>
      </c>
      <c r="E100" s="74"/>
      <c r="F100" s="75">
        <v>27758071</v>
      </c>
      <c r="G100" s="74" t="s">
        <v>224</v>
      </c>
      <c r="H100" s="74">
        <v>34</v>
      </c>
      <c r="I100" s="75" t="s">
        <v>286</v>
      </c>
      <c r="J100" s="75" t="s">
        <v>460</v>
      </c>
      <c r="K100" s="75" t="s">
        <v>287</v>
      </c>
      <c r="L100" s="75" t="s">
        <v>228</v>
      </c>
      <c r="M100" s="75" t="s">
        <v>444</v>
      </c>
      <c r="N100" s="76">
        <v>42500</v>
      </c>
      <c r="O100" s="74" t="s">
        <v>462</v>
      </c>
      <c r="P100" s="127" t="str">
        <f t="shared" si="1"/>
        <v>KCSE, KCPE</v>
      </c>
      <c r="Q100" s="75"/>
      <c r="R100" s="74"/>
      <c r="S100" s="74"/>
      <c r="T100" s="75"/>
      <c r="U100" s="75"/>
      <c r="V100" s="75" t="s">
        <v>690</v>
      </c>
      <c r="W100" s="75" t="s">
        <v>691</v>
      </c>
      <c r="X100" s="75"/>
      <c r="Y100" s="75" t="s">
        <v>231</v>
      </c>
      <c r="Z100" s="77" t="s">
        <v>257</v>
      </c>
    </row>
    <row r="101" spans="1:26">
      <c r="A101" s="74">
        <v>93</v>
      </c>
      <c r="B101" s="74">
        <v>93</v>
      </c>
      <c r="C101" s="74">
        <v>20220598253</v>
      </c>
      <c r="D101" s="74" t="s">
        <v>463</v>
      </c>
      <c r="E101" s="74"/>
      <c r="F101" s="75">
        <v>32316111</v>
      </c>
      <c r="G101" s="74" t="s">
        <v>224</v>
      </c>
      <c r="H101" s="74">
        <v>30</v>
      </c>
      <c r="I101" s="75" t="s">
        <v>286</v>
      </c>
      <c r="J101" s="75" t="s">
        <v>460</v>
      </c>
      <c r="K101" s="75" t="s">
        <v>287</v>
      </c>
      <c r="L101" s="75" t="s">
        <v>228</v>
      </c>
      <c r="M101" s="75" t="s">
        <v>413</v>
      </c>
      <c r="N101" s="75" t="s">
        <v>811</v>
      </c>
      <c r="O101" s="74" t="s">
        <v>463</v>
      </c>
      <c r="P101" s="127" t="str">
        <f t="shared" si="1"/>
        <v>KCSE, KCPE</v>
      </c>
      <c r="Q101" s="75"/>
      <c r="R101" s="74"/>
      <c r="S101" s="74"/>
      <c r="T101" s="75"/>
      <c r="U101" s="75"/>
      <c r="V101" s="75" t="s">
        <v>690</v>
      </c>
      <c r="W101" s="75" t="s">
        <v>691</v>
      </c>
      <c r="X101" s="75"/>
      <c r="Y101" s="75" t="s">
        <v>231</v>
      </c>
      <c r="Z101" s="77" t="s">
        <v>257</v>
      </c>
    </row>
    <row r="102" spans="1:26">
      <c r="A102" s="74">
        <v>94</v>
      </c>
      <c r="B102" s="74">
        <v>94</v>
      </c>
      <c r="C102" s="74">
        <v>19930980996</v>
      </c>
      <c r="D102" s="74" t="s">
        <v>464</v>
      </c>
      <c r="E102" s="74"/>
      <c r="F102" s="75">
        <v>8966122</v>
      </c>
      <c r="G102" s="74" t="s">
        <v>224</v>
      </c>
      <c r="H102" s="74">
        <v>57</v>
      </c>
      <c r="I102" s="75" t="s">
        <v>379</v>
      </c>
      <c r="J102" s="75" t="s">
        <v>269</v>
      </c>
      <c r="K102" s="75" t="s">
        <v>276</v>
      </c>
      <c r="L102" s="75" t="s">
        <v>228</v>
      </c>
      <c r="M102" s="75" t="s">
        <v>465</v>
      </c>
      <c r="N102" s="76">
        <v>33976</v>
      </c>
      <c r="O102" s="74" t="s">
        <v>464</v>
      </c>
      <c r="P102" s="127" t="str">
        <f t="shared" si="1"/>
        <v>KCSE, KCPE</v>
      </c>
      <c r="Q102" s="75"/>
      <c r="R102" s="74"/>
      <c r="S102" s="74"/>
      <c r="T102" s="75"/>
      <c r="U102" s="75"/>
      <c r="V102" s="75" t="s">
        <v>690</v>
      </c>
      <c r="W102" s="75" t="s">
        <v>691</v>
      </c>
      <c r="X102" s="75"/>
      <c r="Y102" s="75" t="s">
        <v>240</v>
      </c>
      <c r="Z102" s="77" t="s">
        <v>273</v>
      </c>
    </row>
    <row r="103" spans="1:26" s="67" customFormat="1" ht="15.6">
      <c r="A103" s="60"/>
      <c r="B103" s="60"/>
      <c r="C103" s="60"/>
      <c r="D103" s="60"/>
      <c r="E103" s="60"/>
      <c r="F103" s="97" t="s">
        <v>466</v>
      </c>
      <c r="G103" s="60"/>
      <c r="H103" s="60"/>
      <c r="I103" s="79"/>
      <c r="J103" s="79"/>
      <c r="K103" s="79"/>
      <c r="L103" s="79"/>
      <c r="M103" s="79"/>
      <c r="N103" s="79"/>
      <c r="O103" s="60"/>
      <c r="P103" s="127" t="str">
        <f t="shared" si="1"/>
        <v/>
      </c>
      <c r="Q103" s="79"/>
      <c r="R103" s="60"/>
      <c r="S103" s="60"/>
      <c r="T103" s="79"/>
      <c r="U103" s="79"/>
      <c r="V103" s="79"/>
      <c r="W103" s="79"/>
      <c r="X103" s="79"/>
      <c r="Y103" s="66"/>
      <c r="Z103" s="66"/>
    </row>
    <row r="104" spans="1:26" s="72" customFormat="1">
      <c r="A104" s="68">
        <v>95</v>
      </c>
      <c r="B104" s="68">
        <v>95</v>
      </c>
      <c r="C104" s="68">
        <v>19950950775</v>
      </c>
      <c r="D104" s="68" t="s">
        <v>467</v>
      </c>
      <c r="E104" s="68"/>
      <c r="F104" s="69">
        <v>8456642</v>
      </c>
      <c r="G104" s="68" t="s">
        <v>224</v>
      </c>
      <c r="H104" s="68">
        <v>58</v>
      </c>
      <c r="I104" s="69" t="s">
        <v>373</v>
      </c>
      <c r="J104" s="69" t="s">
        <v>468</v>
      </c>
      <c r="K104" s="69" t="s">
        <v>296</v>
      </c>
      <c r="L104" s="69" t="s">
        <v>228</v>
      </c>
      <c r="M104" s="69" t="s">
        <v>469</v>
      </c>
      <c r="N104" s="70">
        <v>34824</v>
      </c>
      <c r="O104" s="68" t="s">
        <v>467</v>
      </c>
      <c r="P104" s="127" t="str">
        <f t="shared" si="1"/>
        <v>PhD, MSc, Bachelors, KCSE, KCPE</v>
      </c>
      <c r="Q104" s="72" t="s">
        <v>719</v>
      </c>
      <c r="R104" s="73" t="s">
        <v>812</v>
      </c>
      <c r="S104" s="72" t="s">
        <v>695</v>
      </c>
      <c r="T104" s="69"/>
      <c r="U104" s="72" t="s">
        <v>813</v>
      </c>
      <c r="V104" s="69" t="s">
        <v>690</v>
      </c>
      <c r="W104" s="69" t="s">
        <v>691</v>
      </c>
      <c r="X104" s="69"/>
      <c r="Y104" s="69" t="s">
        <v>240</v>
      </c>
      <c r="Z104" s="71" t="s">
        <v>298</v>
      </c>
    </row>
    <row r="105" spans="1:26">
      <c r="A105" s="74">
        <v>96</v>
      </c>
      <c r="B105" s="74">
        <v>96</v>
      </c>
      <c r="C105" s="74">
        <v>20089223944</v>
      </c>
      <c r="D105" s="74" t="s">
        <v>470</v>
      </c>
      <c r="E105" s="74"/>
      <c r="F105" s="75">
        <v>23837529</v>
      </c>
      <c r="G105" s="74" t="s">
        <v>234</v>
      </c>
      <c r="H105" s="74">
        <v>43</v>
      </c>
      <c r="I105" s="75" t="s">
        <v>300</v>
      </c>
      <c r="J105" s="75" t="s">
        <v>468</v>
      </c>
      <c r="K105" s="75" t="s">
        <v>301</v>
      </c>
      <c r="L105" s="75" t="s">
        <v>228</v>
      </c>
      <c r="M105" s="75" t="s">
        <v>471</v>
      </c>
      <c r="N105" s="76">
        <v>39450</v>
      </c>
      <c r="O105" s="74" t="s">
        <v>470</v>
      </c>
      <c r="P105" s="127" t="str">
        <f t="shared" si="1"/>
        <v>PhD, MSc, Bachelors, KCSE, KCPE</v>
      </c>
      <c r="Q105" t="s">
        <v>814</v>
      </c>
      <c r="R105" t="s">
        <v>815</v>
      </c>
      <c r="S105" t="s">
        <v>816</v>
      </c>
      <c r="T105" s="75"/>
      <c r="U105" s="75"/>
      <c r="V105" s="75" t="s">
        <v>690</v>
      </c>
      <c r="W105" s="75" t="s">
        <v>691</v>
      </c>
      <c r="X105" s="75"/>
      <c r="Y105" s="75" t="s">
        <v>240</v>
      </c>
      <c r="Z105" s="77" t="s">
        <v>232</v>
      </c>
    </row>
    <row r="106" spans="1:26">
      <c r="A106" s="74">
        <v>97</v>
      </c>
      <c r="B106" s="74">
        <v>97</v>
      </c>
      <c r="C106" s="74">
        <v>19961316667</v>
      </c>
      <c r="D106" s="74" t="s">
        <v>472</v>
      </c>
      <c r="E106" s="74"/>
      <c r="F106" s="75">
        <v>7466013</v>
      </c>
      <c r="G106" s="74" t="s">
        <v>224</v>
      </c>
      <c r="H106" s="74">
        <v>59</v>
      </c>
      <c r="I106" s="75" t="s">
        <v>473</v>
      </c>
      <c r="J106" s="75" t="s">
        <v>468</v>
      </c>
      <c r="K106" s="75" t="s">
        <v>237</v>
      </c>
      <c r="L106" s="75" t="s">
        <v>228</v>
      </c>
      <c r="M106" s="75" t="s">
        <v>474</v>
      </c>
      <c r="N106" s="76">
        <v>35066</v>
      </c>
      <c r="O106" s="74" t="s">
        <v>472</v>
      </c>
      <c r="P106" s="127" t="str">
        <f t="shared" si="1"/>
        <v>PhD, MSc, Bachelors, KCSE, KCPE, 1, Certificates</v>
      </c>
      <c r="Q106" s="75"/>
      <c r="R106" t="s">
        <v>817</v>
      </c>
      <c r="S106" t="s">
        <v>818</v>
      </c>
      <c r="T106" s="75"/>
      <c r="U106" t="s">
        <v>819</v>
      </c>
      <c r="V106" s="75" t="s">
        <v>690</v>
      </c>
      <c r="W106" s="75" t="s">
        <v>691</v>
      </c>
      <c r="X106" s="69" t="s">
        <v>785</v>
      </c>
      <c r="Y106" s="75" t="s">
        <v>240</v>
      </c>
      <c r="Z106" s="77" t="s">
        <v>402</v>
      </c>
    </row>
    <row r="107" spans="1:26">
      <c r="A107" s="74">
        <v>98</v>
      </c>
      <c r="B107" s="74">
        <v>98</v>
      </c>
      <c r="C107" s="74">
        <v>20077017719</v>
      </c>
      <c r="D107" s="74" t="s">
        <v>475</v>
      </c>
      <c r="E107" s="74"/>
      <c r="F107" s="75">
        <v>26202665</v>
      </c>
      <c r="G107" s="74" t="s">
        <v>224</v>
      </c>
      <c r="H107" s="74">
        <v>36</v>
      </c>
      <c r="I107" s="75" t="s">
        <v>476</v>
      </c>
      <c r="J107" s="75" t="s">
        <v>468</v>
      </c>
      <c r="K107" s="75" t="s">
        <v>276</v>
      </c>
      <c r="L107" s="75" t="s">
        <v>228</v>
      </c>
      <c r="M107" s="75" t="s">
        <v>477</v>
      </c>
      <c r="N107" s="75" t="s">
        <v>820</v>
      </c>
      <c r="O107" s="74" t="s">
        <v>475</v>
      </c>
      <c r="P107" s="127" t="str">
        <f t="shared" si="1"/>
        <v>Dip, KCSE, KCPE</v>
      </c>
      <c r="Q107" s="75"/>
      <c r="R107" s="74"/>
      <c r="S107" s="74"/>
      <c r="T107" t="s">
        <v>821</v>
      </c>
      <c r="U107" s="75"/>
      <c r="V107" s="75" t="s">
        <v>690</v>
      </c>
      <c r="W107" s="75" t="s">
        <v>691</v>
      </c>
      <c r="X107" s="75"/>
      <c r="Y107" s="75" t="s">
        <v>240</v>
      </c>
      <c r="Z107" s="77" t="s">
        <v>298</v>
      </c>
    </row>
    <row r="108" spans="1:26" s="67" customFormat="1" ht="15.6">
      <c r="A108" s="60"/>
      <c r="B108" s="60"/>
      <c r="C108" s="60"/>
      <c r="D108" s="60"/>
      <c r="E108" s="60"/>
      <c r="F108" s="97" t="s">
        <v>478</v>
      </c>
      <c r="G108" s="60"/>
      <c r="H108" s="60"/>
      <c r="I108" s="79"/>
      <c r="J108" s="79"/>
      <c r="K108" s="79"/>
      <c r="L108" s="79"/>
      <c r="M108" s="79"/>
      <c r="N108" s="79"/>
      <c r="O108" s="60"/>
      <c r="P108" s="127" t="str">
        <f t="shared" si="1"/>
        <v/>
      </c>
      <c r="Q108" s="79"/>
      <c r="R108" s="60"/>
      <c r="S108" s="60"/>
      <c r="T108" s="79"/>
      <c r="U108" s="79"/>
      <c r="V108" s="79"/>
      <c r="W108" s="79"/>
      <c r="X108" s="79"/>
      <c r="Y108" s="66"/>
      <c r="Z108" s="66"/>
    </row>
    <row r="109" spans="1:26">
      <c r="A109" s="74">
        <v>139</v>
      </c>
      <c r="B109" s="74">
        <v>99</v>
      </c>
      <c r="C109" s="74">
        <v>20089223839</v>
      </c>
      <c r="D109" s="74" t="s">
        <v>479</v>
      </c>
      <c r="E109" s="74"/>
      <c r="F109" s="75">
        <v>13646799</v>
      </c>
      <c r="G109" s="74" t="s">
        <v>224</v>
      </c>
      <c r="H109" s="74">
        <v>50</v>
      </c>
      <c r="I109" s="75" t="s">
        <v>300</v>
      </c>
      <c r="J109" s="75" t="s">
        <v>226</v>
      </c>
      <c r="K109" s="75" t="s">
        <v>301</v>
      </c>
      <c r="L109" s="75" t="s">
        <v>228</v>
      </c>
      <c r="M109" s="75" t="s">
        <v>480</v>
      </c>
      <c r="N109" s="76">
        <v>39454</v>
      </c>
      <c r="O109" s="74" t="s">
        <v>479</v>
      </c>
      <c r="P109" s="127" t="str">
        <f t="shared" si="1"/>
        <v>MSc, Bachelors, KCSE, KCPE, 1, Certificates</v>
      </c>
      <c r="Q109" s="95" t="s">
        <v>822</v>
      </c>
      <c r="R109" s="74" t="s">
        <v>823</v>
      </c>
      <c r="S109" t="s">
        <v>715</v>
      </c>
      <c r="T109" s="75"/>
      <c r="U109"/>
      <c r="V109" s="75" t="s">
        <v>690</v>
      </c>
      <c r="W109" s="75" t="s">
        <v>691</v>
      </c>
      <c r="X109" t="s">
        <v>824</v>
      </c>
      <c r="Y109" s="75" t="s">
        <v>240</v>
      </c>
      <c r="Z109" s="77" t="s">
        <v>232</v>
      </c>
    </row>
    <row r="110" spans="1:26">
      <c r="A110" s="74">
        <v>99</v>
      </c>
      <c r="B110" s="74">
        <v>100</v>
      </c>
      <c r="C110" s="74">
        <v>20106534472</v>
      </c>
      <c r="D110" s="74" t="s">
        <v>481</v>
      </c>
      <c r="E110" s="74"/>
      <c r="F110" s="75">
        <v>23523136</v>
      </c>
      <c r="G110" s="74" t="s">
        <v>224</v>
      </c>
      <c r="H110" s="74">
        <v>41</v>
      </c>
      <c r="I110" s="75" t="s">
        <v>315</v>
      </c>
      <c r="J110" s="75" t="s">
        <v>482</v>
      </c>
      <c r="K110" s="75" t="s">
        <v>254</v>
      </c>
      <c r="L110" s="75" t="s">
        <v>228</v>
      </c>
      <c r="M110" s="75" t="s">
        <v>483</v>
      </c>
      <c r="N110" s="76">
        <v>40185</v>
      </c>
      <c r="O110" s="74" t="s">
        <v>481</v>
      </c>
      <c r="P110" s="127" t="str">
        <f t="shared" si="1"/>
        <v>Bachelors, KCSE, KCPE</v>
      </c>
      <c r="Q110" s="75"/>
      <c r="R110" s="74"/>
      <c r="S110" t="s">
        <v>825</v>
      </c>
      <c r="T110" s="75"/>
      <c r="U110" s="75"/>
      <c r="V110" s="75" t="s">
        <v>690</v>
      </c>
      <c r="W110" s="75" t="s">
        <v>691</v>
      </c>
      <c r="X110" s="75"/>
      <c r="Y110" s="75" t="s">
        <v>240</v>
      </c>
      <c r="Z110" s="77" t="s">
        <v>310</v>
      </c>
    </row>
    <row r="111" spans="1:26">
      <c r="A111" s="74">
        <v>100</v>
      </c>
      <c r="B111" s="74">
        <v>101</v>
      </c>
      <c r="C111" s="74">
        <v>20114215731</v>
      </c>
      <c r="D111" s="74" t="s">
        <v>484</v>
      </c>
      <c r="E111" s="74"/>
      <c r="F111" s="75">
        <v>12710851</v>
      </c>
      <c r="G111" s="74" t="s">
        <v>224</v>
      </c>
      <c r="H111" s="74">
        <v>51</v>
      </c>
      <c r="I111" s="75" t="s">
        <v>315</v>
      </c>
      <c r="J111" s="75" t="s">
        <v>482</v>
      </c>
      <c r="K111" s="75" t="s">
        <v>254</v>
      </c>
      <c r="L111" s="75" t="s">
        <v>228</v>
      </c>
      <c r="M111" s="75" t="s">
        <v>485</v>
      </c>
      <c r="N111" s="76">
        <v>40544</v>
      </c>
      <c r="O111" s="74" t="s">
        <v>484</v>
      </c>
      <c r="P111" s="127" t="str">
        <f t="shared" si="1"/>
        <v>Bachelors, KCSE, KCPE</v>
      </c>
      <c r="Q111" s="75"/>
      <c r="R111" s="74"/>
      <c r="S111" t="s">
        <v>826</v>
      </c>
      <c r="T111" s="75"/>
      <c r="U111" s="75"/>
      <c r="V111" s="75" t="s">
        <v>690</v>
      </c>
      <c r="W111" s="75" t="s">
        <v>691</v>
      </c>
      <c r="X111" s="75"/>
      <c r="Y111" s="75" t="s">
        <v>240</v>
      </c>
      <c r="Z111" s="77" t="s">
        <v>273</v>
      </c>
    </row>
    <row r="112" spans="1:26">
      <c r="A112" s="74">
        <v>101</v>
      </c>
      <c r="B112" s="74">
        <v>102</v>
      </c>
      <c r="C112" s="74">
        <v>20190118042</v>
      </c>
      <c r="D112" s="74" t="s">
        <v>486</v>
      </c>
      <c r="E112" s="74"/>
      <c r="F112" s="75">
        <v>28561000</v>
      </c>
      <c r="G112" s="74" t="s">
        <v>224</v>
      </c>
      <c r="H112" s="74">
        <v>35</v>
      </c>
      <c r="I112" s="75" t="s">
        <v>315</v>
      </c>
      <c r="J112" s="75" t="s">
        <v>482</v>
      </c>
      <c r="K112" s="75" t="s">
        <v>254</v>
      </c>
      <c r="L112" s="75" t="s">
        <v>228</v>
      </c>
      <c r="M112" s="75" t="s">
        <v>487</v>
      </c>
      <c r="N112" s="75" t="s">
        <v>827</v>
      </c>
      <c r="O112" s="74" t="s">
        <v>486</v>
      </c>
      <c r="P112" s="127" t="str">
        <f t="shared" si="1"/>
        <v>MSc, Bachelors, KCSE, KCPE, Cstat, 8, Certificates</v>
      </c>
      <c r="Q112" s="75"/>
      <c r="R112" s="74" t="s">
        <v>961</v>
      </c>
      <c r="S112" t="s">
        <v>828</v>
      </c>
      <c r="T112" s="75"/>
      <c r="U112" s="33" t="s">
        <v>962</v>
      </c>
      <c r="V112" s="75" t="s">
        <v>690</v>
      </c>
      <c r="W112" s="75" t="s">
        <v>691</v>
      </c>
      <c r="X112" s="75" t="s">
        <v>963</v>
      </c>
      <c r="Y112" s="75" t="s">
        <v>231</v>
      </c>
      <c r="Z112" s="77" t="s">
        <v>232</v>
      </c>
    </row>
    <row r="113" spans="1:26">
      <c r="A113" s="74">
        <v>102</v>
      </c>
      <c r="B113" s="74">
        <v>103</v>
      </c>
      <c r="C113" s="74">
        <v>20181472320</v>
      </c>
      <c r="D113" s="74" t="s">
        <v>488</v>
      </c>
      <c r="E113" s="74"/>
      <c r="F113" s="75">
        <v>29577586</v>
      </c>
      <c r="G113" s="74" t="s">
        <v>234</v>
      </c>
      <c r="H113" s="74">
        <v>32</v>
      </c>
      <c r="I113" s="75" t="s">
        <v>353</v>
      </c>
      <c r="J113" s="75" t="s">
        <v>482</v>
      </c>
      <c r="K113" s="75" t="s">
        <v>287</v>
      </c>
      <c r="L113" s="75" t="s">
        <v>228</v>
      </c>
      <c r="M113" s="75" t="s">
        <v>489</v>
      </c>
      <c r="N113" s="76">
        <v>43132</v>
      </c>
      <c r="O113" s="74" t="s">
        <v>488</v>
      </c>
      <c r="P113" s="127" t="str">
        <f t="shared" si="1"/>
        <v>Bachelors, KCSE, KCPE</v>
      </c>
      <c r="Q113" s="75"/>
      <c r="R113" s="74"/>
      <c r="S113" t="s">
        <v>829</v>
      </c>
      <c r="T113" s="75"/>
      <c r="U113" s="75"/>
      <c r="V113" s="75" t="s">
        <v>690</v>
      </c>
      <c r="W113" s="75" t="s">
        <v>691</v>
      </c>
      <c r="X113" s="75"/>
      <c r="Y113" s="75" t="s">
        <v>231</v>
      </c>
      <c r="Z113" s="77" t="s">
        <v>251</v>
      </c>
    </row>
    <row r="114" spans="1:26">
      <c r="A114" s="74">
        <v>103</v>
      </c>
      <c r="B114" s="74">
        <v>104</v>
      </c>
      <c r="C114" s="74">
        <v>20210645935</v>
      </c>
      <c r="D114" s="74" t="s">
        <v>490</v>
      </c>
      <c r="E114" s="74"/>
      <c r="F114" s="75">
        <v>27819882</v>
      </c>
      <c r="G114" s="74" t="s">
        <v>234</v>
      </c>
      <c r="H114" s="74">
        <v>34</v>
      </c>
      <c r="I114" s="75" t="s">
        <v>353</v>
      </c>
      <c r="J114" s="75" t="s">
        <v>482</v>
      </c>
      <c r="K114" s="75" t="s">
        <v>287</v>
      </c>
      <c r="L114" s="75" t="s">
        <v>228</v>
      </c>
      <c r="M114" s="75" t="s">
        <v>491</v>
      </c>
      <c r="N114" s="76">
        <v>44386</v>
      </c>
      <c r="O114" s="74" t="s">
        <v>490</v>
      </c>
      <c r="P114" s="127" t="str">
        <f t="shared" si="1"/>
        <v>MSc, Bachelors, KCSE, KCPE</v>
      </c>
      <c r="Q114" s="75"/>
      <c r="R114" t="s">
        <v>830</v>
      </c>
      <c r="S114" t="s">
        <v>831</v>
      </c>
      <c r="T114" s="75"/>
      <c r="U114" s="75"/>
      <c r="V114" s="75" t="s">
        <v>690</v>
      </c>
      <c r="W114" s="75" t="s">
        <v>691</v>
      </c>
      <c r="X114" s="75"/>
      <c r="Y114" s="75" t="s">
        <v>231</v>
      </c>
      <c r="Z114" s="77" t="s">
        <v>232</v>
      </c>
    </row>
    <row r="115" spans="1:26">
      <c r="A115" s="74"/>
      <c r="B115" s="74">
        <v>105</v>
      </c>
      <c r="C115" s="74">
        <v>20250089161</v>
      </c>
      <c r="D115" s="74" t="s">
        <v>492</v>
      </c>
      <c r="E115" s="74"/>
      <c r="F115" s="75">
        <v>35664999</v>
      </c>
      <c r="G115" s="74" t="s">
        <v>234</v>
      </c>
      <c r="H115" s="74">
        <v>26</v>
      </c>
      <c r="I115" s="75" t="s">
        <v>315</v>
      </c>
      <c r="J115" s="75" t="s">
        <v>482</v>
      </c>
      <c r="K115" s="75" t="s">
        <v>254</v>
      </c>
      <c r="L115" s="75" t="s">
        <v>228</v>
      </c>
      <c r="M115" s="75" t="s">
        <v>493</v>
      </c>
      <c r="N115" s="76">
        <v>45660</v>
      </c>
      <c r="O115" s="74" t="s">
        <v>492</v>
      </c>
      <c r="P115" s="127" t="str">
        <f t="shared" si="1"/>
        <v>Bachelors, KCSE, KCPE</v>
      </c>
      <c r="Q115" s="75"/>
      <c r="R115" s="74"/>
      <c r="S115" s="74" t="s">
        <v>807</v>
      </c>
      <c r="T115" s="75"/>
      <c r="U115" s="75"/>
      <c r="V115" s="75" t="s">
        <v>690</v>
      </c>
      <c r="W115" s="75" t="s">
        <v>691</v>
      </c>
      <c r="X115" s="75"/>
      <c r="Y115" s="75" t="s">
        <v>231</v>
      </c>
      <c r="Z115" s="77" t="s">
        <v>232</v>
      </c>
    </row>
    <row r="116" spans="1:26" s="67" customFormat="1" ht="15.6">
      <c r="A116" s="60"/>
      <c r="B116" s="60"/>
      <c r="C116" s="60"/>
      <c r="D116" s="60"/>
      <c r="E116" s="60"/>
      <c r="F116" s="97" t="s">
        <v>494</v>
      </c>
      <c r="G116" s="60"/>
      <c r="H116" s="60"/>
      <c r="I116" s="79"/>
      <c r="J116" s="79"/>
      <c r="K116" s="79"/>
      <c r="L116" s="79"/>
      <c r="M116" s="79"/>
      <c r="N116" s="79"/>
      <c r="O116" s="60"/>
      <c r="P116" s="127" t="str">
        <f t="shared" si="1"/>
        <v/>
      </c>
      <c r="Q116" s="79"/>
      <c r="R116" s="60"/>
      <c r="S116" s="60"/>
      <c r="T116" s="79"/>
      <c r="U116" s="79"/>
      <c r="V116" s="79"/>
      <c r="W116" s="79"/>
      <c r="X116" s="79"/>
      <c r="Y116" s="66"/>
      <c r="Z116" s="66"/>
    </row>
    <row r="117" spans="1:26">
      <c r="A117" s="74">
        <v>104</v>
      </c>
      <c r="B117" s="74">
        <v>106</v>
      </c>
      <c r="C117" s="74">
        <v>20114215676</v>
      </c>
      <c r="D117" s="74" t="s">
        <v>499</v>
      </c>
      <c r="E117" s="74"/>
      <c r="F117" s="75">
        <v>22469478</v>
      </c>
      <c r="G117" s="74" t="s">
        <v>224</v>
      </c>
      <c r="H117" s="74">
        <v>43</v>
      </c>
      <c r="I117" s="75" t="s">
        <v>500</v>
      </c>
      <c r="J117" s="75" t="s">
        <v>501</v>
      </c>
      <c r="K117" s="75" t="s">
        <v>263</v>
      </c>
      <c r="L117" s="75" t="s">
        <v>228</v>
      </c>
      <c r="M117" s="75" t="s">
        <v>502</v>
      </c>
      <c r="N117" s="76">
        <v>40545</v>
      </c>
      <c r="O117" s="74" t="s">
        <v>499</v>
      </c>
      <c r="P117" s="127" t="str">
        <f t="shared" si="1"/>
        <v>KCSE, KCPE</v>
      </c>
      <c r="Q117" s="75"/>
      <c r="R117" s="74"/>
      <c r="S117" s="74"/>
      <c r="T117" s="75"/>
      <c r="U117" t="s">
        <v>832</v>
      </c>
      <c r="V117" s="75" t="s">
        <v>690</v>
      </c>
      <c r="W117" s="75" t="s">
        <v>691</v>
      </c>
      <c r="X117" s="75"/>
      <c r="Y117" s="75" t="s">
        <v>240</v>
      </c>
      <c r="Z117" s="77" t="s">
        <v>402</v>
      </c>
    </row>
    <row r="118" spans="1:26">
      <c r="A118" s="74">
        <v>105</v>
      </c>
      <c r="B118" s="74">
        <v>107</v>
      </c>
      <c r="C118" s="74">
        <v>20160708651</v>
      </c>
      <c r="D118" s="74" t="s">
        <v>503</v>
      </c>
      <c r="E118" s="74"/>
      <c r="F118" s="75">
        <v>29236121</v>
      </c>
      <c r="G118" s="74" t="s">
        <v>224</v>
      </c>
      <c r="H118" s="74">
        <v>36</v>
      </c>
      <c r="I118" s="75" t="s">
        <v>500</v>
      </c>
      <c r="J118" s="75" t="s">
        <v>501</v>
      </c>
      <c r="K118" s="75" t="s">
        <v>263</v>
      </c>
      <c r="L118" s="75" t="s">
        <v>228</v>
      </c>
      <c r="M118" s="75" t="s">
        <v>504</v>
      </c>
      <c r="N118" s="76">
        <v>42561</v>
      </c>
      <c r="O118" s="74" t="s">
        <v>503</v>
      </c>
      <c r="P118" s="127" t="str">
        <f t="shared" si="1"/>
        <v>Bachelors, Dip, KCSE, KCPE</v>
      </c>
      <c r="Q118" s="75"/>
      <c r="R118" s="74"/>
      <c r="S118" s="74" t="s">
        <v>833</v>
      </c>
      <c r="T118" t="s">
        <v>757</v>
      </c>
      <c r="U118" s="75"/>
      <c r="V118" s="75" t="s">
        <v>690</v>
      </c>
      <c r="W118" s="75" t="s">
        <v>691</v>
      </c>
      <c r="X118" s="75"/>
      <c r="Y118" s="75" t="s">
        <v>240</v>
      </c>
      <c r="Z118" s="77" t="s">
        <v>257</v>
      </c>
    </row>
    <row r="119" spans="1:26">
      <c r="A119" s="74">
        <v>106</v>
      </c>
      <c r="B119" s="74">
        <v>108</v>
      </c>
      <c r="C119" s="74">
        <v>20077018406</v>
      </c>
      <c r="D119" s="74" t="s">
        <v>505</v>
      </c>
      <c r="E119" s="74"/>
      <c r="F119" s="75">
        <v>11305223</v>
      </c>
      <c r="G119" s="74" t="s">
        <v>224</v>
      </c>
      <c r="H119" s="74">
        <v>53</v>
      </c>
      <c r="I119" s="75" t="s">
        <v>506</v>
      </c>
      <c r="J119" s="75" t="s">
        <v>501</v>
      </c>
      <c r="K119" s="75" t="s">
        <v>234</v>
      </c>
      <c r="L119" s="75" t="s">
        <v>228</v>
      </c>
      <c r="M119" s="75" t="s">
        <v>507</v>
      </c>
      <c r="N119" s="76">
        <v>39083</v>
      </c>
      <c r="O119" s="74" t="s">
        <v>505</v>
      </c>
      <c r="P119" s="127" t="str">
        <f t="shared" si="1"/>
        <v>KCSE, KCPE</v>
      </c>
      <c r="Q119" s="75"/>
      <c r="R119" s="74"/>
      <c r="S119" s="74"/>
      <c r="U119" t="s">
        <v>834</v>
      </c>
      <c r="V119" s="75" t="s">
        <v>690</v>
      </c>
      <c r="W119" s="75" t="s">
        <v>691</v>
      </c>
      <c r="X119" s="75"/>
      <c r="Y119" s="75" t="s">
        <v>240</v>
      </c>
      <c r="Z119" s="77" t="s">
        <v>241</v>
      </c>
    </row>
    <row r="120" spans="1:26">
      <c r="A120" s="74">
        <v>107</v>
      </c>
      <c r="B120" s="74">
        <v>109</v>
      </c>
      <c r="C120" s="74">
        <v>20178601041</v>
      </c>
      <c r="D120" s="74" t="s">
        <v>508</v>
      </c>
      <c r="E120" s="74"/>
      <c r="F120" s="75">
        <v>27532666</v>
      </c>
      <c r="G120" s="74" t="s">
        <v>224</v>
      </c>
      <c r="H120" s="74">
        <v>35</v>
      </c>
      <c r="I120" s="75" t="s">
        <v>509</v>
      </c>
      <c r="J120" s="75" t="s">
        <v>501</v>
      </c>
      <c r="K120" s="75" t="s">
        <v>287</v>
      </c>
      <c r="L120" s="75" t="s">
        <v>228</v>
      </c>
      <c r="M120" s="75" t="s">
        <v>413</v>
      </c>
      <c r="N120" s="75" t="s">
        <v>835</v>
      </c>
      <c r="O120" s="74" t="s">
        <v>508</v>
      </c>
      <c r="P120" s="127" t="str">
        <f t="shared" si="1"/>
        <v>KCSE, KCPE, 1, Certificates</v>
      </c>
      <c r="Q120" s="75"/>
      <c r="R120" s="74"/>
      <c r="S120" s="74"/>
      <c r="T120" s="75"/>
      <c r="U120" s="95" t="s">
        <v>836</v>
      </c>
      <c r="V120" s="75" t="s">
        <v>690</v>
      </c>
      <c r="W120" s="75" t="s">
        <v>691</v>
      </c>
      <c r="X120" s="75"/>
      <c r="Y120" s="75" t="s">
        <v>231</v>
      </c>
      <c r="Z120" s="77" t="s">
        <v>273</v>
      </c>
    </row>
    <row r="121" spans="1:26">
      <c r="A121" s="74">
        <v>108</v>
      </c>
      <c r="B121" s="74">
        <v>110</v>
      </c>
      <c r="C121" s="74">
        <v>20220597922</v>
      </c>
      <c r="D121" s="74" t="s">
        <v>510</v>
      </c>
      <c r="E121" s="74"/>
      <c r="F121" s="75">
        <v>30223693</v>
      </c>
      <c r="G121" s="74" t="s">
        <v>224</v>
      </c>
      <c r="H121" s="74">
        <v>35</v>
      </c>
      <c r="I121" s="75" t="s">
        <v>509</v>
      </c>
      <c r="J121" s="75" t="s">
        <v>501</v>
      </c>
      <c r="K121" s="75" t="s">
        <v>287</v>
      </c>
      <c r="L121" s="75" t="s">
        <v>228</v>
      </c>
      <c r="M121" s="75" t="s">
        <v>413</v>
      </c>
      <c r="N121" s="75" t="s">
        <v>837</v>
      </c>
      <c r="O121" s="74" t="s">
        <v>510</v>
      </c>
      <c r="P121" s="127" t="str">
        <f t="shared" si="1"/>
        <v>KCSE, KCPE</v>
      </c>
      <c r="Q121" s="75"/>
      <c r="R121" s="74"/>
      <c r="S121" s="74"/>
      <c r="T121" s="75"/>
      <c r="U121" s="75" t="s">
        <v>834</v>
      </c>
      <c r="V121" s="75" t="s">
        <v>690</v>
      </c>
      <c r="W121" s="75" t="s">
        <v>691</v>
      </c>
      <c r="X121" s="75"/>
      <c r="Y121" s="75" t="s">
        <v>231</v>
      </c>
      <c r="Z121" s="77" t="s">
        <v>246</v>
      </c>
    </row>
    <row r="122" spans="1:26">
      <c r="A122" s="74">
        <v>109</v>
      </c>
      <c r="B122" s="74">
        <v>111</v>
      </c>
      <c r="C122" s="74">
        <v>20220598067</v>
      </c>
      <c r="D122" s="74" t="s">
        <v>511</v>
      </c>
      <c r="E122" s="74"/>
      <c r="F122" s="75">
        <v>26091118</v>
      </c>
      <c r="G122" s="74" t="s">
        <v>224</v>
      </c>
      <c r="H122" s="74">
        <v>36</v>
      </c>
      <c r="I122" s="75" t="s">
        <v>509</v>
      </c>
      <c r="J122" s="75" t="s">
        <v>501</v>
      </c>
      <c r="K122" s="75" t="s">
        <v>287</v>
      </c>
      <c r="L122" s="75" t="s">
        <v>228</v>
      </c>
      <c r="M122" s="75" t="s">
        <v>512</v>
      </c>
      <c r="N122" s="76">
        <v>44563</v>
      </c>
      <c r="O122" s="74" t="s">
        <v>511</v>
      </c>
      <c r="P122" s="127" t="str">
        <f t="shared" si="1"/>
        <v>KCSE</v>
      </c>
      <c r="Q122" s="75"/>
      <c r="R122" s="74"/>
      <c r="S122" s="74"/>
      <c r="T122" s="75"/>
      <c r="U122" s="75" t="s">
        <v>834</v>
      </c>
      <c r="V122" s="86" t="s">
        <v>690</v>
      </c>
      <c r="W122" s="75" t="s">
        <v>796</v>
      </c>
      <c r="X122" s="75"/>
      <c r="Y122" s="75" t="s">
        <v>231</v>
      </c>
      <c r="Z122" s="77" t="s">
        <v>232</v>
      </c>
    </row>
    <row r="123" spans="1:26">
      <c r="A123" s="74">
        <v>110</v>
      </c>
      <c r="B123" s="74">
        <v>112</v>
      </c>
      <c r="C123" s="74">
        <v>20220598318</v>
      </c>
      <c r="D123" s="74" t="s">
        <v>513</v>
      </c>
      <c r="E123" s="74"/>
      <c r="F123" s="75">
        <v>29105215</v>
      </c>
      <c r="G123" s="74" t="s">
        <v>234</v>
      </c>
      <c r="H123" s="74">
        <v>34</v>
      </c>
      <c r="I123" s="75" t="s">
        <v>509</v>
      </c>
      <c r="J123" s="75" t="s">
        <v>501</v>
      </c>
      <c r="K123" s="75" t="s">
        <v>287</v>
      </c>
      <c r="L123" s="75" t="s">
        <v>228</v>
      </c>
      <c r="M123" s="75" t="s">
        <v>377</v>
      </c>
      <c r="N123" s="75" t="s">
        <v>838</v>
      </c>
      <c r="O123" s="74" t="s">
        <v>513</v>
      </c>
      <c r="P123" s="127" t="str">
        <f t="shared" si="1"/>
        <v>KCSE, KCPE</v>
      </c>
      <c r="Q123" s="75"/>
      <c r="R123" s="74"/>
      <c r="S123" s="74"/>
      <c r="T123" s="75"/>
      <c r="U123" s="75" t="s">
        <v>834</v>
      </c>
      <c r="V123" s="75" t="s">
        <v>690</v>
      </c>
      <c r="W123" s="75" t="s">
        <v>691</v>
      </c>
      <c r="X123" s="75"/>
      <c r="Y123" s="75" t="s">
        <v>231</v>
      </c>
      <c r="Z123" s="77" t="s">
        <v>232</v>
      </c>
    </row>
    <row r="124" spans="1:26">
      <c r="A124" s="74">
        <v>111</v>
      </c>
      <c r="B124" s="74">
        <v>113</v>
      </c>
      <c r="C124" s="74">
        <v>20240300997</v>
      </c>
      <c r="D124" s="74" t="s">
        <v>514</v>
      </c>
      <c r="E124" s="74"/>
      <c r="F124" s="75">
        <v>36990261</v>
      </c>
      <c r="G124" s="74" t="s">
        <v>224</v>
      </c>
      <c r="H124" s="74">
        <v>26</v>
      </c>
      <c r="I124" s="75" t="s">
        <v>509</v>
      </c>
      <c r="J124" s="75" t="s">
        <v>501</v>
      </c>
      <c r="K124" s="75" t="s">
        <v>287</v>
      </c>
      <c r="L124" s="75" t="s">
        <v>228</v>
      </c>
      <c r="M124" s="76">
        <v>46450</v>
      </c>
      <c r="N124" s="76">
        <v>45301</v>
      </c>
      <c r="O124" s="74" t="s">
        <v>514</v>
      </c>
      <c r="P124" s="127" t="str">
        <f t="shared" si="1"/>
        <v>KCSE, KCPE</v>
      </c>
      <c r="Q124" s="75"/>
      <c r="R124" s="74"/>
      <c r="S124" s="74"/>
      <c r="T124" s="75"/>
      <c r="U124" s="75" t="s">
        <v>834</v>
      </c>
      <c r="V124" s="75" t="s">
        <v>690</v>
      </c>
      <c r="W124" s="75" t="s">
        <v>691</v>
      </c>
      <c r="X124" s="75"/>
      <c r="Y124" s="75" t="s">
        <v>231</v>
      </c>
      <c r="Z124" s="77" t="s">
        <v>266</v>
      </c>
    </row>
    <row r="125" spans="1:26">
      <c r="A125" s="74">
        <v>112</v>
      </c>
      <c r="B125" s="74">
        <v>114</v>
      </c>
      <c r="C125" s="74">
        <v>20152655412</v>
      </c>
      <c r="D125" s="74" t="s">
        <v>515</v>
      </c>
      <c r="E125" s="74"/>
      <c r="F125" s="75">
        <v>23111970</v>
      </c>
      <c r="G125" s="74" t="s">
        <v>224</v>
      </c>
      <c r="H125" s="74">
        <v>42</v>
      </c>
      <c r="I125" s="75" t="s">
        <v>506</v>
      </c>
      <c r="J125" s="75" t="s">
        <v>501</v>
      </c>
      <c r="K125" s="75" t="s">
        <v>234</v>
      </c>
      <c r="L125" s="75" t="s">
        <v>228</v>
      </c>
      <c r="M125" s="75" t="s">
        <v>516</v>
      </c>
      <c r="N125" s="76">
        <v>42011</v>
      </c>
      <c r="O125" s="74" t="s">
        <v>515</v>
      </c>
      <c r="P125" s="127" t="str">
        <f t="shared" si="1"/>
        <v>KCSE, KCPE</v>
      </c>
      <c r="Q125" s="75"/>
      <c r="R125" s="74"/>
      <c r="S125" s="74"/>
      <c r="T125" s="75"/>
      <c r="U125" s="75" t="s">
        <v>834</v>
      </c>
      <c r="V125" s="75" t="s">
        <v>690</v>
      </c>
      <c r="W125" s="75" t="s">
        <v>691</v>
      </c>
      <c r="X125" s="75"/>
      <c r="Y125" s="75" t="s">
        <v>240</v>
      </c>
      <c r="Z125" s="77" t="s">
        <v>266</v>
      </c>
    </row>
    <row r="126" spans="1:26">
      <c r="A126" s="74">
        <v>113</v>
      </c>
      <c r="B126" s="74">
        <v>115</v>
      </c>
      <c r="C126" s="74">
        <v>20060933629</v>
      </c>
      <c r="D126" s="74" t="s">
        <v>517</v>
      </c>
      <c r="E126" s="74"/>
      <c r="F126" s="75">
        <v>12631708</v>
      </c>
      <c r="G126" s="74" t="s">
        <v>224</v>
      </c>
      <c r="H126" s="74">
        <v>50</v>
      </c>
      <c r="I126" s="75" t="s">
        <v>253</v>
      </c>
      <c r="J126" s="75" t="s">
        <v>518</v>
      </c>
      <c r="K126" s="75" t="s">
        <v>254</v>
      </c>
      <c r="L126" s="75" t="s">
        <v>228</v>
      </c>
      <c r="M126" s="75" t="s">
        <v>519</v>
      </c>
      <c r="N126" s="76">
        <v>38729</v>
      </c>
      <c r="O126" s="74" t="s">
        <v>517</v>
      </c>
      <c r="P126" s="127" t="str">
        <f t="shared" si="1"/>
        <v>Dip, KCSE, KCPE</v>
      </c>
      <c r="Q126" s="75"/>
      <c r="R126" s="74"/>
      <c r="S126" s="74"/>
      <c r="T126" t="s">
        <v>839</v>
      </c>
      <c r="U126" s="75"/>
      <c r="V126" s="75" t="s">
        <v>690</v>
      </c>
      <c r="W126" s="75" t="s">
        <v>691</v>
      </c>
      <c r="X126" s="75"/>
      <c r="Y126" s="75" t="s">
        <v>240</v>
      </c>
      <c r="Z126" s="77" t="s">
        <v>273</v>
      </c>
    </row>
    <row r="127" spans="1:26">
      <c r="A127" s="74">
        <v>114</v>
      </c>
      <c r="B127" s="74">
        <v>116</v>
      </c>
      <c r="C127" s="74">
        <v>19911126884</v>
      </c>
      <c r="D127" s="74" t="s">
        <v>840</v>
      </c>
      <c r="E127" s="74"/>
      <c r="F127" s="75">
        <v>9084722</v>
      </c>
      <c r="G127" s="74" t="s">
        <v>224</v>
      </c>
      <c r="H127" s="74">
        <v>59</v>
      </c>
      <c r="I127" s="75" t="s">
        <v>841</v>
      </c>
      <c r="J127" s="75" t="s">
        <v>518</v>
      </c>
      <c r="K127" s="75" t="s">
        <v>263</v>
      </c>
      <c r="L127" s="75" t="s">
        <v>228</v>
      </c>
      <c r="M127" s="75" t="s">
        <v>383</v>
      </c>
      <c r="N127" s="76">
        <v>33580</v>
      </c>
      <c r="O127" s="74" t="s">
        <v>840</v>
      </c>
      <c r="P127" s="127" t="str">
        <f t="shared" si="1"/>
        <v>KCSE, KCPE</v>
      </c>
      <c r="Q127" s="75"/>
      <c r="R127" s="74"/>
      <c r="S127" s="74"/>
      <c r="T127" s="75"/>
      <c r="U127" s="75"/>
      <c r="V127" s="75" t="s">
        <v>690</v>
      </c>
      <c r="W127" s="75" t="s">
        <v>691</v>
      </c>
      <c r="X127" s="75"/>
      <c r="Y127" s="75" t="s">
        <v>240</v>
      </c>
      <c r="Z127" s="77" t="s">
        <v>273</v>
      </c>
    </row>
    <row r="128" spans="1:26">
      <c r="A128" s="74">
        <v>115</v>
      </c>
      <c r="B128" s="74">
        <v>117</v>
      </c>
      <c r="C128" s="74">
        <v>20060933970</v>
      </c>
      <c r="D128" s="74" t="s">
        <v>520</v>
      </c>
      <c r="E128" s="74"/>
      <c r="F128" s="75">
        <v>9429717</v>
      </c>
      <c r="G128" s="74" t="s">
        <v>224</v>
      </c>
      <c r="H128" s="74">
        <v>57</v>
      </c>
      <c r="I128" s="75" t="s">
        <v>521</v>
      </c>
      <c r="J128" s="75" t="s">
        <v>518</v>
      </c>
      <c r="K128" s="75" t="s">
        <v>276</v>
      </c>
      <c r="L128" s="75" t="s">
        <v>228</v>
      </c>
      <c r="M128" s="75" t="s">
        <v>377</v>
      </c>
      <c r="N128" s="76">
        <v>38722</v>
      </c>
      <c r="O128" s="74" t="s">
        <v>520</v>
      </c>
      <c r="P128" s="127" t="str">
        <f t="shared" si="1"/>
        <v>KCSE, KCPE, 1, Certificates</v>
      </c>
      <c r="Q128" s="75"/>
      <c r="R128" s="74"/>
      <c r="S128" s="74"/>
      <c r="T128" s="75"/>
      <c r="U128" t="s">
        <v>842</v>
      </c>
      <c r="V128" s="86" t="s">
        <v>690</v>
      </c>
      <c r="W128" s="75" t="s">
        <v>691</v>
      </c>
      <c r="X128" s="75"/>
      <c r="Y128" s="75" t="s">
        <v>240</v>
      </c>
      <c r="Z128" s="77" t="s">
        <v>273</v>
      </c>
    </row>
    <row r="129" spans="1:26">
      <c r="A129" s="74">
        <v>116</v>
      </c>
      <c r="B129" s="74">
        <v>118</v>
      </c>
      <c r="C129" s="74">
        <v>20077017955</v>
      </c>
      <c r="D129" s="74" t="s">
        <v>522</v>
      </c>
      <c r="E129" s="74"/>
      <c r="F129" s="75">
        <v>11824621</v>
      </c>
      <c r="G129" s="74" t="s">
        <v>224</v>
      </c>
      <c r="H129" s="74">
        <v>51</v>
      </c>
      <c r="I129" s="75" t="s">
        <v>523</v>
      </c>
      <c r="J129" s="75" t="s">
        <v>518</v>
      </c>
      <c r="K129" s="75" t="s">
        <v>270</v>
      </c>
      <c r="L129" s="75" t="s">
        <v>228</v>
      </c>
      <c r="M129" s="75" t="s">
        <v>524</v>
      </c>
      <c r="N129" s="76">
        <v>39090</v>
      </c>
      <c r="O129" s="74" t="s">
        <v>522</v>
      </c>
      <c r="P129" s="127" t="str">
        <f t="shared" si="1"/>
        <v>KCSE, KCPE, 1, Certificates</v>
      </c>
      <c r="Q129" s="75"/>
      <c r="R129" s="74"/>
      <c r="S129" s="74"/>
      <c r="T129" s="75"/>
      <c r="U129" t="s">
        <v>843</v>
      </c>
      <c r="V129" s="75" t="s">
        <v>690</v>
      </c>
      <c r="W129" s="75" t="s">
        <v>691</v>
      </c>
      <c r="X129" s="75"/>
      <c r="Y129" s="75" t="s">
        <v>240</v>
      </c>
      <c r="Z129" s="77" t="s">
        <v>257</v>
      </c>
    </row>
    <row r="130" spans="1:26">
      <c r="A130" s="74">
        <v>117</v>
      </c>
      <c r="B130" s="74">
        <v>119</v>
      </c>
      <c r="C130" s="74">
        <v>19950950686</v>
      </c>
      <c r="D130" s="74" t="s">
        <v>525</v>
      </c>
      <c r="E130" s="74"/>
      <c r="F130" s="75">
        <v>11642748</v>
      </c>
      <c r="G130" s="74" t="s">
        <v>224</v>
      </c>
      <c r="H130" s="74">
        <v>53</v>
      </c>
      <c r="I130" s="75" t="s">
        <v>351</v>
      </c>
      <c r="J130" s="75" t="s">
        <v>518</v>
      </c>
      <c r="K130" s="75" t="s">
        <v>287</v>
      </c>
      <c r="L130" s="75" t="s">
        <v>228</v>
      </c>
      <c r="M130" s="75" t="s">
        <v>507</v>
      </c>
      <c r="N130" s="76">
        <v>34983</v>
      </c>
      <c r="O130" s="74" t="s">
        <v>525</v>
      </c>
      <c r="P130" s="127" t="str">
        <f t="shared" si="1"/>
        <v>KCSE, KCPE</v>
      </c>
      <c r="Q130" s="75"/>
      <c r="R130" s="74"/>
      <c r="S130" s="74"/>
      <c r="T130" s="75"/>
      <c r="U130" s="75"/>
      <c r="V130" s="86" t="s">
        <v>690</v>
      </c>
      <c r="W130" s="75" t="s">
        <v>691</v>
      </c>
      <c r="X130" s="75"/>
      <c r="Y130" s="75" t="s">
        <v>240</v>
      </c>
      <c r="Z130" s="77" t="s">
        <v>389</v>
      </c>
    </row>
    <row r="131" spans="1:26">
      <c r="A131" s="74">
        <v>118</v>
      </c>
      <c r="B131" s="74">
        <v>120</v>
      </c>
      <c r="C131" s="74">
        <v>20089223805</v>
      </c>
      <c r="D131" s="74" t="s">
        <v>526</v>
      </c>
      <c r="E131" s="74"/>
      <c r="F131" s="75">
        <v>10024181</v>
      </c>
      <c r="G131" s="74" t="s">
        <v>224</v>
      </c>
      <c r="H131" s="74">
        <v>57</v>
      </c>
      <c r="I131" s="75" t="s">
        <v>527</v>
      </c>
      <c r="J131" s="75" t="s">
        <v>518</v>
      </c>
      <c r="K131" s="75" t="s">
        <v>287</v>
      </c>
      <c r="L131" s="75" t="s">
        <v>228</v>
      </c>
      <c r="M131" s="75" t="s">
        <v>528</v>
      </c>
      <c r="N131" s="76">
        <v>39455</v>
      </c>
      <c r="O131" s="74" t="s">
        <v>526</v>
      </c>
      <c r="P131" s="127" t="str">
        <f t="shared" si="1"/>
        <v>KCSE, KCPE</v>
      </c>
      <c r="Q131" s="75"/>
      <c r="R131" s="74"/>
      <c r="S131" s="74"/>
      <c r="T131" s="75"/>
      <c r="U131" s="75"/>
      <c r="V131" s="86" t="s">
        <v>690</v>
      </c>
      <c r="W131" s="75" t="s">
        <v>691</v>
      </c>
      <c r="X131" s="75"/>
      <c r="Y131" s="75" t="s">
        <v>240</v>
      </c>
      <c r="Z131" s="77" t="s">
        <v>241</v>
      </c>
    </row>
    <row r="132" spans="1:26">
      <c r="A132" s="74">
        <v>119</v>
      </c>
      <c r="B132" s="74">
        <v>121</v>
      </c>
      <c r="C132" s="74">
        <v>20106534294</v>
      </c>
      <c r="D132" s="74" t="s">
        <v>529</v>
      </c>
      <c r="E132" s="74"/>
      <c r="F132" s="75">
        <v>21027957</v>
      </c>
      <c r="G132" s="74" t="s">
        <v>224</v>
      </c>
      <c r="H132" s="74">
        <v>47</v>
      </c>
      <c r="I132" s="75" t="s">
        <v>363</v>
      </c>
      <c r="J132" s="75" t="s">
        <v>518</v>
      </c>
      <c r="K132" s="75" t="s">
        <v>234</v>
      </c>
      <c r="L132" s="75" t="s">
        <v>228</v>
      </c>
      <c r="M132" s="75" t="s">
        <v>530</v>
      </c>
      <c r="N132" s="76">
        <v>40187</v>
      </c>
      <c r="O132" s="74" t="s">
        <v>529</v>
      </c>
      <c r="P132" s="127" t="str">
        <f t="shared" ref="P132:P195" si="2">SUBSTITUTE(TRIM(
    IF(COUNTIF(Q132:X132, "*Philosophy*"), "PhD ", "") &amp;
    IF(COUNTIF(Q132:X132, "*Master*"), "MSc ", "") &amp;
    IF(COUNTIF(Q132:X132, "*Bachelor*"), "Bachelors ", "") &amp;
    IF(COUNTIF(Q132:X132, "*Diploma*"), "Dip ", "") &amp;
    IF(COUNTIF(Q132:X132, "*KCSE*"), "KCSE ", "") &amp;
    IF(COUNTIF(Q132:X132, "*KCPE*"), "KCPE ", "") &amp;
    IF(COUNTIF(Q132:X132, "*IHRM*"), "IHRM ", "") &amp;
    IF(COUNTIF(Q132:X132, "*HRMPB*"), "HRMPB ", "") &amp;
    IF(COUNTIF(Q132:X132, "*KISM*"), "KISM ", "") &amp;
    IF(COUNTIF(Q132:X132, "*ICPAK*"), "ICPAK ", "") &amp;
    IF(COUNTIF(Q132:X132, "*CPA*"), "CPA ", "") &amp;
    IF(COUNTIF(Q132:X132, "*Strategic Leadership*"), "SLDP ", "") &amp;
    IF(COUNTIF(Q132:X132, "*Senior Management*"), "SMC ", "") &amp;
    IF(COUNTIF(Q132:X132, "*Nursing*"), "NCK ", "") &amp;
    IF(COUNTIF(Q132:X132, "*KMLTTB*"), "KMLTTB ", "") &amp;
    IF(COUNTIF(Q132:X132, "*Cstat*"), "Cstat ", "") &amp;
    IF(SUMPRODUCT(LEN(Q132:X132)-LEN(SUBSTITUTE(UPPER(Q132:X132),"CERTIFICATE","")))/11&gt;0,
       SUMPRODUCT(LEN(Q132:X132)-LEN(SUBSTITUTE(UPPER(Q132:X132),"CERTIFICATE","")))/11 &amp; " Certificates ", "")
), " ", ", ")</f>
        <v>KCSE, KCPE</v>
      </c>
      <c r="Q132" s="75"/>
      <c r="R132" s="74"/>
      <c r="S132" s="74"/>
      <c r="T132" s="75"/>
      <c r="U132" s="75"/>
      <c r="V132" s="86" t="s">
        <v>690</v>
      </c>
      <c r="W132" s="75" t="s">
        <v>691</v>
      </c>
      <c r="X132" s="75"/>
      <c r="Y132" s="75" t="s">
        <v>240</v>
      </c>
      <c r="Z132" s="77" t="s">
        <v>232</v>
      </c>
    </row>
    <row r="133" spans="1:26">
      <c r="A133" s="74"/>
      <c r="B133" s="74">
        <v>122</v>
      </c>
      <c r="C133" s="78">
        <v>20114215472</v>
      </c>
      <c r="D133" s="78" t="s">
        <v>531</v>
      </c>
      <c r="E133" s="78"/>
      <c r="F133" s="78">
        <v>14425020</v>
      </c>
      <c r="G133" s="78" t="s">
        <v>224</v>
      </c>
      <c r="H133" s="78">
        <v>49</v>
      </c>
      <c r="I133" s="78" t="s">
        <v>509</v>
      </c>
      <c r="J133" s="75" t="s">
        <v>518</v>
      </c>
      <c r="K133" s="75" t="s">
        <v>287</v>
      </c>
      <c r="L133" s="75" t="s">
        <v>228</v>
      </c>
      <c r="M133" s="98" t="s">
        <v>532</v>
      </c>
      <c r="N133" s="99">
        <v>40551</v>
      </c>
      <c r="O133" s="78" t="s">
        <v>531</v>
      </c>
      <c r="P133" s="127" t="str">
        <f t="shared" si="2"/>
        <v>KCSE, KCPE</v>
      </c>
      <c r="Q133" s="100"/>
      <c r="R133" s="101"/>
      <c r="S133" s="101"/>
      <c r="T133" s="100"/>
      <c r="U133" s="100" t="s">
        <v>834</v>
      </c>
      <c r="V133" s="100" t="s">
        <v>690</v>
      </c>
      <c r="W133" s="100" t="s">
        <v>691</v>
      </c>
      <c r="X133" s="100"/>
      <c r="Y133" s="75" t="s">
        <v>240</v>
      </c>
      <c r="Z133" s="77" t="s">
        <v>273</v>
      </c>
    </row>
    <row r="134" spans="1:26" s="67" customFormat="1" ht="15.6">
      <c r="A134" s="60"/>
      <c r="B134" s="60"/>
      <c r="C134" s="60"/>
      <c r="D134" s="60"/>
      <c r="E134" s="60"/>
      <c r="F134" s="79" t="s">
        <v>844</v>
      </c>
      <c r="G134" s="60"/>
      <c r="H134" s="60"/>
      <c r="I134" s="79"/>
      <c r="J134" s="79"/>
      <c r="K134" s="79"/>
      <c r="L134" s="79"/>
      <c r="M134" s="79"/>
      <c r="N134" s="79"/>
      <c r="O134" s="60"/>
      <c r="P134" s="127" t="str">
        <f t="shared" si="2"/>
        <v/>
      </c>
      <c r="Q134" s="79"/>
      <c r="R134" s="60"/>
      <c r="S134" s="60"/>
      <c r="T134" s="79"/>
      <c r="U134" s="79"/>
      <c r="V134" s="79"/>
      <c r="W134" s="79"/>
      <c r="X134" s="79"/>
      <c r="Y134" s="66"/>
      <c r="Z134" s="66"/>
    </row>
    <row r="135" spans="1:26" s="72" customFormat="1">
      <c r="A135" s="68">
        <v>120</v>
      </c>
      <c r="B135" s="68">
        <v>123</v>
      </c>
      <c r="C135" s="68">
        <v>19990495650</v>
      </c>
      <c r="D135" s="68" t="s">
        <v>247</v>
      </c>
      <c r="E135" s="68"/>
      <c r="F135" s="69">
        <v>13819220</v>
      </c>
      <c r="G135" s="68" t="s">
        <v>234</v>
      </c>
      <c r="H135" s="68">
        <v>49</v>
      </c>
      <c r="I135" s="69" t="s">
        <v>248</v>
      </c>
      <c r="J135" s="69" t="s">
        <v>249</v>
      </c>
      <c r="K135" s="69" t="s">
        <v>237</v>
      </c>
      <c r="L135" s="69" t="s">
        <v>228</v>
      </c>
      <c r="M135" s="69" t="s">
        <v>250</v>
      </c>
      <c r="N135" s="70">
        <v>36169</v>
      </c>
      <c r="O135" s="68" t="s">
        <v>247</v>
      </c>
      <c r="P135" s="127" t="str">
        <f t="shared" si="2"/>
        <v>MSc, Bachelors, Dip, KCSE, KCPE, 2, Certificates</v>
      </c>
      <c r="Q135" s="69"/>
      <c r="R135" s="73" t="s">
        <v>845</v>
      </c>
      <c r="S135" s="82" t="s">
        <v>846</v>
      </c>
      <c r="T135" s="72" t="s">
        <v>847</v>
      </c>
      <c r="U135" s="72" t="s">
        <v>848</v>
      </c>
      <c r="V135" s="69" t="s">
        <v>690</v>
      </c>
      <c r="W135" s="69" t="s">
        <v>691</v>
      </c>
      <c r="X135" s="69" t="s">
        <v>849</v>
      </c>
      <c r="Y135" s="69" t="s">
        <v>240</v>
      </c>
      <c r="Z135" s="71" t="s">
        <v>251</v>
      </c>
    </row>
    <row r="136" spans="1:26">
      <c r="A136" s="74">
        <v>121</v>
      </c>
      <c r="B136" s="74">
        <v>124</v>
      </c>
      <c r="C136" s="74">
        <v>20114215634</v>
      </c>
      <c r="D136" s="74" t="s">
        <v>537</v>
      </c>
      <c r="E136" s="74"/>
      <c r="F136" s="75">
        <v>21898292</v>
      </c>
      <c r="G136" s="74" t="s">
        <v>234</v>
      </c>
      <c r="H136" s="74">
        <v>45</v>
      </c>
      <c r="I136" s="75" t="s">
        <v>538</v>
      </c>
      <c r="J136" s="75" t="s">
        <v>249</v>
      </c>
      <c r="K136" s="75" t="s">
        <v>237</v>
      </c>
      <c r="L136" s="75" t="s">
        <v>539</v>
      </c>
      <c r="M136" s="75" t="s">
        <v>540</v>
      </c>
      <c r="N136" s="76">
        <v>40546</v>
      </c>
      <c r="O136" s="74" t="s">
        <v>537</v>
      </c>
      <c r="P136" s="127" t="str">
        <f t="shared" si="2"/>
        <v>KCSE, KCPE</v>
      </c>
      <c r="Q136" s="75"/>
      <c r="R136" s="74"/>
      <c r="S136" s="74"/>
      <c r="T136" s="75"/>
      <c r="U136" s="75"/>
      <c r="V136" s="75" t="s">
        <v>690</v>
      </c>
      <c r="W136" s="75" t="s">
        <v>691</v>
      </c>
      <c r="X136" s="75"/>
      <c r="Y136" s="75" t="s">
        <v>240</v>
      </c>
      <c r="Z136" s="77" t="s">
        <v>251</v>
      </c>
    </row>
    <row r="137" spans="1:26">
      <c r="A137" s="74">
        <v>122</v>
      </c>
      <c r="B137" s="74">
        <v>125</v>
      </c>
      <c r="C137" s="74">
        <v>20160708766</v>
      </c>
      <c r="D137" s="74" t="s">
        <v>541</v>
      </c>
      <c r="E137" s="74"/>
      <c r="F137" s="75">
        <v>24137198</v>
      </c>
      <c r="G137" s="74" t="s">
        <v>224</v>
      </c>
      <c r="H137" s="74">
        <v>40</v>
      </c>
      <c r="I137" s="75" t="s">
        <v>315</v>
      </c>
      <c r="J137" s="75" t="s">
        <v>249</v>
      </c>
      <c r="K137" s="75" t="s">
        <v>254</v>
      </c>
      <c r="L137" s="75" t="s">
        <v>228</v>
      </c>
      <c r="M137" s="75" t="s">
        <v>491</v>
      </c>
      <c r="N137" s="76">
        <v>42379</v>
      </c>
      <c r="O137" s="74" t="s">
        <v>541</v>
      </c>
      <c r="P137" s="127" t="str">
        <f t="shared" si="2"/>
        <v>KCSE, KCPE</v>
      </c>
      <c r="Q137" s="75"/>
      <c r="R137" s="74"/>
      <c r="S137" t="s">
        <v>850</v>
      </c>
      <c r="T137" s="75"/>
      <c r="U137" s="75"/>
      <c r="V137" s="75" t="s">
        <v>690</v>
      </c>
      <c r="W137" s="75" t="s">
        <v>691</v>
      </c>
      <c r="X137" s="75"/>
      <c r="Y137" s="75" t="s">
        <v>231</v>
      </c>
      <c r="Z137" s="77" t="s">
        <v>542</v>
      </c>
    </row>
    <row r="138" spans="1:26">
      <c r="A138" s="74">
        <v>123</v>
      </c>
      <c r="B138" s="74">
        <v>126</v>
      </c>
      <c r="C138" s="74">
        <v>20220598562</v>
      </c>
      <c r="D138" s="74" t="s">
        <v>543</v>
      </c>
      <c r="E138" s="74"/>
      <c r="F138" s="75">
        <v>28075095</v>
      </c>
      <c r="G138" s="74" t="s">
        <v>234</v>
      </c>
      <c r="H138" s="74">
        <v>34</v>
      </c>
      <c r="I138" s="75" t="s">
        <v>416</v>
      </c>
      <c r="J138" s="75" t="s">
        <v>249</v>
      </c>
      <c r="K138" s="75" t="s">
        <v>254</v>
      </c>
      <c r="L138" s="75" t="s">
        <v>228</v>
      </c>
      <c r="M138" s="75" t="s">
        <v>377</v>
      </c>
      <c r="N138" s="76">
        <v>44621</v>
      </c>
      <c r="O138" s="74" t="s">
        <v>543</v>
      </c>
      <c r="P138" s="127" t="str">
        <f t="shared" si="2"/>
        <v>Bachelors, KCSE, KCPE</v>
      </c>
      <c r="Q138" s="75"/>
      <c r="R138" s="74"/>
      <c r="S138" t="s">
        <v>780</v>
      </c>
      <c r="T138" s="75"/>
      <c r="U138" s="75"/>
      <c r="V138" s="75" t="s">
        <v>690</v>
      </c>
      <c r="W138" s="75" t="s">
        <v>691</v>
      </c>
      <c r="X138" s="75"/>
      <c r="Y138" s="75" t="s">
        <v>231</v>
      </c>
      <c r="Z138" s="77" t="s">
        <v>246</v>
      </c>
    </row>
    <row r="139" spans="1:26" s="67" customFormat="1" ht="15.6">
      <c r="A139" s="60"/>
      <c r="B139" s="60"/>
      <c r="C139" s="60"/>
      <c r="D139" s="60"/>
      <c r="E139" s="60"/>
      <c r="F139" s="97" t="s">
        <v>544</v>
      </c>
      <c r="G139" s="60"/>
      <c r="H139" s="60"/>
      <c r="I139" s="79"/>
      <c r="J139" s="79"/>
      <c r="K139" s="79"/>
      <c r="L139" s="79"/>
      <c r="M139" s="79"/>
      <c r="N139" s="79"/>
      <c r="O139" s="60"/>
      <c r="P139" s="127" t="str">
        <f t="shared" si="2"/>
        <v/>
      </c>
      <c r="Q139" s="79"/>
      <c r="R139" s="60"/>
      <c r="S139" s="60"/>
      <c r="T139" s="79"/>
      <c r="U139" s="79"/>
      <c r="V139" s="79"/>
      <c r="W139" s="79"/>
      <c r="X139" s="79"/>
      <c r="Y139" s="66"/>
      <c r="Z139" s="66"/>
    </row>
    <row r="140" spans="1:26">
      <c r="A140" s="74">
        <v>124</v>
      </c>
      <c r="B140" s="74">
        <v>127</v>
      </c>
      <c r="C140" s="74">
        <v>20060934015</v>
      </c>
      <c r="D140" s="74" t="s">
        <v>545</v>
      </c>
      <c r="E140" s="74"/>
      <c r="F140" s="75">
        <v>13754943</v>
      </c>
      <c r="G140" s="74" t="s">
        <v>234</v>
      </c>
      <c r="H140" s="74">
        <v>49</v>
      </c>
      <c r="I140" s="75" t="s">
        <v>546</v>
      </c>
      <c r="J140" s="75" t="s">
        <v>269</v>
      </c>
      <c r="K140" s="75" t="s">
        <v>296</v>
      </c>
      <c r="L140" s="75" t="s">
        <v>228</v>
      </c>
      <c r="M140" s="75" t="s">
        <v>547</v>
      </c>
      <c r="N140" s="76">
        <v>38720</v>
      </c>
      <c r="O140" s="74" t="s">
        <v>545</v>
      </c>
      <c r="P140" s="127" t="str">
        <f t="shared" si="2"/>
        <v>MSc, Bachelors, KCSE, KCPE, 1, Certificates</v>
      </c>
      <c r="Q140" s="75"/>
      <c r="R140" s="95" t="s">
        <v>851</v>
      </c>
      <c r="S140" t="s">
        <v>852</v>
      </c>
      <c r="T140" s="75"/>
      <c r="U140" s="75"/>
      <c r="V140" s="75" t="s">
        <v>690</v>
      </c>
      <c r="W140" s="75" t="s">
        <v>691</v>
      </c>
      <c r="X140" s="75" t="s">
        <v>853</v>
      </c>
      <c r="Y140" s="75" t="s">
        <v>240</v>
      </c>
      <c r="Z140" s="77" t="s">
        <v>246</v>
      </c>
    </row>
    <row r="141" spans="1:26">
      <c r="A141" s="74">
        <v>125</v>
      </c>
      <c r="B141" s="74">
        <v>128</v>
      </c>
      <c r="C141" s="74">
        <v>20220598059</v>
      </c>
      <c r="D141" s="74" t="s">
        <v>548</v>
      </c>
      <c r="E141" s="74"/>
      <c r="F141" s="75">
        <v>25786319</v>
      </c>
      <c r="G141" s="74" t="s">
        <v>234</v>
      </c>
      <c r="H141" s="74">
        <v>36</v>
      </c>
      <c r="I141" s="75" t="s">
        <v>549</v>
      </c>
      <c r="J141" s="75" t="s">
        <v>269</v>
      </c>
      <c r="K141" s="75" t="s">
        <v>254</v>
      </c>
      <c r="L141" s="75" t="s">
        <v>228</v>
      </c>
      <c r="M141" s="75" t="s">
        <v>260</v>
      </c>
      <c r="N141" s="76">
        <v>44563</v>
      </c>
      <c r="O141" s="74" t="s">
        <v>548</v>
      </c>
      <c r="P141" s="127" t="str">
        <f t="shared" si="2"/>
        <v>Bachelors, KCSE, KCPE</v>
      </c>
      <c r="Q141" s="75"/>
      <c r="R141" s="74"/>
      <c r="S141" t="s">
        <v>854</v>
      </c>
      <c r="T141" s="75"/>
      <c r="U141" s="75"/>
      <c r="V141" s="75" t="s">
        <v>690</v>
      </c>
      <c r="W141" s="75" t="s">
        <v>691</v>
      </c>
      <c r="X141" s="75"/>
      <c r="Y141" s="75" t="s">
        <v>231</v>
      </c>
      <c r="Z141" s="77" t="s">
        <v>273</v>
      </c>
    </row>
    <row r="142" spans="1:26">
      <c r="A142" s="74">
        <v>126</v>
      </c>
      <c r="B142" s="74">
        <v>129</v>
      </c>
      <c r="C142" s="74">
        <v>20240300963</v>
      </c>
      <c r="D142" s="74" t="s">
        <v>570</v>
      </c>
      <c r="E142" s="74"/>
      <c r="F142" s="75">
        <v>39250183</v>
      </c>
      <c r="G142" s="74" t="s">
        <v>234</v>
      </c>
      <c r="H142" s="74">
        <v>23</v>
      </c>
      <c r="I142" s="75" t="s">
        <v>571</v>
      </c>
      <c r="J142" s="75" t="s">
        <v>269</v>
      </c>
      <c r="K142" s="75" t="s">
        <v>254</v>
      </c>
      <c r="L142" s="75" t="s">
        <v>228</v>
      </c>
      <c r="M142" s="75" t="s">
        <v>563</v>
      </c>
      <c r="N142" s="76">
        <v>45301</v>
      </c>
      <c r="O142" s="74" t="s">
        <v>570</v>
      </c>
      <c r="P142" s="127" t="str">
        <f t="shared" si="2"/>
        <v>Bachelors, KCSE, KCPE</v>
      </c>
      <c r="Q142" s="75"/>
      <c r="R142" s="74"/>
      <c r="S142" s="74" t="s">
        <v>855</v>
      </c>
      <c r="T142" s="75"/>
      <c r="U142" s="75"/>
      <c r="V142" s="75" t="s">
        <v>690</v>
      </c>
      <c r="W142" s="75" t="s">
        <v>691</v>
      </c>
      <c r="X142" s="75"/>
      <c r="Y142" s="75" t="s">
        <v>231</v>
      </c>
      <c r="Z142" s="77" t="s">
        <v>241</v>
      </c>
    </row>
    <row r="143" spans="1:26" ht="18" customHeight="1">
      <c r="A143" s="74">
        <v>127</v>
      </c>
      <c r="B143" s="74">
        <v>130</v>
      </c>
      <c r="C143" s="74">
        <v>20250067290</v>
      </c>
      <c r="D143" s="87" t="s">
        <v>550</v>
      </c>
      <c r="E143" s="87"/>
      <c r="F143" s="88">
        <v>28556294</v>
      </c>
      <c r="G143" s="74" t="s">
        <v>234</v>
      </c>
      <c r="H143" s="74"/>
      <c r="I143" s="88" t="s">
        <v>551</v>
      </c>
      <c r="J143" s="88" t="s">
        <v>269</v>
      </c>
      <c r="K143" s="75" t="s">
        <v>254</v>
      </c>
      <c r="L143" s="75" t="s">
        <v>228</v>
      </c>
      <c r="M143" s="76">
        <v>46756</v>
      </c>
      <c r="N143" s="76">
        <v>45661</v>
      </c>
      <c r="O143" s="87" t="s">
        <v>550</v>
      </c>
      <c r="P143" s="127" t="str">
        <f t="shared" si="2"/>
        <v>Bachelors, KCSE, KCPE</v>
      </c>
      <c r="Q143" s="75"/>
      <c r="R143" s="74"/>
      <c r="S143" s="74" t="s">
        <v>856</v>
      </c>
      <c r="T143" s="75"/>
      <c r="U143" s="75"/>
      <c r="V143" s="75" t="s">
        <v>690</v>
      </c>
      <c r="W143" s="75" t="s">
        <v>691</v>
      </c>
      <c r="X143" s="75"/>
      <c r="Y143" s="75" t="s">
        <v>231</v>
      </c>
      <c r="Z143" s="77" t="s">
        <v>232</v>
      </c>
    </row>
    <row r="144" spans="1:26">
      <c r="A144" s="74">
        <v>128</v>
      </c>
      <c r="B144" s="74">
        <v>131</v>
      </c>
      <c r="C144" s="74">
        <v>20077018317</v>
      </c>
      <c r="D144" s="74" t="s">
        <v>552</v>
      </c>
      <c r="E144" s="74"/>
      <c r="F144" s="75">
        <v>21955124</v>
      </c>
      <c r="G144" s="74" t="s">
        <v>234</v>
      </c>
      <c r="H144" s="74">
        <v>44</v>
      </c>
      <c r="I144" s="75" t="s">
        <v>379</v>
      </c>
      <c r="J144" s="75" t="s">
        <v>269</v>
      </c>
      <c r="K144" s="75" t="s">
        <v>276</v>
      </c>
      <c r="L144" s="75" t="s">
        <v>228</v>
      </c>
      <c r="M144" s="75" t="s">
        <v>553</v>
      </c>
      <c r="N144" s="76">
        <v>39083</v>
      </c>
      <c r="O144" s="74" t="s">
        <v>552</v>
      </c>
      <c r="P144" s="127" t="str">
        <f t="shared" si="2"/>
        <v>Dip, KCSE, KCPE, 1, Certificates</v>
      </c>
      <c r="Q144" s="75"/>
      <c r="R144" s="74"/>
      <c r="S144" s="74"/>
      <c r="T144" t="s">
        <v>857</v>
      </c>
      <c r="U144" t="s">
        <v>858</v>
      </c>
      <c r="V144" s="75" t="s">
        <v>690</v>
      </c>
      <c r="W144" s="75" t="s">
        <v>691</v>
      </c>
      <c r="X144" s="75"/>
      <c r="Y144" s="75" t="s">
        <v>240</v>
      </c>
      <c r="Z144" s="77" t="s">
        <v>246</v>
      </c>
    </row>
    <row r="145" spans="1:26">
      <c r="A145" s="74">
        <v>129</v>
      </c>
      <c r="B145" s="74">
        <v>132</v>
      </c>
      <c r="C145" s="74">
        <v>20178600948</v>
      </c>
      <c r="D145" s="74" t="s">
        <v>554</v>
      </c>
      <c r="E145" s="74"/>
      <c r="F145" s="75">
        <v>20793936</v>
      </c>
      <c r="G145" s="74" t="s">
        <v>234</v>
      </c>
      <c r="H145" s="74">
        <v>47</v>
      </c>
      <c r="I145" s="75" t="s">
        <v>555</v>
      </c>
      <c r="J145" s="75" t="s">
        <v>269</v>
      </c>
      <c r="K145" s="75" t="s">
        <v>276</v>
      </c>
      <c r="L145" s="75" t="s">
        <v>228</v>
      </c>
      <c r="M145" s="75" t="s">
        <v>326</v>
      </c>
      <c r="N145" s="76">
        <v>42742</v>
      </c>
      <c r="O145" s="74" t="s">
        <v>554</v>
      </c>
      <c r="P145" s="127" t="str">
        <f t="shared" si="2"/>
        <v>Dip, KCSE, KCPE</v>
      </c>
      <c r="Q145" s="75"/>
      <c r="R145" s="74"/>
      <c r="S145" s="74"/>
      <c r="T145" t="s">
        <v>859</v>
      </c>
      <c r="U145" s="75"/>
      <c r="V145" s="75" t="s">
        <v>690</v>
      </c>
      <c r="W145" s="75" t="s">
        <v>691</v>
      </c>
      <c r="X145" s="75"/>
      <c r="Y145" s="75" t="s">
        <v>231</v>
      </c>
      <c r="Z145" s="77" t="s">
        <v>257</v>
      </c>
    </row>
    <row r="146" spans="1:26" ht="18.75" customHeight="1">
      <c r="A146" s="74">
        <v>130</v>
      </c>
      <c r="B146" s="74">
        <v>133</v>
      </c>
      <c r="C146" s="74">
        <v>20250089153</v>
      </c>
      <c r="D146" s="87" t="s">
        <v>556</v>
      </c>
      <c r="E146" s="87"/>
      <c r="F146" s="88">
        <v>32003696</v>
      </c>
      <c r="G146" s="74" t="s">
        <v>224</v>
      </c>
      <c r="H146" s="74"/>
      <c r="I146" s="88" t="s">
        <v>557</v>
      </c>
      <c r="J146" s="88" t="s">
        <v>269</v>
      </c>
      <c r="K146" s="75" t="s">
        <v>276</v>
      </c>
      <c r="L146" s="75" t="s">
        <v>228</v>
      </c>
      <c r="M146" s="76">
        <v>46756</v>
      </c>
      <c r="N146" s="76">
        <v>45661</v>
      </c>
      <c r="O146" s="87" t="s">
        <v>556</v>
      </c>
      <c r="P146" s="127" t="str">
        <f t="shared" si="2"/>
        <v>Dip, KCSE, KCPE</v>
      </c>
      <c r="Q146" s="75"/>
      <c r="R146" s="74"/>
      <c r="S146" s="74"/>
      <c r="T146" s="75" t="s">
        <v>860</v>
      </c>
      <c r="U146" s="75"/>
      <c r="V146" s="75" t="s">
        <v>690</v>
      </c>
      <c r="W146" s="75" t="s">
        <v>691</v>
      </c>
      <c r="X146" s="75"/>
      <c r="Y146" s="75" t="s">
        <v>231</v>
      </c>
      <c r="Z146" s="77" t="s">
        <v>241</v>
      </c>
    </row>
    <row r="147" spans="1:26">
      <c r="A147" s="74">
        <v>131</v>
      </c>
      <c r="B147" s="74">
        <v>134</v>
      </c>
      <c r="C147" s="74">
        <v>20121211099</v>
      </c>
      <c r="D147" s="74" t="s">
        <v>267</v>
      </c>
      <c r="E147" s="74"/>
      <c r="F147" s="75">
        <v>13783232</v>
      </c>
      <c r="G147" s="74" t="s">
        <v>224</v>
      </c>
      <c r="H147" s="74">
        <v>50</v>
      </c>
      <c r="I147" s="75" t="s">
        <v>268</v>
      </c>
      <c r="J147" s="75" t="s">
        <v>269</v>
      </c>
      <c r="K147" s="75" t="s">
        <v>270</v>
      </c>
      <c r="L147" s="75" t="s">
        <v>228</v>
      </c>
      <c r="M147" s="75" t="s">
        <v>271</v>
      </c>
      <c r="N147" s="76">
        <v>40913</v>
      </c>
      <c r="O147" s="74" t="s">
        <v>267</v>
      </c>
      <c r="P147" s="127" t="str">
        <f t="shared" si="2"/>
        <v>KCSE, KCPE, 1, Certificates</v>
      </c>
      <c r="Q147" s="75"/>
      <c r="R147" s="74"/>
      <c r="S147" s="74"/>
      <c r="U147" t="s">
        <v>861</v>
      </c>
      <c r="V147" s="75" t="s">
        <v>690</v>
      </c>
      <c r="W147" s="75" t="s">
        <v>691</v>
      </c>
      <c r="X147" s="75"/>
      <c r="Y147" s="75" t="s">
        <v>240</v>
      </c>
      <c r="Z147" s="77" t="s">
        <v>273</v>
      </c>
    </row>
    <row r="148" spans="1:26">
      <c r="A148" s="74">
        <v>132</v>
      </c>
      <c r="B148" s="74">
        <v>135</v>
      </c>
      <c r="C148" s="74">
        <v>19930981023</v>
      </c>
      <c r="D148" s="74" t="s">
        <v>558</v>
      </c>
      <c r="E148" s="74"/>
      <c r="F148" s="75">
        <v>11357609</v>
      </c>
      <c r="G148" s="74" t="s">
        <v>224</v>
      </c>
      <c r="H148" s="74">
        <v>53</v>
      </c>
      <c r="I148" s="75" t="s">
        <v>351</v>
      </c>
      <c r="J148" s="75" t="s">
        <v>269</v>
      </c>
      <c r="K148" s="75" t="s">
        <v>287</v>
      </c>
      <c r="L148" s="75" t="s">
        <v>228</v>
      </c>
      <c r="M148" s="75" t="s">
        <v>559</v>
      </c>
      <c r="N148" s="76">
        <v>33976</v>
      </c>
      <c r="O148" s="74" t="s">
        <v>558</v>
      </c>
      <c r="P148" s="127" t="str">
        <f t="shared" si="2"/>
        <v>KCSE, KCPE</v>
      </c>
      <c r="Q148" s="75"/>
      <c r="R148" s="74"/>
      <c r="S148" s="74"/>
      <c r="T148" s="75"/>
      <c r="U148" s="75"/>
      <c r="V148" s="75" t="s">
        <v>690</v>
      </c>
      <c r="W148" s="75" t="s">
        <v>691</v>
      </c>
      <c r="X148" s="75"/>
      <c r="Y148" s="75" t="s">
        <v>240</v>
      </c>
      <c r="Z148" s="77" t="s">
        <v>232</v>
      </c>
    </row>
    <row r="149" spans="1:26">
      <c r="A149" s="74">
        <v>133</v>
      </c>
      <c r="B149" s="74">
        <v>136</v>
      </c>
      <c r="C149" s="74">
        <v>20089223978</v>
      </c>
      <c r="D149" s="74" t="s">
        <v>560</v>
      </c>
      <c r="E149" s="74"/>
      <c r="F149" s="75">
        <v>14740020</v>
      </c>
      <c r="G149" s="74" t="s">
        <v>224</v>
      </c>
      <c r="H149" s="74">
        <v>48</v>
      </c>
      <c r="I149" s="75" t="s">
        <v>447</v>
      </c>
      <c r="J149" s="75" t="s">
        <v>269</v>
      </c>
      <c r="K149" s="75" t="s">
        <v>287</v>
      </c>
      <c r="L149" s="75" t="s">
        <v>228</v>
      </c>
      <c r="M149" s="75" t="s">
        <v>561</v>
      </c>
      <c r="N149" s="76">
        <v>39450</v>
      </c>
      <c r="O149" s="74" t="s">
        <v>560</v>
      </c>
      <c r="P149" s="127" t="str">
        <f t="shared" si="2"/>
        <v>KCSE, KCPE, 1, Certificates</v>
      </c>
      <c r="Q149" s="75"/>
      <c r="R149" s="74"/>
      <c r="S149" s="74"/>
      <c r="T149" s="75"/>
      <c r="U149" t="s">
        <v>862</v>
      </c>
      <c r="V149" s="75" t="s">
        <v>690</v>
      </c>
      <c r="W149" s="75" t="s">
        <v>691</v>
      </c>
      <c r="X149" s="75"/>
      <c r="Y149" s="75" t="s">
        <v>240</v>
      </c>
      <c r="Z149" s="77" t="s">
        <v>232</v>
      </c>
    </row>
    <row r="150" spans="1:26">
      <c r="A150" s="74">
        <v>134</v>
      </c>
      <c r="B150" s="74">
        <v>137</v>
      </c>
      <c r="C150" s="74">
        <v>20240300905</v>
      </c>
      <c r="D150" s="74" t="s">
        <v>562</v>
      </c>
      <c r="E150" s="74"/>
      <c r="F150" s="75">
        <v>25394548</v>
      </c>
      <c r="G150" s="74" t="s">
        <v>234</v>
      </c>
      <c r="H150" s="74">
        <v>36</v>
      </c>
      <c r="I150" s="75" t="s">
        <v>353</v>
      </c>
      <c r="J150" s="75" t="s">
        <v>269</v>
      </c>
      <c r="K150" s="75" t="s">
        <v>287</v>
      </c>
      <c r="L150" s="75" t="s">
        <v>228</v>
      </c>
      <c r="M150" s="75" t="s">
        <v>563</v>
      </c>
      <c r="N150" s="76">
        <v>45301</v>
      </c>
      <c r="O150" s="74" t="s">
        <v>562</v>
      </c>
      <c r="P150" s="127" t="str">
        <f t="shared" si="2"/>
        <v>Bachelors, KCSE, KCPE</v>
      </c>
      <c r="Q150" s="75"/>
      <c r="R150" s="74"/>
      <c r="S150" s="74" t="s">
        <v>863</v>
      </c>
      <c r="T150" s="75"/>
      <c r="U150" s="75"/>
      <c r="V150" s="75" t="s">
        <v>690</v>
      </c>
      <c r="W150" s="75" t="s">
        <v>691</v>
      </c>
      <c r="X150" s="75"/>
      <c r="Y150" s="75" t="s">
        <v>355</v>
      </c>
      <c r="Z150" s="77" t="s">
        <v>257</v>
      </c>
    </row>
    <row r="151" spans="1:26">
      <c r="A151" s="74">
        <v>135</v>
      </c>
      <c r="B151" s="74">
        <v>138</v>
      </c>
      <c r="C151" s="74">
        <v>20240300947</v>
      </c>
      <c r="D151" s="74" t="s">
        <v>564</v>
      </c>
      <c r="E151" s="74"/>
      <c r="F151" s="75">
        <v>37098477</v>
      </c>
      <c r="G151" s="74" t="s">
        <v>234</v>
      </c>
      <c r="H151" s="74">
        <v>25</v>
      </c>
      <c r="I151" s="75" t="s">
        <v>353</v>
      </c>
      <c r="J151" s="75" t="s">
        <v>269</v>
      </c>
      <c r="K151" s="75" t="s">
        <v>287</v>
      </c>
      <c r="L151" s="75" t="s">
        <v>228</v>
      </c>
      <c r="M151" s="75" t="s">
        <v>565</v>
      </c>
      <c r="N151" s="76">
        <v>45299</v>
      </c>
      <c r="O151" s="74" t="s">
        <v>564</v>
      </c>
      <c r="P151" s="127" t="str">
        <f t="shared" si="2"/>
        <v>Bachelors, KCSE, KCPE</v>
      </c>
      <c r="Q151" s="75"/>
      <c r="R151" s="74"/>
      <c r="S151" s="74" t="s">
        <v>864</v>
      </c>
      <c r="T151" s="75"/>
      <c r="U151" s="75"/>
      <c r="V151" s="75" t="s">
        <v>690</v>
      </c>
      <c r="W151" s="75" t="s">
        <v>691</v>
      </c>
      <c r="X151" s="75"/>
      <c r="Y151" s="75" t="s">
        <v>355</v>
      </c>
      <c r="Z151" s="77" t="s">
        <v>251</v>
      </c>
    </row>
    <row r="152" spans="1:26" s="105" customFormat="1" ht="15.6">
      <c r="A152" s="102"/>
      <c r="B152" s="102"/>
      <c r="C152" s="60"/>
      <c r="D152" s="102"/>
      <c r="E152" s="102"/>
      <c r="F152" s="97" t="s">
        <v>572</v>
      </c>
      <c r="G152" s="102"/>
      <c r="H152" s="102"/>
      <c r="I152" s="103"/>
      <c r="J152" s="103"/>
      <c r="K152" s="103"/>
      <c r="L152" s="103"/>
      <c r="M152" s="103"/>
      <c r="N152" s="103"/>
      <c r="O152" s="102"/>
      <c r="P152" s="127" t="str">
        <f t="shared" si="2"/>
        <v/>
      </c>
      <c r="Q152" s="103"/>
      <c r="R152" s="102"/>
      <c r="S152" s="102"/>
      <c r="T152" s="103"/>
      <c r="U152" s="103"/>
      <c r="V152" s="103"/>
      <c r="W152" s="103"/>
      <c r="X152" s="103"/>
      <c r="Y152" s="104"/>
      <c r="Z152" s="104"/>
    </row>
    <row r="153" spans="1:26">
      <c r="A153" s="74">
        <v>136</v>
      </c>
      <c r="B153" s="74">
        <v>139</v>
      </c>
      <c r="C153" s="74">
        <v>20106534561</v>
      </c>
      <c r="D153" s="74" t="s">
        <v>573</v>
      </c>
      <c r="E153" s="74"/>
      <c r="F153" s="75">
        <v>14450937</v>
      </c>
      <c r="G153" s="74" t="s">
        <v>224</v>
      </c>
      <c r="H153" s="74">
        <v>49</v>
      </c>
      <c r="I153" s="75" t="s">
        <v>574</v>
      </c>
      <c r="J153" s="75" t="s">
        <v>226</v>
      </c>
      <c r="K153" s="75" t="s">
        <v>575</v>
      </c>
      <c r="L153" s="75" t="s">
        <v>228</v>
      </c>
      <c r="M153" s="75" t="s">
        <v>576</v>
      </c>
      <c r="N153" s="76">
        <v>40182</v>
      </c>
      <c r="O153" s="74" t="s">
        <v>573</v>
      </c>
      <c r="P153" s="127" t="str">
        <f t="shared" si="2"/>
        <v>PhD, MSc, Bachelors, KCSE, KCPE, SLDP</v>
      </c>
      <c r="Q153" s="77" t="s">
        <v>865</v>
      </c>
      <c r="R153" s="77" t="s">
        <v>866</v>
      </c>
      <c r="S153" t="s">
        <v>867</v>
      </c>
      <c r="U153"/>
      <c r="V153" s="75" t="s">
        <v>690</v>
      </c>
      <c r="W153" s="75" t="s">
        <v>691</v>
      </c>
      <c r="X153" s="75" t="s">
        <v>868</v>
      </c>
      <c r="Y153" s="75" t="s">
        <v>231</v>
      </c>
      <c r="Z153" s="77" t="s">
        <v>251</v>
      </c>
    </row>
    <row r="154" spans="1:26">
      <c r="A154" s="74">
        <v>137</v>
      </c>
      <c r="B154" s="74">
        <v>140</v>
      </c>
      <c r="C154" s="74">
        <v>19871318369</v>
      </c>
      <c r="D154" s="74" t="s">
        <v>577</v>
      </c>
      <c r="E154" s="74"/>
      <c r="F154" s="75">
        <v>3988162</v>
      </c>
      <c r="G154" s="74" t="s">
        <v>224</v>
      </c>
      <c r="H154" s="74">
        <v>65</v>
      </c>
      <c r="I154" s="75" t="s">
        <v>373</v>
      </c>
      <c r="J154" s="75" t="s">
        <v>226</v>
      </c>
      <c r="K154" s="75" t="s">
        <v>296</v>
      </c>
      <c r="L154" s="75" t="s">
        <v>228</v>
      </c>
      <c r="M154" s="75" t="s">
        <v>578</v>
      </c>
      <c r="N154" s="76">
        <v>31789</v>
      </c>
      <c r="O154" s="74" t="s">
        <v>577</v>
      </c>
      <c r="P154" s="127" t="str">
        <f t="shared" si="2"/>
        <v>PhD, MSc, Bachelors, Dip, KCSE, KCPE, 1, Certificates</v>
      </c>
      <c r="Q154" s="77" t="s">
        <v>869</v>
      </c>
      <c r="R154" s="89" t="s">
        <v>870</v>
      </c>
      <c r="S154" s="106" t="s">
        <v>867</v>
      </c>
      <c r="T154" t="s">
        <v>871</v>
      </c>
      <c r="U154" t="s">
        <v>872</v>
      </c>
      <c r="V154" s="75" t="s">
        <v>690</v>
      </c>
      <c r="W154" s="75" t="s">
        <v>691</v>
      </c>
      <c r="X154" s="75"/>
      <c r="Y154" s="75" t="s">
        <v>240</v>
      </c>
      <c r="Z154" s="77" t="s">
        <v>257</v>
      </c>
    </row>
    <row r="155" spans="1:26">
      <c r="A155" s="74">
        <v>138</v>
      </c>
      <c r="B155" s="74">
        <v>141</v>
      </c>
      <c r="C155" s="74">
        <v>20060933865</v>
      </c>
      <c r="D155" s="74" t="s">
        <v>579</v>
      </c>
      <c r="E155" s="74"/>
      <c r="F155" s="75">
        <v>9759334</v>
      </c>
      <c r="G155" s="74" t="s">
        <v>234</v>
      </c>
      <c r="H155" s="74">
        <v>57</v>
      </c>
      <c r="I155" s="75" t="s">
        <v>373</v>
      </c>
      <c r="J155" s="75" t="s">
        <v>226</v>
      </c>
      <c r="K155" s="75" t="s">
        <v>296</v>
      </c>
      <c r="L155" s="75" t="s">
        <v>228</v>
      </c>
      <c r="M155" s="75" t="s">
        <v>580</v>
      </c>
      <c r="N155" s="76">
        <v>38725</v>
      </c>
      <c r="O155" s="74" t="s">
        <v>579</v>
      </c>
      <c r="P155" s="127" t="str">
        <f t="shared" si="2"/>
        <v>PhD, MSc, Bachelors</v>
      </c>
      <c r="Q155" s="77" t="s">
        <v>873</v>
      </c>
      <c r="R155" s="77" t="s">
        <v>874</v>
      </c>
      <c r="S155" t="s">
        <v>875</v>
      </c>
      <c r="T155" s="75"/>
      <c r="U155" s="75"/>
      <c r="V155" s="75"/>
      <c r="W155" s="75"/>
      <c r="X155" s="75"/>
      <c r="Y155" s="75" t="s">
        <v>231</v>
      </c>
      <c r="Z155" s="77" t="s">
        <v>257</v>
      </c>
    </row>
    <row r="156" spans="1:26" s="72" customFormat="1">
      <c r="A156" s="68">
        <v>140</v>
      </c>
      <c r="B156" s="68">
        <v>142</v>
      </c>
      <c r="C156" s="68">
        <v>20178600794</v>
      </c>
      <c r="D156" s="68" t="s">
        <v>581</v>
      </c>
      <c r="E156" s="68"/>
      <c r="F156" s="69">
        <v>2376027</v>
      </c>
      <c r="G156" s="68" t="s">
        <v>234</v>
      </c>
      <c r="H156" s="68">
        <v>40</v>
      </c>
      <c r="I156" s="69" t="s">
        <v>300</v>
      </c>
      <c r="J156" s="69" t="s">
        <v>226</v>
      </c>
      <c r="K156" s="69" t="s">
        <v>301</v>
      </c>
      <c r="L156" s="69" t="s">
        <v>228</v>
      </c>
      <c r="M156" s="69" t="s">
        <v>582</v>
      </c>
      <c r="N156" s="70">
        <v>42837</v>
      </c>
      <c r="O156" s="68" t="s">
        <v>581</v>
      </c>
      <c r="P156" s="127" t="str">
        <f t="shared" si="2"/>
        <v>PhD, MSc, Bachelors, KCSE, KCPE</v>
      </c>
      <c r="Q156" s="71" t="s">
        <v>869</v>
      </c>
      <c r="R156" s="71" t="s">
        <v>876</v>
      </c>
      <c r="S156" s="72" t="s">
        <v>877</v>
      </c>
      <c r="T156" s="69"/>
      <c r="U156" s="69"/>
      <c r="V156" s="69" t="s">
        <v>690</v>
      </c>
      <c r="W156" s="69" t="s">
        <v>691</v>
      </c>
      <c r="X156" s="69"/>
      <c r="Y156" s="69" t="s">
        <v>240</v>
      </c>
      <c r="Z156" s="71" t="s">
        <v>410</v>
      </c>
    </row>
    <row r="157" spans="1:26">
      <c r="A157" s="74">
        <v>141</v>
      </c>
      <c r="B157" s="74">
        <v>143</v>
      </c>
      <c r="C157" s="74">
        <v>20178601009</v>
      </c>
      <c r="D157" s="74" t="s">
        <v>583</v>
      </c>
      <c r="E157" s="74"/>
      <c r="F157" s="75">
        <v>24946509</v>
      </c>
      <c r="G157" s="74" t="s">
        <v>234</v>
      </c>
      <c r="H157" s="74">
        <v>40</v>
      </c>
      <c r="I157" s="75" t="s">
        <v>300</v>
      </c>
      <c r="J157" s="75" t="s">
        <v>226</v>
      </c>
      <c r="K157" s="75" t="s">
        <v>301</v>
      </c>
      <c r="L157" s="75" t="s">
        <v>228</v>
      </c>
      <c r="M157" s="75" t="s">
        <v>584</v>
      </c>
      <c r="N157" s="76">
        <v>42740</v>
      </c>
      <c r="O157" s="74" t="s">
        <v>583</v>
      </c>
      <c r="P157" s="127" t="str">
        <f t="shared" si="2"/>
        <v>PhD, MSc, Bachelors, KCSE, KCPE</v>
      </c>
      <c r="Q157" s="77" t="s">
        <v>878</v>
      </c>
      <c r="R157" s="77" t="s">
        <v>879</v>
      </c>
      <c r="S157" t="s">
        <v>880</v>
      </c>
      <c r="T157" s="75"/>
      <c r="U157" s="75"/>
      <c r="V157" s="75" t="s">
        <v>690</v>
      </c>
      <c r="W157" s="75" t="s">
        <v>691</v>
      </c>
      <c r="X157" s="75"/>
      <c r="Y157" s="75" t="s">
        <v>240</v>
      </c>
      <c r="Z157" s="77" t="s">
        <v>266</v>
      </c>
    </row>
    <row r="158" spans="1:26">
      <c r="A158" s="74">
        <v>142</v>
      </c>
      <c r="B158" s="74">
        <v>144</v>
      </c>
      <c r="C158" s="74">
        <v>20220599013</v>
      </c>
      <c r="D158" s="74" t="s">
        <v>585</v>
      </c>
      <c r="E158" s="74"/>
      <c r="F158" s="75">
        <v>27925378</v>
      </c>
      <c r="G158" s="74" t="s">
        <v>234</v>
      </c>
      <c r="H158" s="74">
        <v>37</v>
      </c>
      <c r="I158" s="75" t="s">
        <v>586</v>
      </c>
      <c r="J158" s="75" t="s">
        <v>226</v>
      </c>
      <c r="K158" s="75" t="s">
        <v>301</v>
      </c>
      <c r="L158" s="75" t="s">
        <v>228</v>
      </c>
      <c r="M158" s="75" t="s">
        <v>377</v>
      </c>
      <c r="N158" s="76">
        <v>44562</v>
      </c>
      <c r="O158" s="74" t="s">
        <v>585</v>
      </c>
      <c r="P158" s="127" t="str">
        <f t="shared" si="2"/>
        <v>MSc, Bachelors, KCSE, KCPE</v>
      </c>
      <c r="Q158" s="77" t="s">
        <v>881</v>
      </c>
      <c r="R158" s="74" t="s">
        <v>882</v>
      </c>
      <c r="S158" t="s">
        <v>883</v>
      </c>
      <c r="T158" s="75"/>
      <c r="U158" s="75"/>
      <c r="V158" s="75" t="s">
        <v>690</v>
      </c>
      <c r="W158" s="75" t="s">
        <v>691</v>
      </c>
      <c r="X158" s="75"/>
      <c r="Y158" s="75" t="s">
        <v>231</v>
      </c>
      <c r="Z158" s="77" t="s">
        <v>232</v>
      </c>
    </row>
    <row r="159" spans="1:26" s="92" customFormat="1">
      <c r="A159" s="89">
        <v>143</v>
      </c>
      <c r="B159" s="74">
        <v>145</v>
      </c>
      <c r="C159" s="89">
        <v>20060933695</v>
      </c>
      <c r="D159" s="89" t="s">
        <v>587</v>
      </c>
      <c r="E159" s="89"/>
      <c r="F159" s="86">
        <v>22153547</v>
      </c>
      <c r="G159" s="89" t="s">
        <v>224</v>
      </c>
      <c r="H159" s="89">
        <v>44</v>
      </c>
      <c r="I159" s="86" t="s">
        <v>473</v>
      </c>
      <c r="J159" s="86" t="s">
        <v>226</v>
      </c>
      <c r="K159" s="86" t="s">
        <v>237</v>
      </c>
      <c r="L159" s="86" t="s">
        <v>228</v>
      </c>
      <c r="M159" s="86" t="s">
        <v>588</v>
      </c>
      <c r="N159" s="90">
        <v>38758</v>
      </c>
      <c r="O159" s="89" t="s">
        <v>587</v>
      </c>
      <c r="P159" s="127" t="str">
        <f t="shared" si="2"/>
        <v/>
      </c>
      <c r="Q159" s="86"/>
      <c r="R159" s="89"/>
      <c r="S159" s="89"/>
      <c r="T159" s="86"/>
      <c r="U159" s="86"/>
      <c r="V159" s="86"/>
      <c r="W159" s="86"/>
      <c r="X159" s="86"/>
      <c r="Y159" s="86" t="s">
        <v>240</v>
      </c>
      <c r="Z159" s="91" t="s">
        <v>246</v>
      </c>
    </row>
    <row r="160" spans="1:26">
      <c r="A160" s="74">
        <v>144</v>
      </c>
      <c r="B160" s="74">
        <v>146</v>
      </c>
      <c r="C160" s="74">
        <v>20114215529</v>
      </c>
      <c r="D160" s="74" t="s">
        <v>589</v>
      </c>
      <c r="E160" s="74"/>
      <c r="F160" s="75">
        <v>23575227</v>
      </c>
      <c r="G160" s="74" t="s">
        <v>224</v>
      </c>
      <c r="H160" s="74">
        <v>41</v>
      </c>
      <c r="I160" s="75" t="s">
        <v>590</v>
      </c>
      <c r="J160" s="75" t="s">
        <v>226</v>
      </c>
      <c r="K160" s="75" t="s">
        <v>224</v>
      </c>
      <c r="L160" s="75" t="s">
        <v>228</v>
      </c>
      <c r="M160" s="75" t="s">
        <v>591</v>
      </c>
      <c r="N160" s="76">
        <v>40549</v>
      </c>
      <c r="O160" s="74" t="s">
        <v>589</v>
      </c>
      <c r="P160" s="127" t="str">
        <f t="shared" si="2"/>
        <v>MSc, Bachelors, KCSE, KCPE</v>
      </c>
      <c r="Q160" s="107"/>
      <c r="R160" s="78" t="s">
        <v>884</v>
      </c>
      <c r="S160" t="s">
        <v>885</v>
      </c>
      <c r="T160" s="75"/>
      <c r="U160" s="75"/>
      <c r="V160" s="75" t="s">
        <v>690</v>
      </c>
      <c r="W160" s="75" t="s">
        <v>691</v>
      </c>
      <c r="X160" s="75"/>
      <c r="Y160" s="75" t="s">
        <v>240</v>
      </c>
      <c r="Z160" s="77" t="s">
        <v>232</v>
      </c>
    </row>
    <row r="161" spans="1:26">
      <c r="A161" s="74">
        <v>145</v>
      </c>
      <c r="B161" s="74">
        <v>147</v>
      </c>
      <c r="C161" s="74">
        <v>20178600867</v>
      </c>
      <c r="D161" s="74" t="s">
        <v>592</v>
      </c>
      <c r="E161" s="74"/>
      <c r="F161" s="75">
        <v>10032595</v>
      </c>
      <c r="G161" s="74" t="s">
        <v>234</v>
      </c>
      <c r="H161" s="74">
        <v>37</v>
      </c>
      <c r="I161" s="75" t="s">
        <v>593</v>
      </c>
      <c r="J161" s="75" t="s">
        <v>226</v>
      </c>
      <c r="K161" s="75" t="s">
        <v>224</v>
      </c>
      <c r="L161" s="75" t="s">
        <v>886</v>
      </c>
      <c r="M161" s="75" t="s">
        <v>887</v>
      </c>
      <c r="N161" s="76">
        <v>43018</v>
      </c>
      <c r="O161" s="74" t="s">
        <v>592</v>
      </c>
      <c r="P161" s="127" t="str">
        <f t="shared" si="2"/>
        <v>MSc, Bachelors, Dip, KCSE, KCPE</v>
      </c>
      <c r="Q161" s="107"/>
      <c r="R161" s="78" t="s">
        <v>888</v>
      </c>
      <c r="S161" t="s">
        <v>885</v>
      </c>
      <c r="T161" t="s">
        <v>889</v>
      </c>
      <c r="U161" s="75"/>
      <c r="V161" s="75" t="s">
        <v>690</v>
      </c>
      <c r="W161" s="75" t="s">
        <v>691</v>
      </c>
      <c r="X161" s="75"/>
      <c r="Y161" s="75" t="s">
        <v>231</v>
      </c>
      <c r="Z161" s="77" t="s">
        <v>440</v>
      </c>
    </row>
    <row r="162" spans="1:26">
      <c r="A162" s="74">
        <v>146</v>
      </c>
      <c r="B162" s="74">
        <v>148</v>
      </c>
      <c r="C162" s="74">
        <v>20089223902</v>
      </c>
      <c r="D162" s="74" t="s">
        <v>594</v>
      </c>
      <c r="E162" s="74"/>
      <c r="F162" s="75">
        <v>22469470</v>
      </c>
      <c r="G162" s="74" t="s">
        <v>224</v>
      </c>
      <c r="H162" s="74">
        <v>42</v>
      </c>
      <c r="I162" s="75" t="s">
        <v>315</v>
      </c>
      <c r="J162" s="75" t="s">
        <v>226</v>
      </c>
      <c r="K162" s="75" t="s">
        <v>254</v>
      </c>
      <c r="L162" s="75" t="s">
        <v>228</v>
      </c>
      <c r="M162" s="75" t="s">
        <v>595</v>
      </c>
      <c r="N162" s="76">
        <v>39451</v>
      </c>
      <c r="O162" s="74" t="s">
        <v>594</v>
      </c>
      <c r="P162" s="127" t="str">
        <f t="shared" si="2"/>
        <v>PhD, MSc, Bachelors, KCSE, KCPE</v>
      </c>
      <c r="Q162" t="s">
        <v>890</v>
      </c>
      <c r="R162" s="77" t="s">
        <v>891</v>
      </c>
      <c r="S162" t="s">
        <v>892</v>
      </c>
      <c r="T162" s="75"/>
      <c r="U162" s="75"/>
      <c r="V162" s="75" t="s">
        <v>690</v>
      </c>
      <c r="W162" s="75" t="s">
        <v>691</v>
      </c>
      <c r="X162" s="75"/>
      <c r="Y162" s="75" t="s">
        <v>240</v>
      </c>
      <c r="Z162" s="77" t="s">
        <v>232</v>
      </c>
    </row>
    <row r="163" spans="1:26">
      <c r="A163" s="74">
        <v>147</v>
      </c>
      <c r="B163" s="74">
        <v>149</v>
      </c>
      <c r="C163" s="74">
        <v>20210645838</v>
      </c>
      <c r="D163" s="74" t="s">
        <v>596</v>
      </c>
      <c r="E163" s="74"/>
      <c r="F163" s="75">
        <v>32689152</v>
      </c>
      <c r="G163" s="74" t="s">
        <v>234</v>
      </c>
      <c r="H163" s="74">
        <v>30</v>
      </c>
      <c r="I163" s="75" t="s">
        <v>315</v>
      </c>
      <c r="J163" s="75" t="s">
        <v>226</v>
      </c>
      <c r="K163" s="75" t="s">
        <v>254</v>
      </c>
      <c r="L163" s="75" t="s">
        <v>228</v>
      </c>
      <c r="M163" s="75" t="s">
        <v>597</v>
      </c>
      <c r="N163" s="75" t="s">
        <v>893</v>
      </c>
      <c r="O163" s="74" t="s">
        <v>596</v>
      </c>
      <c r="P163" s="127" t="str">
        <f t="shared" si="2"/>
        <v>Bachelors, KCSE, KCPE</v>
      </c>
      <c r="Q163" s="75"/>
      <c r="R163" s="74"/>
      <c r="S163" t="s">
        <v>894</v>
      </c>
      <c r="T163" s="75"/>
      <c r="U163" s="75"/>
      <c r="V163" s="75" t="s">
        <v>690</v>
      </c>
      <c r="W163" s="75" t="s">
        <v>691</v>
      </c>
      <c r="X163" s="75"/>
      <c r="Y163" s="75" t="s">
        <v>231</v>
      </c>
      <c r="Z163" s="77" t="s">
        <v>257</v>
      </c>
    </row>
    <row r="164" spans="1:26">
      <c r="A164" s="74">
        <v>148</v>
      </c>
      <c r="B164" s="74">
        <v>150</v>
      </c>
      <c r="C164" s="74">
        <v>20210646020</v>
      </c>
      <c r="D164" s="74" t="s">
        <v>598</v>
      </c>
      <c r="E164" s="74"/>
      <c r="F164" s="75">
        <v>32747838</v>
      </c>
      <c r="G164" s="74" t="s">
        <v>234</v>
      </c>
      <c r="H164" s="74">
        <v>29</v>
      </c>
      <c r="I164" s="75" t="s">
        <v>315</v>
      </c>
      <c r="J164" s="75" t="s">
        <v>226</v>
      </c>
      <c r="K164" s="75" t="s">
        <v>254</v>
      </c>
      <c r="L164" s="75" t="s">
        <v>228</v>
      </c>
      <c r="M164" s="75" t="s">
        <v>599</v>
      </c>
      <c r="N164" s="75" t="s">
        <v>895</v>
      </c>
      <c r="O164" s="74" t="s">
        <v>598</v>
      </c>
      <c r="P164" s="127" t="str">
        <f t="shared" si="2"/>
        <v>Bachelors, KCSE, KCPE</v>
      </c>
      <c r="Q164" s="75"/>
      <c r="R164" s="74"/>
      <c r="S164" t="s">
        <v>789</v>
      </c>
      <c r="T164" s="75"/>
      <c r="U164" s="75"/>
      <c r="V164" s="75" t="s">
        <v>690</v>
      </c>
      <c r="W164" s="75" t="s">
        <v>691</v>
      </c>
      <c r="X164" s="75"/>
      <c r="Y164" s="75" t="s">
        <v>231</v>
      </c>
      <c r="Z164" s="77" t="s">
        <v>257</v>
      </c>
    </row>
    <row r="165" spans="1:26">
      <c r="A165" s="74">
        <v>149</v>
      </c>
      <c r="B165" s="74">
        <v>151</v>
      </c>
      <c r="C165" s="74">
        <v>20220598334</v>
      </c>
      <c r="D165" s="74" t="s">
        <v>600</v>
      </c>
      <c r="E165" s="74"/>
      <c r="F165" s="75">
        <v>29609713</v>
      </c>
      <c r="G165" s="74" t="s">
        <v>224</v>
      </c>
      <c r="H165" s="74">
        <v>32</v>
      </c>
      <c r="I165" s="75" t="s">
        <v>315</v>
      </c>
      <c r="J165" s="75" t="s">
        <v>226</v>
      </c>
      <c r="K165" s="75" t="s">
        <v>254</v>
      </c>
      <c r="L165" s="75" t="s">
        <v>228</v>
      </c>
      <c r="M165" s="75" t="s">
        <v>377</v>
      </c>
      <c r="N165" s="75" t="s">
        <v>776</v>
      </c>
      <c r="O165" s="74" t="s">
        <v>600</v>
      </c>
      <c r="P165" s="127" t="str">
        <f t="shared" si="2"/>
        <v>MSc, Bachelors, KCSE, KCPE</v>
      </c>
      <c r="Q165" s="75"/>
      <c r="R165" s="74" t="s">
        <v>896</v>
      </c>
      <c r="S165" s="95" t="s">
        <v>897</v>
      </c>
      <c r="T165" s="75"/>
      <c r="U165" s="75"/>
      <c r="V165" s="75" t="s">
        <v>690</v>
      </c>
      <c r="W165" s="75" t="s">
        <v>691</v>
      </c>
      <c r="X165" s="75"/>
      <c r="Y165" s="75" t="s">
        <v>231</v>
      </c>
      <c r="Z165" s="77" t="s">
        <v>232</v>
      </c>
    </row>
    <row r="166" spans="1:26" ht="12.75" customHeight="1">
      <c r="A166" s="74">
        <v>150</v>
      </c>
      <c r="B166" s="74">
        <v>152</v>
      </c>
      <c r="C166" s="77">
        <v>20250067363</v>
      </c>
      <c r="D166" s="87" t="s">
        <v>601</v>
      </c>
      <c r="E166" s="87"/>
      <c r="F166" s="88">
        <v>33506213</v>
      </c>
      <c r="G166" s="74" t="s">
        <v>224</v>
      </c>
      <c r="H166" s="74"/>
      <c r="I166" s="88" t="s">
        <v>602</v>
      </c>
      <c r="J166" s="88" t="s">
        <v>226</v>
      </c>
      <c r="K166" s="75" t="s">
        <v>254</v>
      </c>
      <c r="L166" s="75" t="s">
        <v>228</v>
      </c>
      <c r="M166" s="76">
        <v>46756</v>
      </c>
      <c r="N166" s="76">
        <v>45661</v>
      </c>
      <c r="O166" s="87" t="s">
        <v>601</v>
      </c>
      <c r="P166" s="127" t="str">
        <f t="shared" si="2"/>
        <v>Bachelors, KCSE, KCPE</v>
      </c>
      <c r="Q166" s="75"/>
      <c r="R166" s="74"/>
      <c r="S166" s="74" t="s">
        <v>789</v>
      </c>
      <c r="T166" s="75"/>
      <c r="U166" s="75"/>
      <c r="V166" s="75" t="s">
        <v>690</v>
      </c>
      <c r="W166" s="75" t="s">
        <v>691</v>
      </c>
      <c r="X166" s="75"/>
      <c r="Y166" s="75" t="s">
        <v>231</v>
      </c>
      <c r="Z166" s="77" t="s">
        <v>241</v>
      </c>
    </row>
    <row r="167" spans="1:26" ht="15" customHeight="1">
      <c r="A167" s="74">
        <v>151</v>
      </c>
      <c r="B167" s="74">
        <v>153</v>
      </c>
      <c r="C167" s="77">
        <v>20250067371</v>
      </c>
      <c r="D167" s="87" t="s">
        <v>603</v>
      </c>
      <c r="E167" s="87"/>
      <c r="F167" s="96">
        <v>35919539</v>
      </c>
      <c r="G167" s="74" t="s">
        <v>224</v>
      </c>
      <c r="H167" s="74"/>
      <c r="I167" s="88" t="s">
        <v>602</v>
      </c>
      <c r="J167" s="88" t="s">
        <v>226</v>
      </c>
      <c r="K167" s="75" t="s">
        <v>254</v>
      </c>
      <c r="L167" s="75" t="s">
        <v>228</v>
      </c>
      <c r="M167" s="76">
        <v>46757</v>
      </c>
      <c r="N167" s="76">
        <v>45693</v>
      </c>
      <c r="O167" s="87" t="s">
        <v>603</v>
      </c>
      <c r="P167" s="127" t="str">
        <f t="shared" si="2"/>
        <v>Bachelors, KCSE, KCPE</v>
      </c>
      <c r="Q167" s="75"/>
      <c r="R167" s="74"/>
      <c r="S167" s="74" t="s">
        <v>898</v>
      </c>
      <c r="T167" s="75"/>
      <c r="U167" s="75"/>
      <c r="V167" s="75" t="s">
        <v>690</v>
      </c>
      <c r="W167" s="75" t="s">
        <v>691</v>
      </c>
      <c r="X167" s="75"/>
      <c r="Y167" s="75" t="s">
        <v>231</v>
      </c>
      <c r="Z167" s="77" t="s">
        <v>298</v>
      </c>
    </row>
    <row r="168" spans="1:26">
      <c r="A168" s="74">
        <v>152</v>
      </c>
      <c r="B168" s="74">
        <v>154</v>
      </c>
      <c r="C168" s="74">
        <v>19861368435</v>
      </c>
      <c r="D168" s="74" t="s">
        <v>899</v>
      </c>
      <c r="E168" s="74"/>
      <c r="F168" s="75">
        <v>4023126</v>
      </c>
      <c r="G168" s="74" t="s">
        <v>224</v>
      </c>
      <c r="H168" s="74">
        <v>59</v>
      </c>
      <c r="I168" s="75" t="s">
        <v>605</v>
      </c>
      <c r="J168" s="75" t="s">
        <v>226</v>
      </c>
      <c r="K168" s="75" t="s">
        <v>263</v>
      </c>
      <c r="L168" s="75" t="s">
        <v>228</v>
      </c>
      <c r="M168" s="75" t="s">
        <v>900</v>
      </c>
      <c r="N168" s="76">
        <v>31473</v>
      </c>
      <c r="O168" s="74" t="s">
        <v>899</v>
      </c>
      <c r="P168" s="127" t="str">
        <f t="shared" si="2"/>
        <v>Dip, KCSE, KCPE</v>
      </c>
      <c r="Q168" s="75"/>
      <c r="R168" s="74"/>
      <c r="S168" s="74"/>
      <c r="T168" t="s">
        <v>901</v>
      </c>
      <c r="U168" s="75"/>
      <c r="V168" s="75" t="s">
        <v>690</v>
      </c>
      <c r="W168" s="75" t="s">
        <v>691</v>
      </c>
      <c r="X168" s="75"/>
      <c r="Y168" s="75" t="s">
        <v>240</v>
      </c>
      <c r="Z168" s="77" t="s">
        <v>257</v>
      </c>
    </row>
    <row r="169" spans="1:26">
      <c r="A169" s="74">
        <v>153</v>
      </c>
      <c r="B169" s="74">
        <v>155</v>
      </c>
      <c r="C169" s="74">
        <v>19911126965</v>
      </c>
      <c r="D169" s="74" t="s">
        <v>604</v>
      </c>
      <c r="E169" s="74"/>
      <c r="F169" s="75">
        <v>8341746</v>
      </c>
      <c r="G169" s="74" t="s">
        <v>234</v>
      </c>
      <c r="H169" s="74">
        <v>58</v>
      </c>
      <c r="I169" s="75" t="s">
        <v>605</v>
      </c>
      <c r="J169" s="75" t="s">
        <v>226</v>
      </c>
      <c r="K169" s="75" t="s">
        <v>263</v>
      </c>
      <c r="L169" s="75" t="s">
        <v>228</v>
      </c>
      <c r="M169" s="75" t="s">
        <v>606</v>
      </c>
      <c r="N169" s="76">
        <v>33240</v>
      </c>
      <c r="O169" s="74" t="s">
        <v>604</v>
      </c>
      <c r="P169" s="127" t="str">
        <f t="shared" si="2"/>
        <v>Dip, KCSE, KCPE, 1, Certificates</v>
      </c>
      <c r="Q169" s="75"/>
      <c r="R169" s="74"/>
      <c r="S169" s="74"/>
      <c r="T169" t="s">
        <v>901</v>
      </c>
      <c r="U169" t="s">
        <v>902</v>
      </c>
      <c r="V169" s="75" t="s">
        <v>690</v>
      </c>
      <c r="W169" s="75" t="s">
        <v>691</v>
      </c>
      <c r="X169" s="75"/>
      <c r="Y169" s="75" t="s">
        <v>240</v>
      </c>
      <c r="Z169" s="77" t="s">
        <v>241</v>
      </c>
    </row>
    <row r="170" spans="1:26">
      <c r="A170" s="74">
        <v>154</v>
      </c>
      <c r="B170" s="74">
        <v>156</v>
      </c>
      <c r="C170" s="74">
        <v>19901899011</v>
      </c>
      <c r="D170" s="74" t="s">
        <v>607</v>
      </c>
      <c r="E170" s="74"/>
      <c r="F170" s="75">
        <v>7304854</v>
      </c>
      <c r="G170" s="74" t="s">
        <v>234</v>
      </c>
      <c r="H170" s="74">
        <v>58</v>
      </c>
      <c r="I170" s="75" t="s">
        <v>521</v>
      </c>
      <c r="J170" s="75" t="s">
        <v>226</v>
      </c>
      <c r="K170" s="75" t="s">
        <v>276</v>
      </c>
      <c r="L170" s="75" t="s">
        <v>228</v>
      </c>
      <c r="M170" s="75" t="s">
        <v>608</v>
      </c>
      <c r="N170" s="76">
        <v>32882</v>
      </c>
      <c r="O170" s="74" t="s">
        <v>607</v>
      </c>
      <c r="P170" s="127" t="str">
        <f t="shared" si="2"/>
        <v>KCSE, KCPE, 1, Certificates</v>
      </c>
      <c r="Q170" s="75"/>
      <c r="R170" s="74"/>
      <c r="S170" s="74"/>
      <c r="T170" s="75"/>
      <c r="U170" t="s">
        <v>903</v>
      </c>
      <c r="V170" s="75" t="s">
        <v>690</v>
      </c>
      <c r="W170" s="75" t="s">
        <v>691</v>
      </c>
      <c r="X170" s="75"/>
      <c r="Y170" s="75" t="s">
        <v>240</v>
      </c>
      <c r="Z170" s="77" t="s">
        <v>251</v>
      </c>
    </row>
    <row r="171" spans="1:26">
      <c r="A171" s="74">
        <v>155</v>
      </c>
      <c r="B171" s="74">
        <v>157</v>
      </c>
      <c r="C171" s="74">
        <v>20210645927</v>
      </c>
      <c r="D171" s="74" t="s">
        <v>609</v>
      </c>
      <c r="E171" s="74"/>
      <c r="F171" s="75">
        <v>31141408</v>
      </c>
      <c r="G171" s="74" t="s">
        <v>234</v>
      </c>
      <c r="H171" s="74">
        <v>30</v>
      </c>
      <c r="I171" s="75" t="s">
        <v>353</v>
      </c>
      <c r="J171" s="75" t="s">
        <v>226</v>
      </c>
      <c r="K171" s="75" t="s">
        <v>287</v>
      </c>
      <c r="L171" s="75" t="s">
        <v>228</v>
      </c>
      <c r="M171" s="75" t="s">
        <v>610</v>
      </c>
      <c r="N171" s="76">
        <v>44386</v>
      </c>
      <c r="O171" s="74" t="s">
        <v>609</v>
      </c>
      <c r="P171" s="127" t="str">
        <f t="shared" si="2"/>
        <v>Bachelors, KCSE, KCPE</v>
      </c>
      <c r="Q171" s="75"/>
      <c r="R171" s="74"/>
      <c r="S171" t="s">
        <v>904</v>
      </c>
      <c r="T171" s="75"/>
      <c r="U171" s="75"/>
      <c r="V171" s="75" t="s">
        <v>690</v>
      </c>
      <c r="W171" s="75" t="s">
        <v>691</v>
      </c>
      <c r="X171" s="75"/>
      <c r="Y171" s="75" t="s">
        <v>355</v>
      </c>
      <c r="Z171" s="77" t="s">
        <v>611</v>
      </c>
    </row>
    <row r="172" spans="1:26">
      <c r="A172" s="74">
        <v>156</v>
      </c>
      <c r="B172" s="74">
        <v>158</v>
      </c>
      <c r="C172" s="74">
        <v>20250011956</v>
      </c>
      <c r="D172" s="74" t="s">
        <v>612</v>
      </c>
      <c r="E172" s="74"/>
      <c r="F172" s="75">
        <v>36066208</v>
      </c>
      <c r="G172" s="74" t="s">
        <v>224</v>
      </c>
      <c r="H172" s="74">
        <v>26</v>
      </c>
      <c r="I172" s="75" t="s">
        <v>353</v>
      </c>
      <c r="J172" s="75" t="s">
        <v>226</v>
      </c>
      <c r="K172" s="75" t="s">
        <v>287</v>
      </c>
      <c r="L172" s="75" t="s">
        <v>228</v>
      </c>
      <c r="M172" s="75" t="s">
        <v>354</v>
      </c>
      <c r="N172" s="76">
        <v>45659</v>
      </c>
      <c r="O172" s="74" t="s">
        <v>612</v>
      </c>
      <c r="P172" s="127" t="str">
        <f t="shared" si="2"/>
        <v>Bachelors, KCSE, KCPE</v>
      </c>
      <c r="Q172" s="75"/>
      <c r="R172" s="74"/>
      <c r="S172" s="74" t="s">
        <v>904</v>
      </c>
      <c r="T172" s="75"/>
      <c r="U172" s="75"/>
      <c r="V172" s="75" t="s">
        <v>690</v>
      </c>
      <c r="W172" s="75" t="s">
        <v>691</v>
      </c>
      <c r="X172" s="75"/>
      <c r="Y172" s="75" t="s">
        <v>355</v>
      </c>
      <c r="Z172" s="77" t="s">
        <v>241</v>
      </c>
    </row>
    <row r="173" spans="1:26" ht="14.25" customHeight="1">
      <c r="A173" s="74">
        <v>157</v>
      </c>
      <c r="B173" s="74">
        <v>159</v>
      </c>
      <c r="C173" s="77">
        <v>20250067305</v>
      </c>
      <c r="D173" s="87" t="s">
        <v>613</v>
      </c>
      <c r="E173" s="87"/>
      <c r="F173" s="88">
        <v>25566424</v>
      </c>
      <c r="G173" s="74" t="s">
        <v>234</v>
      </c>
      <c r="H173" s="74"/>
      <c r="I173" s="88" t="s">
        <v>614</v>
      </c>
      <c r="J173" s="88" t="s">
        <v>226</v>
      </c>
      <c r="K173" s="75" t="s">
        <v>287</v>
      </c>
      <c r="L173" s="75" t="s">
        <v>228</v>
      </c>
      <c r="M173" s="76">
        <v>46026</v>
      </c>
      <c r="N173" s="76">
        <v>45661</v>
      </c>
      <c r="O173" s="87" t="s">
        <v>613</v>
      </c>
      <c r="P173" s="127" t="str">
        <f t="shared" si="2"/>
        <v>MSc, Bachelors, KCSE, KCPE</v>
      </c>
      <c r="Q173" t="s">
        <v>905</v>
      </c>
      <c r="R173" s="74" t="s">
        <v>906</v>
      </c>
      <c r="S173" s="74" t="s">
        <v>904</v>
      </c>
      <c r="T173" s="75"/>
      <c r="U173" s="75"/>
      <c r="V173" s="75" t="s">
        <v>690</v>
      </c>
      <c r="W173" s="75" t="s">
        <v>691</v>
      </c>
      <c r="X173" s="75"/>
      <c r="Y173" s="75" t="s">
        <v>355</v>
      </c>
      <c r="Z173" s="77" t="s">
        <v>232</v>
      </c>
    </row>
    <row r="174" spans="1:26" s="67" customFormat="1" ht="15.6">
      <c r="A174" s="60"/>
      <c r="B174" s="60"/>
      <c r="C174" s="60"/>
      <c r="D174" s="108"/>
      <c r="E174" s="108"/>
      <c r="F174" s="109" t="s">
        <v>615</v>
      </c>
      <c r="G174" s="60"/>
      <c r="H174" s="60"/>
      <c r="I174" s="110"/>
      <c r="J174" s="110"/>
      <c r="K174" s="79"/>
      <c r="L174" s="79"/>
      <c r="M174" s="111"/>
      <c r="N174" s="111"/>
      <c r="O174" s="108"/>
      <c r="P174" s="127" t="str">
        <f t="shared" si="2"/>
        <v/>
      </c>
      <c r="Q174" s="79"/>
      <c r="R174" s="60"/>
      <c r="S174" s="60"/>
      <c r="T174" s="79"/>
      <c r="U174" s="79"/>
      <c r="V174" s="79"/>
      <c r="W174" s="79"/>
      <c r="X174" s="79"/>
      <c r="Y174" s="66"/>
      <c r="Z174" s="66"/>
    </row>
    <row r="175" spans="1:26">
      <c r="A175" s="74">
        <v>158</v>
      </c>
      <c r="B175" s="74">
        <v>160</v>
      </c>
      <c r="C175" s="74">
        <v>20095593179</v>
      </c>
      <c r="D175" s="74" t="s">
        <v>616</v>
      </c>
      <c r="E175" s="74"/>
      <c r="F175" s="75">
        <v>9124859</v>
      </c>
      <c r="G175" s="74" t="s">
        <v>224</v>
      </c>
      <c r="H175" s="74">
        <v>58</v>
      </c>
      <c r="I175" s="75" t="s">
        <v>617</v>
      </c>
      <c r="J175" s="75" t="s">
        <v>618</v>
      </c>
      <c r="K175" s="75" t="s">
        <v>254</v>
      </c>
      <c r="L175" s="75" t="s">
        <v>228</v>
      </c>
      <c r="M175" s="75" t="s">
        <v>619</v>
      </c>
      <c r="N175" s="76">
        <v>39821</v>
      </c>
      <c r="O175" s="74" t="s">
        <v>616</v>
      </c>
      <c r="P175" s="127" t="str">
        <f t="shared" si="2"/>
        <v>Dip, KCSE, KCPE</v>
      </c>
      <c r="Q175" s="75"/>
      <c r="R175" s="74"/>
      <c r="S175" s="74" t="s">
        <v>907</v>
      </c>
      <c r="T175" t="s">
        <v>908</v>
      </c>
      <c r="U175" s="75"/>
      <c r="V175" s="75" t="s">
        <v>690</v>
      </c>
      <c r="W175" s="75" t="s">
        <v>691</v>
      </c>
      <c r="X175" s="75"/>
      <c r="Y175" s="75" t="s">
        <v>240</v>
      </c>
      <c r="Z175" s="77" t="s">
        <v>232</v>
      </c>
    </row>
    <row r="176" spans="1:26">
      <c r="A176" s="74">
        <v>159</v>
      </c>
      <c r="B176" s="74">
        <v>161</v>
      </c>
      <c r="C176" s="74">
        <v>20106534197</v>
      </c>
      <c r="D176" s="74" t="s">
        <v>620</v>
      </c>
      <c r="E176" s="74"/>
      <c r="F176" s="75">
        <v>22266918</v>
      </c>
      <c r="G176" s="74" t="s">
        <v>224</v>
      </c>
      <c r="H176" s="74">
        <v>43</v>
      </c>
      <c r="I176" s="75" t="s">
        <v>621</v>
      </c>
      <c r="J176" s="75" t="s">
        <v>618</v>
      </c>
      <c r="K176" s="75" t="s">
        <v>276</v>
      </c>
      <c r="L176" s="75" t="s">
        <v>228</v>
      </c>
      <c r="M176" s="75" t="s">
        <v>622</v>
      </c>
      <c r="N176" s="76">
        <v>40188</v>
      </c>
      <c r="O176" s="74" t="s">
        <v>620</v>
      </c>
      <c r="P176" s="127" t="str">
        <f t="shared" si="2"/>
        <v>Dip, KCSE, KCPE</v>
      </c>
      <c r="Q176" s="75"/>
      <c r="R176" s="74"/>
      <c r="S176" s="74"/>
      <c r="T176" t="s">
        <v>909</v>
      </c>
      <c r="U176"/>
      <c r="V176" s="75" t="s">
        <v>690</v>
      </c>
      <c r="W176" s="75" t="s">
        <v>691</v>
      </c>
      <c r="X176" s="75"/>
      <c r="Y176" s="75" t="s">
        <v>240</v>
      </c>
      <c r="Z176" s="77" t="s">
        <v>251</v>
      </c>
    </row>
    <row r="177" spans="1:26">
      <c r="A177" s="74">
        <v>160</v>
      </c>
      <c r="B177" s="74">
        <v>162</v>
      </c>
      <c r="C177" s="74">
        <v>19930980954</v>
      </c>
      <c r="D177" s="74" t="s">
        <v>623</v>
      </c>
      <c r="E177" s="74"/>
      <c r="F177" s="75">
        <v>10550840</v>
      </c>
      <c r="G177" s="74" t="s">
        <v>224</v>
      </c>
      <c r="H177" s="74">
        <v>53</v>
      </c>
      <c r="I177" s="75" t="s">
        <v>527</v>
      </c>
      <c r="J177" s="75" t="s">
        <v>618</v>
      </c>
      <c r="K177" s="75" t="s">
        <v>287</v>
      </c>
      <c r="L177" s="75" t="s">
        <v>228</v>
      </c>
      <c r="M177" s="75" t="s">
        <v>624</v>
      </c>
      <c r="N177" s="76">
        <v>33979</v>
      </c>
      <c r="O177" s="74" t="s">
        <v>623</v>
      </c>
      <c r="P177" s="127" t="str">
        <f t="shared" si="2"/>
        <v>KCSE, KCPE</v>
      </c>
      <c r="Q177" s="75"/>
      <c r="R177" s="74"/>
      <c r="S177" s="74"/>
      <c r="T177" s="75"/>
      <c r="U177" s="75"/>
      <c r="V177" s="75" t="s">
        <v>690</v>
      </c>
      <c r="W177" s="75" t="s">
        <v>691</v>
      </c>
      <c r="X177" s="75"/>
      <c r="Y177" s="75" t="s">
        <v>240</v>
      </c>
      <c r="Z177" s="77" t="s">
        <v>232</v>
      </c>
    </row>
    <row r="178" spans="1:26">
      <c r="A178" s="74">
        <v>161</v>
      </c>
      <c r="B178" s="74">
        <v>163</v>
      </c>
      <c r="C178" s="74">
        <v>20089223813</v>
      </c>
      <c r="D178" s="74" t="s">
        <v>625</v>
      </c>
      <c r="E178" s="74"/>
      <c r="F178" s="75">
        <v>8735475</v>
      </c>
      <c r="G178" s="74" t="s">
        <v>224</v>
      </c>
      <c r="H178" s="74">
        <v>55</v>
      </c>
      <c r="I178" s="75" t="s">
        <v>527</v>
      </c>
      <c r="J178" s="75" t="s">
        <v>618</v>
      </c>
      <c r="K178" s="75" t="s">
        <v>287</v>
      </c>
      <c r="L178" s="75" t="s">
        <v>228</v>
      </c>
      <c r="M178" s="75" t="s">
        <v>626</v>
      </c>
      <c r="N178" s="76">
        <v>39455</v>
      </c>
      <c r="O178" s="74" t="s">
        <v>625</v>
      </c>
      <c r="P178" s="127" t="str">
        <f t="shared" si="2"/>
        <v>KCSE, KCPE, 1, Certificates</v>
      </c>
      <c r="Q178" s="75"/>
      <c r="R178" s="74"/>
      <c r="S178" s="74"/>
      <c r="T178" s="75"/>
      <c r="U178" s="75" t="s">
        <v>910</v>
      </c>
      <c r="V178" s="75" t="s">
        <v>690</v>
      </c>
      <c r="W178" s="75" t="s">
        <v>691</v>
      </c>
      <c r="X178" s="75"/>
      <c r="Y178" s="75" t="s">
        <v>240</v>
      </c>
      <c r="Z178" s="77" t="s">
        <v>542</v>
      </c>
    </row>
    <row r="179" spans="1:26">
      <c r="A179" s="74">
        <v>162</v>
      </c>
      <c r="B179" s="74">
        <v>164</v>
      </c>
      <c r="C179" s="74">
        <v>20114215668</v>
      </c>
      <c r="D179" s="74" t="s">
        <v>627</v>
      </c>
      <c r="E179" s="74"/>
      <c r="F179" s="75">
        <v>22353089</v>
      </c>
      <c r="G179" s="74" t="s">
        <v>224</v>
      </c>
      <c r="H179" s="74">
        <v>45</v>
      </c>
      <c r="I179" s="75" t="s">
        <v>628</v>
      </c>
      <c r="J179" s="75" t="s">
        <v>618</v>
      </c>
      <c r="K179" s="75" t="s">
        <v>234</v>
      </c>
      <c r="L179" s="75" t="s">
        <v>228</v>
      </c>
      <c r="M179" s="75" t="s">
        <v>629</v>
      </c>
      <c r="N179" s="76">
        <v>40545</v>
      </c>
      <c r="O179" s="74" t="s">
        <v>627</v>
      </c>
      <c r="P179" s="127" t="str">
        <f t="shared" si="2"/>
        <v>KCSE</v>
      </c>
      <c r="Q179" s="75"/>
      <c r="R179" s="74"/>
      <c r="S179" s="74"/>
      <c r="T179" s="75"/>
      <c r="U179" s="75"/>
      <c r="V179" s="75" t="s">
        <v>690</v>
      </c>
      <c r="W179" s="75" t="s">
        <v>796</v>
      </c>
      <c r="X179" s="75"/>
      <c r="Y179" s="75" t="s">
        <v>240</v>
      </c>
      <c r="Z179" s="77" t="s">
        <v>542</v>
      </c>
    </row>
    <row r="180" spans="1:26">
      <c r="A180" s="74">
        <v>163</v>
      </c>
      <c r="B180" s="74">
        <v>165</v>
      </c>
      <c r="C180" s="74">
        <v>20121211073</v>
      </c>
      <c r="D180" s="74" t="s">
        <v>630</v>
      </c>
      <c r="E180" s="74"/>
      <c r="F180" s="75">
        <v>26038175</v>
      </c>
      <c r="G180" s="74" t="s">
        <v>224</v>
      </c>
      <c r="H180" s="74">
        <v>39</v>
      </c>
      <c r="I180" s="75" t="s">
        <v>628</v>
      </c>
      <c r="J180" s="75" t="s">
        <v>618</v>
      </c>
      <c r="K180" s="75" t="s">
        <v>234</v>
      </c>
      <c r="L180" s="75" t="s">
        <v>228</v>
      </c>
      <c r="M180" s="75" t="s">
        <v>631</v>
      </c>
      <c r="N180" s="76">
        <v>40915</v>
      </c>
      <c r="O180" s="74" t="s">
        <v>630</v>
      </c>
      <c r="P180" s="127" t="str">
        <f t="shared" si="2"/>
        <v>KCSE</v>
      </c>
      <c r="Q180" s="75"/>
      <c r="R180" s="74"/>
      <c r="S180" s="74"/>
      <c r="T180" s="75"/>
      <c r="U180" s="75"/>
      <c r="V180" s="75" t="s">
        <v>690</v>
      </c>
      <c r="W180" s="75" t="s">
        <v>796</v>
      </c>
      <c r="X180" s="75"/>
      <c r="Y180" s="75" t="s">
        <v>231</v>
      </c>
      <c r="Z180" s="77" t="s">
        <v>257</v>
      </c>
    </row>
    <row r="181" spans="1:26" s="67" customFormat="1" ht="15.6">
      <c r="A181" s="60"/>
      <c r="B181" s="60"/>
      <c r="C181" s="60"/>
      <c r="D181" s="60"/>
      <c r="E181" s="60"/>
      <c r="F181" s="97" t="s">
        <v>632</v>
      </c>
      <c r="G181" s="60"/>
      <c r="H181" s="60"/>
      <c r="I181" s="79"/>
      <c r="J181" s="79"/>
      <c r="K181" s="79"/>
      <c r="L181" s="79"/>
      <c r="M181" s="79"/>
      <c r="N181" s="79"/>
      <c r="O181" s="60"/>
      <c r="P181" s="127" t="str">
        <f t="shared" si="2"/>
        <v/>
      </c>
      <c r="Q181" s="79"/>
      <c r="R181" s="60"/>
      <c r="S181" s="60"/>
      <c r="T181" s="79"/>
      <c r="U181" s="79"/>
      <c r="V181" s="79"/>
      <c r="W181" s="79"/>
      <c r="X181" s="79"/>
      <c r="Y181" s="66"/>
      <c r="Z181" s="66"/>
    </row>
    <row r="182" spans="1:26">
      <c r="A182" s="74">
        <v>164</v>
      </c>
      <c r="B182" s="74">
        <v>166</v>
      </c>
      <c r="C182" s="74">
        <v>19950950660</v>
      </c>
      <c r="D182" s="74" t="s">
        <v>495</v>
      </c>
      <c r="E182" s="74"/>
      <c r="F182" s="75">
        <v>13494645</v>
      </c>
      <c r="G182" s="74" t="s">
        <v>224</v>
      </c>
      <c r="H182" s="74">
        <v>50</v>
      </c>
      <c r="I182" s="75" t="s">
        <v>496</v>
      </c>
      <c r="J182" s="75" t="s">
        <v>497</v>
      </c>
      <c r="K182" s="75" t="s">
        <v>237</v>
      </c>
      <c r="L182" s="75" t="s">
        <v>228</v>
      </c>
      <c r="M182" s="75" t="s">
        <v>498</v>
      </c>
      <c r="N182" s="75" t="s">
        <v>911</v>
      </c>
      <c r="O182" s="74" t="s">
        <v>495</v>
      </c>
      <c r="P182" s="127" t="str">
        <f t="shared" si="2"/>
        <v>Bachelors, Dip, KCSE, KCPE</v>
      </c>
      <c r="Q182" s="75"/>
      <c r="R182" s="89"/>
      <c r="S182" t="s">
        <v>912</v>
      </c>
      <c r="T182" t="s">
        <v>913</v>
      </c>
      <c r="U182" s="75"/>
      <c r="V182" s="75" t="s">
        <v>690</v>
      </c>
      <c r="W182" s="75" t="s">
        <v>691</v>
      </c>
      <c r="X182" s="75"/>
      <c r="Y182" s="75" t="s">
        <v>240</v>
      </c>
      <c r="Z182" s="77" t="s">
        <v>246</v>
      </c>
    </row>
    <row r="183" spans="1:26">
      <c r="A183" s="74">
        <v>165</v>
      </c>
      <c r="B183" s="74">
        <v>167</v>
      </c>
      <c r="C183" s="74">
        <v>19990495595</v>
      </c>
      <c r="D183" s="74" t="s">
        <v>636</v>
      </c>
      <c r="E183" s="74"/>
      <c r="F183" s="75">
        <v>10809560</v>
      </c>
      <c r="G183" s="74" t="s">
        <v>224</v>
      </c>
      <c r="H183" s="74">
        <v>55</v>
      </c>
      <c r="I183" s="75" t="s">
        <v>634</v>
      </c>
      <c r="J183" s="75" t="s">
        <v>497</v>
      </c>
      <c r="K183" s="75" t="s">
        <v>224</v>
      </c>
      <c r="L183" s="75" t="s">
        <v>228</v>
      </c>
      <c r="M183" s="75" t="s">
        <v>637</v>
      </c>
      <c r="N183" s="76">
        <v>36172</v>
      </c>
      <c r="O183" s="74" t="s">
        <v>636</v>
      </c>
      <c r="P183" s="127" t="str">
        <f t="shared" si="2"/>
        <v>MSc, Dip, KCSE, KCPE</v>
      </c>
      <c r="Q183" s="75"/>
      <c r="R183" s="74" t="s">
        <v>914</v>
      </c>
      <c r="S183" s="74" t="s">
        <v>915</v>
      </c>
      <c r="T183" t="s">
        <v>916</v>
      </c>
      <c r="U183" t="s">
        <v>917</v>
      </c>
      <c r="V183" s="75" t="s">
        <v>690</v>
      </c>
      <c r="W183" s="75" t="s">
        <v>691</v>
      </c>
      <c r="X183" s="75" t="s">
        <v>918</v>
      </c>
      <c r="Y183" s="75" t="s">
        <v>240</v>
      </c>
      <c r="Z183" s="77" t="s">
        <v>257</v>
      </c>
    </row>
    <row r="184" spans="1:26">
      <c r="A184" s="74">
        <v>166</v>
      </c>
      <c r="B184" s="74">
        <v>168</v>
      </c>
      <c r="C184" s="74">
        <v>19950950767</v>
      </c>
      <c r="D184" s="74" t="s">
        <v>638</v>
      </c>
      <c r="E184" s="74"/>
      <c r="F184" s="75">
        <v>14519207</v>
      </c>
      <c r="G184" s="74" t="s">
        <v>224</v>
      </c>
      <c r="H184" s="74">
        <v>50</v>
      </c>
      <c r="I184" s="75" t="s">
        <v>639</v>
      </c>
      <c r="J184" s="75" t="s">
        <v>497</v>
      </c>
      <c r="K184" s="75" t="s">
        <v>276</v>
      </c>
      <c r="L184" s="75" t="s">
        <v>228</v>
      </c>
      <c r="M184" s="75" t="s">
        <v>640</v>
      </c>
      <c r="N184" s="75" t="s">
        <v>919</v>
      </c>
      <c r="O184" s="74" t="s">
        <v>638</v>
      </c>
      <c r="P184" s="127" t="str">
        <f t="shared" si="2"/>
        <v>KCSE, KCPE</v>
      </c>
      <c r="Q184" s="75"/>
      <c r="R184" s="74"/>
      <c r="S184" s="74"/>
      <c r="T184" s="75"/>
      <c r="U184" s="75"/>
      <c r="V184" s="75" t="s">
        <v>690</v>
      </c>
      <c r="W184" s="75" t="s">
        <v>691</v>
      </c>
      <c r="X184" s="75"/>
      <c r="Y184" s="75" t="s">
        <v>240</v>
      </c>
      <c r="Z184" s="77" t="s">
        <v>232</v>
      </c>
    </row>
    <row r="185" spans="1:26">
      <c r="A185" s="74">
        <v>167</v>
      </c>
      <c r="B185" s="74">
        <v>169</v>
      </c>
      <c r="C185" s="74">
        <v>20060933611</v>
      </c>
      <c r="D185" s="74" t="s">
        <v>641</v>
      </c>
      <c r="E185" s="74"/>
      <c r="F185" s="75">
        <v>23616610</v>
      </c>
      <c r="G185" s="74" t="s">
        <v>234</v>
      </c>
      <c r="H185" s="74">
        <v>40</v>
      </c>
      <c r="I185" s="75" t="s">
        <v>639</v>
      </c>
      <c r="J185" s="75" t="s">
        <v>497</v>
      </c>
      <c r="K185" s="75" t="s">
        <v>276</v>
      </c>
      <c r="L185" s="75" t="s">
        <v>228</v>
      </c>
      <c r="M185" s="75" t="s">
        <v>642</v>
      </c>
      <c r="N185" s="76">
        <v>38729</v>
      </c>
      <c r="O185" s="74" t="s">
        <v>641</v>
      </c>
      <c r="P185" s="127" t="str">
        <f t="shared" si="2"/>
        <v>Bachelors, Dip, KCSE, KCPE, 1, Certificates</v>
      </c>
      <c r="Q185" s="75"/>
      <c r="R185" s="74"/>
      <c r="S185" s="74" t="s">
        <v>920</v>
      </c>
      <c r="T185" s="75" t="s">
        <v>921</v>
      </c>
      <c r="U185" s="75" t="s">
        <v>922</v>
      </c>
      <c r="V185" s="75" t="s">
        <v>690</v>
      </c>
      <c r="W185" s="75" t="s">
        <v>691</v>
      </c>
      <c r="X185" s="75"/>
      <c r="Y185" s="75" t="s">
        <v>240</v>
      </c>
      <c r="Z185" s="77" t="s">
        <v>251</v>
      </c>
    </row>
    <row r="186" spans="1:26">
      <c r="A186" s="74">
        <v>168</v>
      </c>
      <c r="B186" s="74">
        <v>170</v>
      </c>
      <c r="C186" s="74">
        <v>20089223994</v>
      </c>
      <c r="D186" s="74" t="s">
        <v>643</v>
      </c>
      <c r="E186" s="74"/>
      <c r="F186" s="75">
        <v>13878750</v>
      </c>
      <c r="G186" s="74" t="s">
        <v>224</v>
      </c>
      <c r="H186" s="74">
        <v>49</v>
      </c>
      <c r="I186" s="75" t="s">
        <v>644</v>
      </c>
      <c r="J186" s="75" t="s">
        <v>497</v>
      </c>
      <c r="K186" s="75" t="s">
        <v>270</v>
      </c>
      <c r="L186" s="75" t="s">
        <v>228</v>
      </c>
      <c r="M186" s="75" t="s">
        <v>645</v>
      </c>
      <c r="N186" s="76">
        <v>39449</v>
      </c>
      <c r="O186" s="74" t="s">
        <v>643</v>
      </c>
      <c r="P186" s="127" t="str">
        <f t="shared" si="2"/>
        <v>KCSE, KCPE, 1, Certificates</v>
      </c>
      <c r="Q186" s="75"/>
      <c r="R186" s="74"/>
      <c r="S186" s="74"/>
      <c r="T186" s="75"/>
      <c r="U186" s="75" t="s">
        <v>923</v>
      </c>
      <c r="V186" s="75" t="s">
        <v>690</v>
      </c>
      <c r="W186" s="75" t="s">
        <v>691</v>
      </c>
      <c r="X186" s="75"/>
      <c r="Y186" s="75" t="s">
        <v>240</v>
      </c>
      <c r="Z186" s="77" t="s">
        <v>257</v>
      </c>
    </row>
    <row r="187" spans="1:26">
      <c r="A187" s="74">
        <v>169</v>
      </c>
      <c r="B187" s="74">
        <v>171</v>
      </c>
      <c r="C187" s="74">
        <v>20240300913</v>
      </c>
      <c r="D187" s="74" t="s">
        <v>646</v>
      </c>
      <c r="E187" s="74"/>
      <c r="F187" s="75">
        <v>28808330</v>
      </c>
      <c r="G187" s="74" t="s">
        <v>224</v>
      </c>
      <c r="H187" s="74">
        <v>34</v>
      </c>
      <c r="I187" s="75" t="s">
        <v>353</v>
      </c>
      <c r="J187" s="75" t="s">
        <v>497</v>
      </c>
      <c r="K187" s="75" t="s">
        <v>287</v>
      </c>
      <c r="L187" s="75" t="s">
        <v>228</v>
      </c>
      <c r="M187" s="75" t="s">
        <v>565</v>
      </c>
      <c r="N187" s="76">
        <v>45299</v>
      </c>
      <c r="O187" s="74" t="s">
        <v>646</v>
      </c>
      <c r="P187" s="127" t="str">
        <f t="shared" si="2"/>
        <v>Bachelors, Dip, KCSE, KCPE, KISM</v>
      </c>
      <c r="Q187" s="75"/>
      <c r="R187" s="74"/>
      <c r="S187" t="s">
        <v>924</v>
      </c>
      <c r="T187" s="75" t="s">
        <v>925</v>
      </c>
      <c r="U187" s="75"/>
      <c r="V187" s="75" t="s">
        <v>690</v>
      </c>
      <c r="W187" s="75" t="s">
        <v>691</v>
      </c>
      <c r="X187" s="75" t="s">
        <v>702</v>
      </c>
      <c r="Y187" s="75" t="s">
        <v>355</v>
      </c>
      <c r="Z187" s="77" t="s">
        <v>273</v>
      </c>
    </row>
    <row r="188" spans="1:26" s="67" customFormat="1" ht="15.6">
      <c r="A188" s="60"/>
      <c r="B188" s="60"/>
      <c r="C188" s="60"/>
      <c r="D188" s="60"/>
      <c r="E188" s="60"/>
      <c r="F188" s="97" t="s">
        <v>647</v>
      </c>
      <c r="G188" s="60"/>
      <c r="H188" s="60"/>
      <c r="I188" s="79"/>
      <c r="J188" s="79"/>
      <c r="K188" s="79"/>
      <c r="L188" s="79"/>
      <c r="M188" s="79"/>
      <c r="N188" s="79"/>
      <c r="O188" s="60"/>
      <c r="P188" s="127" t="str">
        <f t="shared" si="2"/>
        <v/>
      </c>
      <c r="Q188" s="79"/>
      <c r="R188" s="60"/>
      <c r="S188" s="60"/>
      <c r="T188" s="79"/>
      <c r="U188" s="79"/>
      <c r="V188" s="79"/>
      <c r="W188" s="79"/>
      <c r="X188" s="79"/>
      <c r="Y188" s="66"/>
      <c r="Z188" s="66"/>
    </row>
    <row r="189" spans="1:26" s="72" customFormat="1">
      <c r="A189" s="68">
        <v>170</v>
      </c>
      <c r="B189" s="68">
        <v>172</v>
      </c>
      <c r="C189" s="68">
        <v>19961316675</v>
      </c>
      <c r="D189" s="68" t="s">
        <v>648</v>
      </c>
      <c r="E189" s="68"/>
      <c r="F189" s="69">
        <v>8821281</v>
      </c>
      <c r="G189" s="68" t="s">
        <v>224</v>
      </c>
      <c r="H189" s="68">
        <v>58</v>
      </c>
      <c r="I189" s="69" t="s">
        <v>649</v>
      </c>
      <c r="J189" s="69" t="s">
        <v>650</v>
      </c>
      <c r="K189" s="69" t="s">
        <v>651</v>
      </c>
      <c r="L189" s="69" t="s">
        <v>228</v>
      </c>
      <c r="M189" s="69" t="s">
        <v>652</v>
      </c>
      <c r="N189" s="70">
        <v>35066</v>
      </c>
      <c r="O189" s="68" t="s">
        <v>648</v>
      </c>
      <c r="P189" s="127" t="str">
        <f t="shared" si="2"/>
        <v>PhD, MSc, Bachelors, KCSE, KCPE, SLDP</v>
      </c>
      <c r="Q189" s="93" t="s">
        <v>865</v>
      </c>
      <c r="R189" s="93" t="s">
        <v>926</v>
      </c>
      <c r="S189" s="93" t="s">
        <v>927</v>
      </c>
      <c r="T189" s="69"/>
      <c r="U189" s="69"/>
      <c r="V189" s="69" t="s">
        <v>690</v>
      </c>
      <c r="W189" s="69" t="s">
        <v>691</v>
      </c>
      <c r="X189" s="69" t="s">
        <v>928</v>
      </c>
      <c r="Y189" s="69" t="s">
        <v>231</v>
      </c>
      <c r="Z189" s="71" t="s">
        <v>241</v>
      </c>
    </row>
    <row r="190" spans="1:26" s="72" customFormat="1">
      <c r="A190" s="68">
        <v>171</v>
      </c>
      <c r="B190" s="68">
        <v>173</v>
      </c>
      <c r="C190" s="68">
        <v>20131165402</v>
      </c>
      <c r="D190" s="68" t="s">
        <v>653</v>
      </c>
      <c r="E190" s="68"/>
      <c r="F190" s="69">
        <v>23482428</v>
      </c>
      <c r="G190" s="68" t="s">
        <v>234</v>
      </c>
      <c r="H190" s="68">
        <v>49</v>
      </c>
      <c r="I190" s="69" t="s">
        <v>373</v>
      </c>
      <c r="J190" s="69" t="s">
        <v>650</v>
      </c>
      <c r="K190" s="69" t="s">
        <v>296</v>
      </c>
      <c r="L190" s="69" t="s">
        <v>228</v>
      </c>
      <c r="M190" s="69" t="s">
        <v>654</v>
      </c>
      <c r="N190" s="70">
        <v>41277</v>
      </c>
      <c r="O190" s="68" t="s">
        <v>653</v>
      </c>
      <c r="P190" s="127" t="str">
        <f t="shared" si="2"/>
        <v>PhD, MSc, Bachelors, KCSE, KCPE</v>
      </c>
      <c r="Q190" s="93" t="s">
        <v>929</v>
      </c>
      <c r="R190" s="93" t="s">
        <v>930</v>
      </c>
      <c r="S190" s="93" t="s">
        <v>695</v>
      </c>
      <c r="T190" s="69"/>
      <c r="U190" s="69"/>
      <c r="V190" s="69" t="s">
        <v>690</v>
      </c>
      <c r="W190" s="69" t="s">
        <v>691</v>
      </c>
      <c r="X190" s="69"/>
      <c r="Y190" s="69" t="s">
        <v>240</v>
      </c>
      <c r="Z190" s="71" t="s">
        <v>257</v>
      </c>
    </row>
    <row r="191" spans="1:26">
      <c r="A191" s="74">
        <v>172</v>
      </c>
      <c r="B191" s="74">
        <v>174</v>
      </c>
      <c r="C191" s="74">
        <v>20114215503</v>
      </c>
      <c r="D191" s="74" t="s">
        <v>655</v>
      </c>
      <c r="E191" s="74"/>
      <c r="F191" s="75">
        <v>22569012</v>
      </c>
      <c r="G191" s="74" t="s">
        <v>234</v>
      </c>
      <c r="H191" s="74">
        <v>42</v>
      </c>
      <c r="I191" s="75" t="s">
        <v>300</v>
      </c>
      <c r="J191" s="75" t="s">
        <v>650</v>
      </c>
      <c r="K191" s="75" t="s">
        <v>301</v>
      </c>
      <c r="L191" s="75" t="s">
        <v>228</v>
      </c>
      <c r="M191" s="75" t="s">
        <v>656</v>
      </c>
      <c r="N191" s="76">
        <v>40550</v>
      </c>
      <c r="O191" s="74" t="s">
        <v>655</v>
      </c>
      <c r="P191" s="127" t="str">
        <f t="shared" si="2"/>
        <v>PhD, MSc, Bachelors, KCSE, KCPE</v>
      </c>
      <c r="Q191" s="78" t="s">
        <v>931</v>
      </c>
      <c r="R191" s="78" t="s">
        <v>882</v>
      </c>
      <c r="S191" s="78" t="s">
        <v>932</v>
      </c>
      <c r="T191" s="75"/>
      <c r="U191" s="75"/>
      <c r="V191" s="75" t="s">
        <v>690</v>
      </c>
      <c r="W191" s="75" t="s">
        <v>691</v>
      </c>
      <c r="X191" s="75"/>
      <c r="Y191" s="75" t="s">
        <v>240</v>
      </c>
      <c r="Z191" s="77" t="s">
        <v>257</v>
      </c>
    </row>
    <row r="192" spans="1:26">
      <c r="A192" s="74">
        <v>173</v>
      </c>
      <c r="B192" s="74">
        <v>175</v>
      </c>
      <c r="C192" s="74">
        <v>19911126834</v>
      </c>
      <c r="D192" s="74" t="s">
        <v>657</v>
      </c>
      <c r="E192" s="74"/>
      <c r="F192" s="75">
        <v>8796575</v>
      </c>
      <c r="G192" s="74" t="s">
        <v>224</v>
      </c>
      <c r="H192" s="74">
        <v>58</v>
      </c>
      <c r="I192" s="75" t="s">
        <v>590</v>
      </c>
      <c r="J192" s="75" t="s">
        <v>650</v>
      </c>
      <c r="K192" s="75" t="s">
        <v>224</v>
      </c>
      <c r="L192" s="75" t="s">
        <v>228</v>
      </c>
      <c r="M192" s="75" t="s">
        <v>658</v>
      </c>
      <c r="N192" s="76">
        <v>33250</v>
      </c>
      <c r="O192" s="74" t="s">
        <v>657</v>
      </c>
      <c r="P192" s="127" t="str">
        <f t="shared" si="2"/>
        <v>MSc, Dip, KCSE, KCPE</v>
      </c>
      <c r="Q192" s="94"/>
      <c r="R192" t="s">
        <v>933</v>
      </c>
      <c r="S192" s="85" t="s">
        <v>934</v>
      </c>
      <c r="T192" t="s">
        <v>935</v>
      </c>
      <c r="U192" s="75"/>
      <c r="V192" s="75" t="s">
        <v>690</v>
      </c>
      <c r="W192" s="75" t="s">
        <v>691</v>
      </c>
      <c r="X192" s="75"/>
      <c r="Y192" s="75" t="s">
        <v>240</v>
      </c>
      <c r="Z192" s="77" t="s">
        <v>232</v>
      </c>
    </row>
    <row r="193" spans="1:27">
      <c r="A193" s="74">
        <v>174</v>
      </c>
      <c r="B193" s="74">
        <v>176</v>
      </c>
      <c r="C193" s="74">
        <v>19920654331</v>
      </c>
      <c r="D193" s="74" t="s">
        <v>659</v>
      </c>
      <c r="E193" s="74"/>
      <c r="F193" s="75">
        <v>10176803</v>
      </c>
      <c r="G193" s="74" t="s">
        <v>234</v>
      </c>
      <c r="H193" s="74">
        <v>55</v>
      </c>
      <c r="I193" s="75" t="s">
        <v>590</v>
      </c>
      <c r="J193" s="75" t="s">
        <v>650</v>
      </c>
      <c r="K193" s="75" t="s">
        <v>224</v>
      </c>
      <c r="L193" s="75" t="s">
        <v>228</v>
      </c>
      <c r="M193" s="75" t="s">
        <v>660</v>
      </c>
      <c r="N193" s="76">
        <v>33612</v>
      </c>
      <c r="O193" s="74" t="s">
        <v>659</v>
      </c>
      <c r="P193" s="127" t="str">
        <f t="shared" si="2"/>
        <v>MSc, Bachelors, KCSE, KCPE, KMLTTB</v>
      </c>
      <c r="Q193" s="75"/>
      <c r="R193" s="74" t="s">
        <v>936</v>
      </c>
      <c r="S193" s="74" t="s">
        <v>937</v>
      </c>
      <c r="T193" s="75"/>
      <c r="U193" s="75"/>
      <c r="V193" s="75" t="s">
        <v>690</v>
      </c>
      <c r="W193" s="75" t="s">
        <v>691</v>
      </c>
      <c r="X193" s="75" t="s">
        <v>938</v>
      </c>
      <c r="Y193" s="75" t="s">
        <v>240</v>
      </c>
      <c r="Z193" s="77" t="s">
        <v>241</v>
      </c>
    </row>
    <row r="194" spans="1:27">
      <c r="A194" s="74">
        <v>175</v>
      </c>
      <c r="B194" s="74">
        <v>177</v>
      </c>
      <c r="C194" s="74">
        <v>20060933776</v>
      </c>
      <c r="D194" s="74" t="s">
        <v>661</v>
      </c>
      <c r="E194" s="74"/>
      <c r="F194" s="75">
        <v>13643884</v>
      </c>
      <c r="G194" s="74" t="s">
        <v>234</v>
      </c>
      <c r="H194" s="74">
        <v>49</v>
      </c>
      <c r="I194" s="75" t="s">
        <v>590</v>
      </c>
      <c r="J194" s="75" t="s">
        <v>650</v>
      </c>
      <c r="K194" s="75" t="s">
        <v>224</v>
      </c>
      <c r="L194" s="75" t="s">
        <v>228</v>
      </c>
      <c r="M194" s="75" t="s">
        <v>662</v>
      </c>
      <c r="N194" s="76">
        <v>38726</v>
      </c>
      <c r="O194" s="74" t="s">
        <v>661</v>
      </c>
      <c r="P194" s="127" t="str">
        <f t="shared" si="2"/>
        <v>MSc, Bachelors, KCSE, KCPE</v>
      </c>
      <c r="Q194" s="75" t="s">
        <v>939</v>
      </c>
      <c r="R194" s="74" t="s">
        <v>882</v>
      </c>
      <c r="S194" s="74" t="s">
        <v>932</v>
      </c>
      <c r="T194" s="75"/>
      <c r="U194" s="75"/>
      <c r="V194" s="75" t="s">
        <v>690</v>
      </c>
      <c r="W194" s="75" t="s">
        <v>691</v>
      </c>
      <c r="X194" s="75"/>
      <c r="Y194" s="75" t="s">
        <v>240</v>
      </c>
      <c r="Z194" s="77" t="s">
        <v>251</v>
      </c>
    </row>
    <row r="195" spans="1:27">
      <c r="A195" s="74">
        <v>176</v>
      </c>
      <c r="B195" s="74">
        <v>178</v>
      </c>
      <c r="C195" s="74">
        <v>20160708732</v>
      </c>
      <c r="D195" s="74" t="s">
        <v>663</v>
      </c>
      <c r="E195" s="74"/>
      <c r="F195" s="75">
        <v>25341165</v>
      </c>
      <c r="G195" s="74" t="s">
        <v>234</v>
      </c>
      <c r="H195" s="74">
        <v>37</v>
      </c>
      <c r="I195" s="75" t="s">
        <v>593</v>
      </c>
      <c r="J195" s="75" t="s">
        <v>650</v>
      </c>
      <c r="K195" s="75" t="s">
        <v>224</v>
      </c>
      <c r="L195" s="75" t="s">
        <v>664</v>
      </c>
      <c r="M195" s="75" t="s">
        <v>444</v>
      </c>
      <c r="N195" s="76">
        <v>42379</v>
      </c>
      <c r="O195" s="74" t="s">
        <v>663</v>
      </c>
      <c r="P195" s="127" t="str">
        <f t="shared" si="2"/>
        <v>KCSE, KCPE</v>
      </c>
      <c r="Q195" s="75"/>
      <c r="R195" s="74"/>
      <c r="S195" s="74"/>
      <c r="T195" s="75"/>
      <c r="U195" s="75"/>
      <c r="V195" s="75" t="s">
        <v>690</v>
      </c>
      <c r="W195" s="75" t="s">
        <v>691</v>
      </c>
      <c r="X195" s="75"/>
      <c r="Y195" s="75" t="s">
        <v>231</v>
      </c>
      <c r="Z195" s="77" t="s">
        <v>232</v>
      </c>
    </row>
    <row r="196" spans="1:27">
      <c r="A196" s="74">
        <v>177</v>
      </c>
      <c r="B196" s="74">
        <v>179</v>
      </c>
      <c r="C196" s="74">
        <v>20190641326</v>
      </c>
      <c r="D196" s="74" t="s">
        <v>665</v>
      </c>
      <c r="E196" s="74"/>
      <c r="F196" s="75">
        <v>27576131</v>
      </c>
      <c r="G196" s="74" t="s">
        <v>224</v>
      </c>
      <c r="H196" s="74">
        <v>35</v>
      </c>
      <c r="I196" s="75" t="s">
        <v>590</v>
      </c>
      <c r="J196" s="75" t="s">
        <v>650</v>
      </c>
      <c r="K196" s="75" t="s">
        <v>224</v>
      </c>
      <c r="L196" s="75" t="s">
        <v>228</v>
      </c>
      <c r="M196" s="75" t="s">
        <v>666</v>
      </c>
      <c r="N196" s="76">
        <v>43625</v>
      </c>
      <c r="O196" s="74" t="s">
        <v>665</v>
      </c>
      <c r="P196" s="127" t="str">
        <f t="shared" ref="P196:P205" si="3">SUBSTITUTE(TRIM(
    IF(COUNTIF(Q196:X196, "*Philosophy*"), "PhD ", "") &amp;
    IF(COUNTIF(Q196:X196, "*Master*"), "MSc ", "") &amp;
    IF(COUNTIF(Q196:X196, "*Bachelor*"), "Bachelors ", "") &amp;
    IF(COUNTIF(Q196:X196, "*Diploma*"), "Dip ", "") &amp;
    IF(COUNTIF(Q196:X196, "*KCSE*"), "KCSE ", "") &amp;
    IF(COUNTIF(Q196:X196, "*KCPE*"), "KCPE ", "") &amp;
    IF(COUNTIF(Q196:X196, "*IHRM*"), "IHRM ", "") &amp;
    IF(COUNTIF(Q196:X196, "*HRMPB*"), "HRMPB ", "") &amp;
    IF(COUNTIF(Q196:X196, "*KISM*"), "KISM ", "") &amp;
    IF(COUNTIF(Q196:X196, "*ICPAK*"), "ICPAK ", "") &amp;
    IF(COUNTIF(Q196:X196, "*CPA*"), "CPA ", "") &amp;
    IF(COUNTIF(Q196:X196, "*Strategic Leadership*"), "SLDP ", "") &amp;
    IF(COUNTIF(Q196:X196, "*Senior Management*"), "SMC ", "") &amp;
    IF(COUNTIF(Q196:X196, "*Nursing*"), "NCK ", "") &amp;
    IF(COUNTIF(Q196:X196, "*KMLTTB*"), "KMLTTB ", "") &amp;
    IF(COUNTIF(Q196:X196, "*Cstat*"), "Cstat ", "") &amp;
    IF(SUMPRODUCT(LEN(Q196:X196)-LEN(SUBSTITUTE(UPPER(Q196:X196),"CERTIFICATE","")))/11&gt;0,
       SUMPRODUCT(LEN(Q196:X196)-LEN(SUBSTITUTE(UPPER(Q196:X196),"CERTIFICATE","")))/11 &amp; " Certificates ", "")
), " ", ", ")</f>
        <v>MSc, Bachelors, KCSE, KCPE</v>
      </c>
      <c r="Q196" s="75"/>
      <c r="R196" s="74" t="s">
        <v>940</v>
      </c>
      <c r="S196" s="74" t="s">
        <v>941</v>
      </c>
      <c r="T196" s="75"/>
      <c r="U196" s="75"/>
      <c r="V196" s="75" t="s">
        <v>690</v>
      </c>
      <c r="W196" s="75" t="s">
        <v>691</v>
      </c>
      <c r="X196" s="75"/>
      <c r="Y196" s="75" t="s">
        <v>231</v>
      </c>
      <c r="Z196" s="77" t="s">
        <v>257</v>
      </c>
    </row>
    <row r="197" spans="1:27">
      <c r="A197" s="74">
        <v>178</v>
      </c>
      <c r="B197" s="74">
        <v>180</v>
      </c>
      <c r="C197" s="74">
        <v>20190119423</v>
      </c>
      <c r="D197" s="74" t="s">
        <v>667</v>
      </c>
      <c r="E197" s="74"/>
      <c r="F197" s="75">
        <v>27175116</v>
      </c>
      <c r="G197" s="74" t="s">
        <v>224</v>
      </c>
      <c r="H197" s="74">
        <v>36</v>
      </c>
      <c r="I197" s="75" t="s">
        <v>315</v>
      </c>
      <c r="J197" s="75" t="s">
        <v>650</v>
      </c>
      <c r="K197" s="75" t="s">
        <v>254</v>
      </c>
      <c r="L197" s="75" t="s">
        <v>228</v>
      </c>
      <c r="M197" s="75" t="s">
        <v>668</v>
      </c>
      <c r="N197" s="75" t="s">
        <v>827</v>
      </c>
      <c r="O197" s="74" t="s">
        <v>667</v>
      </c>
      <c r="P197" s="127" t="str">
        <f t="shared" si="3"/>
        <v>Bachelors, KCSE, KCPE</v>
      </c>
      <c r="Q197" s="75"/>
      <c r="R197" s="74"/>
      <c r="S197" s="74" t="s">
        <v>942</v>
      </c>
      <c r="T197" s="75"/>
      <c r="U197" s="75"/>
      <c r="V197" s="75" t="s">
        <v>690</v>
      </c>
      <c r="W197" s="75" t="s">
        <v>691</v>
      </c>
      <c r="X197" s="75"/>
      <c r="Y197" s="75" t="s">
        <v>231</v>
      </c>
      <c r="Z197" s="77" t="s">
        <v>257</v>
      </c>
    </row>
    <row r="198" spans="1:27">
      <c r="A198" s="74">
        <v>179</v>
      </c>
      <c r="B198" s="74">
        <v>181</v>
      </c>
      <c r="C198" s="74">
        <v>20210646088</v>
      </c>
      <c r="D198" s="74" t="s">
        <v>669</v>
      </c>
      <c r="E198" s="74"/>
      <c r="F198" s="75">
        <v>27841844</v>
      </c>
      <c r="G198" s="74" t="s">
        <v>234</v>
      </c>
      <c r="H198" s="74">
        <v>34</v>
      </c>
      <c r="I198" s="75" t="s">
        <v>315</v>
      </c>
      <c r="J198" s="75" t="s">
        <v>650</v>
      </c>
      <c r="K198" s="75" t="s">
        <v>254</v>
      </c>
      <c r="L198" s="75" t="s">
        <v>228</v>
      </c>
      <c r="M198" s="75" t="s">
        <v>670</v>
      </c>
      <c r="N198" s="76">
        <v>44415</v>
      </c>
      <c r="O198" s="74" t="s">
        <v>669</v>
      </c>
      <c r="P198" s="127" t="str">
        <f t="shared" si="3"/>
        <v>MSc, Bachelors, KCSE, KCPE, KMLTTB</v>
      </c>
      <c r="Q198" s="75"/>
      <c r="R198" s="74" t="s">
        <v>943</v>
      </c>
      <c r="S198" s="74" t="s">
        <v>944</v>
      </c>
      <c r="T198" s="75"/>
      <c r="U198" s="75"/>
      <c r="V198" s="75" t="s">
        <v>690</v>
      </c>
      <c r="W198" s="75" t="s">
        <v>691</v>
      </c>
      <c r="X198" s="75" t="s">
        <v>938</v>
      </c>
      <c r="Y198" s="75" t="s">
        <v>231</v>
      </c>
      <c r="Z198" s="77" t="s">
        <v>402</v>
      </c>
    </row>
    <row r="199" spans="1:27" ht="14.25" customHeight="1">
      <c r="A199" s="74">
        <v>180</v>
      </c>
      <c r="B199" s="74">
        <v>182</v>
      </c>
      <c r="C199" s="74">
        <v>20250067355</v>
      </c>
      <c r="D199" s="87" t="s">
        <v>671</v>
      </c>
      <c r="E199" s="87"/>
      <c r="F199" s="88">
        <v>33587562</v>
      </c>
      <c r="G199" s="74" t="s">
        <v>234</v>
      </c>
      <c r="H199" s="74"/>
      <c r="I199" s="88" t="s">
        <v>672</v>
      </c>
      <c r="J199" s="88" t="s">
        <v>650</v>
      </c>
      <c r="K199" s="75" t="s">
        <v>254</v>
      </c>
      <c r="L199" s="75" t="s">
        <v>228</v>
      </c>
      <c r="M199" s="76">
        <v>46756</v>
      </c>
      <c r="N199" s="76">
        <v>45693</v>
      </c>
      <c r="O199" s="87" t="s">
        <v>671</v>
      </c>
      <c r="P199" s="127" t="str">
        <f t="shared" si="3"/>
        <v>Bachelors, KCSE, KCPE</v>
      </c>
      <c r="Q199" s="75"/>
      <c r="R199" s="74"/>
      <c r="S199" s="74" t="s">
        <v>945</v>
      </c>
      <c r="T199" s="75"/>
      <c r="U199" s="75"/>
      <c r="V199" s="75" t="s">
        <v>690</v>
      </c>
      <c r="W199" s="75" t="s">
        <v>691</v>
      </c>
      <c r="X199" s="75"/>
      <c r="Y199" s="75" t="s">
        <v>231</v>
      </c>
      <c r="Z199" s="77" t="s">
        <v>251</v>
      </c>
    </row>
    <row r="200" spans="1:27" ht="15.75" customHeight="1">
      <c r="A200" s="74">
        <v>181</v>
      </c>
      <c r="B200" s="74">
        <v>183</v>
      </c>
      <c r="C200" s="74">
        <v>20250067347</v>
      </c>
      <c r="D200" s="87" t="s">
        <v>946</v>
      </c>
      <c r="E200" s="87"/>
      <c r="F200" s="75">
        <v>25194499</v>
      </c>
      <c r="G200" s="74" t="s">
        <v>234</v>
      </c>
      <c r="H200" s="74">
        <v>37</v>
      </c>
      <c r="I200" s="88" t="s">
        <v>672</v>
      </c>
      <c r="J200" s="88" t="s">
        <v>650</v>
      </c>
      <c r="K200" s="75" t="s">
        <v>254</v>
      </c>
      <c r="L200" s="75" t="s">
        <v>228</v>
      </c>
      <c r="M200" s="76">
        <v>46757</v>
      </c>
      <c r="N200" s="76">
        <v>45693</v>
      </c>
      <c r="O200" s="87" t="s">
        <v>946</v>
      </c>
      <c r="P200" s="127" t="str">
        <f t="shared" si="3"/>
        <v>MSc, Bachelors, KCSE, KCPE</v>
      </c>
      <c r="Q200" s="75"/>
      <c r="R200" s="74" t="s">
        <v>947</v>
      </c>
      <c r="S200" s="74" t="s">
        <v>948</v>
      </c>
      <c r="T200" s="75"/>
      <c r="U200" s="75"/>
      <c r="V200" s="75" t="s">
        <v>690</v>
      </c>
      <c r="W200" s="75" t="s">
        <v>691</v>
      </c>
      <c r="X200" s="75"/>
      <c r="Y200" s="75" t="s">
        <v>231</v>
      </c>
      <c r="Z200" s="77" t="s">
        <v>241</v>
      </c>
    </row>
    <row r="201" spans="1:27">
      <c r="A201" s="74">
        <v>182</v>
      </c>
      <c r="B201" s="74">
        <v>184</v>
      </c>
      <c r="C201" s="74">
        <v>20106534503</v>
      </c>
      <c r="D201" s="74" t="s">
        <v>673</v>
      </c>
      <c r="E201" s="74"/>
      <c r="F201" s="75">
        <v>22324592</v>
      </c>
      <c r="G201" s="74" t="s">
        <v>224</v>
      </c>
      <c r="H201" s="74">
        <v>45</v>
      </c>
      <c r="I201" s="75" t="s">
        <v>323</v>
      </c>
      <c r="J201" s="75" t="s">
        <v>650</v>
      </c>
      <c r="K201" s="75" t="s">
        <v>276</v>
      </c>
      <c r="L201" s="75" t="s">
        <v>228</v>
      </c>
      <c r="M201" s="75" t="s">
        <v>674</v>
      </c>
      <c r="N201" s="76">
        <v>40185</v>
      </c>
      <c r="O201" s="74" t="s">
        <v>673</v>
      </c>
      <c r="P201" s="127" t="str">
        <f t="shared" si="3"/>
        <v>Dip, KCSE, KCPE, 1, Certificates</v>
      </c>
      <c r="Q201" s="75"/>
      <c r="R201" s="74"/>
      <c r="S201" s="74"/>
      <c r="T201" s="75" t="s">
        <v>901</v>
      </c>
      <c r="U201" s="75" t="s">
        <v>949</v>
      </c>
      <c r="V201" s="75" t="s">
        <v>690</v>
      </c>
      <c r="W201" s="75" t="s">
        <v>691</v>
      </c>
      <c r="X201" s="75"/>
      <c r="Y201" s="75" t="s">
        <v>240</v>
      </c>
      <c r="Z201" s="77" t="s">
        <v>257</v>
      </c>
    </row>
    <row r="202" spans="1:27">
      <c r="A202" s="74">
        <v>183</v>
      </c>
      <c r="B202" s="74">
        <v>185</v>
      </c>
      <c r="C202" s="74">
        <v>20220598203</v>
      </c>
      <c r="D202" s="74" t="s">
        <v>675</v>
      </c>
      <c r="E202" s="74"/>
      <c r="F202" s="75">
        <v>33612960</v>
      </c>
      <c r="G202" s="74" t="s">
        <v>234</v>
      </c>
      <c r="H202" s="74">
        <v>27</v>
      </c>
      <c r="I202" s="75" t="s">
        <v>353</v>
      </c>
      <c r="J202" s="75" t="s">
        <v>650</v>
      </c>
      <c r="K202" s="75" t="s">
        <v>287</v>
      </c>
      <c r="L202" s="75" t="s">
        <v>228</v>
      </c>
      <c r="M202" s="75" t="s">
        <v>377</v>
      </c>
      <c r="N202" s="75" t="s">
        <v>950</v>
      </c>
      <c r="O202" s="74" t="s">
        <v>675</v>
      </c>
      <c r="P202" s="127" t="str">
        <f t="shared" si="3"/>
        <v>Bachelors, KCSE, KCPE</v>
      </c>
      <c r="Q202" s="75"/>
      <c r="R202" s="74"/>
      <c r="S202" s="74" t="s">
        <v>789</v>
      </c>
      <c r="T202" s="75"/>
      <c r="U202" s="75"/>
      <c r="V202" s="75" t="s">
        <v>690</v>
      </c>
      <c r="W202" s="75" t="s">
        <v>691</v>
      </c>
      <c r="X202" s="75"/>
      <c r="Y202" s="75" t="s">
        <v>355</v>
      </c>
      <c r="Z202" s="77" t="s">
        <v>410</v>
      </c>
    </row>
    <row r="203" spans="1:27">
      <c r="A203" s="74">
        <v>184</v>
      </c>
      <c r="B203" s="74">
        <v>186</v>
      </c>
      <c r="C203" s="112">
        <v>20240300921</v>
      </c>
      <c r="D203" s="112" t="s">
        <v>676</v>
      </c>
      <c r="E203" s="112"/>
      <c r="F203" s="113">
        <v>29883776</v>
      </c>
      <c r="G203" s="112" t="s">
        <v>224</v>
      </c>
      <c r="H203" s="112">
        <v>32</v>
      </c>
      <c r="I203" s="113" t="s">
        <v>353</v>
      </c>
      <c r="J203" s="113" t="s">
        <v>650</v>
      </c>
      <c r="K203" s="113" t="s">
        <v>287</v>
      </c>
      <c r="L203" s="113" t="s">
        <v>228</v>
      </c>
      <c r="M203" s="113" t="s">
        <v>454</v>
      </c>
      <c r="N203" s="114">
        <v>45302</v>
      </c>
      <c r="O203" s="112" t="s">
        <v>676</v>
      </c>
      <c r="P203" s="127" t="str">
        <f t="shared" si="3"/>
        <v>Bachelors, KCSE, KCPE</v>
      </c>
      <c r="Q203" s="113"/>
      <c r="R203" s="112"/>
      <c r="S203" s="112" t="s">
        <v>951</v>
      </c>
      <c r="T203" s="113"/>
      <c r="U203" s="113"/>
      <c r="V203" s="75" t="s">
        <v>690</v>
      </c>
      <c r="W203" s="75" t="s">
        <v>691</v>
      </c>
      <c r="X203" s="113"/>
      <c r="Y203" s="75" t="s">
        <v>355</v>
      </c>
      <c r="Z203" s="77" t="s">
        <v>241</v>
      </c>
    </row>
    <row r="204" spans="1:27" s="78" customFormat="1">
      <c r="A204" s="74">
        <v>185</v>
      </c>
      <c r="B204" s="74">
        <v>187</v>
      </c>
      <c r="C204" s="77">
        <v>20250067321</v>
      </c>
      <c r="D204" s="74" t="s">
        <v>677</v>
      </c>
      <c r="E204" s="74"/>
      <c r="F204" s="115">
        <v>37328025</v>
      </c>
      <c r="G204" s="74" t="s">
        <v>234</v>
      </c>
      <c r="I204" s="113" t="s">
        <v>353</v>
      </c>
      <c r="J204" s="75" t="s">
        <v>650</v>
      </c>
      <c r="K204" s="75" t="s">
        <v>287</v>
      </c>
      <c r="L204" s="75" t="s">
        <v>228</v>
      </c>
      <c r="M204" s="116" t="s">
        <v>387</v>
      </c>
      <c r="N204" s="117">
        <v>45693</v>
      </c>
      <c r="O204" s="74" t="s">
        <v>677</v>
      </c>
      <c r="P204" s="127" t="str">
        <f t="shared" si="3"/>
        <v>Bachelors, KCSE, KCPE</v>
      </c>
      <c r="Q204" s="113"/>
      <c r="R204" s="112"/>
      <c r="S204" s="112" t="s">
        <v>952</v>
      </c>
      <c r="T204" s="113"/>
      <c r="U204" s="113"/>
      <c r="V204" s="75" t="s">
        <v>690</v>
      </c>
      <c r="W204" s="113" t="s">
        <v>691</v>
      </c>
      <c r="X204" s="113"/>
      <c r="Y204" s="75" t="s">
        <v>355</v>
      </c>
      <c r="Z204" s="77" t="s">
        <v>251</v>
      </c>
      <c r="AA204" s="118"/>
    </row>
    <row r="205" spans="1:27" s="78" customFormat="1">
      <c r="A205" s="74">
        <v>186</v>
      </c>
      <c r="B205" s="74">
        <v>188</v>
      </c>
      <c r="C205" s="77">
        <v>20250067313</v>
      </c>
      <c r="D205" s="74" t="s">
        <v>678</v>
      </c>
      <c r="E205" s="74"/>
      <c r="F205" s="115">
        <v>37016360</v>
      </c>
      <c r="G205" s="74" t="s">
        <v>224</v>
      </c>
      <c r="I205" s="113" t="s">
        <v>353</v>
      </c>
      <c r="J205" s="75" t="s">
        <v>650</v>
      </c>
      <c r="K205" s="75" t="s">
        <v>287</v>
      </c>
      <c r="L205" s="75" t="s">
        <v>228</v>
      </c>
      <c r="M205" s="116" t="s">
        <v>387</v>
      </c>
      <c r="N205" s="117">
        <v>45693</v>
      </c>
      <c r="O205" s="74" t="s">
        <v>678</v>
      </c>
      <c r="P205" s="127" t="str">
        <f t="shared" si="3"/>
        <v>Bachelors</v>
      </c>
      <c r="Q205" s="113"/>
      <c r="R205" s="112"/>
      <c r="S205" s="112" t="s">
        <v>945</v>
      </c>
      <c r="T205" s="113"/>
      <c r="U205" s="113"/>
      <c r="V205" s="113"/>
      <c r="W205" s="113"/>
      <c r="X205" s="113"/>
      <c r="Y205" s="75" t="s">
        <v>355</v>
      </c>
      <c r="Z205" s="77" t="s">
        <v>389</v>
      </c>
      <c r="AA205" s="118"/>
    </row>
    <row r="206" spans="1:27">
      <c r="R206"/>
      <c r="T206" s="98"/>
      <c r="Y206"/>
    </row>
    <row r="207" spans="1:27" s="67" customFormat="1">
      <c r="F207" s="119" t="s">
        <v>679</v>
      </c>
      <c r="I207" s="120"/>
      <c r="J207" s="120"/>
      <c r="K207" s="120"/>
      <c r="L207" s="120"/>
      <c r="M207" s="120"/>
      <c r="N207" s="120"/>
      <c r="O207" s="120"/>
      <c r="P207" s="120"/>
      <c r="Q207" s="120"/>
      <c r="T207" s="120"/>
      <c r="U207" s="120"/>
      <c r="V207" s="120"/>
      <c r="W207" s="120"/>
      <c r="X207" s="120"/>
    </row>
    <row r="208" spans="1:27">
      <c r="A208" s="74">
        <v>1</v>
      </c>
      <c r="B208" s="74">
        <v>1</v>
      </c>
      <c r="C208" s="74">
        <v>19901899045</v>
      </c>
      <c r="D208" s="74" t="s">
        <v>223</v>
      </c>
      <c r="E208" s="74"/>
      <c r="F208" s="75">
        <v>3731123</v>
      </c>
      <c r="G208" s="74" t="s">
        <v>224</v>
      </c>
      <c r="H208" s="74">
        <v>61</v>
      </c>
      <c r="I208" s="75" t="s">
        <v>680</v>
      </c>
      <c r="J208" s="75" t="s">
        <v>226</v>
      </c>
      <c r="K208" s="75" t="s">
        <v>227</v>
      </c>
      <c r="L208" s="75" t="s">
        <v>228</v>
      </c>
      <c r="M208" s="75" t="s">
        <v>229</v>
      </c>
      <c r="N208" s="75"/>
      <c r="O208" s="75"/>
      <c r="P208" s="75"/>
      <c r="Q208" s="75"/>
      <c r="R208" s="74"/>
      <c r="S208" s="74"/>
      <c r="T208" s="75"/>
      <c r="U208" s="75"/>
      <c r="V208" s="75"/>
      <c r="W208" s="75"/>
      <c r="X208" s="75"/>
      <c r="Y208" s="75" t="s">
        <v>231</v>
      </c>
      <c r="Z208" s="77" t="s">
        <v>232</v>
      </c>
    </row>
    <row r="209" spans="1:27">
      <c r="A209" s="74">
        <v>136</v>
      </c>
      <c r="B209" s="74">
        <v>2</v>
      </c>
      <c r="C209" s="74">
        <v>20106534561</v>
      </c>
      <c r="D209" s="74" t="s">
        <v>573</v>
      </c>
      <c r="E209" s="74"/>
      <c r="F209" s="75">
        <v>14450937</v>
      </c>
      <c r="G209" s="74" t="s">
        <v>224</v>
      </c>
      <c r="H209" s="74">
        <v>49</v>
      </c>
      <c r="I209" s="75" t="s">
        <v>681</v>
      </c>
      <c r="J209" s="75" t="s">
        <v>226</v>
      </c>
      <c r="K209" s="75" t="s">
        <v>575</v>
      </c>
      <c r="L209" s="75" t="s">
        <v>228</v>
      </c>
      <c r="M209" s="75" t="s">
        <v>576</v>
      </c>
      <c r="N209" s="75"/>
      <c r="O209" s="75"/>
      <c r="P209" s="75"/>
      <c r="Q209" s="75"/>
      <c r="R209" s="74"/>
      <c r="S209" s="74"/>
      <c r="T209" s="75"/>
      <c r="U209" s="75"/>
      <c r="V209" s="75"/>
      <c r="W209" s="75"/>
      <c r="X209" s="75"/>
      <c r="Y209" s="75" t="s">
        <v>231</v>
      </c>
      <c r="Z209" s="77" t="s">
        <v>251</v>
      </c>
    </row>
    <row r="210" spans="1:27">
      <c r="A210" s="74">
        <v>45</v>
      </c>
      <c r="B210" s="74">
        <v>3</v>
      </c>
      <c r="C210" s="74">
        <v>20020838693</v>
      </c>
      <c r="D210" s="74" t="s">
        <v>567</v>
      </c>
      <c r="E210" s="74"/>
      <c r="F210" s="75">
        <v>21301415</v>
      </c>
      <c r="G210" s="74" t="s">
        <v>224</v>
      </c>
      <c r="H210" s="74">
        <v>48</v>
      </c>
      <c r="I210" s="75" t="s">
        <v>682</v>
      </c>
      <c r="J210" s="75" t="s">
        <v>374</v>
      </c>
      <c r="K210" s="75" t="s">
        <v>301</v>
      </c>
      <c r="L210" s="75" t="s">
        <v>228</v>
      </c>
      <c r="M210" s="75" t="s">
        <v>568</v>
      </c>
      <c r="N210" s="75"/>
      <c r="O210" s="75"/>
      <c r="P210" s="75"/>
      <c r="Q210" s="75"/>
      <c r="R210" s="74"/>
      <c r="S210" s="74"/>
      <c r="T210" s="75"/>
      <c r="U210" s="75"/>
      <c r="V210" s="75"/>
      <c r="W210" s="75"/>
      <c r="X210" s="75"/>
      <c r="Y210" s="75" t="s">
        <v>240</v>
      </c>
      <c r="Z210" s="77" t="s">
        <v>232</v>
      </c>
    </row>
    <row r="211" spans="1:27">
      <c r="A211" s="74">
        <v>14</v>
      </c>
      <c r="B211" s="74">
        <v>4</v>
      </c>
      <c r="C211" s="74">
        <v>19871318408</v>
      </c>
      <c r="D211" s="74" t="s">
        <v>293</v>
      </c>
      <c r="E211" s="74"/>
      <c r="F211" s="75">
        <v>5336502</v>
      </c>
      <c r="G211" s="74" t="s">
        <v>224</v>
      </c>
      <c r="H211" s="74">
        <v>65</v>
      </c>
      <c r="I211" s="75" t="s">
        <v>953</v>
      </c>
      <c r="J211" s="75" t="s">
        <v>295</v>
      </c>
      <c r="K211" s="75" t="s">
        <v>296</v>
      </c>
      <c r="L211" s="75" t="s">
        <v>228</v>
      </c>
      <c r="M211" s="75" t="s">
        <v>297</v>
      </c>
      <c r="N211" s="75"/>
      <c r="O211" s="75"/>
      <c r="P211" s="75"/>
      <c r="Q211" s="75"/>
      <c r="R211" s="74"/>
      <c r="S211" s="74"/>
      <c r="T211" s="75"/>
      <c r="U211" s="75"/>
      <c r="V211" s="75"/>
      <c r="W211" s="75"/>
      <c r="X211" s="75"/>
      <c r="Y211" s="75" t="s">
        <v>240</v>
      </c>
      <c r="Z211" s="77" t="s">
        <v>298</v>
      </c>
    </row>
    <row r="212" spans="1:27">
      <c r="A212" s="74">
        <v>3</v>
      </c>
      <c r="B212" s="74">
        <v>5</v>
      </c>
      <c r="C212" s="74">
        <v>20114215626</v>
      </c>
      <c r="D212" s="74" t="s">
        <v>242</v>
      </c>
      <c r="E212" s="74"/>
      <c r="F212" s="75">
        <v>13361887</v>
      </c>
      <c r="G212" s="74" t="s">
        <v>224</v>
      </c>
      <c r="H212" s="74">
        <v>53</v>
      </c>
      <c r="I212" s="75" t="s">
        <v>683</v>
      </c>
      <c r="J212" s="75" t="s">
        <v>236</v>
      </c>
      <c r="K212" s="75" t="s">
        <v>237</v>
      </c>
      <c r="L212" s="75" t="s">
        <v>228</v>
      </c>
      <c r="M212" s="75" t="s">
        <v>244</v>
      </c>
      <c r="N212" s="75"/>
      <c r="O212" s="75"/>
      <c r="P212" s="75"/>
      <c r="Q212" s="75"/>
      <c r="R212" s="74"/>
      <c r="S212" s="74"/>
      <c r="T212" s="75"/>
      <c r="U212" s="75"/>
      <c r="V212" s="75"/>
      <c r="W212" s="75"/>
      <c r="X212" s="75"/>
      <c r="Y212" s="75" t="s">
        <v>240</v>
      </c>
      <c r="Z212" s="77" t="s">
        <v>246</v>
      </c>
    </row>
    <row r="213" spans="1:27">
      <c r="A213" s="74">
        <v>56</v>
      </c>
      <c r="B213" s="74">
        <v>6</v>
      </c>
      <c r="C213" s="74">
        <v>19920654373</v>
      </c>
      <c r="D213" s="74" t="s">
        <v>392</v>
      </c>
      <c r="E213" s="74"/>
      <c r="F213" s="75">
        <v>8735350</v>
      </c>
      <c r="G213" s="74" t="s">
        <v>224</v>
      </c>
      <c r="H213" s="74">
        <v>58</v>
      </c>
      <c r="I213" s="75" t="s">
        <v>684</v>
      </c>
      <c r="J213" s="75" t="s">
        <v>394</v>
      </c>
      <c r="K213" s="75" t="s">
        <v>301</v>
      </c>
      <c r="L213" s="75" t="s">
        <v>228</v>
      </c>
      <c r="M213" s="75" t="s">
        <v>395</v>
      </c>
      <c r="N213" s="75"/>
      <c r="O213" s="75"/>
      <c r="P213" s="75"/>
      <c r="Q213" s="75"/>
      <c r="R213" s="74"/>
      <c r="S213" s="74"/>
      <c r="T213" s="75"/>
      <c r="U213" s="75"/>
      <c r="V213" s="75"/>
      <c r="W213" s="75"/>
      <c r="X213" s="75"/>
      <c r="Y213" s="75" t="s">
        <v>240</v>
      </c>
      <c r="Z213" s="77" t="s">
        <v>316</v>
      </c>
    </row>
    <row r="214" spans="1:27">
      <c r="A214" s="74">
        <v>124</v>
      </c>
      <c r="B214" s="74">
        <v>7</v>
      </c>
      <c r="C214" s="74">
        <v>20060934015</v>
      </c>
      <c r="D214" s="74" t="s">
        <v>545</v>
      </c>
      <c r="E214" s="74"/>
      <c r="F214" s="75">
        <v>13754943</v>
      </c>
      <c r="G214" s="74" t="s">
        <v>234</v>
      </c>
      <c r="H214" s="74">
        <v>49</v>
      </c>
      <c r="I214" s="75" t="s">
        <v>685</v>
      </c>
      <c r="J214" s="75" t="s">
        <v>269</v>
      </c>
      <c r="K214" s="75" t="s">
        <v>296</v>
      </c>
      <c r="L214" s="75" t="s">
        <v>228</v>
      </c>
      <c r="M214" s="75" t="s">
        <v>547</v>
      </c>
      <c r="N214" s="75"/>
      <c r="O214" s="75"/>
      <c r="P214" s="75"/>
      <c r="Q214" s="75"/>
      <c r="R214" s="74"/>
      <c r="S214" s="74"/>
      <c r="T214" s="75"/>
      <c r="U214" s="75"/>
      <c r="V214" s="75"/>
      <c r="W214" s="75"/>
      <c r="X214" s="75"/>
      <c r="Y214" s="75" t="s">
        <v>240</v>
      </c>
      <c r="Z214" s="77" t="s">
        <v>246</v>
      </c>
    </row>
    <row r="215" spans="1:27">
      <c r="A215" s="121"/>
      <c r="B215" s="121"/>
      <c r="C215" s="121"/>
      <c r="D215" s="121"/>
      <c r="E215" s="121"/>
      <c r="F215" s="122"/>
      <c r="G215" s="121"/>
      <c r="H215" s="121"/>
      <c r="I215" s="122"/>
      <c r="J215" s="122"/>
      <c r="K215" s="122"/>
      <c r="L215" s="122"/>
      <c r="M215" s="122"/>
      <c r="N215" s="122"/>
      <c r="O215" s="122"/>
      <c r="P215" s="122"/>
      <c r="Q215" s="122"/>
      <c r="R215" s="122"/>
      <c r="S215" s="121"/>
      <c r="T215" s="121"/>
      <c r="U215" s="122"/>
      <c r="V215" s="122"/>
      <c r="W215" s="122"/>
      <c r="X215" s="122"/>
      <c r="Y215" s="122"/>
      <c r="Z215" s="122"/>
      <c r="AA215" s="95"/>
    </row>
    <row r="216" spans="1:27">
      <c r="C216" s="95" t="s">
        <v>954</v>
      </c>
      <c r="D216" s="121" t="s">
        <v>955</v>
      </c>
      <c r="E216" s="121"/>
      <c r="F216" s="123" t="s">
        <v>956</v>
      </c>
    </row>
    <row r="217" spans="1:27">
      <c r="C217">
        <v>1</v>
      </c>
      <c r="D217" s="121" t="s">
        <v>957</v>
      </c>
      <c r="E217" s="121"/>
      <c r="F217" s="98">
        <v>86</v>
      </c>
    </row>
    <row r="218" spans="1:27">
      <c r="C218">
        <v>2</v>
      </c>
      <c r="D218" s="121" t="s">
        <v>958</v>
      </c>
      <c r="E218" s="121"/>
      <c r="F218" s="98">
        <v>77</v>
      </c>
    </row>
    <row r="219" spans="1:27">
      <c r="C219">
        <v>3</v>
      </c>
      <c r="D219" s="121" t="s">
        <v>959</v>
      </c>
      <c r="E219" s="121"/>
      <c r="F219" s="98">
        <v>25</v>
      </c>
    </row>
    <row r="220" spans="1:27">
      <c r="D220" s="121" t="s">
        <v>960</v>
      </c>
      <c r="E220" s="121"/>
      <c r="F220" s="98">
        <f>SUM(F217:F219)</f>
        <v>188</v>
      </c>
    </row>
  </sheetData>
  <mergeCells count="2">
    <mergeCell ref="Q1:X1"/>
    <mergeCell ref="D2:I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8"/>
  <sheetViews>
    <sheetView workbookViewId="0">
      <selection activeCell="C4" sqref="C4"/>
    </sheetView>
  </sheetViews>
  <sheetFormatPr defaultRowHeight="14.4"/>
  <cols>
    <col min="1" max="1" width="6" bestFit="1" customWidth="1"/>
    <col min="2" max="2" width="8.44140625" bestFit="1" customWidth="1"/>
    <col min="3" max="3" width="15" bestFit="1" customWidth="1"/>
    <col min="4" max="4" width="36.44140625" bestFit="1" customWidth="1"/>
    <col min="5" max="5" width="45.88671875" bestFit="1" customWidth="1"/>
    <col min="6" max="6" width="7.5546875" bestFit="1" customWidth="1"/>
    <col min="7" max="7" width="4.44140625" bestFit="1" customWidth="1"/>
    <col min="8" max="8" width="60.109375" bestFit="1" customWidth="1"/>
    <col min="9" max="9" width="33" bestFit="1" customWidth="1"/>
    <col min="10" max="10" width="9.88671875" bestFit="1" customWidth="1"/>
    <col min="11" max="11" width="25.109375" bestFit="1" customWidth="1"/>
    <col min="12" max="12" width="10.6640625" bestFit="1" customWidth="1"/>
    <col min="13" max="13" width="14.88671875" bestFit="1" customWidth="1"/>
    <col min="14" max="14" width="20.6640625" bestFit="1" customWidth="1"/>
    <col min="15" max="15" width="15.33203125" bestFit="1" customWidth="1"/>
  </cols>
  <sheetData>
    <row r="1" spans="1:15">
      <c r="A1" t="s">
        <v>208</v>
      </c>
      <c r="B1" t="e">
        <v>#NAME?</v>
      </c>
      <c r="C1" t="s">
        <v>209</v>
      </c>
      <c r="D1" t="s">
        <v>210</v>
      </c>
      <c r="E1" t="s">
        <v>211</v>
      </c>
      <c r="F1" t="s">
        <v>212</v>
      </c>
      <c r="G1" t="s">
        <v>213</v>
      </c>
      <c r="H1" t="s">
        <v>214</v>
      </c>
      <c r="I1" t="s">
        <v>215</v>
      </c>
      <c r="J1" t="s">
        <v>216</v>
      </c>
      <c r="K1" t="s">
        <v>217</v>
      </c>
      <c r="L1" t="s">
        <v>218</v>
      </c>
      <c r="M1" t="s">
        <v>219</v>
      </c>
      <c r="N1" t="s">
        <v>220</v>
      </c>
      <c r="O1" t="s">
        <v>221</v>
      </c>
    </row>
    <row r="2" spans="1:15">
      <c r="D2" t="s">
        <v>222</v>
      </c>
    </row>
    <row r="3" spans="1:15">
      <c r="A3">
        <v>1</v>
      </c>
      <c r="B3">
        <v>1</v>
      </c>
      <c r="C3">
        <v>19901899045</v>
      </c>
      <c r="D3" t="s">
        <v>223</v>
      </c>
      <c r="E3">
        <v>3731123</v>
      </c>
      <c r="F3" t="s">
        <v>224</v>
      </c>
      <c r="G3">
        <v>61</v>
      </c>
      <c r="H3" t="s">
        <v>225</v>
      </c>
      <c r="I3" t="s">
        <v>226</v>
      </c>
      <c r="J3" t="s">
        <v>227</v>
      </c>
      <c r="K3" t="s">
        <v>228</v>
      </c>
      <c r="L3" t="s">
        <v>229</v>
      </c>
      <c r="M3" t="s">
        <v>230</v>
      </c>
      <c r="N3" t="s">
        <v>231</v>
      </c>
      <c r="O3" t="s">
        <v>232</v>
      </c>
    </row>
    <row r="4" spans="1:15">
      <c r="A4">
        <v>2</v>
      </c>
      <c r="B4">
        <v>2</v>
      </c>
      <c r="C4">
        <v>19990495773</v>
      </c>
      <c r="D4" t="s">
        <v>233</v>
      </c>
      <c r="E4">
        <v>12701644</v>
      </c>
      <c r="F4" t="s">
        <v>234</v>
      </c>
      <c r="G4">
        <v>50</v>
      </c>
      <c r="H4" t="s">
        <v>235</v>
      </c>
      <c r="I4" t="s">
        <v>236</v>
      </c>
      <c r="J4" t="s">
        <v>237</v>
      </c>
      <c r="K4" t="s">
        <v>228</v>
      </c>
      <c r="L4" t="s">
        <v>238</v>
      </c>
      <c r="M4" t="s">
        <v>239</v>
      </c>
      <c r="N4" t="s">
        <v>240</v>
      </c>
      <c r="O4" t="s">
        <v>241</v>
      </c>
    </row>
    <row r="5" spans="1:15">
      <c r="A5">
        <v>3</v>
      </c>
      <c r="B5">
        <v>3</v>
      </c>
      <c r="C5">
        <v>20114215626</v>
      </c>
      <c r="D5" t="s">
        <v>242</v>
      </c>
      <c r="E5">
        <v>13361887</v>
      </c>
      <c r="F5" t="s">
        <v>224</v>
      </c>
      <c r="G5">
        <v>53</v>
      </c>
      <c r="H5" t="s">
        <v>243</v>
      </c>
      <c r="I5" t="s">
        <v>236</v>
      </c>
      <c r="J5" t="s">
        <v>237</v>
      </c>
      <c r="K5" t="s">
        <v>228</v>
      </c>
      <c r="L5" t="s">
        <v>244</v>
      </c>
      <c r="M5" t="s">
        <v>245</v>
      </c>
      <c r="N5" t="s">
        <v>240</v>
      </c>
      <c r="O5" t="s">
        <v>246</v>
      </c>
    </row>
    <row r="6" spans="1:15">
      <c r="A6">
        <v>4</v>
      </c>
      <c r="B6">
        <v>4</v>
      </c>
      <c r="C6">
        <v>19990495650</v>
      </c>
      <c r="D6" t="s">
        <v>247</v>
      </c>
      <c r="E6">
        <v>13819220</v>
      </c>
      <c r="F6" t="s">
        <v>234</v>
      </c>
      <c r="G6">
        <v>49</v>
      </c>
      <c r="H6" t="s">
        <v>248</v>
      </c>
      <c r="I6" t="s">
        <v>249</v>
      </c>
      <c r="J6" t="s">
        <v>237</v>
      </c>
      <c r="K6" t="s">
        <v>228</v>
      </c>
      <c r="L6" t="s">
        <v>250</v>
      </c>
      <c r="M6" t="s">
        <v>245</v>
      </c>
      <c r="N6" t="s">
        <v>240</v>
      </c>
      <c r="O6" t="s">
        <v>251</v>
      </c>
    </row>
    <row r="7" spans="1:15">
      <c r="A7">
        <v>5</v>
      </c>
      <c r="B7">
        <v>5</v>
      </c>
      <c r="C7">
        <v>20160708902</v>
      </c>
      <c r="D7" t="s">
        <v>252</v>
      </c>
      <c r="E7">
        <v>24938714</v>
      </c>
      <c r="F7" t="s">
        <v>224</v>
      </c>
      <c r="G7">
        <v>38</v>
      </c>
      <c r="H7" t="s">
        <v>253</v>
      </c>
      <c r="I7" t="s">
        <v>236</v>
      </c>
      <c r="J7" t="s">
        <v>254</v>
      </c>
      <c r="K7" t="s">
        <v>228</v>
      </c>
      <c r="L7" t="s">
        <v>255</v>
      </c>
      <c r="M7" t="s">
        <v>256</v>
      </c>
      <c r="N7" t="s">
        <v>231</v>
      </c>
      <c r="O7" t="s">
        <v>257</v>
      </c>
    </row>
    <row r="8" spans="1:15">
      <c r="A8">
        <v>6</v>
      </c>
      <c r="B8">
        <v>6</v>
      </c>
      <c r="C8">
        <v>20220598180</v>
      </c>
      <c r="D8" t="s">
        <v>258</v>
      </c>
      <c r="E8">
        <v>31860798</v>
      </c>
      <c r="F8" t="s">
        <v>224</v>
      </c>
      <c r="G8">
        <v>30</v>
      </c>
      <c r="H8" t="s">
        <v>259</v>
      </c>
      <c r="I8" t="s">
        <v>236</v>
      </c>
      <c r="J8" t="s">
        <v>254</v>
      </c>
      <c r="K8" t="s">
        <v>228</v>
      </c>
      <c r="L8" t="s">
        <v>260</v>
      </c>
      <c r="M8" t="s">
        <v>256</v>
      </c>
      <c r="N8" t="s">
        <v>231</v>
      </c>
      <c r="O8" t="s">
        <v>257</v>
      </c>
    </row>
    <row r="9" spans="1:15">
      <c r="A9">
        <v>7</v>
      </c>
      <c r="B9">
        <v>7</v>
      </c>
      <c r="C9">
        <v>19990495812</v>
      </c>
      <c r="D9" t="s">
        <v>261</v>
      </c>
      <c r="E9">
        <v>20257607</v>
      </c>
      <c r="F9" t="s">
        <v>234</v>
      </c>
      <c r="G9">
        <v>48</v>
      </c>
      <c r="H9" t="s">
        <v>262</v>
      </c>
      <c r="I9" t="s">
        <v>236</v>
      </c>
      <c r="J9" t="s">
        <v>263</v>
      </c>
      <c r="K9" t="s">
        <v>228</v>
      </c>
      <c r="L9" t="s">
        <v>264</v>
      </c>
      <c r="M9" t="s">
        <v>265</v>
      </c>
      <c r="N9" t="s">
        <v>240</v>
      </c>
      <c r="O9" t="s">
        <v>266</v>
      </c>
    </row>
    <row r="10" spans="1:15">
      <c r="A10">
        <v>8</v>
      </c>
      <c r="B10">
        <v>8</v>
      </c>
      <c r="C10">
        <v>20121211099</v>
      </c>
      <c r="D10" t="s">
        <v>267</v>
      </c>
      <c r="E10">
        <v>13783232</v>
      </c>
      <c r="F10" t="s">
        <v>224</v>
      </c>
      <c r="G10">
        <v>50</v>
      </c>
      <c r="H10" t="s">
        <v>268</v>
      </c>
      <c r="I10" t="s">
        <v>269</v>
      </c>
      <c r="J10" t="s">
        <v>270</v>
      </c>
      <c r="K10" t="s">
        <v>228</v>
      </c>
      <c r="L10" t="s">
        <v>271</v>
      </c>
      <c r="M10" t="s">
        <v>272</v>
      </c>
      <c r="N10" t="s">
        <v>240</v>
      </c>
      <c r="O10" t="s">
        <v>273</v>
      </c>
    </row>
    <row r="11" spans="1:15">
      <c r="A11">
        <v>9</v>
      </c>
      <c r="B11">
        <v>9</v>
      </c>
      <c r="C11">
        <v>20077018333</v>
      </c>
      <c r="D11" t="s">
        <v>274</v>
      </c>
      <c r="E11">
        <v>10998397</v>
      </c>
      <c r="F11" t="s">
        <v>234</v>
      </c>
      <c r="G11">
        <v>53</v>
      </c>
      <c r="H11" t="s">
        <v>275</v>
      </c>
      <c r="I11" t="s">
        <v>236</v>
      </c>
      <c r="J11" t="s">
        <v>276</v>
      </c>
      <c r="K11" t="s">
        <v>228</v>
      </c>
      <c r="L11" t="s">
        <v>277</v>
      </c>
      <c r="M11" t="s">
        <v>278</v>
      </c>
      <c r="N11" t="s">
        <v>240</v>
      </c>
      <c r="O11" t="s">
        <v>232</v>
      </c>
    </row>
    <row r="12" spans="1:15">
      <c r="A12">
        <v>10</v>
      </c>
      <c r="B12">
        <v>10</v>
      </c>
      <c r="C12">
        <v>20077018202</v>
      </c>
      <c r="D12" t="s">
        <v>279</v>
      </c>
      <c r="E12">
        <v>13133273</v>
      </c>
      <c r="F12" t="s">
        <v>234</v>
      </c>
      <c r="G12">
        <v>51</v>
      </c>
      <c r="H12" t="s">
        <v>280</v>
      </c>
      <c r="I12" t="s">
        <v>236</v>
      </c>
      <c r="J12" t="s">
        <v>270</v>
      </c>
      <c r="K12" t="s">
        <v>228</v>
      </c>
      <c r="L12" t="s">
        <v>281</v>
      </c>
      <c r="M12" t="s">
        <v>272</v>
      </c>
      <c r="N12" t="s">
        <v>240</v>
      </c>
      <c r="O12" t="s">
        <v>246</v>
      </c>
    </row>
    <row r="13" spans="1:15">
      <c r="A13">
        <v>11</v>
      </c>
      <c r="B13">
        <v>11</v>
      </c>
      <c r="C13">
        <v>20220598130</v>
      </c>
      <c r="D13" t="s">
        <v>282</v>
      </c>
      <c r="E13">
        <v>35698228</v>
      </c>
      <c r="F13" t="s">
        <v>234</v>
      </c>
      <c r="G13">
        <v>27</v>
      </c>
      <c r="H13" t="s">
        <v>283</v>
      </c>
      <c r="I13" t="s">
        <v>236</v>
      </c>
      <c r="J13" t="s">
        <v>270</v>
      </c>
      <c r="K13" t="s">
        <v>228</v>
      </c>
      <c r="L13" t="s">
        <v>260</v>
      </c>
      <c r="M13" t="s">
        <v>284</v>
      </c>
      <c r="N13" t="s">
        <v>231</v>
      </c>
      <c r="O13" t="s">
        <v>266</v>
      </c>
    </row>
    <row r="14" spans="1:15">
      <c r="A14">
        <v>12</v>
      </c>
      <c r="B14">
        <v>12</v>
      </c>
      <c r="C14">
        <v>20077018391</v>
      </c>
      <c r="D14" t="s">
        <v>285</v>
      </c>
      <c r="E14">
        <v>11625899</v>
      </c>
      <c r="F14" t="s">
        <v>234</v>
      </c>
      <c r="G14">
        <v>52</v>
      </c>
      <c r="H14" t="s">
        <v>286</v>
      </c>
      <c r="I14" t="s">
        <v>236</v>
      </c>
      <c r="J14" t="s">
        <v>287</v>
      </c>
      <c r="K14" t="s">
        <v>228</v>
      </c>
      <c r="L14" t="s">
        <v>288</v>
      </c>
      <c r="M14" t="s">
        <v>265</v>
      </c>
      <c r="N14" t="s">
        <v>240</v>
      </c>
      <c r="O14" t="s">
        <v>289</v>
      </c>
    </row>
    <row r="15" spans="1:15">
      <c r="A15">
        <v>13</v>
      </c>
      <c r="B15">
        <v>13</v>
      </c>
      <c r="C15">
        <v>20240300989</v>
      </c>
      <c r="D15" t="s">
        <v>290</v>
      </c>
      <c r="E15">
        <v>36675697</v>
      </c>
      <c r="F15" t="s">
        <v>234</v>
      </c>
      <c r="G15">
        <v>26</v>
      </c>
      <c r="H15" t="s">
        <v>286</v>
      </c>
      <c r="I15" t="s">
        <v>236</v>
      </c>
      <c r="J15" t="s">
        <v>287</v>
      </c>
      <c r="K15" t="s">
        <v>228</v>
      </c>
      <c r="L15" t="s">
        <v>291</v>
      </c>
      <c r="M15" t="s">
        <v>272</v>
      </c>
      <c r="N15" t="s">
        <v>231</v>
      </c>
      <c r="O15" t="s">
        <v>251</v>
      </c>
    </row>
    <row r="16" spans="1:15">
      <c r="E16" t="s">
        <v>292</v>
      </c>
    </row>
    <row r="17" spans="1:15">
      <c r="A17">
        <v>14</v>
      </c>
      <c r="B17">
        <v>14</v>
      </c>
      <c r="C17">
        <v>19871318408</v>
      </c>
      <c r="D17" t="s">
        <v>293</v>
      </c>
      <c r="E17">
        <v>5336502</v>
      </c>
      <c r="F17" t="s">
        <v>224</v>
      </c>
      <c r="G17">
        <v>65</v>
      </c>
      <c r="H17" t="s">
        <v>294</v>
      </c>
      <c r="I17" t="s">
        <v>295</v>
      </c>
      <c r="J17" t="s">
        <v>296</v>
      </c>
      <c r="K17" t="s">
        <v>228</v>
      </c>
      <c r="L17" t="s">
        <v>297</v>
      </c>
      <c r="M17" t="s">
        <v>230</v>
      </c>
      <c r="N17" t="s">
        <v>240</v>
      </c>
      <c r="O17" t="s">
        <v>298</v>
      </c>
    </row>
    <row r="18" spans="1:15">
      <c r="A18">
        <v>15</v>
      </c>
      <c r="B18">
        <v>15</v>
      </c>
      <c r="C18">
        <v>20077017769</v>
      </c>
      <c r="D18" t="s">
        <v>299</v>
      </c>
      <c r="E18">
        <v>21963939</v>
      </c>
      <c r="F18" t="s">
        <v>234</v>
      </c>
      <c r="G18">
        <v>44</v>
      </c>
      <c r="H18" t="s">
        <v>300</v>
      </c>
      <c r="I18" t="s">
        <v>295</v>
      </c>
      <c r="J18" t="s">
        <v>301</v>
      </c>
      <c r="K18" t="s">
        <v>228</v>
      </c>
      <c r="L18" t="s">
        <v>302</v>
      </c>
      <c r="M18" t="s">
        <v>230</v>
      </c>
      <c r="N18" t="s">
        <v>240</v>
      </c>
      <c r="O18" t="s">
        <v>257</v>
      </c>
    </row>
    <row r="19" spans="1:15">
      <c r="A19">
        <v>16</v>
      </c>
      <c r="B19">
        <v>16</v>
      </c>
      <c r="C19">
        <v>20030731445</v>
      </c>
      <c r="D19" t="s">
        <v>303</v>
      </c>
      <c r="E19">
        <v>20742989</v>
      </c>
      <c r="F19" t="s">
        <v>224</v>
      </c>
      <c r="G19">
        <v>47</v>
      </c>
      <c r="H19" t="s">
        <v>304</v>
      </c>
      <c r="I19" t="s">
        <v>295</v>
      </c>
      <c r="J19" t="s">
        <v>224</v>
      </c>
      <c r="K19" t="s">
        <v>228</v>
      </c>
      <c r="L19" t="s">
        <v>305</v>
      </c>
      <c r="M19" t="s">
        <v>245</v>
      </c>
      <c r="N19" t="s">
        <v>240</v>
      </c>
      <c r="O19" t="s">
        <v>232</v>
      </c>
    </row>
    <row r="20" spans="1:15">
      <c r="A20">
        <v>17</v>
      </c>
      <c r="B20">
        <v>17</v>
      </c>
      <c r="C20">
        <v>20178600817</v>
      </c>
      <c r="D20" t="s">
        <v>306</v>
      </c>
      <c r="E20">
        <v>28951215</v>
      </c>
      <c r="F20" t="s">
        <v>224</v>
      </c>
      <c r="G20">
        <v>33</v>
      </c>
      <c r="H20" t="s">
        <v>307</v>
      </c>
      <c r="I20" t="s">
        <v>295</v>
      </c>
      <c r="J20" t="s">
        <v>224</v>
      </c>
      <c r="K20" t="s">
        <v>228</v>
      </c>
      <c r="L20" t="s">
        <v>308</v>
      </c>
      <c r="M20" t="s">
        <v>245</v>
      </c>
      <c r="N20" t="s">
        <v>231</v>
      </c>
      <c r="O20" t="s">
        <v>241</v>
      </c>
    </row>
    <row r="21" spans="1:15">
      <c r="A21">
        <v>18</v>
      </c>
      <c r="B21">
        <v>18</v>
      </c>
      <c r="C21">
        <v>20178600833</v>
      </c>
      <c r="D21" t="s">
        <v>309</v>
      </c>
      <c r="E21">
        <v>28189079</v>
      </c>
      <c r="F21" t="s">
        <v>234</v>
      </c>
      <c r="G21">
        <v>34</v>
      </c>
      <c r="H21" t="s">
        <v>307</v>
      </c>
      <c r="I21" t="s">
        <v>295</v>
      </c>
      <c r="J21" t="s">
        <v>224</v>
      </c>
      <c r="K21" t="s">
        <v>228</v>
      </c>
      <c r="L21" t="s">
        <v>308</v>
      </c>
      <c r="M21" t="s">
        <v>245</v>
      </c>
      <c r="N21" t="s">
        <v>231</v>
      </c>
      <c r="O21" t="s">
        <v>310</v>
      </c>
    </row>
    <row r="22" spans="1:15">
      <c r="A22">
        <v>19</v>
      </c>
      <c r="B22">
        <v>19</v>
      </c>
      <c r="C22">
        <v>20010746137</v>
      </c>
      <c r="D22" t="s">
        <v>311</v>
      </c>
      <c r="E22">
        <v>13634152</v>
      </c>
      <c r="F22" t="s">
        <v>234</v>
      </c>
      <c r="G22">
        <v>49</v>
      </c>
      <c r="H22" t="s">
        <v>312</v>
      </c>
      <c r="I22" t="s">
        <v>295</v>
      </c>
      <c r="J22" t="s">
        <v>254</v>
      </c>
      <c r="K22" t="s">
        <v>228</v>
      </c>
      <c r="L22" t="s">
        <v>313</v>
      </c>
      <c r="M22" t="s">
        <v>256</v>
      </c>
      <c r="N22" t="s">
        <v>240</v>
      </c>
      <c r="O22" t="s">
        <v>241</v>
      </c>
    </row>
    <row r="23" spans="1:15">
      <c r="A23">
        <v>20</v>
      </c>
      <c r="B23">
        <v>20</v>
      </c>
      <c r="C23">
        <v>20220597833</v>
      </c>
      <c r="D23" t="s">
        <v>314</v>
      </c>
      <c r="E23">
        <v>34811881</v>
      </c>
      <c r="F23" t="s">
        <v>234</v>
      </c>
      <c r="G23">
        <v>28</v>
      </c>
      <c r="H23" t="s">
        <v>315</v>
      </c>
      <c r="I23" t="s">
        <v>295</v>
      </c>
      <c r="J23" t="s">
        <v>254</v>
      </c>
      <c r="K23" t="s">
        <v>228</v>
      </c>
      <c r="L23" t="s">
        <v>260</v>
      </c>
      <c r="M23" t="s">
        <v>256</v>
      </c>
      <c r="N23" t="s">
        <v>231</v>
      </c>
      <c r="O23" t="s">
        <v>316</v>
      </c>
    </row>
    <row r="24" spans="1:15">
      <c r="A24">
        <v>21</v>
      </c>
      <c r="B24">
        <v>21</v>
      </c>
      <c r="C24">
        <v>20089224039</v>
      </c>
      <c r="D24" t="s">
        <v>317</v>
      </c>
      <c r="E24">
        <v>22245948</v>
      </c>
      <c r="F24" t="s">
        <v>234</v>
      </c>
      <c r="G24">
        <v>46</v>
      </c>
      <c r="H24" t="s">
        <v>318</v>
      </c>
      <c r="I24" t="s">
        <v>295</v>
      </c>
      <c r="J24" t="s">
        <v>276</v>
      </c>
      <c r="K24" t="s">
        <v>228</v>
      </c>
      <c r="L24" t="s">
        <v>319</v>
      </c>
      <c r="M24" t="s">
        <v>265</v>
      </c>
      <c r="N24" t="s">
        <v>240</v>
      </c>
      <c r="O24" t="s">
        <v>232</v>
      </c>
    </row>
    <row r="25" spans="1:15">
      <c r="A25">
        <v>22</v>
      </c>
      <c r="B25">
        <v>22</v>
      </c>
      <c r="C25">
        <v>20114215537</v>
      </c>
      <c r="D25" t="s">
        <v>320</v>
      </c>
      <c r="E25">
        <v>10344158</v>
      </c>
      <c r="F25" t="s">
        <v>224</v>
      </c>
      <c r="G25">
        <v>55</v>
      </c>
      <c r="H25" t="s">
        <v>318</v>
      </c>
      <c r="I25" t="s">
        <v>295</v>
      </c>
      <c r="J25" t="s">
        <v>276</v>
      </c>
      <c r="K25" t="s">
        <v>228</v>
      </c>
      <c r="L25" t="s">
        <v>321</v>
      </c>
      <c r="M25" t="s">
        <v>256</v>
      </c>
      <c r="N25" t="s">
        <v>240</v>
      </c>
      <c r="O25" t="s">
        <v>257</v>
      </c>
    </row>
    <row r="26" spans="1:15">
      <c r="A26">
        <v>23</v>
      </c>
      <c r="B26">
        <v>23</v>
      </c>
      <c r="C26">
        <v>20142576250</v>
      </c>
      <c r="D26" t="s">
        <v>322</v>
      </c>
      <c r="E26">
        <v>26426983</v>
      </c>
      <c r="F26" t="s">
        <v>234</v>
      </c>
      <c r="G26">
        <v>36</v>
      </c>
      <c r="H26" t="s">
        <v>323</v>
      </c>
      <c r="I26" t="s">
        <v>295</v>
      </c>
      <c r="J26" t="s">
        <v>276</v>
      </c>
      <c r="K26" t="s">
        <v>228</v>
      </c>
      <c r="L26" t="s">
        <v>324</v>
      </c>
      <c r="M26" t="s">
        <v>256</v>
      </c>
      <c r="N26" t="s">
        <v>240</v>
      </c>
      <c r="O26" t="s">
        <v>266</v>
      </c>
    </row>
    <row r="27" spans="1:15">
      <c r="A27">
        <v>24</v>
      </c>
      <c r="B27">
        <v>24</v>
      </c>
      <c r="C27">
        <v>20152655226</v>
      </c>
      <c r="D27" t="s">
        <v>325</v>
      </c>
      <c r="E27">
        <v>25584197</v>
      </c>
      <c r="F27" t="s">
        <v>224</v>
      </c>
      <c r="G27">
        <v>37</v>
      </c>
      <c r="H27" t="s">
        <v>318</v>
      </c>
      <c r="I27" t="s">
        <v>295</v>
      </c>
      <c r="J27" t="s">
        <v>276</v>
      </c>
      <c r="K27" t="s">
        <v>228</v>
      </c>
      <c r="L27" t="s">
        <v>326</v>
      </c>
      <c r="M27" t="s">
        <v>265</v>
      </c>
      <c r="N27" t="s">
        <v>231</v>
      </c>
      <c r="O27" t="s">
        <v>257</v>
      </c>
    </row>
    <row r="28" spans="1:15">
      <c r="A28">
        <v>25</v>
      </c>
      <c r="B28">
        <v>25</v>
      </c>
      <c r="C28">
        <v>20178600980</v>
      </c>
      <c r="D28" t="s">
        <v>327</v>
      </c>
      <c r="E28">
        <v>22538194</v>
      </c>
      <c r="F28" t="s">
        <v>234</v>
      </c>
      <c r="G28">
        <v>44</v>
      </c>
      <c r="H28" t="s">
        <v>318</v>
      </c>
      <c r="I28" t="s">
        <v>295</v>
      </c>
      <c r="J28" t="s">
        <v>276</v>
      </c>
      <c r="K28" t="s">
        <v>228</v>
      </c>
      <c r="L28" t="s">
        <v>328</v>
      </c>
      <c r="M28" t="s">
        <v>265</v>
      </c>
      <c r="N28" t="s">
        <v>231</v>
      </c>
      <c r="O28" t="s">
        <v>266</v>
      </c>
    </row>
    <row r="29" spans="1:15">
      <c r="A29">
        <v>26</v>
      </c>
      <c r="B29">
        <v>26</v>
      </c>
      <c r="C29">
        <v>19920654349</v>
      </c>
      <c r="D29" t="s">
        <v>329</v>
      </c>
      <c r="E29">
        <v>11652898</v>
      </c>
      <c r="F29" t="s">
        <v>224</v>
      </c>
      <c r="G29">
        <v>55</v>
      </c>
      <c r="H29" t="s">
        <v>330</v>
      </c>
      <c r="I29" t="s">
        <v>295</v>
      </c>
      <c r="J29" t="s">
        <v>270</v>
      </c>
      <c r="K29" t="s">
        <v>228</v>
      </c>
      <c r="L29" t="s">
        <v>331</v>
      </c>
      <c r="M29" t="s">
        <v>278</v>
      </c>
      <c r="N29" t="s">
        <v>240</v>
      </c>
      <c r="O29" t="s">
        <v>232</v>
      </c>
    </row>
    <row r="30" spans="1:15">
      <c r="A30">
        <v>27</v>
      </c>
      <c r="B30">
        <v>27</v>
      </c>
      <c r="C30">
        <v>19980490640</v>
      </c>
      <c r="D30" t="s">
        <v>332</v>
      </c>
      <c r="E30">
        <v>13706972</v>
      </c>
      <c r="F30" t="s">
        <v>234</v>
      </c>
      <c r="G30">
        <v>49</v>
      </c>
      <c r="H30" t="s">
        <v>333</v>
      </c>
      <c r="I30" t="s">
        <v>295</v>
      </c>
      <c r="J30" t="s">
        <v>270</v>
      </c>
      <c r="K30" t="s">
        <v>228</v>
      </c>
      <c r="L30" t="s">
        <v>334</v>
      </c>
      <c r="M30" t="s">
        <v>278</v>
      </c>
      <c r="N30" t="s">
        <v>240</v>
      </c>
      <c r="O30" t="s">
        <v>273</v>
      </c>
    </row>
    <row r="31" spans="1:15">
      <c r="A31">
        <v>28</v>
      </c>
      <c r="B31">
        <v>28</v>
      </c>
      <c r="C31">
        <v>20060933768</v>
      </c>
      <c r="D31" t="s">
        <v>335</v>
      </c>
      <c r="E31">
        <v>13501715</v>
      </c>
      <c r="F31" t="s">
        <v>224</v>
      </c>
      <c r="G31">
        <v>50</v>
      </c>
      <c r="H31" t="s">
        <v>330</v>
      </c>
      <c r="I31" t="s">
        <v>295</v>
      </c>
      <c r="J31" t="s">
        <v>270</v>
      </c>
      <c r="K31" t="s">
        <v>228</v>
      </c>
      <c r="L31" t="s">
        <v>336</v>
      </c>
      <c r="M31" t="s">
        <v>272</v>
      </c>
      <c r="N31" t="s">
        <v>240</v>
      </c>
      <c r="O31" t="s">
        <v>241</v>
      </c>
    </row>
    <row r="32" spans="1:15">
      <c r="A32">
        <v>29</v>
      </c>
      <c r="B32">
        <v>29</v>
      </c>
      <c r="C32">
        <v>20077018155</v>
      </c>
      <c r="D32" t="s">
        <v>337</v>
      </c>
      <c r="E32">
        <v>14705584</v>
      </c>
      <c r="F32" t="s">
        <v>224</v>
      </c>
      <c r="G32">
        <v>48</v>
      </c>
      <c r="H32" t="s">
        <v>338</v>
      </c>
      <c r="I32" t="s">
        <v>295</v>
      </c>
      <c r="J32" t="s">
        <v>270</v>
      </c>
      <c r="K32" t="s">
        <v>228</v>
      </c>
      <c r="L32" t="s">
        <v>339</v>
      </c>
      <c r="M32" t="s">
        <v>272</v>
      </c>
      <c r="N32" t="s">
        <v>240</v>
      </c>
      <c r="O32" t="s">
        <v>232</v>
      </c>
    </row>
    <row r="33" spans="1:15">
      <c r="A33">
        <v>30</v>
      </c>
      <c r="B33">
        <v>30</v>
      </c>
      <c r="C33">
        <v>20077018309</v>
      </c>
      <c r="D33" t="s">
        <v>340</v>
      </c>
      <c r="E33">
        <v>22657472</v>
      </c>
      <c r="F33" t="s">
        <v>224</v>
      </c>
      <c r="G33">
        <v>47</v>
      </c>
      <c r="H33" t="s">
        <v>283</v>
      </c>
      <c r="I33" t="s">
        <v>295</v>
      </c>
      <c r="J33" t="s">
        <v>270</v>
      </c>
      <c r="K33" t="s">
        <v>228</v>
      </c>
      <c r="L33" t="s">
        <v>341</v>
      </c>
      <c r="M33" t="s">
        <v>272</v>
      </c>
      <c r="N33" t="s">
        <v>240</v>
      </c>
      <c r="O33" t="s">
        <v>342</v>
      </c>
    </row>
    <row r="34" spans="1:15">
      <c r="A34">
        <v>31</v>
      </c>
      <c r="B34">
        <v>31</v>
      </c>
      <c r="C34">
        <v>20089223821</v>
      </c>
      <c r="D34" t="s">
        <v>343</v>
      </c>
      <c r="E34">
        <v>22145871</v>
      </c>
      <c r="F34" t="s">
        <v>224</v>
      </c>
      <c r="G34">
        <v>44</v>
      </c>
      <c r="H34" t="s">
        <v>330</v>
      </c>
      <c r="I34" t="s">
        <v>295</v>
      </c>
      <c r="J34" t="s">
        <v>270</v>
      </c>
      <c r="K34" t="s">
        <v>228</v>
      </c>
      <c r="L34" t="s">
        <v>344</v>
      </c>
      <c r="M34" t="s">
        <v>272</v>
      </c>
      <c r="N34" t="s">
        <v>240</v>
      </c>
      <c r="O34" t="s">
        <v>251</v>
      </c>
    </row>
    <row r="35" spans="1:15">
      <c r="A35">
        <v>32</v>
      </c>
      <c r="B35">
        <v>32</v>
      </c>
      <c r="C35">
        <v>20210646208</v>
      </c>
      <c r="D35" t="s">
        <v>345</v>
      </c>
      <c r="E35">
        <v>14620321</v>
      </c>
      <c r="F35" t="s">
        <v>224</v>
      </c>
      <c r="G35">
        <v>49</v>
      </c>
      <c r="H35" t="s">
        <v>330</v>
      </c>
      <c r="I35" t="s">
        <v>295</v>
      </c>
      <c r="J35" t="s">
        <v>270</v>
      </c>
      <c r="K35" t="s">
        <v>228</v>
      </c>
      <c r="L35" t="s">
        <v>346</v>
      </c>
      <c r="M35" t="s">
        <v>284</v>
      </c>
      <c r="N35" t="s">
        <v>231</v>
      </c>
      <c r="O35" t="s">
        <v>298</v>
      </c>
    </row>
    <row r="36" spans="1:15">
      <c r="A36">
        <v>33</v>
      </c>
      <c r="B36">
        <v>33</v>
      </c>
      <c r="C36">
        <v>20000078914</v>
      </c>
      <c r="D36" t="s">
        <v>347</v>
      </c>
      <c r="E36">
        <v>10141052</v>
      </c>
      <c r="F36" t="s">
        <v>224</v>
      </c>
      <c r="G36">
        <v>56</v>
      </c>
      <c r="H36" t="s">
        <v>348</v>
      </c>
      <c r="I36" t="s">
        <v>295</v>
      </c>
      <c r="J36" t="s">
        <v>287</v>
      </c>
      <c r="K36" t="s">
        <v>228</v>
      </c>
      <c r="L36" t="s">
        <v>349</v>
      </c>
      <c r="M36" t="s">
        <v>272</v>
      </c>
      <c r="N36" t="s">
        <v>240</v>
      </c>
      <c r="O36" t="s">
        <v>232</v>
      </c>
    </row>
    <row r="37" spans="1:15">
      <c r="A37">
        <v>34</v>
      </c>
      <c r="B37">
        <v>34</v>
      </c>
      <c r="C37">
        <v>20178600786</v>
      </c>
      <c r="D37" t="s">
        <v>350</v>
      </c>
      <c r="E37">
        <v>35374930</v>
      </c>
      <c r="F37" t="s">
        <v>224</v>
      </c>
      <c r="G37">
        <v>32</v>
      </c>
      <c r="H37" t="s">
        <v>351</v>
      </c>
      <c r="I37" t="s">
        <v>295</v>
      </c>
      <c r="J37" t="s">
        <v>287</v>
      </c>
      <c r="K37" t="s">
        <v>228</v>
      </c>
      <c r="L37" t="s">
        <v>308</v>
      </c>
      <c r="M37" t="s">
        <v>272</v>
      </c>
      <c r="N37" t="s">
        <v>231</v>
      </c>
      <c r="O37" t="s">
        <v>342</v>
      </c>
    </row>
    <row r="38" spans="1:15">
      <c r="A38">
        <v>35</v>
      </c>
      <c r="B38">
        <v>35</v>
      </c>
      <c r="C38">
        <v>20250007973</v>
      </c>
      <c r="D38" t="s">
        <v>352</v>
      </c>
      <c r="E38">
        <v>33556049</v>
      </c>
      <c r="F38" t="s">
        <v>224</v>
      </c>
      <c r="G38">
        <v>29</v>
      </c>
      <c r="H38" t="s">
        <v>353</v>
      </c>
      <c r="I38" t="s">
        <v>295</v>
      </c>
      <c r="J38" t="s">
        <v>287</v>
      </c>
      <c r="K38" t="s">
        <v>228</v>
      </c>
      <c r="L38" t="s">
        <v>354</v>
      </c>
      <c r="M38" t="s">
        <v>256</v>
      </c>
      <c r="N38" t="s">
        <v>355</v>
      </c>
      <c r="O38" t="s">
        <v>273</v>
      </c>
    </row>
    <row r="39" spans="1:15">
      <c r="A39">
        <v>36</v>
      </c>
      <c r="B39">
        <v>36</v>
      </c>
      <c r="C39">
        <v>20250011100</v>
      </c>
      <c r="D39" t="s">
        <v>356</v>
      </c>
      <c r="E39">
        <v>32277442</v>
      </c>
      <c r="F39" t="s">
        <v>224</v>
      </c>
      <c r="G39">
        <v>31</v>
      </c>
      <c r="H39" t="s">
        <v>353</v>
      </c>
      <c r="I39" t="s">
        <v>295</v>
      </c>
      <c r="J39" t="s">
        <v>287</v>
      </c>
      <c r="K39" t="s">
        <v>228</v>
      </c>
      <c r="L39" t="s">
        <v>357</v>
      </c>
      <c r="M39" t="s">
        <v>256</v>
      </c>
      <c r="N39" t="s">
        <v>355</v>
      </c>
      <c r="O39" t="s">
        <v>251</v>
      </c>
    </row>
    <row r="40" spans="1:15">
      <c r="A40">
        <v>37</v>
      </c>
      <c r="B40">
        <v>37</v>
      </c>
      <c r="C40">
        <v>20250067282</v>
      </c>
      <c r="D40" t="s">
        <v>358</v>
      </c>
      <c r="E40">
        <v>12925801</v>
      </c>
      <c r="F40" t="s">
        <v>234</v>
      </c>
      <c r="G40">
        <v>49</v>
      </c>
      <c r="H40" t="s">
        <v>359</v>
      </c>
      <c r="I40" t="s">
        <v>295</v>
      </c>
      <c r="J40" t="s">
        <v>287</v>
      </c>
      <c r="K40" t="s">
        <v>228</v>
      </c>
      <c r="L40">
        <v>46757</v>
      </c>
      <c r="M40" t="s">
        <v>272</v>
      </c>
      <c r="N40" t="s">
        <v>231</v>
      </c>
      <c r="O40" t="s">
        <v>232</v>
      </c>
    </row>
    <row r="41" spans="1:15">
      <c r="A41">
        <v>38</v>
      </c>
      <c r="B41">
        <v>38</v>
      </c>
      <c r="C41">
        <v>20250089145</v>
      </c>
      <c r="D41" t="s">
        <v>360</v>
      </c>
      <c r="E41">
        <v>37906155</v>
      </c>
      <c r="F41" t="s">
        <v>224</v>
      </c>
      <c r="G41">
        <v>25</v>
      </c>
      <c r="H41" t="s">
        <v>359</v>
      </c>
      <c r="I41" t="s">
        <v>295</v>
      </c>
      <c r="J41" t="s">
        <v>287</v>
      </c>
      <c r="K41" t="s">
        <v>228</v>
      </c>
      <c r="L41">
        <v>46757</v>
      </c>
      <c r="M41" t="s">
        <v>272</v>
      </c>
      <c r="N41" t="s">
        <v>231</v>
      </c>
      <c r="O41" t="s">
        <v>273</v>
      </c>
    </row>
    <row r="42" spans="1:15">
      <c r="A42">
        <v>39</v>
      </c>
      <c r="B42">
        <v>39</v>
      </c>
      <c r="C42">
        <v>20250067266</v>
      </c>
      <c r="D42" t="s">
        <v>361</v>
      </c>
      <c r="E42">
        <v>40223884</v>
      </c>
      <c r="F42" t="s">
        <v>224</v>
      </c>
      <c r="G42">
        <v>22</v>
      </c>
      <c r="H42" t="s">
        <v>359</v>
      </c>
      <c r="I42" t="s">
        <v>295</v>
      </c>
      <c r="J42" t="s">
        <v>287</v>
      </c>
      <c r="K42" t="s">
        <v>228</v>
      </c>
      <c r="L42">
        <v>46757</v>
      </c>
      <c r="M42" t="s">
        <v>272</v>
      </c>
      <c r="N42" t="s">
        <v>231</v>
      </c>
      <c r="O42" t="s">
        <v>251</v>
      </c>
    </row>
    <row r="43" spans="1:15">
      <c r="A43">
        <v>40</v>
      </c>
      <c r="B43">
        <v>40</v>
      </c>
      <c r="C43">
        <v>20060933849</v>
      </c>
      <c r="D43" t="s">
        <v>362</v>
      </c>
      <c r="E43">
        <v>21717357</v>
      </c>
      <c r="F43" t="s">
        <v>224</v>
      </c>
      <c r="G43">
        <v>46</v>
      </c>
      <c r="H43" t="s">
        <v>363</v>
      </c>
      <c r="I43" t="s">
        <v>295</v>
      </c>
      <c r="J43" t="s">
        <v>234</v>
      </c>
      <c r="K43" t="s">
        <v>228</v>
      </c>
      <c r="L43" t="s">
        <v>319</v>
      </c>
      <c r="M43" t="s">
        <v>272</v>
      </c>
      <c r="N43" t="s">
        <v>240</v>
      </c>
      <c r="O43" t="s">
        <v>232</v>
      </c>
    </row>
    <row r="44" spans="1:15">
      <c r="A44">
        <v>41</v>
      </c>
      <c r="B44">
        <v>41</v>
      </c>
      <c r="C44">
        <v>20121211057</v>
      </c>
      <c r="D44" t="s">
        <v>364</v>
      </c>
      <c r="E44">
        <v>10164110</v>
      </c>
      <c r="F44" t="s">
        <v>224</v>
      </c>
      <c r="G44">
        <v>56</v>
      </c>
      <c r="H44" t="s">
        <v>365</v>
      </c>
      <c r="I44" t="s">
        <v>295</v>
      </c>
      <c r="J44" t="s">
        <v>234</v>
      </c>
      <c r="K44" t="s">
        <v>228</v>
      </c>
      <c r="L44" t="s">
        <v>366</v>
      </c>
      <c r="M44" t="s">
        <v>272</v>
      </c>
      <c r="N44" t="s">
        <v>240</v>
      </c>
      <c r="O44" t="s">
        <v>241</v>
      </c>
    </row>
    <row r="45" spans="1:15">
      <c r="A45">
        <v>42</v>
      </c>
      <c r="B45">
        <v>42</v>
      </c>
      <c r="C45">
        <v>20142576234</v>
      </c>
      <c r="D45" t="s">
        <v>367</v>
      </c>
      <c r="E45">
        <v>26041520</v>
      </c>
      <c r="F45" t="s">
        <v>234</v>
      </c>
      <c r="G45">
        <v>36</v>
      </c>
      <c r="H45" t="s">
        <v>365</v>
      </c>
      <c r="I45" t="s">
        <v>295</v>
      </c>
      <c r="J45" t="s">
        <v>234</v>
      </c>
      <c r="K45" t="s">
        <v>228</v>
      </c>
      <c r="L45" t="s">
        <v>368</v>
      </c>
      <c r="M45" t="s">
        <v>272</v>
      </c>
      <c r="N45" t="s">
        <v>240</v>
      </c>
      <c r="O45" t="s">
        <v>266</v>
      </c>
    </row>
    <row r="46" spans="1:15">
      <c r="A46">
        <v>43</v>
      </c>
      <c r="B46">
        <v>43</v>
      </c>
      <c r="C46">
        <v>20250067274</v>
      </c>
      <c r="D46" t="s">
        <v>369</v>
      </c>
      <c r="E46">
        <v>39582151</v>
      </c>
      <c r="F46" t="s">
        <v>224</v>
      </c>
      <c r="G46">
        <v>22</v>
      </c>
      <c r="H46" t="s">
        <v>359</v>
      </c>
      <c r="I46" t="s">
        <v>226</v>
      </c>
      <c r="J46" t="s">
        <v>287</v>
      </c>
      <c r="K46" t="s">
        <v>228</v>
      </c>
      <c r="L46">
        <v>46757</v>
      </c>
      <c r="M46" t="s">
        <v>272</v>
      </c>
      <c r="N46" t="s">
        <v>231</v>
      </c>
      <c r="O46" t="s">
        <v>241</v>
      </c>
    </row>
    <row r="47" spans="1:15">
      <c r="A47">
        <v>44</v>
      </c>
      <c r="B47">
        <v>44</v>
      </c>
      <c r="C47">
        <v>20250089137</v>
      </c>
      <c r="D47" t="s">
        <v>370</v>
      </c>
      <c r="E47">
        <v>29388325</v>
      </c>
      <c r="F47" t="s">
        <v>224</v>
      </c>
      <c r="G47">
        <v>32</v>
      </c>
      <c r="H47" t="s">
        <v>359</v>
      </c>
      <c r="I47" t="s">
        <v>226</v>
      </c>
      <c r="J47" t="s">
        <v>287</v>
      </c>
      <c r="K47" t="s">
        <v>228</v>
      </c>
      <c r="L47">
        <v>46757</v>
      </c>
      <c r="M47" t="s">
        <v>272</v>
      </c>
      <c r="N47" t="s">
        <v>231</v>
      </c>
      <c r="O47" t="s">
        <v>232</v>
      </c>
    </row>
    <row r="48" spans="1:15">
      <c r="E48" t="s">
        <v>371</v>
      </c>
    </row>
    <row r="49" spans="1:15">
      <c r="A49">
        <v>45</v>
      </c>
      <c r="B49">
        <v>45</v>
      </c>
      <c r="C49">
        <v>20077018228</v>
      </c>
      <c r="D49" t="s">
        <v>372</v>
      </c>
      <c r="E49">
        <v>20503322</v>
      </c>
      <c r="F49" t="s">
        <v>224</v>
      </c>
      <c r="G49">
        <v>48</v>
      </c>
      <c r="H49" t="s">
        <v>373</v>
      </c>
      <c r="I49" t="s">
        <v>374</v>
      </c>
      <c r="J49" t="s">
        <v>296</v>
      </c>
      <c r="K49" t="s">
        <v>228</v>
      </c>
      <c r="L49" t="s">
        <v>375</v>
      </c>
      <c r="M49" t="s">
        <v>230</v>
      </c>
      <c r="N49" t="s">
        <v>240</v>
      </c>
      <c r="O49" t="s">
        <v>273</v>
      </c>
    </row>
    <row r="50" spans="1:15">
      <c r="A50">
        <v>46</v>
      </c>
      <c r="B50">
        <v>46</v>
      </c>
      <c r="C50">
        <v>20190119450</v>
      </c>
      <c r="D50" t="s">
        <v>376</v>
      </c>
      <c r="E50">
        <v>28782265</v>
      </c>
      <c r="F50" t="s">
        <v>234</v>
      </c>
      <c r="G50">
        <v>33</v>
      </c>
      <c r="H50" t="s">
        <v>315</v>
      </c>
      <c r="I50" t="s">
        <v>374</v>
      </c>
      <c r="J50" t="s">
        <v>254</v>
      </c>
      <c r="K50" t="s">
        <v>228</v>
      </c>
      <c r="L50" t="s">
        <v>377</v>
      </c>
      <c r="M50" t="s">
        <v>256</v>
      </c>
      <c r="N50" t="s">
        <v>231</v>
      </c>
      <c r="O50" t="s">
        <v>241</v>
      </c>
    </row>
    <row r="51" spans="1:15">
      <c r="A51">
        <v>47</v>
      </c>
      <c r="B51">
        <v>47</v>
      </c>
      <c r="C51">
        <v>20152655365</v>
      </c>
      <c r="D51" t="s">
        <v>378</v>
      </c>
      <c r="E51">
        <v>25138933</v>
      </c>
      <c r="F51" t="s">
        <v>234</v>
      </c>
      <c r="G51">
        <v>39</v>
      </c>
      <c r="H51" t="s">
        <v>379</v>
      </c>
      <c r="I51" t="s">
        <v>374</v>
      </c>
      <c r="J51" t="s">
        <v>276</v>
      </c>
      <c r="K51" t="s">
        <v>228</v>
      </c>
      <c r="L51" t="s">
        <v>326</v>
      </c>
      <c r="M51" t="s">
        <v>265</v>
      </c>
      <c r="N51" t="s">
        <v>231</v>
      </c>
      <c r="O51" t="s">
        <v>257</v>
      </c>
    </row>
    <row r="52" spans="1:15">
      <c r="A52">
        <v>48</v>
      </c>
      <c r="B52">
        <v>48</v>
      </c>
      <c r="C52">
        <v>19920654357</v>
      </c>
      <c r="D52" t="s">
        <v>380</v>
      </c>
      <c r="E52">
        <v>9225573</v>
      </c>
      <c r="F52" t="s">
        <v>224</v>
      </c>
      <c r="G52">
        <v>57</v>
      </c>
      <c r="H52" t="s">
        <v>330</v>
      </c>
      <c r="I52" t="s">
        <v>374</v>
      </c>
      <c r="J52" t="s">
        <v>270</v>
      </c>
      <c r="K52" t="s">
        <v>228</v>
      </c>
      <c r="L52" t="s">
        <v>377</v>
      </c>
      <c r="M52" t="s">
        <v>278</v>
      </c>
      <c r="N52" t="s">
        <v>240</v>
      </c>
      <c r="O52" t="s">
        <v>381</v>
      </c>
    </row>
    <row r="53" spans="1:15">
      <c r="A53">
        <v>49</v>
      </c>
      <c r="B53">
        <v>49</v>
      </c>
      <c r="C53">
        <v>20250007868</v>
      </c>
      <c r="D53" t="s">
        <v>382</v>
      </c>
      <c r="E53">
        <v>26449205</v>
      </c>
      <c r="F53" t="s">
        <v>224</v>
      </c>
      <c r="G53">
        <v>37</v>
      </c>
      <c r="H53" t="s">
        <v>353</v>
      </c>
      <c r="I53" t="s">
        <v>374</v>
      </c>
      <c r="J53" t="s">
        <v>287</v>
      </c>
      <c r="K53" t="s">
        <v>228</v>
      </c>
      <c r="L53" t="s">
        <v>383</v>
      </c>
      <c r="M53" t="s">
        <v>245</v>
      </c>
      <c r="N53" t="s">
        <v>355</v>
      </c>
      <c r="O53" t="s">
        <v>381</v>
      </c>
    </row>
    <row r="54" spans="1:15">
      <c r="A54">
        <v>50</v>
      </c>
      <c r="B54">
        <v>50</v>
      </c>
      <c r="C54">
        <v>20250007931</v>
      </c>
      <c r="D54" t="s">
        <v>384</v>
      </c>
      <c r="E54">
        <v>33308998</v>
      </c>
      <c r="F54" t="s">
        <v>224</v>
      </c>
      <c r="G54">
        <v>29</v>
      </c>
      <c r="H54" t="s">
        <v>353</v>
      </c>
      <c r="I54" t="s">
        <v>374</v>
      </c>
      <c r="J54" t="s">
        <v>287</v>
      </c>
      <c r="K54" t="s">
        <v>228</v>
      </c>
      <c r="L54" t="s">
        <v>357</v>
      </c>
      <c r="M54" t="s">
        <v>256</v>
      </c>
      <c r="N54" t="s">
        <v>355</v>
      </c>
      <c r="O54" t="s">
        <v>273</v>
      </c>
    </row>
    <row r="55" spans="1:15">
      <c r="A55">
        <v>51</v>
      </c>
      <c r="B55">
        <v>51</v>
      </c>
      <c r="C55">
        <v>20250011215</v>
      </c>
      <c r="D55" t="s">
        <v>385</v>
      </c>
      <c r="E55">
        <v>31592937</v>
      </c>
      <c r="F55" t="s">
        <v>234</v>
      </c>
      <c r="G55">
        <v>30</v>
      </c>
      <c r="H55" t="s">
        <v>353</v>
      </c>
      <c r="I55" t="s">
        <v>374</v>
      </c>
      <c r="J55" t="s">
        <v>287</v>
      </c>
      <c r="K55" t="s">
        <v>228</v>
      </c>
      <c r="L55" t="s">
        <v>383</v>
      </c>
      <c r="M55" t="s">
        <v>256</v>
      </c>
      <c r="N55" t="s">
        <v>355</v>
      </c>
      <c r="O55" t="s">
        <v>232</v>
      </c>
    </row>
    <row r="56" spans="1:15">
      <c r="A56">
        <v>52</v>
      </c>
      <c r="B56">
        <v>52</v>
      </c>
      <c r="C56">
        <v>20250118499</v>
      </c>
      <c r="D56" t="s">
        <v>386</v>
      </c>
      <c r="E56">
        <v>39029408</v>
      </c>
      <c r="F56" t="s">
        <v>234</v>
      </c>
      <c r="G56">
        <v>24</v>
      </c>
      <c r="H56" t="s">
        <v>353</v>
      </c>
      <c r="I56" t="s">
        <v>374</v>
      </c>
      <c r="J56" t="s">
        <v>287</v>
      </c>
      <c r="K56" t="s">
        <v>228</v>
      </c>
      <c r="L56" t="s">
        <v>387</v>
      </c>
      <c r="M56" t="s">
        <v>256</v>
      </c>
      <c r="N56" t="s">
        <v>355</v>
      </c>
      <c r="O56" t="s">
        <v>232</v>
      </c>
    </row>
    <row r="57" spans="1:15">
      <c r="A57">
        <v>53</v>
      </c>
      <c r="B57">
        <v>53</v>
      </c>
      <c r="C57">
        <v>20240036700</v>
      </c>
      <c r="D57" t="s">
        <v>388</v>
      </c>
      <c r="E57">
        <v>36558749</v>
      </c>
      <c r="F57" t="s">
        <v>224</v>
      </c>
      <c r="G57">
        <v>26</v>
      </c>
      <c r="H57" t="s">
        <v>353</v>
      </c>
      <c r="I57" t="s">
        <v>374</v>
      </c>
      <c r="J57" t="s">
        <v>287</v>
      </c>
      <c r="K57" t="s">
        <v>228</v>
      </c>
      <c r="L57" t="s">
        <v>387</v>
      </c>
      <c r="M57" t="s">
        <v>256</v>
      </c>
      <c r="N57" t="s">
        <v>355</v>
      </c>
      <c r="O57" t="s">
        <v>389</v>
      </c>
    </row>
    <row r="58" spans="1:15">
      <c r="A58">
        <v>54</v>
      </c>
      <c r="B58">
        <v>54</v>
      </c>
      <c r="C58">
        <v>20190118631</v>
      </c>
      <c r="D58" t="s">
        <v>390</v>
      </c>
      <c r="E58">
        <v>30101934</v>
      </c>
      <c r="F58" t="s">
        <v>224</v>
      </c>
      <c r="G58">
        <v>31</v>
      </c>
      <c r="H58" t="s">
        <v>353</v>
      </c>
      <c r="I58" t="s">
        <v>374</v>
      </c>
      <c r="J58" t="s">
        <v>287</v>
      </c>
      <c r="K58" t="s">
        <v>228</v>
      </c>
      <c r="L58" t="s">
        <v>383</v>
      </c>
      <c r="M58" t="s">
        <v>256</v>
      </c>
      <c r="N58" t="s">
        <v>355</v>
      </c>
      <c r="O58" t="s">
        <v>241</v>
      </c>
    </row>
    <row r="59" spans="1:15">
      <c r="E59" t="s">
        <v>391</v>
      </c>
    </row>
    <row r="60" spans="1:15">
      <c r="A60">
        <v>55</v>
      </c>
      <c r="B60">
        <v>55</v>
      </c>
      <c r="C60">
        <v>19920654373</v>
      </c>
      <c r="D60" t="s">
        <v>392</v>
      </c>
      <c r="E60">
        <v>8735350</v>
      </c>
      <c r="F60" t="s">
        <v>224</v>
      </c>
      <c r="G60">
        <v>58</v>
      </c>
      <c r="H60" t="s">
        <v>393</v>
      </c>
      <c r="I60" t="s">
        <v>394</v>
      </c>
      <c r="J60" t="s">
        <v>301</v>
      </c>
      <c r="K60" t="s">
        <v>228</v>
      </c>
      <c r="L60" t="s">
        <v>395</v>
      </c>
      <c r="M60" t="s">
        <v>396</v>
      </c>
      <c r="N60" t="s">
        <v>240</v>
      </c>
      <c r="O60" t="s">
        <v>316</v>
      </c>
    </row>
    <row r="61" spans="1:15">
      <c r="A61">
        <v>56</v>
      </c>
      <c r="B61">
        <v>56</v>
      </c>
      <c r="C61">
        <v>20095593234</v>
      </c>
      <c r="D61" t="s">
        <v>397</v>
      </c>
      <c r="E61">
        <v>25394414</v>
      </c>
      <c r="F61" t="s">
        <v>234</v>
      </c>
      <c r="G61">
        <v>36</v>
      </c>
      <c r="H61" t="s">
        <v>393</v>
      </c>
      <c r="I61" t="s">
        <v>394</v>
      </c>
      <c r="J61" t="s">
        <v>301</v>
      </c>
      <c r="K61" t="s">
        <v>228</v>
      </c>
      <c r="L61" t="s">
        <v>398</v>
      </c>
      <c r="M61" t="s">
        <v>245</v>
      </c>
      <c r="N61" t="s">
        <v>240</v>
      </c>
      <c r="O61" t="s">
        <v>232</v>
      </c>
    </row>
    <row r="62" spans="1:15">
      <c r="A62">
        <v>57</v>
      </c>
      <c r="B62">
        <v>57</v>
      </c>
      <c r="C62">
        <v>19930980988</v>
      </c>
      <c r="D62" t="s">
        <v>399</v>
      </c>
      <c r="E62">
        <v>8107003</v>
      </c>
      <c r="F62" t="s">
        <v>224</v>
      </c>
      <c r="G62">
        <v>58</v>
      </c>
      <c r="H62" t="s">
        <v>400</v>
      </c>
      <c r="I62" t="s">
        <v>394</v>
      </c>
      <c r="J62" t="s">
        <v>224</v>
      </c>
      <c r="K62" t="s">
        <v>228</v>
      </c>
      <c r="L62" t="s">
        <v>401</v>
      </c>
      <c r="M62" t="s">
        <v>278</v>
      </c>
      <c r="N62" t="s">
        <v>240</v>
      </c>
      <c r="O62" t="s">
        <v>402</v>
      </c>
    </row>
    <row r="63" spans="1:15">
      <c r="A63">
        <v>58</v>
      </c>
      <c r="B63">
        <v>58</v>
      </c>
      <c r="C63">
        <v>20181472524</v>
      </c>
      <c r="D63" t="s">
        <v>403</v>
      </c>
      <c r="E63">
        <v>24146874</v>
      </c>
      <c r="F63" t="s">
        <v>234</v>
      </c>
      <c r="G63">
        <v>40</v>
      </c>
      <c r="H63" t="s">
        <v>404</v>
      </c>
      <c r="I63" t="s">
        <v>394</v>
      </c>
      <c r="J63" t="s">
        <v>254</v>
      </c>
      <c r="K63" t="s">
        <v>228</v>
      </c>
      <c r="L63" t="s">
        <v>377</v>
      </c>
      <c r="M63" t="s">
        <v>256</v>
      </c>
      <c r="N63" t="s">
        <v>231</v>
      </c>
      <c r="O63" t="s">
        <v>273</v>
      </c>
    </row>
    <row r="64" spans="1:15">
      <c r="A64">
        <v>59</v>
      </c>
      <c r="B64">
        <v>59</v>
      </c>
      <c r="C64">
        <v>20240300890</v>
      </c>
      <c r="D64" t="s">
        <v>405</v>
      </c>
      <c r="E64">
        <v>37963481</v>
      </c>
      <c r="F64" t="s">
        <v>224</v>
      </c>
      <c r="G64">
        <v>25</v>
      </c>
      <c r="H64" t="s">
        <v>406</v>
      </c>
      <c r="I64" t="s">
        <v>394</v>
      </c>
      <c r="J64" t="s">
        <v>254</v>
      </c>
      <c r="K64" t="s">
        <v>228</v>
      </c>
      <c r="L64">
        <v>46883</v>
      </c>
      <c r="M64" t="s">
        <v>256</v>
      </c>
      <c r="N64" t="s">
        <v>231</v>
      </c>
      <c r="O64" t="s">
        <v>232</v>
      </c>
    </row>
    <row r="65" spans="1:15">
      <c r="A65">
        <v>60</v>
      </c>
      <c r="B65">
        <v>60</v>
      </c>
      <c r="C65">
        <v>20250067240</v>
      </c>
      <c r="D65" t="s">
        <v>407</v>
      </c>
      <c r="E65">
        <v>36697114</v>
      </c>
      <c r="F65" t="s">
        <v>234</v>
      </c>
      <c r="G65">
        <v>26</v>
      </c>
      <c r="H65" t="s">
        <v>408</v>
      </c>
      <c r="I65" t="s">
        <v>394</v>
      </c>
      <c r="J65" t="s">
        <v>254</v>
      </c>
      <c r="K65" t="s">
        <v>228</v>
      </c>
      <c r="L65">
        <v>46757</v>
      </c>
      <c r="M65" t="s">
        <v>256</v>
      </c>
      <c r="N65" t="s">
        <v>231</v>
      </c>
      <c r="O65" t="s">
        <v>251</v>
      </c>
    </row>
    <row r="66" spans="1:15">
      <c r="A66">
        <v>61</v>
      </c>
      <c r="B66">
        <v>61</v>
      </c>
      <c r="C66">
        <v>20250067232</v>
      </c>
      <c r="D66" t="s">
        <v>409</v>
      </c>
      <c r="E66">
        <v>33381959</v>
      </c>
      <c r="F66" t="s">
        <v>224</v>
      </c>
      <c r="G66">
        <v>29</v>
      </c>
      <c r="H66" t="s">
        <v>408</v>
      </c>
      <c r="I66" t="s">
        <v>394</v>
      </c>
      <c r="J66" t="s">
        <v>254</v>
      </c>
      <c r="K66" t="s">
        <v>228</v>
      </c>
      <c r="L66">
        <v>46757</v>
      </c>
      <c r="M66" t="s">
        <v>256</v>
      </c>
      <c r="N66" t="s">
        <v>231</v>
      </c>
      <c r="O66" t="s">
        <v>410</v>
      </c>
    </row>
    <row r="67" spans="1:15">
      <c r="A67">
        <v>62</v>
      </c>
      <c r="B67">
        <v>62</v>
      </c>
      <c r="C67">
        <v>20250067258</v>
      </c>
      <c r="D67" t="s">
        <v>411</v>
      </c>
      <c r="E67">
        <v>39000494</v>
      </c>
      <c r="F67" t="s">
        <v>234</v>
      </c>
      <c r="G67">
        <v>23</v>
      </c>
      <c r="H67" t="s">
        <v>408</v>
      </c>
      <c r="I67" t="s">
        <v>394</v>
      </c>
      <c r="J67" t="s">
        <v>254</v>
      </c>
      <c r="K67" t="s">
        <v>228</v>
      </c>
      <c r="L67">
        <v>46757</v>
      </c>
      <c r="M67" t="s">
        <v>256</v>
      </c>
      <c r="N67" t="s">
        <v>231</v>
      </c>
      <c r="O67" t="s">
        <v>232</v>
      </c>
    </row>
    <row r="68" spans="1:15">
      <c r="A68">
        <v>63</v>
      </c>
      <c r="B68">
        <v>63</v>
      </c>
      <c r="C68">
        <v>20220598342</v>
      </c>
      <c r="D68" t="s">
        <v>412</v>
      </c>
      <c r="E68">
        <v>31621426</v>
      </c>
      <c r="F68" t="s">
        <v>224</v>
      </c>
      <c r="G68">
        <v>30</v>
      </c>
      <c r="H68" t="s">
        <v>286</v>
      </c>
      <c r="I68" t="s">
        <v>394</v>
      </c>
      <c r="J68" t="s">
        <v>287</v>
      </c>
      <c r="K68" t="s">
        <v>228</v>
      </c>
      <c r="L68" t="s">
        <v>413</v>
      </c>
      <c r="M68" t="s">
        <v>272</v>
      </c>
      <c r="N68" t="s">
        <v>231</v>
      </c>
      <c r="O68" t="s">
        <v>342</v>
      </c>
    </row>
    <row r="69" spans="1:15">
      <c r="E69" t="s">
        <v>414</v>
      </c>
    </row>
    <row r="70" spans="1:15">
      <c r="A70">
        <v>64</v>
      </c>
      <c r="B70">
        <v>64</v>
      </c>
      <c r="C70">
        <v>20220597964</v>
      </c>
      <c r="D70" t="s">
        <v>415</v>
      </c>
      <c r="E70">
        <v>35685292</v>
      </c>
      <c r="F70" t="s">
        <v>224</v>
      </c>
      <c r="G70">
        <v>26</v>
      </c>
      <c r="H70" t="s">
        <v>416</v>
      </c>
      <c r="I70" t="s">
        <v>417</v>
      </c>
      <c r="J70" t="s">
        <v>254</v>
      </c>
      <c r="K70" t="s">
        <v>228</v>
      </c>
      <c r="L70" t="s">
        <v>413</v>
      </c>
      <c r="M70" t="s">
        <v>256</v>
      </c>
      <c r="N70" t="s">
        <v>231</v>
      </c>
      <c r="O70" t="s">
        <v>266</v>
      </c>
    </row>
    <row r="71" spans="1:15">
      <c r="A71">
        <v>65</v>
      </c>
      <c r="B71">
        <v>65</v>
      </c>
      <c r="C71">
        <v>20200484010</v>
      </c>
      <c r="D71" t="s">
        <v>418</v>
      </c>
      <c r="E71">
        <v>30408351</v>
      </c>
      <c r="F71" t="s">
        <v>224</v>
      </c>
      <c r="G71">
        <v>32</v>
      </c>
      <c r="H71" t="s">
        <v>416</v>
      </c>
      <c r="I71" t="s">
        <v>417</v>
      </c>
      <c r="J71" t="s">
        <v>254</v>
      </c>
      <c r="K71" t="s">
        <v>228</v>
      </c>
      <c r="L71" t="s">
        <v>419</v>
      </c>
      <c r="M71" t="s">
        <v>256</v>
      </c>
      <c r="N71" t="s">
        <v>231</v>
      </c>
      <c r="O71" t="s">
        <v>246</v>
      </c>
    </row>
    <row r="72" spans="1:15">
      <c r="A72">
        <v>66</v>
      </c>
      <c r="B72">
        <v>66</v>
      </c>
      <c r="C72">
        <v>20220597906</v>
      </c>
      <c r="D72" t="s">
        <v>420</v>
      </c>
      <c r="E72">
        <v>30050596</v>
      </c>
      <c r="F72" t="s">
        <v>224</v>
      </c>
      <c r="G72">
        <v>32</v>
      </c>
      <c r="H72" t="s">
        <v>421</v>
      </c>
      <c r="I72" t="s">
        <v>417</v>
      </c>
      <c r="J72" t="s">
        <v>276</v>
      </c>
      <c r="K72" t="s">
        <v>228</v>
      </c>
      <c r="L72" t="s">
        <v>413</v>
      </c>
      <c r="M72" t="s">
        <v>265</v>
      </c>
      <c r="N72" t="s">
        <v>231</v>
      </c>
      <c r="O72" t="s">
        <v>298</v>
      </c>
    </row>
    <row r="73" spans="1:15">
      <c r="E73" t="s">
        <v>422</v>
      </c>
    </row>
    <row r="74" spans="1:15">
      <c r="A74">
        <v>67</v>
      </c>
      <c r="B74">
        <v>67</v>
      </c>
      <c r="C74">
        <v>20121210938</v>
      </c>
      <c r="D74" t="s">
        <v>423</v>
      </c>
      <c r="E74">
        <v>24416334</v>
      </c>
      <c r="F74" t="s">
        <v>224</v>
      </c>
      <c r="G74">
        <v>39</v>
      </c>
      <c r="H74" t="s">
        <v>424</v>
      </c>
      <c r="I74" t="s">
        <v>422</v>
      </c>
      <c r="J74" t="s">
        <v>301</v>
      </c>
      <c r="K74" t="s">
        <v>228</v>
      </c>
      <c r="L74" t="s">
        <v>425</v>
      </c>
      <c r="M74" t="s">
        <v>245</v>
      </c>
      <c r="N74" t="s">
        <v>240</v>
      </c>
      <c r="O74" t="s">
        <v>257</v>
      </c>
    </row>
    <row r="75" spans="1:15">
      <c r="A75">
        <v>68</v>
      </c>
      <c r="B75">
        <v>68</v>
      </c>
      <c r="C75">
        <v>2013091337</v>
      </c>
      <c r="D75" t="s">
        <v>426</v>
      </c>
      <c r="E75">
        <v>27494151</v>
      </c>
      <c r="F75" t="s">
        <v>234</v>
      </c>
      <c r="G75">
        <v>35</v>
      </c>
      <c r="H75" t="s">
        <v>315</v>
      </c>
      <c r="I75" t="s">
        <v>422</v>
      </c>
      <c r="J75" t="s">
        <v>254</v>
      </c>
      <c r="K75" t="s">
        <v>228</v>
      </c>
      <c r="L75" t="s">
        <v>377</v>
      </c>
      <c r="M75" t="s">
        <v>256</v>
      </c>
      <c r="N75" t="s">
        <v>231</v>
      </c>
      <c r="O75" t="s">
        <v>232</v>
      </c>
    </row>
    <row r="76" spans="1:15">
      <c r="A76">
        <v>69</v>
      </c>
      <c r="B76">
        <v>69</v>
      </c>
      <c r="C76">
        <v>20220598960</v>
      </c>
      <c r="D76" t="s">
        <v>427</v>
      </c>
      <c r="E76">
        <v>27895831</v>
      </c>
      <c r="F76" t="s">
        <v>234</v>
      </c>
      <c r="G76">
        <v>35</v>
      </c>
      <c r="H76" t="s">
        <v>315</v>
      </c>
      <c r="I76" t="s">
        <v>422</v>
      </c>
      <c r="J76" t="s">
        <v>254</v>
      </c>
      <c r="K76" t="s">
        <v>228</v>
      </c>
      <c r="L76" t="s">
        <v>308</v>
      </c>
      <c r="M76" t="s">
        <v>256</v>
      </c>
      <c r="N76" t="s">
        <v>231</v>
      </c>
      <c r="O76" t="s">
        <v>241</v>
      </c>
    </row>
    <row r="77" spans="1:15">
      <c r="A77">
        <v>70</v>
      </c>
      <c r="B77">
        <v>70</v>
      </c>
      <c r="C77">
        <v>2012024370</v>
      </c>
      <c r="D77" t="s">
        <v>428</v>
      </c>
      <c r="E77">
        <v>23875841</v>
      </c>
      <c r="F77" t="s">
        <v>234</v>
      </c>
      <c r="G77">
        <v>40</v>
      </c>
      <c r="H77" t="s">
        <v>353</v>
      </c>
      <c r="I77" t="s">
        <v>422</v>
      </c>
      <c r="J77" t="s">
        <v>287</v>
      </c>
      <c r="K77" t="s">
        <v>228</v>
      </c>
      <c r="L77" t="s">
        <v>429</v>
      </c>
      <c r="M77" t="s">
        <v>245</v>
      </c>
      <c r="N77" t="s">
        <v>355</v>
      </c>
      <c r="O77" t="s">
        <v>430</v>
      </c>
    </row>
    <row r="78" spans="1:15">
      <c r="A78">
        <v>71</v>
      </c>
      <c r="B78">
        <v>71</v>
      </c>
      <c r="C78">
        <v>20181472223</v>
      </c>
      <c r="D78" t="s">
        <v>431</v>
      </c>
      <c r="E78">
        <v>33852077</v>
      </c>
      <c r="F78" t="s">
        <v>224</v>
      </c>
      <c r="G78">
        <v>27</v>
      </c>
      <c r="H78" t="s">
        <v>353</v>
      </c>
      <c r="I78" t="s">
        <v>422</v>
      </c>
      <c r="J78" t="s">
        <v>287</v>
      </c>
      <c r="K78" t="s">
        <v>228</v>
      </c>
      <c r="L78" t="s">
        <v>432</v>
      </c>
      <c r="M78">
        <v>9</v>
      </c>
      <c r="N78" t="s">
        <v>355</v>
      </c>
      <c r="O78" t="s">
        <v>241</v>
      </c>
    </row>
    <row r="79" spans="1:15">
      <c r="A79">
        <v>72</v>
      </c>
      <c r="B79">
        <v>72</v>
      </c>
      <c r="C79">
        <v>20190119343</v>
      </c>
      <c r="D79" t="s">
        <v>433</v>
      </c>
      <c r="E79">
        <v>32487813</v>
      </c>
      <c r="F79" t="s">
        <v>224</v>
      </c>
      <c r="G79">
        <v>30</v>
      </c>
      <c r="H79" t="s">
        <v>353</v>
      </c>
      <c r="I79" t="s">
        <v>422</v>
      </c>
      <c r="J79" t="s">
        <v>287</v>
      </c>
      <c r="K79" t="s">
        <v>228</v>
      </c>
      <c r="L79" t="s">
        <v>434</v>
      </c>
      <c r="M79" t="s">
        <v>256</v>
      </c>
      <c r="N79" t="s">
        <v>355</v>
      </c>
      <c r="O79" t="s">
        <v>273</v>
      </c>
    </row>
    <row r="80" spans="1:15">
      <c r="A80">
        <v>73</v>
      </c>
      <c r="B80">
        <v>73</v>
      </c>
      <c r="C80">
        <v>20190641465</v>
      </c>
      <c r="D80" t="s">
        <v>435</v>
      </c>
      <c r="E80">
        <v>22231664</v>
      </c>
      <c r="F80" t="s">
        <v>224</v>
      </c>
      <c r="G80">
        <v>44</v>
      </c>
      <c r="H80" t="s">
        <v>353</v>
      </c>
      <c r="I80" t="s">
        <v>422</v>
      </c>
      <c r="J80" t="s">
        <v>287</v>
      </c>
      <c r="K80" t="s">
        <v>228</v>
      </c>
      <c r="L80" t="s">
        <v>432</v>
      </c>
      <c r="M80" t="s">
        <v>272</v>
      </c>
      <c r="N80" t="s">
        <v>355</v>
      </c>
      <c r="O80" t="s">
        <v>241</v>
      </c>
    </row>
    <row r="81" spans="1:15">
      <c r="A81">
        <v>74</v>
      </c>
      <c r="B81">
        <v>74</v>
      </c>
      <c r="C81">
        <v>20210645977</v>
      </c>
      <c r="D81" t="s">
        <v>436</v>
      </c>
      <c r="E81">
        <v>782066</v>
      </c>
      <c r="F81" t="s">
        <v>234</v>
      </c>
      <c r="G81">
        <v>28</v>
      </c>
      <c r="H81" t="s">
        <v>353</v>
      </c>
      <c r="I81" t="s">
        <v>422</v>
      </c>
      <c r="J81" t="s">
        <v>287</v>
      </c>
      <c r="K81" t="s">
        <v>228</v>
      </c>
      <c r="L81" t="s">
        <v>432</v>
      </c>
      <c r="M81" t="s">
        <v>256</v>
      </c>
      <c r="N81" t="s">
        <v>355</v>
      </c>
      <c r="O81" t="s">
        <v>437</v>
      </c>
    </row>
    <row r="82" spans="1:15">
      <c r="A82">
        <v>75</v>
      </c>
      <c r="B82">
        <v>75</v>
      </c>
      <c r="C82">
        <v>20210646046</v>
      </c>
      <c r="D82" t="s">
        <v>438</v>
      </c>
      <c r="E82">
        <v>35337775</v>
      </c>
      <c r="F82" t="s">
        <v>224</v>
      </c>
      <c r="G82">
        <v>28</v>
      </c>
      <c r="H82" t="s">
        <v>353</v>
      </c>
      <c r="I82" t="s">
        <v>422</v>
      </c>
      <c r="J82" t="s">
        <v>287</v>
      </c>
      <c r="K82" t="s">
        <v>228</v>
      </c>
      <c r="L82" t="s">
        <v>439</v>
      </c>
      <c r="M82" t="s">
        <v>272</v>
      </c>
      <c r="N82" t="s">
        <v>355</v>
      </c>
      <c r="O82" t="s">
        <v>440</v>
      </c>
    </row>
    <row r="83" spans="1:15">
      <c r="A83">
        <v>76</v>
      </c>
      <c r="B83">
        <v>76</v>
      </c>
      <c r="C83">
        <v>20210646062</v>
      </c>
      <c r="D83" t="s">
        <v>441</v>
      </c>
      <c r="E83">
        <v>11710039</v>
      </c>
      <c r="F83" t="s">
        <v>224</v>
      </c>
      <c r="G83">
        <v>51</v>
      </c>
      <c r="H83" t="s">
        <v>353</v>
      </c>
      <c r="I83" t="s">
        <v>422</v>
      </c>
      <c r="J83" t="s">
        <v>287</v>
      </c>
      <c r="K83" t="s">
        <v>228</v>
      </c>
      <c r="L83" t="s">
        <v>439</v>
      </c>
      <c r="M83" t="s">
        <v>272</v>
      </c>
      <c r="N83" t="s">
        <v>355</v>
      </c>
      <c r="O83" t="s">
        <v>342</v>
      </c>
    </row>
    <row r="84" spans="1:15">
      <c r="A84">
        <v>77</v>
      </c>
      <c r="B84">
        <v>77</v>
      </c>
      <c r="C84">
        <v>20220598512</v>
      </c>
      <c r="D84" t="s">
        <v>442</v>
      </c>
      <c r="E84">
        <v>29443115</v>
      </c>
      <c r="F84" t="s">
        <v>234</v>
      </c>
      <c r="G84">
        <v>32</v>
      </c>
      <c r="H84" t="s">
        <v>353</v>
      </c>
      <c r="I84" t="s">
        <v>422</v>
      </c>
      <c r="J84" t="s">
        <v>287</v>
      </c>
      <c r="K84" t="s">
        <v>228</v>
      </c>
      <c r="L84" t="s">
        <v>429</v>
      </c>
      <c r="M84" t="s">
        <v>256</v>
      </c>
      <c r="N84" t="s">
        <v>355</v>
      </c>
      <c r="O84" t="s">
        <v>342</v>
      </c>
    </row>
    <row r="85" spans="1:15">
      <c r="A85">
        <v>78</v>
      </c>
      <c r="B85">
        <v>78</v>
      </c>
      <c r="C85">
        <v>20220598546</v>
      </c>
      <c r="D85" t="s">
        <v>443</v>
      </c>
      <c r="E85">
        <v>28484103</v>
      </c>
      <c r="F85" t="s">
        <v>224</v>
      </c>
      <c r="G85">
        <v>33</v>
      </c>
      <c r="H85" t="s">
        <v>353</v>
      </c>
      <c r="I85" t="s">
        <v>422</v>
      </c>
      <c r="J85" t="s">
        <v>287</v>
      </c>
      <c r="K85" t="s">
        <v>228</v>
      </c>
      <c r="L85" t="s">
        <v>444</v>
      </c>
      <c r="M85" t="s">
        <v>272</v>
      </c>
      <c r="N85" t="s">
        <v>355</v>
      </c>
      <c r="O85" t="s">
        <v>342</v>
      </c>
    </row>
    <row r="86" spans="1:15">
      <c r="A86">
        <v>79</v>
      </c>
      <c r="B86">
        <v>79</v>
      </c>
      <c r="C86">
        <v>20220598740</v>
      </c>
      <c r="D86" t="s">
        <v>445</v>
      </c>
      <c r="E86">
        <v>30866902</v>
      </c>
      <c r="F86" t="s">
        <v>224</v>
      </c>
      <c r="G86">
        <v>32</v>
      </c>
      <c r="H86" t="s">
        <v>353</v>
      </c>
      <c r="I86" t="s">
        <v>422</v>
      </c>
      <c r="J86" t="s">
        <v>287</v>
      </c>
      <c r="K86" t="s">
        <v>228</v>
      </c>
      <c r="L86" t="s">
        <v>429</v>
      </c>
      <c r="M86" t="s">
        <v>256</v>
      </c>
      <c r="N86" t="s">
        <v>355</v>
      </c>
      <c r="O86" t="s">
        <v>257</v>
      </c>
    </row>
    <row r="87" spans="1:15">
      <c r="A87">
        <v>80</v>
      </c>
      <c r="B87">
        <v>80</v>
      </c>
      <c r="C87">
        <v>20220598839</v>
      </c>
      <c r="D87" t="s">
        <v>446</v>
      </c>
      <c r="E87">
        <v>23065759</v>
      </c>
      <c r="F87" t="s">
        <v>224</v>
      </c>
      <c r="G87">
        <v>42</v>
      </c>
      <c r="H87" t="s">
        <v>447</v>
      </c>
      <c r="I87" t="s">
        <v>422</v>
      </c>
      <c r="J87" t="s">
        <v>287</v>
      </c>
      <c r="K87" t="s">
        <v>228</v>
      </c>
      <c r="L87" t="s">
        <v>377</v>
      </c>
      <c r="M87" t="s">
        <v>272</v>
      </c>
      <c r="N87" t="s">
        <v>231</v>
      </c>
      <c r="O87" t="s">
        <v>251</v>
      </c>
    </row>
    <row r="88" spans="1:15">
      <c r="A88">
        <v>81</v>
      </c>
      <c r="B88">
        <v>81</v>
      </c>
      <c r="C88">
        <v>20220598889</v>
      </c>
      <c r="D88" t="s">
        <v>448</v>
      </c>
      <c r="E88">
        <v>25037835</v>
      </c>
      <c r="F88" t="s">
        <v>234</v>
      </c>
      <c r="G88">
        <v>37</v>
      </c>
      <c r="H88" t="s">
        <v>353</v>
      </c>
      <c r="I88" t="s">
        <v>422</v>
      </c>
      <c r="J88" t="s">
        <v>287</v>
      </c>
      <c r="K88" t="s">
        <v>228</v>
      </c>
      <c r="L88" t="s">
        <v>429</v>
      </c>
      <c r="M88" t="s">
        <v>256</v>
      </c>
      <c r="N88" t="s">
        <v>355</v>
      </c>
      <c r="O88" t="s">
        <v>241</v>
      </c>
    </row>
    <row r="89" spans="1:15">
      <c r="A89">
        <v>82</v>
      </c>
      <c r="B89">
        <v>82</v>
      </c>
      <c r="C89">
        <v>20240090217</v>
      </c>
      <c r="D89" t="s">
        <v>449</v>
      </c>
      <c r="E89">
        <v>33133984</v>
      </c>
      <c r="F89" t="s">
        <v>224</v>
      </c>
      <c r="G89">
        <v>30</v>
      </c>
      <c r="H89" t="s">
        <v>353</v>
      </c>
      <c r="I89" t="s">
        <v>422</v>
      </c>
      <c r="J89" t="s">
        <v>287</v>
      </c>
      <c r="K89" t="s">
        <v>228</v>
      </c>
      <c r="L89" t="s">
        <v>450</v>
      </c>
      <c r="M89" t="s">
        <v>256</v>
      </c>
      <c r="N89" t="s">
        <v>355</v>
      </c>
      <c r="O89" t="s">
        <v>273</v>
      </c>
    </row>
    <row r="90" spans="1:15">
      <c r="A90">
        <v>83</v>
      </c>
      <c r="B90">
        <v>83</v>
      </c>
      <c r="C90">
        <v>20240300939</v>
      </c>
      <c r="D90" t="s">
        <v>451</v>
      </c>
      <c r="E90">
        <v>32424642</v>
      </c>
      <c r="F90" t="s">
        <v>224</v>
      </c>
      <c r="G90">
        <v>30</v>
      </c>
      <c r="H90" t="s">
        <v>353</v>
      </c>
      <c r="I90" t="s">
        <v>422</v>
      </c>
      <c r="J90" t="s">
        <v>287</v>
      </c>
      <c r="K90" t="s">
        <v>228</v>
      </c>
      <c r="L90" t="s">
        <v>434</v>
      </c>
      <c r="M90" t="s">
        <v>256</v>
      </c>
      <c r="N90" t="s">
        <v>355</v>
      </c>
      <c r="O90" t="s">
        <v>257</v>
      </c>
    </row>
    <row r="91" spans="1:15">
      <c r="A91">
        <v>84</v>
      </c>
      <c r="B91">
        <v>84</v>
      </c>
      <c r="C91">
        <v>20240300955</v>
      </c>
      <c r="D91" t="s">
        <v>452</v>
      </c>
      <c r="E91">
        <v>37415502</v>
      </c>
      <c r="F91" t="s">
        <v>224</v>
      </c>
      <c r="G91">
        <v>25</v>
      </c>
      <c r="H91" t="s">
        <v>353</v>
      </c>
      <c r="I91" t="s">
        <v>422</v>
      </c>
      <c r="J91" t="s">
        <v>287</v>
      </c>
      <c r="K91" t="s">
        <v>228</v>
      </c>
      <c r="L91" t="s">
        <v>434</v>
      </c>
      <c r="M91" t="s">
        <v>256</v>
      </c>
      <c r="N91" t="s">
        <v>355</v>
      </c>
      <c r="O91" t="s">
        <v>257</v>
      </c>
    </row>
    <row r="92" spans="1:15">
      <c r="A92">
        <v>85</v>
      </c>
      <c r="B92">
        <v>85</v>
      </c>
      <c r="C92">
        <v>20240300971</v>
      </c>
      <c r="D92" t="s">
        <v>453</v>
      </c>
      <c r="E92">
        <v>39383066</v>
      </c>
      <c r="F92" t="s">
        <v>224</v>
      </c>
      <c r="G92">
        <v>23</v>
      </c>
      <c r="H92" t="s">
        <v>353</v>
      </c>
      <c r="I92" t="s">
        <v>422</v>
      </c>
      <c r="J92" t="s">
        <v>287</v>
      </c>
      <c r="K92" t="s">
        <v>228</v>
      </c>
      <c r="L92" t="s">
        <v>454</v>
      </c>
      <c r="M92" t="s">
        <v>256</v>
      </c>
      <c r="N92" t="s">
        <v>355</v>
      </c>
      <c r="O92" t="s">
        <v>273</v>
      </c>
    </row>
    <row r="93" spans="1:15">
      <c r="A93">
        <v>86</v>
      </c>
      <c r="B93">
        <v>86</v>
      </c>
      <c r="C93">
        <v>20250008018</v>
      </c>
      <c r="D93" t="s">
        <v>455</v>
      </c>
      <c r="E93">
        <v>38290848</v>
      </c>
      <c r="F93" t="s">
        <v>234</v>
      </c>
      <c r="G93">
        <v>23</v>
      </c>
      <c r="H93" t="s">
        <v>353</v>
      </c>
      <c r="I93" t="s">
        <v>422</v>
      </c>
      <c r="J93" t="s">
        <v>287</v>
      </c>
      <c r="K93" t="s">
        <v>228</v>
      </c>
      <c r="L93" t="s">
        <v>354</v>
      </c>
      <c r="M93" t="s">
        <v>256</v>
      </c>
      <c r="N93" t="s">
        <v>355</v>
      </c>
      <c r="O93" t="s">
        <v>232</v>
      </c>
    </row>
    <row r="94" spans="1:15">
      <c r="A94">
        <v>87</v>
      </c>
      <c r="B94">
        <v>87</v>
      </c>
      <c r="C94">
        <v>20250011207</v>
      </c>
      <c r="D94" t="s">
        <v>456</v>
      </c>
      <c r="E94">
        <v>25880958</v>
      </c>
      <c r="F94" t="s">
        <v>224</v>
      </c>
      <c r="G94">
        <v>39</v>
      </c>
      <c r="H94" t="s">
        <v>353</v>
      </c>
      <c r="I94" t="s">
        <v>422</v>
      </c>
      <c r="J94" t="s">
        <v>287</v>
      </c>
      <c r="K94" t="s">
        <v>228</v>
      </c>
      <c r="L94" t="s">
        <v>383</v>
      </c>
      <c r="M94" t="s">
        <v>284</v>
      </c>
      <c r="N94" t="s">
        <v>355</v>
      </c>
      <c r="O94" t="s">
        <v>298</v>
      </c>
    </row>
    <row r="95" spans="1:15">
      <c r="A95">
        <v>88</v>
      </c>
      <c r="B95">
        <v>88</v>
      </c>
      <c r="C95">
        <v>20250067339</v>
      </c>
      <c r="D95" t="s">
        <v>457</v>
      </c>
      <c r="E95">
        <v>40031044</v>
      </c>
      <c r="F95" t="s">
        <v>234</v>
      </c>
      <c r="G95">
        <v>24</v>
      </c>
      <c r="H95" t="s">
        <v>353</v>
      </c>
      <c r="I95" t="s">
        <v>422</v>
      </c>
      <c r="J95" t="s">
        <v>287</v>
      </c>
      <c r="K95" t="s">
        <v>228</v>
      </c>
      <c r="L95" t="s">
        <v>387</v>
      </c>
      <c r="M95" t="s">
        <v>256</v>
      </c>
      <c r="N95" t="s">
        <v>355</v>
      </c>
      <c r="O95" t="s">
        <v>246</v>
      </c>
    </row>
    <row r="96" spans="1:15">
      <c r="E96" t="s">
        <v>458</v>
      </c>
    </row>
    <row r="97" spans="1:15">
      <c r="A97">
        <v>89</v>
      </c>
      <c r="B97">
        <v>89</v>
      </c>
      <c r="C97">
        <v>20152655585</v>
      </c>
      <c r="D97" t="s">
        <v>459</v>
      </c>
      <c r="E97">
        <v>26673037</v>
      </c>
      <c r="F97" t="s">
        <v>234</v>
      </c>
      <c r="G97">
        <v>36</v>
      </c>
      <c r="H97" t="s">
        <v>262</v>
      </c>
      <c r="I97" t="s">
        <v>460</v>
      </c>
      <c r="J97" t="s">
        <v>263</v>
      </c>
      <c r="K97" t="s">
        <v>228</v>
      </c>
      <c r="L97" t="s">
        <v>461</v>
      </c>
      <c r="M97" t="s">
        <v>256</v>
      </c>
      <c r="N97" t="s">
        <v>240</v>
      </c>
      <c r="O97" t="s">
        <v>241</v>
      </c>
    </row>
    <row r="98" spans="1:15">
      <c r="A98">
        <v>90</v>
      </c>
      <c r="B98">
        <v>90</v>
      </c>
      <c r="C98">
        <v>20160708685</v>
      </c>
      <c r="D98" t="s">
        <v>462</v>
      </c>
      <c r="E98">
        <v>27758071</v>
      </c>
      <c r="F98" t="s">
        <v>224</v>
      </c>
      <c r="G98">
        <v>34</v>
      </c>
      <c r="H98" t="s">
        <v>286</v>
      </c>
      <c r="I98" t="s">
        <v>460</v>
      </c>
      <c r="J98" t="s">
        <v>287</v>
      </c>
      <c r="K98" t="s">
        <v>228</v>
      </c>
      <c r="L98" t="s">
        <v>444</v>
      </c>
      <c r="M98" t="s">
        <v>272</v>
      </c>
      <c r="N98" t="s">
        <v>231</v>
      </c>
      <c r="O98" t="s">
        <v>257</v>
      </c>
    </row>
    <row r="99" spans="1:15">
      <c r="A99">
        <v>91</v>
      </c>
      <c r="B99">
        <v>91</v>
      </c>
      <c r="C99">
        <v>20220598253</v>
      </c>
      <c r="D99" t="s">
        <v>463</v>
      </c>
      <c r="E99">
        <v>32316111</v>
      </c>
      <c r="F99" t="s">
        <v>224</v>
      </c>
      <c r="G99">
        <v>30</v>
      </c>
      <c r="H99" t="s">
        <v>286</v>
      </c>
      <c r="I99" t="s">
        <v>460</v>
      </c>
      <c r="J99" t="s">
        <v>287</v>
      </c>
      <c r="K99" t="s">
        <v>228</v>
      </c>
      <c r="L99" t="s">
        <v>413</v>
      </c>
      <c r="M99" t="s">
        <v>272</v>
      </c>
      <c r="N99" t="s">
        <v>231</v>
      </c>
      <c r="O99" t="s">
        <v>257</v>
      </c>
    </row>
    <row r="100" spans="1:15">
      <c r="A100">
        <v>71</v>
      </c>
      <c r="B100">
        <v>71</v>
      </c>
      <c r="C100">
        <v>20181472223</v>
      </c>
      <c r="D100" t="s">
        <v>431</v>
      </c>
      <c r="E100">
        <v>33852077</v>
      </c>
      <c r="F100" t="s">
        <v>224</v>
      </c>
      <c r="G100">
        <v>27</v>
      </c>
      <c r="H100" t="s">
        <v>353</v>
      </c>
      <c r="I100" t="s">
        <v>422</v>
      </c>
      <c r="J100" t="s">
        <v>287</v>
      </c>
      <c r="K100" t="s">
        <v>228</v>
      </c>
      <c r="L100" t="s">
        <v>432</v>
      </c>
      <c r="M100">
        <v>9</v>
      </c>
      <c r="N100" t="s">
        <v>355</v>
      </c>
      <c r="O100" t="s">
        <v>241</v>
      </c>
    </row>
    <row r="101" spans="1:15">
      <c r="A101">
        <v>92</v>
      </c>
      <c r="B101">
        <v>92</v>
      </c>
      <c r="C101">
        <v>19930980996</v>
      </c>
      <c r="D101" t="s">
        <v>464</v>
      </c>
      <c r="E101">
        <v>8966122</v>
      </c>
      <c r="F101" t="s">
        <v>224</v>
      </c>
      <c r="G101">
        <v>57</v>
      </c>
      <c r="H101" t="s">
        <v>379</v>
      </c>
      <c r="I101" t="s">
        <v>269</v>
      </c>
      <c r="J101" t="s">
        <v>276</v>
      </c>
      <c r="K101" t="s">
        <v>228</v>
      </c>
      <c r="L101" t="s">
        <v>465</v>
      </c>
      <c r="M101" t="s">
        <v>278</v>
      </c>
      <c r="N101" t="s">
        <v>240</v>
      </c>
      <c r="O101" t="s">
        <v>273</v>
      </c>
    </row>
    <row r="102" spans="1:15">
      <c r="E102" t="s">
        <v>466</v>
      </c>
    </row>
    <row r="103" spans="1:15">
      <c r="A103">
        <v>93</v>
      </c>
      <c r="B103">
        <v>93</v>
      </c>
      <c r="C103">
        <v>19950950775</v>
      </c>
      <c r="D103" t="s">
        <v>467</v>
      </c>
      <c r="E103">
        <v>8456642</v>
      </c>
      <c r="F103" t="s">
        <v>224</v>
      </c>
      <c r="G103">
        <v>58</v>
      </c>
      <c r="H103" t="s">
        <v>373</v>
      </c>
      <c r="I103" t="s">
        <v>468</v>
      </c>
      <c r="J103" t="s">
        <v>296</v>
      </c>
      <c r="K103" t="s">
        <v>228</v>
      </c>
      <c r="L103" t="s">
        <v>469</v>
      </c>
      <c r="M103" t="s">
        <v>230</v>
      </c>
      <c r="N103" t="s">
        <v>240</v>
      </c>
      <c r="O103" t="s">
        <v>298</v>
      </c>
    </row>
    <row r="104" spans="1:15">
      <c r="A104">
        <v>94</v>
      </c>
      <c r="B104">
        <v>94</v>
      </c>
      <c r="C104">
        <v>20089223944</v>
      </c>
      <c r="D104" t="s">
        <v>470</v>
      </c>
      <c r="E104">
        <v>23837529</v>
      </c>
      <c r="F104" t="s">
        <v>234</v>
      </c>
      <c r="G104">
        <v>43</v>
      </c>
      <c r="H104" t="s">
        <v>300</v>
      </c>
      <c r="I104" t="s">
        <v>468</v>
      </c>
      <c r="J104" t="s">
        <v>301</v>
      </c>
      <c r="K104" t="s">
        <v>228</v>
      </c>
      <c r="L104" t="s">
        <v>471</v>
      </c>
      <c r="M104" t="s">
        <v>230</v>
      </c>
      <c r="N104" t="s">
        <v>240</v>
      </c>
      <c r="O104" t="s">
        <v>232</v>
      </c>
    </row>
    <row r="105" spans="1:15">
      <c r="A105">
        <v>95</v>
      </c>
      <c r="B105">
        <v>95</v>
      </c>
      <c r="C105">
        <v>19961316667</v>
      </c>
      <c r="D105" t="s">
        <v>472</v>
      </c>
      <c r="E105">
        <v>7466013</v>
      </c>
      <c r="F105" t="s">
        <v>224</v>
      </c>
      <c r="G105">
        <v>59</v>
      </c>
      <c r="H105" t="s">
        <v>473</v>
      </c>
      <c r="I105" t="s">
        <v>468</v>
      </c>
      <c r="J105" t="s">
        <v>237</v>
      </c>
      <c r="K105" t="s">
        <v>228</v>
      </c>
      <c r="L105" t="s">
        <v>474</v>
      </c>
      <c r="M105" t="s">
        <v>230</v>
      </c>
      <c r="N105" t="s">
        <v>240</v>
      </c>
      <c r="O105" t="s">
        <v>402</v>
      </c>
    </row>
    <row r="106" spans="1:15">
      <c r="A106">
        <v>96</v>
      </c>
      <c r="B106">
        <v>96</v>
      </c>
      <c r="C106">
        <v>20077017719</v>
      </c>
      <c r="D106" t="s">
        <v>475</v>
      </c>
      <c r="E106">
        <v>26202665</v>
      </c>
      <c r="F106" t="s">
        <v>224</v>
      </c>
      <c r="G106">
        <v>36</v>
      </c>
      <c r="H106" t="s">
        <v>476</v>
      </c>
      <c r="I106" t="s">
        <v>468</v>
      </c>
      <c r="J106" t="s">
        <v>276</v>
      </c>
      <c r="K106" t="s">
        <v>228</v>
      </c>
      <c r="L106" t="s">
        <v>477</v>
      </c>
      <c r="M106" t="s">
        <v>265</v>
      </c>
      <c r="N106" t="s">
        <v>240</v>
      </c>
      <c r="O106" t="s">
        <v>298</v>
      </c>
    </row>
    <row r="107" spans="1:15">
      <c r="E107" t="s">
        <v>478</v>
      </c>
    </row>
    <row r="108" spans="1:15">
      <c r="A108">
        <v>97</v>
      </c>
      <c r="B108">
        <v>97</v>
      </c>
      <c r="C108">
        <v>20089223839</v>
      </c>
      <c r="D108" t="s">
        <v>479</v>
      </c>
      <c r="E108">
        <v>13646799</v>
      </c>
      <c r="F108" t="s">
        <v>224</v>
      </c>
      <c r="G108">
        <v>50</v>
      </c>
      <c r="H108" t="s">
        <v>300</v>
      </c>
      <c r="I108" t="s">
        <v>226</v>
      </c>
      <c r="J108" t="s">
        <v>301</v>
      </c>
      <c r="K108" t="s">
        <v>228</v>
      </c>
      <c r="L108" t="s">
        <v>480</v>
      </c>
      <c r="M108" t="s">
        <v>230</v>
      </c>
      <c r="N108" t="s">
        <v>240</v>
      </c>
      <c r="O108" t="s">
        <v>232</v>
      </c>
    </row>
    <row r="109" spans="1:15">
      <c r="A109">
        <v>98</v>
      </c>
      <c r="B109">
        <v>98</v>
      </c>
      <c r="C109">
        <v>20106534472</v>
      </c>
      <c r="D109" t="s">
        <v>481</v>
      </c>
      <c r="E109">
        <v>23523136</v>
      </c>
      <c r="F109" t="s">
        <v>224</v>
      </c>
      <c r="G109">
        <v>41</v>
      </c>
      <c r="H109" t="s">
        <v>315</v>
      </c>
      <c r="I109" t="s">
        <v>482</v>
      </c>
      <c r="J109" t="s">
        <v>254</v>
      </c>
      <c r="K109" t="s">
        <v>228</v>
      </c>
      <c r="L109" t="s">
        <v>483</v>
      </c>
      <c r="M109" t="s">
        <v>256</v>
      </c>
      <c r="N109" t="s">
        <v>240</v>
      </c>
      <c r="O109" t="s">
        <v>310</v>
      </c>
    </row>
    <row r="110" spans="1:15">
      <c r="A110">
        <v>99</v>
      </c>
      <c r="B110">
        <v>99</v>
      </c>
      <c r="C110">
        <v>20114215731</v>
      </c>
      <c r="D110" t="s">
        <v>484</v>
      </c>
      <c r="E110">
        <v>12710851</v>
      </c>
      <c r="F110" t="s">
        <v>224</v>
      </c>
      <c r="G110">
        <v>51</v>
      </c>
      <c r="H110" t="s">
        <v>315</v>
      </c>
      <c r="I110" t="s">
        <v>482</v>
      </c>
      <c r="J110" t="s">
        <v>254</v>
      </c>
      <c r="K110" t="s">
        <v>228</v>
      </c>
      <c r="L110" t="s">
        <v>485</v>
      </c>
      <c r="M110" t="s">
        <v>256</v>
      </c>
      <c r="N110" t="s">
        <v>240</v>
      </c>
      <c r="O110" t="s">
        <v>273</v>
      </c>
    </row>
    <row r="111" spans="1:15">
      <c r="A111">
        <v>100</v>
      </c>
      <c r="B111">
        <v>100</v>
      </c>
      <c r="C111">
        <v>20190118042</v>
      </c>
      <c r="D111" t="s">
        <v>486</v>
      </c>
      <c r="E111">
        <v>28561000</v>
      </c>
      <c r="F111" t="s">
        <v>224</v>
      </c>
      <c r="G111">
        <v>35</v>
      </c>
      <c r="H111" t="s">
        <v>315</v>
      </c>
      <c r="I111" t="s">
        <v>482</v>
      </c>
      <c r="J111" t="s">
        <v>254</v>
      </c>
      <c r="K111" t="s">
        <v>228</v>
      </c>
      <c r="L111" t="s">
        <v>487</v>
      </c>
      <c r="M111" t="s">
        <v>256</v>
      </c>
      <c r="N111" t="s">
        <v>231</v>
      </c>
      <c r="O111" t="s">
        <v>232</v>
      </c>
    </row>
    <row r="112" spans="1:15">
      <c r="A112">
        <v>101</v>
      </c>
      <c r="B112">
        <v>101</v>
      </c>
      <c r="C112">
        <v>20181472320</v>
      </c>
      <c r="D112" t="s">
        <v>488</v>
      </c>
      <c r="E112">
        <v>29577586</v>
      </c>
      <c r="F112" t="s">
        <v>234</v>
      </c>
      <c r="G112">
        <v>32</v>
      </c>
      <c r="H112" t="s">
        <v>353</v>
      </c>
      <c r="I112" t="s">
        <v>482</v>
      </c>
      <c r="J112" t="s">
        <v>287</v>
      </c>
      <c r="K112" t="s">
        <v>228</v>
      </c>
      <c r="L112" t="s">
        <v>489</v>
      </c>
      <c r="M112" t="s">
        <v>256</v>
      </c>
      <c r="N112" t="s">
        <v>231</v>
      </c>
      <c r="O112" t="s">
        <v>251</v>
      </c>
    </row>
    <row r="113" spans="1:15">
      <c r="A113">
        <v>102</v>
      </c>
      <c r="B113">
        <v>102</v>
      </c>
      <c r="C113">
        <v>20210645935</v>
      </c>
      <c r="D113" t="s">
        <v>490</v>
      </c>
      <c r="E113">
        <v>27819882</v>
      </c>
      <c r="F113" t="s">
        <v>234</v>
      </c>
      <c r="G113">
        <v>34</v>
      </c>
      <c r="H113" t="s">
        <v>353</v>
      </c>
      <c r="I113" t="s">
        <v>482</v>
      </c>
      <c r="J113" t="s">
        <v>287</v>
      </c>
      <c r="K113" t="s">
        <v>228</v>
      </c>
      <c r="L113" t="s">
        <v>491</v>
      </c>
      <c r="M113" t="s">
        <v>256</v>
      </c>
      <c r="N113" t="s">
        <v>231</v>
      </c>
      <c r="O113" t="s">
        <v>232</v>
      </c>
    </row>
    <row r="114" spans="1:15">
      <c r="A114">
        <v>103</v>
      </c>
      <c r="B114">
        <v>103</v>
      </c>
      <c r="C114">
        <v>20250089161</v>
      </c>
      <c r="D114" t="s">
        <v>492</v>
      </c>
      <c r="E114">
        <v>35664999</v>
      </c>
      <c r="F114" t="s">
        <v>234</v>
      </c>
      <c r="G114">
        <v>26</v>
      </c>
      <c r="H114" t="s">
        <v>315</v>
      </c>
      <c r="I114" t="s">
        <v>482</v>
      </c>
      <c r="J114" t="s">
        <v>254</v>
      </c>
      <c r="K114" t="s">
        <v>228</v>
      </c>
      <c r="L114" t="s">
        <v>493</v>
      </c>
      <c r="M114" t="s">
        <v>256</v>
      </c>
      <c r="N114" t="s">
        <v>231</v>
      </c>
      <c r="O114" t="s">
        <v>232</v>
      </c>
    </row>
    <row r="115" spans="1:15">
      <c r="E115" t="s">
        <v>494</v>
      </c>
    </row>
    <row r="116" spans="1:15">
      <c r="A116">
        <v>104</v>
      </c>
      <c r="B116">
        <v>104</v>
      </c>
      <c r="C116">
        <v>19950950660</v>
      </c>
      <c r="D116" t="s">
        <v>495</v>
      </c>
      <c r="E116">
        <v>13494645</v>
      </c>
      <c r="F116" t="s">
        <v>224</v>
      </c>
      <c r="G116">
        <v>50</v>
      </c>
      <c r="H116" t="s">
        <v>496</v>
      </c>
      <c r="I116" t="s">
        <v>497</v>
      </c>
      <c r="J116" t="s">
        <v>237</v>
      </c>
      <c r="K116" t="s">
        <v>228</v>
      </c>
      <c r="L116" t="s">
        <v>498</v>
      </c>
      <c r="M116" t="s">
        <v>245</v>
      </c>
      <c r="N116" t="s">
        <v>240</v>
      </c>
      <c r="O116" t="s">
        <v>246</v>
      </c>
    </row>
    <row r="117" spans="1:15">
      <c r="A117">
        <v>105</v>
      </c>
      <c r="B117">
        <v>105</v>
      </c>
      <c r="C117">
        <v>20114215676</v>
      </c>
      <c r="D117" t="s">
        <v>499</v>
      </c>
      <c r="E117">
        <v>22469478</v>
      </c>
      <c r="F117" t="s">
        <v>224</v>
      </c>
      <c r="G117">
        <v>43</v>
      </c>
      <c r="H117" t="s">
        <v>500</v>
      </c>
      <c r="I117" t="s">
        <v>501</v>
      </c>
      <c r="J117" t="s">
        <v>263</v>
      </c>
      <c r="K117" t="s">
        <v>228</v>
      </c>
      <c r="L117" t="s">
        <v>502</v>
      </c>
      <c r="M117" t="s">
        <v>284</v>
      </c>
      <c r="N117" t="s">
        <v>240</v>
      </c>
      <c r="O117" t="s">
        <v>402</v>
      </c>
    </row>
    <row r="118" spans="1:15">
      <c r="A118">
        <v>106</v>
      </c>
      <c r="B118">
        <v>106</v>
      </c>
      <c r="C118">
        <v>20160708651</v>
      </c>
      <c r="D118" t="s">
        <v>503</v>
      </c>
      <c r="E118">
        <v>29236121</v>
      </c>
      <c r="F118" t="s">
        <v>224</v>
      </c>
      <c r="G118">
        <v>36</v>
      </c>
      <c r="H118" t="s">
        <v>500</v>
      </c>
      <c r="I118" t="s">
        <v>501</v>
      </c>
      <c r="J118" t="s">
        <v>263</v>
      </c>
      <c r="K118" t="s">
        <v>228</v>
      </c>
      <c r="L118" t="s">
        <v>504</v>
      </c>
      <c r="M118" t="s">
        <v>256</v>
      </c>
      <c r="N118" t="s">
        <v>240</v>
      </c>
      <c r="O118" t="s">
        <v>257</v>
      </c>
    </row>
    <row r="119" spans="1:15">
      <c r="A119">
        <v>107</v>
      </c>
      <c r="B119">
        <v>107</v>
      </c>
      <c r="C119">
        <v>20077018406</v>
      </c>
      <c r="D119" t="s">
        <v>505</v>
      </c>
      <c r="E119">
        <v>11305223</v>
      </c>
      <c r="F119" t="s">
        <v>224</v>
      </c>
      <c r="G119">
        <v>53</v>
      </c>
      <c r="H119" t="s">
        <v>506</v>
      </c>
      <c r="I119" t="s">
        <v>501</v>
      </c>
      <c r="J119" t="s">
        <v>234</v>
      </c>
      <c r="K119" t="s">
        <v>228</v>
      </c>
      <c r="L119" t="s">
        <v>507</v>
      </c>
      <c r="M119" t="s">
        <v>284</v>
      </c>
      <c r="N119" t="s">
        <v>240</v>
      </c>
      <c r="O119" t="s">
        <v>241</v>
      </c>
    </row>
    <row r="120" spans="1:15">
      <c r="A120">
        <v>108</v>
      </c>
      <c r="B120">
        <v>108</v>
      </c>
      <c r="C120">
        <v>20178601041</v>
      </c>
      <c r="D120" t="s">
        <v>508</v>
      </c>
      <c r="E120">
        <v>27532666</v>
      </c>
      <c r="F120" t="s">
        <v>224</v>
      </c>
      <c r="G120">
        <v>35</v>
      </c>
      <c r="H120" t="s">
        <v>509</v>
      </c>
      <c r="I120" t="s">
        <v>501</v>
      </c>
      <c r="J120" t="s">
        <v>287</v>
      </c>
      <c r="K120" t="s">
        <v>228</v>
      </c>
      <c r="L120" t="s">
        <v>413</v>
      </c>
      <c r="M120" t="s">
        <v>272</v>
      </c>
      <c r="N120" t="s">
        <v>231</v>
      </c>
      <c r="O120" t="s">
        <v>273</v>
      </c>
    </row>
    <row r="121" spans="1:15">
      <c r="A121">
        <v>109</v>
      </c>
      <c r="B121">
        <v>109</v>
      </c>
      <c r="C121">
        <v>20220597922</v>
      </c>
      <c r="D121" t="s">
        <v>510</v>
      </c>
      <c r="E121">
        <v>30223693</v>
      </c>
      <c r="F121" t="s">
        <v>224</v>
      </c>
      <c r="G121">
        <v>35</v>
      </c>
      <c r="H121" t="s">
        <v>509</v>
      </c>
      <c r="I121" t="s">
        <v>501</v>
      </c>
      <c r="J121" t="s">
        <v>287</v>
      </c>
      <c r="K121" t="s">
        <v>228</v>
      </c>
      <c r="L121" t="s">
        <v>413</v>
      </c>
      <c r="M121" t="s">
        <v>272</v>
      </c>
      <c r="N121" t="s">
        <v>231</v>
      </c>
      <c r="O121" t="s">
        <v>246</v>
      </c>
    </row>
    <row r="122" spans="1:15">
      <c r="A122">
        <v>110</v>
      </c>
      <c r="B122">
        <v>110</v>
      </c>
      <c r="C122">
        <v>20220598067</v>
      </c>
      <c r="D122" t="s">
        <v>511</v>
      </c>
      <c r="E122">
        <v>26091118</v>
      </c>
      <c r="F122" t="s">
        <v>224</v>
      </c>
      <c r="G122">
        <v>36</v>
      </c>
      <c r="H122" t="s">
        <v>509</v>
      </c>
      <c r="I122" t="s">
        <v>501</v>
      </c>
      <c r="J122" t="s">
        <v>287</v>
      </c>
      <c r="K122" t="s">
        <v>228</v>
      </c>
      <c r="L122" t="s">
        <v>512</v>
      </c>
      <c r="M122" t="s">
        <v>272</v>
      </c>
      <c r="N122" t="s">
        <v>231</v>
      </c>
      <c r="O122" t="s">
        <v>232</v>
      </c>
    </row>
    <row r="123" spans="1:15">
      <c r="A123">
        <v>111</v>
      </c>
      <c r="B123">
        <v>111</v>
      </c>
      <c r="C123">
        <v>20220598318</v>
      </c>
      <c r="D123" t="s">
        <v>513</v>
      </c>
      <c r="E123">
        <v>29105215</v>
      </c>
      <c r="F123" t="s">
        <v>234</v>
      </c>
      <c r="G123">
        <v>34</v>
      </c>
      <c r="H123" t="s">
        <v>509</v>
      </c>
      <c r="I123" t="s">
        <v>501</v>
      </c>
      <c r="J123" t="s">
        <v>287</v>
      </c>
      <c r="K123" t="s">
        <v>228</v>
      </c>
      <c r="L123" t="s">
        <v>377</v>
      </c>
      <c r="M123" t="s">
        <v>272</v>
      </c>
      <c r="N123" t="s">
        <v>231</v>
      </c>
      <c r="O123" t="s">
        <v>232</v>
      </c>
    </row>
    <row r="124" spans="1:15">
      <c r="A124">
        <v>112</v>
      </c>
      <c r="B124">
        <v>112</v>
      </c>
      <c r="C124">
        <v>20240300997</v>
      </c>
      <c r="D124" t="s">
        <v>514</v>
      </c>
      <c r="E124">
        <v>36990261</v>
      </c>
      <c r="F124" t="s">
        <v>224</v>
      </c>
      <c r="G124">
        <v>26</v>
      </c>
      <c r="H124" t="s">
        <v>509</v>
      </c>
      <c r="I124" t="s">
        <v>501</v>
      </c>
      <c r="J124" t="s">
        <v>287</v>
      </c>
      <c r="K124" t="s">
        <v>228</v>
      </c>
      <c r="L124">
        <v>46450</v>
      </c>
      <c r="M124" t="s">
        <v>272</v>
      </c>
      <c r="N124" t="s">
        <v>231</v>
      </c>
      <c r="O124" t="s">
        <v>266</v>
      </c>
    </row>
    <row r="125" spans="1:15">
      <c r="A125">
        <v>113</v>
      </c>
      <c r="B125">
        <v>113</v>
      </c>
      <c r="C125">
        <v>20152655412</v>
      </c>
      <c r="D125" t="s">
        <v>515</v>
      </c>
      <c r="E125">
        <v>23111970</v>
      </c>
      <c r="F125" t="s">
        <v>224</v>
      </c>
      <c r="G125">
        <v>42</v>
      </c>
      <c r="H125" t="s">
        <v>506</v>
      </c>
      <c r="I125" t="s">
        <v>501</v>
      </c>
      <c r="J125" t="s">
        <v>234</v>
      </c>
      <c r="K125" t="s">
        <v>228</v>
      </c>
      <c r="L125" t="s">
        <v>516</v>
      </c>
      <c r="M125" t="s">
        <v>272</v>
      </c>
      <c r="N125" t="s">
        <v>240</v>
      </c>
      <c r="O125" t="s">
        <v>266</v>
      </c>
    </row>
    <row r="126" spans="1:15">
      <c r="A126">
        <v>114</v>
      </c>
      <c r="B126">
        <v>114</v>
      </c>
      <c r="C126">
        <v>20060933629</v>
      </c>
      <c r="D126" t="s">
        <v>517</v>
      </c>
      <c r="E126">
        <v>12631708</v>
      </c>
      <c r="F126" t="s">
        <v>224</v>
      </c>
      <c r="G126">
        <v>50</v>
      </c>
      <c r="H126" t="s">
        <v>253</v>
      </c>
      <c r="I126" t="s">
        <v>518</v>
      </c>
      <c r="J126" t="s">
        <v>254</v>
      </c>
      <c r="K126" t="s">
        <v>228</v>
      </c>
      <c r="L126" t="s">
        <v>519</v>
      </c>
      <c r="M126" t="s">
        <v>265</v>
      </c>
      <c r="N126" t="s">
        <v>240</v>
      </c>
      <c r="O126" t="s">
        <v>273</v>
      </c>
    </row>
    <row r="127" spans="1:15">
      <c r="A127">
        <v>115</v>
      </c>
      <c r="B127">
        <v>115</v>
      </c>
      <c r="C127">
        <v>20060933970</v>
      </c>
      <c r="D127" t="s">
        <v>520</v>
      </c>
      <c r="E127">
        <v>9429717</v>
      </c>
      <c r="F127" t="s">
        <v>224</v>
      </c>
      <c r="G127">
        <v>57</v>
      </c>
      <c r="H127" t="s">
        <v>521</v>
      </c>
      <c r="I127" t="s">
        <v>518</v>
      </c>
      <c r="J127" t="s">
        <v>276</v>
      </c>
      <c r="K127" t="s">
        <v>228</v>
      </c>
      <c r="L127" t="s">
        <v>377</v>
      </c>
      <c r="M127" t="s">
        <v>278</v>
      </c>
      <c r="N127" t="s">
        <v>240</v>
      </c>
      <c r="O127" t="s">
        <v>273</v>
      </c>
    </row>
    <row r="128" spans="1:15">
      <c r="A128">
        <v>116</v>
      </c>
      <c r="B128">
        <v>116</v>
      </c>
      <c r="C128">
        <v>20077017955</v>
      </c>
      <c r="D128" t="s">
        <v>522</v>
      </c>
      <c r="E128">
        <v>11824621</v>
      </c>
      <c r="F128" t="s">
        <v>224</v>
      </c>
      <c r="G128">
        <v>51</v>
      </c>
      <c r="H128" t="s">
        <v>523</v>
      </c>
      <c r="I128" t="s">
        <v>518</v>
      </c>
      <c r="J128" t="s">
        <v>270</v>
      </c>
      <c r="K128" t="s">
        <v>228</v>
      </c>
      <c r="L128" t="s">
        <v>524</v>
      </c>
      <c r="M128" t="s">
        <v>272</v>
      </c>
      <c r="N128" t="s">
        <v>240</v>
      </c>
      <c r="O128" t="s">
        <v>257</v>
      </c>
    </row>
    <row r="129" spans="1:15">
      <c r="A129">
        <v>117</v>
      </c>
      <c r="B129">
        <v>117</v>
      </c>
      <c r="C129">
        <v>19950950686</v>
      </c>
      <c r="D129" t="s">
        <v>525</v>
      </c>
      <c r="E129">
        <v>11642748</v>
      </c>
      <c r="F129" t="s">
        <v>224</v>
      </c>
      <c r="G129">
        <v>53</v>
      </c>
      <c r="H129" t="s">
        <v>351</v>
      </c>
      <c r="I129" t="s">
        <v>518</v>
      </c>
      <c r="J129" t="s">
        <v>287</v>
      </c>
      <c r="K129" t="s">
        <v>228</v>
      </c>
      <c r="L129" t="s">
        <v>507</v>
      </c>
      <c r="M129" t="s">
        <v>272</v>
      </c>
      <c r="N129" t="s">
        <v>240</v>
      </c>
      <c r="O129" t="s">
        <v>389</v>
      </c>
    </row>
    <row r="130" spans="1:15">
      <c r="A130">
        <v>118</v>
      </c>
      <c r="B130">
        <v>118</v>
      </c>
      <c r="C130">
        <v>20089223805</v>
      </c>
      <c r="D130" t="s">
        <v>526</v>
      </c>
      <c r="E130">
        <v>10024181</v>
      </c>
      <c r="F130" t="s">
        <v>224</v>
      </c>
      <c r="G130">
        <v>57</v>
      </c>
      <c r="H130" t="s">
        <v>527</v>
      </c>
      <c r="I130" t="s">
        <v>518</v>
      </c>
      <c r="J130" t="s">
        <v>287</v>
      </c>
      <c r="K130" t="s">
        <v>228</v>
      </c>
      <c r="L130" t="s">
        <v>528</v>
      </c>
      <c r="M130" t="s">
        <v>272</v>
      </c>
      <c r="N130" t="s">
        <v>240</v>
      </c>
      <c r="O130" t="s">
        <v>241</v>
      </c>
    </row>
    <row r="131" spans="1:15">
      <c r="A131">
        <v>119</v>
      </c>
      <c r="B131">
        <v>119</v>
      </c>
      <c r="C131">
        <v>20106534294</v>
      </c>
      <c r="D131" t="s">
        <v>529</v>
      </c>
      <c r="E131">
        <v>21027957</v>
      </c>
      <c r="F131" t="s">
        <v>224</v>
      </c>
      <c r="G131">
        <v>47</v>
      </c>
      <c r="H131" t="s">
        <v>363</v>
      </c>
      <c r="I131" t="s">
        <v>518</v>
      </c>
      <c r="J131" t="s">
        <v>234</v>
      </c>
      <c r="K131" t="s">
        <v>228</v>
      </c>
      <c r="L131" t="s">
        <v>530</v>
      </c>
      <c r="M131" t="s">
        <v>284</v>
      </c>
      <c r="N131" t="s">
        <v>240</v>
      </c>
      <c r="O131" t="s">
        <v>232</v>
      </c>
    </row>
    <row r="132" spans="1:15">
      <c r="A132">
        <v>120</v>
      </c>
      <c r="B132">
        <v>120</v>
      </c>
      <c r="C132">
        <v>20114215472</v>
      </c>
      <c r="D132" t="s">
        <v>531</v>
      </c>
      <c r="E132">
        <v>14425020</v>
      </c>
      <c r="F132" t="s">
        <v>224</v>
      </c>
      <c r="G132">
        <v>49</v>
      </c>
      <c r="H132" t="s">
        <v>509</v>
      </c>
      <c r="I132" t="s">
        <v>518</v>
      </c>
      <c r="J132" t="s">
        <v>287</v>
      </c>
      <c r="K132" t="s">
        <v>228</v>
      </c>
      <c r="L132" t="s">
        <v>532</v>
      </c>
      <c r="M132" t="s">
        <v>533</v>
      </c>
      <c r="N132" t="s">
        <v>240</v>
      </c>
      <c r="O132" t="s">
        <v>273</v>
      </c>
    </row>
    <row r="133" spans="1:15">
      <c r="E133" t="s">
        <v>534</v>
      </c>
    </row>
    <row r="134" spans="1:15">
      <c r="A134">
        <v>121</v>
      </c>
      <c r="B134">
        <v>121</v>
      </c>
      <c r="C134">
        <v>20200484002</v>
      </c>
      <c r="D134" t="s">
        <v>535</v>
      </c>
      <c r="E134">
        <v>33171966</v>
      </c>
      <c r="F134" t="s">
        <v>224</v>
      </c>
      <c r="G134">
        <v>29</v>
      </c>
      <c r="H134" t="s">
        <v>536</v>
      </c>
      <c r="I134" t="s">
        <v>417</v>
      </c>
      <c r="J134" t="s">
        <v>224</v>
      </c>
      <c r="K134" t="s">
        <v>228</v>
      </c>
      <c r="L134" t="s">
        <v>377</v>
      </c>
      <c r="M134" t="s">
        <v>256</v>
      </c>
      <c r="N134" t="s">
        <v>231</v>
      </c>
      <c r="O134" t="s">
        <v>251</v>
      </c>
    </row>
    <row r="135" spans="1:15">
      <c r="A135">
        <v>122</v>
      </c>
      <c r="B135">
        <v>122</v>
      </c>
      <c r="C135">
        <v>20114215634</v>
      </c>
      <c r="D135" t="s">
        <v>537</v>
      </c>
      <c r="E135">
        <v>21898292</v>
      </c>
      <c r="F135" t="s">
        <v>234</v>
      </c>
      <c r="G135">
        <v>45</v>
      </c>
      <c r="H135" t="s">
        <v>538</v>
      </c>
      <c r="I135" t="s">
        <v>249</v>
      </c>
      <c r="J135" t="s">
        <v>237</v>
      </c>
      <c r="K135" t="s">
        <v>539</v>
      </c>
      <c r="L135" t="s">
        <v>540</v>
      </c>
      <c r="M135" t="s">
        <v>245</v>
      </c>
      <c r="N135" t="s">
        <v>240</v>
      </c>
      <c r="O135" t="s">
        <v>251</v>
      </c>
    </row>
    <row r="136" spans="1:15">
      <c r="A136">
        <v>123</v>
      </c>
      <c r="B136">
        <v>123</v>
      </c>
      <c r="C136">
        <v>20160708766</v>
      </c>
      <c r="D136" t="s">
        <v>541</v>
      </c>
      <c r="E136">
        <v>24137198</v>
      </c>
      <c r="F136" t="s">
        <v>224</v>
      </c>
      <c r="G136">
        <v>40</v>
      </c>
      <c r="H136" t="s">
        <v>315</v>
      </c>
      <c r="I136" t="s">
        <v>249</v>
      </c>
      <c r="J136" t="s">
        <v>254</v>
      </c>
      <c r="K136" t="s">
        <v>228</v>
      </c>
      <c r="L136" t="s">
        <v>491</v>
      </c>
      <c r="M136" t="s">
        <v>256</v>
      </c>
      <c r="N136" t="s">
        <v>231</v>
      </c>
      <c r="O136" t="s">
        <v>542</v>
      </c>
    </row>
    <row r="137" spans="1:15">
      <c r="A137">
        <v>124</v>
      </c>
      <c r="B137">
        <v>124</v>
      </c>
      <c r="C137">
        <v>20220598562</v>
      </c>
      <c r="D137" t="s">
        <v>543</v>
      </c>
      <c r="E137">
        <v>28075095</v>
      </c>
      <c r="F137" t="s">
        <v>234</v>
      </c>
      <c r="G137">
        <v>34</v>
      </c>
      <c r="H137" t="s">
        <v>416</v>
      </c>
      <c r="I137" t="s">
        <v>249</v>
      </c>
      <c r="J137" t="s">
        <v>254</v>
      </c>
      <c r="K137" t="s">
        <v>228</v>
      </c>
      <c r="L137" t="s">
        <v>377</v>
      </c>
      <c r="M137" t="s">
        <v>256</v>
      </c>
      <c r="N137" t="s">
        <v>231</v>
      </c>
      <c r="O137" t="s">
        <v>246</v>
      </c>
    </row>
    <row r="138" spans="1:15">
      <c r="E138" t="s">
        <v>544</v>
      </c>
    </row>
    <row r="139" spans="1:15">
      <c r="A139">
        <v>125</v>
      </c>
      <c r="B139">
        <v>125</v>
      </c>
      <c r="C139">
        <v>20060934015</v>
      </c>
      <c r="D139" t="s">
        <v>545</v>
      </c>
      <c r="E139">
        <v>13754943</v>
      </c>
      <c r="F139" t="s">
        <v>234</v>
      </c>
      <c r="G139">
        <v>49</v>
      </c>
      <c r="H139" t="s">
        <v>546</v>
      </c>
      <c r="I139" t="s">
        <v>269</v>
      </c>
      <c r="J139" t="s">
        <v>296</v>
      </c>
      <c r="K139" t="s">
        <v>228</v>
      </c>
      <c r="L139" t="s">
        <v>547</v>
      </c>
      <c r="M139" t="s">
        <v>245</v>
      </c>
      <c r="N139" t="s">
        <v>240</v>
      </c>
      <c r="O139" t="s">
        <v>246</v>
      </c>
    </row>
    <row r="140" spans="1:15">
      <c r="A140">
        <v>126</v>
      </c>
      <c r="B140">
        <v>126</v>
      </c>
      <c r="C140">
        <v>20220598059</v>
      </c>
      <c r="D140" t="s">
        <v>548</v>
      </c>
      <c r="E140">
        <v>25786319</v>
      </c>
      <c r="F140" t="s">
        <v>234</v>
      </c>
      <c r="G140">
        <v>36</v>
      </c>
      <c r="H140" t="s">
        <v>549</v>
      </c>
      <c r="I140" t="s">
        <v>269</v>
      </c>
      <c r="J140" t="s">
        <v>254</v>
      </c>
      <c r="K140" t="s">
        <v>228</v>
      </c>
      <c r="L140" t="s">
        <v>260</v>
      </c>
      <c r="M140" t="s">
        <v>256</v>
      </c>
      <c r="N140" t="s">
        <v>231</v>
      </c>
      <c r="O140" t="s">
        <v>273</v>
      </c>
    </row>
    <row r="141" spans="1:15">
      <c r="A141">
        <v>127</v>
      </c>
      <c r="B141">
        <v>127</v>
      </c>
      <c r="C141">
        <v>20250067290</v>
      </c>
      <c r="D141" t="s">
        <v>550</v>
      </c>
      <c r="E141">
        <v>28556294</v>
      </c>
      <c r="F141" t="s">
        <v>234</v>
      </c>
      <c r="G141">
        <v>33</v>
      </c>
      <c r="H141" t="s">
        <v>551</v>
      </c>
      <c r="I141" t="s">
        <v>269</v>
      </c>
      <c r="J141" t="s">
        <v>254</v>
      </c>
      <c r="K141" t="s">
        <v>228</v>
      </c>
      <c r="L141">
        <v>46756</v>
      </c>
      <c r="M141" t="s">
        <v>256</v>
      </c>
      <c r="N141" t="s">
        <v>231</v>
      </c>
      <c r="O141" t="s">
        <v>232</v>
      </c>
    </row>
    <row r="142" spans="1:15">
      <c r="A142">
        <v>128</v>
      </c>
      <c r="B142">
        <v>128</v>
      </c>
      <c r="C142">
        <v>20077018317</v>
      </c>
      <c r="D142" t="s">
        <v>552</v>
      </c>
      <c r="E142">
        <v>21955124</v>
      </c>
      <c r="F142" t="s">
        <v>234</v>
      </c>
      <c r="G142">
        <v>44</v>
      </c>
      <c r="H142" t="s">
        <v>379</v>
      </c>
      <c r="I142" t="s">
        <v>269</v>
      </c>
      <c r="J142" t="s">
        <v>276</v>
      </c>
      <c r="K142" t="s">
        <v>228</v>
      </c>
      <c r="L142" t="s">
        <v>553</v>
      </c>
      <c r="M142" t="s">
        <v>265</v>
      </c>
      <c r="N142" t="s">
        <v>240</v>
      </c>
      <c r="O142" t="s">
        <v>246</v>
      </c>
    </row>
    <row r="143" spans="1:15">
      <c r="A143">
        <v>129</v>
      </c>
      <c r="B143">
        <v>129</v>
      </c>
      <c r="C143">
        <v>20178600948</v>
      </c>
      <c r="D143" t="s">
        <v>554</v>
      </c>
      <c r="E143">
        <v>20793936</v>
      </c>
      <c r="F143" t="s">
        <v>234</v>
      </c>
      <c r="G143">
        <v>47</v>
      </c>
      <c r="H143" t="s">
        <v>555</v>
      </c>
      <c r="I143" t="s">
        <v>269</v>
      </c>
      <c r="J143" t="s">
        <v>276</v>
      </c>
      <c r="K143" t="s">
        <v>228</v>
      </c>
      <c r="L143" t="s">
        <v>326</v>
      </c>
      <c r="M143" t="s">
        <v>265</v>
      </c>
      <c r="N143" t="s">
        <v>231</v>
      </c>
      <c r="O143" t="s">
        <v>257</v>
      </c>
    </row>
    <row r="144" spans="1:15">
      <c r="A144">
        <v>130</v>
      </c>
      <c r="B144">
        <v>130</v>
      </c>
      <c r="C144">
        <v>20250089153</v>
      </c>
      <c r="D144" t="s">
        <v>556</v>
      </c>
      <c r="E144">
        <v>32003696</v>
      </c>
      <c r="F144" t="s">
        <v>224</v>
      </c>
      <c r="G144">
        <v>31</v>
      </c>
      <c r="H144" t="s">
        <v>557</v>
      </c>
      <c r="I144" t="s">
        <v>269</v>
      </c>
      <c r="J144" t="s">
        <v>276</v>
      </c>
      <c r="K144" t="s">
        <v>228</v>
      </c>
      <c r="L144">
        <v>46756</v>
      </c>
      <c r="M144" t="s">
        <v>265</v>
      </c>
      <c r="N144" t="s">
        <v>231</v>
      </c>
      <c r="O144" t="s">
        <v>241</v>
      </c>
    </row>
    <row r="145" spans="1:15">
      <c r="A145">
        <v>131</v>
      </c>
      <c r="B145">
        <v>131</v>
      </c>
      <c r="C145">
        <v>19930981023</v>
      </c>
      <c r="D145" t="s">
        <v>558</v>
      </c>
      <c r="E145">
        <v>11357609</v>
      </c>
      <c r="F145" t="s">
        <v>224</v>
      </c>
      <c r="G145">
        <v>53</v>
      </c>
      <c r="H145" t="s">
        <v>351</v>
      </c>
      <c r="I145" t="s">
        <v>269</v>
      </c>
      <c r="J145" t="s">
        <v>287</v>
      </c>
      <c r="K145" t="s">
        <v>228</v>
      </c>
      <c r="L145" t="s">
        <v>559</v>
      </c>
      <c r="M145" t="s">
        <v>272</v>
      </c>
      <c r="N145" t="s">
        <v>240</v>
      </c>
      <c r="O145" t="s">
        <v>232</v>
      </c>
    </row>
    <row r="146" spans="1:15">
      <c r="A146">
        <v>132</v>
      </c>
      <c r="B146">
        <v>132</v>
      </c>
      <c r="C146">
        <v>20089223978</v>
      </c>
      <c r="D146" t="s">
        <v>560</v>
      </c>
      <c r="E146">
        <v>14740020</v>
      </c>
      <c r="F146" t="s">
        <v>224</v>
      </c>
      <c r="G146">
        <v>48</v>
      </c>
      <c r="H146" t="s">
        <v>447</v>
      </c>
      <c r="I146" t="s">
        <v>269</v>
      </c>
      <c r="J146" t="s">
        <v>287</v>
      </c>
      <c r="K146" t="s">
        <v>228</v>
      </c>
      <c r="L146" t="s">
        <v>561</v>
      </c>
      <c r="M146" t="s">
        <v>272</v>
      </c>
      <c r="N146" t="s">
        <v>240</v>
      </c>
      <c r="O146" t="s">
        <v>232</v>
      </c>
    </row>
    <row r="147" spans="1:15">
      <c r="A147">
        <v>133</v>
      </c>
      <c r="B147">
        <v>133</v>
      </c>
      <c r="C147">
        <v>20240300905</v>
      </c>
      <c r="D147" t="s">
        <v>562</v>
      </c>
      <c r="E147">
        <v>25394548</v>
      </c>
      <c r="F147" t="s">
        <v>234</v>
      </c>
      <c r="G147">
        <v>36</v>
      </c>
      <c r="H147" t="s">
        <v>353</v>
      </c>
      <c r="I147" t="s">
        <v>269</v>
      </c>
      <c r="J147" t="s">
        <v>287</v>
      </c>
      <c r="K147" t="s">
        <v>228</v>
      </c>
      <c r="L147" t="s">
        <v>563</v>
      </c>
      <c r="M147" t="s">
        <v>256</v>
      </c>
      <c r="N147" t="s">
        <v>355</v>
      </c>
      <c r="O147" t="s">
        <v>257</v>
      </c>
    </row>
    <row r="148" spans="1:15">
      <c r="A148">
        <v>134</v>
      </c>
      <c r="B148">
        <v>134</v>
      </c>
      <c r="C148">
        <v>20240300947</v>
      </c>
      <c r="D148" t="s">
        <v>564</v>
      </c>
      <c r="E148">
        <v>37098477</v>
      </c>
      <c r="F148" t="s">
        <v>234</v>
      </c>
      <c r="G148">
        <v>25</v>
      </c>
      <c r="H148" t="s">
        <v>353</v>
      </c>
      <c r="I148" t="s">
        <v>269</v>
      </c>
      <c r="J148" t="s">
        <v>287</v>
      </c>
      <c r="K148" t="s">
        <v>228</v>
      </c>
      <c r="L148" t="s">
        <v>565</v>
      </c>
      <c r="M148" t="s">
        <v>256</v>
      </c>
      <c r="N148" t="s">
        <v>355</v>
      </c>
      <c r="O148" t="s">
        <v>251</v>
      </c>
    </row>
    <row r="149" spans="1:15">
      <c r="E149" t="s">
        <v>566</v>
      </c>
    </row>
    <row r="150" spans="1:15">
      <c r="A150">
        <v>135</v>
      </c>
      <c r="B150">
        <v>135</v>
      </c>
      <c r="C150">
        <v>20020838693</v>
      </c>
      <c r="D150" t="s">
        <v>567</v>
      </c>
      <c r="E150">
        <v>21301415</v>
      </c>
      <c r="F150" t="s">
        <v>224</v>
      </c>
      <c r="G150">
        <v>48</v>
      </c>
      <c r="H150" t="s">
        <v>300</v>
      </c>
      <c r="I150" t="s">
        <v>374</v>
      </c>
      <c r="J150" t="s">
        <v>301</v>
      </c>
      <c r="K150" t="s">
        <v>228</v>
      </c>
      <c r="L150" t="s">
        <v>568</v>
      </c>
      <c r="M150" t="s">
        <v>230</v>
      </c>
      <c r="N150" t="s">
        <v>240</v>
      </c>
      <c r="O150" t="s">
        <v>232</v>
      </c>
    </row>
    <row r="151" spans="1:15">
      <c r="A151">
        <v>136</v>
      </c>
      <c r="B151">
        <v>136</v>
      </c>
      <c r="C151">
        <v>20210646216</v>
      </c>
      <c r="D151" t="s">
        <v>569</v>
      </c>
      <c r="E151">
        <v>24212658</v>
      </c>
      <c r="F151" t="s">
        <v>234</v>
      </c>
      <c r="G151">
        <v>40</v>
      </c>
      <c r="H151" t="s">
        <v>400</v>
      </c>
      <c r="I151" t="s">
        <v>236</v>
      </c>
      <c r="J151" t="s">
        <v>224</v>
      </c>
      <c r="K151" t="s">
        <v>228</v>
      </c>
      <c r="L151" t="s">
        <v>255</v>
      </c>
      <c r="M151" t="s">
        <v>245</v>
      </c>
      <c r="N151" t="s">
        <v>231</v>
      </c>
      <c r="O151" t="s">
        <v>251</v>
      </c>
    </row>
    <row r="152" spans="1:15">
      <c r="A152">
        <v>137</v>
      </c>
      <c r="B152">
        <v>137</v>
      </c>
      <c r="C152">
        <v>20240300963</v>
      </c>
      <c r="D152" t="s">
        <v>570</v>
      </c>
      <c r="E152">
        <v>39250183</v>
      </c>
      <c r="F152" t="s">
        <v>234</v>
      </c>
      <c r="G152">
        <v>23</v>
      </c>
      <c r="H152" t="s">
        <v>571</v>
      </c>
      <c r="I152" t="s">
        <v>269</v>
      </c>
      <c r="J152" t="s">
        <v>254</v>
      </c>
      <c r="K152" t="s">
        <v>228</v>
      </c>
      <c r="L152" t="s">
        <v>563</v>
      </c>
      <c r="M152" t="s">
        <v>256</v>
      </c>
      <c r="N152" t="s">
        <v>231</v>
      </c>
      <c r="O152" t="s">
        <v>241</v>
      </c>
    </row>
    <row r="157" spans="1:15">
      <c r="E157" t="s">
        <v>572</v>
      </c>
    </row>
    <row r="158" spans="1:15">
      <c r="A158">
        <v>138</v>
      </c>
      <c r="B158">
        <v>1</v>
      </c>
      <c r="C158">
        <v>20106534561</v>
      </c>
      <c r="D158" t="s">
        <v>573</v>
      </c>
      <c r="E158">
        <v>14450937</v>
      </c>
      <c r="F158" t="s">
        <v>224</v>
      </c>
      <c r="G158">
        <v>49</v>
      </c>
      <c r="H158" t="s">
        <v>574</v>
      </c>
      <c r="I158" t="s">
        <v>226</v>
      </c>
      <c r="J158" t="s">
        <v>575</v>
      </c>
      <c r="K158" t="s">
        <v>228</v>
      </c>
      <c r="L158" t="s">
        <v>576</v>
      </c>
      <c r="M158" t="s">
        <v>230</v>
      </c>
      <c r="N158" t="s">
        <v>231</v>
      </c>
      <c r="O158" t="s">
        <v>251</v>
      </c>
    </row>
    <row r="159" spans="1:15">
      <c r="A159">
        <v>139</v>
      </c>
      <c r="B159">
        <v>2</v>
      </c>
      <c r="C159">
        <v>19871318369</v>
      </c>
      <c r="D159" t="s">
        <v>577</v>
      </c>
      <c r="E159">
        <v>3988162</v>
      </c>
      <c r="F159" t="s">
        <v>224</v>
      </c>
      <c r="G159">
        <v>65</v>
      </c>
      <c r="H159" t="s">
        <v>373</v>
      </c>
      <c r="I159" t="s">
        <v>226</v>
      </c>
      <c r="J159" t="s">
        <v>296</v>
      </c>
      <c r="K159" t="s">
        <v>228</v>
      </c>
      <c r="L159" t="s">
        <v>578</v>
      </c>
      <c r="M159" t="s">
        <v>230</v>
      </c>
      <c r="N159" t="s">
        <v>240</v>
      </c>
      <c r="O159" t="s">
        <v>257</v>
      </c>
    </row>
    <row r="160" spans="1:15">
      <c r="A160">
        <v>140</v>
      </c>
      <c r="B160">
        <v>3</v>
      </c>
      <c r="C160">
        <v>20060933865</v>
      </c>
      <c r="D160" t="s">
        <v>579</v>
      </c>
      <c r="E160">
        <v>9759334</v>
      </c>
      <c r="F160" t="s">
        <v>234</v>
      </c>
      <c r="G160">
        <v>57</v>
      </c>
      <c r="H160" t="s">
        <v>373</v>
      </c>
      <c r="I160" t="s">
        <v>226</v>
      </c>
      <c r="J160" t="s">
        <v>296</v>
      </c>
      <c r="K160" t="s">
        <v>228</v>
      </c>
      <c r="L160" t="s">
        <v>580</v>
      </c>
      <c r="M160" t="s">
        <v>230</v>
      </c>
      <c r="N160" t="s">
        <v>231</v>
      </c>
      <c r="O160" t="s">
        <v>257</v>
      </c>
    </row>
    <row r="161" spans="1:15">
      <c r="A161">
        <v>141</v>
      </c>
      <c r="B161">
        <v>4</v>
      </c>
      <c r="C161">
        <v>20089223839</v>
      </c>
      <c r="D161" t="s">
        <v>479</v>
      </c>
      <c r="E161">
        <v>13646799</v>
      </c>
      <c r="F161" t="s">
        <v>224</v>
      </c>
      <c r="G161">
        <v>50</v>
      </c>
      <c r="H161" t="s">
        <v>300</v>
      </c>
      <c r="I161" t="s">
        <v>226</v>
      </c>
      <c r="J161" t="s">
        <v>301</v>
      </c>
      <c r="K161" t="s">
        <v>228</v>
      </c>
      <c r="L161" t="s">
        <v>480</v>
      </c>
      <c r="M161" t="s">
        <v>230</v>
      </c>
      <c r="N161" t="s">
        <v>240</v>
      </c>
      <c r="O161" t="s">
        <v>232</v>
      </c>
    </row>
    <row r="162" spans="1:15">
      <c r="A162">
        <v>142</v>
      </c>
      <c r="B162">
        <v>5</v>
      </c>
      <c r="C162">
        <v>20178600794</v>
      </c>
      <c r="D162" t="s">
        <v>581</v>
      </c>
      <c r="E162">
        <v>2376027</v>
      </c>
      <c r="F162" t="s">
        <v>234</v>
      </c>
      <c r="G162">
        <v>40</v>
      </c>
      <c r="H162" t="s">
        <v>300</v>
      </c>
      <c r="I162" t="s">
        <v>226</v>
      </c>
      <c r="J162" t="s">
        <v>301</v>
      </c>
      <c r="K162" t="s">
        <v>228</v>
      </c>
      <c r="L162" t="s">
        <v>582</v>
      </c>
      <c r="M162" t="s">
        <v>230</v>
      </c>
      <c r="N162" t="s">
        <v>240</v>
      </c>
      <c r="O162" t="s">
        <v>410</v>
      </c>
    </row>
    <row r="163" spans="1:15">
      <c r="A163">
        <v>143</v>
      </c>
      <c r="B163">
        <v>6</v>
      </c>
      <c r="C163">
        <v>20178601009</v>
      </c>
      <c r="D163" t="s">
        <v>583</v>
      </c>
      <c r="E163">
        <v>24946509</v>
      </c>
      <c r="F163" t="s">
        <v>234</v>
      </c>
      <c r="G163">
        <v>40</v>
      </c>
      <c r="H163" t="s">
        <v>300</v>
      </c>
      <c r="I163" t="s">
        <v>226</v>
      </c>
      <c r="J163" t="s">
        <v>301</v>
      </c>
      <c r="K163" t="s">
        <v>228</v>
      </c>
      <c r="L163" t="s">
        <v>584</v>
      </c>
      <c r="M163" t="s">
        <v>230</v>
      </c>
      <c r="N163" t="s">
        <v>240</v>
      </c>
      <c r="O163" t="s">
        <v>266</v>
      </c>
    </row>
    <row r="164" spans="1:15">
      <c r="A164">
        <v>144</v>
      </c>
      <c r="B164">
        <v>7</v>
      </c>
      <c r="C164">
        <v>20220599013</v>
      </c>
      <c r="D164" t="s">
        <v>585</v>
      </c>
      <c r="E164">
        <v>27925378</v>
      </c>
      <c r="F164" t="s">
        <v>234</v>
      </c>
      <c r="G164">
        <v>37</v>
      </c>
      <c r="H164" t="s">
        <v>586</v>
      </c>
      <c r="I164" t="s">
        <v>226</v>
      </c>
      <c r="J164" t="s">
        <v>301</v>
      </c>
      <c r="K164" t="s">
        <v>228</v>
      </c>
      <c r="L164" t="s">
        <v>377</v>
      </c>
      <c r="M164" t="s">
        <v>230</v>
      </c>
      <c r="N164" t="s">
        <v>231</v>
      </c>
      <c r="O164" t="s">
        <v>232</v>
      </c>
    </row>
    <row r="165" spans="1:15">
      <c r="A165">
        <v>145</v>
      </c>
      <c r="B165">
        <v>8</v>
      </c>
      <c r="C165">
        <v>20060933695</v>
      </c>
      <c r="D165" t="s">
        <v>587</v>
      </c>
      <c r="E165">
        <v>22153547</v>
      </c>
      <c r="F165" t="s">
        <v>224</v>
      </c>
      <c r="G165">
        <v>44</v>
      </c>
      <c r="H165" t="s">
        <v>473</v>
      </c>
      <c r="I165" t="s">
        <v>226</v>
      </c>
      <c r="J165" t="s">
        <v>237</v>
      </c>
      <c r="K165" t="s">
        <v>228</v>
      </c>
      <c r="L165" t="s">
        <v>588</v>
      </c>
      <c r="M165" t="s">
        <v>272</v>
      </c>
      <c r="N165" t="s">
        <v>240</v>
      </c>
      <c r="O165" t="s">
        <v>246</v>
      </c>
    </row>
    <row r="166" spans="1:15">
      <c r="A166">
        <v>146</v>
      </c>
      <c r="B166">
        <v>9</v>
      </c>
      <c r="C166">
        <v>20114215529</v>
      </c>
      <c r="D166" t="s">
        <v>589</v>
      </c>
      <c r="E166">
        <v>23575227</v>
      </c>
      <c r="F166" t="s">
        <v>224</v>
      </c>
      <c r="G166">
        <v>41</v>
      </c>
      <c r="H166" t="s">
        <v>590</v>
      </c>
      <c r="I166" t="s">
        <v>226</v>
      </c>
      <c r="J166" t="s">
        <v>224</v>
      </c>
      <c r="K166" t="s">
        <v>228</v>
      </c>
      <c r="L166" t="s">
        <v>591</v>
      </c>
      <c r="M166" t="s">
        <v>245</v>
      </c>
      <c r="N166" t="s">
        <v>240</v>
      </c>
      <c r="O166" t="s">
        <v>232</v>
      </c>
    </row>
    <row r="167" spans="1:15">
      <c r="A167">
        <v>147</v>
      </c>
      <c r="B167">
        <v>10</v>
      </c>
      <c r="C167">
        <v>20178600867</v>
      </c>
      <c r="D167" t="s">
        <v>592</v>
      </c>
      <c r="E167">
        <v>10032595</v>
      </c>
      <c r="F167" t="s">
        <v>234</v>
      </c>
      <c r="G167">
        <v>37</v>
      </c>
      <c r="H167" t="s">
        <v>593</v>
      </c>
      <c r="I167" t="s">
        <v>226</v>
      </c>
      <c r="J167" t="s">
        <v>224</v>
      </c>
      <c r="K167" t="s">
        <v>228</v>
      </c>
      <c r="L167">
        <v>46390</v>
      </c>
      <c r="M167" t="s">
        <v>245</v>
      </c>
      <c r="N167" t="s">
        <v>231</v>
      </c>
      <c r="O167" t="s">
        <v>440</v>
      </c>
    </row>
    <row r="168" spans="1:15">
      <c r="A168">
        <v>148</v>
      </c>
      <c r="B168">
        <v>11</v>
      </c>
      <c r="C168">
        <v>20089223902</v>
      </c>
      <c r="D168" t="s">
        <v>594</v>
      </c>
      <c r="E168">
        <v>22469470</v>
      </c>
      <c r="F168" t="s">
        <v>224</v>
      </c>
      <c r="G168">
        <v>42</v>
      </c>
      <c r="H168" t="s">
        <v>315</v>
      </c>
      <c r="I168" t="s">
        <v>226</v>
      </c>
      <c r="J168" t="s">
        <v>254</v>
      </c>
      <c r="K168" t="s">
        <v>228</v>
      </c>
      <c r="L168" t="s">
        <v>595</v>
      </c>
      <c r="M168" t="s">
        <v>230</v>
      </c>
      <c r="N168" t="s">
        <v>240</v>
      </c>
      <c r="O168" t="s">
        <v>232</v>
      </c>
    </row>
    <row r="169" spans="1:15">
      <c r="A169">
        <v>149</v>
      </c>
      <c r="B169">
        <v>12</v>
      </c>
      <c r="C169">
        <v>20210645838</v>
      </c>
      <c r="D169" t="s">
        <v>596</v>
      </c>
      <c r="E169">
        <v>32689152</v>
      </c>
      <c r="F169" t="s">
        <v>234</v>
      </c>
      <c r="G169">
        <v>30</v>
      </c>
      <c r="H169" t="s">
        <v>315</v>
      </c>
      <c r="I169" t="s">
        <v>226</v>
      </c>
      <c r="J169" t="s">
        <v>254</v>
      </c>
      <c r="K169" t="s">
        <v>228</v>
      </c>
      <c r="L169" t="s">
        <v>597</v>
      </c>
      <c r="M169" t="s">
        <v>256</v>
      </c>
      <c r="N169" t="s">
        <v>231</v>
      </c>
      <c r="O169" t="s">
        <v>257</v>
      </c>
    </row>
    <row r="170" spans="1:15">
      <c r="A170">
        <v>150</v>
      </c>
      <c r="B170">
        <v>13</v>
      </c>
      <c r="C170">
        <v>20210646020</v>
      </c>
      <c r="D170" t="s">
        <v>598</v>
      </c>
      <c r="E170">
        <v>32747838</v>
      </c>
      <c r="F170" t="s">
        <v>234</v>
      </c>
      <c r="G170">
        <v>29</v>
      </c>
      <c r="H170" t="s">
        <v>315</v>
      </c>
      <c r="I170" t="s">
        <v>226</v>
      </c>
      <c r="J170" t="s">
        <v>254</v>
      </c>
      <c r="K170" t="s">
        <v>228</v>
      </c>
      <c r="L170" t="s">
        <v>599</v>
      </c>
      <c r="M170" t="s">
        <v>256</v>
      </c>
      <c r="N170" t="s">
        <v>231</v>
      </c>
      <c r="O170" t="s">
        <v>257</v>
      </c>
    </row>
    <row r="171" spans="1:15">
      <c r="A171">
        <v>151</v>
      </c>
      <c r="B171">
        <v>14</v>
      </c>
      <c r="C171">
        <v>20220598334</v>
      </c>
      <c r="D171" t="s">
        <v>600</v>
      </c>
      <c r="E171">
        <v>29609713</v>
      </c>
      <c r="F171" t="s">
        <v>224</v>
      </c>
      <c r="G171">
        <v>32</v>
      </c>
      <c r="H171" t="s">
        <v>315</v>
      </c>
      <c r="I171" t="s">
        <v>226</v>
      </c>
      <c r="J171" t="s">
        <v>254</v>
      </c>
      <c r="K171" t="s">
        <v>228</v>
      </c>
      <c r="L171" t="s">
        <v>377</v>
      </c>
      <c r="M171" t="s">
        <v>256</v>
      </c>
      <c r="N171" t="s">
        <v>231</v>
      </c>
      <c r="O171" t="s">
        <v>232</v>
      </c>
    </row>
    <row r="172" spans="1:15">
      <c r="A172">
        <v>152</v>
      </c>
      <c r="B172">
        <v>15</v>
      </c>
      <c r="C172">
        <v>20250067363</v>
      </c>
      <c r="D172" t="s">
        <v>601</v>
      </c>
      <c r="E172">
        <v>33506213</v>
      </c>
      <c r="F172" t="s">
        <v>224</v>
      </c>
      <c r="G172">
        <v>28</v>
      </c>
      <c r="H172" t="s">
        <v>602</v>
      </c>
      <c r="I172" t="s">
        <v>226</v>
      </c>
      <c r="J172" t="s">
        <v>254</v>
      </c>
      <c r="K172" t="s">
        <v>228</v>
      </c>
      <c r="L172">
        <v>46756</v>
      </c>
      <c r="M172" t="s">
        <v>256</v>
      </c>
      <c r="N172" t="s">
        <v>231</v>
      </c>
      <c r="O172" t="s">
        <v>241</v>
      </c>
    </row>
    <row r="173" spans="1:15">
      <c r="A173">
        <v>153</v>
      </c>
      <c r="B173">
        <v>16</v>
      </c>
      <c r="C173">
        <v>20250067371</v>
      </c>
      <c r="D173" t="s">
        <v>603</v>
      </c>
      <c r="E173">
        <v>35919539</v>
      </c>
      <c r="F173" t="s">
        <v>224</v>
      </c>
      <c r="G173">
        <v>27</v>
      </c>
      <c r="H173" t="s">
        <v>602</v>
      </c>
      <c r="I173" t="s">
        <v>226</v>
      </c>
      <c r="J173" t="s">
        <v>254</v>
      </c>
      <c r="K173" t="s">
        <v>228</v>
      </c>
      <c r="L173">
        <v>46757</v>
      </c>
      <c r="M173" t="s">
        <v>256</v>
      </c>
      <c r="N173" t="s">
        <v>231</v>
      </c>
      <c r="O173" t="s">
        <v>298</v>
      </c>
    </row>
    <row r="174" spans="1:15">
      <c r="A174">
        <v>154</v>
      </c>
      <c r="B174">
        <v>17</v>
      </c>
      <c r="C174">
        <v>19911126965</v>
      </c>
      <c r="D174" t="s">
        <v>604</v>
      </c>
      <c r="E174">
        <v>8341746</v>
      </c>
      <c r="F174" t="s">
        <v>234</v>
      </c>
      <c r="G174">
        <v>58</v>
      </c>
      <c r="H174" t="s">
        <v>605</v>
      </c>
      <c r="I174" t="s">
        <v>226</v>
      </c>
      <c r="J174" t="s">
        <v>263</v>
      </c>
      <c r="K174" t="s">
        <v>228</v>
      </c>
      <c r="L174" t="s">
        <v>606</v>
      </c>
      <c r="M174" t="s">
        <v>265</v>
      </c>
      <c r="N174" t="s">
        <v>240</v>
      </c>
      <c r="O174" t="s">
        <v>241</v>
      </c>
    </row>
    <row r="175" spans="1:15">
      <c r="A175">
        <v>155</v>
      </c>
      <c r="B175">
        <v>18</v>
      </c>
      <c r="C175">
        <v>19901899011</v>
      </c>
      <c r="D175" t="s">
        <v>607</v>
      </c>
      <c r="E175">
        <v>7304854</v>
      </c>
      <c r="F175" t="s">
        <v>234</v>
      </c>
      <c r="G175">
        <v>58</v>
      </c>
      <c r="H175" t="s">
        <v>521</v>
      </c>
      <c r="I175" t="s">
        <v>226</v>
      </c>
      <c r="J175" t="s">
        <v>276</v>
      </c>
      <c r="K175" t="s">
        <v>228</v>
      </c>
      <c r="L175" t="s">
        <v>608</v>
      </c>
      <c r="M175" t="s">
        <v>278</v>
      </c>
      <c r="N175" t="s">
        <v>240</v>
      </c>
      <c r="O175" t="s">
        <v>251</v>
      </c>
    </row>
    <row r="176" spans="1:15">
      <c r="A176">
        <v>156</v>
      </c>
      <c r="B176">
        <v>19</v>
      </c>
      <c r="C176">
        <v>20210645927</v>
      </c>
      <c r="D176" t="s">
        <v>609</v>
      </c>
      <c r="E176">
        <v>31141408</v>
      </c>
      <c r="F176" t="s">
        <v>234</v>
      </c>
      <c r="G176">
        <v>30</v>
      </c>
      <c r="H176" t="s">
        <v>353</v>
      </c>
      <c r="I176" t="s">
        <v>226</v>
      </c>
      <c r="J176" t="s">
        <v>287</v>
      </c>
      <c r="K176" t="s">
        <v>228</v>
      </c>
      <c r="L176" t="s">
        <v>610</v>
      </c>
      <c r="M176" t="s">
        <v>256</v>
      </c>
      <c r="N176" t="s">
        <v>355</v>
      </c>
      <c r="O176" t="s">
        <v>611</v>
      </c>
    </row>
    <row r="177" spans="1:15">
      <c r="A177">
        <v>157</v>
      </c>
      <c r="B177">
        <v>20</v>
      </c>
      <c r="C177">
        <v>20250011956</v>
      </c>
      <c r="D177" t="s">
        <v>612</v>
      </c>
      <c r="E177">
        <v>36066208</v>
      </c>
      <c r="F177" t="s">
        <v>224</v>
      </c>
      <c r="G177">
        <v>26</v>
      </c>
      <c r="H177" t="s">
        <v>353</v>
      </c>
      <c r="I177" t="s">
        <v>226</v>
      </c>
      <c r="J177" t="s">
        <v>287</v>
      </c>
      <c r="K177" t="s">
        <v>228</v>
      </c>
      <c r="L177" t="s">
        <v>354</v>
      </c>
      <c r="M177" t="s">
        <v>256</v>
      </c>
      <c r="N177" t="s">
        <v>355</v>
      </c>
      <c r="O177" t="s">
        <v>241</v>
      </c>
    </row>
    <row r="178" spans="1:15">
      <c r="A178">
        <v>158</v>
      </c>
      <c r="B178">
        <v>21</v>
      </c>
      <c r="C178">
        <v>20250067305</v>
      </c>
      <c r="D178" t="s">
        <v>613</v>
      </c>
      <c r="E178">
        <v>25566424</v>
      </c>
      <c r="F178" t="s">
        <v>234</v>
      </c>
      <c r="G178">
        <v>39</v>
      </c>
      <c r="H178" t="s">
        <v>614</v>
      </c>
      <c r="I178" t="s">
        <v>226</v>
      </c>
      <c r="J178" t="s">
        <v>287</v>
      </c>
      <c r="K178" t="s">
        <v>228</v>
      </c>
      <c r="L178">
        <v>46026</v>
      </c>
      <c r="M178" t="s">
        <v>230</v>
      </c>
      <c r="N178" t="s">
        <v>355</v>
      </c>
      <c r="O178" t="s">
        <v>232</v>
      </c>
    </row>
    <row r="179" spans="1:15">
      <c r="E179" t="s">
        <v>615</v>
      </c>
    </row>
    <row r="180" spans="1:15">
      <c r="A180">
        <v>159</v>
      </c>
      <c r="B180">
        <v>159</v>
      </c>
      <c r="C180">
        <v>20095593179</v>
      </c>
      <c r="D180" t="s">
        <v>616</v>
      </c>
      <c r="E180">
        <v>9124859</v>
      </c>
      <c r="F180" t="s">
        <v>224</v>
      </c>
      <c r="G180">
        <v>58</v>
      </c>
      <c r="H180" t="s">
        <v>617</v>
      </c>
      <c r="I180" t="s">
        <v>618</v>
      </c>
      <c r="J180" t="s">
        <v>254</v>
      </c>
      <c r="K180" t="s">
        <v>228</v>
      </c>
      <c r="L180" t="s">
        <v>619</v>
      </c>
      <c r="M180" t="s">
        <v>265</v>
      </c>
      <c r="N180" t="s">
        <v>240</v>
      </c>
      <c r="O180" t="s">
        <v>232</v>
      </c>
    </row>
    <row r="181" spans="1:15">
      <c r="A181">
        <v>160</v>
      </c>
      <c r="B181">
        <v>160</v>
      </c>
      <c r="C181">
        <v>20106534197</v>
      </c>
      <c r="D181" t="s">
        <v>620</v>
      </c>
      <c r="E181">
        <v>22266918</v>
      </c>
      <c r="F181" t="s">
        <v>224</v>
      </c>
      <c r="G181">
        <v>43</v>
      </c>
      <c r="H181" t="s">
        <v>621</v>
      </c>
      <c r="I181" t="s">
        <v>618</v>
      </c>
      <c r="J181" t="s">
        <v>276</v>
      </c>
      <c r="K181" t="s">
        <v>228</v>
      </c>
      <c r="L181" t="s">
        <v>622</v>
      </c>
      <c r="M181" t="s">
        <v>265</v>
      </c>
      <c r="N181" t="s">
        <v>240</v>
      </c>
      <c r="O181" t="s">
        <v>251</v>
      </c>
    </row>
    <row r="182" spans="1:15">
      <c r="A182">
        <v>161</v>
      </c>
      <c r="B182">
        <v>161</v>
      </c>
      <c r="C182">
        <v>19930980954</v>
      </c>
      <c r="D182" t="s">
        <v>623</v>
      </c>
      <c r="E182">
        <v>10550840</v>
      </c>
      <c r="F182" t="s">
        <v>224</v>
      </c>
      <c r="G182">
        <v>53</v>
      </c>
      <c r="H182" t="s">
        <v>527</v>
      </c>
      <c r="I182" t="s">
        <v>618</v>
      </c>
      <c r="J182" t="s">
        <v>287</v>
      </c>
      <c r="K182" t="s">
        <v>228</v>
      </c>
      <c r="L182" t="s">
        <v>624</v>
      </c>
      <c r="M182" t="s">
        <v>272</v>
      </c>
      <c r="N182" t="s">
        <v>240</v>
      </c>
      <c r="O182" t="s">
        <v>232</v>
      </c>
    </row>
    <row r="183" spans="1:15">
      <c r="A183">
        <v>162</v>
      </c>
      <c r="B183">
        <v>162</v>
      </c>
      <c r="C183">
        <v>20089223813</v>
      </c>
      <c r="D183" t="s">
        <v>625</v>
      </c>
      <c r="E183">
        <v>8735475</v>
      </c>
      <c r="F183" t="s">
        <v>224</v>
      </c>
      <c r="G183">
        <v>55</v>
      </c>
      <c r="H183" t="s">
        <v>527</v>
      </c>
      <c r="I183" t="s">
        <v>618</v>
      </c>
      <c r="J183" t="s">
        <v>287</v>
      </c>
      <c r="K183" t="s">
        <v>228</v>
      </c>
      <c r="L183" t="s">
        <v>626</v>
      </c>
      <c r="M183" t="s">
        <v>272</v>
      </c>
      <c r="N183" t="s">
        <v>240</v>
      </c>
      <c r="O183" t="s">
        <v>542</v>
      </c>
    </row>
    <row r="184" spans="1:15">
      <c r="A184">
        <v>163</v>
      </c>
      <c r="B184">
        <v>163</v>
      </c>
      <c r="C184">
        <v>20114215668</v>
      </c>
      <c r="D184" t="s">
        <v>627</v>
      </c>
      <c r="E184">
        <v>22353089</v>
      </c>
      <c r="F184" t="s">
        <v>224</v>
      </c>
      <c r="G184">
        <v>45</v>
      </c>
      <c r="H184" t="s">
        <v>628</v>
      </c>
      <c r="I184" t="s">
        <v>618</v>
      </c>
      <c r="J184" t="s">
        <v>234</v>
      </c>
      <c r="K184" t="s">
        <v>228</v>
      </c>
      <c r="L184" t="s">
        <v>629</v>
      </c>
      <c r="M184" t="s">
        <v>284</v>
      </c>
      <c r="N184" t="s">
        <v>240</v>
      </c>
      <c r="O184" t="s">
        <v>542</v>
      </c>
    </row>
    <row r="185" spans="1:15">
      <c r="A185">
        <v>164</v>
      </c>
      <c r="B185">
        <v>164</v>
      </c>
      <c r="C185">
        <v>20121211073</v>
      </c>
      <c r="D185" t="s">
        <v>630</v>
      </c>
      <c r="E185">
        <v>26038175</v>
      </c>
      <c r="F185" t="s">
        <v>224</v>
      </c>
      <c r="G185">
        <v>39</v>
      </c>
      <c r="H185" t="s">
        <v>628</v>
      </c>
      <c r="I185" t="s">
        <v>618</v>
      </c>
      <c r="J185" t="s">
        <v>234</v>
      </c>
      <c r="K185" t="s">
        <v>228</v>
      </c>
      <c r="L185" t="s">
        <v>631</v>
      </c>
      <c r="M185" t="s">
        <v>272</v>
      </c>
      <c r="N185" t="s">
        <v>231</v>
      </c>
      <c r="O185" t="s">
        <v>257</v>
      </c>
    </row>
    <row r="186" spans="1:15">
      <c r="E186" t="s">
        <v>632</v>
      </c>
    </row>
    <row r="187" spans="1:15">
      <c r="A187">
        <v>165</v>
      </c>
      <c r="B187">
        <v>165</v>
      </c>
      <c r="C187">
        <v>20060933912</v>
      </c>
      <c r="D187" t="s">
        <v>633</v>
      </c>
      <c r="E187">
        <v>23888972</v>
      </c>
      <c r="F187" t="s">
        <v>234</v>
      </c>
      <c r="G187">
        <v>43</v>
      </c>
      <c r="H187" t="s">
        <v>634</v>
      </c>
      <c r="I187" t="s">
        <v>236</v>
      </c>
      <c r="J187" t="s">
        <v>224</v>
      </c>
      <c r="K187" t="s">
        <v>228</v>
      </c>
      <c r="L187" t="s">
        <v>635</v>
      </c>
      <c r="M187" t="s">
        <v>256</v>
      </c>
      <c r="N187" t="s">
        <v>240</v>
      </c>
      <c r="O187" t="s">
        <v>289</v>
      </c>
    </row>
    <row r="188" spans="1:15">
      <c r="A188">
        <v>166</v>
      </c>
      <c r="B188">
        <v>166</v>
      </c>
      <c r="C188">
        <v>19990495595</v>
      </c>
      <c r="D188" t="s">
        <v>636</v>
      </c>
      <c r="E188">
        <v>10809560</v>
      </c>
      <c r="F188" t="s">
        <v>224</v>
      </c>
      <c r="G188">
        <v>55</v>
      </c>
      <c r="H188" t="s">
        <v>634</v>
      </c>
      <c r="I188" t="s">
        <v>497</v>
      </c>
      <c r="J188" t="s">
        <v>224</v>
      </c>
      <c r="K188" t="s">
        <v>228</v>
      </c>
      <c r="L188" t="s">
        <v>637</v>
      </c>
      <c r="M188" t="s">
        <v>245</v>
      </c>
      <c r="N188" t="s">
        <v>240</v>
      </c>
      <c r="O188" t="s">
        <v>257</v>
      </c>
    </row>
    <row r="189" spans="1:15">
      <c r="A189">
        <v>167</v>
      </c>
      <c r="B189">
        <v>167</v>
      </c>
      <c r="C189">
        <v>19950950767</v>
      </c>
      <c r="D189" t="s">
        <v>638</v>
      </c>
      <c r="E189">
        <v>14519207</v>
      </c>
      <c r="F189" t="s">
        <v>224</v>
      </c>
      <c r="G189">
        <v>50</v>
      </c>
      <c r="H189" t="s">
        <v>639</v>
      </c>
      <c r="I189" t="s">
        <v>497</v>
      </c>
      <c r="J189" t="s">
        <v>276</v>
      </c>
      <c r="K189" t="s">
        <v>228</v>
      </c>
      <c r="L189" t="s">
        <v>640</v>
      </c>
      <c r="M189" t="s">
        <v>265</v>
      </c>
      <c r="N189" t="s">
        <v>240</v>
      </c>
      <c r="O189" t="s">
        <v>232</v>
      </c>
    </row>
    <row r="190" spans="1:15">
      <c r="A190">
        <v>168</v>
      </c>
      <c r="B190">
        <v>168</v>
      </c>
      <c r="C190">
        <v>20060933611</v>
      </c>
      <c r="D190" t="s">
        <v>641</v>
      </c>
      <c r="E190">
        <v>23616610</v>
      </c>
      <c r="F190" t="s">
        <v>234</v>
      </c>
      <c r="G190">
        <v>40</v>
      </c>
      <c r="H190" t="s">
        <v>639</v>
      </c>
      <c r="I190" t="s">
        <v>497</v>
      </c>
      <c r="J190" t="s">
        <v>276</v>
      </c>
      <c r="K190" t="s">
        <v>228</v>
      </c>
      <c r="L190" t="s">
        <v>642</v>
      </c>
      <c r="M190" t="s">
        <v>256</v>
      </c>
      <c r="N190" t="s">
        <v>240</v>
      </c>
      <c r="O190" t="s">
        <v>251</v>
      </c>
    </row>
    <row r="191" spans="1:15">
      <c r="A191">
        <v>169</v>
      </c>
      <c r="B191">
        <v>169</v>
      </c>
      <c r="C191">
        <v>20089223994</v>
      </c>
      <c r="D191" t="s">
        <v>643</v>
      </c>
      <c r="E191">
        <v>13878750</v>
      </c>
      <c r="F191" t="s">
        <v>224</v>
      </c>
      <c r="G191">
        <v>49</v>
      </c>
      <c r="H191" t="s">
        <v>644</v>
      </c>
      <c r="I191" t="s">
        <v>497</v>
      </c>
      <c r="J191" t="s">
        <v>270</v>
      </c>
      <c r="K191" t="s">
        <v>228</v>
      </c>
      <c r="L191" t="s">
        <v>645</v>
      </c>
      <c r="M191" t="s">
        <v>272</v>
      </c>
      <c r="N191" t="s">
        <v>240</v>
      </c>
      <c r="O191" t="s">
        <v>257</v>
      </c>
    </row>
    <row r="192" spans="1:15">
      <c r="A192">
        <v>170</v>
      </c>
      <c r="B192">
        <v>170</v>
      </c>
      <c r="C192">
        <v>20240300913</v>
      </c>
      <c r="D192" t="s">
        <v>646</v>
      </c>
      <c r="E192">
        <v>28808330</v>
      </c>
      <c r="F192" t="s">
        <v>224</v>
      </c>
      <c r="G192">
        <v>34</v>
      </c>
      <c r="H192" t="s">
        <v>353</v>
      </c>
      <c r="I192" t="s">
        <v>497</v>
      </c>
      <c r="J192" t="s">
        <v>287</v>
      </c>
      <c r="K192" t="s">
        <v>228</v>
      </c>
      <c r="L192" t="s">
        <v>565</v>
      </c>
      <c r="M192" t="s">
        <v>272</v>
      </c>
      <c r="N192" t="s">
        <v>355</v>
      </c>
      <c r="O192" t="s">
        <v>273</v>
      </c>
    </row>
    <row r="193" spans="1:15">
      <c r="E193" t="s">
        <v>647</v>
      </c>
    </row>
    <row r="194" spans="1:15">
      <c r="A194">
        <v>171</v>
      </c>
      <c r="B194">
        <v>171</v>
      </c>
      <c r="C194">
        <v>19961316675</v>
      </c>
      <c r="D194" t="s">
        <v>648</v>
      </c>
      <c r="E194">
        <v>8821281</v>
      </c>
      <c r="F194" t="s">
        <v>224</v>
      </c>
      <c r="G194">
        <v>58</v>
      </c>
      <c r="H194" t="s">
        <v>649</v>
      </c>
      <c r="I194" t="s">
        <v>650</v>
      </c>
      <c r="J194" t="s">
        <v>651</v>
      </c>
      <c r="K194" t="s">
        <v>228</v>
      </c>
      <c r="L194" t="s">
        <v>652</v>
      </c>
      <c r="M194" t="s">
        <v>230</v>
      </c>
      <c r="N194" t="s">
        <v>231</v>
      </c>
      <c r="O194" t="s">
        <v>241</v>
      </c>
    </row>
    <row r="195" spans="1:15">
      <c r="A195">
        <v>172</v>
      </c>
      <c r="B195">
        <v>172</v>
      </c>
      <c r="C195">
        <v>20131165402</v>
      </c>
      <c r="D195" t="s">
        <v>653</v>
      </c>
      <c r="E195">
        <v>23482428</v>
      </c>
      <c r="F195" t="s">
        <v>234</v>
      </c>
      <c r="G195">
        <v>49</v>
      </c>
      <c r="H195" t="s">
        <v>373</v>
      </c>
      <c r="I195" t="s">
        <v>650</v>
      </c>
      <c r="J195" t="s">
        <v>296</v>
      </c>
      <c r="K195" t="s">
        <v>228</v>
      </c>
      <c r="L195" t="s">
        <v>654</v>
      </c>
      <c r="M195" t="s">
        <v>230</v>
      </c>
      <c r="N195" t="s">
        <v>240</v>
      </c>
      <c r="O195" t="s">
        <v>257</v>
      </c>
    </row>
    <row r="196" spans="1:15">
      <c r="A196">
        <v>173</v>
      </c>
      <c r="B196">
        <v>173</v>
      </c>
      <c r="C196">
        <v>20114215503</v>
      </c>
      <c r="D196" t="s">
        <v>655</v>
      </c>
      <c r="E196">
        <v>22569012</v>
      </c>
      <c r="F196" t="s">
        <v>234</v>
      </c>
      <c r="G196">
        <v>42</v>
      </c>
      <c r="H196" t="s">
        <v>300</v>
      </c>
      <c r="I196" t="s">
        <v>650</v>
      </c>
      <c r="J196" t="s">
        <v>301</v>
      </c>
      <c r="K196" t="s">
        <v>228</v>
      </c>
      <c r="L196" t="s">
        <v>656</v>
      </c>
      <c r="M196" t="s">
        <v>230</v>
      </c>
      <c r="N196" t="s">
        <v>240</v>
      </c>
      <c r="O196" t="s">
        <v>257</v>
      </c>
    </row>
    <row r="197" spans="1:15">
      <c r="A197">
        <v>174</v>
      </c>
      <c r="B197">
        <v>174</v>
      </c>
      <c r="C197">
        <v>19911126834</v>
      </c>
      <c r="D197" t="s">
        <v>657</v>
      </c>
      <c r="E197">
        <v>8796575</v>
      </c>
      <c r="F197" t="s">
        <v>224</v>
      </c>
      <c r="G197">
        <v>58</v>
      </c>
      <c r="H197" t="s">
        <v>590</v>
      </c>
      <c r="I197" t="s">
        <v>650</v>
      </c>
      <c r="J197" t="s">
        <v>224</v>
      </c>
      <c r="K197" t="s">
        <v>228</v>
      </c>
      <c r="L197" t="s">
        <v>658</v>
      </c>
      <c r="M197" t="s">
        <v>245</v>
      </c>
      <c r="N197" t="s">
        <v>240</v>
      </c>
      <c r="O197" t="s">
        <v>232</v>
      </c>
    </row>
    <row r="198" spans="1:15">
      <c r="A198">
        <v>175</v>
      </c>
      <c r="B198">
        <v>175</v>
      </c>
      <c r="C198">
        <v>19920654331</v>
      </c>
      <c r="D198" t="s">
        <v>659</v>
      </c>
      <c r="E198">
        <v>10176803</v>
      </c>
      <c r="F198" t="s">
        <v>234</v>
      </c>
      <c r="G198">
        <v>55</v>
      </c>
      <c r="H198" t="s">
        <v>590</v>
      </c>
      <c r="I198" t="s">
        <v>650</v>
      </c>
      <c r="J198" t="s">
        <v>224</v>
      </c>
      <c r="K198" t="s">
        <v>228</v>
      </c>
      <c r="L198" t="s">
        <v>660</v>
      </c>
      <c r="M198" t="s">
        <v>245</v>
      </c>
      <c r="N198" t="s">
        <v>240</v>
      </c>
      <c r="O198" t="s">
        <v>241</v>
      </c>
    </row>
    <row r="199" spans="1:15">
      <c r="A199">
        <v>176</v>
      </c>
      <c r="B199">
        <v>176</v>
      </c>
      <c r="C199">
        <v>20060933776</v>
      </c>
      <c r="D199" t="s">
        <v>661</v>
      </c>
      <c r="E199">
        <v>13643884</v>
      </c>
      <c r="F199" t="s">
        <v>234</v>
      </c>
      <c r="G199">
        <v>49</v>
      </c>
      <c r="H199" t="s">
        <v>590</v>
      </c>
      <c r="I199" t="s">
        <v>650</v>
      </c>
      <c r="J199" t="s">
        <v>224</v>
      </c>
      <c r="K199" t="s">
        <v>228</v>
      </c>
      <c r="L199" t="s">
        <v>662</v>
      </c>
      <c r="M199" t="s">
        <v>245</v>
      </c>
      <c r="N199" t="s">
        <v>240</v>
      </c>
      <c r="O199" t="s">
        <v>251</v>
      </c>
    </row>
    <row r="200" spans="1:15">
      <c r="A200">
        <v>177</v>
      </c>
      <c r="B200">
        <v>177</v>
      </c>
      <c r="C200">
        <v>20160708732</v>
      </c>
      <c r="D200" t="s">
        <v>663</v>
      </c>
      <c r="E200">
        <v>25341165</v>
      </c>
      <c r="F200" t="s">
        <v>234</v>
      </c>
      <c r="G200">
        <v>37</v>
      </c>
      <c r="H200" t="s">
        <v>593</v>
      </c>
      <c r="I200" t="s">
        <v>650</v>
      </c>
      <c r="J200" t="s">
        <v>224</v>
      </c>
      <c r="K200" t="s">
        <v>664</v>
      </c>
      <c r="L200" t="s">
        <v>444</v>
      </c>
      <c r="M200" t="s">
        <v>245</v>
      </c>
      <c r="N200" t="s">
        <v>231</v>
      </c>
      <c r="O200" t="s">
        <v>232</v>
      </c>
    </row>
    <row r="201" spans="1:15">
      <c r="A201">
        <v>178</v>
      </c>
      <c r="B201">
        <v>178</v>
      </c>
      <c r="C201">
        <v>20190641326</v>
      </c>
      <c r="D201" t="s">
        <v>665</v>
      </c>
      <c r="E201">
        <v>27576131</v>
      </c>
      <c r="F201" t="s">
        <v>224</v>
      </c>
      <c r="G201">
        <v>35</v>
      </c>
      <c r="H201" t="s">
        <v>590</v>
      </c>
      <c r="I201" t="s">
        <v>650</v>
      </c>
      <c r="J201" t="s">
        <v>224</v>
      </c>
      <c r="K201" t="s">
        <v>228</v>
      </c>
      <c r="L201" t="s">
        <v>666</v>
      </c>
      <c r="M201" t="s">
        <v>245</v>
      </c>
      <c r="N201" t="s">
        <v>231</v>
      </c>
      <c r="O201" t="s">
        <v>257</v>
      </c>
    </row>
    <row r="202" spans="1:15">
      <c r="A202">
        <v>179</v>
      </c>
      <c r="B202">
        <v>179</v>
      </c>
      <c r="C202">
        <v>20190119423</v>
      </c>
      <c r="D202" t="s">
        <v>667</v>
      </c>
      <c r="E202">
        <v>27175116</v>
      </c>
      <c r="F202" t="s">
        <v>224</v>
      </c>
      <c r="G202">
        <v>36</v>
      </c>
      <c r="H202" t="s">
        <v>315</v>
      </c>
      <c r="I202" t="s">
        <v>650</v>
      </c>
      <c r="J202" t="s">
        <v>254</v>
      </c>
      <c r="K202" t="s">
        <v>228</v>
      </c>
      <c r="L202" t="s">
        <v>668</v>
      </c>
      <c r="M202" t="s">
        <v>256</v>
      </c>
      <c r="N202" t="s">
        <v>231</v>
      </c>
      <c r="O202" t="s">
        <v>257</v>
      </c>
    </row>
    <row r="203" spans="1:15">
      <c r="A203">
        <v>180</v>
      </c>
      <c r="B203">
        <v>180</v>
      </c>
      <c r="C203">
        <v>20210646088</v>
      </c>
      <c r="D203" t="s">
        <v>669</v>
      </c>
      <c r="E203">
        <v>27841844</v>
      </c>
      <c r="F203" t="s">
        <v>234</v>
      </c>
      <c r="G203">
        <v>34</v>
      </c>
      <c r="H203" t="s">
        <v>315</v>
      </c>
      <c r="I203" t="s">
        <v>650</v>
      </c>
      <c r="J203" t="s">
        <v>254</v>
      </c>
      <c r="K203" t="s">
        <v>228</v>
      </c>
      <c r="L203" t="s">
        <v>670</v>
      </c>
      <c r="M203" t="s">
        <v>256</v>
      </c>
      <c r="N203" t="s">
        <v>231</v>
      </c>
      <c r="O203" t="s">
        <v>402</v>
      </c>
    </row>
    <row r="204" spans="1:15">
      <c r="A204">
        <v>181</v>
      </c>
      <c r="B204">
        <v>181</v>
      </c>
      <c r="C204">
        <v>20250067355</v>
      </c>
      <c r="D204" t="s">
        <v>671</v>
      </c>
      <c r="E204">
        <v>33587562</v>
      </c>
      <c r="F204" t="s">
        <v>234</v>
      </c>
      <c r="H204" t="s">
        <v>672</v>
      </c>
      <c r="I204" t="s">
        <v>650</v>
      </c>
      <c r="J204" t="s">
        <v>254</v>
      </c>
      <c r="K204" t="s">
        <v>228</v>
      </c>
      <c r="L204">
        <v>46756</v>
      </c>
      <c r="M204" t="s">
        <v>256</v>
      </c>
      <c r="N204" t="s">
        <v>231</v>
      </c>
      <c r="O204" t="s">
        <v>251</v>
      </c>
    </row>
    <row r="205" spans="1:15">
      <c r="A205">
        <v>182</v>
      </c>
      <c r="B205">
        <v>182</v>
      </c>
      <c r="C205">
        <v>20106534503</v>
      </c>
      <c r="D205" t="s">
        <v>673</v>
      </c>
      <c r="E205">
        <v>22324592</v>
      </c>
      <c r="F205" t="s">
        <v>224</v>
      </c>
      <c r="G205">
        <v>45</v>
      </c>
      <c r="H205" t="s">
        <v>323</v>
      </c>
      <c r="I205" t="s">
        <v>650</v>
      </c>
      <c r="J205" t="s">
        <v>276</v>
      </c>
      <c r="K205" t="s">
        <v>228</v>
      </c>
      <c r="L205" t="s">
        <v>674</v>
      </c>
      <c r="M205" t="s">
        <v>265</v>
      </c>
      <c r="N205" t="s">
        <v>240</v>
      </c>
      <c r="O205" t="s">
        <v>257</v>
      </c>
    </row>
    <row r="206" spans="1:15">
      <c r="A206">
        <v>183</v>
      </c>
      <c r="B206">
        <v>183</v>
      </c>
      <c r="C206">
        <v>20220598203</v>
      </c>
      <c r="D206" t="s">
        <v>675</v>
      </c>
      <c r="E206">
        <v>33612960</v>
      </c>
      <c r="F206" t="s">
        <v>234</v>
      </c>
      <c r="G206">
        <v>27</v>
      </c>
      <c r="H206" t="s">
        <v>353</v>
      </c>
      <c r="I206" t="s">
        <v>650</v>
      </c>
      <c r="J206" t="s">
        <v>287</v>
      </c>
      <c r="K206" t="s">
        <v>228</v>
      </c>
      <c r="L206" t="s">
        <v>377</v>
      </c>
      <c r="M206" t="s">
        <v>256</v>
      </c>
      <c r="N206" t="s">
        <v>355</v>
      </c>
      <c r="O206" t="s">
        <v>410</v>
      </c>
    </row>
    <row r="207" spans="1:15">
      <c r="A207">
        <v>184</v>
      </c>
      <c r="B207">
        <v>184</v>
      </c>
      <c r="C207">
        <v>20240300921</v>
      </c>
      <c r="D207" t="s">
        <v>676</v>
      </c>
      <c r="E207">
        <v>29883776</v>
      </c>
      <c r="F207" t="s">
        <v>224</v>
      </c>
      <c r="G207">
        <v>32</v>
      </c>
      <c r="H207" t="s">
        <v>353</v>
      </c>
      <c r="I207" t="s">
        <v>650</v>
      </c>
      <c r="J207" t="s">
        <v>287</v>
      </c>
      <c r="K207" t="s">
        <v>228</v>
      </c>
      <c r="L207" t="s">
        <v>454</v>
      </c>
      <c r="M207" t="s">
        <v>256</v>
      </c>
      <c r="N207" t="s">
        <v>355</v>
      </c>
      <c r="O207" t="s">
        <v>241</v>
      </c>
    </row>
    <row r="208" spans="1:15">
      <c r="A208">
        <v>185</v>
      </c>
      <c r="B208">
        <v>185</v>
      </c>
      <c r="C208">
        <v>20250067321</v>
      </c>
      <c r="D208" t="s">
        <v>677</v>
      </c>
      <c r="E208">
        <v>37328025</v>
      </c>
      <c r="F208" t="s">
        <v>234</v>
      </c>
      <c r="H208" t="s">
        <v>353</v>
      </c>
      <c r="I208" t="s">
        <v>650</v>
      </c>
      <c r="J208" t="s">
        <v>287</v>
      </c>
      <c r="K208" t="s">
        <v>228</v>
      </c>
      <c r="L208" t="s">
        <v>387</v>
      </c>
      <c r="M208" t="s">
        <v>256</v>
      </c>
      <c r="N208" t="s">
        <v>355</v>
      </c>
      <c r="O208" t="s">
        <v>251</v>
      </c>
    </row>
    <row r="209" spans="1:15">
      <c r="A209">
        <v>186</v>
      </c>
      <c r="B209">
        <v>186</v>
      </c>
      <c r="C209">
        <v>20250067313</v>
      </c>
      <c r="D209" t="s">
        <v>678</v>
      </c>
      <c r="E209">
        <v>37016360</v>
      </c>
      <c r="F209" t="s">
        <v>224</v>
      </c>
      <c r="H209" t="s">
        <v>353</v>
      </c>
      <c r="I209" t="s">
        <v>650</v>
      </c>
      <c r="J209" t="s">
        <v>287</v>
      </c>
      <c r="K209" t="s">
        <v>228</v>
      </c>
      <c r="L209" t="s">
        <v>387</v>
      </c>
      <c r="M209" t="s">
        <v>256</v>
      </c>
      <c r="N209" t="s">
        <v>355</v>
      </c>
      <c r="O209" t="s">
        <v>389</v>
      </c>
    </row>
    <row r="211" spans="1:15">
      <c r="E211" t="s">
        <v>679</v>
      </c>
    </row>
    <row r="212" spans="1:15">
      <c r="A212">
        <v>1</v>
      </c>
      <c r="B212">
        <v>1</v>
      </c>
      <c r="C212">
        <v>19901899045</v>
      </c>
      <c r="D212" t="s">
        <v>223</v>
      </c>
      <c r="E212">
        <v>3731123</v>
      </c>
      <c r="F212" t="s">
        <v>224</v>
      </c>
      <c r="G212">
        <v>61</v>
      </c>
      <c r="H212" t="s">
        <v>680</v>
      </c>
      <c r="I212" t="s">
        <v>226</v>
      </c>
      <c r="J212" t="s">
        <v>227</v>
      </c>
      <c r="K212" t="s">
        <v>228</v>
      </c>
      <c r="L212" t="s">
        <v>229</v>
      </c>
      <c r="M212" t="s">
        <v>230</v>
      </c>
      <c r="N212" t="s">
        <v>231</v>
      </c>
      <c r="O212" t="s">
        <v>232</v>
      </c>
    </row>
    <row r="213" spans="1:15">
      <c r="A213">
        <v>2</v>
      </c>
      <c r="B213">
        <v>2</v>
      </c>
      <c r="C213">
        <v>20106534561</v>
      </c>
      <c r="D213" t="s">
        <v>573</v>
      </c>
      <c r="E213">
        <v>14450937</v>
      </c>
      <c r="F213" t="s">
        <v>224</v>
      </c>
      <c r="G213">
        <v>49</v>
      </c>
      <c r="H213" t="s">
        <v>681</v>
      </c>
      <c r="I213" t="s">
        <v>226</v>
      </c>
      <c r="J213" t="s">
        <v>575</v>
      </c>
      <c r="K213" t="s">
        <v>228</v>
      </c>
      <c r="L213" t="s">
        <v>576</v>
      </c>
      <c r="M213" t="s">
        <v>230</v>
      </c>
      <c r="N213" t="s">
        <v>231</v>
      </c>
      <c r="O213" t="s">
        <v>251</v>
      </c>
    </row>
    <row r="214" spans="1:15">
      <c r="A214">
        <v>3</v>
      </c>
      <c r="B214">
        <v>3</v>
      </c>
      <c r="C214">
        <v>20020838693</v>
      </c>
      <c r="D214" t="s">
        <v>567</v>
      </c>
      <c r="E214">
        <v>21301415</v>
      </c>
      <c r="F214" t="s">
        <v>224</v>
      </c>
      <c r="G214">
        <v>48</v>
      </c>
      <c r="H214" t="s">
        <v>682</v>
      </c>
      <c r="I214" t="s">
        <v>374</v>
      </c>
      <c r="J214" t="s">
        <v>301</v>
      </c>
      <c r="K214" t="s">
        <v>228</v>
      </c>
      <c r="L214" t="s">
        <v>568</v>
      </c>
      <c r="M214" t="s">
        <v>230</v>
      </c>
      <c r="N214" t="s">
        <v>240</v>
      </c>
      <c r="O214" t="s">
        <v>232</v>
      </c>
    </row>
    <row r="215" spans="1:15">
      <c r="A215">
        <v>4</v>
      </c>
      <c r="B215">
        <v>4</v>
      </c>
      <c r="C215">
        <v>20077017769</v>
      </c>
      <c r="D215" t="s">
        <v>299</v>
      </c>
      <c r="E215">
        <v>21963939</v>
      </c>
      <c r="F215" t="s">
        <v>234</v>
      </c>
      <c r="G215">
        <v>44</v>
      </c>
      <c r="H215" t="s">
        <v>300</v>
      </c>
      <c r="I215" t="s">
        <v>295</v>
      </c>
      <c r="J215" t="s">
        <v>301</v>
      </c>
      <c r="K215" t="s">
        <v>228</v>
      </c>
      <c r="L215" t="s">
        <v>302</v>
      </c>
      <c r="M215" t="s">
        <v>230</v>
      </c>
      <c r="N215" t="s">
        <v>240</v>
      </c>
      <c r="O215" t="s">
        <v>257</v>
      </c>
    </row>
    <row r="216" spans="1:15">
      <c r="A216">
        <v>5</v>
      </c>
      <c r="B216">
        <v>5</v>
      </c>
      <c r="C216">
        <v>20114215626</v>
      </c>
      <c r="D216" t="s">
        <v>242</v>
      </c>
      <c r="E216">
        <v>13361887</v>
      </c>
      <c r="F216" t="s">
        <v>224</v>
      </c>
      <c r="G216">
        <v>53</v>
      </c>
      <c r="H216" t="s">
        <v>683</v>
      </c>
      <c r="I216" t="s">
        <v>236</v>
      </c>
      <c r="J216" t="s">
        <v>237</v>
      </c>
      <c r="K216" t="s">
        <v>228</v>
      </c>
      <c r="L216" t="s">
        <v>244</v>
      </c>
      <c r="M216" t="s">
        <v>245</v>
      </c>
      <c r="N216" t="s">
        <v>240</v>
      </c>
      <c r="O216" t="s">
        <v>246</v>
      </c>
    </row>
    <row r="217" spans="1:15">
      <c r="A217">
        <v>6</v>
      </c>
      <c r="B217">
        <v>6</v>
      </c>
      <c r="C217">
        <v>19920654373</v>
      </c>
      <c r="D217" t="s">
        <v>392</v>
      </c>
      <c r="E217">
        <v>8735350</v>
      </c>
      <c r="F217" t="s">
        <v>224</v>
      </c>
      <c r="G217">
        <v>58</v>
      </c>
      <c r="H217" t="s">
        <v>684</v>
      </c>
      <c r="I217" t="s">
        <v>394</v>
      </c>
      <c r="J217" t="s">
        <v>301</v>
      </c>
      <c r="K217" t="s">
        <v>228</v>
      </c>
      <c r="L217" t="s">
        <v>395</v>
      </c>
      <c r="M217" t="s">
        <v>396</v>
      </c>
      <c r="N217" t="s">
        <v>240</v>
      </c>
      <c r="O217" t="s">
        <v>316</v>
      </c>
    </row>
    <row r="218" spans="1:15">
      <c r="A218">
        <v>7</v>
      </c>
      <c r="B218">
        <v>7</v>
      </c>
      <c r="C218">
        <v>20060934015</v>
      </c>
      <c r="D218" t="s">
        <v>545</v>
      </c>
      <c r="E218">
        <v>13754943</v>
      </c>
      <c r="F218" t="s">
        <v>234</v>
      </c>
      <c r="G218">
        <v>49</v>
      </c>
      <c r="H218" t="s">
        <v>685</v>
      </c>
      <c r="I218" t="s">
        <v>269</v>
      </c>
      <c r="J218" t="s">
        <v>296</v>
      </c>
      <c r="K218" t="s">
        <v>228</v>
      </c>
      <c r="L218" t="s">
        <v>547</v>
      </c>
      <c r="M218" t="s">
        <v>245</v>
      </c>
      <c r="N218" t="s">
        <v>240</v>
      </c>
      <c r="O218"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Atunga Nyachieo, PhD, OGW</dc:creator>
  <cp:lastModifiedBy>Patrick Mwaura</cp:lastModifiedBy>
  <dcterms:created xsi:type="dcterms:W3CDTF">2024-10-07T20:37:00Z</dcterms:created>
  <dcterms:modified xsi:type="dcterms:W3CDTF">2026-05-01T12:42:24Z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877D62211CE741F9804E32ED1FBBA361_12</vt:lpwstr>
  </property>
  <property fmtid="{D5CDD505-2E9C-101B-9397-08002B2CF9AE}" pid="3" name="KSOProductBuildVer">
    <vt:lpwstr>1033-12.2.0.13472</vt:lpwstr>
  </property>
  <property fmtid="{D5CDD505-2E9C-101B-9397-08002B2CF9AE}" pid="4" name="MSIP_Label_defa4170-0d19-0005-0004-bc88714345d2_Enabled">
    <vt:lpwstr>true</vt:lpwstr>
  </property>
  <property fmtid="{D5CDD505-2E9C-101B-9397-08002B2CF9AE}" pid="5" name="MSIP_Label_defa4170-0d19-0005-0004-bc88714345d2_SetDate">
    <vt:lpwstr>2024-10-09T14:29:38Z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e086c75d-ed44-4165-8450-6fed41cbeacb</vt:lpwstr>
  </property>
  <property fmtid="{D5CDD505-2E9C-101B-9397-08002B2CF9AE}" pid="9" name="MSIP_Label_defa4170-0d19-0005-0004-bc88714345d2_ActionId">
    <vt:lpwstr>64ab747e-24c4-4176-9b20-a5dbed194bdf</vt:lpwstr>
  </property>
  <property fmtid="{D5CDD505-2E9C-101B-9397-08002B2CF9AE}" pid="10" name="MSIP_Label_defa4170-0d19-0005-0004-bc88714345d2_ContentBits">
    <vt:lpwstr>0</vt:lpwstr>
  </property>
</Properties>
</file>