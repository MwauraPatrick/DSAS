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G22" i="1" l="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2" i="1" l="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<sst xmlns="http://schemas.openxmlformats.org/spreadsheetml/2006/main" count="5530" uniqueCount="1207">
  <si>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</si>
  <si>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</si>
  <si>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</si>
  <si>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</si>
  <si>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</si>
  <si>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</si>
  <si>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</si>
  <si>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</si>
  <si>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</si>
  <si>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</si>
  <si>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</si>
  <si>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</si>
  <si>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</si>
  <si>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</si>
  <si>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</si>
  <si>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</si>
  <si>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</si>
  <si>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</si>
  <si>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</si>
  <si>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</si>
  <si>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</si>
  <si>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</si>
  <si>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</si>
  <si>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</si>
  <si>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</si>
  <si>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</si>
  <si>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</si>
  <si>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</si>
  <si>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</si>
  <si>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</si>
  <si>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</si>
  <si>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</si>
  <si>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</si>
  <si>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</si>
  <si>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</si>
  <si>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</si>
  <si>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</si>
  <si>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</si>
  <si>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</si>
  <si>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</si>
  <si>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</si>
  <si>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</si>
  <si>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</si>
  <si>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</si>
  <si>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</si>
  <si>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</si>
  <si>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</si>
  <si>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</si>
  <si>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</si>
  <si>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</si>
  <si>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</si>
  <si>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</si>
  <si>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</si>
  <si>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</si>
  <si>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</si>
  <si>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</si>
  <si>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</si>
  <si>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</si>
  <si>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</si>
  <si>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</si>
  <si>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</si>
  <si>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</si>
  <si>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</si>
  <si>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</si>
  <si>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</si>
  <si>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</si>
  <si>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</si>
  <si>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</si>
  <si>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</si>
  <si>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</si>
  <si>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</si>
  <si>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</si>
  <si>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</si>
  <si>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</si>
  <si>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</si>
  <si>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</si>
  <si>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</si>
  <si>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</si>
  <si>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</si>
  <si>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</si>
  <si>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</si>
  <si>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</si>
  <si>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</si>
  <si>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</si>
  <si>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</si>
  <si>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</si>
  <si>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</si>
  <si>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</si>
  <si>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</si>
  <si>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</si>
  <si>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</si>
  <si>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</si>
  <si>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</si>
  <si>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</si>
  <si>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</si>
  <si>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</si>
  <si>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</si>
  <si>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</si>
  <si>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</si>
  <si>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</si>
  <si>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</si>
  <si>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</si>
  <si>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</si>
  <si>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</si>
  <si>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</si>
  <si>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</si>
  <si>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</si>
  <si>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</si>
  <si>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</si>
  <si>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</si>
  <si>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</si>
  <si>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</si>
  <si>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</si>
  <si>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</si>
  <si>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</si>
  <si>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</si>
  <si>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</si>
  <si>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</si>
  <si>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</si>
  <si>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</si>
  <si>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</si>
  <si>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</si>
  <si>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</si>
  <si>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</si>
  <si>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</si>
  <si>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</si>
  <si>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</si>
  <si>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</si>
  <si>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</si>
  <si>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</si>
  <si>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</si>
  <si>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</si>
  <si>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</si>
  <si>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</si>
  <si>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</si>
  <si>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</si>
  <si>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</si>
  <si>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</si>
  <si>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</si>
  <si>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</si>
  <si>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</si>
  <si>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</si>
  <si>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</si>
  <si>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</si>
  <si>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</si>
  <si>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</si>
  <si>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</si>
  <si>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</si>
  <si>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</si>
  <si>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</si>
  <si>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</si>
  <si>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</si>
  <si>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</si>
  <si>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</si>
  <si>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</si>
  <si>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</si>
  <si>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</si>
  <si>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</si>
  <si>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</si>
  <si>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</si>
  <si>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</si>
  <si>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</si>
  <si>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</si>
  <si>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</si>
  <si>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</si>
  <si>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</si>
  <si>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</si>
  <si>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</si>
  <si>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</si>
  <si>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</si>
  <si>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</si>
  <si>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</si>
  <si>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</si>
  <si>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</si>
  <si>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</si>
  <si>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</si>
  <si>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</si>
  <si>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</si>
  <si>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</si>
  <si>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</si>
  <si>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</si>
  <si>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</si>
  <si>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</si>
  <si>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</si>
  <si>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</si>
  <si>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</si>
  <si>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</si>
  <si>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</si>
  <si>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</si>
  <si>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</si>
  <si>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</si>
  <si>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</si>
  <si>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</si>
  <si>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</si>
  <si>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</si>
  <si>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</si>
  <si>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</si>
  <si>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</si>
  <si>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</si>
  <si>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</si>
  <si>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</si>
  <si>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</si>
  <si>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</si>
  <si>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</si>
  <si>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</si>
  <si>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</si>
  <si>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</si>
  <si>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</si>
  <si>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</si>
  <si>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</si>
  <si>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</si>
  <si>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</si>
  <si>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</si>
  <si>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</si>
  <si>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</si>
  <si>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</si>
  <si>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</si>
  <si>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</si>
  <si>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</si>
  <si>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</si>
  <si>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</si>
  <si>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</si>
  <si>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</si>
  <si>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</si>
  <si>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</si>
  <si>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</si>
  <si>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</si>
  <si>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</si>
  <si>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</si>
  <si>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</si>
  <si>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</si>
  <si>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</si>
  <si>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</si>
  <si>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</si>
  <si>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</si>
  <si>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</si>
  <si>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</si>
  <si>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</si>
  <si>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</si>
  <si>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</si>
  <si>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</si>
  <si>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</si>
  <si>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</si>
  <si>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</si>
  <si>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</si>
  <si>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</si>
  <si>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</si>
  <si>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</si>
  <si>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</si>
  <si>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</si>
  <si>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</si>
  <si>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</si>
  <si>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</si>
  <si>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</si>
  <si>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</si>
  <si>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</si>
  <si>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</si>
  <si>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</si>
  <si>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</si>
  <si>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</si>
  <si>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</si>
  <si>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</si>
  <si>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</si>
  <si>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</si>
  <si>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</si>
  <si>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</si>
  <si>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</si>
  <si>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</si>
  <si>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</si>
  <si>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</si>
  <si>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</si>
  <si>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</si>
  <si>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</si>
  <si>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</si>
  <si>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</si>
  <si>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</si>
  <si>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</si>
  <si>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</si>
  <si>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</si>
  <si>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</si>
  <si>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</si>
  <si>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</si>
  <si>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</si>
  <si>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</si>
  <si>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</si>
  <si>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</si>
  <si>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</si>
  <si>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</si>
  <si>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</si>
  <si>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</si>
  <si>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</si>
  <si>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</si>
  <si>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</si>
  <si>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</si>
  <si>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</si>
  <si>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</si>
  <si>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</si>
  <si>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</si>
  <si>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</si>
  <si>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</si>
  <si>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</si>
  <si>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</si>
  <si>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</si>
  <si>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</si>
  <si>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</si>
  <si>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</si>
  <si>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</si>
  <si>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</si>
  <si>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</si>
  <si>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</si>
  <si>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</si>
  <si>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</si>
  <si>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</si>
  <si>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</si>
  <si>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</si>
  <si>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</si>
  <si>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</si>
  <si>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</si>
  <si>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</si>
  <si>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</si>
  <si>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</si>
  <si>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</si>
  <si>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</si>
  <si>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</si>
  <si>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</si>
  <si>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</si>
  <si>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</si>
  <si>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</si>
  <si>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</si>
  <si>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</si>
  <si>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</si>
  <si>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</si>
  <si>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</si>
  <si>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</si>
  <si>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</si>
  <si>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</si>
  <si>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</si>
  <si>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</si>
  <si>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</si>
  <si>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</si>
  <si>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</si>
  <si>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</si>
  <si>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</si>
  <si>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</si>
  <si>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</si>
  <si>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</si>
  <si>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</si>
  <si>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</si>
  <si>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</si>
  <si>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</si>
  <si>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</si>
  <si>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</si>
  <si>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</si>
  <si>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</si>
  <si>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</si>
  <si>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</si>
  <si>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</si>
  <si>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</si>
  <si>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</si>
  <si>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</si>
  <si>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</si>
  <si>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</si>
  <si>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</si>
  <si>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</si>
  <si>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</si>
  <si>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</si>
  <si>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</si>
  <si>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</si>
  <si>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</si>
  <si>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</si>
  <si>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</si>
  <si>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</si>
  <si>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</si>
  <si>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</si>
  <si>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</si>
  <si>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</si>
  <si>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</si>
  <si>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</si>
  <si>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</si>
  <si>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</si>
  <si>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</si>
  <si>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</si>
  <si>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</si>
  <si>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</si>
  <si>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</si>
  <si>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</si>
  <si>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</si>
  <si>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</si>
  <si>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</si>
  <si>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</si>
  <si>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</si>
  <si>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</si>
  <si>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</si>
  <si>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</si>
  <si>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</si>
  <si>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</si>
  <si>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</si>
  <si>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</si>
  <si>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</si>
  <si>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</si>
  <si>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</si>
  <si>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</si>
  <si>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</si>
  <si>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</si>
  <si>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</si>
  <si>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</si>
  <si>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</si>
  <si>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</si>
  <si>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</si>
  <si>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</si>
  <si>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</si>
  <si>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</si>
  <si>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</si>
  <si>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</si>
  <si>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</si>
  <si>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</si>
  <si>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</si>
  <si>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</si>
  <si>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</si>
  <si>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</si>
  <si>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</si>
  <si>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</si>
  <si>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</si>
  <si>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</si>
  <si>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</si>
  <si>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</si>
  <si>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</si>
  <si>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</si>
  <si>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</si>
  <si>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</si>
  <si>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</si>
  <si>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</si>
  <si>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</si>
  <si>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</si>
  <si>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</si>
  <si>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</si>
  <si>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</si>
  <si>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</si>
  <si>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</si>
  <si>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</si>
  <si>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</si>
  <si>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</si>
  <si>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</si>
  <si>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</si>
  <si>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</si>
  <si>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</si>
  <si>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</si>
  <si>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</si>
  <si>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</si>
  <si>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</si>
  <si>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</si>
  <si>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</si>
  <si>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</si>
  <si>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</si>
  <si>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</si>
  <si>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</si>
  <si>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</si>
  <si>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</si>
  <si>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</si>
  <si>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</si>
  <si>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</si>
  <si>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</si>
  <si>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</si>
  <si>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</si>
  <si>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</si>
  <si>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</si>
  <si>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</si>
  <si>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</si>
  <si>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</si>
  <si>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</si>
  <si>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</si>
  <si>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</si>
  <si>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</si>
  <si>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</si>
  <si>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</si>
  <si>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</si>
  <si>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</si>
  <si>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</si>
  <si>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</si>
  <si>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</si>
  <si>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</si>
  <si>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</si>
  <si>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</si>
  <si>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</si>
  <si>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</si>
  <si>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</si>
  <si>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</si>
  <si>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</si>
  <si>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</si>
  <si>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</si>
  <si>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</si>
  <si>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</si>
  <si>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</si>
  <si>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</si>
  <si>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</si>
  <si>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</si>
  <si>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</si>
  <si>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</si>
  <si>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</si>
  <si>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</si>
  <si>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</si>
  <si>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</si>
  <si>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</si>
  <si>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</si>
  <si>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</si>
  <si>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</si>
  <si>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</si>
  <si>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</si>
  <si>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</si>
  <si>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</si>
  <si>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</si>
  <si>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</si>
  <si>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</si>
  <si>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</si>
  <si>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</si>
  <si>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</si>
  <si>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</si>
  <si>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</si>
  <si>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</si>
  <si>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</si>
  <si>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</si>
  <si>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</si>
  <si>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</si>
  <si>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</si>
  <si>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</si>
  <si>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</si>
  <si>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</si>
  <si>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</si>
  <si>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</si>
  <si>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</si>
  <si>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</si>
  <si>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</si>
  <si>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</si>
  <si>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</si>
  <si>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</si>
  <si>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</si>
  <si>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</si>
  <si>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</si>
  <si>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</si>
  <si>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</si>
  <si>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</si>
  <si>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</si>
  <si>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</si>
  <si>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</si>
  <si>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</si>
  <si>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</si>
  <si>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</si>
  <si>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</si>
  <si>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</si>
  <si>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</si>
  <si>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</si>
  <si>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</si>
  <si>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</si>
  <si>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</si>
  <si>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</si>
  <si>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</si>
  <si>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</si>
  <si>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</si>
  <si>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</si>
  <si>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</si>
  <si>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</si>
  <si>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</si>
  <si>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</si>
  <si>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</si>
  <si>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</si>
  <si>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</si>
  <si>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</si>
  <si>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</si>
  <si>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</si>
  <si>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</si>
  <si>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</si>
  <si>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</si>
  <si>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</si>
  <si>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</si>
  <si>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</si>
  <si>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</si>
  <si>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</si>
  <si>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</si>
  <si>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</si>
  <si>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</si>
  <si>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</si>
  <si>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</si>
  <si>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</si>
  <si>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</si>
  <si>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</si>
  <si>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</si>
  <si>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</si>
  <si>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</si>
  <si>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</si>
  <si>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</si>
  <si>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</si>
  <si>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</si>
  <si>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</si>
  <si>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</si>
  <si>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</si>
  <si>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</si>
  <si>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</si>
  <si>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</si>
  <si>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</si>
  <si>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</si>
  <si>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</si>
  <si>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</si>
  <si>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</si>
  <si>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</si>
  <si>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</si>
  <si>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</si>
  <si>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</si>
  <si>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</si>
  <si>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</si>
  <si>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</si>
  <si>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</si>
  <si>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</si>
  <si>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</si>
  <si>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</si>
  <si>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</si>
  <si>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</si>
  <si>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</si>
  <si>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</si>
  <si>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</si>
  <si>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</si>
  <si>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</si>
  <si>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</si>
  <si>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</si>
  <si>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</si>
  <si>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</si>
  <si>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</si>
  <si>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</si>
  <si>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</si>
  <si>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</si>
  <si>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</si>
  <si>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</si>
  <si>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</si>
  <si>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</si>
  <si>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</si>
  <si>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</si>
  <si>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</si>
  <si>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</si>
  <si>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</si>
  <si>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</si>
  <si>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</si>
  <si>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</si>
  <si>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</si>
  <si>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</si>
  <si>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</si>
  <si>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</si>
  <si>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</si>
  <si>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</si>
  <si>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</si>
  <si>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</si>
  <si>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</si>
  <si>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</si>
  <si>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</si>
  <si>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</si>
  <si>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</si>
  <si>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</si>
  <si>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</si>
  <si>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</si>
  <si>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</si>
  <si>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</si>
  <si>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</si>
  <si>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</si>
  <si>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</si>
  <si>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</si>
  <si>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</si>
  <si>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</si>
  <si>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</si>
  <si>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</si>
  <si>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</si>
  <si>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</si>
  <si>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</si>
  <si>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</si>
  <si>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</si>
  <si>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</si>
  <si>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</si>
  <si>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</si>
  <si>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</si>
  <si>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</si>
  <si>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</si>
  <si>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</si>
  <si>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</si>
  <si>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</si>
  <si>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</si>
  <si>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</si>
  <si>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</si>
  <si>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</si>
  <si>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</si>
  <si>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</si>
  <si>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</si>
  <si>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</si>
  <si>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</si>
  <si>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</si>
  <si>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</si>
  <si>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</si>
  <si>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</si>
  <si>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</si>
  <si>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</si>
  <si>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</si>
  <si>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</si>
  <si>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</si>
  <si>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</si>
  <si>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</si>
  <si>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</si>
  <si>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</si>
  <si>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</si>
  <si>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</si>
  <si>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</si>
  <si>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</si>
  <si>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</si>
  <si>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</si>
  <si>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</si>
  <si>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</si>
  <si>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</si>
  <si>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</si>
  <si>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</si>
  <si>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</si>
  <si>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</si>
  <si>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</si>
  <si>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</si>
  <si>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</si>
  <si>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</si>
  <si>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</si>
  <si>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</si>
  <si>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</si>
  <si>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</si>
  <si>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</si>
  <si>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</si>
  <si>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</si>
  <si>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</si>
  <si>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</si>
  <si>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</si>
  <si>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</si>
  <si>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</si>
  <si>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</si>
  <si>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</si>
  <si>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</si>
  <si>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</si>
  <si>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</si>
  <si>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</si>
  <si>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</si>
  <si>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</si>
  <si>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</si>
  <si>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</si>
  <si>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</si>
  <si>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</si>
  <si>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</si>
  <si>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</si>
  <si>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</si>
  <si>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</si>
  <si>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</si>
  <si>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</si>
  <si>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</si>
  <si>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</si>
  <si>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</si>
  <si>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</si>
  <si>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</si>
  <si>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</si>
  <si>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</si>
  <si>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</si>
  <si>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</si>
  <si>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</si>
  <si>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</si>
  <si>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</si>
  <si>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</si>
  <si>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</si>
  <si>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</si>
  <si>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</si>
  <si>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</si>
  <si>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</si>
  <si>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</si>
  <si>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</si>
  <si>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</si>
  <si>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</si>
  <si>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</si>
  <si>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</si>
  <si>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</si>
  <si>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</si>
  <si>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</si>
  <si>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</si>
  <si>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</si>
  <si>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</si>
  <si>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</si>
  <si>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</si>
  <si>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</si>
  <si>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</si>
  <si>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</si>
  <si>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</si>
  <si>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</si>
  <si>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</si>
  <si>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</si>
  <si>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</si>
  <si>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</si>
  <si>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</si>
  <si>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</si>
  <si>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</si>
  <si>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</si>
  <si>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</si>
  <si>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</si>
  <si>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</si>
  <si>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</si>
  <si>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</si>
  <si>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</si>
  <si>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</si>
  <si>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</si>
  <si>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</si>
  <si>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</si>
  <si>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</si>
  <si>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</si>
  <si>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</si>
  <si>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</si>
  <si>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</si>
  <si>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</si>
  <si>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</si>
  <si>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</si>
  <si>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</si>
  <si>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</si>
  <si>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</si>
  <si>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</si>
  <si>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</si>
  <si>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</si>
  <si>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</si>
  <si>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</si>
  <si>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</si>
  <si>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</si>
  <si>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</si>
  <si>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</si>
  <si>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</si>
  <si>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</si>
  <si>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</si>
  <si>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</si>
  <si>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</si>
  <si>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</si>
  <si>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</si>
  <si>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</si>
  <si>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</si>
  <si>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</si>
  <si>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</si>
  <si>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</si>
  <si>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</si>
  <si>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</si>
  <si>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</si>
  <si>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</si>
  <si>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</si>
  <si>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</si>
  <si>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</si>
  <si>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</si>
  <si>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</si>
  <si>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</si>
  <si>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</si>
  <si>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</si>
  <si>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</si>
  <si>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</si>
  <si>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</si>
  <si>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</si>
  <si>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</si>
  <si>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</si>
  <si>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</si>
  <si>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</si>
  <si>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</si>
  <si>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</si>
  <si>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</si>
  <si>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</si>
  <si>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</si>
  <si>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</si>
  <si>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</si>
  <si>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</si>
  <si>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</si>
  <si>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</si>
  <si>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</si>
  <si>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</si>
  <si>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</si>
  <si>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</si>
  <si>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</si>
  <si>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</si>
  <si>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</si>
  <si>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</si>
  <si>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</si>
  <si>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</si>
  <si>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</si>
  <si>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</si>
  <si>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</si>
  <si>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</si>
  <si>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</si>
  <si>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</si>
  <si>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</si>
  <si>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</si>
  <si>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</si>
  <si>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</si>
  <si>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</si>
  <si>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</si>
  <si>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</si>
  <si>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</si>
  <si>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</si>
  <si>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</si>
  <si>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</si>
  <si>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</si>
  <si>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</si>
  <si>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</si>
  <si>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</si>
  <si>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</si>
  <si>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</si>
  <si>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</si>
  <si>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</si>
  <si>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</si>
  <si>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</si>
  <si>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</si>
  <si>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</si>
  <si>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</si>
  <si>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</si>
  <si>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</si>
  <si>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</si>
  <si>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</si>
  <si>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</si>
  <si>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</si>
  <si>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</si>
  <si>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</si>
  <si>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</si>
  <si>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</si>
  <si>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</si>
  <si>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</si>
  <si>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</si>
  <si>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</si>
  <si>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</si>
  <si>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</si>
  <si>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</si>
  <si>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</si>
  <si>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</si>
  <si>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</si>
  <si>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</si>
  <si>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</si>
  <si>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</si>
  <si>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</si>
  <si>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</si>
  <si>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</si>
  <si>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</si>
  <si>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</si>
  <si>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</si>
  <si>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</si>
  <si>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</si>
  <si>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</si>
  <si>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</si>
  <si>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</si>
  <si>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</si>
  <si>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</si>
  <si>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</si>
  <si>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</si>
  <si>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</si>
  <si>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</si>
  <si>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</si>
  <si>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</si>
  <si>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</si>
  <si>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</si>
  <si>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</si>
  <si>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</si>
  <si>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</si>
  <si>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</si>
  <si>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</si>
  <si>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</si>
  <si>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</si>
  <si>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</si>
  <si>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</si>
  <si>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</si>
  <si>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</si>
  <si>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</si>
  <si>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</si>
  <si>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</si>
  <si>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</si>
  <si>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</si>
  <si>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</si>
  <si>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</si>
  <si>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</si>
  <si>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</si>
  <si>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</si>
  <si>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</si>
  <si>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</si>
  <si>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</si>
  <si>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</si>
  <si>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</si>
  <si>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</si>
  <si>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</si>
  <si>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</si>
  <si>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</si>
  <si>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</si>
  <si>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</si>
  <si>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</si>
  <si>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</si>
  <si>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</si>
  <si>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</si>
  <si>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</si>
  <si>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</si>
  <si>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</si>
  <si>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</si>
  <si>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</si>
  <si>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</si>
  <si>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</si>
  <si>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</si>
  <si>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</si>
  <si>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</si>
  <si>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</si>
  <si>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</si>
  <si>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</si>
  <si>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</si>
  <si>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</si>
  <si>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</si>
  <si>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</si>
  <si>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</si>
  <si>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</si>
  <si>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</si>
  <si>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</si>
  <si>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</si>
  <si>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</si>
  <si>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</si>
  <si>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</si>
  <si>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</si>
  <si>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</si>
  <si>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</si>
  <si>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</si>
  <si>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</si>
  <si>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</si>
  <si>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</si>
  <si>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</si>
  <si>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</si>
  <si>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</si>
  <si>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</si>
  <si>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</si>
  <si>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</si>
  <si>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</si>
  <si>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</si>
  <si>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</si>
  <si>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</si>
  <si>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</si>
  <si>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</si>
  <si>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</si>
  <si>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</si>
  <si>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</si>
  <si>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</si>
  <si>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</si>
  <si>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</si>
  <si>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</si>
  <si>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</si>
  <si>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</si>
  <si>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</si>
  <si>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</si>
  <si>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</si>
  <si>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</si>
  <si>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</si>
  <si>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</si>
  <si>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</si>
  <si>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</si>
  <si>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</si>
  <si>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</si>
  <si>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</si>
  <si>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</si>
  <si>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</si>
  <si>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</si>
  <si>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</si>
  <si>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</si>
  <si>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</si>
  <si>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</si>
  <si>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</si>
  <si>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</si>
  <si>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</si>
  <si>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</si>
  <si>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</si>
  <si>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</si>
  <si>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</si>
  <si>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</si>
  <si>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</si>
  <si>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</si>
  <si>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</si>
  <si>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</si>
  <si>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</si>
  <si>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</si>
  <si>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</si>
  <si>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</si>
  <si>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</si>
  <si>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</si>
  <si>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</si>
  <si>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</si>
  <si>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</si>
  <si>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</si>
  <si>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</si>
  <si>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</si>
  <si>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</si>
  <si>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</si>
  <si>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</si>
  <si>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</si>
  <si>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</si>
  <si>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</si>
  <si>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</si>
  <si>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</si>
  <si>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</si>
  <si>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</si>
  <si>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</si>
  <si>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</si>
  <si>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</si>
  <si>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</si>
  <si>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</si>
  <si>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</si>
  <si>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</si>
  <si>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</si>
  <si>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</si>
  <si>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</si>
  <si>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</si>
  <si>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</si>
  <si>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</si>
  <si>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</si>
  <si>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</si>
  <si>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</si>
  <si>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</si>
  <si>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</si>
  <si>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</si>
  <si>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</si>
  <si>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</si>
  <si>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</si>
  <si>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</si>
  <si>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</si>
  <si>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</si>
  <si>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</si>
  <si>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</si>
  <si>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</si>
  <si>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</si>
  <si>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</si>
  <si>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</si>
  <si>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</si>
  <si>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</si>
  <si>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</si>
  <si>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</si>
  <si>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</si>
  <si>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</si>
  <si>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</si>
  <si>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</si>
  <si>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</si>
  <si>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</si>
  <si>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</si>
  <si>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</si>
  <si>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</si>
  <si>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</si>
  <si>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</si>
  <si>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</si>
  <si>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</si>
  <si>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</si>
  <si>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</si>
  <si>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</si>
  <si>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</si>
  <si>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</si>
  <si>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</si>
  <si>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</si>
  <si>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</si>
  <si>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</si>
  <si>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</si>
  <si>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</si>
  <si>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</si>
  <si>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PhD, MSc, BSc, KCSE, KCPE, SLDP</t>
  </si>
  <si>
    <t>MSc, BSc, KCSE, KCPE, SMC, Cstat, 1 Certificates</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</si>
  <si>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</si>
  <si>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</si>
  <si>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</si>
  <si>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</si>
  <si>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</si>
  <si>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</si>
  <si>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</si>
  <si>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</si>
  <si>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</si>
  <si>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MSc, BSc, Dip, KCSE, ICPAK/CPA, SMC, 1 Certificate</t>
  </si>
  <si>
    <t>BSc, KCSE</t>
  </si>
  <si>
    <t>HDip, KCSE</t>
  </si>
  <si>
    <t>Dip, KCSE</t>
  </si>
  <si>
    <t>KCSE, 1 Certificate</t>
  </si>
  <si>
    <t>MSc, BSc, AdvDip, KCSE, SMC, Vet-Reg, 1 Certificate</t>
  </si>
  <si>
    <t>PhD, MSc, BSc, KCSE, Vet-Reg, 1 Certificate</t>
  </si>
  <si>
    <t>MSc, BSc, Dip, KCSE</t>
  </si>
  <si>
    <t>MSc, BSc, KCSE, Vet-Reg, 1 Certificate</t>
  </si>
  <si>
    <t>MSc, BSc, HDip, Dip, KCSE, 1 Certificate</t>
  </si>
  <si>
    <t>KCSE, 2 Certificates</t>
  </si>
  <si>
    <t>BSc, Dip, KCSE, 1 Certificate</t>
  </si>
  <si>
    <t>BSc, Dip, KCSE</t>
  </si>
  <si>
    <t>BSc, KCSE, Vet-Reg, 1 Certificate</t>
  </si>
  <si>
    <t>PhD, MSc, BSc, Dip, KCSE, SLDP</t>
  </si>
  <si>
    <t>PhD, MSc, BSc, KCSE</t>
  </si>
  <si>
    <t>MSc, BSc, KCSE</t>
  </si>
  <si>
    <t>BSc, KCSE, 1 Certificate</t>
  </si>
  <si>
    <t>Dip, KCSE, 1 Certificate</t>
  </si>
  <si>
    <t>BSc, KCSE, Vet-Reg</t>
  </si>
  <si>
    <t>PhD, MSc, BSc, AdvDip, KCSE</t>
  </si>
  <si>
    <t>PhD, MSc, BSc, AdvDip, KCSE, Vet-Reg, 1 Certificate</t>
  </si>
  <si>
    <t>PhD, MSc, BSc, KCSE, SLDP, SMC, Vet-Reg, 1 Certificate</t>
  </si>
  <si>
    <t>MSc, BSc, KCSE, SMC, Cstat, 8 Certificates</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</si>
  <si>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</si>
  <si>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</si>
  <si>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</si>
  <si>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</si>
  <si>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</si>
  <si>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</si>
  <si>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</si>
  <si>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</si>
  <si>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</si>
  <si>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</si>
  <si>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</si>
  <si>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</si>
  <si>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</si>
  <si>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Certificate of Registration of A Veterinary Surgeon, Senior Management</t>
  </si>
  <si>
    <t>MSc, BSc, KCSE, SMC, Vet-Reg, 1 Certificate</t>
  </si>
  <si>
    <t xml:space="preserve">Diploma in Health  Records and Informatiom Technology, Diploma in Computer  science </t>
  </si>
  <si>
    <t>2 Dip, KCSE</t>
  </si>
  <si>
    <t>MSc, BSc, 2 Dip, KCSE, IHRM, SLDP, SMC, 2 Certificates</t>
  </si>
  <si>
    <t>Certificate in National Youth Service</t>
  </si>
  <si>
    <t>BSc, Dip, KCSE, ICPAK</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</si>
</sst>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92" activePane="bottomRight" state="frozen"/>
      <selection pane="topRight" activeCell="D1" sqref="D1"/>
      <selection pane="bottomLeft" activeCell="A6" sqref="A6"/>
      <selection pane="bottomRight" activeCell="E19" sqref="E19"/>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73" t="s">
        <v>174</v>
      </c>
      <c r="D2" s="173"/>
      <c r="E2" s="173"/>
      <c r="F2" s="173"/>
      <c r="G2" s="173"/>
      <c r="H2" s="173"/>
      <c r="I2" s="173"/>
      <c r="J2" s="173"/>
      <c r="K2" s="173"/>
      <c r="L2" s="173"/>
      <c r="M2" s="173"/>
      <c r="N2" s="173"/>
      <c r="O2" s="173"/>
      <c r="P2" s="173"/>
    </row>
    <row r="5" spans="1:16" ht="50.1" customHeight="1">
      <c r="A5" s="176" t="s">
        <v>0</v>
      </c>
      <c r="B5" s="176" t="s">
        <v>181</v>
      </c>
      <c r="C5" s="176" t="s">
        <v>1</v>
      </c>
      <c r="D5" s="38" t="s">
        <v>919</v>
      </c>
      <c r="E5" s="2" t="s">
        <v>183</v>
      </c>
      <c r="F5" s="2" t="s">
        <v>185</v>
      </c>
      <c r="G5" s="3" t="s">
        <v>186</v>
      </c>
      <c r="H5" s="178" t="s">
        <v>2</v>
      </c>
      <c r="I5" s="4" t="s">
        <v>188</v>
      </c>
      <c r="J5" s="5" t="s">
        <v>187</v>
      </c>
      <c r="K5" s="178" t="s">
        <v>3</v>
      </c>
      <c r="L5" s="174" t="s">
        <v>182</v>
      </c>
      <c r="M5" s="4" t="s">
        <v>175</v>
      </c>
      <c r="N5" s="4" t="s">
        <v>176</v>
      </c>
      <c r="O5" s="4" t="s">
        <v>177</v>
      </c>
      <c r="P5" s="6" t="s">
        <v>178</v>
      </c>
    </row>
    <row r="6" spans="1:16" ht="22.8">
      <c r="A6" s="177"/>
      <c r="B6" s="177"/>
      <c r="C6" s="177"/>
      <c r="D6" s="39"/>
      <c r="E6" s="7"/>
      <c r="F6" s="7"/>
      <c r="G6" s="7"/>
      <c r="H6" s="175"/>
      <c r="I6" s="8"/>
      <c r="J6" s="8"/>
      <c r="K6" s="175"/>
      <c r="L6" s="175"/>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1152</v>
      </c>
      <c r="G8" s="9" t="s">
        <v>1135</v>
      </c>
      <c r="H8" s="11">
        <v>1</v>
      </c>
      <c r="I8" s="11"/>
      <c r="J8" s="9" t="s">
        <v>207</v>
      </c>
      <c r="K8" s="11">
        <v>1</v>
      </c>
      <c r="L8" s="9">
        <v>1</v>
      </c>
      <c r="M8" s="9"/>
      <c r="N8" s="9"/>
      <c r="O8" s="9"/>
      <c r="P8" s="9"/>
    </row>
    <row r="9" spans="1:16" ht="13.8">
      <c r="A9" s="9"/>
      <c r="B9" s="9"/>
      <c r="C9" s="9" t="s">
        <v>6</v>
      </c>
      <c r="D9" s="116"/>
      <c r="E9" s="9"/>
      <c r="F9" s="9"/>
      <c r="G9" s="9"/>
      <c r="H9" s="12">
        <v>0</v>
      </c>
      <c r="I9" s="12"/>
      <c r="J9" s="9"/>
      <c r="K9" s="12">
        <v>0</v>
      </c>
      <c r="L9" s="13">
        <v>0</v>
      </c>
      <c r="M9" s="9"/>
      <c r="N9" s="9">
        <v>0</v>
      </c>
      <c r="O9" s="9"/>
      <c r="P9" s="9"/>
    </row>
    <row r="10" spans="1:16" ht="13.8">
      <c r="A10" s="9"/>
      <c r="B10" s="9"/>
      <c r="C10" s="9" t="s">
        <v>7</v>
      </c>
      <c r="D10" s="116"/>
      <c r="E10" s="9"/>
      <c r="F10" s="9"/>
      <c r="G10" s="9"/>
      <c r="H10" s="11">
        <v>5</v>
      </c>
      <c r="I10" s="14"/>
      <c r="J10" s="9"/>
      <c r="K10" s="179">
        <v>1</v>
      </c>
      <c r="L10" s="181">
        <v>1</v>
      </c>
      <c r="M10" s="9"/>
      <c r="N10" s="9"/>
      <c r="O10" s="9"/>
      <c r="P10" s="9"/>
    </row>
    <row r="11" spans="1:16" ht="13.8">
      <c r="A11" s="9"/>
      <c r="B11" s="9"/>
      <c r="C11" s="9" t="s">
        <v>8</v>
      </c>
      <c r="D11" s="116"/>
      <c r="E11" s="9"/>
      <c r="F11" s="9"/>
      <c r="G11" s="9"/>
      <c r="H11" s="15" t="s">
        <v>9</v>
      </c>
      <c r="I11" s="16"/>
      <c r="J11" s="9"/>
      <c r="K11" s="180"/>
      <c r="L11" s="182"/>
      <c r="M11" s="9"/>
      <c r="N11" s="9"/>
      <c r="O11" s="9"/>
      <c r="P11" s="9"/>
    </row>
    <row r="12" spans="1:16" ht="13.8">
      <c r="A12" s="9"/>
      <c r="B12" s="9"/>
      <c r="C12" s="9" t="s">
        <v>10</v>
      </c>
      <c r="D12" s="121"/>
      <c r="E12" s="9"/>
      <c r="F12" s="9"/>
      <c r="G12" s="9"/>
      <c r="H12" s="11">
        <v>9</v>
      </c>
      <c r="I12" s="14"/>
      <c r="J12" s="9"/>
      <c r="K12" s="179">
        <v>1</v>
      </c>
      <c r="L12" s="181">
        <v>1</v>
      </c>
      <c r="M12" s="9"/>
      <c r="N12" s="9"/>
      <c r="O12" s="9"/>
      <c r="P12" s="9"/>
    </row>
    <row r="13" spans="1:16" ht="13.8">
      <c r="A13" s="9"/>
      <c r="B13" s="9"/>
      <c r="C13" s="9" t="s">
        <v>11</v>
      </c>
      <c r="D13" s="121"/>
      <c r="E13" s="9"/>
      <c r="F13" s="9"/>
      <c r="G13" s="9"/>
      <c r="H13" s="15" t="s">
        <v>12</v>
      </c>
      <c r="I13" s="16"/>
      <c r="J13" s="9"/>
      <c r="K13" s="180"/>
      <c r="L13" s="182"/>
      <c r="M13" s="9"/>
      <c r="N13" s="9"/>
      <c r="O13" s="9"/>
      <c r="P13" s="9"/>
    </row>
    <row r="14" spans="1:16" ht="13.8">
      <c r="A14" s="9"/>
      <c r="B14" s="9"/>
      <c r="C14" s="9" t="s">
        <v>13</v>
      </c>
      <c r="D14" s="121"/>
      <c r="E14" s="9"/>
      <c r="F14" s="9"/>
      <c r="G14" s="9"/>
      <c r="H14" s="11">
        <v>10</v>
      </c>
      <c r="I14" s="14"/>
      <c r="J14" s="9"/>
      <c r="K14" s="179">
        <v>1</v>
      </c>
      <c r="L14" s="181">
        <v>1</v>
      </c>
      <c r="M14" s="9"/>
      <c r="N14" s="9"/>
      <c r="O14" s="9"/>
      <c r="P14" s="9"/>
    </row>
    <row r="15" spans="1:16" ht="13.8">
      <c r="A15" s="9"/>
      <c r="B15" s="9"/>
      <c r="C15" s="9" t="s">
        <v>14</v>
      </c>
      <c r="D15" s="121"/>
      <c r="E15" s="9"/>
      <c r="F15" s="9"/>
      <c r="G15" s="9"/>
      <c r="H15" s="15" t="s">
        <v>15</v>
      </c>
      <c r="I15" s="16"/>
      <c r="J15" s="9"/>
      <c r="K15" s="180"/>
      <c r="L15" s="182"/>
      <c r="M15" s="9"/>
      <c r="N15" s="9"/>
      <c r="O15" s="9"/>
      <c r="P15" s="9"/>
    </row>
    <row r="16" spans="1:16" ht="13.8">
      <c r="A16" s="9"/>
      <c r="B16" s="9"/>
      <c r="C16" s="17" t="s">
        <v>16</v>
      </c>
      <c r="D16" s="121"/>
      <c r="E16" s="9"/>
      <c r="F16" s="9"/>
      <c r="G16" s="9"/>
      <c r="H16" s="11"/>
      <c r="I16" s="11"/>
      <c r="J16" s="9"/>
      <c r="K16" s="11"/>
      <c r="L16" s="9"/>
      <c r="M16" s="9"/>
      <c r="N16" s="9"/>
      <c r="O16" s="9"/>
      <c r="P16" s="9"/>
    </row>
    <row r="17" spans="1:16" ht="13.8">
      <c r="A17" s="9"/>
      <c r="B17" s="9"/>
      <c r="C17" s="9" t="s">
        <v>17</v>
      </c>
      <c r="D17" s="121"/>
      <c r="E17" s="9"/>
      <c r="F17" s="9"/>
      <c r="G17" s="9"/>
      <c r="H17" s="11">
        <v>2</v>
      </c>
      <c r="I17" s="11"/>
      <c r="J17" s="9"/>
      <c r="K17" s="11">
        <v>1</v>
      </c>
      <c r="L17" s="9">
        <v>0</v>
      </c>
      <c r="M17" s="9"/>
      <c r="N17" s="9"/>
      <c r="O17" s="9"/>
      <c r="P17" s="9"/>
    </row>
    <row r="18" spans="1:16" ht="13.8">
      <c r="A18" s="9"/>
      <c r="B18" s="9"/>
      <c r="C18" s="9" t="s">
        <v>18</v>
      </c>
      <c r="D18" s="121"/>
      <c r="E18" s="9"/>
      <c r="F18" s="9"/>
      <c r="G18" s="9"/>
      <c r="H18" s="11">
        <v>3</v>
      </c>
      <c r="I18" s="11"/>
      <c r="J18" s="9"/>
      <c r="K18" s="11">
        <v>1</v>
      </c>
      <c r="L18" s="9">
        <v>0</v>
      </c>
      <c r="M18" s="9"/>
      <c r="N18" s="9"/>
      <c r="O18" s="9"/>
      <c r="P18" s="9"/>
    </row>
    <row r="19" spans="1:16" ht="13.8">
      <c r="A19" s="9"/>
      <c r="B19" s="9"/>
      <c r="C19" s="9" t="s">
        <v>19</v>
      </c>
      <c r="D19" s="121"/>
      <c r="E19" s="9"/>
      <c r="F19" s="9"/>
      <c r="G19" s="9"/>
      <c r="H19" s="11">
        <v>4</v>
      </c>
      <c r="I19" s="11"/>
      <c r="J19" s="9"/>
      <c r="K19" s="11">
        <v>0</v>
      </c>
      <c r="L19" s="9">
        <v>0</v>
      </c>
      <c r="M19" s="9"/>
      <c r="N19" s="9"/>
      <c r="O19" s="9"/>
      <c r="P19" s="9"/>
    </row>
    <row r="20" spans="1:16" ht="13.8">
      <c r="A20" s="9"/>
      <c r="B20" s="9"/>
      <c r="C20" s="9" t="s">
        <v>20</v>
      </c>
      <c r="D20" s="121"/>
      <c r="E20" s="9"/>
      <c r="F20" s="9"/>
      <c r="G20" s="9"/>
      <c r="H20" s="11">
        <v>5</v>
      </c>
      <c r="I20" s="11"/>
      <c r="J20" s="9"/>
      <c r="K20" s="11">
        <v>0</v>
      </c>
      <c r="L20" s="9">
        <v>0</v>
      </c>
      <c r="M20" s="9"/>
      <c r="N20" s="9"/>
      <c r="O20" s="9"/>
      <c r="P20" s="9"/>
    </row>
    <row r="21" spans="1:16" ht="13.8">
      <c r="A21" s="9"/>
      <c r="B21" s="9"/>
      <c r="C21" s="9" t="s">
        <v>21</v>
      </c>
      <c r="D21" s="121"/>
      <c r="E21" s="9"/>
      <c r="F21" s="9"/>
      <c r="G21" s="9"/>
      <c r="H21" s="15" t="s">
        <v>9</v>
      </c>
      <c r="I21" s="15"/>
      <c r="J21" s="9"/>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1153</v>
      </c>
      <c r="G201" s="9" t="s">
        <v>1138</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83"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85">
        <v>3</v>
      </c>
      <c r="L222" s="9">
        <v>0</v>
      </c>
      <c r="M222" s="9"/>
      <c r="N222" s="9"/>
      <c r="O222" s="9"/>
      <c r="P222" s="9"/>
    </row>
    <row r="223" spans="1:17">
      <c r="A223" s="9"/>
      <c r="B223" s="9"/>
      <c r="C223" s="184"/>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86"/>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87"/>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83" t="s">
        <v>38</v>
      </c>
      <c r="D233" s="35"/>
      <c r="E233" s="9" t="str">
        <f>IF(D233="", "", VLOOKUP(D233, 'Staff Data'!C:AA, 12, FALSE))</f>
        <v/>
      </c>
      <c r="F233" s="9" t="str">
        <f>IF(D233="", "", VLOOKUP(D233, 'Staff Data'!C:AA, 15, FALSE))</f>
        <v/>
      </c>
      <c r="G233" s="9" t="str">
        <f>IF(D233="", "", VLOOKUP(D233, 'Staff Data'!C:AA, 17, FALSE))</f>
        <v/>
      </c>
      <c r="H233" s="188" t="s">
        <v>9</v>
      </c>
      <c r="I233" s="190">
        <v>96</v>
      </c>
      <c r="J233" s="9" t="str">
        <f>IF(D233="", "", VLOOKUP(D233, 'Staff Data'!C:AA, 9, FALSE))</f>
        <v/>
      </c>
      <c r="K233" s="185">
        <v>2</v>
      </c>
      <c r="L233" s="9">
        <v>2</v>
      </c>
      <c r="M233" s="9"/>
      <c r="N233" s="9"/>
      <c r="O233" s="9"/>
      <c r="P233" s="9"/>
    </row>
    <row r="234" spans="1:16">
      <c r="A234" s="9"/>
      <c r="B234" s="9"/>
      <c r="C234" s="192"/>
      <c r="D234" s="37"/>
      <c r="E234" s="9" t="str">
        <f>IF(D234="", "", VLOOKUP(D234, 'Staff Data'!C:AA, 12, FALSE))</f>
        <v/>
      </c>
      <c r="F234" s="9" t="str">
        <f>IF(D234="", "", VLOOKUP(D234, 'Staff Data'!C:AA, 15, FALSE))</f>
        <v/>
      </c>
      <c r="G234" s="9" t="str">
        <f>IF(D234="", "", VLOOKUP(D234, 'Staff Data'!C:AA, 17, FALSE))</f>
        <v/>
      </c>
      <c r="H234" s="189"/>
      <c r="I234" s="191"/>
      <c r="J234" s="9" t="str">
        <f>IF(D234="", "", VLOOKUP(D234, 'Staff Data'!C:AA, 9, FALSE))</f>
        <v/>
      </c>
      <c r="K234" s="187"/>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N1" zoomScale="96" zoomScaleNormal="69" workbookViewId="0">
      <selection activeCell="R75" sqref="R75"/>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167" bestFit="1" customWidth="1"/>
    <col min="17" max="17" width="80.8867187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8.5546875" style="40" bestFit="1"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61" t="s">
        <v>1149</v>
      </c>
      <c r="Q1" s="108" t="s">
        <v>1150</v>
      </c>
      <c r="R1" s="108" t="s">
        <v>1148</v>
      </c>
      <c r="S1" s="108" t="s">
        <v>1147</v>
      </c>
      <c r="T1" s="193">
        <v>0</v>
      </c>
      <c r="U1" s="194"/>
      <c r="V1" s="194"/>
      <c r="W1" s="194"/>
      <c r="X1" s="194"/>
      <c r="Y1" s="194"/>
      <c r="Z1" s="194"/>
      <c r="AA1" s="195"/>
      <c r="AB1" s="109"/>
      <c r="AC1" s="109"/>
      <c r="AD1" s="107" t="s">
        <v>200</v>
      </c>
      <c r="AE1" s="107" t="s">
        <v>201</v>
      </c>
      <c r="AF1" s="107"/>
    </row>
    <row r="2" spans="1:32" s="113" customFormat="1">
      <c r="A2" s="110"/>
      <c r="B2" s="110"/>
      <c r="C2" s="111"/>
      <c r="D2" s="196" t="s">
        <v>202</v>
      </c>
      <c r="E2" s="197"/>
      <c r="F2" s="197"/>
      <c r="G2" s="197"/>
      <c r="H2" s="197"/>
      <c r="I2" s="198"/>
      <c r="J2" s="111"/>
      <c r="K2" s="111"/>
      <c r="L2" s="111"/>
      <c r="M2" s="111"/>
      <c r="N2" s="111"/>
      <c r="O2" s="111"/>
      <c r="P2" s="162"/>
      <c r="Q2" s="111"/>
      <c r="R2" s="111"/>
      <c r="S2" s="111"/>
      <c r="T2" s="111" t="s">
        <v>657</v>
      </c>
      <c r="U2" s="111" t="s">
        <v>224</v>
      </c>
      <c r="V2" s="111" t="s">
        <v>658</v>
      </c>
      <c r="W2" s="111" t="s">
        <v>243</v>
      </c>
      <c r="X2" s="111" t="s">
        <v>659</v>
      </c>
      <c r="Y2" s="111" t="s">
        <v>660</v>
      </c>
      <c r="Z2" s="111" t="s">
        <v>661</v>
      </c>
      <c r="AA2" s="107" t="s">
        <v>662</v>
      </c>
      <c r="AB2" s="107" t="s">
        <v>928</v>
      </c>
      <c r="AC2" s="107" t="s">
        <v>934</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32908</v>
      </c>
      <c r="Q3" s="116" t="s">
        <v>1159</v>
      </c>
      <c r="R3" s="116" t="s">
        <v>931</v>
      </c>
      <c r="S3" s="116" t="s">
        <v>1135</v>
      </c>
      <c r="T3" s="160" t="s">
        <v>685</v>
      </c>
      <c r="U3" s="114" t="s">
        <v>663</v>
      </c>
      <c r="V3" s="114" t="s">
        <v>664</v>
      </c>
      <c r="W3" s="114"/>
      <c r="X3" s="114"/>
      <c r="Y3" s="114" t="s">
        <v>660</v>
      </c>
      <c r="Z3" s="114" t="s">
        <v>661</v>
      </c>
      <c r="AA3" s="114" t="s">
        <v>932</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63"/>
      <c r="Q4" s="116" t="s">
        <v>1160</v>
      </c>
      <c r="R4" s="116" t="s">
        <v>931</v>
      </c>
      <c r="S4" s="116" t="s">
        <v>1140</v>
      </c>
      <c r="T4" s="114"/>
      <c r="U4" s="114"/>
      <c r="V4" s="114"/>
      <c r="W4" s="119" t="s">
        <v>953</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63">
        <v>3</v>
      </c>
      <c r="Q5" s="116" t="s">
        <v>1161</v>
      </c>
      <c r="R5" s="116" t="s">
        <v>933</v>
      </c>
      <c r="S5" s="116" t="s">
        <v>1141</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64"/>
      <c r="Q6" s="116" t="s">
        <v>1162</v>
      </c>
      <c r="R6" s="116" t="s">
        <v>931</v>
      </c>
      <c r="S6" s="116" t="s">
        <v>1140</v>
      </c>
      <c r="T6" s="121"/>
      <c r="U6" s="121"/>
      <c r="V6" s="40" t="s">
        <v>1157</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64"/>
      <c r="Q7" s="116" t="s">
        <v>1163</v>
      </c>
      <c r="R7" s="116" t="s">
        <v>933</v>
      </c>
      <c r="S7" s="116" t="s">
        <v>1140</v>
      </c>
      <c r="T7" s="121"/>
      <c r="U7" s="40" t="s">
        <v>670</v>
      </c>
      <c r="V7" s="40" t="s">
        <v>671</v>
      </c>
      <c r="W7" s="40" t="s">
        <v>672</v>
      </c>
      <c r="X7" s="40" t="s">
        <v>673</v>
      </c>
      <c r="Y7" s="123" t="s">
        <v>660</v>
      </c>
      <c r="Z7" s="121" t="s">
        <v>661</v>
      </c>
      <c r="AA7" s="121" t="s">
        <v>935</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64"/>
      <c r="Q8" s="116" t="s">
        <v>1164</v>
      </c>
      <c r="R8" s="116" t="s">
        <v>931</v>
      </c>
      <c r="S8" s="116" t="s">
        <v>1140</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64"/>
      <c r="Q9" s="116" t="s">
        <v>1164</v>
      </c>
      <c r="R9" s="116" t="s">
        <v>931</v>
      </c>
      <c r="S9" s="116" t="s">
        <v>1140</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64"/>
      <c r="Q10" s="116" t="s">
        <v>1165</v>
      </c>
      <c r="R10" s="116" t="s">
        <v>931</v>
      </c>
      <c r="S10" s="116" t="s">
        <v>1140</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64"/>
      <c r="Q11" s="116" t="s">
        <v>1166</v>
      </c>
      <c r="R11" s="116" t="s">
        <v>931</v>
      </c>
      <c r="S11" s="116" t="s">
        <v>1139</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64"/>
      <c r="Q12" s="116" t="s">
        <v>1167</v>
      </c>
      <c r="R12" s="116" t="s">
        <v>931</v>
      </c>
      <c r="S12" s="116" t="s">
        <v>1146</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64"/>
      <c r="Q13" s="116" t="s">
        <v>660</v>
      </c>
      <c r="R13" s="116" t="s">
        <v>931</v>
      </c>
      <c r="S13" s="116" t="s">
        <v>1145</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64"/>
      <c r="Q14" s="116" t="s">
        <v>1166</v>
      </c>
      <c r="R14" s="116" t="s">
        <v>931</v>
      </c>
      <c r="S14" s="116" t="s">
        <v>1139</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64"/>
      <c r="Q15" s="116" t="s">
        <v>660</v>
      </c>
      <c r="R15" s="116" t="s">
        <v>931</v>
      </c>
      <c r="S15" s="116" t="s">
        <v>1144</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65"/>
      <c r="Q16" s="116" t="s">
        <v>660</v>
      </c>
      <c r="R16" s="116" t="s">
        <v>931</v>
      </c>
      <c r="S16" s="116" t="s">
        <v>1151</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63"/>
      <c r="Q17" s="116" t="s">
        <v>1168</v>
      </c>
      <c r="R17" s="116" t="s">
        <v>931</v>
      </c>
      <c r="S17" s="116" t="s">
        <v>1140</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63"/>
      <c r="Q18" s="116" t="s">
        <v>1169</v>
      </c>
      <c r="R18" s="116" t="s">
        <v>931</v>
      </c>
      <c r="S18" s="116" t="s">
        <v>1141</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64"/>
      <c r="Q19" s="116" t="s">
        <v>1170</v>
      </c>
      <c r="R19" s="116" t="s">
        <v>931</v>
      </c>
      <c r="S19" s="116" t="s">
        <v>1140</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64"/>
      <c r="Q20" s="116" t="s">
        <v>1171</v>
      </c>
      <c r="R20" s="116" t="s">
        <v>931</v>
      </c>
      <c r="S20" s="116" t="s">
        <v>1140</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64"/>
      <c r="Q21" s="116" t="s">
        <v>1171</v>
      </c>
      <c r="R21" s="116" t="s">
        <v>931</v>
      </c>
      <c r="S21" s="116" t="s">
        <v>1140</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64"/>
      <c r="Q22" s="116" t="s">
        <v>1172</v>
      </c>
      <c r="R22" s="116" t="s">
        <v>931</v>
      </c>
      <c r="S22" s="116" t="s">
        <v>1140</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64"/>
      <c r="Q23" s="116" t="s">
        <v>1164</v>
      </c>
      <c r="R23" s="116" t="s">
        <v>931</v>
      </c>
      <c r="S23" s="116" t="s">
        <v>1140</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64"/>
      <c r="Q24" s="116" t="s">
        <v>1173</v>
      </c>
      <c r="R24" s="116" t="s">
        <v>931</v>
      </c>
      <c r="S24" s="116" t="s">
        <v>1146</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64"/>
      <c r="Q25" s="116" t="s">
        <v>1174</v>
      </c>
      <c r="R25" s="116" t="s">
        <v>931</v>
      </c>
      <c r="S25" s="116" t="s">
        <v>1140</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64"/>
      <c r="Q26" s="116" t="s">
        <v>1175</v>
      </c>
      <c r="R26" s="116" t="s">
        <v>931</v>
      </c>
      <c r="S26" s="116" t="s">
        <v>1140</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64"/>
      <c r="Q27" s="116" t="s">
        <v>1166</v>
      </c>
      <c r="R27" s="116" t="s">
        <v>931</v>
      </c>
      <c r="S27" s="116" t="s">
        <v>1139</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64"/>
      <c r="Q28" s="116" t="s">
        <v>1166</v>
      </c>
      <c r="R28" s="116" t="s">
        <v>931</v>
      </c>
      <c r="S28" s="116" t="s">
        <v>1139</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64"/>
      <c r="Q29" s="116" t="s">
        <v>1167</v>
      </c>
      <c r="R29" s="116" t="s">
        <v>931</v>
      </c>
      <c r="S29" s="116" t="s">
        <v>1146</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64"/>
      <c r="Q30" s="116" t="s">
        <v>1167</v>
      </c>
      <c r="R30" s="116" t="s">
        <v>931</v>
      </c>
      <c r="S30" s="116" t="s">
        <v>1146</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64"/>
      <c r="Q31" s="116" t="s">
        <v>1167</v>
      </c>
      <c r="R31" s="116" t="s">
        <v>931</v>
      </c>
      <c r="S31" s="116" t="s">
        <v>1146</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64"/>
      <c r="Q32" s="116" t="s">
        <v>660</v>
      </c>
      <c r="R32" s="116" t="s">
        <v>931</v>
      </c>
      <c r="S32" s="116" t="s">
        <v>1146</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64"/>
      <c r="Q33" s="116" t="s">
        <v>1167</v>
      </c>
      <c r="R33" s="116" t="s">
        <v>931</v>
      </c>
      <c r="S33" s="116" t="s">
        <v>1146</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64"/>
      <c r="Q34" s="116" t="s">
        <v>1167</v>
      </c>
      <c r="R34" s="116" t="s">
        <v>931</v>
      </c>
      <c r="S34" s="116" t="s">
        <v>1146</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64"/>
      <c r="Q35" s="116" t="s">
        <v>1203</v>
      </c>
      <c r="R35" s="116" t="s">
        <v>931</v>
      </c>
      <c r="S35" s="116" t="s">
        <v>1143</v>
      </c>
      <c r="T35" s="121"/>
      <c r="U35" s="121"/>
      <c r="V35" s="121"/>
      <c r="W35" s="133" t="s">
        <v>952</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64"/>
      <c r="Q36" s="116"/>
      <c r="R36" s="116" t="s">
        <v>931</v>
      </c>
      <c r="S36" s="116" t="s">
        <v>1146</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64"/>
      <c r="Q37" s="116" t="s">
        <v>660</v>
      </c>
      <c r="R37" s="116" t="s">
        <v>931</v>
      </c>
      <c r="S37" s="116" t="s">
        <v>1146</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64"/>
      <c r="Q38" s="116" t="s">
        <v>1176</v>
      </c>
      <c r="R38" s="116" t="s">
        <v>931</v>
      </c>
      <c r="S38" s="116" t="s">
        <v>1139</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64"/>
      <c r="Q39" s="116" t="s">
        <v>1164</v>
      </c>
      <c r="R39" s="116" t="s">
        <v>931</v>
      </c>
      <c r="S39" s="116" t="s">
        <v>1139</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64"/>
      <c r="Q40" s="116" t="s">
        <v>660</v>
      </c>
      <c r="R40" s="116" t="s">
        <v>931</v>
      </c>
      <c r="S40" s="116" t="s">
        <v>1144</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64"/>
      <c r="Q41" s="116" t="s">
        <v>660</v>
      </c>
      <c r="R41" s="116" t="s">
        <v>931</v>
      </c>
      <c r="S41" s="116" t="s">
        <v>1144</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64"/>
      <c r="Q42" s="116" t="s">
        <v>660</v>
      </c>
      <c r="R42" s="116" t="s">
        <v>931</v>
      </c>
      <c r="S42" s="116" t="s">
        <v>1144</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66"/>
      <c r="Q43" s="116"/>
      <c r="R43" s="116" t="s">
        <v>931</v>
      </c>
      <c r="S43" s="116" t="s">
        <v>1146</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66"/>
      <c r="Q44" s="116"/>
      <c r="R44" s="116" t="s">
        <v>931</v>
      </c>
      <c r="S44" s="116" t="s">
        <v>1146</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66"/>
      <c r="Q45" s="116" t="s">
        <v>1156</v>
      </c>
      <c r="R45" s="116" t="s">
        <v>931</v>
      </c>
      <c r="S45" s="116" t="s">
        <v>1146</v>
      </c>
      <c r="T45" s="134"/>
      <c r="U45" s="134"/>
      <c r="V45" s="134"/>
      <c r="W45" s="134"/>
      <c r="X45" s="139" t="s">
        <v>918</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64"/>
      <c r="Q46" s="116" t="s">
        <v>660</v>
      </c>
      <c r="R46" s="116" t="s">
        <v>931</v>
      </c>
      <c r="S46" s="116" t="s">
        <v>1144</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64"/>
      <c r="Q47" s="116" t="s">
        <v>660</v>
      </c>
      <c r="R47" s="116" t="s">
        <v>931</v>
      </c>
      <c r="S47" s="116" t="s">
        <v>1144</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65"/>
      <c r="Q48" s="116"/>
      <c r="R48" s="116" t="s">
        <v>931</v>
      </c>
      <c r="S48" s="116" t="s">
        <v>1151</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63"/>
      <c r="Q49" s="116" t="s">
        <v>1177</v>
      </c>
      <c r="R49" s="116" t="s">
        <v>931</v>
      </c>
      <c r="S49" s="116" t="s">
        <v>1141</v>
      </c>
      <c r="T49" s="140" t="s">
        <v>685</v>
      </c>
      <c r="U49" s="140" t="s">
        <v>714</v>
      </c>
      <c r="V49" s="140" t="s">
        <v>715</v>
      </c>
      <c r="W49" s="118" t="s">
        <v>716</v>
      </c>
      <c r="X49" s="114"/>
      <c r="Y49" s="114" t="s">
        <v>660</v>
      </c>
      <c r="Z49" s="114" t="s">
        <v>661</v>
      </c>
      <c r="AA49" s="114" t="s">
        <v>936</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63"/>
      <c r="Q50" s="116" t="s">
        <v>1178</v>
      </c>
      <c r="R50" s="116" t="s">
        <v>931</v>
      </c>
      <c r="S50" s="116" t="s">
        <v>1141</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64"/>
      <c r="Q51" s="116" t="s">
        <v>1164</v>
      </c>
      <c r="R51" s="116" t="s">
        <v>931</v>
      </c>
      <c r="S51" s="116" t="s">
        <v>1140</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64"/>
      <c r="Q52" s="116" t="s">
        <v>1166</v>
      </c>
      <c r="R52" s="116" t="s">
        <v>931</v>
      </c>
      <c r="S52" s="116" t="s">
        <v>1139</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64"/>
      <c r="Q53" s="116" t="s">
        <v>1166</v>
      </c>
      <c r="R53" s="116" t="s">
        <v>931</v>
      </c>
      <c r="S53" s="116" t="s">
        <v>1139</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64"/>
      <c r="Q54" s="116" t="s">
        <v>1179</v>
      </c>
      <c r="R54" s="116" t="s">
        <v>931</v>
      </c>
      <c r="S54" s="116" t="s">
        <v>1140</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64"/>
      <c r="Q55" s="116" t="s">
        <v>1164</v>
      </c>
      <c r="R55" s="116" t="s">
        <v>931</v>
      </c>
      <c r="S55" s="116" t="s">
        <v>1139</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64"/>
      <c r="Q56" s="116" t="s">
        <v>1164</v>
      </c>
      <c r="R56" s="116" t="s">
        <v>931</v>
      </c>
      <c r="S56" s="116" t="s">
        <v>1139</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64"/>
      <c r="Q57" s="116" t="s">
        <v>1164</v>
      </c>
      <c r="R57" s="116" t="s">
        <v>931</v>
      </c>
      <c r="S57" s="116" t="s">
        <v>1151</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64"/>
      <c r="Q58" s="116" t="s">
        <v>1164</v>
      </c>
      <c r="R58" s="116" t="s">
        <v>931</v>
      </c>
      <c r="S58" s="116" t="s">
        <v>1151</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64"/>
      <c r="Q59" s="116" t="s">
        <v>1164</v>
      </c>
      <c r="R59" s="116" t="s">
        <v>931</v>
      </c>
      <c r="S59" s="116" t="s">
        <v>1151</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64"/>
      <c r="Q60" s="116" t="s">
        <v>660</v>
      </c>
      <c r="R60" s="116" t="s">
        <v>931</v>
      </c>
      <c r="S60" s="116" t="s">
        <v>1144</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65"/>
      <c r="Q61" s="116"/>
      <c r="R61" s="116" t="s">
        <v>931</v>
      </c>
      <c r="S61" s="116" t="s">
        <v>1151</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63"/>
      <c r="Q62" s="116" t="s">
        <v>1206</v>
      </c>
      <c r="R62" s="116" t="s">
        <v>933</v>
      </c>
      <c r="S62" s="116" t="s">
        <v>1140</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64"/>
      <c r="Q63" s="116" t="s">
        <v>1179</v>
      </c>
      <c r="R63" s="116" t="s">
        <v>931</v>
      </c>
      <c r="S63" s="116" t="s">
        <v>1140</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64"/>
      <c r="Q64" s="116" t="s">
        <v>660</v>
      </c>
      <c r="R64" s="116" t="s">
        <v>931</v>
      </c>
      <c r="S64" s="116" t="s">
        <v>1146</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64"/>
      <c r="Q65" s="116" t="s">
        <v>1164</v>
      </c>
      <c r="R65" s="116" t="s">
        <v>931</v>
      </c>
      <c r="S65" s="116" t="s">
        <v>1140</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64"/>
      <c r="Q66" s="116" t="s">
        <v>1164</v>
      </c>
      <c r="R66" s="116" t="s">
        <v>931</v>
      </c>
      <c r="S66" s="116" t="s">
        <v>1139</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64"/>
      <c r="Q67" s="116" t="s">
        <v>1164</v>
      </c>
      <c r="R67" s="116" t="s">
        <v>931</v>
      </c>
      <c r="S67" s="116" t="s">
        <v>1139</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64"/>
      <c r="Q68" s="116" t="s">
        <v>1164</v>
      </c>
      <c r="R68" s="116" t="s">
        <v>931</v>
      </c>
      <c r="S68" s="116" t="s">
        <v>1139</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64"/>
      <c r="Q69" s="116" t="s">
        <v>1164</v>
      </c>
      <c r="R69" s="116" t="s">
        <v>931</v>
      </c>
      <c r="S69" s="116" t="s">
        <v>1139</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64"/>
      <c r="Q70" s="116" t="s">
        <v>1167</v>
      </c>
      <c r="R70" s="116" t="s">
        <v>931</v>
      </c>
      <c r="S70" s="116" t="s">
        <v>1145</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65"/>
      <c r="Q71" s="116"/>
      <c r="R71" s="116" t="s">
        <v>931</v>
      </c>
      <c r="S71" s="116" t="s">
        <v>1151</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64"/>
      <c r="Q72" s="116" t="s">
        <v>1164</v>
      </c>
      <c r="R72" s="116" t="s">
        <v>933</v>
      </c>
      <c r="S72" s="116" t="s">
        <v>1140</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64"/>
      <c r="Q73" s="116" t="s">
        <v>1175</v>
      </c>
      <c r="R73" s="116" t="s">
        <v>931</v>
      </c>
      <c r="S73" s="116" t="s">
        <v>1140</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64"/>
      <c r="Q74" s="116" t="s">
        <v>1164</v>
      </c>
      <c r="R74" s="116" t="s">
        <v>931</v>
      </c>
      <c r="S74" s="116" t="s">
        <v>1140</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2">
        <v>44613</v>
      </c>
      <c r="P75" s="164"/>
      <c r="Q75" s="116" t="s">
        <v>1203</v>
      </c>
      <c r="R75" s="116" t="s">
        <v>933</v>
      </c>
      <c r="S75" s="116" t="s">
        <v>1143</v>
      </c>
      <c r="T75" s="121"/>
      <c r="U75" s="121"/>
      <c r="V75" s="121"/>
      <c r="W75" s="40" t="s">
        <v>1202</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65"/>
      <c r="Q76" s="116"/>
      <c r="R76" s="116" t="s">
        <v>931</v>
      </c>
      <c r="S76" s="116" t="s">
        <v>1151</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63"/>
      <c r="Q77" s="116" t="s">
        <v>1201</v>
      </c>
      <c r="R77" s="116" t="s">
        <v>931</v>
      </c>
      <c r="S77" s="116" t="s">
        <v>1140</v>
      </c>
      <c r="T77" s="114"/>
      <c r="U77" s="120" t="s">
        <v>747</v>
      </c>
      <c r="V77" s="118" t="s">
        <v>681</v>
      </c>
      <c r="W77" s="114"/>
      <c r="X77" s="114"/>
      <c r="Y77" s="114" t="s">
        <v>660</v>
      </c>
      <c r="Z77" s="114" t="s">
        <v>661</v>
      </c>
      <c r="AA77" s="114" t="s">
        <v>1200</v>
      </c>
      <c r="AB77" s="114">
        <v>6</v>
      </c>
      <c r="AC77" s="114">
        <v>100</v>
      </c>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64"/>
      <c r="Q78" s="116" t="s">
        <v>1164</v>
      </c>
      <c r="R78" s="116" t="s">
        <v>931</v>
      </c>
      <c r="S78" s="116" t="s">
        <v>1140</v>
      </c>
      <c r="T78" s="121"/>
      <c r="U78" s="121"/>
      <c r="V78" s="40" t="s">
        <v>749</v>
      </c>
      <c r="W78" s="121"/>
      <c r="X78" s="121"/>
      <c r="Y78" s="121" t="s">
        <v>660</v>
      </c>
      <c r="Z78" s="121" t="s">
        <v>661</v>
      </c>
      <c r="AA78" s="121" t="s">
        <v>750</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64"/>
      <c r="Q79" s="116" t="s">
        <v>1164</v>
      </c>
      <c r="R79" s="116" t="s">
        <v>931</v>
      </c>
      <c r="S79" s="116" t="s">
        <v>1140</v>
      </c>
      <c r="T79" s="121"/>
      <c r="U79" s="121"/>
      <c r="V79" s="121" t="s">
        <v>751</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64"/>
      <c r="Q80" s="116" t="s">
        <v>1179</v>
      </c>
      <c r="R80" s="116" t="s">
        <v>931</v>
      </c>
      <c r="S80" s="116" t="s">
        <v>1140</v>
      </c>
      <c r="T80" s="121"/>
      <c r="U80" s="141" t="s">
        <v>689</v>
      </c>
      <c r="V80" s="40" t="s">
        <v>752</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64"/>
      <c r="Q81" s="116" t="s">
        <v>660</v>
      </c>
      <c r="R81" s="116" t="s">
        <v>931</v>
      </c>
      <c r="S81" s="116" t="s">
        <v>1146</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64"/>
      <c r="Q82" s="116" t="s">
        <v>1180</v>
      </c>
      <c r="R82" s="116" t="s">
        <v>931</v>
      </c>
      <c r="S82" s="116" t="s">
        <v>1140</v>
      </c>
      <c r="T82" s="121"/>
      <c r="U82" s="121"/>
      <c r="V82" s="133" t="s">
        <v>753</v>
      </c>
      <c r="W82" s="121"/>
      <c r="X82" s="40" t="s">
        <v>754</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64"/>
      <c r="Q83" s="116" t="s">
        <v>1181</v>
      </c>
      <c r="R83" s="116" t="s">
        <v>931</v>
      </c>
      <c r="S83" s="116" t="s">
        <v>1143</v>
      </c>
      <c r="T83" s="121"/>
      <c r="U83" s="121"/>
      <c r="V83" s="121"/>
      <c r="W83" s="40" t="s">
        <v>755</v>
      </c>
      <c r="X83" s="40" t="s">
        <v>756</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64"/>
      <c r="Q84" s="116" t="s">
        <v>1175</v>
      </c>
      <c r="R84" s="116" t="s">
        <v>931</v>
      </c>
      <c r="S84" s="116" t="s">
        <v>1140</v>
      </c>
      <c r="T84" s="121"/>
      <c r="U84" s="121"/>
      <c r="V84" s="40" t="s">
        <v>757</v>
      </c>
      <c r="W84" s="40" t="s">
        <v>758</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64"/>
      <c r="Q85" s="116" t="s">
        <v>660</v>
      </c>
      <c r="R85" s="116" t="s">
        <v>931</v>
      </c>
      <c r="S85" s="116" t="s">
        <v>1145</v>
      </c>
      <c r="T85" s="121"/>
      <c r="U85" s="121"/>
      <c r="V85" s="121"/>
      <c r="W85" s="121"/>
      <c r="X85" s="121"/>
      <c r="Y85" s="134" t="s">
        <v>660</v>
      </c>
      <c r="Z85" s="121" t="s">
        <v>759</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64"/>
      <c r="Q86" s="116" t="s">
        <v>660</v>
      </c>
      <c r="R86" s="116" t="s">
        <v>931</v>
      </c>
      <c r="S86" s="116" t="s">
        <v>1145</v>
      </c>
      <c r="T86" s="121"/>
      <c r="U86" s="121"/>
      <c r="V86" s="121"/>
      <c r="W86" s="121"/>
      <c r="X86" s="121"/>
      <c r="Y86" s="121" t="s">
        <v>660</v>
      </c>
      <c r="Z86" s="121" t="s">
        <v>759</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64"/>
      <c r="Q87" s="116" t="s">
        <v>1164</v>
      </c>
      <c r="R87" s="116" t="s">
        <v>931</v>
      </c>
      <c r="S87" s="116" t="s">
        <v>1140</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64"/>
      <c r="Q88" s="116" t="s">
        <v>1166</v>
      </c>
      <c r="R88" s="116" t="s">
        <v>931</v>
      </c>
      <c r="S88" s="116" t="s">
        <v>1143</v>
      </c>
      <c r="T88" s="121"/>
      <c r="U88" s="121"/>
      <c r="V88" s="121"/>
      <c r="W88" s="40" t="s">
        <v>760</v>
      </c>
      <c r="X88" s="121"/>
      <c r="Y88" s="121" t="s">
        <v>660</v>
      </c>
      <c r="Z88" s="121" t="s">
        <v>661</v>
      </c>
      <c r="AA88" s="121" t="s">
        <v>750</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64"/>
      <c r="Q89" s="116" t="s">
        <v>1174</v>
      </c>
      <c r="R89" s="116" t="s">
        <v>931</v>
      </c>
      <c r="S89" s="116" t="s">
        <v>1140</v>
      </c>
      <c r="T89" s="121"/>
      <c r="U89" s="121"/>
      <c r="V89" s="40" t="s">
        <v>761</v>
      </c>
      <c r="W89" s="40" t="s">
        <v>762</v>
      </c>
      <c r="X89" s="121" t="s">
        <v>763</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64"/>
      <c r="Q90" s="116" t="s">
        <v>1181</v>
      </c>
      <c r="R90" s="116" t="s">
        <v>931</v>
      </c>
      <c r="S90" s="116" t="s">
        <v>1139</v>
      </c>
      <c r="T90" s="121"/>
      <c r="U90" s="121"/>
      <c r="V90" s="121"/>
      <c r="W90" s="40" t="s">
        <v>764</v>
      </c>
      <c r="X90" s="40" t="s">
        <v>765</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64"/>
      <c r="Q91" s="116" t="s">
        <v>1164</v>
      </c>
      <c r="R91" s="116" t="s">
        <v>931</v>
      </c>
      <c r="S91" s="116" t="s">
        <v>1140</v>
      </c>
      <c r="T91" s="121"/>
      <c r="U91" s="121"/>
      <c r="V91" s="40" t="s">
        <v>766</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64"/>
      <c r="Q92" s="116" t="s">
        <v>1175</v>
      </c>
      <c r="R92" s="116" t="s">
        <v>931</v>
      </c>
      <c r="S92" s="116" t="s">
        <v>1139</v>
      </c>
      <c r="T92" s="121"/>
      <c r="U92" s="121"/>
      <c r="V92" s="40" t="s">
        <v>767</v>
      </c>
      <c r="W92" s="121" t="s">
        <v>768</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769</v>
      </c>
      <c r="P93" s="164"/>
      <c r="Q93" s="116" t="s">
        <v>1164</v>
      </c>
      <c r="R93" s="116" t="s">
        <v>931</v>
      </c>
      <c r="S93" s="116" t="s">
        <v>1139</v>
      </c>
      <c r="T93" s="121"/>
      <c r="U93" s="121"/>
      <c r="V93" s="121" t="s">
        <v>770</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769</v>
      </c>
      <c r="P94" s="164"/>
      <c r="Q94" s="116" t="s">
        <v>1164</v>
      </c>
      <c r="R94" s="116" t="s">
        <v>931</v>
      </c>
      <c r="S94" s="116" t="s">
        <v>1139</v>
      </c>
      <c r="T94" s="121"/>
      <c r="U94" s="121"/>
      <c r="V94" s="121" t="s">
        <v>771</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64"/>
      <c r="Q95" s="116" t="s">
        <v>1182</v>
      </c>
      <c r="R95" s="116" t="s">
        <v>931</v>
      </c>
      <c r="S95" s="116" t="s">
        <v>1139</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64"/>
      <c r="Q96" s="116" t="s">
        <v>1166</v>
      </c>
      <c r="R96" s="116" t="s">
        <v>931</v>
      </c>
      <c r="S96" s="116" t="s">
        <v>1142</v>
      </c>
      <c r="T96" s="121"/>
      <c r="U96" s="121"/>
      <c r="V96" s="121"/>
      <c r="W96" s="121" t="s">
        <v>772</v>
      </c>
      <c r="X96" s="121"/>
      <c r="Y96" s="121" t="s">
        <v>660</v>
      </c>
      <c r="Z96" s="121" t="s">
        <v>661</v>
      </c>
      <c r="AA96" s="121" t="s">
        <v>750</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64"/>
      <c r="Q97" s="116" t="s">
        <v>1164</v>
      </c>
      <c r="R97" s="116" t="s">
        <v>931</v>
      </c>
      <c r="S97" s="116" t="s">
        <v>1139</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65"/>
      <c r="Q98" s="116"/>
      <c r="R98" s="116" t="s">
        <v>931</v>
      </c>
      <c r="S98" s="116" t="s">
        <v>1151</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64"/>
      <c r="Q99" s="116" t="s">
        <v>1164</v>
      </c>
      <c r="R99" s="116" t="s">
        <v>931</v>
      </c>
      <c r="S99" s="116" t="s">
        <v>1140</v>
      </c>
      <c r="T99" s="121"/>
      <c r="U99" s="121"/>
      <c r="V99" s="40" t="s">
        <v>773</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64"/>
      <c r="Q100" s="116" t="s">
        <v>660</v>
      </c>
      <c r="R100" s="116" t="s">
        <v>931</v>
      </c>
      <c r="S100" s="116" t="s">
        <v>1146</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774</v>
      </c>
      <c r="P101" s="164"/>
      <c r="Q101" s="116" t="s">
        <v>660</v>
      </c>
      <c r="R101" s="116" t="s">
        <v>931</v>
      </c>
      <c r="S101" s="116" t="s">
        <v>1145</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64"/>
      <c r="Q102" s="116" t="s">
        <v>660</v>
      </c>
      <c r="R102" s="116" t="s">
        <v>931</v>
      </c>
      <c r="S102" s="116" t="s">
        <v>1146</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65"/>
      <c r="Q103" s="116"/>
      <c r="R103" s="116" t="s">
        <v>931</v>
      </c>
      <c r="S103" s="116" t="s">
        <v>1151</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63"/>
      <c r="Q104" s="116" t="s">
        <v>1183</v>
      </c>
      <c r="R104" s="116" t="s">
        <v>931</v>
      </c>
      <c r="S104" s="116" t="s">
        <v>1141</v>
      </c>
      <c r="T104" s="118" t="s">
        <v>685</v>
      </c>
      <c r="U104" s="120" t="s">
        <v>775</v>
      </c>
      <c r="V104" s="118" t="s">
        <v>664</v>
      </c>
      <c r="W104" s="114"/>
      <c r="X104" s="118" t="s">
        <v>776</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64"/>
      <c r="Q105" s="116" t="s">
        <v>1178</v>
      </c>
      <c r="R105" s="116" t="s">
        <v>931</v>
      </c>
      <c r="S105" s="116" t="s">
        <v>1141</v>
      </c>
      <c r="T105" s="40" t="s">
        <v>777</v>
      </c>
      <c r="U105" s="40" t="s">
        <v>778</v>
      </c>
      <c r="V105" s="40" t="s">
        <v>779</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64"/>
      <c r="Q106" s="116" t="s">
        <v>1184</v>
      </c>
      <c r="R106" s="116" t="s">
        <v>931</v>
      </c>
      <c r="S106" s="116" t="s">
        <v>1141</v>
      </c>
      <c r="T106" s="121"/>
      <c r="U106" s="40" t="s">
        <v>780</v>
      </c>
      <c r="V106" s="40" t="s">
        <v>781</v>
      </c>
      <c r="W106" s="121"/>
      <c r="X106" s="40" t="s">
        <v>782</v>
      </c>
      <c r="Y106" s="121" t="s">
        <v>660</v>
      </c>
      <c r="Z106" s="121" t="s">
        <v>661</v>
      </c>
      <c r="AA106" s="114" t="s">
        <v>748</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783</v>
      </c>
      <c r="P107" s="164"/>
      <c r="Q107" s="116" t="s">
        <v>1166</v>
      </c>
      <c r="R107" s="116" t="s">
        <v>931</v>
      </c>
      <c r="S107" s="116" t="s">
        <v>1139</v>
      </c>
      <c r="T107" s="121"/>
      <c r="U107" s="121"/>
      <c r="V107" s="121"/>
      <c r="W107" s="40" t="s">
        <v>784</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65"/>
      <c r="Q108" s="116"/>
      <c r="R108" s="116" t="s">
        <v>931</v>
      </c>
      <c r="S108" s="116" t="s">
        <v>1151</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64"/>
      <c r="Q109" s="116" t="s">
        <v>1185</v>
      </c>
      <c r="R109" s="116" t="s">
        <v>931</v>
      </c>
      <c r="S109" s="116" t="s">
        <v>1141</v>
      </c>
      <c r="T109" s="141" t="s">
        <v>685</v>
      </c>
      <c r="U109" s="121" t="s">
        <v>785</v>
      </c>
      <c r="V109" s="40" t="s">
        <v>681</v>
      </c>
      <c r="W109" s="121"/>
      <c r="Y109" s="121" t="s">
        <v>660</v>
      </c>
      <c r="Z109" s="121" t="s">
        <v>661</v>
      </c>
      <c r="AA109" s="40" t="s">
        <v>937</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64"/>
      <c r="Q110" s="116" t="s">
        <v>1164</v>
      </c>
      <c r="R110" s="116" t="s">
        <v>931</v>
      </c>
      <c r="S110" s="116" t="s">
        <v>1140</v>
      </c>
      <c r="T110" s="121"/>
      <c r="U110" s="121"/>
      <c r="V110" s="40" t="s">
        <v>786</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64"/>
      <c r="Q111" s="116" t="s">
        <v>1164</v>
      </c>
      <c r="R111" s="116" t="s">
        <v>931</v>
      </c>
      <c r="S111" s="116" t="s">
        <v>1140</v>
      </c>
      <c r="T111" s="121"/>
      <c r="U111" s="121"/>
      <c r="V111" s="40" t="s">
        <v>787</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64">
        <v>4</v>
      </c>
      <c r="Q112" s="116" t="s">
        <v>1186</v>
      </c>
      <c r="R112" s="116" t="s">
        <v>933</v>
      </c>
      <c r="S112" s="116" t="s">
        <v>1138</v>
      </c>
      <c r="T112" s="121"/>
      <c r="U112" s="121" t="s">
        <v>916</v>
      </c>
      <c r="V112" s="40" t="s">
        <v>789</v>
      </c>
      <c r="W112" s="121"/>
      <c r="X112" s="133" t="s">
        <v>917</v>
      </c>
      <c r="Y112" s="121" t="s">
        <v>660</v>
      </c>
      <c r="Z112" s="121" t="s">
        <v>661</v>
      </c>
      <c r="AA112" s="121" t="s">
        <v>1155</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64"/>
      <c r="Q113" s="116" t="s">
        <v>1164</v>
      </c>
      <c r="R113" s="116" t="s">
        <v>931</v>
      </c>
      <c r="S113" s="116" t="s">
        <v>1140</v>
      </c>
      <c r="T113" s="121"/>
      <c r="U113" s="121"/>
      <c r="V113" s="40" t="s">
        <v>790</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64"/>
      <c r="Q114" s="116" t="s">
        <v>1179</v>
      </c>
      <c r="R114" s="116" t="s">
        <v>931</v>
      </c>
      <c r="S114" s="116" t="s">
        <v>1140</v>
      </c>
      <c r="T114" s="121"/>
      <c r="U114" s="40" t="s">
        <v>791</v>
      </c>
      <c r="V114" s="40" t="s">
        <v>792</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64"/>
      <c r="Q115" s="116" t="s">
        <v>1164</v>
      </c>
      <c r="R115" s="116" t="s">
        <v>931</v>
      </c>
      <c r="S115" s="116" t="s">
        <v>1139</v>
      </c>
      <c r="T115" s="121"/>
      <c r="U115" s="121"/>
      <c r="V115" s="121" t="s">
        <v>770</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65"/>
      <c r="Q116" s="116"/>
      <c r="R116" s="116" t="s">
        <v>931</v>
      </c>
      <c r="S116" s="116" t="s">
        <v>1151</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64"/>
      <c r="Q117" s="116" t="s">
        <v>1197</v>
      </c>
      <c r="R117" s="116" t="s">
        <v>931</v>
      </c>
      <c r="S117" s="116" t="s">
        <v>1146</v>
      </c>
      <c r="T117" s="121"/>
      <c r="U117" s="121"/>
      <c r="V117" s="121"/>
      <c r="W117" s="121"/>
      <c r="X117" s="40" t="s">
        <v>793</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64"/>
      <c r="Q118" s="116" t="s">
        <v>1175</v>
      </c>
      <c r="R118" s="116" t="s">
        <v>931</v>
      </c>
      <c r="S118" s="116" t="s">
        <v>1140</v>
      </c>
      <c r="T118" s="121"/>
      <c r="U118" s="121"/>
      <c r="V118" s="121" t="s">
        <v>794</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64"/>
      <c r="Q119" s="116" t="s">
        <v>1197</v>
      </c>
      <c r="R119" s="116" t="s">
        <v>931</v>
      </c>
      <c r="S119" s="116" t="s">
        <v>1146</v>
      </c>
      <c r="T119" s="121"/>
      <c r="U119" s="121"/>
      <c r="V119" s="121"/>
      <c r="X119" s="40" t="s">
        <v>795</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796</v>
      </c>
      <c r="P120" s="164"/>
      <c r="Q120" s="116" t="s">
        <v>1198</v>
      </c>
      <c r="R120" s="116" t="s">
        <v>931</v>
      </c>
      <c r="S120" s="116" t="s">
        <v>1146</v>
      </c>
      <c r="T120" s="121"/>
      <c r="U120" s="121"/>
      <c r="V120" s="121"/>
      <c r="W120" s="121"/>
      <c r="X120" s="141" t="s">
        <v>797</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798</v>
      </c>
      <c r="P121" s="164"/>
      <c r="Q121" s="116" t="s">
        <v>1197</v>
      </c>
      <c r="R121" s="116" t="s">
        <v>931</v>
      </c>
      <c r="S121" s="116" t="s">
        <v>1145</v>
      </c>
      <c r="T121" s="121"/>
      <c r="U121" s="121"/>
      <c r="V121" s="121"/>
      <c r="W121" s="121"/>
      <c r="X121" s="121" t="s">
        <v>795</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64"/>
      <c r="Q122" s="116" t="s">
        <v>1197</v>
      </c>
      <c r="R122" s="116" t="s">
        <v>931</v>
      </c>
      <c r="S122" s="116" t="s">
        <v>1145</v>
      </c>
      <c r="T122" s="121"/>
      <c r="U122" s="121"/>
      <c r="V122" s="121"/>
      <c r="W122" s="121"/>
      <c r="X122" s="121" t="s">
        <v>795</v>
      </c>
      <c r="Y122" s="134" t="s">
        <v>660</v>
      </c>
      <c r="Z122" s="121" t="s">
        <v>759</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799</v>
      </c>
      <c r="P123" s="164"/>
      <c r="Q123" s="116" t="s">
        <v>1197</v>
      </c>
      <c r="R123" s="116" t="s">
        <v>931</v>
      </c>
      <c r="S123" s="116" t="s">
        <v>1145</v>
      </c>
      <c r="T123" s="121"/>
      <c r="U123" s="121"/>
      <c r="V123" s="121"/>
      <c r="W123" s="121"/>
      <c r="X123" s="121" t="s">
        <v>795</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64"/>
      <c r="Q124" s="116" t="s">
        <v>1197</v>
      </c>
      <c r="R124" s="116" t="s">
        <v>931</v>
      </c>
      <c r="S124" s="116" t="s">
        <v>1144</v>
      </c>
      <c r="T124" s="121"/>
      <c r="U124" s="121"/>
      <c r="V124" s="121"/>
      <c r="W124" s="121"/>
      <c r="X124" s="121" t="s">
        <v>795</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64"/>
      <c r="Q125" s="116" t="s">
        <v>1197</v>
      </c>
      <c r="R125" s="116" t="s">
        <v>931</v>
      </c>
      <c r="S125" s="116" t="s">
        <v>1146</v>
      </c>
      <c r="T125" s="121"/>
      <c r="U125" s="121"/>
      <c r="V125" s="121"/>
      <c r="W125" s="121"/>
      <c r="X125" s="121" t="s">
        <v>795</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64"/>
      <c r="Q126" s="116" t="s">
        <v>1166</v>
      </c>
      <c r="R126" s="116" t="s">
        <v>931</v>
      </c>
      <c r="S126" s="116" t="s">
        <v>1139</v>
      </c>
      <c r="T126" s="121"/>
      <c r="U126" s="121"/>
      <c r="V126" s="121"/>
      <c r="W126" s="40" t="s">
        <v>800</v>
      </c>
      <c r="X126" s="121"/>
      <c r="Y126" s="121" t="s">
        <v>660</v>
      </c>
      <c r="Z126" s="121" t="s">
        <v>661</v>
      </c>
      <c r="AA126" s="121"/>
      <c r="AB126" s="121"/>
      <c r="AC126" s="121"/>
      <c r="AD126" s="121" t="s">
        <v>219</v>
      </c>
      <c r="AE126" s="124" t="s">
        <v>250</v>
      </c>
    </row>
    <row r="127" spans="1:31">
      <c r="A127" s="121">
        <v>114</v>
      </c>
      <c r="B127" s="121">
        <v>116</v>
      </c>
      <c r="C127" s="121">
        <v>19911126884</v>
      </c>
      <c r="D127" s="121" t="s">
        <v>801</v>
      </c>
      <c r="E127" s="121"/>
      <c r="F127" s="121">
        <v>9084722</v>
      </c>
      <c r="G127" s="121" t="s">
        <v>204</v>
      </c>
      <c r="H127" s="121">
        <v>59</v>
      </c>
      <c r="I127" s="121" t="s">
        <v>802</v>
      </c>
      <c r="J127" s="121" t="s">
        <v>491</v>
      </c>
      <c r="K127" s="121" t="s">
        <v>241</v>
      </c>
      <c r="L127" s="121" t="s">
        <v>208</v>
      </c>
      <c r="M127" s="121" t="s">
        <v>357</v>
      </c>
      <c r="N127" s="121" t="s">
        <v>801</v>
      </c>
      <c r="O127" s="122">
        <v>33580</v>
      </c>
      <c r="P127" s="164"/>
      <c r="Q127" s="116" t="s">
        <v>660</v>
      </c>
      <c r="R127" s="116" t="s">
        <v>931</v>
      </c>
      <c r="S127" s="116" t="s">
        <v>1146</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64"/>
      <c r="Q128" s="116" t="s">
        <v>1167</v>
      </c>
      <c r="R128" s="116" t="s">
        <v>931</v>
      </c>
      <c r="S128" s="116" t="s">
        <v>1146</v>
      </c>
      <c r="T128" s="121"/>
      <c r="U128" s="121"/>
      <c r="V128" s="121"/>
      <c r="W128" s="121"/>
      <c r="X128" s="40" t="s">
        <v>803</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64"/>
      <c r="Q129" s="116" t="s">
        <v>1167</v>
      </c>
      <c r="R129" s="116" t="s">
        <v>931</v>
      </c>
      <c r="S129" s="116" t="s">
        <v>1146</v>
      </c>
      <c r="T129" s="121"/>
      <c r="U129" s="121"/>
      <c r="V129" s="121"/>
      <c r="W129" s="121"/>
      <c r="X129" s="40" t="s">
        <v>804</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64"/>
      <c r="Q130" s="116" t="s">
        <v>660</v>
      </c>
      <c r="R130" s="116" t="s">
        <v>931</v>
      </c>
      <c r="S130" s="116" t="s">
        <v>1146</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64"/>
      <c r="Q131" s="116" t="s">
        <v>660</v>
      </c>
      <c r="R131" s="116" t="s">
        <v>931</v>
      </c>
      <c r="S131" s="116" t="s">
        <v>1146</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64"/>
      <c r="Q132" s="116" t="s">
        <v>660</v>
      </c>
      <c r="R132" s="116" t="s">
        <v>931</v>
      </c>
      <c r="S132" s="116" t="s">
        <v>1146</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Q133" s="116" t="s">
        <v>1197</v>
      </c>
      <c r="R133" s="116" t="s">
        <v>931</v>
      </c>
      <c r="S133" s="116" t="s">
        <v>1146</v>
      </c>
      <c r="T133" s="145"/>
      <c r="U133" s="145"/>
      <c r="V133" s="145"/>
      <c r="W133" s="145"/>
      <c r="X133" s="145" t="s">
        <v>795</v>
      </c>
      <c r="Y133" s="145" t="s">
        <v>660</v>
      </c>
      <c r="Z133" s="145" t="s">
        <v>661</v>
      </c>
      <c r="AA133" s="145"/>
      <c r="AB133" s="145"/>
      <c r="AC133" s="145"/>
      <c r="AD133" s="121" t="s">
        <v>219</v>
      </c>
      <c r="AE133" s="124" t="s">
        <v>250</v>
      </c>
    </row>
    <row r="134" spans="1:31" s="113" customFormat="1" ht="15.6">
      <c r="A134" s="110"/>
      <c r="B134" s="110"/>
      <c r="C134" s="110"/>
      <c r="D134" s="110"/>
      <c r="E134" s="110"/>
      <c r="F134" s="110" t="s">
        <v>805</v>
      </c>
      <c r="G134" s="110"/>
      <c r="H134" s="110"/>
      <c r="I134" s="110"/>
      <c r="J134" s="110"/>
      <c r="K134" s="110"/>
      <c r="L134" s="110"/>
      <c r="M134" s="110"/>
      <c r="N134" s="110"/>
      <c r="O134" s="110"/>
      <c r="P134" s="165"/>
      <c r="Q134" s="116"/>
      <c r="R134" s="116" t="s">
        <v>931</v>
      </c>
      <c r="S134" s="116" t="s">
        <v>1151</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65"/>
      <c r="Q135" s="116" t="s">
        <v>1204</v>
      </c>
      <c r="R135" s="116" t="s">
        <v>933</v>
      </c>
      <c r="S135" s="116" t="s">
        <v>1140</v>
      </c>
      <c r="T135" s="114"/>
      <c r="U135" s="120" t="s">
        <v>806</v>
      </c>
      <c r="V135" s="128" t="s">
        <v>807</v>
      </c>
      <c r="W135" s="118" t="s">
        <v>808</v>
      </c>
      <c r="X135" s="118" t="s">
        <v>954</v>
      </c>
      <c r="Y135" s="114" t="s">
        <v>660</v>
      </c>
      <c r="Z135" s="114" t="s">
        <v>661</v>
      </c>
      <c r="AA135" s="114" t="s">
        <v>1196</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64"/>
      <c r="Q136" s="116" t="s">
        <v>1164</v>
      </c>
      <c r="R136" s="116" t="s">
        <v>931</v>
      </c>
      <c r="S136" s="116" t="s">
        <v>1140</v>
      </c>
      <c r="T136" s="121"/>
      <c r="U136" s="121"/>
      <c r="V136" s="121" t="s">
        <v>1049</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64"/>
      <c r="Q137" s="116" t="s">
        <v>1164</v>
      </c>
      <c r="R137" s="116" t="s">
        <v>931</v>
      </c>
      <c r="S137" s="116" t="s">
        <v>1140</v>
      </c>
      <c r="T137" s="121"/>
      <c r="U137" s="121"/>
      <c r="V137" s="40" t="s">
        <v>809</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64"/>
      <c r="Q138" s="116" t="s">
        <v>1164</v>
      </c>
      <c r="R138" s="116" t="s">
        <v>931</v>
      </c>
      <c r="S138" s="116" t="s">
        <v>1140</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65"/>
      <c r="Q139" s="116"/>
      <c r="R139" s="116" t="s">
        <v>931</v>
      </c>
      <c r="S139" s="116" t="s">
        <v>1151</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64"/>
      <c r="Q140" s="116" t="s">
        <v>1187</v>
      </c>
      <c r="R140" s="116" t="s">
        <v>933</v>
      </c>
      <c r="S140" s="116" t="s">
        <v>1140</v>
      </c>
      <c r="T140" s="121"/>
      <c r="U140" s="141" t="s">
        <v>810</v>
      </c>
      <c r="V140" s="40" t="s">
        <v>811</v>
      </c>
      <c r="W140" s="121"/>
      <c r="X140" s="121"/>
      <c r="Y140" s="121" t="s">
        <v>660</v>
      </c>
      <c r="Z140" s="121" t="s">
        <v>661</v>
      </c>
      <c r="AA140" s="159" t="s">
        <v>812</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64"/>
      <c r="Q141" s="116" t="s">
        <v>1164</v>
      </c>
      <c r="R141" s="116" t="s">
        <v>931</v>
      </c>
      <c r="S141" s="116" t="s">
        <v>1140</v>
      </c>
      <c r="T141" s="121"/>
      <c r="U141" s="121"/>
      <c r="V141" s="40" t="s">
        <v>813</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64"/>
      <c r="Q142" s="116" t="s">
        <v>1164</v>
      </c>
      <c r="R142" s="116" t="s">
        <v>931</v>
      </c>
      <c r="S142" s="116" t="s">
        <v>1139</v>
      </c>
      <c r="T142" s="121"/>
      <c r="U142" s="121"/>
      <c r="V142" s="121" t="s">
        <v>814</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64"/>
      <c r="Q143" s="116" t="s">
        <v>1164</v>
      </c>
      <c r="R143" s="116" t="s">
        <v>931</v>
      </c>
      <c r="S143" s="116" t="s">
        <v>1139</v>
      </c>
      <c r="T143" s="121"/>
      <c r="U143" s="121"/>
      <c r="V143" s="121" t="s">
        <v>815</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64"/>
      <c r="Q144" s="116" t="s">
        <v>1181</v>
      </c>
      <c r="R144" s="116" t="s">
        <v>931</v>
      </c>
      <c r="S144" s="116" t="s">
        <v>1139</v>
      </c>
      <c r="T144" s="121"/>
      <c r="U144" s="121"/>
      <c r="V144" s="121"/>
      <c r="W144" s="40" t="s">
        <v>816</v>
      </c>
      <c r="X144" s="40" t="s">
        <v>817</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64"/>
      <c r="Q145" s="116" t="s">
        <v>1166</v>
      </c>
      <c r="R145" s="116" t="s">
        <v>931</v>
      </c>
      <c r="S145" s="116" t="s">
        <v>1139</v>
      </c>
      <c r="T145" s="121"/>
      <c r="U145" s="121"/>
      <c r="V145" s="121"/>
      <c r="W145" s="40" t="s">
        <v>818</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64"/>
      <c r="Q146" s="116" t="s">
        <v>1166</v>
      </c>
      <c r="R146" s="116" t="s">
        <v>931</v>
      </c>
      <c r="S146" s="116" t="s">
        <v>1142</v>
      </c>
      <c r="T146" s="121"/>
      <c r="U146" s="121"/>
      <c r="V146" s="121"/>
      <c r="W146" s="121" t="s">
        <v>819</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64"/>
      <c r="Q147" s="116" t="s">
        <v>1167</v>
      </c>
      <c r="R147" s="116" t="s">
        <v>931</v>
      </c>
      <c r="S147" s="116" t="s">
        <v>1146</v>
      </c>
      <c r="T147" s="121"/>
      <c r="U147" s="121"/>
      <c r="V147" s="121"/>
      <c r="X147" s="40" t="s">
        <v>820</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64"/>
      <c r="Q148" s="116" t="s">
        <v>660</v>
      </c>
      <c r="R148" s="116" t="s">
        <v>931</v>
      </c>
      <c r="S148" s="116" t="s">
        <v>1146</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64"/>
      <c r="Q149" s="116" t="s">
        <v>1167</v>
      </c>
      <c r="R149" s="116" t="s">
        <v>931</v>
      </c>
      <c r="S149" s="116" t="s">
        <v>1146</v>
      </c>
      <c r="T149" s="121"/>
      <c r="U149" s="121"/>
      <c r="V149" s="121"/>
      <c r="W149" s="121"/>
      <c r="X149" s="40" t="s">
        <v>821</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64"/>
      <c r="Q150" s="116" t="s">
        <v>1164</v>
      </c>
      <c r="R150" s="116" t="s">
        <v>931</v>
      </c>
      <c r="S150" s="116" t="s">
        <v>1139</v>
      </c>
      <c r="T150" s="121"/>
      <c r="U150" s="121"/>
      <c r="V150" s="121" t="s">
        <v>822</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64"/>
      <c r="Q151" s="116" t="s">
        <v>1164</v>
      </c>
      <c r="R151" s="116" t="s">
        <v>931</v>
      </c>
      <c r="S151" s="116" t="s">
        <v>1139</v>
      </c>
      <c r="T151" s="121"/>
      <c r="U151" s="121"/>
      <c r="V151" s="121" t="s">
        <v>823</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68"/>
      <c r="Q152" s="116"/>
      <c r="R152" s="116" t="s">
        <v>931</v>
      </c>
      <c r="S152" s="116" t="s">
        <v>1151</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64"/>
      <c r="Q153" s="116" t="s">
        <v>1159</v>
      </c>
      <c r="R153" s="116" t="s">
        <v>931</v>
      </c>
      <c r="S153" s="116" t="s">
        <v>1141</v>
      </c>
      <c r="T153" s="124" t="s">
        <v>824</v>
      </c>
      <c r="U153" s="124" t="s">
        <v>825</v>
      </c>
      <c r="V153" s="40" t="s">
        <v>826</v>
      </c>
      <c r="Y153" s="121" t="s">
        <v>660</v>
      </c>
      <c r="Z153" s="121" t="s">
        <v>661</v>
      </c>
      <c r="AA153" s="121" t="s">
        <v>827</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64"/>
      <c r="Q154" s="116" t="s">
        <v>1188</v>
      </c>
      <c r="R154" s="116" t="s">
        <v>931</v>
      </c>
      <c r="S154" s="116" t="s">
        <v>1141</v>
      </c>
      <c r="T154" s="124" t="s">
        <v>828</v>
      </c>
      <c r="U154" s="134" t="s">
        <v>829</v>
      </c>
      <c r="V154" s="130" t="s">
        <v>826</v>
      </c>
      <c r="W154" s="40" t="s">
        <v>830</v>
      </c>
      <c r="X154" s="40" t="s">
        <v>831</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64"/>
      <c r="Q155" s="116" t="s">
        <v>1154</v>
      </c>
      <c r="R155" s="116" t="s">
        <v>931</v>
      </c>
      <c r="S155" s="116" t="s">
        <v>1141</v>
      </c>
      <c r="T155" s="124" t="s">
        <v>832</v>
      </c>
      <c r="U155" s="124" t="s">
        <v>833</v>
      </c>
      <c r="V155" s="40" t="s">
        <v>834</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63"/>
      <c r="Q156" s="116" t="s">
        <v>1189</v>
      </c>
      <c r="R156" s="116" t="s">
        <v>931</v>
      </c>
      <c r="S156" s="116" t="s">
        <v>1141</v>
      </c>
      <c r="T156" s="117" t="s">
        <v>828</v>
      </c>
      <c r="U156" s="117" t="s">
        <v>835</v>
      </c>
      <c r="V156" s="118" t="s">
        <v>836</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64"/>
      <c r="Q157" s="116" t="s">
        <v>1190</v>
      </c>
      <c r="R157" s="116" t="s">
        <v>931</v>
      </c>
      <c r="S157" s="116" t="s">
        <v>1141</v>
      </c>
      <c r="T157" s="124" t="s">
        <v>837</v>
      </c>
      <c r="U157" s="124" t="s">
        <v>838</v>
      </c>
      <c r="V157" s="40" t="s">
        <v>839</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64"/>
      <c r="Q158" s="116" t="s">
        <v>1179</v>
      </c>
      <c r="R158" s="116" t="s">
        <v>931</v>
      </c>
      <c r="S158" s="116" t="s">
        <v>1140</v>
      </c>
      <c r="T158" s="124" t="s">
        <v>840</v>
      </c>
      <c r="U158" s="121" t="s">
        <v>841</v>
      </c>
      <c r="V158" s="40" t="s">
        <v>842</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66"/>
      <c r="Q159" s="116"/>
      <c r="R159" s="116" t="s">
        <v>931</v>
      </c>
      <c r="S159" s="116" t="s">
        <v>1146</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64"/>
      <c r="Q160" s="116" t="s">
        <v>1179</v>
      </c>
      <c r="R160" s="116" t="s">
        <v>931</v>
      </c>
      <c r="S160" s="116" t="s">
        <v>1140</v>
      </c>
      <c r="T160" s="149"/>
      <c r="U160" s="41" t="s">
        <v>843</v>
      </c>
      <c r="V160" s="40" t="s">
        <v>844</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845</v>
      </c>
      <c r="M161" s="121" t="s">
        <v>846</v>
      </c>
      <c r="N161" s="121" t="s">
        <v>562</v>
      </c>
      <c r="O161" s="122">
        <v>43018</v>
      </c>
      <c r="P161" s="164"/>
      <c r="Q161" s="116" t="s">
        <v>1191</v>
      </c>
      <c r="R161" s="116" t="s">
        <v>931</v>
      </c>
      <c r="S161" s="116" t="s">
        <v>1140</v>
      </c>
      <c r="T161" s="149"/>
      <c r="U161" s="41" t="s">
        <v>847</v>
      </c>
      <c r="V161" s="40" t="s">
        <v>844</v>
      </c>
      <c r="W161" s="40" t="s">
        <v>848</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64"/>
      <c r="Q162" s="116" t="s">
        <v>1178</v>
      </c>
      <c r="R162" s="116" t="s">
        <v>931</v>
      </c>
      <c r="S162" s="116" t="s">
        <v>1141</v>
      </c>
      <c r="T162" s="40" t="s">
        <v>849</v>
      </c>
      <c r="U162" s="124" t="s">
        <v>850</v>
      </c>
      <c r="V162" s="40" t="s">
        <v>851</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852</v>
      </c>
      <c r="P163" s="164"/>
      <c r="Q163" s="116" t="s">
        <v>1164</v>
      </c>
      <c r="R163" s="116" t="s">
        <v>931</v>
      </c>
      <c r="S163" s="116" t="s">
        <v>1140</v>
      </c>
      <c r="T163" s="121"/>
      <c r="U163" s="121"/>
      <c r="V163" s="40" t="s">
        <v>853</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854</v>
      </c>
      <c r="P164" s="164"/>
      <c r="Q164" s="116" t="s">
        <v>1164</v>
      </c>
      <c r="R164" s="116" t="s">
        <v>931</v>
      </c>
      <c r="S164" s="116" t="s">
        <v>1140</v>
      </c>
      <c r="T164" s="121"/>
      <c r="U164" s="121"/>
      <c r="V164" s="40" t="s">
        <v>752</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64"/>
      <c r="Q165" s="116" t="s">
        <v>1179</v>
      </c>
      <c r="R165" s="116" t="s">
        <v>931</v>
      </c>
      <c r="S165" s="116" t="s">
        <v>1140</v>
      </c>
      <c r="T165" s="121"/>
      <c r="U165" s="121" t="s">
        <v>855</v>
      </c>
      <c r="V165" s="141" t="s">
        <v>856</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64"/>
      <c r="Q166" s="116" t="s">
        <v>1164</v>
      </c>
      <c r="R166" s="116" t="s">
        <v>931</v>
      </c>
      <c r="S166" s="116" t="s">
        <v>1139</v>
      </c>
      <c r="T166" s="121"/>
      <c r="U166" s="121"/>
      <c r="V166" s="121" t="s">
        <v>752</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64"/>
      <c r="Q167" s="116" t="s">
        <v>1164</v>
      </c>
      <c r="R167" s="116" t="s">
        <v>931</v>
      </c>
      <c r="S167" s="116" t="s">
        <v>1139</v>
      </c>
      <c r="T167" s="121"/>
      <c r="U167" s="121"/>
      <c r="V167" s="121" t="s">
        <v>857</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858</v>
      </c>
      <c r="E168" s="121"/>
      <c r="F168" s="121">
        <v>4023126</v>
      </c>
      <c r="G168" s="121" t="s">
        <v>204</v>
      </c>
      <c r="H168" s="121">
        <v>59</v>
      </c>
      <c r="I168" s="121" t="s">
        <v>575</v>
      </c>
      <c r="J168" s="121" t="s">
        <v>206</v>
      </c>
      <c r="K168" s="121" t="s">
        <v>241</v>
      </c>
      <c r="L168" s="121" t="s">
        <v>208</v>
      </c>
      <c r="M168" s="121" t="s">
        <v>859</v>
      </c>
      <c r="N168" s="121" t="s">
        <v>858</v>
      </c>
      <c r="O168" s="122">
        <v>31473</v>
      </c>
      <c r="P168" s="164"/>
      <c r="Q168" s="116" t="s">
        <v>1166</v>
      </c>
      <c r="R168" s="116" t="s">
        <v>931</v>
      </c>
      <c r="S168" s="116" t="s">
        <v>1139</v>
      </c>
      <c r="T168" s="121"/>
      <c r="U168" s="121"/>
      <c r="V168" s="121"/>
      <c r="W168" s="40" t="s">
        <v>860</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64"/>
      <c r="Q169" s="116" t="s">
        <v>1181</v>
      </c>
      <c r="R169" s="116" t="s">
        <v>931</v>
      </c>
      <c r="S169" s="116" t="s">
        <v>1139</v>
      </c>
      <c r="T169" s="121"/>
      <c r="U169" s="121"/>
      <c r="V169" s="121"/>
      <c r="W169" s="40" t="s">
        <v>860</v>
      </c>
      <c r="X169" s="40" t="s">
        <v>861</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64"/>
      <c r="Q170" s="116" t="s">
        <v>1167</v>
      </c>
      <c r="R170" s="116" t="s">
        <v>931</v>
      </c>
      <c r="S170" s="116" t="s">
        <v>1146</v>
      </c>
      <c r="T170" s="121"/>
      <c r="U170" s="121"/>
      <c r="V170" s="121"/>
      <c r="W170" s="121"/>
      <c r="X170" s="40" t="s">
        <v>862</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64"/>
      <c r="Q171" s="116" t="s">
        <v>1164</v>
      </c>
      <c r="R171" s="116" t="s">
        <v>931</v>
      </c>
      <c r="S171" s="116" t="s">
        <v>1140</v>
      </c>
      <c r="T171" s="121"/>
      <c r="U171" s="121"/>
      <c r="V171" s="40" t="s">
        <v>863</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64"/>
      <c r="Q172" s="116" t="s">
        <v>1164</v>
      </c>
      <c r="R172" s="116" t="s">
        <v>931</v>
      </c>
      <c r="S172" s="116" t="s">
        <v>1139</v>
      </c>
      <c r="T172" s="121"/>
      <c r="U172" s="121"/>
      <c r="V172" s="121" t="s">
        <v>863</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64"/>
      <c r="Q173" s="116" t="s">
        <v>1179</v>
      </c>
      <c r="R173" s="116" t="s">
        <v>931</v>
      </c>
      <c r="S173" s="116" t="s">
        <v>1140</v>
      </c>
      <c r="T173" s="40" t="s">
        <v>864</v>
      </c>
      <c r="U173" s="121" t="s">
        <v>865</v>
      </c>
      <c r="V173" s="121" t="s">
        <v>863</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65"/>
      <c r="Q174" s="116"/>
      <c r="R174" s="116" t="s">
        <v>931</v>
      </c>
      <c r="S174" s="116" t="s">
        <v>1151</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64"/>
      <c r="Q175" s="116" t="s">
        <v>1192</v>
      </c>
      <c r="R175" s="116" t="s">
        <v>931</v>
      </c>
      <c r="S175" s="116" t="s">
        <v>1140</v>
      </c>
      <c r="T175" s="121"/>
      <c r="U175" s="121"/>
      <c r="V175" s="121" t="s">
        <v>866</v>
      </c>
      <c r="W175" s="40" t="s">
        <v>867</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64"/>
      <c r="Q176" s="116" t="s">
        <v>1166</v>
      </c>
      <c r="R176" s="116" t="s">
        <v>931</v>
      </c>
      <c r="S176" s="116" t="s">
        <v>1139</v>
      </c>
      <c r="T176" s="121"/>
      <c r="U176" s="121"/>
      <c r="V176" s="121"/>
      <c r="W176" s="40" t="s">
        <v>868</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64"/>
      <c r="Q177" s="116" t="s">
        <v>660</v>
      </c>
      <c r="R177" s="116" t="s">
        <v>931</v>
      </c>
      <c r="S177" s="116" t="s">
        <v>1146</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64"/>
      <c r="Q178" s="116" t="s">
        <v>1167</v>
      </c>
      <c r="R178" s="116" t="s">
        <v>931</v>
      </c>
      <c r="S178" s="116" t="s">
        <v>1146</v>
      </c>
      <c r="T178" s="121"/>
      <c r="U178" s="121"/>
      <c r="V178" s="121"/>
      <c r="W178" s="121"/>
      <c r="X178" s="121" t="s">
        <v>1205</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64"/>
      <c r="Q179" s="116" t="s">
        <v>660</v>
      </c>
      <c r="R179" s="116" t="s">
        <v>931</v>
      </c>
      <c r="S179" s="116" t="s">
        <v>1146</v>
      </c>
      <c r="T179" s="121"/>
      <c r="U179" s="121"/>
      <c r="V179" s="121"/>
      <c r="W179" s="121"/>
      <c r="X179" s="121"/>
      <c r="Y179" s="121" t="s">
        <v>660</v>
      </c>
      <c r="Z179" s="121" t="s">
        <v>759</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64"/>
      <c r="Q180" s="116" t="s">
        <v>660</v>
      </c>
      <c r="R180" s="116" t="s">
        <v>931</v>
      </c>
      <c r="S180" s="116" t="s">
        <v>1146</v>
      </c>
      <c r="T180" s="121"/>
      <c r="U180" s="121"/>
      <c r="V180" s="121"/>
      <c r="W180" s="121"/>
      <c r="X180" s="121"/>
      <c r="Y180" s="121" t="s">
        <v>660</v>
      </c>
      <c r="Z180" s="121" t="s">
        <v>759</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65"/>
      <c r="Q181" s="116"/>
      <c r="R181" s="116" t="s">
        <v>931</v>
      </c>
      <c r="S181" s="116" t="s">
        <v>1151</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869</v>
      </c>
      <c r="P182" s="164"/>
      <c r="Q182" s="116" t="s">
        <v>1175</v>
      </c>
      <c r="R182" s="116" t="s">
        <v>931</v>
      </c>
      <c r="S182" s="116" t="s">
        <v>1140</v>
      </c>
      <c r="T182" s="121"/>
      <c r="U182" s="134"/>
      <c r="V182" s="40" t="s">
        <v>870</v>
      </c>
      <c r="W182" s="40" t="s">
        <v>871</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64"/>
      <c r="Q183" s="116" t="s">
        <v>1199</v>
      </c>
      <c r="R183" s="116" t="s">
        <v>931</v>
      </c>
      <c r="S183" s="116" t="s">
        <v>1140</v>
      </c>
      <c r="T183" s="121"/>
      <c r="U183" s="121" t="s">
        <v>872</v>
      </c>
      <c r="V183" s="121" t="s">
        <v>873</v>
      </c>
      <c r="W183" s="40" t="s">
        <v>874</v>
      </c>
      <c r="X183" s="40" t="s">
        <v>875</v>
      </c>
      <c r="Y183" s="121" t="s">
        <v>660</v>
      </c>
      <c r="Z183" s="121" t="s">
        <v>661</v>
      </c>
      <c r="AA183" s="121" t="s">
        <v>1158</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876</v>
      </c>
      <c r="P184" s="164"/>
      <c r="Q184" s="116" t="s">
        <v>660</v>
      </c>
      <c r="R184" s="116" t="s">
        <v>931</v>
      </c>
      <c r="S184" s="116" t="s">
        <v>1146</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64"/>
      <c r="Q185" s="116" t="s">
        <v>1174</v>
      </c>
      <c r="R185" s="116" t="s">
        <v>931</v>
      </c>
      <c r="S185" s="116" t="s">
        <v>1140</v>
      </c>
      <c r="T185" s="121"/>
      <c r="U185" s="121"/>
      <c r="V185" s="121" t="s">
        <v>877</v>
      </c>
      <c r="W185" s="121" t="s">
        <v>878</v>
      </c>
      <c r="X185" s="121" t="s">
        <v>879</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64"/>
      <c r="Q186" s="116" t="s">
        <v>1167</v>
      </c>
      <c r="R186" s="116" t="s">
        <v>931</v>
      </c>
      <c r="S186" s="116" t="s">
        <v>1146</v>
      </c>
      <c r="T186" s="121"/>
      <c r="U186" s="121"/>
      <c r="V186" s="121"/>
      <c r="W186" s="121"/>
      <c r="X186" s="121" t="s">
        <v>880</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64"/>
      <c r="Q187" s="116" t="s">
        <v>1193</v>
      </c>
      <c r="R187" s="116" t="s">
        <v>931</v>
      </c>
      <c r="S187" s="116" t="s">
        <v>1139</v>
      </c>
      <c r="T187" s="121"/>
      <c r="U187" s="121"/>
      <c r="V187" s="40" t="s">
        <v>881</v>
      </c>
      <c r="W187" s="121" t="s">
        <v>882</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65"/>
      <c r="Q188" s="116"/>
      <c r="R188" s="116" t="s">
        <v>931</v>
      </c>
      <c r="S188" s="116" t="s">
        <v>1151</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63"/>
      <c r="Q189" s="116" t="s">
        <v>1178</v>
      </c>
      <c r="R189" s="116" t="s">
        <v>931</v>
      </c>
      <c r="S189" s="116" t="s">
        <v>1141</v>
      </c>
      <c r="T189" s="140" t="s">
        <v>824</v>
      </c>
      <c r="U189" s="140" t="s">
        <v>883</v>
      </c>
      <c r="V189" s="140" t="s">
        <v>884</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63"/>
      <c r="Q190" s="116" t="s">
        <v>1178</v>
      </c>
      <c r="R190" s="116" t="s">
        <v>931</v>
      </c>
      <c r="S190" s="116" t="s">
        <v>1141</v>
      </c>
      <c r="T190" s="140" t="s">
        <v>885</v>
      </c>
      <c r="U190" s="140" t="s">
        <v>886</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64"/>
      <c r="Q191" s="116" t="s">
        <v>1178</v>
      </c>
      <c r="R191" s="116" t="s">
        <v>931</v>
      </c>
      <c r="S191" s="116" t="s">
        <v>1141</v>
      </c>
      <c r="T191" s="41" t="s">
        <v>887</v>
      </c>
      <c r="U191" s="41" t="s">
        <v>841</v>
      </c>
      <c r="V191" s="41" t="s">
        <v>888</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64"/>
      <c r="Q192" s="116" t="s">
        <v>1194</v>
      </c>
      <c r="R192" s="116" t="s">
        <v>931</v>
      </c>
      <c r="S192" s="116" t="s">
        <v>1140</v>
      </c>
      <c r="T192" s="132"/>
      <c r="U192" s="40" t="s">
        <v>889</v>
      </c>
      <c r="V192" s="132" t="s">
        <v>890</v>
      </c>
      <c r="W192" s="40" t="s">
        <v>891</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64"/>
      <c r="Q193" s="116" t="s">
        <v>1195</v>
      </c>
      <c r="R193" s="116" t="s">
        <v>931</v>
      </c>
      <c r="S193" s="116" t="s">
        <v>1140</v>
      </c>
      <c r="T193" s="121"/>
      <c r="U193" s="121" t="s">
        <v>892</v>
      </c>
      <c r="V193" s="121" t="s">
        <v>893</v>
      </c>
      <c r="W193" s="121"/>
      <c r="X193" s="121"/>
      <c r="Y193" s="121" t="s">
        <v>660</v>
      </c>
      <c r="Z193" s="121" t="s">
        <v>661</v>
      </c>
      <c r="AA193" s="121" t="s">
        <v>894</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64"/>
      <c r="Q194" s="116" t="s">
        <v>1178</v>
      </c>
      <c r="R194" s="116" t="s">
        <v>931</v>
      </c>
      <c r="S194" s="116" t="s">
        <v>1141</v>
      </c>
      <c r="T194" s="121" t="s">
        <v>951</v>
      </c>
      <c r="U194" s="121" t="s">
        <v>841</v>
      </c>
      <c r="V194" s="121" t="s">
        <v>888</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64"/>
      <c r="Q195" s="116" t="s">
        <v>660</v>
      </c>
      <c r="R195" s="116" t="s">
        <v>931</v>
      </c>
      <c r="S195" s="116" t="s">
        <v>1146</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64"/>
      <c r="Q196" s="116" t="s">
        <v>1179</v>
      </c>
      <c r="R196" s="116" t="s">
        <v>931</v>
      </c>
      <c r="S196" s="116" t="s">
        <v>1140</v>
      </c>
      <c r="T196" s="121"/>
      <c r="U196" s="121" t="s">
        <v>895</v>
      </c>
      <c r="V196" s="121" t="s">
        <v>896</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788</v>
      </c>
      <c r="P197" s="164"/>
      <c r="Q197" s="116" t="s">
        <v>1164</v>
      </c>
      <c r="R197" s="116" t="s">
        <v>931</v>
      </c>
      <c r="S197" s="116" t="s">
        <v>1140</v>
      </c>
      <c r="T197" s="121"/>
      <c r="U197" s="121"/>
      <c r="V197" s="121" t="s">
        <v>897</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44780</v>
      </c>
      <c r="P198" s="164"/>
      <c r="Q198" s="116" t="s">
        <v>1195</v>
      </c>
      <c r="R198" s="116" t="s">
        <v>931</v>
      </c>
      <c r="S198" s="116" t="s">
        <v>1140</v>
      </c>
      <c r="T198" s="121"/>
      <c r="U198" s="121" t="s">
        <v>898</v>
      </c>
      <c r="V198" s="121" t="s">
        <v>899</v>
      </c>
      <c r="W198" s="121"/>
      <c r="X198" s="121"/>
      <c r="Y198" s="121" t="s">
        <v>660</v>
      </c>
      <c r="Z198" s="121" t="s">
        <v>661</v>
      </c>
      <c r="AA198" s="121" t="s">
        <v>894</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64"/>
      <c r="Q199" s="116" t="s">
        <v>1164</v>
      </c>
      <c r="R199" s="116" t="s">
        <v>931</v>
      </c>
      <c r="S199" s="116" t="s">
        <v>1139</v>
      </c>
      <c r="T199" s="121"/>
      <c r="U199" s="121"/>
      <c r="V199" s="121" t="s">
        <v>900</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901</v>
      </c>
      <c r="E200" s="135"/>
      <c r="F200" s="121">
        <v>25194499</v>
      </c>
      <c r="G200" s="121" t="s">
        <v>214</v>
      </c>
      <c r="H200" s="121">
        <v>37</v>
      </c>
      <c r="I200" s="135" t="s">
        <v>642</v>
      </c>
      <c r="J200" s="135" t="s">
        <v>620</v>
      </c>
      <c r="K200" s="121" t="s">
        <v>233</v>
      </c>
      <c r="L200" s="121" t="s">
        <v>208</v>
      </c>
      <c r="M200" s="122">
        <v>46757</v>
      </c>
      <c r="N200" s="135" t="s">
        <v>901</v>
      </c>
      <c r="O200" s="122">
        <v>45693</v>
      </c>
      <c r="P200" s="164"/>
      <c r="Q200" s="116" t="s">
        <v>1179</v>
      </c>
      <c r="R200" s="116" t="s">
        <v>931</v>
      </c>
      <c r="S200" s="116" t="s">
        <v>1140</v>
      </c>
      <c r="T200" s="121"/>
      <c r="U200" s="121" t="s">
        <v>902</v>
      </c>
      <c r="V200" s="121" t="s">
        <v>903</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64"/>
      <c r="Q201" s="116" t="s">
        <v>1181</v>
      </c>
      <c r="R201" s="116" t="s">
        <v>931</v>
      </c>
      <c r="S201" s="116" t="s">
        <v>1139</v>
      </c>
      <c r="T201" s="121"/>
      <c r="U201" s="121"/>
      <c r="V201" s="121"/>
      <c r="W201" s="121" t="s">
        <v>860</v>
      </c>
      <c r="X201" s="121" t="s">
        <v>904</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905</v>
      </c>
      <c r="P202" s="164"/>
      <c r="Q202" s="116" t="s">
        <v>1164</v>
      </c>
      <c r="R202" s="116" t="s">
        <v>933</v>
      </c>
      <c r="S202" s="116" t="s">
        <v>1140</v>
      </c>
      <c r="T202" s="121"/>
      <c r="U202" s="121"/>
      <c r="V202" s="121" t="s">
        <v>752</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69"/>
      <c r="Q203" s="116" t="s">
        <v>1164</v>
      </c>
      <c r="R203" s="116" t="s">
        <v>931</v>
      </c>
      <c r="S203" s="116" t="s">
        <v>1139</v>
      </c>
      <c r="T203" s="153"/>
      <c r="U203" s="153"/>
      <c r="V203" s="153" t="s">
        <v>906</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70"/>
      <c r="Q204" s="116" t="s">
        <v>1164</v>
      </c>
      <c r="R204" s="116" t="s">
        <v>931</v>
      </c>
      <c r="S204" s="116" t="s">
        <v>1139</v>
      </c>
      <c r="T204" s="153"/>
      <c r="U204" s="153"/>
      <c r="V204" s="153" t="s">
        <v>907</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70"/>
      <c r="Q205" s="116" t="s">
        <v>939</v>
      </c>
      <c r="R205" s="116" t="s">
        <v>931</v>
      </c>
      <c r="S205" s="116" t="s">
        <v>1139</v>
      </c>
      <c r="T205" s="153"/>
      <c r="U205" s="153"/>
      <c r="V205" s="153" t="s">
        <v>900</v>
      </c>
      <c r="W205" s="153"/>
      <c r="X205" s="153"/>
      <c r="Y205" s="153"/>
      <c r="Z205" s="153"/>
      <c r="AA205" s="153"/>
      <c r="AB205" s="153"/>
      <c r="AC205" s="153"/>
      <c r="AD205" s="121" t="s">
        <v>330</v>
      </c>
      <c r="AE205" s="124" t="s">
        <v>363</v>
      </c>
      <c r="AF205" s="156"/>
    </row>
    <row r="207" spans="1:32" s="113" customFormat="1">
      <c r="F207" s="157" t="s">
        <v>649</v>
      </c>
      <c r="P207" s="171"/>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64"/>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64"/>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64"/>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908</v>
      </c>
      <c r="J211" s="121" t="s">
        <v>270</v>
      </c>
      <c r="K211" s="121" t="s">
        <v>271</v>
      </c>
      <c r="L211" s="121" t="s">
        <v>208</v>
      </c>
      <c r="M211" s="121" t="s">
        <v>272</v>
      </c>
      <c r="N211" s="121"/>
      <c r="O211" s="121"/>
      <c r="P211" s="164"/>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64"/>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64"/>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64"/>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72"/>
      <c r="Q215" s="158"/>
      <c r="R215" s="158"/>
      <c r="S215" s="158"/>
      <c r="T215" s="158"/>
      <c r="U215" s="158"/>
      <c r="V215" s="158"/>
      <c r="W215" s="158"/>
      <c r="X215" s="158"/>
      <c r="Y215" s="158"/>
      <c r="Z215" s="158"/>
      <c r="AA215" s="158"/>
      <c r="AB215" s="158"/>
      <c r="AC215" s="158"/>
      <c r="AD215" s="158"/>
      <c r="AE215" s="158"/>
      <c r="AF215" s="141"/>
    </row>
    <row r="216" spans="1:32">
      <c r="C216" s="141" t="s">
        <v>909</v>
      </c>
      <c r="D216" s="158" t="s">
        <v>910</v>
      </c>
      <c r="E216" s="158"/>
      <c r="F216" s="141" t="s">
        <v>911</v>
      </c>
    </row>
    <row r="217" spans="1:32">
      <c r="C217" s="40">
        <v>1</v>
      </c>
      <c r="D217" s="158" t="s">
        <v>912</v>
      </c>
      <c r="E217" s="158"/>
      <c r="F217" s="40">
        <v>86</v>
      </c>
    </row>
    <row r="218" spans="1:32">
      <c r="C218" s="40">
        <v>2</v>
      </c>
      <c r="D218" s="158" t="s">
        <v>913</v>
      </c>
      <c r="E218" s="158"/>
      <c r="F218" s="40">
        <v>77</v>
      </c>
    </row>
    <row r="219" spans="1:32">
      <c r="C219" s="40">
        <v>3</v>
      </c>
      <c r="D219" s="158" t="s">
        <v>914</v>
      </c>
      <c r="E219" s="158"/>
      <c r="F219" s="40">
        <v>25</v>
      </c>
    </row>
    <row r="220" spans="1:32">
      <c r="D220" s="158" t="s">
        <v>915</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1091</v>
      </c>
    </row>
    <row r="3" spans="1:16384" s="48" customFormat="1">
      <c r="A3" s="31" t="s">
        <v>186</v>
      </c>
      <c r="B3" s="31" t="s">
        <v>186</v>
      </c>
      <c r="C3" s="31" t="s">
        <v>940</v>
      </c>
      <c r="D3" s="31"/>
      <c r="E3" s="31" t="s">
        <v>920</v>
      </c>
      <c r="F3" s="31" t="s">
        <v>928</v>
      </c>
      <c r="G3" s="31" t="s">
        <v>941</v>
      </c>
      <c r="H3" s="31" t="s">
        <v>942</v>
      </c>
      <c r="I3" s="46" t="s">
        <v>938</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1075</v>
      </c>
      <c r="D4" s="78" t="s">
        <v>1103</v>
      </c>
      <c r="E4" s="42" t="s">
        <v>210</v>
      </c>
      <c r="F4" s="41">
        <v>30</v>
      </c>
      <c r="G4" s="41" t="s">
        <v>1076</v>
      </c>
      <c r="H4" s="42" t="s">
        <v>929</v>
      </c>
      <c r="I4" s="41">
        <v>100</v>
      </c>
    </row>
    <row r="5" spans="1:16384">
      <c r="A5" s="41">
        <v>2</v>
      </c>
      <c r="B5" s="41" t="str">
        <f>CONCATENATE("KIP ",A5)</f>
        <v>KIP 2</v>
      </c>
      <c r="C5" s="83" t="s">
        <v>27</v>
      </c>
      <c r="D5" s="84" t="s">
        <v>1104</v>
      </c>
      <c r="E5" s="42" t="s">
        <v>210</v>
      </c>
      <c r="F5" s="41">
        <v>20</v>
      </c>
      <c r="G5" s="41" t="s">
        <v>978</v>
      </c>
      <c r="H5" s="42" t="s">
        <v>929</v>
      </c>
      <c r="I5" s="41">
        <v>80</v>
      </c>
    </row>
    <row r="6" spans="1:16384">
      <c r="A6" s="41">
        <v>2</v>
      </c>
      <c r="B6" s="41" t="str">
        <f t="shared" ref="B6:B35" si="0">CONCATENATE("KIP ",A6)</f>
        <v>KIP 2</v>
      </c>
      <c r="C6" s="83" t="s">
        <v>1077</v>
      </c>
      <c r="D6" s="84" t="s">
        <v>1105</v>
      </c>
      <c r="E6" s="42" t="s">
        <v>210</v>
      </c>
      <c r="F6" s="41">
        <v>20</v>
      </c>
      <c r="G6" s="41" t="s">
        <v>978</v>
      </c>
      <c r="H6" s="42" t="s">
        <v>929</v>
      </c>
      <c r="I6" s="41">
        <v>80</v>
      </c>
    </row>
    <row r="7" spans="1:16384">
      <c r="A7" s="41">
        <v>2</v>
      </c>
      <c r="B7" s="41" t="str">
        <f t="shared" si="0"/>
        <v>KIP 2</v>
      </c>
      <c r="C7" s="83" t="s">
        <v>1078</v>
      </c>
      <c r="D7" s="84" t="s">
        <v>1106</v>
      </c>
      <c r="E7" s="42" t="s">
        <v>210</v>
      </c>
      <c r="F7" s="41">
        <v>15</v>
      </c>
      <c r="G7" s="41" t="s">
        <v>978</v>
      </c>
      <c r="H7" s="42" t="s">
        <v>929</v>
      </c>
      <c r="I7" s="41">
        <v>80</v>
      </c>
    </row>
    <row r="8" spans="1:16384">
      <c r="A8" s="41">
        <v>2</v>
      </c>
      <c r="B8" s="41" t="str">
        <f t="shared" si="0"/>
        <v>KIP 2</v>
      </c>
      <c r="C8" s="83" t="s">
        <v>1079</v>
      </c>
      <c r="D8" s="84" t="s">
        <v>1107</v>
      </c>
      <c r="E8" s="42" t="s">
        <v>224</v>
      </c>
      <c r="F8" s="41" t="s">
        <v>981</v>
      </c>
      <c r="G8" s="41" t="s">
        <v>1080</v>
      </c>
      <c r="H8" s="42" t="s">
        <v>929</v>
      </c>
      <c r="I8" s="42" t="s">
        <v>925</v>
      </c>
    </row>
    <row r="9" spans="1:16384">
      <c r="A9" s="41">
        <v>3</v>
      </c>
      <c r="B9" s="41" t="str">
        <f t="shared" si="0"/>
        <v>KIP 3</v>
      </c>
      <c r="C9" s="79" t="s">
        <v>32</v>
      </c>
      <c r="D9" s="80" t="s">
        <v>1110</v>
      </c>
      <c r="E9" s="42" t="s">
        <v>210</v>
      </c>
      <c r="F9" s="41">
        <v>15</v>
      </c>
      <c r="G9" s="41" t="s">
        <v>977</v>
      </c>
      <c r="H9" s="42" t="s">
        <v>929</v>
      </c>
      <c r="I9" s="42" t="s">
        <v>925</v>
      </c>
    </row>
    <row r="10" spans="1:16384">
      <c r="A10" s="41">
        <v>3</v>
      </c>
      <c r="B10" s="41" t="str">
        <f t="shared" si="0"/>
        <v>KIP 3</v>
      </c>
      <c r="C10" s="79" t="s">
        <v>1081</v>
      </c>
      <c r="D10" s="80" t="s">
        <v>1111</v>
      </c>
      <c r="E10" s="42" t="s">
        <v>210</v>
      </c>
      <c r="F10" s="41">
        <v>15</v>
      </c>
      <c r="G10" s="41" t="s">
        <v>977</v>
      </c>
      <c r="H10" s="42" t="s">
        <v>929</v>
      </c>
      <c r="I10" s="42" t="s">
        <v>925</v>
      </c>
    </row>
    <row r="11" spans="1:16384">
      <c r="A11" s="41">
        <v>3</v>
      </c>
      <c r="B11" s="41" t="str">
        <f t="shared" si="0"/>
        <v>KIP 3</v>
      </c>
      <c r="C11" s="79" t="s">
        <v>1082</v>
      </c>
      <c r="D11" s="80" t="s">
        <v>1112</v>
      </c>
      <c r="E11" s="42" t="s">
        <v>210</v>
      </c>
      <c r="F11" s="41">
        <v>15</v>
      </c>
      <c r="G11" s="41" t="s">
        <v>977</v>
      </c>
      <c r="H11" s="42" t="s">
        <v>929</v>
      </c>
      <c r="I11" s="42" t="s">
        <v>925</v>
      </c>
    </row>
    <row r="12" spans="1:16384">
      <c r="A12" s="41">
        <v>3</v>
      </c>
      <c r="B12" s="41" t="str">
        <f t="shared" si="0"/>
        <v>KIP 3</v>
      </c>
      <c r="C12" s="79" t="s">
        <v>62</v>
      </c>
      <c r="D12" s="80" t="s">
        <v>1113</v>
      </c>
      <c r="E12" s="42" t="s">
        <v>210</v>
      </c>
      <c r="F12" s="41">
        <v>15</v>
      </c>
      <c r="G12" s="41" t="s">
        <v>977</v>
      </c>
      <c r="H12" s="42" t="s">
        <v>929</v>
      </c>
      <c r="I12" s="42" t="s">
        <v>925</v>
      </c>
    </row>
    <row r="13" spans="1:16384">
      <c r="A13" s="41">
        <v>3</v>
      </c>
      <c r="B13" s="41" t="str">
        <f t="shared" si="0"/>
        <v>KIP 3</v>
      </c>
      <c r="C13" s="79" t="s">
        <v>1083</v>
      </c>
      <c r="D13" s="80" t="s">
        <v>1114</v>
      </c>
      <c r="E13" s="42" t="s">
        <v>210</v>
      </c>
      <c r="F13" s="41">
        <v>15</v>
      </c>
      <c r="G13" s="41" t="s">
        <v>977</v>
      </c>
      <c r="H13" s="42" t="s">
        <v>929</v>
      </c>
      <c r="I13" s="42" t="s">
        <v>925</v>
      </c>
    </row>
    <row r="14" spans="1:16384">
      <c r="A14" s="41">
        <v>3</v>
      </c>
      <c r="B14" s="41" t="str">
        <f t="shared" si="0"/>
        <v>KIP 3</v>
      </c>
      <c r="C14" s="79" t="s">
        <v>1084</v>
      </c>
      <c r="D14" s="80" t="s">
        <v>1115</v>
      </c>
      <c r="E14" s="42" t="s">
        <v>210</v>
      </c>
      <c r="F14" s="41">
        <v>15</v>
      </c>
      <c r="G14" s="41" t="s">
        <v>977</v>
      </c>
      <c r="H14" s="42" t="s">
        <v>929</v>
      </c>
      <c r="I14" s="42" t="s">
        <v>925</v>
      </c>
    </row>
    <row r="15" spans="1:16384">
      <c r="A15" s="41">
        <v>3</v>
      </c>
      <c r="B15" s="41" t="str">
        <f t="shared" si="0"/>
        <v>KIP 3</v>
      </c>
      <c r="C15" s="79" t="s">
        <v>1085</v>
      </c>
      <c r="D15" s="80" t="s">
        <v>1116</v>
      </c>
      <c r="E15" s="42" t="s">
        <v>210</v>
      </c>
      <c r="F15" s="41">
        <v>15</v>
      </c>
      <c r="G15" s="41" t="s">
        <v>977</v>
      </c>
      <c r="H15" s="42" t="s">
        <v>929</v>
      </c>
      <c r="I15" s="42" t="s">
        <v>925</v>
      </c>
    </row>
    <row r="16" spans="1:16384">
      <c r="A16" s="41">
        <v>3</v>
      </c>
      <c r="B16" s="41" t="str">
        <f t="shared" si="0"/>
        <v>KIP 3</v>
      </c>
      <c r="C16" s="79" t="s">
        <v>1086</v>
      </c>
      <c r="D16" s="80" t="s">
        <v>1117</v>
      </c>
      <c r="E16" s="42" t="s">
        <v>210</v>
      </c>
      <c r="F16" s="41">
        <v>15</v>
      </c>
      <c r="G16" s="41" t="s">
        <v>977</v>
      </c>
      <c r="H16" s="42" t="s">
        <v>929</v>
      </c>
      <c r="I16" s="42" t="s">
        <v>925</v>
      </c>
    </row>
    <row r="17" spans="1:9">
      <c r="A17" s="41">
        <v>3</v>
      </c>
      <c r="B17" s="41" t="str">
        <f t="shared" si="0"/>
        <v>KIP 3</v>
      </c>
      <c r="C17" s="79" t="s">
        <v>1087</v>
      </c>
      <c r="D17" s="80" t="s">
        <v>1118</v>
      </c>
      <c r="E17" s="42" t="s">
        <v>210</v>
      </c>
      <c r="F17" s="41">
        <v>15</v>
      </c>
      <c r="G17" s="41" t="s">
        <v>977</v>
      </c>
      <c r="H17" s="42" t="s">
        <v>929</v>
      </c>
      <c r="I17" s="42" t="s">
        <v>925</v>
      </c>
    </row>
    <row r="18" spans="1:9">
      <c r="A18" s="41">
        <v>3</v>
      </c>
      <c r="B18" s="41" t="str">
        <f t="shared" si="0"/>
        <v>KIP 3</v>
      </c>
      <c r="C18" s="79" t="s">
        <v>1088</v>
      </c>
      <c r="D18" s="80" t="s">
        <v>1119</v>
      </c>
      <c r="E18" s="42" t="s">
        <v>210</v>
      </c>
      <c r="F18" s="41">
        <v>15</v>
      </c>
      <c r="G18" s="41" t="s">
        <v>977</v>
      </c>
      <c r="H18" s="42" t="s">
        <v>929</v>
      </c>
      <c r="I18" s="42" t="s">
        <v>925</v>
      </c>
    </row>
    <row r="19" spans="1:9">
      <c r="A19" s="41">
        <v>3</v>
      </c>
      <c r="B19" s="41" t="str">
        <f t="shared" si="0"/>
        <v>KIP 3</v>
      </c>
      <c r="C19" s="79" t="s">
        <v>107</v>
      </c>
      <c r="D19" s="80" t="s">
        <v>1120</v>
      </c>
      <c r="E19" s="42" t="s">
        <v>210</v>
      </c>
      <c r="F19" s="41">
        <v>15</v>
      </c>
      <c r="G19" s="41" t="s">
        <v>977</v>
      </c>
      <c r="H19" s="42" t="s">
        <v>929</v>
      </c>
      <c r="I19" s="42" t="s">
        <v>925</v>
      </c>
    </row>
    <row r="20" spans="1:9">
      <c r="A20" s="41">
        <v>4</v>
      </c>
      <c r="B20" s="41" t="str">
        <f t="shared" si="0"/>
        <v>KIP 4</v>
      </c>
      <c r="C20" s="91" t="s">
        <v>35</v>
      </c>
      <c r="D20" s="92" t="s">
        <v>1121</v>
      </c>
      <c r="E20" s="42" t="s">
        <v>210</v>
      </c>
      <c r="F20" s="41">
        <v>5</v>
      </c>
      <c r="G20" s="41" t="s">
        <v>975</v>
      </c>
      <c r="H20" s="42" t="s">
        <v>930</v>
      </c>
      <c r="I20" s="42" t="s">
        <v>925</v>
      </c>
    </row>
    <row r="21" spans="1:9">
      <c r="A21" s="41">
        <v>7</v>
      </c>
      <c r="B21" s="41" t="str">
        <f t="shared" si="0"/>
        <v>KIP 7</v>
      </c>
      <c r="C21" s="88" t="s">
        <v>572</v>
      </c>
      <c r="D21" s="89" t="s">
        <v>1122</v>
      </c>
      <c r="E21" s="42" t="s">
        <v>939</v>
      </c>
      <c r="F21" s="41" t="s">
        <v>925</v>
      </c>
      <c r="G21" s="41" t="s">
        <v>927</v>
      </c>
      <c r="H21" s="42" t="s">
        <v>962</v>
      </c>
      <c r="I21" s="42" t="s">
        <v>925</v>
      </c>
    </row>
    <row r="22" spans="1:9">
      <c r="A22" s="41">
        <v>6</v>
      </c>
      <c r="B22" s="41" t="str">
        <f t="shared" si="0"/>
        <v>KIP 6</v>
      </c>
      <c r="C22" s="88" t="s">
        <v>1089</v>
      </c>
      <c r="D22" s="89" t="s">
        <v>1123</v>
      </c>
      <c r="E22" s="42" t="s">
        <v>939</v>
      </c>
      <c r="F22" s="41" t="s">
        <v>981</v>
      </c>
      <c r="G22" s="41" t="s">
        <v>955</v>
      </c>
      <c r="H22" s="42" t="s">
        <v>962</v>
      </c>
      <c r="I22" s="42" t="s">
        <v>925</v>
      </c>
    </row>
    <row r="23" spans="1:9">
      <c r="A23" s="41">
        <v>5</v>
      </c>
      <c r="B23" s="41" t="str">
        <f t="shared" si="0"/>
        <v>KIP 5</v>
      </c>
      <c r="C23" s="88" t="s">
        <v>37</v>
      </c>
      <c r="D23" s="89" t="s">
        <v>1124</v>
      </c>
      <c r="E23" s="42" t="s">
        <v>943</v>
      </c>
      <c r="F23" s="41" t="s">
        <v>981</v>
      </c>
      <c r="G23" s="41" t="s">
        <v>976</v>
      </c>
      <c r="H23" s="42" t="s">
        <v>930</v>
      </c>
      <c r="I23" s="42" t="s">
        <v>925</v>
      </c>
    </row>
    <row r="24" spans="1:9">
      <c r="A24" s="41">
        <v>4</v>
      </c>
      <c r="B24" s="41" t="str">
        <f t="shared" si="0"/>
        <v>KIP 4</v>
      </c>
      <c r="C24" s="88" t="s">
        <v>36</v>
      </c>
      <c r="D24" s="89" t="s">
        <v>1125</v>
      </c>
      <c r="E24" s="42" t="s">
        <v>210</v>
      </c>
      <c r="F24" s="41">
        <v>5</v>
      </c>
      <c r="G24" s="41" t="s">
        <v>975</v>
      </c>
      <c r="H24" s="42" t="s">
        <v>930</v>
      </c>
      <c r="I24" s="42" t="s">
        <v>925</v>
      </c>
    </row>
    <row r="25" spans="1:9">
      <c r="A25" s="41">
        <v>3</v>
      </c>
      <c r="B25" s="41" t="str">
        <f t="shared" si="0"/>
        <v>KIP 3</v>
      </c>
      <c r="C25" s="88" t="s">
        <v>47</v>
      </c>
      <c r="D25" s="89" t="s">
        <v>1126</v>
      </c>
      <c r="E25" s="42" t="s">
        <v>210</v>
      </c>
      <c r="F25" s="41">
        <v>15</v>
      </c>
      <c r="G25" s="41" t="s">
        <v>977</v>
      </c>
      <c r="H25" s="42" t="s">
        <v>930</v>
      </c>
      <c r="I25" s="41">
        <v>50</v>
      </c>
    </row>
    <row r="26" spans="1:9">
      <c r="A26" s="41">
        <v>2</v>
      </c>
      <c r="B26" s="41" t="str">
        <f t="shared" si="0"/>
        <v>KIP 2</v>
      </c>
      <c r="C26" s="88" t="s">
        <v>28</v>
      </c>
      <c r="D26" s="89" t="s">
        <v>1127</v>
      </c>
      <c r="E26" s="42" t="s">
        <v>210</v>
      </c>
      <c r="F26" s="41">
        <v>20</v>
      </c>
      <c r="G26" s="41" t="s">
        <v>978</v>
      </c>
      <c r="H26" s="42" t="s">
        <v>929</v>
      </c>
      <c r="I26" s="41">
        <v>80</v>
      </c>
    </row>
    <row r="27" spans="1:9">
      <c r="A27" s="41">
        <v>9</v>
      </c>
      <c r="B27" s="41" t="str">
        <f t="shared" si="0"/>
        <v>KIP 9</v>
      </c>
      <c r="C27" s="85" t="s">
        <v>957</v>
      </c>
      <c r="D27" s="86" t="s">
        <v>1128</v>
      </c>
      <c r="E27" s="42" t="s">
        <v>243</v>
      </c>
      <c r="F27" s="41" t="s">
        <v>956</v>
      </c>
      <c r="G27" s="41" t="s">
        <v>927</v>
      </c>
      <c r="H27" s="42" t="s">
        <v>925</v>
      </c>
      <c r="I27" s="42" t="s">
        <v>925</v>
      </c>
    </row>
    <row r="28" spans="1:9">
      <c r="A28" s="41">
        <v>8</v>
      </c>
      <c r="B28" s="41" t="str">
        <f t="shared" si="0"/>
        <v>KIP 8</v>
      </c>
      <c r="C28" s="85" t="s">
        <v>945</v>
      </c>
      <c r="D28" s="86" t="s">
        <v>1108</v>
      </c>
      <c r="E28" s="42" t="s">
        <v>243</v>
      </c>
      <c r="F28" s="41" t="s">
        <v>956</v>
      </c>
      <c r="G28" s="41" t="s">
        <v>955</v>
      </c>
      <c r="H28" s="42" t="s">
        <v>925</v>
      </c>
      <c r="I28" s="42" t="s">
        <v>925</v>
      </c>
    </row>
    <row r="29" spans="1:9">
      <c r="A29" s="41">
        <v>7</v>
      </c>
      <c r="B29" s="41" t="str">
        <f t="shared" si="0"/>
        <v>KIP 7</v>
      </c>
      <c r="C29" s="85" t="s">
        <v>39</v>
      </c>
      <c r="D29" s="86" t="s">
        <v>1109</v>
      </c>
      <c r="E29" s="42" t="s">
        <v>243</v>
      </c>
      <c r="F29" s="41" t="s">
        <v>956</v>
      </c>
      <c r="G29" s="41" t="s">
        <v>923</v>
      </c>
      <c r="H29" s="42" t="s">
        <v>925</v>
      </c>
      <c r="I29" s="42" t="s">
        <v>925</v>
      </c>
    </row>
    <row r="30" spans="1:9">
      <c r="A30" s="41">
        <v>12</v>
      </c>
      <c r="B30" s="41" t="str">
        <f t="shared" si="0"/>
        <v>KIP 12</v>
      </c>
      <c r="C30" s="87" t="s">
        <v>958</v>
      </c>
      <c r="D30" s="90" t="s">
        <v>1129</v>
      </c>
      <c r="E30" s="42" t="s">
        <v>660</v>
      </c>
      <c r="F30" s="42" t="s">
        <v>925</v>
      </c>
      <c r="G30" s="42" t="s">
        <v>927</v>
      </c>
      <c r="H30" s="42" t="s">
        <v>962</v>
      </c>
      <c r="I30" s="42" t="s">
        <v>925</v>
      </c>
    </row>
    <row r="31" spans="1:9">
      <c r="A31" s="41">
        <v>11</v>
      </c>
      <c r="B31" s="41" t="str">
        <f t="shared" si="0"/>
        <v>KIP 11</v>
      </c>
      <c r="C31" s="87" t="s">
        <v>959</v>
      </c>
      <c r="D31" s="90" t="s">
        <v>1130</v>
      </c>
      <c r="E31" s="42" t="s">
        <v>660</v>
      </c>
      <c r="F31" s="42" t="s">
        <v>925</v>
      </c>
      <c r="G31" s="41" t="s">
        <v>955</v>
      </c>
      <c r="H31" s="42" t="s">
        <v>962</v>
      </c>
      <c r="I31" s="42" t="s">
        <v>925</v>
      </c>
    </row>
    <row r="32" spans="1:9">
      <c r="A32" s="41">
        <v>10</v>
      </c>
      <c r="B32" s="41" t="str">
        <f t="shared" si="0"/>
        <v>KIP 10</v>
      </c>
      <c r="C32" s="87" t="s">
        <v>59</v>
      </c>
      <c r="D32" s="90" t="s">
        <v>1131</v>
      </c>
      <c r="E32" s="42" t="s">
        <v>660</v>
      </c>
      <c r="F32" s="42" t="s">
        <v>925</v>
      </c>
      <c r="G32" s="41" t="s">
        <v>923</v>
      </c>
      <c r="H32" s="42" t="s">
        <v>962</v>
      </c>
      <c r="I32" s="42" t="s">
        <v>925</v>
      </c>
    </row>
    <row r="33" spans="1:9">
      <c r="A33" s="41">
        <v>9</v>
      </c>
      <c r="B33" s="41" t="str">
        <f t="shared" si="0"/>
        <v>KIP 9</v>
      </c>
      <c r="C33" s="81" t="s">
        <v>960</v>
      </c>
      <c r="D33" s="82" t="s">
        <v>1132</v>
      </c>
      <c r="E33" s="42" t="s">
        <v>243</v>
      </c>
      <c r="F33" s="42" t="s">
        <v>925</v>
      </c>
      <c r="G33" s="42" t="s">
        <v>927</v>
      </c>
      <c r="H33" s="42" t="s">
        <v>963</v>
      </c>
      <c r="I33" s="42" t="s">
        <v>925</v>
      </c>
    </row>
    <row r="34" spans="1:9">
      <c r="A34" s="41">
        <v>8</v>
      </c>
      <c r="B34" s="41" t="str">
        <f t="shared" si="0"/>
        <v>KIP 8</v>
      </c>
      <c r="C34" s="81" t="s">
        <v>961</v>
      </c>
      <c r="D34" s="82" t="s">
        <v>1133</v>
      </c>
      <c r="E34" s="42" t="s">
        <v>243</v>
      </c>
      <c r="F34" s="42" t="s">
        <v>925</v>
      </c>
      <c r="G34" s="41" t="s">
        <v>955</v>
      </c>
      <c r="H34" s="42" t="s">
        <v>963</v>
      </c>
      <c r="I34" s="42" t="s">
        <v>925</v>
      </c>
    </row>
    <row r="35" spans="1:9">
      <c r="A35" s="41">
        <v>7</v>
      </c>
      <c r="B35" s="41" t="str">
        <f t="shared" si="0"/>
        <v>KIP 7</v>
      </c>
      <c r="C35" s="81" t="s">
        <v>57</v>
      </c>
      <c r="D35" s="82" t="s">
        <v>1134</v>
      </c>
      <c r="E35" s="42" t="s">
        <v>243</v>
      </c>
      <c r="F35" s="42" t="s">
        <v>925</v>
      </c>
      <c r="G35" s="41" t="s">
        <v>923</v>
      </c>
      <c r="H35" s="42" t="s">
        <v>963</v>
      </c>
      <c r="I35" s="42" t="s">
        <v>925</v>
      </c>
    </row>
    <row r="37" spans="1:9">
      <c r="A37" s="40" t="s">
        <v>1090</v>
      </c>
    </row>
    <row r="39" spans="1:9">
      <c r="A39" s="31" t="s">
        <v>186</v>
      </c>
      <c r="B39" s="31" t="s">
        <v>186</v>
      </c>
      <c r="C39" s="31" t="s">
        <v>940</v>
      </c>
      <c r="D39" s="31"/>
      <c r="E39" s="31" t="s">
        <v>920</v>
      </c>
      <c r="F39" s="31" t="s">
        <v>928</v>
      </c>
      <c r="G39" s="31" t="s">
        <v>941</v>
      </c>
      <c r="H39" s="31" t="s">
        <v>942</v>
      </c>
    </row>
    <row r="40" spans="1:9">
      <c r="A40" s="30">
        <v>9</v>
      </c>
      <c r="B40" s="30" t="str">
        <f xml:space="preserve"> CONCATENATE("KIP ", A40)</f>
        <v>KIP 9</v>
      </c>
      <c r="C40" s="63" t="s">
        <v>964</v>
      </c>
      <c r="D40" s="64" t="s">
        <v>1092</v>
      </c>
      <c r="E40" s="43" t="s">
        <v>243</v>
      </c>
      <c r="F40" s="43" t="s">
        <v>925</v>
      </c>
      <c r="G40" s="43" t="s">
        <v>927</v>
      </c>
      <c r="H40" s="43" t="s">
        <v>970</v>
      </c>
    </row>
    <row r="41" spans="1:9">
      <c r="A41" s="30">
        <v>8</v>
      </c>
      <c r="B41" s="30" t="str">
        <f t="shared" ref="B41:B134" si="1" xml:space="preserve"> CONCATENATE("KIP ", A41)</f>
        <v>KIP 8</v>
      </c>
      <c r="C41" s="63" t="s">
        <v>965</v>
      </c>
      <c r="D41" s="64" t="s">
        <v>1092</v>
      </c>
      <c r="E41" s="43" t="s">
        <v>243</v>
      </c>
      <c r="F41" s="43" t="s">
        <v>925</v>
      </c>
      <c r="G41" s="30" t="s">
        <v>955</v>
      </c>
      <c r="H41" s="43" t="s">
        <v>970</v>
      </c>
    </row>
    <row r="42" spans="1:9">
      <c r="A42" s="30">
        <v>7</v>
      </c>
      <c r="B42" s="30" t="str">
        <f t="shared" si="1"/>
        <v>KIP 7</v>
      </c>
      <c r="C42" s="63" t="s">
        <v>966</v>
      </c>
      <c r="D42" s="64" t="s">
        <v>1092</v>
      </c>
      <c r="E42" s="43" t="s">
        <v>243</v>
      </c>
      <c r="F42" s="43" t="s">
        <v>925</v>
      </c>
      <c r="G42" s="30" t="s">
        <v>923</v>
      </c>
      <c r="H42" s="43" t="s">
        <v>970</v>
      </c>
    </row>
    <row r="43" spans="1:9">
      <c r="A43" s="30">
        <v>7</v>
      </c>
      <c r="B43" s="30" t="str">
        <f t="shared" si="1"/>
        <v>KIP 7</v>
      </c>
      <c r="C43" s="63" t="s">
        <v>967</v>
      </c>
      <c r="D43" s="64" t="s">
        <v>1092</v>
      </c>
      <c r="E43" s="43" t="s">
        <v>971</v>
      </c>
      <c r="F43" s="43" t="s">
        <v>972</v>
      </c>
      <c r="G43" s="43" t="s">
        <v>927</v>
      </c>
      <c r="H43" s="43" t="s">
        <v>973</v>
      </c>
    </row>
    <row r="44" spans="1:9">
      <c r="A44" s="30">
        <v>6</v>
      </c>
      <c r="B44" s="30" t="str">
        <f t="shared" si="1"/>
        <v>KIP 6</v>
      </c>
      <c r="C44" s="63" t="s">
        <v>968</v>
      </c>
      <c r="D44" s="64" t="s">
        <v>1092</v>
      </c>
      <c r="E44" s="43" t="s">
        <v>971</v>
      </c>
      <c r="F44" s="43" t="s">
        <v>972</v>
      </c>
      <c r="G44" s="43" t="s">
        <v>955</v>
      </c>
      <c r="H44" s="43" t="s">
        <v>974</v>
      </c>
    </row>
    <row r="45" spans="1:9">
      <c r="A45" s="30">
        <v>5</v>
      </c>
      <c r="B45" s="30" t="str">
        <f t="shared" si="1"/>
        <v>KIP 5</v>
      </c>
      <c r="C45" s="63" t="s">
        <v>20</v>
      </c>
      <c r="D45" s="64" t="s">
        <v>1092</v>
      </c>
      <c r="E45" s="43" t="s">
        <v>971</v>
      </c>
      <c r="F45" s="43" t="s">
        <v>972</v>
      </c>
      <c r="G45" s="43" t="s">
        <v>976</v>
      </c>
      <c r="H45" s="43" t="s">
        <v>930</v>
      </c>
    </row>
    <row r="46" spans="1:9">
      <c r="A46" s="30">
        <v>4</v>
      </c>
      <c r="B46" s="30" t="str">
        <f t="shared" si="1"/>
        <v>KIP 4</v>
      </c>
      <c r="C46" s="63" t="s">
        <v>969</v>
      </c>
      <c r="D46" s="64" t="s">
        <v>1092</v>
      </c>
      <c r="E46" s="43" t="s">
        <v>922</v>
      </c>
      <c r="F46" s="43" t="s">
        <v>972</v>
      </c>
      <c r="G46" s="43" t="s">
        <v>975</v>
      </c>
      <c r="H46" s="43" t="s">
        <v>930</v>
      </c>
    </row>
    <row r="47" spans="1:9">
      <c r="A47" s="30">
        <v>3</v>
      </c>
      <c r="B47" s="30" t="str">
        <f t="shared" si="1"/>
        <v>KIP 3</v>
      </c>
      <c r="C47" s="63" t="s">
        <v>18</v>
      </c>
      <c r="D47" s="64" t="s">
        <v>1092</v>
      </c>
      <c r="E47" s="43" t="s">
        <v>922</v>
      </c>
      <c r="F47" s="43" t="s">
        <v>972</v>
      </c>
      <c r="G47" s="43" t="s">
        <v>977</v>
      </c>
      <c r="H47" s="43" t="s">
        <v>930</v>
      </c>
    </row>
    <row r="48" spans="1:9">
      <c r="A48" s="30">
        <v>2</v>
      </c>
      <c r="B48" s="30" t="str">
        <f t="shared" si="1"/>
        <v>KIP 2</v>
      </c>
      <c r="C48" s="63" t="s">
        <v>17</v>
      </c>
      <c r="D48" s="64" t="s">
        <v>1092</v>
      </c>
      <c r="E48" s="43" t="s">
        <v>922</v>
      </c>
      <c r="F48" s="43" t="s">
        <v>979</v>
      </c>
      <c r="G48" s="43" t="s">
        <v>978</v>
      </c>
      <c r="H48" s="43" t="s">
        <v>929</v>
      </c>
    </row>
    <row r="49" spans="1:8">
      <c r="A49" s="30">
        <v>7</v>
      </c>
      <c r="B49" s="43" t="str">
        <f t="shared" si="1"/>
        <v>KIP 7</v>
      </c>
      <c r="C49" s="62" t="s">
        <v>980</v>
      </c>
      <c r="D49" s="65" t="s">
        <v>1093</v>
      </c>
      <c r="E49" s="43" t="s">
        <v>924</v>
      </c>
      <c r="F49" s="43" t="s">
        <v>925</v>
      </c>
      <c r="G49" s="43" t="s">
        <v>927</v>
      </c>
      <c r="H49" s="43" t="s">
        <v>962</v>
      </c>
    </row>
    <row r="50" spans="1:8">
      <c r="A50" s="30">
        <v>6</v>
      </c>
      <c r="B50" s="43" t="str">
        <f t="shared" si="1"/>
        <v>KIP 6</v>
      </c>
      <c r="C50" s="62" t="s">
        <v>948</v>
      </c>
      <c r="D50" s="65" t="s">
        <v>1093</v>
      </c>
      <c r="E50" s="43" t="s">
        <v>924</v>
      </c>
      <c r="F50" s="43" t="s">
        <v>981</v>
      </c>
      <c r="G50" s="30" t="s">
        <v>955</v>
      </c>
      <c r="H50" s="43" t="s">
        <v>930</v>
      </c>
    </row>
    <row r="51" spans="1:8">
      <c r="A51" s="30">
        <v>5</v>
      </c>
      <c r="B51" s="43" t="str">
        <f t="shared" si="1"/>
        <v>KIP 5</v>
      </c>
      <c r="C51" s="62" t="s">
        <v>109</v>
      </c>
      <c r="D51" s="65" t="s">
        <v>1093</v>
      </c>
      <c r="E51" s="43" t="s">
        <v>922</v>
      </c>
      <c r="F51" s="43" t="s">
        <v>981</v>
      </c>
      <c r="G51" s="30" t="s">
        <v>976</v>
      </c>
      <c r="H51" s="43" t="s">
        <v>930</v>
      </c>
    </row>
    <row r="52" spans="1:8">
      <c r="A52" s="30">
        <v>4</v>
      </c>
      <c r="B52" s="43" t="str">
        <f t="shared" si="1"/>
        <v>KIP 4</v>
      </c>
      <c r="C52" s="62" t="s">
        <v>113</v>
      </c>
      <c r="D52" s="65" t="s">
        <v>1093</v>
      </c>
      <c r="E52" s="43" t="s">
        <v>922</v>
      </c>
      <c r="F52" s="43" t="s">
        <v>981</v>
      </c>
      <c r="G52" s="30" t="s">
        <v>975</v>
      </c>
      <c r="H52" s="43" t="s">
        <v>929</v>
      </c>
    </row>
    <row r="53" spans="1:8">
      <c r="A53" s="30">
        <v>3</v>
      </c>
      <c r="B53" s="43" t="str">
        <f t="shared" si="1"/>
        <v>KIP 3</v>
      </c>
      <c r="C53" s="62" t="s">
        <v>112</v>
      </c>
      <c r="D53" s="65" t="s">
        <v>1093</v>
      </c>
      <c r="E53" s="43" t="s">
        <v>922</v>
      </c>
      <c r="F53" s="43" t="s">
        <v>981</v>
      </c>
      <c r="G53" s="43" t="s">
        <v>977</v>
      </c>
      <c r="H53" s="43" t="s">
        <v>929</v>
      </c>
    </row>
    <row r="54" spans="1:8">
      <c r="A54" s="30">
        <v>9</v>
      </c>
      <c r="B54" s="43" t="str">
        <f t="shared" si="1"/>
        <v>KIP 9</v>
      </c>
      <c r="C54" s="59" t="s">
        <v>982</v>
      </c>
      <c r="D54" s="66" t="s">
        <v>1094</v>
      </c>
      <c r="E54" s="43" t="s">
        <v>243</v>
      </c>
      <c r="F54" s="43" t="s">
        <v>925</v>
      </c>
      <c r="G54" s="43" t="s">
        <v>927</v>
      </c>
      <c r="H54" s="43" t="s">
        <v>962</v>
      </c>
    </row>
    <row r="55" spans="1:8">
      <c r="A55" s="30">
        <v>8</v>
      </c>
      <c r="B55" s="43" t="str">
        <f t="shared" si="1"/>
        <v>KIP 8</v>
      </c>
      <c r="C55" s="59" t="s">
        <v>983</v>
      </c>
      <c r="D55" s="66" t="s">
        <v>1094</v>
      </c>
      <c r="E55" s="43" t="s">
        <v>243</v>
      </c>
      <c r="F55" s="43" t="s">
        <v>669</v>
      </c>
      <c r="G55" s="30" t="s">
        <v>955</v>
      </c>
      <c r="H55" s="43" t="s">
        <v>962</v>
      </c>
    </row>
    <row r="56" spans="1:8">
      <c r="A56" s="30">
        <v>7</v>
      </c>
      <c r="B56" s="43" t="str">
        <f t="shared" si="1"/>
        <v>KIP 7</v>
      </c>
      <c r="C56" s="59" t="s">
        <v>119</v>
      </c>
      <c r="D56" s="66" t="s">
        <v>1094</v>
      </c>
      <c r="E56" s="43" t="s">
        <v>243</v>
      </c>
      <c r="F56" s="43" t="s">
        <v>669</v>
      </c>
      <c r="G56" s="30" t="s">
        <v>923</v>
      </c>
      <c r="H56" s="43" t="s">
        <v>962</v>
      </c>
    </row>
    <row r="57" spans="1:8">
      <c r="A57" s="30">
        <v>7</v>
      </c>
      <c r="B57" s="43" t="str">
        <f t="shared" si="1"/>
        <v>KIP 7</v>
      </c>
      <c r="C57" s="59" t="s">
        <v>984</v>
      </c>
      <c r="D57" s="66" t="s">
        <v>1094</v>
      </c>
      <c r="E57" s="43" t="s">
        <v>924</v>
      </c>
      <c r="F57" s="43" t="s">
        <v>925</v>
      </c>
      <c r="G57" s="43" t="s">
        <v>927</v>
      </c>
      <c r="H57" s="43" t="s">
        <v>962</v>
      </c>
    </row>
    <row r="58" spans="1:8">
      <c r="A58" s="30">
        <v>6</v>
      </c>
      <c r="B58" s="43" t="str">
        <f t="shared" si="1"/>
        <v>KIP 6</v>
      </c>
      <c r="C58" s="59" t="s">
        <v>985</v>
      </c>
      <c r="D58" s="66" t="s">
        <v>1094</v>
      </c>
      <c r="E58" s="43" t="s">
        <v>924</v>
      </c>
      <c r="F58" s="43" t="s">
        <v>669</v>
      </c>
      <c r="G58" s="43" t="s">
        <v>955</v>
      </c>
      <c r="H58" s="43" t="s">
        <v>962</v>
      </c>
    </row>
    <row r="59" spans="1:8">
      <c r="A59" s="30">
        <v>5</v>
      </c>
      <c r="B59" s="43" t="str">
        <f t="shared" si="1"/>
        <v>KIP 5</v>
      </c>
      <c r="C59" s="59" t="s">
        <v>117</v>
      </c>
      <c r="D59" s="66" t="s">
        <v>1094</v>
      </c>
      <c r="E59" s="43" t="s">
        <v>922</v>
      </c>
      <c r="F59" s="43" t="s">
        <v>669</v>
      </c>
      <c r="G59" s="43" t="s">
        <v>976</v>
      </c>
      <c r="H59" s="43" t="s">
        <v>944</v>
      </c>
    </row>
    <row r="60" spans="1:8">
      <c r="A60" s="30">
        <v>4</v>
      </c>
      <c r="B60" s="43" t="str">
        <f t="shared" si="1"/>
        <v>KIP 4</v>
      </c>
      <c r="C60" s="59" t="s">
        <v>986</v>
      </c>
      <c r="D60" s="66" t="s">
        <v>1094</v>
      </c>
      <c r="E60" s="43" t="s">
        <v>922</v>
      </c>
      <c r="F60" s="43" t="s">
        <v>669</v>
      </c>
      <c r="G60" s="43" t="s">
        <v>975</v>
      </c>
      <c r="H60" s="43" t="s">
        <v>930</v>
      </c>
    </row>
    <row r="61" spans="1:8">
      <c r="A61" s="30">
        <v>3</v>
      </c>
      <c r="B61" s="43" t="str">
        <f t="shared" si="1"/>
        <v>KIP 3</v>
      </c>
      <c r="C61" s="59" t="s">
        <v>115</v>
      </c>
      <c r="D61" s="66" t="s">
        <v>1094</v>
      </c>
      <c r="E61" s="43" t="s">
        <v>922</v>
      </c>
      <c r="F61" s="43" t="s">
        <v>669</v>
      </c>
      <c r="G61" s="43" t="s">
        <v>987</v>
      </c>
      <c r="H61" s="43" t="s">
        <v>930</v>
      </c>
    </row>
    <row r="62" spans="1:8">
      <c r="A62" s="30">
        <v>9</v>
      </c>
      <c r="B62" s="43" t="str">
        <f t="shared" si="1"/>
        <v>KIP 9</v>
      </c>
      <c r="C62" s="61" t="s">
        <v>988</v>
      </c>
      <c r="D62" s="67" t="s">
        <v>1095</v>
      </c>
      <c r="E62" s="43" t="s">
        <v>243</v>
      </c>
      <c r="F62" s="43" t="s">
        <v>925</v>
      </c>
      <c r="G62" s="43" t="s">
        <v>927</v>
      </c>
      <c r="H62" s="43" t="s">
        <v>962</v>
      </c>
    </row>
    <row r="63" spans="1:8">
      <c r="A63" s="30">
        <v>8</v>
      </c>
      <c r="B63" s="43" t="str">
        <f t="shared" si="1"/>
        <v>KIP 8</v>
      </c>
      <c r="C63" s="61" t="s">
        <v>989</v>
      </c>
      <c r="D63" s="67" t="s">
        <v>1095</v>
      </c>
      <c r="E63" s="43" t="s">
        <v>243</v>
      </c>
      <c r="F63" s="43" t="s">
        <v>946</v>
      </c>
      <c r="G63" s="43" t="s">
        <v>955</v>
      </c>
      <c r="H63" s="43" t="s">
        <v>962</v>
      </c>
    </row>
    <row r="64" spans="1:8">
      <c r="A64" s="30">
        <v>7</v>
      </c>
      <c r="B64" s="43" t="str">
        <f t="shared" si="1"/>
        <v>KIP 7</v>
      </c>
      <c r="C64" s="61" t="s">
        <v>990</v>
      </c>
      <c r="D64" s="67" t="s">
        <v>1095</v>
      </c>
      <c r="E64" s="43" t="s">
        <v>243</v>
      </c>
      <c r="F64" s="43" t="s">
        <v>946</v>
      </c>
      <c r="G64" s="43" t="s">
        <v>923</v>
      </c>
      <c r="H64" s="43" t="s">
        <v>962</v>
      </c>
    </row>
    <row r="65" spans="1:8">
      <c r="A65" s="30">
        <v>7</v>
      </c>
      <c r="B65" s="43" t="str">
        <f t="shared" si="1"/>
        <v>KIP 7</v>
      </c>
      <c r="C65" s="61" t="s">
        <v>991</v>
      </c>
      <c r="D65" s="67" t="s">
        <v>1095</v>
      </c>
      <c r="E65" s="43" t="s">
        <v>924</v>
      </c>
      <c r="F65" s="43" t="s">
        <v>925</v>
      </c>
      <c r="G65" s="43" t="s">
        <v>927</v>
      </c>
      <c r="H65" s="43" t="s">
        <v>962</v>
      </c>
    </row>
    <row r="66" spans="1:8">
      <c r="A66" s="30">
        <v>6</v>
      </c>
      <c r="B66" s="43" t="str">
        <f t="shared" si="1"/>
        <v>KIP 6</v>
      </c>
      <c r="C66" s="61" t="s">
        <v>992</v>
      </c>
      <c r="D66" s="67" t="s">
        <v>1095</v>
      </c>
      <c r="E66" s="43" t="s">
        <v>924</v>
      </c>
      <c r="F66" s="43" t="s">
        <v>946</v>
      </c>
      <c r="G66" s="43" t="s">
        <v>996</v>
      </c>
      <c r="H66" s="43" t="s">
        <v>944</v>
      </c>
    </row>
    <row r="67" spans="1:8">
      <c r="A67" s="30">
        <v>5</v>
      </c>
      <c r="B67" s="43" t="str">
        <f t="shared" si="1"/>
        <v>KIP 5</v>
      </c>
      <c r="C67" s="61" t="s">
        <v>993</v>
      </c>
      <c r="D67" s="67" t="s">
        <v>1095</v>
      </c>
      <c r="E67" s="43" t="s">
        <v>922</v>
      </c>
      <c r="F67" s="43" t="s">
        <v>997</v>
      </c>
      <c r="G67" s="43" t="s">
        <v>976</v>
      </c>
      <c r="H67" s="43" t="s">
        <v>930</v>
      </c>
    </row>
    <row r="68" spans="1:8">
      <c r="A68" s="30">
        <v>4</v>
      </c>
      <c r="B68" s="43" t="str">
        <f t="shared" si="1"/>
        <v>KIP 4</v>
      </c>
      <c r="C68" s="61" t="s">
        <v>994</v>
      </c>
      <c r="D68" s="67" t="s">
        <v>1095</v>
      </c>
      <c r="E68" s="43" t="s">
        <v>922</v>
      </c>
      <c r="F68" s="43" t="s">
        <v>997</v>
      </c>
      <c r="G68" s="43" t="s">
        <v>975</v>
      </c>
      <c r="H68" s="43" t="s">
        <v>930</v>
      </c>
    </row>
    <row r="69" spans="1:8">
      <c r="A69" s="30">
        <v>3</v>
      </c>
      <c r="B69" s="43" t="str">
        <f t="shared" si="1"/>
        <v>KIP 3</v>
      </c>
      <c r="C69" s="61" t="s">
        <v>995</v>
      </c>
      <c r="D69" s="67" t="s">
        <v>1095</v>
      </c>
      <c r="E69" s="43" t="s">
        <v>922</v>
      </c>
      <c r="F69" s="43" t="s">
        <v>997</v>
      </c>
      <c r="G69" s="43" t="s">
        <v>977</v>
      </c>
      <c r="H69" s="43" t="s">
        <v>930</v>
      </c>
    </row>
    <row r="70" spans="1:8">
      <c r="A70" s="30">
        <v>9</v>
      </c>
      <c r="B70" s="43" t="str">
        <f t="shared" si="1"/>
        <v>KIP 9</v>
      </c>
      <c r="C70" s="60" t="s">
        <v>998</v>
      </c>
      <c r="D70" s="68" t="s">
        <v>1096</v>
      </c>
      <c r="E70" s="43" t="s">
        <v>243</v>
      </c>
      <c r="F70" s="43" t="s">
        <v>925</v>
      </c>
      <c r="G70" s="43" t="s">
        <v>927</v>
      </c>
      <c r="H70" s="43" t="s">
        <v>962</v>
      </c>
    </row>
    <row r="71" spans="1:8">
      <c r="A71" s="30">
        <v>8</v>
      </c>
      <c r="B71" s="43" t="str">
        <f t="shared" si="1"/>
        <v>KIP 8</v>
      </c>
      <c r="C71" s="60" t="s">
        <v>999</v>
      </c>
      <c r="D71" s="68" t="s">
        <v>1096</v>
      </c>
      <c r="E71" s="43" t="s">
        <v>243</v>
      </c>
      <c r="F71" s="43" t="s">
        <v>925</v>
      </c>
      <c r="G71" s="43" t="s">
        <v>955</v>
      </c>
      <c r="H71" s="43" t="s">
        <v>962</v>
      </c>
    </row>
    <row r="72" spans="1:8">
      <c r="A72" s="30">
        <v>7</v>
      </c>
      <c r="B72" s="43" t="str">
        <f t="shared" si="1"/>
        <v>KIP 7</v>
      </c>
      <c r="C72" s="60" t="s">
        <v>135</v>
      </c>
      <c r="D72" s="68" t="s">
        <v>1096</v>
      </c>
      <c r="E72" s="43" t="s">
        <v>243</v>
      </c>
      <c r="F72" s="43" t="s">
        <v>925</v>
      </c>
      <c r="G72" s="43" t="s">
        <v>923</v>
      </c>
      <c r="H72" s="43" t="s">
        <v>962</v>
      </c>
    </row>
    <row r="73" spans="1:8">
      <c r="A73" s="30">
        <v>7</v>
      </c>
      <c r="B73" s="43" t="str">
        <f t="shared" si="1"/>
        <v>KIP 7</v>
      </c>
      <c r="C73" s="60" t="s">
        <v>1000</v>
      </c>
      <c r="D73" s="68" t="s">
        <v>1096</v>
      </c>
      <c r="E73" s="43" t="s">
        <v>924</v>
      </c>
      <c r="F73" s="43" t="s">
        <v>925</v>
      </c>
      <c r="G73" s="43" t="s">
        <v>927</v>
      </c>
      <c r="H73" s="43" t="s">
        <v>962</v>
      </c>
    </row>
    <row r="74" spans="1:8">
      <c r="A74" s="30">
        <v>6</v>
      </c>
      <c r="B74" s="43" t="str">
        <f t="shared" si="1"/>
        <v>KIP 6</v>
      </c>
      <c r="C74" s="60" t="s">
        <v>1001</v>
      </c>
      <c r="D74" s="68" t="s">
        <v>1096</v>
      </c>
      <c r="E74" s="43" t="s">
        <v>924</v>
      </c>
      <c r="F74" s="43" t="s">
        <v>981</v>
      </c>
      <c r="G74" s="43" t="s">
        <v>955</v>
      </c>
      <c r="H74" s="43" t="s">
        <v>944</v>
      </c>
    </row>
    <row r="75" spans="1:8">
      <c r="A75" s="30">
        <v>5</v>
      </c>
      <c r="B75" s="43" t="str">
        <f t="shared" si="1"/>
        <v>KIP 5</v>
      </c>
      <c r="C75" s="60" t="s">
        <v>1002</v>
      </c>
      <c r="D75" s="68" t="s">
        <v>1096</v>
      </c>
      <c r="E75" s="43" t="s">
        <v>922</v>
      </c>
      <c r="F75" s="43" t="s">
        <v>981</v>
      </c>
      <c r="G75" s="43" t="s">
        <v>976</v>
      </c>
      <c r="H75" s="43" t="s">
        <v>930</v>
      </c>
    </row>
    <row r="76" spans="1:8">
      <c r="A76" s="30">
        <v>4</v>
      </c>
      <c r="B76" s="43" t="str">
        <f t="shared" si="1"/>
        <v>KIP 4</v>
      </c>
      <c r="C76" s="60" t="s">
        <v>132</v>
      </c>
      <c r="D76" s="68" t="s">
        <v>1096</v>
      </c>
      <c r="E76" s="43" t="s">
        <v>922</v>
      </c>
      <c r="F76" s="43" t="s">
        <v>981</v>
      </c>
      <c r="G76" s="43" t="s">
        <v>975</v>
      </c>
      <c r="H76" s="43" t="s">
        <v>930</v>
      </c>
    </row>
    <row r="77" spans="1:8">
      <c r="A77" s="30">
        <v>9</v>
      </c>
      <c r="B77" s="43" t="str">
        <f t="shared" si="1"/>
        <v>KIP 9</v>
      </c>
      <c r="C77" s="57" t="s">
        <v>1003</v>
      </c>
      <c r="D77" s="69" t="s">
        <v>1097</v>
      </c>
      <c r="E77" s="43" t="s">
        <v>243</v>
      </c>
      <c r="F77" s="43" t="s">
        <v>1007</v>
      </c>
      <c r="G77" s="43" t="s">
        <v>927</v>
      </c>
      <c r="H77" s="43" t="s">
        <v>962</v>
      </c>
    </row>
    <row r="78" spans="1:8">
      <c r="A78" s="30">
        <v>8</v>
      </c>
      <c r="B78" s="43" t="str">
        <f t="shared" si="1"/>
        <v>KIP 8</v>
      </c>
      <c r="C78" s="57" t="s">
        <v>1004</v>
      </c>
      <c r="D78" s="69" t="s">
        <v>1097</v>
      </c>
      <c r="E78" s="43" t="s">
        <v>243</v>
      </c>
      <c r="F78" s="43" t="s">
        <v>1007</v>
      </c>
      <c r="G78" s="43" t="s">
        <v>955</v>
      </c>
      <c r="H78" s="43" t="s">
        <v>962</v>
      </c>
    </row>
    <row r="79" spans="1:8">
      <c r="A79" s="30">
        <v>7</v>
      </c>
      <c r="B79" s="43" t="str">
        <f t="shared" si="1"/>
        <v>KIP 7</v>
      </c>
      <c r="C79" s="57" t="s">
        <v>152</v>
      </c>
      <c r="D79" s="69" t="s">
        <v>1097</v>
      </c>
      <c r="E79" s="43" t="s">
        <v>243</v>
      </c>
      <c r="F79" s="43" t="s">
        <v>1007</v>
      </c>
      <c r="G79" s="43" t="s">
        <v>923</v>
      </c>
      <c r="H79" s="43" t="s">
        <v>962</v>
      </c>
    </row>
    <row r="80" spans="1:8">
      <c r="A80" s="30">
        <v>7</v>
      </c>
      <c r="B80" s="43" t="str">
        <f t="shared" si="1"/>
        <v>KIP 7</v>
      </c>
      <c r="C80" s="57" t="s">
        <v>1005</v>
      </c>
      <c r="D80" s="69" t="s">
        <v>1097</v>
      </c>
      <c r="E80" s="43" t="s">
        <v>924</v>
      </c>
      <c r="F80" s="43" t="s">
        <v>1008</v>
      </c>
      <c r="G80" s="43" t="s">
        <v>927</v>
      </c>
      <c r="H80" s="43" t="s">
        <v>962</v>
      </c>
    </row>
    <row r="81" spans="1:8">
      <c r="A81" s="30">
        <v>6</v>
      </c>
      <c r="B81" s="43" t="str">
        <f t="shared" si="1"/>
        <v>KIP 6</v>
      </c>
      <c r="C81" s="57" t="s">
        <v>947</v>
      </c>
      <c r="D81" s="69" t="s">
        <v>1097</v>
      </c>
      <c r="E81" s="43" t="s">
        <v>924</v>
      </c>
      <c r="F81" s="43" t="s">
        <v>1009</v>
      </c>
      <c r="G81" s="43" t="s">
        <v>996</v>
      </c>
      <c r="H81" s="43" t="s">
        <v>944</v>
      </c>
    </row>
    <row r="82" spans="1:8">
      <c r="A82" s="30">
        <v>5</v>
      </c>
      <c r="B82" s="43" t="str">
        <f t="shared" si="1"/>
        <v>KIP 5</v>
      </c>
      <c r="C82" s="57" t="s">
        <v>148</v>
      </c>
      <c r="D82" s="69" t="s">
        <v>1097</v>
      </c>
      <c r="E82" s="43" t="s">
        <v>922</v>
      </c>
      <c r="F82" s="43" t="s">
        <v>1009</v>
      </c>
      <c r="G82" s="43" t="s">
        <v>976</v>
      </c>
      <c r="H82" s="43" t="s">
        <v>930</v>
      </c>
    </row>
    <row r="83" spans="1:8">
      <c r="A83" s="30">
        <v>4</v>
      </c>
      <c r="B83" s="43" t="str">
        <f t="shared" si="1"/>
        <v>KIP 4</v>
      </c>
      <c r="C83" s="57" t="s">
        <v>1006</v>
      </c>
      <c r="D83" s="69" t="s">
        <v>1097</v>
      </c>
      <c r="E83" s="43" t="s">
        <v>922</v>
      </c>
      <c r="F83" s="43" t="s">
        <v>1011</v>
      </c>
      <c r="G83" s="43" t="s">
        <v>1010</v>
      </c>
      <c r="H83" s="43" t="s">
        <v>930</v>
      </c>
    </row>
    <row r="84" spans="1:8">
      <c r="A84" s="30">
        <v>3</v>
      </c>
      <c r="B84" s="43" t="str">
        <f t="shared" si="1"/>
        <v>KIP 3</v>
      </c>
      <c r="C84" s="57" t="s">
        <v>145</v>
      </c>
      <c r="D84" s="69" t="s">
        <v>1097</v>
      </c>
      <c r="E84" s="43" t="s">
        <v>922</v>
      </c>
      <c r="F84" s="43" t="s">
        <v>1011</v>
      </c>
      <c r="G84" s="43" t="s">
        <v>987</v>
      </c>
      <c r="H84" s="43" t="s">
        <v>930</v>
      </c>
    </row>
    <row r="85" spans="1:8">
      <c r="A85" s="30">
        <v>9</v>
      </c>
      <c r="B85" s="43" t="str">
        <f t="shared" si="1"/>
        <v>KIP 9</v>
      </c>
      <c r="C85" s="58" t="s">
        <v>1012</v>
      </c>
      <c r="D85" s="70" t="s">
        <v>1098</v>
      </c>
      <c r="E85" s="43" t="s">
        <v>243</v>
      </c>
      <c r="F85" s="43" t="s">
        <v>925</v>
      </c>
      <c r="G85" s="43" t="s">
        <v>927</v>
      </c>
      <c r="H85" s="43" t="s">
        <v>962</v>
      </c>
    </row>
    <row r="86" spans="1:8">
      <c r="A86" s="30">
        <v>8</v>
      </c>
      <c r="B86" s="43" t="str">
        <f t="shared" si="1"/>
        <v>KIP 8</v>
      </c>
      <c r="C86" s="58" t="s">
        <v>1013</v>
      </c>
      <c r="D86" s="70" t="s">
        <v>1098</v>
      </c>
      <c r="E86" s="43" t="s">
        <v>243</v>
      </c>
      <c r="F86" s="43" t="s">
        <v>925</v>
      </c>
      <c r="G86" s="43" t="s">
        <v>955</v>
      </c>
      <c r="H86" s="43" t="s">
        <v>962</v>
      </c>
    </row>
    <row r="87" spans="1:8">
      <c r="A87" s="30">
        <v>7</v>
      </c>
      <c r="B87" s="43" t="str">
        <f t="shared" si="1"/>
        <v>KIP 7</v>
      </c>
      <c r="C87" s="58" t="s">
        <v>159</v>
      </c>
      <c r="D87" s="70" t="s">
        <v>1098</v>
      </c>
      <c r="E87" s="43" t="s">
        <v>243</v>
      </c>
      <c r="F87" s="43" t="s">
        <v>981</v>
      </c>
      <c r="G87" s="43" t="s">
        <v>923</v>
      </c>
      <c r="H87" s="43" t="s">
        <v>962</v>
      </c>
    </row>
    <row r="88" spans="1:8">
      <c r="A88" s="30">
        <v>7</v>
      </c>
      <c r="B88" s="43" t="str">
        <f t="shared" si="1"/>
        <v>KIP 7</v>
      </c>
      <c r="C88" s="58" t="s">
        <v>1014</v>
      </c>
      <c r="D88" s="70" t="s">
        <v>1098</v>
      </c>
      <c r="E88" s="43" t="s">
        <v>924</v>
      </c>
      <c r="F88" s="43" t="s">
        <v>925</v>
      </c>
      <c r="G88" s="43" t="s">
        <v>927</v>
      </c>
      <c r="H88" s="43" t="s">
        <v>962</v>
      </c>
    </row>
    <row r="89" spans="1:8">
      <c r="A89" s="30">
        <v>6</v>
      </c>
      <c r="B89" s="43" t="str">
        <f t="shared" si="1"/>
        <v>KIP 6</v>
      </c>
      <c r="C89" s="58" t="s">
        <v>1015</v>
      </c>
      <c r="D89" s="70" t="s">
        <v>1098</v>
      </c>
      <c r="E89" s="43" t="s">
        <v>924</v>
      </c>
      <c r="F89" s="43" t="s">
        <v>981</v>
      </c>
      <c r="G89" s="43" t="s">
        <v>955</v>
      </c>
      <c r="H89" s="43" t="s">
        <v>944</v>
      </c>
    </row>
    <row r="90" spans="1:8">
      <c r="A90" s="30">
        <v>5</v>
      </c>
      <c r="B90" s="43" t="str">
        <f t="shared" si="1"/>
        <v>KIP 5</v>
      </c>
      <c r="C90" s="58" t="s">
        <v>1016</v>
      </c>
      <c r="D90" s="70" t="s">
        <v>1098</v>
      </c>
      <c r="E90" s="43" t="s">
        <v>924</v>
      </c>
      <c r="F90" s="43" t="s">
        <v>981</v>
      </c>
      <c r="G90" s="43" t="s">
        <v>976</v>
      </c>
      <c r="H90" s="43" t="s">
        <v>930</v>
      </c>
    </row>
    <row r="91" spans="1:8">
      <c r="A91" s="30">
        <v>4</v>
      </c>
      <c r="B91" s="43" t="str">
        <f t="shared" si="1"/>
        <v>KIP 4</v>
      </c>
      <c r="C91" s="58" t="s">
        <v>156</v>
      </c>
      <c r="D91" s="70" t="s">
        <v>1098</v>
      </c>
      <c r="E91" s="43" t="s">
        <v>922</v>
      </c>
      <c r="F91" s="43" t="s">
        <v>981</v>
      </c>
      <c r="G91" s="43" t="s">
        <v>1017</v>
      </c>
      <c r="H91" s="43" t="s">
        <v>930</v>
      </c>
    </row>
    <row r="92" spans="1:8">
      <c r="A92" s="30">
        <v>3</v>
      </c>
      <c r="B92" s="43" t="str">
        <f t="shared" si="1"/>
        <v>KIP 3</v>
      </c>
      <c r="C92" s="58" t="s">
        <v>155</v>
      </c>
      <c r="D92" s="70" t="s">
        <v>1098</v>
      </c>
      <c r="E92" s="43" t="s">
        <v>922</v>
      </c>
      <c r="F92" s="43" t="s">
        <v>981</v>
      </c>
      <c r="G92" s="43" t="s">
        <v>987</v>
      </c>
      <c r="H92" s="43" t="s">
        <v>930</v>
      </c>
    </row>
    <row r="93" spans="1:8">
      <c r="A93" s="30">
        <v>9</v>
      </c>
      <c r="B93" s="43" t="str">
        <f t="shared" si="1"/>
        <v>KIP 9</v>
      </c>
      <c r="C93" s="55" t="s">
        <v>1018</v>
      </c>
      <c r="D93" s="71" t="s">
        <v>390</v>
      </c>
      <c r="E93" s="43" t="s">
        <v>243</v>
      </c>
      <c r="F93" s="43" t="s">
        <v>925</v>
      </c>
      <c r="G93" s="43" t="s">
        <v>927</v>
      </c>
      <c r="H93" s="43" t="s">
        <v>1025</v>
      </c>
    </row>
    <row r="94" spans="1:8">
      <c r="A94" s="30">
        <v>8</v>
      </c>
      <c r="B94" s="43" t="str">
        <f t="shared" si="1"/>
        <v>KIP 8</v>
      </c>
      <c r="C94" s="55" t="s">
        <v>1019</v>
      </c>
      <c r="D94" s="71" t="s">
        <v>390</v>
      </c>
      <c r="E94" s="43" t="s">
        <v>243</v>
      </c>
      <c r="F94" s="43" t="s">
        <v>925</v>
      </c>
      <c r="G94" s="43" t="s">
        <v>955</v>
      </c>
      <c r="H94" s="43" t="s">
        <v>1025</v>
      </c>
    </row>
    <row r="95" spans="1:8">
      <c r="A95" s="30">
        <v>7</v>
      </c>
      <c r="B95" s="43" t="str">
        <f t="shared" si="1"/>
        <v>KIP 7</v>
      </c>
      <c r="C95" s="55" t="s">
        <v>1020</v>
      </c>
      <c r="D95" s="71" t="s">
        <v>390</v>
      </c>
      <c r="E95" s="43" t="s">
        <v>243</v>
      </c>
      <c r="F95" s="43" t="s">
        <v>925</v>
      </c>
      <c r="G95" s="30" t="s">
        <v>1026</v>
      </c>
      <c r="H95" s="43" t="s">
        <v>1025</v>
      </c>
    </row>
    <row r="96" spans="1:8">
      <c r="A96" s="30">
        <v>7</v>
      </c>
      <c r="B96" s="43" t="str">
        <f t="shared" si="1"/>
        <v>KIP 7</v>
      </c>
      <c r="C96" s="55" t="s">
        <v>1021</v>
      </c>
      <c r="D96" s="71" t="s">
        <v>390</v>
      </c>
      <c r="E96" s="43" t="s">
        <v>924</v>
      </c>
      <c r="F96" s="30" t="s">
        <v>925</v>
      </c>
      <c r="G96" s="30" t="s">
        <v>927</v>
      </c>
      <c r="H96" s="43" t="s">
        <v>1025</v>
      </c>
    </row>
    <row r="97" spans="1:8">
      <c r="A97" s="30">
        <v>6</v>
      </c>
      <c r="B97" s="43" t="str">
        <f t="shared" si="1"/>
        <v>KIP 6</v>
      </c>
      <c r="C97" s="55" t="s">
        <v>1022</v>
      </c>
      <c r="D97" s="71" t="s">
        <v>390</v>
      </c>
      <c r="E97" s="43" t="s">
        <v>924</v>
      </c>
      <c r="F97" s="30" t="s">
        <v>1027</v>
      </c>
      <c r="G97" s="30" t="s">
        <v>955</v>
      </c>
      <c r="H97" s="43" t="s">
        <v>1028</v>
      </c>
    </row>
    <row r="98" spans="1:8">
      <c r="A98" s="30">
        <v>5</v>
      </c>
      <c r="B98" s="43" t="str">
        <f t="shared" si="1"/>
        <v>KIP 5</v>
      </c>
      <c r="C98" s="55" t="s">
        <v>1023</v>
      </c>
      <c r="D98" s="71" t="s">
        <v>390</v>
      </c>
      <c r="E98" s="43" t="s">
        <v>922</v>
      </c>
      <c r="F98" s="30" t="s">
        <v>1027</v>
      </c>
      <c r="G98" s="30" t="s">
        <v>976</v>
      </c>
      <c r="H98" s="43" t="s">
        <v>930</v>
      </c>
    </row>
    <row r="99" spans="1:8">
      <c r="A99" s="30">
        <v>4</v>
      </c>
      <c r="B99" s="43" t="str">
        <f t="shared" si="1"/>
        <v>KIP 4</v>
      </c>
      <c r="C99" s="55" t="s">
        <v>1024</v>
      </c>
      <c r="D99" s="71" t="s">
        <v>390</v>
      </c>
      <c r="E99" s="43" t="s">
        <v>922</v>
      </c>
      <c r="F99" s="30" t="s">
        <v>1027</v>
      </c>
      <c r="G99" s="30" t="s">
        <v>975</v>
      </c>
      <c r="H99" s="43" t="s">
        <v>930</v>
      </c>
    </row>
    <row r="100" spans="1:8">
      <c r="A100" s="30">
        <v>3</v>
      </c>
      <c r="B100" s="43" t="str">
        <f t="shared" si="1"/>
        <v>KIP 3</v>
      </c>
      <c r="C100" s="55" t="s">
        <v>1029</v>
      </c>
      <c r="D100" s="71" t="s">
        <v>390</v>
      </c>
      <c r="E100" s="43" t="s">
        <v>922</v>
      </c>
      <c r="F100" s="30" t="s">
        <v>1027</v>
      </c>
      <c r="G100" s="30" t="s">
        <v>977</v>
      </c>
      <c r="H100" s="43" t="s">
        <v>930</v>
      </c>
    </row>
    <row r="101" spans="1:8">
      <c r="A101" s="30">
        <v>9</v>
      </c>
      <c r="B101" s="43" t="str">
        <f t="shared" si="1"/>
        <v>KIP 9</v>
      </c>
      <c r="C101" s="56" t="s">
        <v>1030</v>
      </c>
      <c r="D101" s="72" t="s">
        <v>433</v>
      </c>
      <c r="E101" s="43" t="s">
        <v>243</v>
      </c>
      <c r="F101" s="30" t="s">
        <v>925</v>
      </c>
      <c r="G101" s="30" t="s">
        <v>927</v>
      </c>
      <c r="H101" s="43" t="s">
        <v>1025</v>
      </c>
    </row>
    <row r="102" spans="1:8">
      <c r="A102" s="30">
        <v>8</v>
      </c>
      <c r="B102" s="43" t="str">
        <f t="shared" si="1"/>
        <v>KIP 8</v>
      </c>
      <c r="C102" s="56" t="s">
        <v>1031</v>
      </c>
      <c r="D102" s="72" t="s">
        <v>433</v>
      </c>
      <c r="E102" s="43" t="s">
        <v>243</v>
      </c>
      <c r="F102" s="30" t="s">
        <v>981</v>
      </c>
      <c r="G102" s="30" t="s">
        <v>955</v>
      </c>
      <c r="H102" s="43" t="s">
        <v>1025</v>
      </c>
    </row>
    <row r="103" spans="1:8">
      <c r="A103" s="30">
        <v>7</v>
      </c>
      <c r="B103" s="43" t="str">
        <f t="shared" si="1"/>
        <v>KIP 7</v>
      </c>
      <c r="C103" s="56" t="s">
        <v>1032</v>
      </c>
      <c r="D103" s="72" t="s">
        <v>433</v>
      </c>
      <c r="E103" s="43" t="s">
        <v>243</v>
      </c>
      <c r="F103" s="30" t="s">
        <v>981</v>
      </c>
      <c r="G103" s="30" t="s">
        <v>923</v>
      </c>
      <c r="H103" s="43" t="s">
        <v>1025</v>
      </c>
    </row>
    <row r="104" spans="1:8">
      <c r="A104" s="30">
        <v>7</v>
      </c>
      <c r="B104" s="43" t="str">
        <f t="shared" si="1"/>
        <v>KIP 7</v>
      </c>
      <c r="C104" s="56" t="s">
        <v>1033</v>
      </c>
      <c r="D104" s="72" t="s">
        <v>433</v>
      </c>
      <c r="E104" s="43" t="s">
        <v>924</v>
      </c>
      <c r="F104" s="30" t="s">
        <v>925</v>
      </c>
      <c r="G104" s="30" t="s">
        <v>927</v>
      </c>
      <c r="H104" s="43" t="s">
        <v>1025</v>
      </c>
    </row>
    <row r="105" spans="1:8">
      <c r="A105" s="30">
        <v>6</v>
      </c>
      <c r="B105" s="43" t="str">
        <f t="shared" si="1"/>
        <v>KIP 6</v>
      </c>
      <c r="C105" s="56" t="s">
        <v>1034</v>
      </c>
      <c r="D105" s="72" t="s">
        <v>433</v>
      </c>
      <c r="E105" s="43" t="s">
        <v>924</v>
      </c>
      <c r="F105" s="30" t="s">
        <v>981</v>
      </c>
      <c r="G105" s="30" t="s">
        <v>955</v>
      </c>
      <c r="H105" s="43" t="s">
        <v>944</v>
      </c>
    </row>
    <row r="106" spans="1:8">
      <c r="A106" s="30">
        <v>5</v>
      </c>
      <c r="B106" s="43" t="str">
        <f t="shared" si="1"/>
        <v>KIP 5</v>
      </c>
      <c r="C106" s="56" t="s">
        <v>103</v>
      </c>
      <c r="D106" s="72" t="s">
        <v>433</v>
      </c>
      <c r="E106" s="43" t="s">
        <v>922</v>
      </c>
      <c r="F106" s="30" t="s">
        <v>981</v>
      </c>
      <c r="G106" s="30" t="s">
        <v>1026</v>
      </c>
      <c r="H106" s="43" t="s">
        <v>930</v>
      </c>
    </row>
    <row r="107" spans="1:8">
      <c r="A107" s="30">
        <v>4</v>
      </c>
      <c r="B107" s="43" t="str">
        <f t="shared" si="1"/>
        <v>KIP 4</v>
      </c>
      <c r="C107" s="56" t="s">
        <v>1035</v>
      </c>
      <c r="D107" s="72" t="s">
        <v>433</v>
      </c>
      <c r="E107" s="43" t="s">
        <v>922</v>
      </c>
      <c r="F107" s="30" t="s">
        <v>981</v>
      </c>
      <c r="G107" s="30" t="s">
        <v>975</v>
      </c>
      <c r="H107" s="43" t="s">
        <v>930</v>
      </c>
    </row>
    <row r="108" spans="1:8">
      <c r="A108" s="30">
        <v>3</v>
      </c>
      <c r="B108" s="43" t="str">
        <f t="shared" si="1"/>
        <v>KIP 3</v>
      </c>
      <c r="C108" s="56" t="s">
        <v>1036</v>
      </c>
      <c r="D108" s="72" t="s">
        <v>433</v>
      </c>
      <c r="E108" s="43" t="s">
        <v>922</v>
      </c>
      <c r="F108" s="30" t="s">
        <v>981</v>
      </c>
      <c r="G108" s="30" t="s">
        <v>987</v>
      </c>
      <c r="H108" s="43" t="s">
        <v>930</v>
      </c>
    </row>
    <row r="109" spans="1:8">
      <c r="A109" s="30">
        <v>7</v>
      </c>
      <c r="B109" s="43" t="str">
        <f t="shared" si="1"/>
        <v>KIP 7</v>
      </c>
      <c r="C109" s="50" t="s">
        <v>1037</v>
      </c>
      <c r="D109" s="73" t="s">
        <v>1099</v>
      </c>
      <c r="E109" s="43" t="s">
        <v>924</v>
      </c>
      <c r="F109" s="30" t="s">
        <v>1008</v>
      </c>
      <c r="G109" s="30" t="s">
        <v>927</v>
      </c>
      <c r="H109" s="43" t="s">
        <v>962</v>
      </c>
    </row>
    <row r="110" spans="1:8">
      <c r="A110" s="30">
        <v>6</v>
      </c>
      <c r="B110" s="43" t="str">
        <f t="shared" si="1"/>
        <v>KIP 6</v>
      </c>
      <c r="C110" s="50" t="s">
        <v>1038</v>
      </c>
      <c r="D110" s="73" t="s">
        <v>1099</v>
      </c>
      <c r="E110" s="43" t="s">
        <v>924</v>
      </c>
      <c r="F110" s="30" t="s">
        <v>1011</v>
      </c>
      <c r="G110" s="30" t="s">
        <v>955</v>
      </c>
      <c r="H110" s="43" t="s">
        <v>944</v>
      </c>
    </row>
    <row r="111" spans="1:8">
      <c r="A111" s="30">
        <v>5</v>
      </c>
      <c r="B111" s="43" t="str">
        <f t="shared" si="1"/>
        <v>KIP 5</v>
      </c>
      <c r="C111" s="50" t="s">
        <v>1039</v>
      </c>
      <c r="D111" s="73" t="s">
        <v>1099</v>
      </c>
      <c r="E111" s="43" t="s">
        <v>922</v>
      </c>
      <c r="F111" s="30" t="s">
        <v>1011</v>
      </c>
      <c r="G111" s="30" t="s">
        <v>976</v>
      </c>
      <c r="H111" s="43" t="s">
        <v>930</v>
      </c>
    </row>
    <row r="112" spans="1:8">
      <c r="A112" s="30">
        <v>4</v>
      </c>
      <c r="B112" s="43" t="str">
        <f t="shared" si="1"/>
        <v>KIP 4</v>
      </c>
      <c r="C112" s="50" t="s">
        <v>170</v>
      </c>
      <c r="D112" s="73" t="s">
        <v>1099</v>
      </c>
      <c r="E112" s="43" t="s">
        <v>922</v>
      </c>
      <c r="F112" s="30" t="s">
        <v>1011</v>
      </c>
      <c r="G112" s="30" t="s">
        <v>975</v>
      </c>
      <c r="H112" s="43" t="s">
        <v>930</v>
      </c>
    </row>
    <row r="113" spans="1:8">
      <c r="A113" s="30">
        <v>3</v>
      </c>
      <c r="B113" s="43" t="str">
        <f t="shared" si="1"/>
        <v>KIP 3</v>
      </c>
      <c r="C113" s="50" t="s">
        <v>169</v>
      </c>
      <c r="D113" s="73" t="s">
        <v>1099</v>
      </c>
      <c r="E113" s="43" t="s">
        <v>922</v>
      </c>
      <c r="F113" s="30" t="s">
        <v>1011</v>
      </c>
      <c r="G113" s="30" t="s">
        <v>977</v>
      </c>
      <c r="H113" s="43" t="s">
        <v>930</v>
      </c>
    </row>
    <row r="114" spans="1:8">
      <c r="A114" s="30">
        <v>2</v>
      </c>
      <c r="B114" s="43" t="str">
        <f t="shared" si="1"/>
        <v>KIP 2</v>
      </c>
      <c r="C114" s="50" t="s">
        <v>1040</v>
      </c>
      <c r="D114" s="73" t="s">
        <v>1099</v>
      </c>
      <c r="E114" s="43" t="s">
        <v>922</v>
      </c>
      <c r="F114" s="30" t="s">
        <v>1011</v>
      </c>
      <c r="G114" s="30" t="s">
        <v>1041</v>
      </c>
      <c r="H114" s="43" t="s">
        <v>930</v>
      </c>
    </row>
    <row r="115" spans="1:8">
      <c r="A115" s="30">
        <v>11</v>
      </c>
      <c r="B115" s="43" t="str">
        <f t="shared" si="1"/>
        <v>KIP 11</v>
      </c>
      <c r="C115" s="51" t="s">
        <v>1042</v>
      </c>
      <c r="D115" s="74" t="s">
        <v>1100</v>
      </c>
      <c r="E115" s="43" t="s">
        <v>1047</v>
      </c>
      <c r="F115" s="30" t="s">
        <v>1045</v>
      </c>
      <c r="G115" s="30" t="s">
        <v>1043</v>
      </c>
      <c r="H115" s="43" t="s">
        <v>1044</v>
      </c>
    </row>
    <row r="116" spans="1:8" ht="28.8">
      <c r="A116" s="30">
        <v>10</v>
      </c>
      <c r="B116" s="43" t="str">
        <f t="shared" si="1"/>
        <v>KIP 10</v>
      </c>
      <c r="C116" s="51" t="s">
        <v>950</v>
      </c>
      <c r="D116" s="74" t="s">
        <v>1100</v>
      </c>
      <c r="E116" s="43" t="s">
        <v>1047</v>
      </c>
      <c r="F116" s="44" t="s">
        <v>1048</v>
      </c>
      <c r="G116" s="30" t="s">
        <v>1046</v>
      </c>
      <c r="H116" s="45" t="s">
        <v>1050</v>
      </c>
    </row>
    <row r="117" spans="1:8" ht="28.8">
      <c r="A117" s="30">
        <v>9</v>
      </c>
      <c r="B117" s="43" t="str">
        <f t="shared" si="1"/>
        <v>KIP 9</v>
      </c>
      <c r="C117" s="51" t="s">
        <v>10</v>
      </c>
      <c r="D117" s="74" t="s">
        <v>1100</v>
      </c>
      <c r="E117" s="30"/>
      <c r="F117" s="44" t="s">
        <v>1052</v>
      </c>
      <c r="G117" s="30" t="s">
        <v>921</v>
      </c>
      <c r="H117" s="45" t="s">
        <v>1051</v>
      </c>
    </row>
    <row r="118" spans="1:8" ht="72">
      <c r="A118" s="30">
        <v>9</v>
      </c>
      <c r="B118" s="43" t="str">
        <f t="shared" si="1"/>
        <v>KIP 9</v>
      </c>
      <c r="C118" s="52" t="s">
        <v>949</v>
      </c>
      <c r="D118" s="75" t="s">
        <v>1101</v>
      </c>
      <c r="E118" s="44" t="s">
        <v>1057</v>
      </c>
      <c r="F118" s="30" t="s">
        <v>925</v>
      </c>
      <c r="G118" s="30" t="s">
        <v>927</v>
      </c>
      <c r="H118" s="43" t="s">
        <v>962</v>
      </c>
    </row>
    <row r="119" spans="1:8" ht="72">
      <c r="A119" s="30">
        <v>8</v>
      </c>
      <c r="B119" s="43" t="str">
        <f t="shared" si="1"/>
        <v>KIP 8</v>
      </c>
      <c r="C119" s="52" t="s">
        <v>1053</v>
      </c>
      <c r="D119" s="75" t="s">
        <v>1101</v>
      </c>
      <c r="E119" s="44" t="s">
        <v>1057</v>
      </c>
      <c r="F119" s="30" t="s">
        <v>1058</v>
      </c>
      <c r="G119" s="30" t="s">
        <v>955</v>
      </c>
      <c r="H119" s="43" t="s">
        <v>962</v>
      </c>
    </row>
    <row r="120" spans="1:8" ht="72">
      <c r="A120" s="30">
        <v>7</v>
      </c>
      <c r="B120" s="43" t="str">
        <f t="shared" si="1"/>
        <v>KIP 7</v>
      </c>
      <c r="C120" s="52" t="s">
        <v>1054</v>
      </c>
      <c r="D120" s="75" t="s">
        <v>1101</v>
      </c>
      <c r="E120" s="44" t="s">
        <v>1057</v>
      </c>
      <c r="F120" s="30" t="s">
        <v>1058</v>
      </c>
      <c r="G120" s="30" t="s">
        <v>923</v>
      </c>
      <c r="H120" s="43" t="s">
        <v>962</v>
      </c>
    </row>
    <row r="121" spans="1:8">
      <c r="A121" s="30">
        <v>7</v>
      </c>
      <c r="B121" s="43" t="str">
        <f t="shared" si="1"/>
        <v>KIP 7</v>
      </c>
      <c r="C121" s="53" t="s">
        <v>1055</v>
      </c>
      <c r="D121" s="75" t="s">
        <v>1101</v>
      </c>
      <c r="E121" s="45" t="s">
        <v>924</v>
      </c>
      <c r="F121" s="30" t="s">
        <v>925</v>
      </c>
      <c r="G121" s="30" t="s">
        <v>927</v>
      </c>
      <c r="H121" s="43" t="s">
        <v>962</v>
      </c>
    </row>
    <row r="122" spans="1:8">
      <c r="A122" s="30">
        <v>6</v>
      </c>
      <c r="B122" s="43" t="str">
        <f t="shared" si="1"/>
        <v>KIP 6</v>
      </c>
      <c r="C122" s="53" t="s">
        <v>1056</v>
      </c>
      <c r="D122" s="75" t="s">
        <v>1101</v>
      </c>
      <c r="E122" s="44" t="s">
        <v>924</v>
      </c>
      <c r="F122" s="30" t="s">
        <v>925</v>
      </c>
      <c r="G122" s="30" t="s">
        <v>955</v>
      </c>
      <c r="H122" s="30" t="s">
        <v>1059</v>
      </c>
    </row>
    <row r="123" spans="1:8">
      <c r="A123" s="30">
        <v>12</v>
      </c>
      <c r="B123" s="43" t="str">
        <f t="shared" si="1"/>
        <v>KIP 12</v>
      </c>
      <c r="C123" s="53" t="s">
        <v>1060</v>
      </c>
      <c r="D123" s="75" t="s">
        <v>1101</v>
      </c>
      <c r="E123" s="44" t="s">
        <v>1047</v>
      </c>
      <c r="F123" s="30" t="s">
        <v>925</v>
      </c>
      <c r="G123" s="30" t="s">
        <v>927</v>
      </c>
      <c r="H123" s="30" t="s">
        <v>1025</v>
      </c>
    </row>
    <row r="124" spans="1:8">
      <c r="A124" s="30">
        <v>11</v>
      </c>
      <c r="B124" s="43" t="str">
        <f t="shared" si="1"/>
        <v>KIP 11</v>
      </c>
      <c r="C124" s="53" t="s">
        <v>1061</v>
      </c>
      <c r="D124" s="75" t="s">
        <v>1101</v>
      </c>
      <c r="E124" s="44" t="s">
        <v>1047</v>
      </c>
      <c r="F124" s="30" t="s">
        <v>925</v>
      </c>
      <c r="G124" s="30" t="s">
        <v>955</v>
      </c>
      <c r="H124" s="30" t="s">
        <v>962</v>
      </c>
    </row>
    <row r="125" spans="1:8">
      <c r="A125" s="30">
        <v>10</v>
      </c>
      <c r="B125" s="43" t="str">
        <f t="shared" si="1"/>
        <v>KIP 10</v>
      </c>
      <c r="C125" s="53" t="s">
        <v>13</v>
      </c>
      <c r="D125" s="75" t="s">
        <v>1101</v>
      </c>
      <c r="E125" s="44" t="s">
        <v>1047</v>
      </c>
      <c r="F125" s="30" t="s">
        <v>925</v>
      </c>
      <c r="G125" s="30" t="s">
        <v>923</v>
      </c>
      <c r="H125" s="30" t="s">
        <v>962</v>
      </c>
    </row>
    <row r="126" spans="1:8">
      <c r="A126" s="30">
        <v>9</v>
      </c>
      <c r="B126" s="43" t="str">
        <f t="shared" si="1"/>
        <v>KIP 9</v>
      </c>
      <c r="C126" s="54" t="s">
        <v>1062</v>
      </c>
      <c r="D126" s="76" t="s">
        <v>1102</v>
      </c>
      <c r="E126" s="44" t="s">
        <v>243</v>
      </c>
      <c r="F126" s="30" t="s">
        <v>925</v>
      </c>
      <c r="G126" s="30" t="s">
        <v>927</v>
      </c>
      <c r="H126" s="30" t="s">
        <v>962</v>
      </c>
    </row>
    <row r="127" spans="1:8">
      <c r="A127" s="30">
        <v>8</v>
      </c>
      <c r="B127" s="43" t="str">
        <f t="shared" si="1"/>
        <v>KIP 8</v>
      </c>
      <c r="C127" s="54" t="s">
        <v>1063</v>
      </c>
      <c r="D127" s="76" t="s">
        <v>1102</v>
      </c>
      <c r="E127" s="44" t="s">
        <v>243</v>
      </c>
      <c r="F127" s="30" t="s">
        <v>1064</v>
      </c>
      <c r="G127" s="30" t="s">
        <v>955</v>
      </c>
      <c r="H127" s="30" t="s">
        <v>962</v>
      </c>
    </row>
    <row r="128" spans="1:8">
      <c r="A128" s="30">
        <v>7</v>
      </c>
      <c r="B128" s="43" t="str">
        <f t="shared" si="1"/>
        <v>KIP 7</v>
      </c>
      <c r="C128" s="54" t="s">
        <v>74</v>
      </c>
      <c r="D128" s="76" t="s">
        <v>1102</v>
      </c>
      <c r="E128" s="44" t="s">
        <v>243</v>
      </c>
      <c r="F128" s="30" t="s">
        <v>1064</v>
      </c>
      <c r="G128" s="30" t="s">
        <v>923</v>
      </c>
      <c r="H128" s="30" t="s">
        <v>944</v>
      </c>
    </row>
    <row r="129" spans="1:8">
      <c r="A129" s="30">
        <v>12</v>
      </c>
      <c r="B129" s="43" t="str">
        <f t="shared" si="1"/>
        <v>KIP 12</v>
      </c>
      <c r="C129" s="54" t="s">
        <v>1065</v>
      </c>
      <c r="D129" s="76" t="s">
        <v>1102</v>
      </c>
      <c r="E129" s="44" t="s">
        <v>1047</v>
      </c>
      <c r="F129" s="30" t="s">
        <v>1069</v>
      </c>
      <c r="G129" s="30" t="s">
        <v>927</v>
      </c>
      <c r="H129" s="30" t="s">
        <v>962</v>
      </c>
    </row>
    <row r="130" spans="1:8">
      <c r="A130" s="30">
        <v>11</v>
      </c>
      <c r="B130" s="43" t="str">
        <f t="shared" si="1"/>
        <v>KIP 11</v>
      </c>
      <c r="C130" s="54" t="s">
        <v>1066</v>
      </c>
      <c r="D130" s="76" t="s">
        <v>1102</v>
      </c>
      <c r="E130" s="44" t="s">
        <v>1047</v>
      </c>
      <c r="F130" s="30" t="s">
        <v>1070</v>
      </c>
      <c r="G130" s="30" t="s">
        <v>955</v>
      </c>
      <c r="H130" s="30" t="s">
        <v>962</v>
      </c>
    </row>
    <row r="131" spans="1:8">
      <c r="A131" s="30">
        <v>10</v>
      </c>
      <c r="B131" s="43" t="str">
        <f t="shared" si="1"/>
        <v>KIP 10</v>
      </c>
      <c r="C131" s="54" t="s">
        <v>140</v>
      </c>
      <c r="D131" s="76" t="s">
        <v>1102</v>
      </c>
      <c r="E131" s="44" t="s">
        <v>1047</v>
      </c>
      <c r="F131" s="30" t="s">
        <v>1070</v>
      </c>
      <c r="G131" s="30" t="s">
        <v>923</v>
      </c>
      <c r="H131" s="30" t="s">
        <v>962</v>
      </c>
    </row>
    <row r="132" spans="1:8">
      <c r="A132" s="30">
        <v>11</v>
      </c>
      <c r="B132" s="43" t="str">
        <f t="shared" si="1"/>
        <v>KIP 11</v>
      </c>
      <c r="C132" s="54" t="s">
        <v>1067</v>
      </c>
      <c r="D132" s="76" t="s">
        <v>1102</v>
      </c>
      <c r="E132" s="44" t="s">
        <v>1047</v>
      </c>
      <c r="F132" s="30" t="s">
        <v>1071</v>
      </c>
      <c r="G132" s="30" t="s">
        <v>976</v>
      </c>
      <c r="H132" s="30" t="s">
        <v>962</v>
      </c>
    </row>
    <row r="133" spans="1:8">
      <c r="A133" s="30">
        <v>10</v>
      </c>
      <c r="B133" s="43" t="str">
        <f t="shared" si="1"/>
        <v>KIP 10</v>
      </c>
      <c r="C133" s="54" t="s">
        <v>1068</v>
      </c>
      <c r="D133" s="76" t="s">
        <v>1102</v>
      </c>
      <c r="E133" s="44" t="s">
        <v>1047</v>
      </c>
      <c r="F133" s="30" t="s">
        <v>1072</v>
      </c>
      <c r="G133" s="30" t="s">
        <v>926</v>
      </c>
      <c r="H133" s="30" t="s">
        <v>962</v>
      </c>
    </row>
    <row r="134" spans="1:8" ht="43.2">
      <c r="A134" s="30">
        <v>9</v>
      </c>
      <c r="B134" s="43" t="str">
        <f t="shared" si="1"/>
        <v>KIP 9</v>
      </c>
      <c r="C134" s="54" t="s">
        <v>138</v>
      </c>
      <c r="D134" s="76" t="s">
        <v>1102</v>
      </c>
      <c r="E134" s="44" t="s">
        <v>1074</v>
      </c>
      <c r="F134" s="30" t="s">
        <v>1073</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I128"/>
  <sheetViews>
    <sheetView topLeftCell="C28" workbookViewId="0">
      <selection activeCell="A38" sqref="A38:XFD38"/>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940</v>
      </c>
      <c r="D1" s="93" t="s">
        <v>1148</v>
      </c>
      <c r="E1" s="93" t="s">
        <v>920</v>
      </c>
      <c r="F1" s="93" t="s">
        <v>928</v>
      </c>
      <c r="G1" s="93" t="s">
        <v>941</v>
      </c>
      <c r="H1" s="93" t="s">
        <v>942</v>
      </c>
      <c r="I1" s="93" t="s">
        <v>938</v>
      </c>
    </row>
    <row r="2" spans="1:9">
      <c r="A2" s="94">
        <v>1</v>
      </c>
      <c r="B2" s="94" t="s">
        <v>1135</v>
      </c>
      <c r="C2" s="94" t="s">
        <v>1075</v>
      </c>
      <c r="D2" s="94" t="s">
        <v>1103</v>
      </c>
      <c r="E2" s="94" t="s">
        <v>210</v>
      </c>
      <c r="F2" s="94">
        <v>30</v>
      </c>
      <c r="G2" s="94" t="s">
        <v>1076</v>
      </c>
      <c r="H2" s="94" t="s">
        <v>929</v>
      </c>
      <c r="I2" s="94">
        <v>100</v>
      </c>
    </row>
    <row r="3" spans="1:9">
      <c r="A3" s="98">
        <v>2</v>
      </c>
      <c r="B3" s="98" t="s">
        <v>1136</v>
      </c>
      <c r="C3" s="98" t="s">
        <v>27</v>
      </c>
      <c r="D3" s="98" t="s">
        <v>1104</v>
      </c>
      <c r="E3" s="98" t="s">
        <v>210</v>
      </c>
      <c r="F3" s="98">
        <v>20</v>
      </c>
      <c r="G3" s="98" t="s">
        <v>978</v>
      </c>
      <c r="H3" s="98" t="s">
        <v>929</v>
      </c>
      <c r="I3" s="98">
        <v>80</v>
      </c>
    </row>
    <row r="4" spans="1:9">
      <c r="A4" s="98">
        <v>2</v>
      </c>
      <c r="B4" s="98" t="s">
        <v>1136</v>
      </c>
      <c r="C4" s="98" t="s">
        <v>1077</v>
      </c>
      <c r="D4" s="98" t="s">
        <v>1105</v>
      </c>
      <c r="E4" s="98" t="s">
        <v>210</v>
      </c>
      <c r="F4" s="98">
        <v>20</v>
      </c>
      <c r="G4" s="98" t="s">
        <v>978</v>
      </c>
      <c r="H4" s="98" t="s">
        <v>929</v>
      </c>
      <c r="I4" s="98">
        <v>80</v>
      </c>
    </row>
    <row r="5" spans="1:9">
      <c r="A5" s="98">
        <v>2</v>
      </c>
      <c r="B5" s="98" t="s">
        <v>1136</v>
      </c>
      <c r="C5" s="98" t="s">
        <v>1078</v>
      </c>
      <c r="D5" s="98" t="s">
        <v>1106</v>
      </c>
      <c r="E5" s="98" t="s">
        <v>210</v>
      </c>
      <c r="F5" s="98">
        <v>15</v>
      </c>
      <c r="G5" s="98" t="s">
        <v>978</v>
      </c>
      <c r="H5" s="98" t="s">
        <v>929</v>
      </c>
      <c r="I5" s="98">
        <v>80</v>
      </c>
    </row>
    <row r="6" spans="1:9">
      <c r="A6" s="98">
        <v>2</v>
      </c>
      <c r="B6" s="98" t="s">
        <v>1136</v>
      </c>
      <c r="C6" s="98" t="s">
        <v>1079</v>
      </c>
      <c r="D6" s="98" t="s">
        <v>1107</v>
      </c>
      <c r="E6" s="98" t="s">
        <v>224</v>
      </c>
      <c r="F6" s="98" t="s">
        <v>981</v>
      </c>
      <c r="G6" s="98" t="s">
        <v>1080</v>
      </c>
      <c r="H6" s="98" t="s">
        <v>929</v>
      </c>
      <c r="I6" s="98" t="s">
        <v>925</v>
      </c>
    </row>
    <row r="7" spans="1:9">
      <c r="A7" s="97">
        <v>2</v>
      </c>
      <c r="B7" s="97" t="s">
        <v>1136</v>
      </c>
      <c r="C7" s="97" t="s">
        <v>28</v>
      </c>
      <c r="D7" s="97" t="s">
        <v>1127</v>
      </c>
      <c r="E7" s="97" t="s">
        <v>210</v>
      </c>
      <c r="F7" s="97">
        <v>20</v>
      </c>
      <c r="G7" s="97" t="s">
        <v>978</v>
      </c>
      <c r="H7" s="97" t="s">
        <v>929</v>
      </c>
      <c r="I7" s="97">
        <v>80</v>
      </c>
    </row>
    <row r="8" spans="1:9">
      <c r="A8" s="97">
        <v>2</v>
      </c>
      <c r="B8" s="97" t="s">
        <v>1136</v>
      </c>
      <c r="C8" s="97" t="s">
        <v>17</v>
      </c>
      <c r="D8" s="97" t="s">
        <v>1092</v>
      </c>
      <c r="E8" s="97" t="s">
        <v>922</v>
      </c>
      <c r="F8" s="97" t="s">
        <v>979</v>
      </c>
      <c r="G8" s="97" t="s">
        <v>978</v>
      </c>
      <c r="H8" s="97" t="s">
        <v>929</v>
      </c>
      <c r="I8" s="97" t="s">
        <v>925</v>
      </c>
    </row>
    <row r="9" spans="1:9">
      <c r="A9" s="97">
        <v>2</v>
      </c>
      <c r="B9" s="97" t="s">
        <v>1136</v>
      </c>
      <c r="C9" s="97" t="s">
        <v>1040</v>
      </c>
      <c r="D9" s="97" t="s">
        <v>1099</v>
      </c>
      <c r="E9" s="97" t="s">
        <v>922</v>
      </c>
      <c r="F9" s="97" t="s">
        <v>1011</v>
      </c>
      <c r="G9" s="97" t="s">
        <v>1041</v>
      </c>
      <c r="H9" s="97" t="s">
        <v>930</v>
      </c>
      <c r="I9" s="97" t="s">
        <v>925</v>
      </c>
    </row>
    <row r="10" spans="1:9">
      <c r="A10" s="96">
        <v>3</v>
      </c>
      <c r="B10" s="96" t="s">
        <v>1137</v>
      </c>
      <c r="C10" s="96" t="s">
        <v>32</v>
      </c>
      <c r="D10" s="96" t="s">
        <v>1110</v>
      </c>
      <c r="E10" s="96" t="s">
        <v>210</v>
      </c>
      <c r="F10" s="96">
        <v>15</v>
      </c>
      <c r="G10" s="96" t="s">
        <v>977</v>
      </c>
      <c r="H10" s="96" t="s">
        <v>929</v>
      </c>
      <c r="I10" s="96" t="s">
        <v>925</v>
      </c>
    </row>
    <row r="11" spans="1:9">
      <c r="A11" s="96">
        <v>3</v>
      </c>
      <c r="B11" s="96" t="s">
        <v>1137</v>
      </c>
      <c r="C11" s="96" t="s">
        <v>1081</v>
      </c>
      <c r="D11" s="96" t="s">
        <v>1111</v>
      </c>
      <c r="E11" s="96" t="s">
        <v>210</v>
      </c>
      <c r="F11" s="96">
        <v>15</v>
      </c>
      <c r="G11" s="96" t="s">
        <v>977</v>
      </c>
      <c r="H11" s="96" t="s">
        <v>929</v>
      </c>
      <c r="I11" s="96" t="s">
        <v>925</v>
      </c>
    </row>
    <row r="12" spans="1:9">
      <c r="A12" s="96">
        <v>3</v>
      </c>
      <c r="B12" s="96" t="s">
        <v>1137</v>
      </c>
      <c r="C12" s="96" t="s">
        <v>1082</v>
      </c>
      <c r="D12" s="96" t="s">
        <v>1112</v>
      </c>
      <c r="E12" s="96" t="s">
        <v>210</v>
      </c>
      <c r="F12" s="96">
        <v>15</v>
      </c>
      <c r="G12" s="96" t="s">
        <v>977</v>
      </c>
      <c r="H12" s="96" t="s">
        <v>929</v>
      </c>
      <c r="I12" s="96" t="s">
        <v>925</v>
      </c>
    </row>
    <row r="13" spans="1:9">
      <c r="A13" s="96">
        <v>3</v>
      </c>
      <c r="B13" s="96" t="s">
        <v>1137</v>
      </c>
      <c r="C13" s="96" t="s">
        <v>62</v>
      </c>
      <c r="D13" s="96" t="s">
        <v>1113</v>
      </c>
      <c r="E13" s="96" t="s">
        <v>210</v>
      </c>
      <c r="F13" s="96">
        <v>15</v>
      </c>
      <c r="G13" s="96" t="s">
        <v>977</v>
      </c>
      <c r="H13" s="96" t="s">
        <v>929</v>
      </c>
      <c r="I13" s="96" t="s">
        <v>925</v>
      </c>
    </row>
    <row r="14" spans="1:9">
      <c r="A14" s="96">
        <v>3</v>
      </c>
      <c r="B14" s="96" t="s">
        <v>1137</v>
      </c>
      <c r="C14" s="96" t="s">
        <v>1083</v>
      </c>
      <c r="D14" s="96" t="s">
        <v>1114</v>
      </c>
      <c r="E14" s="96" t="s">
        <v>210</v>
      </c>
      <c r="F14" s="96">
        <v>15</v>
      </c>
      <c r="G14" s="96" t="s">
        <v>977</v>
      </c>
      <c r="H14" s="96" t="s">
        <v>929</v>
      </c>
      <c r="I14" s="96" t="s">
        <v>925</v>
      </c>
    </row>
    <row r="15" spans="1:9">
      <c r="A15" s="96">
        <v>3</v>
      </c>
      <c r="B15" s="96" t="s">
        <v>1137</v>
      </c>
      <c r="C15" s="96" t="s">
        <v>1084</v>
      </c>
      <c r="D15" s="96" t="s">
        <v>1115</v>
      </c>
      <c r="E15" s="96" t="s">
        <v>210</v>
      </c>
      <c r="F15" s="96">
        <v>15</v>
      </c>
      <c r="G15" s="96" t="s">
        <v>977</v>
      </c>
      <c r="H15" s="96" t="s">
        <v>929</v>
      </c>
      <c r="I15" s="96" t="s">
        <v>925</v>
      </c>
    </row>
    <row r="16" spans="1:9">
      <c r="A16" s="96">
        <v>3</v>
      </c>
      <c r="B16" s="96" t="s">
        <v>1137</v>
      </c>
      <c r="C16" s="96" t="s">
        <v>1085</v>
      </c>
      <c r="D16" s="96" t="s">
        <v>1116</v>
      </c>
      <c r="E16" s="96" t="s">
        <v>210</v>
      </c>
      <c r="F16" s="96">
        <v>15</v>
      </c>
      <c r="G16" s="96" t="s">
        <v>977</v>
      </c>
      <c r="H16" s="96" t="s">
        <v>929</v>
      </c>
      <c r="I16" s="96" t="s">
        <v>925</v>
      </c>
    </row>
    <row r="17" spans="1:9">
      <c r="A17" s="96">
        <v>3</v>
      </c>
      <c r="B17" s="96" t="s">
        <v>1137</v>
      </c>
      <c r="C17" s="96" t="s">
        <v>1086</v>
      </c>
      <c r="D17" s="96" t="s">
        <v>1117</v>
      </c>
      <c r="E17" s="96" t="s">
        <v>210</v>
      </c>
      <c r="F17" s="96">
        <v>15</v>
      </c>
      <c r="G17" s="96" t="s">
        <v>977</v>
      </c>
      <c r="H17" s="96" t="s">
        <v>929</v>
      </c>
      <c r="I17" s="96" t="s">
        <v>925</v>
      </c>
    </row>
    <row r="18" spans="1:9">
      <c r="A18" s="96">
        <v>3</v>
      </c>
      <c r="B18" s="96" t="s">
        <v>1137</v>
      </c>
      <c r="C18" s="96" t="s">
        <v>1087</v>
      </c>
      <c r="D18" s="96" t="s">
        <v>1118</v>
      </c>
      <c r="E18" s="96" t="s">
        <v>210</v>
      </c>
      <c r="F18" s="96">
        <v>15</v>
      </c>
      <c r="G18" s="96" t="s">
        <v>977</v>
      </c>
      <c r="H18" s="96" t="s">
        <v>929</v>
      </c>
      <c r="I18" s="96" t="s">
        <v>925</v>
      </c>
    </row>
    <row r="19" spans="1:9">
      <c r="A19" s="96">
        <v>3</v>
      </c>
      <c r="B19" s="96" t="s">
        <v>1137</v>
      </c>
      <c r="C19" s="96" t="s">
        <v>1088</v>
      </c>
      <c r="D19" s="96" t="s">
        <v>1119</v>
      </c>
      <c r="E19" s="96" t="s">
        <v>210</v>
      </c>
      <c r="F19" s="96">
        <v>15</v>
      </c>
      <c r="G19" s="96" t="s">
        <v>977</v>
      </c>
      <c r="H19" s="96" t="s">
        <v>929</v>
      </c>
      <c r="I19" s="96" t="s">
        <v>925</v>
      </c>
    </row>
    <row r="20" spans="1:9">
      <c r="A20" s="96">
        <v>3</v>
      </c>
      <c r="B20" s="96" t="s">
        <v>1137</v>
      </c>
      <c r="C20" s="96" t="s">
        <v>107</v>
      </c>
      <c r="D20" s="96" t="s">
        <v>1120</v>
      </c>
      <c r="E20" s="96" t="s">
        <v>210</v>
      </c>
      <c r="F20" s="96">
        <v>15</v>
      </c>
      <c r="G20" s="96" t="s">
        <v>977</v>
      </c>
      <c r="H20" s="96" t="s">
        <v>929</v>
      </c>
      <c r="I20" s="96" t="s">
        <v>925</v>
      </c>
    </row>
    <row r="21" spans="1:9">
      <c r="A21" s="96">
        <v>3</v>
      </c>
      <c r="B21" s="96" t="s">
        <v>1137</v>
      </c>
      <c r="C21" s="96" t="s">
        <v>47</v>
      </c>
      <c r="D21" s="96" t="s">
        <v>1126</v>
      </c>
      <c r="E21" s="96" t="s">
        <v>210</v>
      </c>
      <c r="F21" s="96">
        <v>15</v>
      </c>
      <c r="G21" s="96" t="s">
        <v>977</v>
      </c>
      <c r="H21" s="96" t="s">
        <v>930</v>
      </c>
      <c r="I21" s="96">
        <v>50</v>
      </c>
    </row>
    <row r="22" spans="1:9">
      <c r="A22" s="96">
        <v>3</v>
      </c>
      <c r="B22" s="96" t="s">
        <v>1137</v>
      </c>
      <c r="C22" s="96" t="s">
        <v>18</v>
      </c>
      <c r="D22" s="96" t="s">
        <v>1092</v>
      </c>
      <c r="E22" s="96" t="s">
        <v>922</v>
      </c>
      <c r="F22" s="96" t="s">
        <v>972</v>
      </c>
      <c r="G22" s="96" t="s">
        <v>977</v>
      </c>
      <c r="H22" s="96" t="s">
        <v>930</v>
      </c>
      <c r="I22" s="96" t="s">
        <v>925</v>
      </c>
    </row>
    <row r="23" spans="1:9">
      <c r="A23" s="96">
        <v>3</v>
      </c>
      <c r="B23" s="96" t="s">
        <v>1137</v>
      </c>
      <c r="C23" s="96" t="s">
        <v>112</v>
      </c>
      <c r="D23" s="96" t="s">
        <v>1093</v>
      </c>
      <c r="E23" s="96" t="s">
        <v>922</v>
      </c>
      <c r="F23" s="96" t="s">
        <v>981</v>
      </c>
      <c r="G23" s="96" t="s">
        <v>977</v>
      </c>
      <c r="H23" s="96" t="s">
        <v>929</v>
      </c>
      <c r="I23" s="96" t="s">
        <v>925</v>
      </c>
    </row>
    <row r="24" spans="1:9">
      <c r="A24" s="96">
        <v>3</v>
      </c>
      <c r="B24" s="96" t="s">
        <v>1137</v>
      </c>
      <c r="C24" s="96" t="s">
        <v>115</v>
      </c>
      <c r="D24" s="96" t="s">
        <v>1094</v>
      </c>
      <c r="E24" s="96" t="s">
        <v>922</v>
      </c>
      <c r="F24" s="96" t="s">
        <v>669</v>
      </c>
      <c r="G24" s="96" t="s">
        <v>987</v>
      </c>
      <c r="H24" s="96" t="s">
        <v>930</v>
      </c>
      <c r="I24" s="96" t="s">
        <v>925</v>
      </c>
    </row>
    <row r="25" spans="1:9">
      <c r="A25" s="96">
        <v>3</v>
      </c>
      <c r="B25" s="96" t="s">
        <v>1137</v>
      </c>
      <c r="C25" s="96" t="s">
        <v>995</v>
      </c>
      <c r="D25" s="96" t="s">
        <v>1095</v>
      </c>
      <c r="E25" s="96" t="s">
        <v>922</v>
      </c>
      <c r="F25" s="96" t="s">
        <v>997</v>
      </c>
      <c r="G25" s="96" t="s">
        <v>977</v>
      </c>
      <c r="H25" s="96" t="s">
        <v>930</v>
      </c>
      <c r="I25" s="96" t="s">
        <v>925</v>
      </c>
    </row>
    <row r="26" spans="1:9">
      <c r="A26" s="96">
        <v>3</v>
      </c>
      <c r="B26" s="96" t="s">
        <v>1137</v>
      </c>
      <c r="C26" s="96" t="s">
        <v>145</v>
      </c>
      <c r="D26" s="96" t="s">
        <v>1097</v>
      </c>
      <c r="E26" s="96" t="s">
        <v>922</v>
      </c>
      <c r="F26" s="96" t="s">
        <v>1011</v>
      </c>
      <c r="G26" s="96" t="s">
        <v>987</v>
      </c>
      <c r="H26" s="96" t="s">
        <v>930</v>
      </c>
      <c r="I26" s="96" t="s">
        <v>925</v>
      </c>
    </row>
    <row r="27" spans="1:9">
      <c r="A27" s="96">
        <v>3</v>
      </c>
      <c r="B27" s="96" t="s">
        <v>1137</v>
      </c>
      <c r="C27" s="96" t="s">
        <v>155</v>
      </c>
      <c r="D27" s="96" t="s">
        <v>1098</v>
      </c>
      <c r="E27" s="96" t="s">
        <v>922</v>
      </c>
      <c r="F27" s="96" t="s">
        <v>981</v>
      </c>
      <c r="G27" s="96" t="s">
        <v>987</v>
      </c>
      <c r="H27" s="96" t="s">
        <v>930</v>
      </c>
      <c r="I27" s="96" t="s">
        <v>925</v>
      </c>
    </row>
    <row r="28" spans="1:9">
      <c r="A28" s="96">
        <v>3</v>
      </c>
      <c r="B28" s="96" t="s">
        <v>1137</v>
      </c>
      <c r="C28" s="96" t="s">
        <v>1029</v>
      </c>
      <c r="D28" s="96" t="s">
        <v>390</v>
      </c>
      <c r="E28" s="96" t="s">
        <v>922</v>
      </c>
      <c r="F28" s="96" t="s">
        <v>1027</v>
      </c>
      <c r="G28" s="96" t="s">
        <v>977</v>
      </c>
      <c r="H28" s="96" t="s">
        <v>930</v>
      </c>
      <c r="I28" s="96" t="s">
        <v>925</v>
      </c>
    </row>
    <row r="29" spans="1:9">
      <c r="A29" s="96">
        <v>3</v>
      </c>
      <c r="B29" s="96" t="s">
        <v>1137</v>
      </c>
      <c r="C29" s="96" t="s">
        <v>1036</v>
      </c>
      <c r="D29" s="96" t="s">
        <v>433</v>
      </c>
      <c r="E29" s="96" t="s">
        <v>922</v>
      </c>
      <c r="F29" s="96" t="s">
        <v>981</v>
      </c>
      <c r="G29" s="96" t="s">
        <v>987</v>
      </c>
      <c r="H29" s="96" t="s">
        <v>930</v>
      </c>
      <c r="I29" s="96" t="s">
        <v>925</v>
      </c>
    </row>
    <row r="30" spans="1:9">
      <c r="A30" s="96">
        <v>3</v>
      </c>
      <c r="B30" s="96" t="s">
        <v>1137</v>
      </c>
      <c r="C30" s="96" t="s">
        <v>169</v>
      </c>
      <c r="D30" s="96" t="s">
        <v>1099</v>
      </c>
      <c r="E30" s="96" t="s">
        <v>922</v>
      </c>
      <c r="F30" s="96" t="s">
        <v>1011</v>
      </c>
      <c r="G30" s="96" t="s">
        <v>977</v>
      </c>
      <c r="H30" s="96" t="s">
        <v>930</v>
      </c>
      <c r="I30" s="96" t="s">
        <v>925</v>
      </c>
    </row>
    <row r="31" spans="1:9">
      <c r="A31" s="95">
        <v>4</v>
      </c>
      <c r="B31" s="95" t="s">
        <v>1138</v>
      </c>
      <c r="C31" s="95" t="s">
        <v>35</v>
      </c>
      <c r="D31" s="95" t="s">
        <v>1121</v>
      </c>
      <c r="E31" s="95" t="s">
        <v>210</v>
      </c>
      <c r="F31" s="95">
        <v>5</v>
      </c>
      <c r="G31" s="95" t="s">
        <v>975</v>
      </c>
      <c r="H31" s="95" t="s">
        <v>930</v>
      </c>
      <c r="I31" s="95" t="s">
        <v>925</v>
      </c>
    </row>
    <row r="32" spans="1:9">
      <c r="A32" s="95">
        <v>4</v>
      </c>
      <c r="B32" s="95" t="s">
        <v>1138</v>
      </c>
      <c r="C32" s="95" t="s">
        <v>36</v>
      </c>
      <c r="D32" s="95" t="s">
        <v>1125</v>
      </c>
      <c r="E32" s="95" t="s">
        <v>210</v>
      </c>
      <c r="F32" s="95">
        <v>5</v>
      </c>
      <c r="G32" s="95" t="s">
        <v>975</v>
      </c>
      <c r="H32" s="95" t="s">
        <v>930</v>
      </c>
      <c r="I32" s="95" t="s">
        <v>925</v>
      </c>
    </row>
    <row r="33" spans="1:9">
      <c r="A33" s="95">
        <v>4</v>
      </c>
      <c r="B33" s="95" t="s">
        <v>1138</v>
      </c>
      <c r="C33" s="95" t="s">
        <v>969</v>
      </c>
      <c r="D33" s="95" t="s">
        <v>1092</v>
      </c>
      <c r="E33" s="95" t="s">
        <v>922</v>
      </c>
      <c r="F33" s="95" t="s">
        <v>972</v>
      </c>
      <c r="G33" s="95" t="s">
        <v>975</v>
      </c>
      <c r="H33" s="95" t="s">
        <v>930</v>
      </c>
      <c r="I33" s="95" t="s">
        <v>925</v>
      </c>
    </row>
    <row r="34" spans="1:9">
      <c r="A34" s="95">
        <v>4</v>
      </c>
      <c r="B34" s="95" t="s">
        <v>1138</v>
      </c>
      <c r="C34" s="95" t="s">
        <v>113</v>
      </c>
      <c r="D34" s="95" t="s">
        <v>1093</v>
      </c>
      <c r="E34" s="95" t="s">
        <v>922</v>
      </c>
      <c r="F34" s="95" t="s">
        <v>981</v>
      </c>
      <c r="G34" s="95" t="s">
        <v>975</v>
      </c>
      <c r="H34" s="95" t="s">
        <v>929</v>
      </c>
      <c r="I34" s="95" t="s">
        <v>925</v>
      </c>
    </row>
    <row r="35" spans="1:9">
      <c r="A35" s="95">
        <v>4</v>
      </c>
      <c r="B35" s="95" t="s">
        <v>1138</v>
      </c>
      <c r="C35" s="95" t="s">
        <v>986</v>
      </c>
      <c r="D35" s="95" t="s">
        <v>1094</v>
      </c>
      <c r="E35" s="95" t="s">
        <v>922</v>
      </c>
      <c r="F35" s="95" t="s">
        <v>669</v>
      </c>
      <c r="G35" s="95" t="s">
        <v>975</v>
      </c>
      <c r="H35" s="95" t="s">
        <v>930</v>
      </c>
      <c r="I35" s="95" t="s">
        <v>925</v>
      </c>
    </row>
    <row r="36" spans="1:9">
      <c r="A36" s="95">
        <v>4</v>
      </c>
      <c r="B36" s="95" t="s">
        <v>1138</v>
      </c>
      <c r="C36" s="95" t="s">
        <v>994</v>
      </c>
      <c r="D36" s="95" t="s">
        <v>1095</v>
      </c>
      <c r="E36" s="95" t="s">
        <v>922</v>
      </c>
      <c r="F36" s="95" t="s">
        <v>997</v>
      </c>
      <c r="G36" s="95" t="s">
        <v>975</v>
      </c>
      <c r="H36" s="95" t="s">
        <v>930</v>
      </c>
      <c r="I36" s="95" t="s">
        <v>925</v>
      </c>
    </row>
    <row r="37" spans="1:9">
      <c r="A37" s="95">
        <v>4</v>
      </c>
      <c r="B37" s="95" t="s">
        <v>1138</v>
      </c>
      <c r="C37" s="95" t="s">
        <v>132</v>
      </c>
      <c r="D37" s="95" t="s">
        <v>1096</v>
      </c>
      <c r="E37" s="95" t="s">
        <v>922</v>
      </c>
      <c r="F37" s="95" t="s">
        <v>981</v>
      </c>
      <c r="G37" s="95" t="s">
        <v>975</v>
      </c>
      <c r="H37" s="95" t="s">
        <v>930</v>
      </c>
      <c r="I37" s="95" t="s">
        <v>925</v>
      </c>
    </row>
    <row r="38" spans="1:9">
      <c r="A38" s="95">
        <v>4</v>
      </c>
      <c r="B38" s="95" t="s">
        <v>1138</v>
      </c>
      <c r="C38" s="95" t="s">
        <v>1006</v>
      </c>
      <c r="D38" s="95" t="s">
        <v>1097</v>
      </c>
      <c r="E38" s="95" t="s">
        <v>922</v>
      </c>
      <c r="F38" s="95" t="s">
        <v>1011</v>
      </c>
      <c r="G38" s="95" t="s">
        <v>1010</v>
      </c>
      <c r="H38" s="95" t="s">
        <v>930</v>
      </c>
      <c r="I38" s="95" t="s">
        <v>925</v>
      </c>
    </row>
    <row r="39" spans="1:9">
      <c r="A39" s="95">
        <v>4</v>
      </c>
      <c r="B39" s="95" t="s">
        <v>1138</v>
      </c>
      <c r="C39" s="95" t="s">
        <v>156</v>
      </c>
      <c r="D39" s="95" t="s">
        <v>1098</v>
      </c>
      <c r="E39" s="95" t="s">
        <v>922</v>
      </c>
      <c r="F39" s="95" t="s">
        <v>981</v>
      </c>
      <c r="G39" s="95" t="s">
        <v>1017</v>
      </c>
      <c r="H39" s="95" t="s">
        <v>930</v>
      </c>
      <c r="I39" s="95" t="s">
        <v>925</v>
      </c>
    </row>
    <row r="40" spans="1:9">
      <c r="A40" s="95">
        <v>4</v>
      </c>
      <c r="B40" s="95" t="s">
        <v>1138</v>
      </c>
      <c r="C40" s="95" t="s">
        <v>1024</v>
      </c>
      <c r="D40" s="95" t="s">
        <v>390</v>
      </c>
      <c r="E40" s="95" t="s">
        <v>922</v>
      </c>
      <c r="F40" s="95" t="s">
        <v>1027</v>
      </c>
      <c r="G40" s="95" t="s">
        <v>975</v>
      </c>
      <c r="H40" s="95" t="s">
        <v>930</v>
      </c>
      <c r="I40" s="95" t="s">
        <v>925</v>
      </c>
    </row>
    <row r="41" spans="1:9">
      <c r="A41" s="95">
        <v>4</v>
      </c>
      <c r="B41" s="95" t="s">
        <v>1138</v>
      </c>
      <c r="C41" s="95" t="s">
        <v>1035</v>
      </c>
      <c r="D41" s="95" t="s">
        <v>433</v>
      </c>
      <c r="E41" s="95" t="s">
        <v>922</v>
      </c>
      <c r="F41" s="95" t="s">
        <v>981</v>
      </c>
      <c r="G41" s="95" t="s">
        <v>975</v>
      </c>
      <c r="H41" s="95" t="s">
        <v>930</v>
      </c>
      <c r="I41" s="95" t="s">
        <v>925</v>
      </c>
    </row>
    <row r="42" spans="1:9">
      <c r="A42" s="95">
        <v>4</v>
      </c>
      <c r="B42" s="95" t="s">
        <v>1138</v>
      </c>
      <c r="C42" s="95" t="s">
        <v>170</v>
      </c>
      <c r="D42" s="95" t="s">
        <v>1099</v>
      </c>
      <c r="E42" s="95" t="s">
        <v>922</v>
      </c>
      <c r="F42" s="95" t="s">
        <v>1011</v>
      </c>
      <c r="G42" s="95" t="s">
        <v>975</v>
      </c>
      <c r="H42" s="95" t="s">
        <v>930</v>
      </c>
      <c r="I42" s="95" t="s">
        <v>925</v>
      </c>
    </row>
    <row r="43" spans="1:9" hidden="1">
      <c r="A43" s="100">
        <v>5</v>
      </c>
      <c r="B43" s="100" t="s">
        <v>1141</v>
      </c>
      <c r="C43" s="100" t="s">
        <v>37</v>
      </c>
      <c r="D43" s="100" t="s">
        <v>1124</v>
      </c>
      <c r="E43" s="100" t="s">
        <v>943</v>
      </c>
      <c r="F43" s="100" t="s">
        <v>981</v>
      </c>
      <c r="G43" s="100" t="s">
        <v>976</v>
      </c>
      <c r="H43" s="100" t="s">
        <v>930</v>
      </c>
      <c r="I43" s="100" t="s">
        <v>925</v>
      </c>
    </row>
    <row r="44" spans="1:9" hidden="1">
      <c r="A44" s="100">
        <v>5</v>
      </c>
      <c r="B44" s="100" t="s">
        <v>1141</v>
      </c>
      <c r="C44" s="100" t="s">
        <v>20</v>
      </c>
      <c r="D44" s="100" t="s">
        <v>1092</v>
      </c>
      <c r="E44" s="100" t="s">
        <v>971</v>
      </c>
      <c r="F44" s="100" t="s">
        <v>972</v>
      </c>
      <c r="G44" s="100" t="s">
        <v>976</v>
      </c>
      <c r="H44" s="100" t="s">
        <v>930</v>
      </c>
      <c r="I44" s="100" t="s">
        <v>925</v>
      </c>
    </row>
    <row r="45" spans="1:9" hidden="1">
      <c r="A45" s="100">
        <v>5</v>
      </c>
      <c r="B45" s="100" t="s">
        <v>1141</v>
      </c>
      <c r="C45" s="100" t="s">
        <v>109</v>
      </c>
      <c r="D45" s="100" t="s">
        <v>1093</v>
      </c>
      <c r="E45" s="100" t="s">
        <v>922</v>
      </c>
      <c r="F45" s="100" t="s">
        <v>981</v>
      </c>
      <c r="G45" s="100" t="s">
        <v>976</v>
      </c>
      <c r="H45" s="100" t="s">
        <v>930</v>
      </c>
      <c r="I45" s="100" t="s">
        <v>925</v>
      </c>
    </row>
    <row r="46" spans="1:9" hidden="1">
      <c r="A46" s="100">
        <v>5</v>
      </c>
      <c r="B46" s="100" t="s">
        <v>1141</v>
      </c>
      <c r="C46" s="100" t="s">
        <v>117</v>
      </c>
      <c r="D46" s="100" t="s">
        <v>1094</v>
      </c>
      <c r="E46" s="100" t="s">
        <v>922</v>
      </c>
      <c r="F46" s="100" t="s">
        <v>669</v>
      </c>
      <c r="G46" s="100" t="s">
        <v>976</v>
      </c>
      <c r="H46" s="100" t="s">
        <v>944</v>
      </c>
      <c r="I46" s="100" t="s">
        <v>925</v>
      </c>
    </row>
    <row r="47" spans="1:9" hidden="1">
      <c r="A47" s="100">
        <v>5</v>
      </c>
      <c r="B47" s="100" t="s">
        <v>1141</v>
      </c>
      <c r="C47" s="100" t="s">
        <v>993</v>
      </c>
      <c r="D47" s="100" t="s">
        <v>1095</v>
      </c>
      <c r="E47" s="100" t="s">
        <v>922</v>
      </c>
      <c r="F47" s="100" t="s">
        <v>997</v>
      </c>
      <c r="G47" s="100" t="s">
        <v>976</v>
      </c>
      <c r="H47" s="100" t="s">
        <v>930</v>
      </c>
      <c r="I47" s="100" t="s">
        <v>925</v>
      </c>
    </row>
    <row r="48" spans="1:9" hidden="1">
      <c r="A48" s="100">
        <v>5</v>
      </c>
      <c r="B48" s="100" t="s">
        <v>1141</v>
      </c>
      <c r="C48" s="100" t="s">
        <v>1002</v>
      </c>
      <c r="D48" s="100" t="s">
        <v>1096</v>
      </c>
      <c r="E48" s="100" t="s">
        <v>922</v>
      </c>
      <c r="F48" s="100" t="s">
        <v>981</v>
      </c>
      <c r="G48" s="100" t="s">
        <v>976</v>
      </c>
      <c r="H48" s="100" t="s">
        <v>930</v>
      </c>
      <c r="I48" s="100" t="s">
        <v>925</v>
      </c>
    </row>
    <row r="49" spans="1:9" hidden="1">
      <c r="A49" s="100">
        <v>5</v>
      </c>
      <c r="B49" s="100" t="s">
        <v>1141</v>
      </c>
      <c r="C49" s="100" t="s">
        <v>148</v>
      </c>
      <c r="D49" s="100" t="s">
        <v>1097</v>
      </c>
      <c r="E49" s="100" t="s">
        <v>922</v>
      </c>
      <c r="F49" s="100" t="s">
        <v>1009</v>
      </c>
      <c r="G49" s="100" t="s">
        <v>976</v>
      </c>
      <c r="H49" s="100" t="s">
        <v>930</v>
      </c>
      <c r="I49" s="100" t="s">
        <v>925</v>
      </c>
    </row>
    <row r="50" spans="1:9" hidden="1">
      <c r="A50" s="100">
        <v>5</v>
      </c>
      <c r="B50" s="100" t="s">
        <v>1141</v>
      </c>
      <c r="C50" s="100" t="s">
        <v>1016</v>
      </c>
      <c r="D50" s="100" t="s">
        <v>1098</v>
      </c>
      <c r="E50" s="100" t="s">
        <v>924</v>
      </c>
      <c r="F50" s="100" t="s">
        <v>981</v>
      </c>
      <c r="G50" s="100" t="s">
        <v>976</v>
      </c>
      <c r="H50" s="100" t="s">
        <v>930</v>
      </c>
      <c r="I50" s="100" t="s">
        <v>925</v>
      </c>
    </row>
    <row r="51" spans="1:9" hidden="1">
      <c r="A51" s="100">
        <v>5</v>
      </c>
      <c r="B51" s="100" t="s">
        <v>1141</v>
      </c>
      <c r="C51" s="100" t="s">
        <v>1023</v>
      </c>
      <c r="D51" s="100" t="s">
        <v>390</v>
      </c>
      <c r="E51" s="100" t="s">
        <v>922</v>
      </c>
      <c r="F51" s="100" t="s">
        <v>1027</v>
      </c>
      <c r="G51" s="100" t="s">
        <v>976</v>
      </c>
      <c r="H51" s="100" t="s">
        <v>930</v>
      </c>
      <c r="I51" s="100" t="s">
        <v>925</v>
      </c>
    </row>
    <row r="52" spans="1:9" hidden="1">
      <c r="A52" s="100">
        <v>5</v>
      </c>
      <c r="B52" s="100" t="s">
        <v>1141</v>
      </c>
      <c r="C52" s="100" t="s">
        <v>103</v>
      </c>
      <c r="D52" s="100" t="s">
        <v>433</v>
      </c>
      <c r="E52" s="100" t="s">
        <v>922</v>
      </c>
      <c r="F52" s="100" t="s">
        <v>981</v>
      </c>
      <c r="G52" s="100" t="s">
        <v>1026</v>
      </c>
      <c r="H52" s="100" t="s">
        <v>930</v>
      </c>
      <c r="I52" s="100" t="s">
        <v>925</v>
      </c>
    </row>
    <row r="53" spans="1:9" hidden="1">
      <c r="A53" s="100">
        <v>5</v>
      </c>
      <c r="B53" s="100" t="s">
        <v>1141</v>
      </c>
      <c r="C53" s="100" t="s">
        <v>1039</v>
      </c>
      <c r="D53" s="100" t="s">
        <v>1099</v>
      </c>
      <c r="E53" s="100" t="s">
        <v>922</v>
      </c>
      <c r="F53" s="100" t="s">
        <v>1011</v>
      </c>
      <c r="G53" s="100" t="s">
        <v>976</v>
      </c>
      <c r="H53" s="100" t="s">
        <v>930</v>
      </c>
      <c r="I53" s="100" t="s">
        <v>925</v>
      </c>
    </row>
    <row r="54" spans="1:9" hidden="1">
      <c r="A54" s="102">
        <v>6</v>
      </c>
      <c r="B54" s="102" t="s">
        <v>1140</v>
      </c>
      <c r="C54" s="102" t="s">
        <v>1089</v>
      </c>
      <c r="D54" s="102" t="s">
        <v>1123</v>
      </c>
      <c r="E54" s="102" t="s">
        <v>939</v>
      </c>
      <c r="F54" s="102" t="s">
        <v>981</v>
      </c>
      <c r="G54" s="102" t="s">
        <v>955</v>
      </c>
      <c r="H54" s="102" t="s">
        <v>962</v>
      </c>
      <c r="I54" s="102" t="s">
        <v>925</v>
      </c>
    </row>
    <row r="55" spans="1:9" hidden="1">
      <c r="A55" s="102">
        <v>6</v>
      </c>
      <c r="B55" s="102" t="s">
        <v>1140</v>
      </c>
      <c r="C55" s="102" t="s">
        <v>968</v>
      </c>
      <c r="D55" s="102" t="s">
        <v>1092</v>
      </c>
      <c r="E55" s="102" t="s">
        <v>971</v>
      </c>
      <c r="F55" s="102" t="s">
        <v>972</v>
      </c>
      <c r="G55" s="102" t="s">
        <v>955</v>
      </c>
      <c r="H55" s="102" t="s">
        <v>974</v>
      </c>
      <c r="I55" s="102" t="s">
        <v>925</v>
      </c>
    </row>
    <row r="56" spans="1:9" hidden="1">
      <c r="A56" s="102">
        <v>6</v>
      </c>
      <c r="B56" s="102" t="s">
        <v>1140</v>
      </c>
      <c r="C56" s="102" t="s">
        <v>948</v>
      </c>
      <c r="D56" s="102" t="s">
        <v>1093</v>
      </c>
      <c r="E56" s="102" t="s">
        <v>924</v>
      </c>
      <c r="F56" s="102" t="s">
        <v>981</v>
      </c>
      <c r="G56" s="102" t="s">
        <v>955</v>
      </c>
      <c r="H56" s="102" t="s">
        <v>930</v>
      </c>
      <c r="I56" s="102" t="s">
        <v>925</v>
      </c>
    </row>
    <row r="57" spans="1:9" hidden="1">
      <c r="A57" s="102">
        <v>6</v>
      </c>
      <c r="B57" s="102" t="s">
        <v>1140</v>
      </c>
      <c r="C57" s="102" t="s">
        <v>985</v>
      </c>
      <c r="D57" s="102" t="s">
        <v>1094</v>
      </c>
      <c r="E57" s="102" t="s">
        <v>924</v>
      </c>
      <c r="F57" s="102" t="s">
        <v>669</v>
      </c>
      <c r="G57" s="102" t="s">
        <v>955</v>
      </c>
      <c r="H57" s="102" t="s">
        <v>962</v>
      </c>
      <c r="I57" s="102" t="s">
        <v>925</v>
      </c>
    </row>
    <row r="58" spans="1:9" hidden="1">
      <c r="A58" s="102">
        <v>6</v>
      </c>
      <c r="B58" s="102" t="s">
        <v>1140</v>
      </c>
      <c r="C58" s="102" t="s">
        <v>992</v>
      </c>
      <c r="D58" s="102" t="s">
        <v>1095</v>
      </c>
      <c r="E58" s="102" t="s">
        <v>924</v>
      </c>
      <c r="F58" s="102" t="s">
        <v>946</v>
      </c>
      <c r="G58" s="102" t="s">
        <v>996</v>
      </c>
      <c r="H58" s="102" t="s">
        <v>944</v>
      </c>
      <c r="I58" s="102" t="s">
        <v>925</v>
      </c>
    </row>
    <row r="59" spans="1:9" hidden="1">
      <c r="A59" s="102">
        <v>6</v>
      </c>
      <c r="B59" s="102" t="s">
        <v>1140</v>
      </c>
      <c r="C59" s="102" t="s">
        <v>1001</v>
      </c>
      <c r="D59" s="102" t="s">
        <v>1096</v>
      </c>
      <c r="E59" s="102" t="s">
        <v>924</v>
      </c>
      <c r="F59" s="102" t="s">
        <v>981</v>
      </c>
      <c r="G59" s="102" t="s">
        <v>955</v>
      </c>
      <c r="H59" s="102" t="s">
        <v>944</v>
      </c>
      <c r="I59" s="102" t="s">
        <v>925</v>
      </c>
    </row>
    <row r="60" spans="1:9" hidden="1">
      <c r="A60" s="102">
        <v>6</v>
      </c>
      <c r="B60" s="102" t="s">
        <v>1140</v>
      </c>
      <c r="C60" s="102" t="s">
        <v>947</v>
      </c>
      <c r="D60" s="102" t="s">
        <v>1097</v>
      </c>
      <c r="E60" s="102" t="s">
        <v>924</v>
      </c>
      <c r="F60" s="102" t="s">
        <v>1009</v>
      </c>
      <c r="G60" s="102" t="s">
        <v>996</v>
      </c>
      <c r="H60" s="102" t="s">
        <v>944</v>
      </c>
      <c r="I60" s="102" t="s">
        <v>925</v>
      </c>
    </row>
    <row r="61" spans="1:9" hidden="1">
      <c r="A61" s="102">
        <v>6</v>
      </c>
      <c r="B61" s="102" t="s">
        <v>1140</v>
      </c>
      <c r="C61" s="102" t="s">
        <v>1015</v>
      </c>
      <c r="D61" s="102" t="s">
        <v>1098</v>
      </c>
      <c r="E61" s="102" t="s">
        <v>924</v>
      </c>
      <c r="F61" s="102" t="s">
        <v>981</v>
      </c>
      <c r="G61" s="102" t="s">
        <v>955</v>
      </c>
      <c r="H61" s="102" t="s">
        <v>944</v>
      </c>
      <c r="I61" s="102" t="s">
        <v>925</v>
      </c>
    </row>
    <row r="62" spans="1:9" hidden="1">
      <c r="A62" s="102">
        <v>6</v>
      </c>
      <c r="B62" s="102" t="s">
        <v>1140</v>
      </c>
      <c r="C62" s="102" t="s">
        <v>1022</v>
      </c>
      <c r="D62" s="102" t="s">
        <v>390</v>
      </c>
      <c r="E62" s="102" t="s">
        <v>924</v>
      </c>
      <c r="F62" s="102" t="s">
        <v>1027</v>
      </c>
      <c r="G62" s="102" t="s">
        <v>955</v>
      </c>
      <c r="H62" s="102" t="s">
        <v>1028</v>
      </c>
      <c r="I62" s="102" t="s">
        <v>925</v>
      </c>
    </row>
    <row r="63" spans="1:9" hidden="1">
      <c r="A63" s="102">
        <v>6</v>
      </c>
      <c r="B63" s="102" t="s">
        <v>1140</v>
      </c>
      <c r="C63" s="102" t="s">
        <v>1034</v>
      </c>
      <c r="D63" s="102" t="s">
        <v>433</v>
      </c>
      <c r="E63" s="102" t="s">
        <v>924</v>
      </c>
      <c r="F63" s="102" t="s">
        <v>981</v>
      </c>
      <c r="G63" s="102" t="s">
        <v>955</v>
      </c>
      <c r="H63" s="102" t="s">
        <v>944</v>
      </c>
      <c r="I63" s="102" t="s">
        <v>925</v>
      </c>
    </row>
    <row r="64" spans="1:9" hidden="1">
      <c r="A64" s="102">
        <v>6</v>
      </c>
      <c r="B64" s="102" t="s">
        <v>1140</v>
      </c>
      <c r="C64" s="102" t="s">
        <v>1038</v>
      </c>
      <c r="D64" s="102" t="s">
        <v>1099</v>
      </c>
      <c r="E64" s="102" t="s">
        <v>924</v>
      </c>
      <c r="F64" s="102" t="s">
        <v>1011</v>
      </c>
      <c r="G64" s="102" t="s">
        <v>955</v>
      </c>
      <c r="H64" s="102" t="s">
        <v>944</v>
      </c>
      <c r="I64" s="102" t="s">
        <v>925</v>
      </c>
    </row>
    <row r="65" spans="1:9" hidden="1">
      <c r="A65" s="102">
        <v>6</v>
      </c>
      <c r="B65" s="102" t="s">
        <v>1140</v>
      </c>
      <c r="C65" s="102" t="s">
        <v>1056</v>
      </c>
      <c r="D65" s="102" t="s">
        <v>1101</v>
      </c>
      <c r="E65" s="102" t="s">
        <v>924</v>
      </c>
      <c r="F65" s="102" t="s">
        <v>925</v>
      </c>
      <c r="G65" s="102" t="s">
        <v>955</v>
      </c>
      <c r="H65" s="102" t="s">
        <v>1059</v>
      </c>
      <c r="I65" s="102" t="s">
        <v>925</v>
      </c>
    </row>
    <row r="66" spans="1:9" hidden="1">
      <c r="A66" s="103">
        <v>7</v>
      </c>
      <c r="B66" s="103" t="s">
        <v>1139</v>
      </c>
      <c r="C66" s="103" t="s">
        <v>572</v>
      </c>
      <c r="D66" s="103" t="s">
        <v>1122</v>
      </c>
      <c r="E66" s="103" t="s">
        <v>939</v>
      </c>
      <c r="F66" s="103" t="s">
        <v>925</v>
      </c>
      <c r="G66" s="103" t="s">
        <v>927</v>
      </c>
      <c r="H66" s="103" t="s">
        <v>962</v>
      </c>
      <c r="I66" s="103" t="s">
        <v>925</v>
      </c>
    </row>
    <row r="67" spans="1:9" hidden="1">
      <c r="A67" s="103">
        <v>7</v>
      </c>
      <c r="B67" s="103" t="s">
        <v>1139</v>
      </c>
      <c r="C67" s="103" t="s">
        <v>39</v>
      </c>
      <c r="D67" s="103" t="s">
        <v>1109</v>
      </c>
      <c r="E67" s="103" t="s">
        <v>243</v>
      </c>
      <c r="F67" s="103" t="s">
        <v>956</v>
      </c>
      <c r="G67" s="103" t="s">
        <v>923</v>
      </c>
      <c r="H67" s="103" t="s">
        <v>925</v>
      </c>
      <c r="I67" s="103" t="s">
        <v>925</v>
      </c>
    </row>
    <row r="68" spans="1:9" hidden="1">
      <c r="A68" s="103">
        <v>7</v>
      </c>
      <c r="B68" s="103" t="s">
        <v>1139</v>
      </c>
      <c r="C68" s="103" t="s">
        <v>57</v>
      </c>
      <c r="D68" s="103" t="s">
        <v>1134</v>
      </c>
      <c r="E68" s="103" t="s">
        <v>243</v>
      </c>
      <c r="F68" s="103" t="s">
        <v>925</v>
      </c>
      <c r="G68" s="103" t="s">
        <v>923</v>
      </c>
      <c r="H68" s="103" t="s">
        <v>963</v>
      </c>
      <c r="I68" s="103" t="s">
        <v>925</v>
      </c>
    </row>
    <row r="69" spans="1:9" hidden="1">
      <c r="A69" s="103">
        <v>7</v>
      </c>
      <c r="B69" s="103" t="s">
        <v>1139</v>
      </c>
      <c r="C69" s="103" t="s">
        <v>966</v>
      </c>
      <c r="D69" s="103" t="s">
        <v>1092</v>
      </c>
      <c r="E69" s="103" t="s">
        <v>243</v>
      </c>
      <c r="F69" s="103" t="s">
        <v>925</v>
      </c>
      <c r="G69" s="103" t="s">
        <v>923</v>
      </c>
      <c r="H69" s="103" t="s">
        <v>970</v>
      </c>
      <c r="I69" s="103" t="s">
        <v>925</v>
      </c>
    </row>
    <row r="70" spans="1:9" hidden="1">
      <c r="A70" s="103">
        <v>7</v>
      </c>
      <c r="B70" s="103" t="s">
        <v>1139</v>
      </c>
      <c r="C70" s="103" t="s">
        <v>967</v>
      </c>
      <c r="D70" s="103" t="s">
        <v>1092</v>
      </c>
      <c r="E70" s="103" t="s">
        <v>971</v>
      </c>
      <c r="F70" s="103" t="s">
        <v>972</v>
      </c>
      <c r="G70" s="103" t="s">
        <v>927</v>
      </c>
      <c r="H70" s="103" t="s">
        <v>973</v>
      </c>
      <c r="I70" s="103" t="s">
        <v>925</v>
      </c>
    </row>
    <row r="71" spans="1:9" hidden="1">
      <c r="A71" s="103">
        <v>7</v>
      </c>
      <c r="B71" s="103" t="s">
        <v>1139</v>
      </c>
      <c r="C71" s="103" t="s">
        <v>980</v>
      </c>
      <c r="D71" s="103" t="s">
        <v>1093</v>
      </c>
      <c r="E71" s="103" t="s">
        <v>924</v>
      </c>
      <c r="F71" s="103" t="s">
        <v>925</v>
      </c>
      <c r="G71" s="103" t="s">
        <v>927</v>
      </c>
      <c r="H71" s="103" t="s">
        <v>962</v>
      </c>
      <c r="I71" s="103" t="s">
        <v>925</v>
      </c>
    </row>
    <row r="72" spans="1:9" hidden="1">
      <c r="A72" s="103">
        <v>7</v>
      </c>
      <c r="B72" s="103" t="s">
        <v>1139</v>
      </c>
      <c r="C72" s="103" t="s">
        <v>119</v>
      </c>
      <c r="D72" s="103" t="s">
        <v>1094</v>
      </c>
      <c r="E72" s="103" t="s">
        <v>243</v>
      </c>
      <c r="F72" s="103" t="s">
        <v>669</v>
      </c>
      <c r="G72" s="103" t="s">
        <v>923</v>
      </c>
      <c r="H72" s="103" t="s">
        <v>962</v>
      </c>
      <c r="I72" s="103" t="s">
        <v>925</v>
      </c>
    </row>
    <row r="73" spans="1:9" hidden="1">
      <c r="A73" s="103">
        <v>7</v>
      </c>
      <c r="B73" s="103" t="s">
        <v>1139</v>
      </c>
      <c r="C73" s="103" t="s">
        <v>984</v>
      </c>
      <c r="D73" s="103" t="s">
        <v>1094</v>
      </c>
      <c r="E73" s="103" t="s">
        <v>924</v>
      </c>
      <c r="F73" s="103" t="s">
        <v>925</v>
      </c>
      <c r="G73" s="103" t="s">
        <v>927</v>
      </c>
      <c r="H73" s="103" t="s">
        <v>962</v>
      </c>
      <c r="I73" s="103" t="s">
        <v>925</v>
      </c>
    </row>
    <row r="74" spans="1:9" hidden="1">
      <c r="A74" s="103">
        <v>7</v>
      </c>
      <c r="B74" s="103" t="s">
        <v>1139</v>
      </c>
      <c r="C74" s="103" t="s">
        <v>990</v>
      </c>
      <c r="D74" s="103" t="s">
        <v>1095</v>
      </c>
      <c r="E74" s="103" t="s">
        <v>243</v>
      </c>
      <c r="F74" s="103" t="s">
        <v>946</v>
      </c>
      <c r="G74" s="103" t="s">
        <v>923</v>
      </c>
      <c r="H74" s="103" t="s">
        <v>962</v>
      </c>
      <c r="I74" s="103" t="s">
        <v>925</v>
      </c>
    </row>
    <row r="75" spans="1:9" hidden="1">
      <c r="A75" s="103">
        <v>7</v>
      </c>
      <c r="B75" s="103" t="s">
        <v>1139</v>
      </c>
      <c r="C75" s="103" t="s">
        <v>991</v>
      </c>
      <c r="D75" s="103" t="s">
        <v>1095</v>
      </c>
      <c r="E75" s="103" t="s">
        <v>924</v>
      </c>
      <c r="F75" s="103" t="s">
        <v>925</v>
      </c>
      <c r="G75" s="103" t="s">
        <v>927</v>
      </c>
      <c r="H75" s="103" t="s">
        <v>962</v>
      </c>
      <c r="I75" s="103" t="s">
        <v>925</v>
      </c>
    </row>
    <row r="76" spans="1:9" hidden="1">
      <c r="A76" s="103">
        <v>7</v>
      </c>
      <c r="B76" s="103" t="s">
        <v>1139</v>
      </c>
      <c r="C76" s="103" t="s">
        <v>135</v>
      </c>
      <c r="D76" s="103" t="s">
        <v>1096</v>
      </c>
      <c r="E76" s="103" t="s">
        <v>243</v>
      </c>
      <c r="F76" s="103" t="s">
        <v>925</v>
      </c>
      <c r="G76" s="103" t="s">
        <v>923</v>
      </c>
      <c r="H76" s="103" t="s">
        <v>962</v>
      </c>
      <c r="I76" s="103" t="s">
        <v>925</v>
      </c>
    </row>
    <row r="77" spans="1:9" hidden="1">
      <c r="A77" s="103">
        <v>7</v>
      </c>
      <c r="B77" s="103" t="s">
        <v>1139</v>
      </c>
      <c r="C77" s="103" t="s">
        <v>1000</v>
      </c>
      <c r="D77" s="103" t="s">
        <v>1096</v>
      </c>
      <c r="E77" s="103" t="s">
        <v>924</v>
      </c>
      <c r="F77" s="103" t="s">
        <v>925</v>
      </c>
      <c r="G77" s="103" t="s">
        <v>927</v>
      </c>
      <c r="H77" s="103" t="s">
        <v>962</v>
      </c>
      <c r="I77" s="103" t="s">
        <v>925</v>
      </c>
    </row>
    <row r="78" spans="1:9" hidden="1">
      <c r="A78" s="103">
        <v>7</v>
      </c>
      <c r="B78" s="103" t="s">
        <v>1139</v>
      </c>
      <c r="C78" s="103" t="s">
        <v>152</v>
      </c>
      <c r="D78" s="103" t="s">
        <v>1097</v>
      </c>
      <c r="E78" s="103" t="s">
        <v>243</v>
      </c>
      <c r="F78" s="103" t="s">
        <v>1007</v>
      </c>
      <c r="G78" s="103" t="s">
        <v>923</v>
      </c>
      <c r="H78" s="103" t="s">
        <v>962</v>
      </c>
      <c r="I78" s="103" t="s">
        <v>925</v>
      </c>
    </row>
    <row r="79" spans="1:9" hidden="1">
      <c r="A79" s="103">
        <v>7</v>
      </c>
      <c r="B79" s="103" t="s">
        <v>1139</v>
      </c>
      <c r="C79" s="103" t="s">
        <v>1005</v>
      </c>
      <c r="D79" s="103" t="s">
        <v>1097</v>
      </c>
      <c r="E79" s="103" t="s">
        <v>924</v>
      </c>
      <c r="F79" s="103" t="s">
        <v>1008</v>
      </c>
      <c r="G79" s="103" t="s">
        <v>927</v>
      </c>
      <c r="H79" s="103" t="s">
        <v>962</v>
      </c>
      <c r="I79" s="103" t="s">
        <v>925</v>
      </c>
    </row>
    <row r="80" spans="1:9" hidden="1">
      <c r="A80" s="103">
        <v>7</v>
      </c>
      <c r="B80" s="103" t="s">
        <v>1139</v>
      </c>
      <c r="C80" s="103" t="s">
        <v>159</v>
      </c>
      <c r="D80" s="103" t="s">
        <v>1098</v>
      </c>
      <c r="E80" s="103" t="s">
        <v>243</v>
      </c>
      <c r="F80" s="103" t="s">
        <v>981</v>
      </c>
      <c r="G80" s="103" t="s">
        <v>923</v>
      </c>
      <c r="H80" s="103" t="s">
        <v>962</v>
      </c>
      <c r="I80" s="103" t="s">
        <v>925</v>
      </c>
    </row>
    <row r="81" spans="1:9" hidden="1">
      <c r="A81" s="103">
        <v>7</v>
      </c>
      <c r="B81" s="103" t="s">
        <v>1139</v>
      </c>
      <c r="C81" s="103" t="s">
        <v>1014</v>
      </c>
      <c r="D81" s="103" t="s">
        <v>1098</v>
      </c>
      <c r="E81" s="103" t="s">
        <v>924</v>
      </c>
      <c r="F81" s="103" t="s">
        <v>925</v>
      </c>
      <c r="G81" s="103" t="s">
        <v>927</v>
      </c>
      <c r="H81" s="103" t="s">
        <v>962</v>
      </c>
      <c r="I81" s="103" t="s">
        <v>925</v>
      </c>
    </row>
    <row r="82" spans="1:9" hidden="1">
      <c r="A82" s="103">
        <v>7</v>
      </c>
      <c r="B82" s="103" t="s">
        <v>1139</v>
      </c>
      <c r="C82" s="103" t="s">
        <v>1020</v>
      </c>
      <c r="D82" s="103" t="s">
        <v>390</v>
      </c>
      <c r="E82" s="103" t="s">
        <v>243</v>
      </c>
      <c r="F82" s="103" t="s">
        <v>925</v>
      </c>
      <c r="G82" s="103" t="s">
        <v>923</v>
      </c>
      <c r="H82" s="103" t="s">
        <v>1025</v>
      </c>
      <c r="I82" s="103" t="s">
        <v>925</v>
      </c>
    </row>
    <row r="83" spans="1:9" hidden="1">
      <c r="A83" s="103">
        <v>7</v>
      </c>
      <c r="B83" s="103" t="s">
        <v>1139</v>
      </c>
      <c r="C83" s="103" t="s">
        <v>1021</v>
      </c>
      <c r="D83" s="103" t="s">
        <v>390</v>
      </c>
      <c r="E83" s="103" t="s">
        <v>924</v>
      </c>
      <c r="F83" s="103" t="s">
        <v>925</v>
      </c>
      <c r="G83" s="103" t="s">
        <v>927</v>
      </c>
      <c r="H83" s="103" t="s">
        <v>1025</v>
      </c>
      <c r="I83" s="103" t="s">
        <v>925</v>
      </c>
    </row>
    <row r="84" spans="1:9" hidden="1">
      <c r="A84" s="103">
        <v>7</v>
      </c>
      <c r="B84" s="103" t="s">
        <v>1139</v>
      </c>
      <c r="C84" s="103" t="s">
        <v>1032</v>
      </c>
      <c r="D84" s="103" t="s">
        <v>433</v>
      </c>
      <c r="E84" s="103" t="s">
        <v>243</v>
      </c>
      <c r="F84" s="103" t="s">
        <v>981</v>
      </c>
      <c r="G84" s="103" t="s">
        <v>923</v>
      </c>
      <c r="H84" s="103" t="s">
        <v>1025</v>
      </c>
      <c r="I84" s="103" t="s">
        <v>925</v>
      </c>
    </row>
    <row r="85" spans="1:9" hidden="1">
      <c r="A85" s="103">
        <v>7</v>
      </c>
      <c r="B85" s="103" t="s">
        <v>1139</v>
      </c>
      <c r="C85" s="103" t="s">
        <v>1033</v>
      </c>
      <c r="D85" s="103" t="s">
        <v>433</v>
      </c>
      <c r="E85" s="103" t="s">
        <v>924</v>
      </c>
      <c r="F85" s="103" t="s">
        <v>925</v>
      </c>
      <c r="G85" s="103" t="s">
        <v>927</v>
      </c>
      <c r="H85" s="103" t="s">
        <v>1025</v>
      </c>
      <c r="I85" s="103" t="s">
        <v>925</v>
      </c>
    </row>
    <row r="86" spans="1:9" hidden="1">
      <c r="A86" s="103">
        <v>7</v>
      </c>
      <c r="B86" s="103" t="s">
        <v>1139</v>
      </c>
      <c r="C86" s="103" t="s">
        <v>1037</v>
      </c>
      <c r="D86" s="103" t="s">
        <v>1099</v>
      </c>
      <c r="E86" s="103" t="s">
        <v>924</v>
      </c>
      <c r="F86" s="103" t="s">
        <v>1008</v>
      </c>
      <c r="G86" s="103" t="s">
        <v>927</v>
      </c>
      <c r="H86" s="103" t="s">
        <v>962</v>
      </c>
      <c r="I86" s="103" t="s">
        <v>925</v>
      </c>
    </row>
    <row r="87" spans="1:9" hidden="1">
      <c r="A87" s="103">
        <v>7</v>
      </c>
      <c r="B87" s="103" t="s">
        <v>1139</v>
      </c>
      <c r="C87" s="103" t="s">
        <v>1054</v>
      </c>
      <c r="D87" s="103" t="s">
        <v>1101</v>
      </c>
      <c r="E87" s="103" t="s">
        <v>1057</v>
      </c>
      <c r="F87" s="103" t="s">
        <v>1058</v>
      </c>
      <c r="G87" s="103" t="s">
        <v>923</v>
      </c>
      <c r="H87" s="103" t="s">
        <v>962</v>
      </c>
      <c r="I87" s="103" t="s">
        <v>925</v>
      </c>
    </row>
    <row r="88" spans="1:9" hidden="1">
      <c r="A88" s="103">
        <v>7</v>
      </c>
      <c r="B88" s="103" t="s">
        <v>1139</v>
      </c>
      <c r="C88" s="103" t="s">
        <v>1055</v>
      </c>
      <c r="D88" s="103" t="s">
        <v>1101</v>
      </c>
      <c r="E88" s="103" t="s">
        <v>924</v>
      </c>
      <c r="F88" s="103" t="s">
        <v>925</v>
      </c>
      <c r="G88" s="103" t="s">
        <v>927</v>
      </c>
      <c r="H88" s="103" t="s">
        <v>962</v>
      </c>
      <c r="I88" s="103" t="s">
        <v>925</v>
      </c>
    </row>
    <row r="89" spans="1:9" hidden="1">
      <c r="A89" s="103">
        <v>7</v>
      </c>
      <c r="B89" s="103" t="s">
        <v>1139</v>
      </c>
      <c r="C89" s="103" t="s">
        <v>74</v>
      </c>
      <c r="D89" s="103" t="s">
        <v>1102</v>
      </c>
      <c r="E89" s="103" t="s">
        <v>243</v>
      </c>
      <c r="F89" s="103" t="s">
        <v>1064</v>
      </c>
      <c r="G89" s="103" t="s">
        <v>923</v>
      </c>
      <c r="H89" s="103" t="s">
        <v>944</v>
      </c>
      <c r="I89" s="103" t="s">
        <v>925</v>
      </c>
    </row>
    <row r="90" spans="1:9" hidden="1">
      <c r="A90" s="99">
        <v>8</v>
      </c>
      <c r="B90" s="99" t="s">
        <v>1143</v>
      </c>
      <c r="C90" s="99" t="s">
        <v>945</v>
      </c>
      <c r="D90" s="99" t="s">
        <v>1108</v>
      </c>
      <c r="E90" s="99" t="s">
        <v>243</v>
      </c>
      <c r="F90" s="99" t="s">
        <v>956</v>
      </c>
      <c r="G90" s="99" t="s">
        <v>955</v>
      </c>
      <c r="H90" s="99" t="s">
        <v>925</v>
      </c>
      <c r="I90" s="99" t="s">
        <v>925</v>
      </c>
    </row>
    <row r="91" spans="1:9" hidden="1">
      <c r="A91" s="99">
        <v>8</v>
      </c>
      <c r="B91" s="99" t="s">
        <v>1143</v>
      </c>
      <c r="C91" s="99" t="s">
        <v>961</v>
      </c>
      <c r="D91" s="99" t="s">
        <v>1133</v>
      </c>
      <c r="E91" s="99" t="s">
        <v>243</v>
      </c>
      <c r="F91" s="99" t="s">
        <v>925</v>
      </c>
      <c r="G91" s="99" t="s">
        <v>955</v>
      </c>
      <c r="H91" s="99" t="s">
        <v>963</v>
      </c>
      <c r="I91" s="99" t="s">
        <v>925</v>
      </c>
    </row>
    <row r="92" spans="1:9" hidden="1">
      <c r="A92" s="99">
        <v>8</v>
      </c>
      <c r="B92" s="99" t="s">
        <v>1143</v>
      </c>
      <c r="C92" s="99" t="s">
        <v>965</v>
      </c>
      <c r="D92" s="99" t="s">
        <v>1092</v>
      </c>
      <c r="E92" s="99" t="s">
        <v>243</v>
      </c>
      <c r="F92" s="99" t="s">
        <v>925</v>
      </c>
      <c r="G92" s="99" t="s">
        <v>955</v>
      </c>
      <c r="H92" s="99" t="s">
        <v>970</v>
      </c>
      <c r="I92" s="99" t="s">
        <v>925</v>
      </c>
    </row>
    <row r="93" spans="1:9" hidden="1">
      <c r="A93" s="99">
        <v>8</v>
      </c>
      <c r="B93" s="99" t="s">
        <v>1143</v>
      </c>
      <c r="C93" s="99" t="s">
        <v>983</v>
      </c>
      <c r="D93" s="99" t="s">
        <v>1094</v>
      </c>
      <c r="E93" s="99" t="s">
        <v>243</v>
      </c>
      <c r="F93" s="99" t="s">
        <v>669</v>
      </c>
      <c r="G93" s="99" t="s">
        <v>955</v>
      </c>
      <c r="H93" s="99" t="s">
        <v>962</v>
      </c>
      <c r="I93" s="99" t="s">
        <v>925</v>
      </c>
    </row>
    <row r="94" spans="1:9" hidden="1">
      <c r="A94" s="99">
        <v>8</v>
      </c>
      <c r="B94" s="99" t="s">
        <v>1143</v>
      </c>
      <c r="C94" s="99" t="s">
        <v>989</v>
      </c>
      <c r="D94" s="99" t="s">
        <v>1095</v>
      </c>
      <c r="E94" s="99" t="s">
        <v>243</v>
      </c>
      <c r="F94" s="99" t="s">
        <v>946</v>
      </c>
      <c r="G94" s="99" t="s">
        <v>955</v>
      </c>
      <c r="H94" s="99" t="s">
        <v>962</v>
      </c>
      <c r="I94" s="99" t="s">
        <v>925</v>
      </c>
    </row>
    <row r="95" spans="1:9" hidden="1">
      <c r="A95" s="99">
        <v>8</v>
      </c>
      <c r="B95" s="99" t="s">
        <v>1143</v>
      </c>
      <c r="C95" s="99" t="s">
        <v>999</v>
      </c>
      <c r="D95" s="99" t="s">
        <v>1096</v>
      </c>
      <c r="E95" s="99" t="s">
        <v>243</v>
      </c>
      <c r="F95" s="99" t="s">
        <v>925</v>
      </c>
      <c r="G95" s="99" t="s">
        <v>955</v>
      </c>
      <c r="H95" s="99" t="s">
        <v>962</v>
      </c>
      <c r="I95" s="99" t="s">
        <v>925</v>
      </c>
    </row>
    <row r="96" spans="1:9" hidden="1">
      <c r="A96" s="99">
        <v>8</v>
      </c>
      <c r="B96" s="99" t="s">
        <v>1143</v>
      </c>
      <c r="C96" s="99" t="s">
        <v>1004</v>
      </c>
      <c r="D96" s="99" t="s">
        <v>1097</v>
      </c>
      <c r="E96" s="99" t="s">
        <v>243</v>
      </c>
      <c r="F96" s="99" t="s">
        <v>1007</v>
      </c>
      <c r="G96" s="99" t="s">
        <v>955</v>
      </c>
      <c r="H96" s="99" t="s">
        <v>962</v>
      </c>
      <c r="I96" s="99" t="s">
        <v>925</v>
      </c>
    </row>
    <row r="97" spans="1:9" hidden="1">
      <c r="A97" s="99">
        <v>8</v>
      </c>
      <c r="B97" s="99" t="s">
        <v>1143</v>
      </c>
      <c r="C97" s="99" t="s">
        <v>1013</v>
      </c>
      <c r="D97" s="99" t="s">
        <v>1098</v>
      </c>
      <c r="E97" s="99" t="s">
        <v>243</v>
      </c>
      <c r="F97" s="99" t="s">
        <v>925</v>
      </c>
      <c r="G97" s="99" t="s">
        <v>955</v>
      </c>
      <c r="H97" s="99" t="s">
        <v>962</v>
      </c>
      <c r="I97" s="99" t="s">
        <v>925</v>
      </c>
    </row>
    <row r="98" spans="1:9" hidden="1">
      <c r="A98" s="99">
        <v>8</v>
      </c>
      <c r="B98" s="99" t="s">
        <v>1143</v>
      </c>
      <c r="C98" s="99" t="s">
        <v>1019</v>
      </c>
      <c r="D98" s="99" t="s">
        <v>390</v>
      </c>
      <c r="E98" s="99" t="s">
        <v>243</v>
      </c>
      <c r="F98" s="99" t="s">
        <v>925</v>
      </c>
      <c r="G98" s="99" t="s">
        <v>955</v>
      </c>
      <c r="H98" s="99" t="s">
        <v>1025</v>
      </c>
      <c r="I98" s="99" t="s">
        <v>925</v>
      </c>
    </row>
    <row r="99" spans="1:9" hidden="1">
      <c r="A99" s="99">
        <v>8</v>
      </c>
      <c r="B99" s="99" t="s">
        <v>1143</v>
      </c>
      <c r="C99" s="99" t="s">
        <v>1031</v>
      </c>
      <c r="D99" s="99" t="s">
        <v>433</v>
      </c>
      <c r="E99" s="99" t="s">
        <v>243</v>
      </c>
      <c r="F99" s="99" t="s">
        <v>981</v>
      </c>
      <c r="G99" s="99" t="s">
        <v>955</v>
      </c>
      <c r="H99" s="99" t="s">
        <v>1025</v>
      </c>
      <c r="I99" s="99" t="s">
        <v>925</v>
      </c>
    </row>
    <row r="100" spans="1:9" hidden="1">
      <c r="A100" s="99">
        <v>8</v>
      </c>
      <c r="B100" s="99" t="s">
        <v>1143</v>
      </c>
      <c r="C100" s="99" t="s">
        <v>1053</v>
      </c>
      <c r="D100" s="99" t="s">
        <v>1101</v>
      </c>
      <c r="E100" s="99" t="s">
        <v>1057</v>
      </c>
      <c r="F100" s="99" t="s">
        <v>1058</v>
      </c>
      <c r="G100" s="99" t="s">
        <v>955</v>
      </c>
      <c r="H100" s="99" t="s">
        <v>962</v>
      </c>
      <c r="I100" s="99" t="s">
        <v>925</v>
      </c>
    </row>
    <row r="101" spans="1:9" hidden="1">
      <c r="A101" s="99">
        <v>8</v>
      </c>
      <c r="B101" s="99" t="s">
        <v>1143</v>
      </c>
      <c r="C101" s="99" t="s">
        <v>1063</v>
      </c>
      <c r="D101" s="99" t="s">
        <v>1102</v>
      </c>
      <c r="E101" s="99" t="s">
        <v>243</v>
      </c>
      <c r="F101" s="99" t="s">
        <v>1064</v>
      </c>
      <c r="G101" s="99" t="s">
        <v>955</v>
      </c>
      <c r="H101" s="99" t="s">
        <v>962</v>
      </c>
      <c r="I101" s="99" t="s">
        <v>925</v>
      </c>
    </row>
    <row r="102" spans="1:9" hidden="1">
      <c r="A102" s="101">
        <v>9</v>
      </c>
      <c r="B102" s="101" t="s">
        <v>1142</v>
      </c>
      <c r="C102" s="101" t="s">
        <v>957</v>
      </c>
      <c r="D102" s="101" t="s">
        <v>1128</v>
      </c>
      <c r="E102" s="101" t="s">
        <v>243</v>
      </c>
      <c r="F102" s="101" t="s">
        <v>956</v>
      </c>
      <c r="G102" s="101" t="s">
        <v>927</v>
      </c>
      <c r="H102" s="101" t="s">
        <v>925</v>
      </c>
      <c r="I102" s="101" t="s">
        <v>925</v>
      </c>
    </row>
    <row r="103" spans="1:9" hidden="1">
      <c r="A103" s="101">
        <v>9</v>
      </c>
      <c r="B103" s="101" t="s">
        <v>1142</v>
      </c>
      <c r="C103" s="101" t="s">
        <v>960</v>
      </c>
      <c r="D103" s="101" t="s">
        <v>1132</v>
      </c>
      <c r="E103" s="101" t="s">
        <v>243</v>
      </c>
      <c r="F103" s="101" t="s">
        <v>925</v>
      </c>
      <c r="G103" s="101" t="s">
        <v>927</v>
      </c>
      <c r="H103" s="101" t="s">
        <v>963</v>
      </c>
      <c r="I103" s="101" t="s">
        <v>925</v>
      </c>
    </row>
    <row r="104" spans="1:9" hidden="1">
      <c r="A104" s="101">
        <v>9</v>
      </c>
      <c r="B104" s="101" t="s">
        <v>1142</v>
      </c>
      <c r="C104" s="101" t="s">
        <v>964</v>
      </c>
      <c r="D104" s="101" t="s">
        <v>1092</v>
      </c>
      <c r="E104" s="101" t="s">
        <v>243</v>
      </c>
      <c r="F104" s="101" t="s">
        <v>925</v>
      </c>
      <c r="G104" s="101" t="s">
        <v>927</v>
      </c>
      <c r="H104" s="101" t="s">
        <v>970</v>
      </c>
      <c r="I104" s="101" t="s">
        <v>925</v>
      </c>
    </row>
    <row r="105" spans="1:9" hidden="1">
      <c r="A105" s="101">
        <v>9</v>
      </c>
      <c r="B105" s="101" t="s">
        <v>1142</v>
      </c>
      <c r="C105" s="101" t="s">
        <v>982</v>
      </c>
      <c r="D105" s="101" t="s">
        <v>1094</v>
      </c>
      <c r="E105" s="101" t="s">
        <v>243</v>
      </c>
      <c r="F105" s="101" t="s">
        <v>925</v>
      </c>
      <c r="G105" s="101" t="s">
        <v>927</v>
      </c>
      <c r="H105" s="101" t="s">
        <v>962</v>
      </c>
      <c r="I105" s="101" t="s">
        <v>925</v>
      </c>
    </row>
    <row r="106" spans="1:9" hidden="1">
      <c r="A106" s="101">
        <v>9</v>
      </c>
      <c r="B106" s="101" t="s">
        <v>1142</v>
      </c>
      <c r="C106" s="101" t="s">
        <v>988</v>
      </c>
      <c r="D106" s="101" t="s">
        <v>1095</v>
      </c>
      <c r="E106" s="101" t="s">
        <v>243</v>
      </c>
      <c r="F106" s="101" t="s">
        <v>925</v>
      </c>
      <c r="G106" s="101" t="s">
        <v>927</v>
      </c>
      <c r="H106" s="101" t="s">
        <v>962</v>
      </c>
      <c r="I106" s="101" t="s">
        <v>925</v>
      </c>
    </row>
    <row r="107" spans="1:9" hidden="1">
      <c r="A107" s="101">
        <v>9</v>
      </c>
      <c r="B107" s="101" t="s">
        <v>1142</v>
      </c>
      <c r="C107" s="101" t="s">
        <v>998</v>
      </c>
      <c r="D107" s="101" t="s">
        <v>1096</v>
      </c>
      <c r="E107" s="101" t="s">
        <v>243</v>
      </c>
      <c r="F107" s="101" t="s">
        <v>925</v>
      </c>
      <c r="G107" s="101" t="s">
        <v>927</v>
      </c>
      <c r="H107" s="101" t="s">
        <v>962</v>
      </c>
      <c r="I107" s="101" t="s">
        <v>925</v>
      </c>
    </row>
    <row r="108" spans="1:9" hidden="1">
      <c r="A108" s="101">
        <v>9</v>
      </c>
      <c r="B108" s="101" t="s">
        <v>1142</v>
      </c>
      <c r="C108" s="101" t="s">
        <v>1003</v>
      </c>
      <c r="D108" s="101" t="s">
        <v>1097</v>
      </c>
      <c r="E108" s="101" t="s">
        <v>243</v>
      </c>
      <c r="F108" s="101" t="s">
        <v>1007</v>
      </c>
      <c r="G108" s="101" t="s">
        <v>927</v>
      </c>
      <c r="H108" s="101" t="s">
        <v>962</v>
      </c>
      <c r="I108" s="101" t="s">
        <v>925</v>
      </c>
    </row>
    <row r="109" spans="1:9" hidden="1">
      <c r="A109" s="101">
        <v>9</v>
      </c>
      <c r="B109" s="101" t="s">
        <v>1142</v>
      </c>
      <c r="C109" s="101" t="s">
        <v>1012</v>
      </c>
      <c r="D109" s="101" t="s">
        <v>1098</v>
      </c>
      <c r="E109" s="101" t="s">
        <v>243</v>
      </c>
      <c r="F109" s="101" t="s">
        <v>925</v>
      </c>
      <c r="G109" s="101" t="s">
        <v>927</v>
      </c>
      <c r="H109" s="101" t="s">
        <v>962</v>
      </c>
      <c r="I109" s="101" t="s">
        <v>925</v>
      </c>
    </row>
    <row r="110" spans="1:9" hidden="1">
      <c r="A110" s="101">
        <v>9</v>
      </c>
      <c r="B110" s="101" t="s">
        <v>1142</v>
      </c>
      <c r="C110" s="101" t="s">
        <v>1018</v>
      </c>
      <c r="D110" s="101" t="s">
        <v>390</v>
      </c>
      <c r="E110" s="101" t="s">
        <v>243</v>
      </c>
      <c r="F110" s="101" t="s">
        <v>925</v>
      </c>
      <c r="G110" s="101" t="s">
        <v>927</v>
      </c>
      <c r="H110" s="101" t="s">
        <v>1025</v>
      </c>
      <c r="I110" s="101" t="s">
        <v>925</v>
      </c>
    </row>
    <row r="111" spans="1:9" hidden="1">
      <c r="A111" s="101">
        <v>9</v>
      </c>
      <c r="B111" s="101" t="s">
        <v>1142</v>
      </c>
      <c r="C111" s="101" t="s">
        <v>1030</v>
      </c>
      <c r="D111" s="101" t="s">
        <v>433</v>
      </c>
      <c r="E111" s="101" t="s">
        <v>243</v>
      </c>
      <c r="F111" s="101" t="s">
        <v>925</v>
      </c>
      <c r="G111" s="101" t="s">
        <v>927</v>
      </c>
      <c r="H111" s="101" t="s">
        <v>1025</v>
      </c>
      <c r="I111" s="101" t="s">
        <v>925</v>
      </c>
    </row>
    <row r="112" spans="1:9" hidden="1">
      <c r="A112" s="101">
        <v>9</v>
      </c>
      <c r="B112" s="101" t="s">
        <v>1142</v>
      </c>
      <c r="C112" s="101" t="s">
        <v>10</v>
      </c>
      <c r="D112" s="101" t="s">
        <v>1100</v>
      </c>
      <c r="E112" s="101"/>
      <c r="F112" s="101" t="s">
        <v>1052</v>
      </c>
      <c r="G112" s="101" t="s">
        <v>921</v>
      </c>
      <c r="H112" s="101" t="s">
        <v>1051</v>
      </c>
      <c r="I112" s="101" t="s">
        <v>925</v>
      </c>
    </row>
    <row r="113" spans="1:9" hidden="1">
      <c r="A113" s="101">
        <v>9</v>
      </c>
      <c r="B113" s="101" t="s">
        <v>1142</v>
      </c>
      <c r="C113" s="101" t="s">
        <v>949</v>
      </c>
      <c r="D113" s="101" t="s">
        <v>1101</v>
      </c>
      <c r="E113" s="101" t="s">
        <v>1057</v>
      </c>
      <c r="F113" s="101" t="s">
        <v>925</v>
      </c>
      <c r="G113" s="101" t="s">
        <v>927</v>
      </c>
      <c r="H113" s="101" t="s">
        <v>962</v>
      </c>
      <c r="I113" s="101" t="s">
        <v>925</v>
      </c>
    </row>
    <row r="114" spans="1:9" hidden="1">
      <c r="A114" s="101">
        <v>9</v>
      </c>
      <c r="B114" s="101" t="s">
        <v>1142</v>
      </c>
      <c r="C114" s="101" t="s">
        <v>1062</v>
      </c>
      <c r="D114" s="101" t="s">
        <v>1102</v>
      </c>
      <c r="E114" s="101" t="s">
        <v>243</v>
      </c>
      <c r="F114" s="101" t="s">
        <v>925</v>
      </c>
      <c r="G114" s="101" t="s">
        <v>927</v>
      </c>
      <c r="H114" s="101" t="s">
        <v>962</v>
      </c>
      <c r="I114" s="101" t="s">
        <v>925</v>
      </c>
    </row>
    <row r="115" spans="1:9" hidden="1">
      <c r="A115" s="101">
        <v>9</v>
      </c>
      <c r="B115" s="101" t="s">
        <v>1142</v>
      </c>
      <c r="C115" s="101" t="s">
        <v>138</v>
      </c>
      <c r="D115" s="101" t="s">
        <v>1102</v>
      </c>
      <c r="E115" s="101" t="s">
        <v>1074</v>
      </c>
      <c r="F115" s="101" t="s">
        <v>1073</v>
      </c>
      <c r="G115" s="101"/>
      <c r="H115" s="101"/>
      <c r="I115" s="101" t="s">
        <v>925</v>
      </c>
    </row>
    <row r="116" spans="1:9" hidden="1">
      <c r="A116" s="106">
        <v>10</v>
      </c>
      <c r="B116" s="106" t="s">
        <v>1146</v>
      </c>
      <c r="C116" s="106" t="s">
        <v>59</v>
      </c>
      <c r="D116" s="106" t="s">
        <v>1131</v>
      </c>
      <c r="E116" s="106" t="s">
        <v>660</v>
      </c>
      <c r="F116" s="106" t="s">
        <v>925</v>
      </c>
      <c r="G116" s="106" t="s">
        <v>923</v>
      </c>
      <c r="H116" s="106" t="s">
        <v>962</v>
      </c>
      <c r="I116" s="106" t="s">
        <v>925</v>
      </c>
    </row>
    <row r="117" spans="1:9" hidden="1">
      <c r="A117" s="106">
        <v>10</v>
      </c>
      <c r="B117" s="106" t="s">
        <v>1146</v>
      </c>
      <c r="C117" s="106" t="s">
        <v>950</v>
      </c>
      <c r="D117" s="106" t="s">
        <v>1100</v>
      </c>
      <c r="E117" s="106" t="s">
        <v>1047</v>
      </c>
      <c r="F117" s="106" t="s">
        <v>1048</v>
      </c>
      <c r="G117" s="106" t="s">
        <v>1046</v>
      </c>
      <c r="H117" s="106" t="s">
        <v>1050</v>
      </c>
      <c r="I117" s="106" t="s">
        <v>925</v>
      </c>
    </row>
    <row r="118" spans="1:9" hidden="1">
      <c r="A118" s="106">
        <v>10</v>
      </c>
      <c r="B118" s="106" t="s">
        <v>1146</v>
      </c>
      <c r="C118" s="106" t="s">
        <v>13</v>
      </c>
      <c r="D118" s="106" t="s">
        <v>1101</v>
      </c>
      <c r="E118" s="106" t="s">
        <v>1047</v>
      </c>
      <c r="F118" s="106" t="s">
        <v>925</v>
      </c>
      <c r="G118" s="106" t="s">
        <v>923</v>
      </c>
      <c r="H118" s="106" t="s">
        <v>962</v>
      </c>
      <c r="I118" s="106" t="s">
        <v>925</v>
      </c>
    </row>
    <row r="119" spans="1:9" hidden="1">
      <c r="A119" s="106">
        <v>10</v>
      </c>
      <c r="B119" s="106" t="s">
        <v>1146</v>
      </c>
      <c r="C119" s="106" t="s">
        <v>140</v>
      </c>
      <c r="D119" s="106" t="s">
        <v>1102</v>
      </c>
      <c r="E119" s="106" t="s">
        <v>1047</v>
      </c>
      <c r="F119" s="106" t="s">
        <v>1070</v>
      </c>
      <c r="G119" s="106" t="s">
        <v>923</v>
      </c>
      <c r="H119" s="106" t="s">
        <v>962</v>
      </c>
      <c r="I119" s="106" t="s">
        <v>925</v>
      </c>
    </row>
    <row r="120" spans="1:9" hidden="1">
      <c r="A120" s="106">
        <v>10</v>
      </c>
      <c r="B120" s="106" t="s">
        <v>1146</v>
      </c>
      <c r="C120" s="106" t="s">
        <v>1068</v>
      </c>
      <c r="D120" s="106" t="s">
        <v>1102</v>
      </c>
      <c r="E120" s="106" t="s">
        <v>1047</v>
      </c>
      <c r="F120" s="106" t="s">
        <v>1072</v>
      </c>
      <c r="G120" s="106" t="s">
        <v>926</v>
      </c>
      <c r="H120" s="106" t="s">
        <v>962</v>
      </c>
      <c r="I120" s="106" t="s">
        <v>925</v>
      </c>
    </row>
    <row r="121" spans="1:9" hidden="1">
      <c r="A121" s="104">
        <v>11</v>
      </c>
      <c r="B121" s="104" t="s">
        <v>1145</v>
      </c>
      <c r="C121" s="104" t="s">
        <v>959</v>
      </c>
      <c r="D121" s="104" t="s">
        <v>1130</v>
      </c>
      <c r="E121" s="104" t="s">
        <v>660</v>
      </c>
      <c r="F121" s="104" t="s">
        <v>925</v>
      </c>
      <c r="G121" s="104" t="s">
        <v>955</v>
      </c>
      <c r="H121" s="104" t="s">
        <v>962</v>
      </c>
      <c r="I121" s="104" t="s">
        <v>925</v>
      </c>
    </row>
    <row r="122" spans="1:9" hidden="1">
      <c r="A122" s="104">
        <v>11</v>
      </c>
      <c r="B122" s="104" t="s">
        <v>1145</v>
      </c>
      <c r="C122" s="104" t="s">
        <v>1042</v>
      </c>
      <c r="D122" s="104" t="s">
        <v>1100</v>
      </c>
      <c r="E122" s="104" t="s">
        <v>1047</v>
      </c>
      <c r="F122" s="104" t="s">
        <v>1045</v>
      </c>
      <c r="G122" s="104" t="s">
        <v>1043</v>
      </c>
      <c r="H122" s="104" t="s">
        <v>1044</v>
      </c>
      <c r="I122" s="104" t="s">
        <v>925</v>
      </c>
    </row>
    <row r="123" spans="1:9" hidden="1">
      <c r="A123" s="104">
        <v>11</v>
      </c>
      <c r="B123" s="104" t="s">
        <v>1145</v>
      </c>
      <c r="C123" s="104" t="s">
        <v>1061</v>
      </c>
      <c r="D123" s="104" t="s">
        <v>1101</v>
      </c>
      <c r="E123" s="104" t="s">
        <v>1047</v>
      </c>
      <c r="F123" s="104" t="s">
        <v>925</v>
      </c>
      <c r="G123" s="104" t="s">
        <v>955</v>
      </c>
      <c r="H123" s="104" t="s">
        <v>962</v>
      </c>
      <c r="I123" s="104" t="s">
        <v>925</v>
      </c>
    </row>
    <row r="124" spans="1:9" hidden="1">
      <c r="A124" s="104">
        <v>11</v>
      </c>
      <c r="B124" s="104" t="s">
        <v>1145</v>
      </c>
      <c r="C124" s="104" t="s">
        <v>1066</v>
      </c>
      <c r="D124" s="104" t="s">
        <v>1102</v>
      </c>
      <c r="E124" s="104" t="s">
        <v>1047</v>
      </c>
      <c r="F124" s="104" t="s">
        <v>1070</v>
      </c>
      <c r="G124" s="104" t="s">
        <v>955</v>
      </c>
      <c r="H124" s="104" t="s">
        <v>962</v>
      </c>
      <c r="I124" s="104" t="s">
        <v>925</v>
      </c>
    </row>
    <row r="125" spans="1:9" hidden="1">
      <c r="A125" s="104">
        <v>11</v>
      </c>
      <c r="B125" s="104" t="s">
        <v>1145</v>
      </c>
      <c r="C125" s="104" t="s">
        <v>1067</v>
      </c>
      <c r="D125" s="104" t="s">
        <v>1102</v>
      </c>
      <c r="E125" s="104" t="s">
        <v>1047</v>
      </c>
      <c r="F125" s="104" t="s">
        <v>1071</v>
      </c>
      <c r="G125" s="104" t="s">
        <v>976</v>
      </c>
      <c r="H125" s="104" t="s">
        <v>962</v>
      </c>
      <c r="I125" s="104" t="s">
        <v>925</v>
      </c>
    </row>
    <row r="126" spans="1:9" hidden="1">
      <c r="A126" s="105">
        <v>12</v>
      </c>
      <c r="B126" s="105" t="s">
        <v>1144</v>
      </c>
      <c r="C126" s="105" t="s">
        <v>958</v>
      </c>
      <c r="D126" s="105" t="s">
        <v>1129</v>
      </c>
      <c r="E126" s="105" t="s">
        <v>660</v>
      </c>
      <c r="F126" s="105" t="s">
        <v>925</v>
      </c>
      <c r="G126" s="105" t="s">
        <v>927</v>
      </c>
      <c r="H126" s="105" t="s">
        <v>962</v>
      </c>
      <c r="I126" s="105" t="s">
        <v>925</v>
      </c>
    </row>
    <row r="127" spans="1:9" hidden="1">
      <c r="A127" s="105">
        <v>12</v>
      </c>
      <c r="B127" s="105" t="s">
        <v>1144</v>
      </c>
      <c r="C127" s="105" t="s">
        <v>1060</v>
      </c>
      <c r="D127" s="105" t="s">
        <v>1101</v>
      </c>
      <c r="E127" s="105" t="s">
        <v>1047</v>
      </c>
      <c r="F127" s="105" t="s">
        <v>925</v>
      </c>
      <c r="G127" s="105" t="s">
        <v>927</v>
      </c>
      <c r="H127" s="105" t="s">
        <v>1025</v>
      </c>
      <c r="I127" s="105" t="s">
        <v>925</v>
      </c>
    </row>
    <row r="128" spans="1:9" hidden="1">
      <c r="A128" s="105">
        <v>12</v>
      </c>
      <c r="B128" s="105" t="s">
        <v>1144</v>
      </c>
      <c r="C128" s="105" t="s">
        <v>1065</v>
      </c>
      <c r="D128" s="105" t="s">
        <v>1102</v>
      </c>
      <c r="E128" s="105" t="s">
        <v>1047</v>
      </c>
      <c r="F128" s="105" t="s">
        <v>1069</v>
      </c>
      <c r="G128" s="105" t="s">
        <v>927</v>
      </c>
      <c r="H128" s="105" t="s">
        <v>962</v>
      </c>
      <c r="I128" s="105" t="s">
        <v>925</v>
      </c>
    </row>
  </sheetData>
  <autoFilter ref="A1:I128">
    <filterColumn colId="1">
      <filters>
        <filter val="KIP 1"/>
        <filter val="KIP 2"/>
        <filter val="KIP 3"/>
        <filter val="KIP 4"/>
      </filters>
    </filterColumn>
  </autoFilter>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1135</v>
      </c>
    </row>
    <row r="3" spans="1:2">
      <c r="A3" s="28" t="s">
        <v>621</v>
      </c>
      <c r="B3" t="s">
        <v>1136</v>
      </c>
    </row>
    <row r="4" spans="1:2">
      <c r="A4" s="29" t="s">
        <v>545</v>
      </c>
      <c r="B4" t="s">
        <v>1137</v>
      </c>
    </row>
    <row r="5" spans="1:2">
      <c r="A5" s="28" t="s">
        <v>271</v>
      </c>
      <c r="B5" t="s">
        <v>1138</v>
      </c>
    </row>
    <row r="6" spans="1:2">
      <c r="A6" s="28" t="s">
        <v>276</v>
      </c>
      <c r="B6" t="s">
        <v>1141</v>
      </c>
    </row>
    <row r="7" spans="1:2">
      <c r="A7" s="28" t="s">
        <v>217</v>
      </c>
      <c r="B7" t="s">
        <v>1140</v>
      </c>
    </row>
    <row r="8" spans="1:2">
      <c r="A8" s="29" t="s">
        <v>204</v>
      </c>
      <c r="B8" t="s">
        <v>1139</v>
      </c>
    </row>
    <row r="9" spans="1:2">
      <c r="A9" s="29" t="s">
        <v>233</v>
      </c>
      <c r="B9" t="s">
        <v>1143</v>
      </c>
    </row>
    <row r="10" spans="1:2">
      <c r="A10" s="29" t="s">
        <v>241</v>
      </c>
      <c r="B10" t="s">
        <v>1142</v>
      </c>
    </row>
    <row r="11" spans="1:2">
      <c r="A11" s="29" t="s">
        <v>253</v>
      </c>
      <c r="B11" t="s">
        <v>1146</v>
      </c>
    </row>
    <row r="12" spans="1:2">
      <c r="A12" s="29" t="s">
        <v>248</v>
      </c>
      <c r="B12" t="s">
        <v>1145</v>
      </c>
    </row>
    <row r="13" spans="1:2">
      <c r="A13" s="29" t="s">
        <v>262</v>
      </c>
      <c r="B13" t="s">
        <v>1144</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2026-05-07T13:03:49Z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