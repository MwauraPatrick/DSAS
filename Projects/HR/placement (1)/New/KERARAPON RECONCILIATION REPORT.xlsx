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D8ECEA9-F362-4EB7-919D-F8563988CFAD}" xr6:coauthVersionLast="47" xr6:coauthVersionMax="47" xr10:uidLastSave="{00000000-0000-0000-0000-000000000000}"/>
  <bookViews>
    <workbookView xWindow="-108" yWindow="-108" windowWidth="23256" windowHeight="12456" firstSheet="7" activeTab="12" xr2:uid="{94B0A20A-AAEC-4544-8980-DBDF1DCB35B4}"/>
  </bookViews>
  <sheets>
    <sheet name="302768" sheetId="1" r:id="rId1"/>
    <sheet name="412755" sheetId="2" r:id="rId2"/>
    <sheet name="302769" sheetId="3" r:id="rId3"/>
    <sheet name="412767" sheetId="4" r:id="rId4"/>
    <sheet name="Q0208736" sheetId="5" r:id="rId5"/>
    <sheet name="302776" sheetId="6" r:id="rId6"/>
    <sheet name="302795" sheetId="10" r:id="rId7"/>
    <sheet name="Q0210646" sheetId="7" r:id="rId8"/>
    <sheet name="302781" sheetId="8" r:id="rId9"/>
    <sheet name="ACCOUNTS" sheetId="14" r:id="rId10"/>
    <sheet name="Q0214178" sheetId="16" r:id="rId11"/>
    <sheet name="Q0214176" sheetId="17" r:id="rId12"/>
    <sheet name="SUPPLIES" sheetId="15" r:id="rId13"/>
    <sheet name="Q0222561" sheetId="11" r:id="rId14"/>
    <sheet name="Q0213709" sheetId="9" r:id="rId15"/>
  </sheets>
  <definedNames>
    <definedName name="_xlnm.Print_Area" localSheetId="9">ACCOUNTS!$A$1:$H$34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7" l="1"/>
  <c r="D29" i="16"/>
  <c r="C58" i="15"/>
  <c r="C33" i="14"/>
  <c r="J24" i="8"/>
  <c r="F33" i="8"/>
  <c r="D34" i="5"/>
  <c r="D37" i="11"/>
  <c r="D22" i="10"/>
  <c r="D45" i="9"/>
  <c r="D47" i="8"/>
  <c r="D47" i="7"/>
  <c r="D19" i="6"/>
  <c r="D37" i="4"/>
  <c r="D21" i="3"/>
  <c r="D34" i="2"/>
  <c r="D27" i="1"/>
</calcChain>
</file>

<file path=xl/sharedStrings.xml><?xml version="1.0" encoding="utf-8"?>
<sst xmlns="http://schemas.openxmlformats.org/spreadsheetml/2006/main" count="336" uniqueCount="63">
  <si>
    <t>KENYA INSTITUTE OF PRIMATE RESEARCH</t>
  </si>
  <si>
    <t>FUEL PAYMENT RECONCILIATION REPORT FOR THE MONTHS FOR JULY-DEC 2023</t>
  </si>
  <si>
    <t>DATE OF PAYMENT</t>
  </si>
  <si>
    <t>CHEQUE NO</t>
  </si>
  <si>
    <t>VOUCHER NO</t>
  </si>
  <si>
    <t>AMOUNT</t>
  </si>
  <si>
    <t>INVOICE NO</t>
  </si>
  <si>
    <t>INVOICE AMOUNT</t>
  </si>
  <si>
    <t>INVOICES PAID</t>
  </si>
  <si>
    <t>INVOICE DATE</t>
  </si>
  <si>
    <t>SUB TOTAL</t>
  </si>
  <si>
    <t>Q0208736</t>
  </si>
  <si>
    <t>Q0210646</t>
  </si>
  <si>
    <t>Q0213709</t>
  </si>
  <si>
    <t>Q0222561</t>
  </si>
  <si>
    <t xml:space="preserve"> </t>
  </si>
  <si>
    <t>UNPAID INVOICES FROM APRIL</t>
  </si>
  <si>
    <t>REMARKS</t>
  </si>
  <si>
    <t>ACCOUNTS</t>
  </si>
  <si>
    <t>SUPPLIES</t>
  </si>
  <si>
    <t>KERARAPON SERVICE STATION</t>
  </si>
  <si>
    <t>DATE RECEIVED IN FINANCE</t>
  </si>
  <si>
    <t>RECEIVED BY</t>
  </si>
  <si>
    <t>CECILIA</t>
  </si>
  <si>
    <t>30/012023</t>
  </si>
  <si>
    <t>SYLVIA</t>
  </si>
  <si>
    <t>SAMUEL</t>
  </si>
  <si>
    <t>Q0214178</t>
  </si>
  <si>
    <t>Q0214176</t>
  </si>
  <si>
    <t>KERARAPON PAYMENT RECONCILIATION</t>
  </si>
  <si>
    <t>LPO had two invoices (1413)</t>
  </si>
  <si>
    <t>LPO had two invoices (3010)</t>
  </si>
  <si>
    <t>accounts paid 10,045 for 1778</t>
  </si>
  <si>
    <t>LPO had two invoices (3036)</t>
  </si>
  <si>
    <t>LPO had two invoices (3025)</t>
  </si>
  <si>
    <t>LPO had two invoices (3030)</t>
  </si>
  <si>
    <t>LPO had two invoices (3178)</t>
  </si>
  <si>
    <t>lpo has 3 invoices (3020,3034)</t>
  </si>
  <si>
    <t>LPO had two invoices (1672)</t>
  </si>
  <si>
    <t>lpo has 3 invoices (1783,1773)</t>
  </si>
  <si>
    <t>LPO had two invoices (1791)</t>
  </si>
  <si>
    <t>LPO had two invoices (1751)</t>
  </si>
  <si>
    <t>LPO had two invoices (1238)</t>
  </si>
  <si>
    <t>invoice dated 2023, lpo dated 2024</t>
  </si>
  <si>
    <t>invoice dated 2023, lpo dated 2024(8492) Diff V/NOS</t>
  </si>
  <si>
    <t>LPO had two invoices (3013)</t>
  </si>
  <si>
    <t>LPO had two invoices (3022)</t>
  </si>
  <si>
    <t>LPO had two invoices (1243)</t>
  </si>
  <si>
    <t>lpo has 3 invoices (3024,3034)</t>
  </si>
  <si>
    <t>LPO had two invoices (3003) PAID (12324)</t>
  </si>
  <si>
    <t>NARRATION</t>
  </si>
  <si>
    <t>no such lpo in ou records (135449)</t>
  </si>
  <si>
    <t>no such lpo in ou records (135849)</t>
  </si>
  <si>
    <t>NO LPO NO</t>
  </si>
  <si>
    <t>Statement, lpo and invoice with different V/NOS</t>
  </si>
  <si>
    <t>lpo not approved</t>
  </si>
  <si>
    <t>lpo altered</t>
  </si>
  <si>
    <t>lpo not signed</t>
  </si>
  <si>
    <t>well approved with all documentaions</t>
  </si>
  <si>
    <t>No supporting documentation</t>
  </si>
  <si>
    <t xml:space="preserve"> Lpo not signed and altered</t>
  </si>
  <si>
    <t>invoice amount higher than lpo</t>
  </si>
  <si>
    <t>lpo altered and invoice amount more than 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</si>
</sst>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43" fontId="0" fillId="0" borderId="1" xfId="1" applyFont="1" applyBorder="1"/>
    <xf numFmtId="43" fontId="2" fillId="0" borderId="1" xfId="0" applyNumberFormat="1" applyFont="1" applyBorder="1"/>
    <xf numFmtId="43" fontId="0" fillId="0" borderId="1" xfId="0" applyNumberFormat="1" applyBorder="1"/>
    <xf numFmtId="14" fontId="2" fillId="0" borderId="1" xfId="0" applyNumberFormat="1" applyFont="1" applyBorder="1"/>
    <xf numFmtId="43" fontId="2" fillId="0" borderId="1" xfId="1" applyFont="1" applyBorder="1"/>
    <xf numFmtId="43" fontId="1" fillId="0" borderId="1" xfId="1" applyFont="1" applyBorder="1"/>
    <xf numFmtId="0" fontId="0" fillId="0" borderId="2" xfId="0" applyBorder="1"/>
    <xf numFmtId="14" fontId="0" fillId="0" borderId="2" xfId="0" applyNumberFormat="1" applyBorder="1"/>
    <xf numFmtId="43" fontId="0" fillId="0" borderId="2" xfId="1" applyFont="1" applyBorder="1"/>
    <xf numFmtId="43" fontId="0" fillId="0" borderId="1" xfId="1" applyFont="1" applyFill="1" applyBorder="1"/>
    <xf numFmtId="43" fontId="0" fillId="0" borderId="2" xfId="1" applyFont="1" applyFill="1" applyBorder="1"/>
    <xf numFmtId="43" fontId="0" fillId="0" borderId="0" xfId="0" applyNumberFormat="1"/>
    <xf numFmtId="43" fontId="0" fillId="0" borderId="2" xfId="0" applyNumberFormat="1" applyBorder="1"/>
    <xf numFmtId="0" fontId="0" fillId="0" borderId="7" xfId="0" applyBorder="1"/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1" applyFont="1" applyBorder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0" xfId="0" applyFill="1"/>
    <xf numFmtId="14" fontId="0" fillId="2" borderId="1" xfId="0" applyNumberForma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23E9-44B6-4F91-8968-D1519C644601}">
  <dimension ref="A1:G40"/>
  <sheetViews>
    <sheetView topLeftCell="A7" workbookViewId="0">
      <selection activeCell="L35" sqref="L35"/>
    </sheetView>
  </sheetViews>
  <sheetFormatPr defaultRowHeight="14.4" x14ac:dyDescent="0.3"/>
  <cols>
    <col min="1" max="1" width="16.44140625" customWidth="1"/>
    <col min="2" max="2" width="12.5546875" customWidth="1"/>
    <col min="3" max="3" width="15.5546875" customWidth="1"/>
    <col min="4" max="4" width="16.109375" customWidth="1"/>
    <col min="5" max="5" width="10.5546875" customWidth="1"/>
    <col min="6" max="6" width="15.77734375" customWidth="1"/>
    <col min="7" max="7" width="15.3320312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45112</v>
      </c>
      <c r="C3" s="1"/>
      <c r="D3" s="1"/>
      <c r="E3" s="1"/>
      <c r="F3" s="1"/>
      <c r="G3" s="1"/>
    </row>
    <row r="4" spans="1:7" x14ac:dyDescent="0.3">
      <c r="A4" s="1" t="s">
        <v>3</v>
      </c>
      <c r="B4" s="1">
        <v>302768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2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250707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76</v>
      </c>
      <c r="C8" s="3">
        <v>45017</v>
      </c>
      <c r="D8" s="5">
        <v>19440</v>
      </c>
      <c r="E8" s="1"/>
      <c r="F8" s="1"/>
      <c r="G8" s="1"/>
    </row>
    <row r="9" spans="1:7" x14ac:dyDescent="0.3">
      <c r="A9" s="1"/>
      <c r="B9" s="1">
        <v>80</v>
      </c>
      <c r="C9" s="3">
        <v>45018</v>
      </c>
      <c r="D9" s="5">
        <v>9862</v>
      </c>
      <c r="E9" s="1"/>
      <c r="F9" s="1"/>
      <c r="G9" s="1"/>
    </row>
    <row r="10" spans="1:7" x14ac:dyDescent="0.3">
      <c r="A10" s="1"/>
      <c r="B10" s="1">
        <v>82</v>
      </c>
      <c r="C10" s="3">
        <v>45018</v>
      </c>
      <c r="D10" s="5">
        <v>19440</v>
      </c>
      <c r="E10" s="1"/>
      <c r="F10" s="1"/>
      <c r="G10" s="1"/>
    </row>
    <row r="11" spans="1:7" x14ac:dyDescent="0.3">
      <c r="A11" s="1"/>
      <c r="B11" s="1">
        <v>89</v>
      </c>
      <c r="C11" s="3">
        <v>45022</v>
      </c>
      <c r="D11" s="5">
        <v>9862</v>
      </c>
      <c r="E11" s="1"/>
      <c r="F11" s="1"/>
      <c r="G11" s="1"/>
    </row>
    <row r="12" spans="1:7" x14ac:dyDescent="0.3">
      <c r="A12" s="1"/>
      <c r="B12" s="1">
        <v>93</v>
      </c>
      <c r="C12" s="3">
        <v>45026</v>
      </c>
      <c r="D12" s="5">
        <v>9503</v>
      </c>
      <c r="E12" s="1"/>
      <c r="F12" s="1"/>
      <c r="G12" s="1"/>
    </row>
    <row r="13" spans="1:7" x14ac:dyDescent="0.3">
      <c r="A13" s="1"/>
      <c r="B13" s="1">
        <v>95</v>
      </c>
      <c r="C13" s="3">
        <v>45027</v>
      </c>
      <c r="D13" s="5">
        <v>18617</v>
      </c>
      <c r="E13" s="1"/>
      <c r="F13" s="1"/>
      <c r="G13" s="1"/>
    </row>
    <row r="14" spans="1:7" x14ac:dyDescent="0.3">
      <c r="A14" s="1"/>
      <c r="B14" s="1">
        <v>152</v>
      </c>
      <c r="C14" s="3">
        <v>45030</v>
      </c>
      <c r="D14" s="5">
        <v>12920</v>
      </c>
      <c r="E14" s="1"/>
      <c r="F14" s="1"/>
      <c r="G14" s="1"/>
    </row>
    <row r="15" spans="1:7" x14ac:dyDescent="0.3">
      <c r="A15" s="1"/>
      <c r="B15" s="1">
        <v>154</v>
      </c>
      <c r="C15" s="3">
        <v>45032</v>
      </c>
      <c r="D15" s="5">
        <v>9862</v>
      </c>
      <c r="E15" s="1"/>
      <c r="F15" s="1"/>
      <c r="G15" s="1"/>
    </row>
    <row r="16" spans="1:7" x14ac:dyDescent="0.3">
      <c r="A16" s="1"/>
      <c r="B16" s="1">
        <v>155</v>
      </c>
      <c r="C16" s="3">
        <v>45032</v>
      </c>
      <c r="D16" s="5">
        <v>19440</v>
      </c>
      <c r="E16" s="1"/>
      <c r="F16" s="1"/>
      <c r="G16" s="1"/>
    </row>
    <row r="17" spans="1:7" x14ac:dyDescent="0.3">
      <c r="A17" s="1"/>
      <c r="B17" s="1">
        <v>158</v>
      </c>
      <c r="C17" s="3">
        <v>45034</v>
      </c>
      <c r="D17" s="5">
        <v>19440</v>
      </c>
      <c r="E17" s="1"/>
      <c r="F17" s="1"/>
      <c r="G17" s="1"/>
    </row>
    <row r="18" spans="1:7" x14ac:dyDescent="0.3">
      <c r="A18" s="1"/>
      <c r="B18" s="1">
        <v>160</v>
      </c>
      <c r="C18" s="3">
        <v>45035</v>
      </c>
      <c r="D18" s="5">
        <v>4415</v>
      </c>
      <c r="E18" s="1"/>
      <c r="F18" s="1"/>
      <c r="G18" s="1"/>
    </row>
    <row r="19" spans="1:7" x14ac:dyDescent="0.3">
      <c r="A19" s="1"/>
      <c r="B19" s="1">
        <v>160</v>
      </c>
      <c r="C19" s="3">
        <v>45035</v>
      </c>
      <c r="D19" s="5">
        <v>10550</v>
      </c>
      <c r="E19" s="1"/>
      <c r="F19" s="1"/>
      <c r="G19" s="1"/>
    </row>
    <row r="20" spans="1:7" x14ac:dyDescent="0.3">
      <c r="A20" s="1"/>
      <c r="B20" s="1">
        <v>164</v>
      </c>
      <c r="C20" s="3">
        <v>45036</v>
      </c>
      <c r="D20" s="5">
        <v>12960</v>
      </c>
      <c r="E20" s="1"/>
      <c r="F20" s="1"/>
      <c r="G20" s="1"/>
    </row>
    <row r="21" spans="1:7" x14ac:dyDescent="0.3">
      <c r="A21" s="1"/>
      <c r="B21" s="1">
        <v>168</v>
      </c>
      <c r="C21" s="3">
        <v>45042</v>
      </c>
      <c r="D21" s="5">
        <v>12960</v>
      </c>
      <c r="E21" s="1"/>
      <c r="F21" s="1"/>
      <c r="G21" s="1"/>
    </row>
    <row r="22" spans="1:7" x14ac:dyDescent="0.3">
      <c r="A22" s="1"/>
      <c r="B22" s="1">
        <v>169</v>
      </c>
      <c r="C22" s="3">
        <v>45042</v>
      </c>
      <c r="D22" s="5">
        <v>19440</v>
      </c>
      <c r="E22" s="1"/>
      <c r="F22" s="1"/>
      <c r="G22" s="1"/>
    </row>
    <row r="23" spans="1:7" x14ac:dyDescent="0.3">
      <c r="A23" s="1"/>
      <c r="B23" s="1">
        <v>171</v>
      </c>
      <c r="C23" s="3">
        <v>45043</v>
      </c>
      <c r="D23" s="5">
        <v>19440</v>
      </c>
      <c r="E23" s="1"/>
      <c r="F23" s="1"/>
      <c r="G23" s="1"/>
    </row>
    <row r="24" spans="1:7" x14ac:dyDescent="0.3">
      <c r="A24" s="1"/>
      <c r="B24" s="1">
        <v>173</v>
      </c>
      <c r="C24" s="3">
        <v>45045</v>
      </c>
      <c r="D24" s="5">
        <v>9861</v>
      </c>
      <c r="E24" s="1"/>
      <c r="F24" s="1"/>
      <c r="G24" s="1"/>
    </row>
    <row r="25" spans="1:7" x14ac:dyDescent="0.3">
      <c r="A25" s="1"/>
      <c r="B25" s="1">
        <v>175</v>
      </c>
      <c r="C25" s="3">
        <v>45046</v>
      </c>
      <c r="D25" s="5">
        <v>12695</v>
      </c>
      <c r="E25" s="1"/>
      <c r="F25" s="1"/>
      <c r="G25" s="1"/>
    </row>
    <row r="26" spans="1:7" x14ac:dyDescent="0.3">
      <c r="A26" s="1"/>
      <c r="B26" s="1"/>
      <c r="C26" s="3"/>
      <c r="D26" s="5"/>
      <c r="E26" s="1"/>
      <c r="F26" s="1"/>
      <c r="G26" s="1"/>
    </row>
    <row r="27" spans="1:7" x14ac:dyDescent="0.3">
      <c r="A27" s="1"/>
      <c r="B27" s="1"/>
      <c r="C27" s="2" t="s">
        <v>10</v>
      </c>
      <c r="D27" s="6">
        <f>SUM(D8:D26)</f>
        <v>250707</v>
      </c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</sheetData>
  <sortState xmlns:xlrd2="http://schemas.microsoft.com/office/spreadsheetml/2017/richdata2" ref="B8:D25">
    <sortCondition ref="C8:C2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73B9-CD0B-4DB8-BBB4-2E9B19AC7AAD}">
  <dimension ref="A1:G34"/>
  <sheetViews>
    <sheetView topLeftCell="A16" workbookViewId="0">
      <selection activeCell="I31" sqref="I31:J31"/>
    </sheetView>
  </sheetViews>
  <sheetFormatPr defaultRowHeight="14.4" x14ac:dyDescent="0.3"/>
  <cols>
    <col min="1" max="1" width="16.21875" customWidth="1"/>
    <col min="2" max="2" width="13.77734375" customWidth="1"/>
    <col min="3" max="3" width="13.6640625" customWidth="1"/>
    <col min="4" max="4" width="16.554687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45112</v>
      </c>
      <c r="C3" s="1"/>
      <c r="D3" s="1"/>
      <c r="E3" s="1"/>
      <c r="F3" s="1"/>
      <c r="G3" s="1"/>
    </row>
    <row r="4" spans="1:7" x14ac:dyDescent="0.3">
      <c r="A4" s="1" t="s">
        <v>3</v>
      </c>
      <c r="B4" s="1">
        <v>412755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4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358081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79</v>
      </c>
      <c r="C8" s="3">
        <v>45017</v>
      </c>
      <c r="D8" s="5">
        <v>8100</v>
      </c>
      <c r="E8" s="1"/>
      <c r="F8" s="1"/>
      <c r="G8" s="1"/>
    </row>
    <row r="9" spans="1:7" x14ac:dyDescent="0.3">
      <c r="A9" s="1"/>
      <c r="B9" s="1">
        <v>78</v>
      </c>
      <c r="C9" s="3">
        <v>45017</v>
      </c>
      <c r="D9" s="5">
        <v>8100</v>
      </c>
      <c r="E9" s="1"/>
      <c r="F9" s="1"/>
      <c r="G9" s="1"/>
    </row>
    <row r="10" spans="1:7" x14ac:dyDescent="0.3">
      <c r="A10" s="1"/>
      <c r="B10" s="1">
        <v>77</v>
      </c>
      <c r="C10" s="3">
        <v>45017</v>
      </c>
      <c r="D10" s="5">
        <v>8100</v>
      </c>
      <c r="E10" s="1"/>
      <c r="F10" s="1"/>
      <c r="G10" s="1"/>
    </row>
    <row r="11" spans="1:7" x14ac:dyDescent="0.3">
      <c r="A11" s="1"/>
      <c r="B11" s="1">
        <v>81</v>
      </c>
      <c r="C11" s="3">
        <v>45018</v>
      </c>
      <c r="D11" s="5">
        <v>8965</v>
      </c>
      <c r="E11" s="1"/>
      <c r="F11" s="1"/>
      <c r="G11" s="1"/>
    </row>
    <row r="12" spans="1:7" x14ac:dyDescent="0.3">
      <c r="A12" s="1"/>
      <c r="B12" s="1">
        <v>84</v>
      </c>
      <c r="C12" s="3">
        <v>45019</v>
      </c>
      <c r="D12" s="5">
        <v>8100</v>
      </c>
      <c r="E12" s="1"/>
      <c r="F12" s="1"/>
      <c r="G12" s="1"/>
    </row>
    <row r="13" spans="1:7" x14ac:dyDescent="0.3">
      <c r="A13" s="1"/>
      <c r="B13" s="1">
        <v>85</v>
      </c>
      <c r="C13" s="3">
        <v>45020</v>
      </c>
      <c r="D13" s="5">
        <v>9431</v>
      </c>
      <c r="E13" s="1"/>
      <c r="F13" s="1"/>
      <c r="G13" s="1"/>
    </row>
    <row r="14" spans="1:7" x14ac:dyDescent="0.3">
      <c r="A14" s="1"/>
      <c r="B14" s="1">
        <v>87</v>
      </c>
      <c r="C14" s="3">
        <v>45020</v>
      </c>
      <c r="D14" s="5">
        <v>10755</v>
      </c>
      <c r="E14" s="1"/>
      <c r="F14" s="1"/>
      <c r="G14" s="1"/>
    </row>
    <row r="15" spans="1:7" x14ac:dyDescent="0.3">
      <c r="A15" s="1"/>
      <c r="B15" s="1">
        <v>88</v>
      </c>
      <c r="C15" s="3">
        <v>45021</v>
      </c>
      <c r="D15" s="5">
        <v>7172</v>
      </c>
      <c r="E15" s="1"/>
      <c r="F15" s="1"/>
      <c r="G15" s="1"/>
    </row>
    <row r="16" spans="1:7" x14ac:dyDescent="0.3">
      <c r="A16" s="1"/>
      <c r="B16" s="1">
        <v>90</v>
      </c>
      <c r="C16" s="3">
        <v>45023</v>
      </c>
      <c r="D16" s="5">
        <v>7172</v>
      </c>
      <c r="E16" s="1"/>
      <c r="F16" s="1"/>
      <c r="G16" s="1"/>
    </row>
    <row r="17" spans="1:7" x14ac:dyDescent="0.3">
      <c r="A17" s="1"/>
      <c r="B17" s="1">
        <v>92</v>
      </c>
      <c r="C17" s="3">
        <v>45025</v>
      </c>
      <c r="D17" s="5">
        <v>9235</v>
      </c>
      <c r="E17" s="1"/>
      <c r="F17" s="1"/>
      <c r="G17" s="1"/>
    </row>
    <row r="18" spans="1:7" x14ac:dyDescent="0.3">
      <c r="A18" s="1"/>
      <c r="B18" s="1">
        <v>96</v>
      </c>
      <c r="C18" s="3">
        <v>45027</v>
      </c>
      <c r="D18" s="5">
        <v>3586</v>
      </c>
      <c r="E18" s="1"/>
      <c r="F18" s="1"/>
      <c r="G18" s="1"/>
    </row>
    <row r="19" spans="1:7" x14ac:dyDescent="0.3">
      <c r="A19" s="1"/>
      <c r="B19" s="1">
        <v>97</v>
      </c>
      <c r="C19" s="3">
        <v>45028</v>
      </c>
      <c r="D19" s="5">
        <v>8965</v>
      </c>
      <c r="E19" s="1"/>
      <c r="F19" s="1"/>
      <c r="G19" s="1"/>
    </row>
    <row r="20" spans="1:7" x14ac:dyDescent="0.3">
      <c r="A20" s="1"/>
      <c r="B20" s="1">
        <v>98</v>
      </c>
      <c r="C20" s="3">
        <v>45028</v>
      </c>
      <c r="D20" s="7">
        <v>7172</v>
      </c>
      <c r="E20" s="1"/>
      <c r="F20" s="1"/>
      <c r="G20" s="1"/>
    </row>
    <row r="21" spans="1:7" x14ac:dyDescent="0.3">
      <c r="A21" s="1"/>
      <c r="B21" s="1">
        <v>151</v>
      </c>
      <c r="C21" s="3">
        <v>45028</v>
      </c>
      <c r="D21" s="5">
        <v>24300</v>
      </c>
      <c r="E21" s="1"/>
      <c r="F21" s="1"/>
      <c r="G21" s="1"/>
    </row>
    <row r="22" spans="1:7" x14ac:dyDescent="0.3">
      <c r="A22" s="1"/>
      <c r="B22" s="1">
        <v>157</v>
      </c>
      <c r="C22" s="3">
        <v>45034</v>
      </c>
      <c r="D22" s="5">
        <v>9720</v>
      </c>
      <c r="E22" s="1"/>
      <c r="F22" s="1"/>
      <c r="G22" s="1"/>
    </row>
    <row r="23" spans="1:7" x14ac:dyDescent="0.3">
      <c r="A23" s="1"/>
      <c r="B23" s="1">
        <v>156</v>
      </c>
      <c r="C23" s="3">
        <v>45034</v>
      </c>
      <c r="D23" s="5">
        <v>8786</v>
      </c>
      <c r="E23" s="1"/>
      <c r="F23" s="1"/>
      <c r="G23" s="1"/>
    </row>
    <row r="24" spans="1:7" x14ac:dyDescent="0.3">
      <c r="A24" s="1"/>
      <c r="B24" s="1">
        <v>161</v>
      </c>
      <c r="C24" s="3">
        <v>45035</v>
      </c>
      <c r="D24" s="5">
        <v>64800</v>
      </c>
      <c r="E24" s="1"/>
      <c r="F24" s="1"/>
      <c r="G24" s="1"/>
    </row>
    <row r="25" spans="1:7" x14ac:dyDescent="0.3">
      <c r="A25" s="1"/>
      <c r="B25" s="1">
        <v>159</v>
      </c>
      <c r="C25" s="3">
        <v>45035</v>
      </c>
      <c r="D25" s="5">
        <v>9720</v>
      </c>
      <c r="E25" s="1"/>
      <c r="F25" s="1"/>
      <c r="G25" s="1"/>
    </row>
    <row r="26" spans="1:7" x14ac:dyDescent="0.3">
      <c r="A26" s="1"/>
      <c r="B26" s="1">
        <v>162</v>
      </c>
      <c r="C26" s="3">
        <v>45036</v>
      </c>
      <c r="D26" s="5">
        <v>8965</v>
      </c>
      <c r="E26" s="1"/>
      <c r="F26" s="1"/>
      <c r="G26" s="1"/>
    </row>
    <row r="27" spans="1:7" x14ac:dyDescent="0.3">
      <c r="A27" s="1"/>
      <c r="B27" s="1">
        <v>163</v>
      </c>
      <c r="C27" s="3">
        <v>45036</v>
      </c>
      <c r="D27" s="5">
        <v>12960</v>
      </c>
      <c r="E27" s="1"/>
      <c r="F27" s="1"/>
      <c r="G27" s="1"/>
    </row>
    <row r="28" spans="1:7" x14ac:dyDescent="0.3">
      <c r="A28" s="1"/>
      <c r="B28" s="1">
        <v>165</v>
      </c>
      <c r="C28" s="3">
        <v>45037</v>
      </c>
      <c r="D28" s="5">
        <v>7172</v>
      </c>
      <c r="E28" s="1"/>
      <c r="F28" s="1"/>
      <c r="G28" s="1"/>
    </row>
    <row r="29" spans="1:7" x14ac:dyDescent="0.3">
      <c r="A29" s="1"/>
      <c r="B29" s="1">
        <v>167</v>
      </c>
      <c r="C29" s="3">
        <v>45041</v>
      </c>
      <c r="D29" s="5">
        <v>64800</v>
      </c>
      <c r="E29" s="1"/>
      <c r="F29" s="1"/>
      <c r="G29" s="1"/>
    </row>
    <row r="30" spans="1:7" x14ac:dyDescent="0.3">
      <c r="A30" s="1"/>
      <c r="B30" s="1">
        <v>166</v>
      </c>
      <c r="C30" s="3">
        <v>45041</v>
      </c>
      <c r="D30" s="5">
        <v>24300</v>
      </c>
      <c r="E30" s="1"/>
      <c r="F30" s="1"/>
      <c r="G30" s="1"/>
    </row>
    <row r="31" spans="1:7" x14ac:dyDescent="0.3">
      <c r="A31" s="1"/>
      <c r="B31" s="1">
        <v>170</v>
      </c>
      <c r="C31" s="3">
        <v>45043</v>
      </c>
      <c r="D31" s="5">
        <v>8740</v>
      </c>
      <c r="E31" s="1"/>
      <c r="F31" s="1"/>
      <c r="G31" s="1"/>
    </row>
    <row r="32" spans="1:7" x14ac:dyDescent="0.3">
      <c r="A32" s="1"/>
      <c r="B32" s="1">
        <v>172</v>
      </c>
      <c r="C32" s="3">
        <v>45045</v>
      </c>
      <c r="D32" s="5">
        <v>8965</v>
      </c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2" t="s">
        <v>10</v>
      </c>
      <c r="D34" s="6">
        <f>SUM(D8:D33)</f>
        <v>358081</v>
      </c>
      <c r="E34" s="1"/>
      <c r="F34" s="1"/>
      <c r="G34" s="1"/>
    </row>
  </sheetData>
  <sortState xmlns:xlrd2="http://schemas.microsoft.com/office/spreadsheetml/2017/richdata2" ref="B8:D32">
    <sortCondition ref="C8:C32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EA2A-4DC3-474B-9B5B-776A3162E588}">
  <dimension ref="A1:G34"/>
  <sheetViews>
    <sheetView workbookViewId="0">
      <selection activeCell="I21" sqref="I21"/>
    </sheetView>
  </sheetViews>
  <sheetFormatPr defaultRowHeight="14.4" x14ac:dyDescent="0.3"/>
  <cols>
    <col min="1" max="1" width="16.5546875" customWidth="1"/>
    <col min="2" max="2" width="13.109375" customWidth="1"/>
    <col min="3" max="3" width="13.6640625" customWidth="1"/>
    <col min="4" max="4" width="16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45128</v>
      </c>
      <c r="C3" s="1"/>
      <c r="D3" s="1"/>
      <c r="E3" s="1"/>
      <c r="F3" s="1"/>
      <c r="G3" s="1"/>
    </row>
    <row r="4" spans="1:7" x14ac:dyDescent="0.3">
      <c r="A4" s="1" t="s">
        <v>3</v>
      </c>
      <c r="B4" s="1">
        <v>302769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3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170390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177</v>
      </c>
      <c r="C8" s="3">
        <v>45047</v>
      </c>
      <c r="D8" s="5">
        <v>19440</v>
      </c>
      <c r="E8" s="1"/>
      <c r="F8" s="1"/>
      <c r="G8" s="1"/>
    </row>
    <row r="9" spans="1:7" x14ac:dyDescent="0.3">
      <c r="A9" s="1"/>
      <c r="B9" s="1">
        <v>188</v>
      </c>
      <c r="C9" s="3">
        <v>45049</v>
      </c>
      <c r="D9" s="5">
        <v>19440</v>
      </c>
      <c r="E9" s="1"/>
      <c r="F9" s="1"/>
      <c r="G9" s="1"/>
    </row>
    <row r="10" spans="1:7" x14ac:dyDescent="0.3">
      <c r="A10" s="1"/>
      <c r="B10" s="1">
        <v>193</v>
      </c>
      <c r="C10" s="3">
        <v>45053</v>
      </c>
      <c r="D10" s="5">
        <v>9861</v>
      </c>
      <c r="E10" s="1"/>
      <c r="F10" s="1"/>
      <c r="G10" s="1"/>
    </row>
    <row r="11" spans="1:7" x14ac:dyDescent="0.3">
      <c r="A11" s="1"/>
      <c r="B11" s="1">
        <v>199</v>
      </c>
      <c r="C11" s="3">
        <v>45055</v>
      </c>
      <c r="D11" s="5">
        <v>12109</v>
      </c>
      <c r="E11" s="1"/>
      <c r="F11" s="1"/>
      <c r="G11" s="1"/>
    </row>
    <row r="12" spans="1:7" x14ac:dyDescent="0.3">
      <c r="A12" s="1"/>
      <c r="B12" s="1">
        <v>200</v>
      </c>
      <c r="C12" s="3">
        <v>45056</v>
      </c>
      <c r="D12" s="5">
        <v>9862</v>
      </c>
      <c r="E12" s="1"/>
      <c r="F12" s="1"/>
      <c r="G12" s="1"/>
    </row>
    <row r="13" spans="1:7" x14ac:dyDescent="0.3">
      <c r="A13" s="1"/>
      <c r="B13" s="1">
        <v>353</v>
      </c>
      <c r="C13" s="3">
        <v>45061</v>
      </c>
      <c r="D13" s="5">
        <v>10048</v>
      </c>
      <c r="E13" s="1"/>
      <c r="F13" s="1"/>
      <c r="G13" s="1"/>
    </row>
    <row r="14" spans="1:7" x14ac:dyDescent="0.3">
      <c r="A14" s="1"/>
      <c r="B14" s="1">
        <v>356</v>
      </c>
      <c r="C14" s="3">
        <v>45062</v>
      </c>
      <c r="D14" s="5">
        <v>13472</v>
      </c>
      <c r="E14" s="1"/>
      <c r="F14" s="1"/>
      <c r="G14" s="1"/>
    </row>
    <row r="15" spans="1:7" x14ac:dyDescent="0.3">
      <c r="A15" s="1"/>
      <c r="B15" s="1">
        <v>363</v>
      </c>
      <c r="C15" s="3">
        <v>45066</v>
      </c>
      <c r="D15" s="5">
        <v>20208</v>
      </c>
      <c r="E15" s="1"/>
      <c r="F15" s="1"/>
      <c r="G15" s="1"/>
    </row>
    <row r="16" spans="1:7" x14ac:dyDescent="0.3">
      <c r="A16" s="1"/>
      <c r="B16" s="1">
        <v>365</v>
      </c>
      <c r="C16" s="3">
        <v>45067</v>
      </c>
      <c r="D16" s="5">
        <v>12502</v>
      </c>
      <c r="E16" s="1"/>
      <c r="F16" s="1"/>
      <c r="G16" s="1"/>
    </row>
    <row r="17" spans="1:7" x14ac:dyDescent="0.3">
      <c r="A17" s="1"/>
      <c r="B17" s="1">
        <v>366</v>
      </c>
      <c r="C17" s="3">
        <v>45068</v>
      </c>
      <c r="D17" s="5">
        <v>10067</v>
      </c>
      <c r="E17" s="1"/>
      <c r="F17" s="1"/>
      <c r="G17" s="1"/>
    </row>
    <row r="18" spans="1:7" x14ac:dyDescent="0.3">
      <c r="A18" s="1"/>
      <c r="B18" s="1">
        <v>372</v>
      </c>
      <c r="C18" s="3">
        <v>45071</v>
      </c>
      <c r="D18" s="5">
        <v>19909</v>
      </c>
      <c r="E18" s="1"/>
      <c r="F18" s="1"/>
      <c r="G18" s="1"/>
    </row>
    <row r="19" spans="1:7" x14ac:dyDescent="0.3">
      <c r="A19" s="1"/>
      <c r="B19" s="1">
        <v>380</v>
      </c>
      <c r="C19" s="3">
        <v>45808</v>
      </c>
      <c r="D19" s="5">
        <v>13472</v>
      </c>
      <c r="E19" s="1"/>
      <c r="F19" s="1"/>
      <c r="G19" s="1"/>
    </row>
    <row r="20" spans="1:7" x14ac:dyDescent="0.3">
      <c r="A20" s="1"/>
      <c r="B20" s="1"/>
      <c r="C20" s="3"/>
      <c r="D20" s="5"/>
      <c r="E20" s="1"/>
      <c r="F20" s="1"/>
      <c r="G20" s="1"/>
    </row>
    <row r="21" spans="1:7" x14ac:dyDescent="0.3">
      <c r="A21" s="1"/>
      <c r="B21" s="1"/>
      <c r="C21" s="8" t="s">
        <v>10</v>
      </c>
      <c r="D21" s="9">
        <f>SUM(D8:D20)</f>
        <v>170390</v>
      </c>
      <c r="E21" s="1"/>
      <c r="F21" s="1"/>
      <c r="G21" s="1"/>
    </row>
    <row r="22" spans="1:7" x14ac:dyDescent="0.3">
      <c r="A22" s="1"/>
      <c r="B22" s="1"/>
      <c r="C22" s="3"/>
      <c r="D22" s="5"/>
      <c r="E22" s="1"/>
      <c r="F22" s="1"/>
      <c r="G22" s="1"/>
    </row>
    <row r="23" spans="1:7" x14ac:dyDescent="0.3">
      <c r="A23" s="1"/>
      <c r="B23" s="1"/>
      <c r="C23" s="3"/>
      <c r="D23" s="5"/>
      <c r="E23" s="1"/>
      <c r="F23" s="1"/>
      <c r="G23" s="1"/>
    </row>
    <row r="24" spans="1:7" x14ac:dyDescent="0.3">
      <c r="A24" s="1"/>
      <c r="B24" s="1"/>
      <c r="C24" s="3"/>
      <c r="D24" s="5"/>
      <c r="E24" s="1"/>
      <c r="F24" s="1"/>
      <c r="G24" s="1"/>
    </row>
    <row r="25" spans="1:7" x14ac:dyDescent="0.3">
      <c r="A25" s="1"/>
      <c r="B25" s="1"/>
      <c r="C25" s="3"/>
      <c r="D25" s="7"/>
      <c r="E25" s="1"/>
      <c r="F25" s="1"/>
      <c r="G25" s="1"/>
    </row>
    <row r="26" spans="1:7" x14ac:dyDescent="0.3">
      <c r="A26" s="1"/>
      <c r="B26" s="1"/>
      <c r="C26" s="3"/>
      <c r="D26" s="5"/>
      <c r="E26" s="1"/>
      <c r="F26" s="1"/>
      <c r="G26" s="1"/>
    </row>
    <row r="27" spans="1:7" x14ac:dyDescent="0.3">
      <c r="A27" s="1"/>
      <c r="B27" s="1"/>
      <c r="C27" s="3"/>
      <c r="D27" s="5"/>
      <c r="E27" s="1"/>
      <c r="F27" s="1"/>
      <c r="G27" s="1"/>
    </row>
    <row r="28" spans="1:7" x14ac:dyDescent="0.3">
      <c r="A28" s="1"/>
      <c r="B28" s="1"/>
      <c r="C28" s="3"/>
      <c r="D28" s="5"/>
      <c r="E28" s="1"/>
      <c r="F28" s="1"/>
      <c r="G28" s="1"/>
    </row>
    <row r="29" spans="1:7" x14ac:dyDescent="0.3">
      <c r="A29" s="1"/>
      <c r="B29" s="1"/>
      <c r="C29" s="3"/>
      <c r="D29" s="5"/>
      <c r="E29" s="1"/>
      <c r="F29" s="1"/>
      <c r="G29" s="1"/>
    </row>
    <row r="30" spans="1:7" x14ac:dyDescent="0.3">
      <c r="A30" s="1"/>
      <c r="B30" s="1"/>
      <c r="C30" s="3"/>
      <c r="D30" s="5"/>
      <c r="E30" s="1"/>
      <c r="F30" s="1"/>
      <c r="G30" s="1"/>
    </row>
    <row r="31" spans="1:7" x14ac:dyDescent="0.3">
      <c r="A31" s="1"/>
      <c r="B31" s="1"/>
      <c r="C31" s="3"/>
      <c r="D31" s="5"/>
      <c r="E31" s="1"/>
      <c r="F31" s="1"/>
      <c r="G31" s="1"/>
    </row>
    <row r="32" spans="1:7" x14ac:dyDescent="0.3">
      <c r="A32" s="1"/>
      <c r="B32" s="1"/>
      <c r="C32" s="3"/>
      <c r="D32" s="5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2"/>
      <c r="D34" s="6"/>
      <c r="E34" s="1"/>
      <c r="F34" s="1"/>
      <c r="G34" s="1"/>
    </row>
  </sheetData>
  <sortState xmlns:xlrd2="http://schemas.microsoft.com/office/spreadsheetml/2017/richdata2" ref="B8:D19">
    <sortCondition ref="C8:C19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B6B2-159A-4D31-8AF8-8106561D46B6}">
  <dimension ref="A1:G43"/>
  <sheetViews>
    <sheetView topLeftCell="A16" workbookViewId="0">
      <selection activeCell="I34" sqref="I34"/>
    </sheetView>
  </sheetViews>
  <sheetFormatPr defaultRowHeight="14.4" x14ac:dyDescent="0.3"/>
  <cols>
    <col min="1" max="1" width="16.44140625" customWidth="1"/>
    <col min="2" max="2" width="12.33203125" customWidth="1"/>
    <col min="3" max="3" width="12.44140625" customWidth="1"/>
    <col min="4" max="4" width="12.77734375" customWidth="1"/>
    <col min="5" max="5" width="13.4414062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45131</v>
      </c>
      <c r="C3" s="1"/>
      <c r="D3" s="1"/>
      <c r="E3" s="1"/>
      <c r="F3" s="1"/>
      <c r="G3" s="1"/>
    </row>
    <row r="4" spans="1:7" x14ac:dyDescent="0.3">
      <c r="A4" s="1" t="s">
        <v>3</v>
      </c>
      <c r="B4" s="1">
        <v>412767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16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533905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181</v>
      </c>
      <c r="C8" s="3">
        <v>45047</v>
      </c>
      <c r="D8" s="5">
        <v>8100</v>
      </c>
      <c r="E8" s="1"/>
      <c r="F8" s="1"/>
      <c r="G8" s="1"/>
    </row>
    <row r="9" spans="1:7" x14ac:dyDescent="0.3">
      <c r="A9" s="1"/>
      <c r="B9" s="1">
        <v>180</v>
      </c>
      <c r="C9" s="3">
        <v>45047</v>
      </c>
      <c r="D9" s="5">
        <v>8100</v>
      </c>
      <c r="E9" s="1"/>
      <c r="F9" s="1"/>
      <c r="G9" s="1"/>
    </row>
    <row r="10" spans="1:7" x14ac:dyDescent="0.3">
      <c r="A10" s="1"/>
      <c r="B10" s="1">
        <v>182</v>
      </c>
      <c r="C10" s="3">
        <v>45047</v>
      </c>
      <c r="D10" s="5">
        <v>8100</v>
      </c>
      <c r="E10" s="1"/>
      <c r="F10" s="1"/>
      <c r="G10" s="1"/>
    </row>
    <row r="11" spans="1:7" x14ac:dyDescent="0.3">
      <c r="A11" s="1"/>
      <c r="B11" s="1">
        <v>179</v>
      </c>
      <c r="C11" s="3">
        <v>45047</v>
      </c>
      <c r="D11" s="5">
        <v>8100</v>
      </c>
      <c r="E11" s="1"/>
      <c r="F11" s="1"/>
      <c r="G11" s="1"/>
    </row>
    <row r="12" spans="1:7" x14ac:dyDescent="0.3">
      <c r="A12" s="1"/>
      <c r="B12" s="1">
        <v>178</v>
      </c>
      <c r="C12" s="3">
        <v>45047</v>
      </c>
      <c r="D12" s="5">
        <v>7172</v>
      </c>
      <c r="E12" s="1"/>
      <c r="F12" s="1"/>
      <c r="G12" s="1"/>
    </row>
    <row r="13" spans="1:7" x14ac:dyDescent="0.3">
      <c r="A13" s="1"/>
      <c r="B13" s="1">
        <v>183</v>
      </c>
      <c r="C13" s="3">
        <v>45049</v>
      </c>
      <c r="D13" s="5">
        <v>8965</v>
      </c>
      <c r="E13" s="1"/>
      <c r="F13" s="1"/>
      <c r="G13" s="1"/>
    </row>
    <row r="14" spans="1:7" x14ac:dyDescent="0.3">
      <c r="A14" s="1"/>
      <c r="B14" s="1">
        <v>189</v>
      </c>
      <c r="C14" s="3">
        <v>45050</v>
      </c>
      <c r="D14" s="5">
        <v>9720</v>
      </c>
      <c r="E14" s="1"/>
      <c r="F14" s="1"/>
      <c r="G14" s="1"/>
    </row>
    <row r="15" spans="1:7" x14ac:dyDescent="0.3">
      <c r="A15" s="1"/>
      <c r="B15" s="1">
        <v>197</v>
      </c>
      <c r="C15" s="3">
        <v>45054</v>
      </c>
      <c r="D15" s="5">
        <v>19440</v>
      </c>
      <c r="E15" s="1"/>
      <c r="F15" s="1"/>
      <c r="G15" s="1"/>
    </row>
    <row r="16" spans="1:7" x14ac:dyDescent="0.3">
      <c r="A16" s="1"/>
      <c r="B16" s="1">
        <v>195</v>
      </c>
      <c r="C16" s="3">
        <v>45054</v>
      </c>
      <c r="D16" s="5">
        <v>24300</v>
      </c>
      <c r="E16" s="1"/>
      <c r="F16" s="1"/>
      <c r="G16" s="1"/>
    </row>
    <row r="17" spans="1:7" x14ac:dyDescent="0.3">
      <c r="A17" s="1"/>
      <c r="B17" s="1">
        <v>194</v>
      </c>
      <c r="C17" s="3">
        <v>45054</v>
      </c>
      <c r="D17" s="5">
        <v>7172</v>
      </c>
      <c r="E17" s="1"/>
      <c r="F17" s="1"/>
      <c r="G17" s="1"/>
    </row>
    <row r="18" spans="1:7" x14ac:dyDescent="0.3">
      <c r="A18" s="1"/>
      <c r="B18" s="1">
        <v>196</v>
      </c>
      <c r="C18" s="3">
        <v>45057</v>
      </c>
      <c r="D18" s="5">
        <v>64800</v>
      </c>
      <c r="E18" s="1"/>
      <c r="F18" s="1"/>
      <c r="G18" s="1"/>
    </row>
    <row r="19" spans="1:7" x14ac:dyDescent="0.3">
      <c r="A19" s="1"/>
      <c r="B19" s="1">
        <v>322</v>
      </c>
      <c r="C19" s="3">
        <v>45058</v>
      </c>
      <c r="D19" s="5">
        <v>64800</v>
      </c>
      <c r="E19" s="1"/>
      <c r="F19" s="1"/>
      <c r="G19" s="1"/>
    </row>
    <row r="20" spans="1:7" x14ac:dyDescent="0.3">
      <c r="A20" s="1"/>
      <c r="B20" s="1">
        <v>352</v>
      </c>
      <c r="C20" s="3">
        <v>45061</v>
      </c>
      <c r="D20" s="5">
        <v>8609</v>
      </c>
      <c r="E20" s="1"/>
      <c r="F20" s="1"/>
      <c r="G20" s="1"/>
    </row>
    <row r="21" spans="1:7" x14ac:dyDescent="0.3">
      <c r="A21" s="1"/>
      <c r="B21" s="1">
        <v>355</v>
      </c>
      <c r="C21" s="3">
        <v>45062</v>
      </c>
      <c r="D21" s="10">
        <v>9135</v>
      </c>
      <c r="E21" s="1"/>
      <c r="F21" s="1"/>
      <c r="G21" s="1"/>
    </row>
    <row r="22" spans="1:7" x14ac:dyDescent="0.3">
      <c r="A22" s="1"/>
      <c r="B22" s="1">
        <v>358</v>
      </c>
      <c r="C22" s="3">
        <v>45063</v>
      </c>
      <c r="D22" s="5">
        <v>25260</v>
      </c>
      <c r="E22" s="1"/>
      <c r="F22" s="1"/>
      <c r="G22" s="1"/>
    </row>
    <row r="23" spans="1:7" x14ac:dyDescent="0.3">
      <c r="A23" s="1"/>
      <c r="B23" s="1">
        <v>359</v>
      </c>
      <c r="C23" s="3">
        <v>45063</v>
      </c>
      <c r="D23" s="5">
        <v>20208</v>
      </c>
      <c r="E23" s="1"/>
      <c r="F23" s="1"/>
      <c r="G23" s="1"/>
    </row>
    <row r="24" spans="1:7" x14ac:dyDescent="0.3">
      <c r="A24" s="1"/>
      <c r="B24" s="1">
        <v>357</v>
      </c>
      <c r="C24" s="3">
        <v>45063</v>
      </c>
      <c r="D24" s="5">
        <v>7308</v>
      </c>
      <c r="E24" s="1"/>
      <c r="F24" s="1"/>
      <c r="G24" s="1"/>
    </row>
    <row r="25" spans="1:7" x14ac:dyDescent="0.3">
      <c r="A25" s="1"/>
      <c r="B25" s="1">
        <v>361</v>
      </c>
      <c r="C25" s="3">
        <v>45065</v>
      </c>
      <c r="D25" s="5">
        <v>20208</v>
      </c>
      <c r="E25" s="1"/>
      <c r="F25" s="1"/>
      <c r="G25" s="1"/>
    </row>
    <row r="26" spans="1:7" x14ac:dyDescent="0.3">
      <c r="A26" s="1"/>
      <c r="B26" s="1">
        <v>367</v>
      </c>
      <c r="C26" s="3">
        <v>45068</v>
      </c>
      <c r="D26" s="5">
        <v>20208</v>
      </c>
      <c r="E26" s="1"/>
      <c r="F26" s="1"/>
      <c r="G26" s="1"/>
    </row>
    <row r="27" spans="1:7" x14ac:dyDescent="0.3">
      <c r="A27" s="1"/>
      <c r="B27" s="1">
        <v>368</v>
      </c>
      <c r="C27" s="3">
        <v>45068</v>
      </c>
      <c r="D27" s="5">
        <v>25260</v>
      </c>
      <c r="E27" s="1"/>
      <c r="F27" s="1"/>
      <c r="G27" s="1"/>
    </row>
    <row r="28" spans="1:7" x14ac:dyDescent="0.3">
      <c r="A28" s="1"/>
      <c r="B28" s="1">
        <v>369</v>
      </c>
      <c r="C28" s="3">
        <v>45069</v>
      </c>
      <c r="D28" s="5">
        <v>26944</v>
      </c>
      <c r="E28" s="1"/>
      <c r="F28" s="1"/>
      <c r="G28" s="1"/>
    </row>
    <row r="29" spans="1:7" x14ac:dyDescent="0.3">
      <c r="A29" s="1"/>
      <c r="B29" s="1">
        <v>371</v>
      </c>
      <c r="C29" s="3">
        <v>45070</v>
      </c>
      <c r="D29" s="5">
        <v>67360</v>
      </c>
      <c r="E29" s="1"/>
      <c r="F29" s="1"/>
      <c r="G29" s="1"/>
    </row>
    <row r="30" spans="1:7" x14ac:dyDescent="0.3">
      <c r="A30" s="1"/>
      <c r="B30" s="1">
        <v>370</v>
      </c>
      <c r="C30" s="3">
        <v>45070</v>
      </c>
      <c r="D30" s="5">
        <v>7904</v>
      </c>
      <c r="E30" s="1"/>
      <c r="F30" s="1"/>
      <c r="G30" s="1"/>
    </row>
    <row r="31" spans="1:7" x14ac:dyDescent="0.3">
      <c r="A31" s="1"/>
      <c r="B31" s="1">
        <v>373</v>
      </c>
      <c r="C31" s="3">
        <v>45072</v>
      </c>
      <c r="D31" s="5">
        <v>25260</v>
      </c>
      <c r="E31" s="1"/>
      <c r="F31" s="1"/>
      <c r="G31" s="1"/>
    </row>
    <row r="32" spans="1:7" x14ac:dyDescent="0.3">
      <c r="A32" s="1"/>
      <c r="B32" s="1">
        <v>374</v>
      </c>
      <c r="C32" s="3">
        <v>45073</v>
      </c>
      <c r="D32" s="5">
        <v>9135</v>
      </c>
      <c r="E32" s="1"/>
      <c r="F32" s="1"/>
      <c r="G32" s="1"/>
    </row>
    <row r="33" spans="1:7" x14ac:dyDescent="0.3">
      <c r="A33" s="1"/>
      <c r="B33" s="1">
        <v>379</v>
      </c>
      <c r="C33" s="3">
        <v>45075</v>
      </c>
      <c r="D33" s="5">
        <v>7308</v>
      </c>
      <c r="E33" s="1"/>
      <c r="F33" s="1"/>
      <c r="G33" s="1"/>
    </row>
    <row r="34" spans="1:7" x14ac:dyDescent="0.3">
      <c r="A34" s="1"/>
      <c r="B34" s="1">
        <v>382</v>
      </c>
      <c r="C34" s="3">
        <v>45077</v>
      </c>
      <c r="D34" s="5">
        <v>10104</v>
      </c>
      <c r="E34" s="1"/>
      <c r="F34" s="1"/>
      <c r="G34" s="1"/>
    </row>
    <row r="35" spans="1:7" x14ac:dyDescent="0.3">
      <c r="A35" s="1"/>
      <c r="B35" s="1">
        <v>381</v>
      </c>
      <c r="C35" s="3">
        <v>45077</v>
      </c>
      <c r="D35" s="7">
        <v>4925</v>
      </c>
      <c r="E35" s="1"/>
      <c r="F35" s="1"/>
      <c r="G35" s="1"/>
    </row>
    <row r="36" spans="1:7" x14ac:dyDescent="0.3">
      <c r="A36" s="1"/>
      <c r="B36" s="1"/>
      <c r="C36" s="1"/>
      <c r="D36" s="5"/>
      <c r="E36" s="1"/>
      <c r="F36" s="1"/>
      <c r="G36" s="1"/>
    </row>
    <row r="37" spans="1:7" x14ac:dyDescent="0.3">
      <c r="A37" s="1"/>
      <c r="B37" s="1"/>
      <c r="C37" s="2" t="s">
        <v>10</v>
      </c>
      <c r="D37" s="9">
        <f>SUM(D8:D36)</f>
        <v>533905</v>
      </c>
      <c r="E37" s="1"/>
      <c r="F37" s="1"/>
      <c r="G37" s="1"/>
    </row>
    <row r="38" spans="1:7" x14ac:dyDescent="0.3">
      <c r="A38" s="1"/>
      <c r="B38" s="1"/>
      <c r="C38" s="1"/>
      <c r="D38" s="5"/>
      <c r="E38" s="1"/>
      <c r="F38" s="1"/>
      <c r="G38" s="1"/>
    </row>
    <row r="39" spans="1:7" x14ac:dyDescent="0.3">
      <c r="A39" s="1"/>
      <c r="B39" s="1"/>
      <c r="C39" s="1"/>
      <c r="D39" s="5"/>
      <c r="E39" s="1"/>
      <c r="F39" s="1"/>
      <c r="G39" s="1"/>
    </row>
    <row r="40" spans="1:7" x14ac:dyDescent="0.3">
      <c r="A40" s="1"/>
      <c r="B40" s="1"/>
      <c r="C40" s="1"/>
      <c r="D40" s="5"/>
      <c r="E40" s="1"/>
      <c r="F40" s="1"/>
      <c r="G40" s="1"/>
    </row>
    <row r="41" spans="1:7" x14ac:dyDescent="0.3">
      <c r="A41" s="1"/>
      <c r="B41" s="1"/>
      <c r="C41" s="1"/>
      <c r="D41" s="5"/>
      <c r="E41" s="1"/>
      <c r="F41" s="1"/>
      <c r="G41" s="1"/>
    </row>
    <row r="42" spans="1:7" x14ac:dyDescent="0.3">
      <c r="A42" s="1"/>
      <c r="B42" s="1"/>
      <c r="C42" s="1"/>
      <c r="D42" s="5"/>
      <c r="E42" s="1"/>
      <c r="F42" s="1"/>
      <c r="G42" s="1"/>
    </row>
    <row r="43" spans="1:7" x14ac:dyDescent="0.3">
      <c r="A43" s="1"/>
      <c r="B43" s="1"/>
      <c r="C43" s="1"/>
      <c r="D43" s="5"/>
      <c r="E43" s="1"/>
      <c r="F43" s="1"/>
      <c r="G43" s="1"/>
    </row>
  </sheetData>
  <sortState xmlns:xlrd2="http://schemas.microsoft.com/office/spreadsheetml/2017/richdata2" ref="B8:D35">
    <sortCondition ref="C8:C3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E205-3FC9-4F1C-B20B-ABA518749EE2}">
  <dimension ref="A1:G35"/>
  <sheetViews>
    <sheetView workbookViewId="0">
      <selection activeCell="J30" sqref="J30"/>
    </sheetView>
  </sheetViews>
  <sheetFormatPr defaultRowHeight="14.4" x14ac:dyDescent="0.3"/>
  <cols>
    <col min="1" max="1" width="16.88671875" customWidth="1"/>
    <col min="2" max="3" width="13.109375" customWidth="1"/>
    <col min="4" max="4" width="13.21875" customWidth="1"/>
    <col min="5" max="5" width="11.554687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45153</v>
      </c>
      <c r="C3" s="1"/>
      <c r="D3" s="1"/>
      <c r="E3" s="1"/>
      <c r="F3" s="1"/>
      <c r="G3" s="1"/>
    </row>
    <row r="4" spans="1:7" x14ac:dyDescent="0.3">
      <c r="A4" s="1" t="s">
        <v>3</v>
      </c>
      <c r="B4" s="1" t="s">
        <v>11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54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440828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2"/>
      <c r="B8" s="1">
        <v>661</v>
      </c>
      <c r="C8" s="3">
        <v>44365</v>
      </c>
      <c r="D8" s="14">
        <v>9100</v>
      </c>
      <c r="E8" s="1"/>
      <c r="F8" s="1"/>
      <c r="G8" s="1"/>
    </row>
    <row r="9" spans="1:7" x14ac:dyDescent="0.3">
      <c r="A9" s="1"/>
      <c r="B9" s="1">
        <v>385</v>
      </c>
      <c r="C9" s="3">
        <v>45078</v>
      </c>
      <c r="D9" s="14">
        <v>67360</v>
      </c>
      <c r="E9" s="1"/>
      <c r="F9" s="1"/>
      <c r="G9" s="1"/>
    </row>
    <row r="10" spans="1:7" x14ac:dyDescent="0.3">
      <c r="A10" s="1"/>
      <c r="B10" s="1">
        <v>387</v>
      </c>
      <c r="C10" s="3">
        <v>45078</v>
      </c>
      <c r="D10" s="14">
        <v>8420</v>
      </c>
      <c r="E10" s="1"/>
      <c r="F10" s="1"/>
      <c r="G10" s="1"/>
    </row>
    <row r="11" spans="1:7" x14ac:dyDescent="0.3">
      <c r="A11" s="1"/>
      <c r="B11" s="1">
        <v>388</v>
      </c>
      <c r="C11" s="3">
        <v>45078</v>
      </c>
      <c r="D11" s="14">
        <v>8420</v>
      </c>
      <c r="E11" s="1"/>
      <c r="F11" s="1"/>
      <c r="G11" s="1"/>
    </row>
    <row r="12" spans="1:7" x14ac:dyDescent="0.3">
      <c r="A12" s="1"/>
      <c r="B12" s="1">
        <v>389</v>
      </c>
      <c r="C12" s="3">
        <v>45078</v>
      </c>
      <c r="D12" s="14">
        <v>8420</v>
      </c>
      <c r="E12" s="1"/>
      <c r="F12" s="1"/>
      <c r="G12" s="1"/>
    </row>
    <row r="13" spans="1:7" x14ac:dyDescent="0.3">
      <c r="A13" s="1"/>
      <c r="B13" s="1">
        <v>386</v>
      </c>
      <c r="C13" s="3">
        <v>45078</v>
      </c>
      <c r="D13" s="14">
        <v>8420</v>
      </c>
      <c r="E13" s="1"/>
      <c r="F13" s="1"/>
      <c r="G13" s="1"/>
    </row>
    <row r="14" spans="1:7" x14ac:dyDescent="0.3">
      <c r="A14" s="1"/>
      <c r="B14" s="1">
        <v>391</v>
      </c>
      <c r="C14" s="3">
        <v>45079</v>
      </c>
      <c r="D14" s="14">
        <v>7609</v>
      </c>
      <c r="E14" s="1"/>
      <c r="F14" s="1"/>
      <c r="G14" s="1"/>
    </row>
    <row r="15" spans="1:7" x14ac:dyDescent="0.3">
      <c r="A15" s="1"/>
      <c r="B15" s="1">
        <v>393</v>
      </c>
      <c r="C15" s="3">
        <v>45080</v>
      </c>
      <c r="D15" s="14">
        <v>67360</v>
      </c>
      <c r="E15" s="1"/>
      <c r="F15" s="1"/>
      <c r="G15" s="1"/>
    </row>
    <row r="16" spans="1:7" x14ac:dyDescent="0.3">
      <c r="A16" s="1"/>
      <c r="B16" s="1">
        <v>395</v>
      </c>
      <c r="C16" s="3">
        <v>45083</v>
      </c>
      <c r="D16" s="14">
        <v>25260</v>
      </c>
      <c r="E16" s="1"/>
      <c r="F16" s="1"/>
      <c r="G16" s="1"/>
    </row>
    <row r="17" spans="1:7" x14ac:dyDescent="0.3">
      <c r="A17" s="1"/>
      <c r="B17" s="1">
        <v>397</v>
      </c>
      <c r="C17" s="3">
        <v>45083</v>
      </c>
      <c r="D17" s="14">
        <v>7308</v>
      </c>
      <c r="E17" s="1"/>
      <c r="F17" s="1"/>
      <c r="G17" s="1"/>
    </row>
    <row r="18" spans="1:7" x14ac:dyDescent="0.3">
      <c r="A18" s="1"/>
      <c r="B18" s="1">
        <v>398</v>
      </c>
      <c r="C18" s="3">
        <v>45084</v>
      </c>
      <c r="D18" s="14">
        <v>25260</v>
      </c>
      <c r="E18" s="1"/>
      <c r="F18" s="1"/>
      <c r="G18" s="1"/>
    </row>
    <row r="19" spans="1:7" x14ac:dyDescent="0.3">
      <c r="A19" s="1"/>
      <c r="B19" s="1">
        <v>400</v>
      </c>
      <c r="C19" s="3">
        <v>45085</v>
      </c>
      <c r="D19" s="14">
        <v>8881</v>
      </c>
      <c r="E19" s="1"/>
      <c r="F19" s="1"/>
      <c r="G19" s="1"/>
    </row>
    <row r="20" spans="1:7" x14ac:dyDescent="0.3">
      <c r="A20" s="1"/>
      <c r="B20" s="1">
        <v>399</v>
      </c>
      <c r="C20" s="3">
        <v>45085</v>
      </c>
      <c r="D20" s="14">
        <v>9135</v>
      </c>
      <c r="E20" s="1"/>
      <c r="F20" s="1"/>
      <c r="G20" s="1"/>
    </row>
    <row r="21" spans="1:7" x14ac:dyDescent="0.3">
      <c r="A21" s="1"/>
      <c r="B21" s="1">
        <v>654</v>
      </c>
      <c r="C21" s="3">
        <v>45092</v>
      </c>
      <c r="D21" s="14">
        <v>7308</v>
      </c>
      <c r="E21" s="1"/>
      <c r="F21" s="1"/>
      <c r="G21" s="1"/>
    </row>
    <row r="22" spans="1:7" x14ac:dyDescent="0.3">
      <c r="A22" s="1"/>
      <c r="B22" s="1">
        <v>656</v>
      </c>
      <c r="C22" s="3">
        <v>45092</v>
      </c>
      <c r="D22" s="7">
        <v>66880</v>
      </c>
      <c r="E22" s="1"/>
      <c r="F22" s="1"/>
      <c r="G22" s="1"/>
    </row>
    <row r="23" spans="1:7" x14ac:dyDescent="0.3">
      <c r="A23" s="1"/>
      <c r="B23" s="1">
        <v>658</v>
      </c>
      <c r="C23" s="3">
        <v>45093</v>
      </c>
      <c r="D23" s="14">
        <v>8656</v>
      </c>
      <c r="E23" s="1"/>
      <c r="F23" s="1"/>
      <c r="G23" s="1"/>
    </row>
    <row r="24" spans="1:7" x14ac:dyDescent="0.3">
      <c r="A24" s="1"/>
      <c r="B24" s="1">
        <v>663</v>
      </c>
      <c r="C24" s="3">
        <v>45095</v>
      </c>
      <c r="D24" s="14">
        <v>8523</v>
      </c>
      <c r="E24" s="1"/>
      <c r="F24" s="1"/>
      <c r="G24" s="1"/>
    </row>
    <row r="25" spans="1:7" x14ac:dyDescent="0.3">
      <c r="A25" s="1"/>
      <c r="B25" s="1">
        <v>662</v>
      </c>
      <c r="C25" s="3">
        <v>45095</v>
      </c>
      <c r="D25" s="14">
        <v>9698</v>
      </c>
      <c r="E25" s="1"/>
      <c r="F25" s="1"/>
      <c r="G25" s="1"/>
    </row>
    <row r="26" spans="1:7" x14ac:dyDescent="0.3">
      <c r="A26" s="1"/>
      <c r="B26" s="1">
        <v>666</v>
      </c>
      <c r="C26" s="3">
        <v>45098</v>
      </c>
      <c r="D26" s="14">
        <v>9100</v>
      </c>
      <c r="E26" s="1"/>
      <c r="F26" s="1"/>
      <c r="G26" s="1"/>
    </row>
    <row r="27" spans="1:7" x14ac:dyDescent="0.3">
      <c r="A27" s="1"/>
      <c r="B27" s="1">
        <v>669</v>
      </c>
      <c r="C27" s="3">
        <v>45099</v>
      </c>
      <c r="D27" s="14">
        <v>7474</v>
      </c>
      <c r="E27" s="1"/>
      <c r="F27" s="1"/>
      <c r="G27" s="1"/>
    </row>
    <row r="28" spans="1:7" x14ac:dyDescent="0.3">
      <c r="A28" s="1"/>
      <c r="B28" s="1">
        <v>670</v>
      </c>
      <c r="C28" s="3">
        <v>45100</v>
      </c>
      <c r="D28" s="14">
        <v>9100</v>
      </c>
      <c r="E28" s="1"/>
      <c r="F28" s="1"/>
      <c r="G28" s="1"/>
    </row>
    <row r="29" spans="1:7" x14ac:dyDescent="0.3">
      <c r="A29" s="1"/>
      <c r="B29" s="1">
        <v>671</v>
      </c>
      <c r="C29" s="3">
        <v>45100</v>
      </c>
      <c r="D29" s="14">
        <v>7280</v>
      </c>
      <c r="E29" s="1"/>
      <c r="F29" s="1"/>
      <c r="G29" s="1"/>
    </row>
    <row r="30" spans="1:7" x14ac:dyDescent="0.3">
      <c r="A30" s="1"/>
      <c r="B30" s="1">
        <v>672</v>
      </c>
      <c r="C30" s="3">
        <v>45102</v>
      </c>
      <c r="D30" s="14">
        <v>10004</v>
      </c>
      <c r="E30" s="1"/>
      <c r="F30" s="1"/>
      <c r="G30" s="1"/>
    </row>
    <row r="31" spans="1:7" x14ac:dyDescent="0.3">
      <c r="A31" s="1"/>
      <c r="B31" s="1">
        <v>673</v>
      </c>
      <c r="C31" s="3">
        <v>45103</v>
      </c>
      <c r="D31" s="14">
        <v>9100</v>
      </c>
      <c r="E31" s="1"/>
      <c r="F31" s="1"/>
      <c r="G31" s="1"/>
    </row>
    <row r="32" spans="1:7" x14ac:dyDescent="0.3">
      <c r="A32" s="1"/>
      <c r="B32" s="1">
        <v>674</v>
      </c>
      <c r="C32" s="3">
        <v>45105</v>
      </c>
      <c r="D32" s="14">
        <v>26752</v>
      </c>
      <c r="E32" s="1"/>
      <c r="F32" s="1"/>
      <c r="G32" s="1"/>
    </row>
    <row r="33" spans="1:7" x14ac:dyDescent="0.3">
      <c r="A33" s="1"/>
      <c r="B33" s="1"/>
      <c r="C33" s="3"/>
      <c r="D33" s="5"/>
      <c r="E33" s="1"/>
      <c r="F33" s="1"/>
      <c r="G33" s="1"/>
    </row>
    <row r="34" spans="1:7" x14ac:dyDescent="0.3">
      <c r="A34" s="1"/>
      <c r="B34" s="1"/>
      <c r="C34" s="8" t="s">
        <v>10</v>
      </c>
      <c r="D34" s="9">
        <f>SUM(D8:D33)</f>
        <v>440828</v>
      </c>
      <c r="E34" s="1"/>
      <c r="F34" s="1"/>
      <c r="G34" s="1"/>
    </row>
    <row r="35" spans="1:7" x14ac:dyDescent="0.3">
      <c r="A35" s="1"/>
      <c r="B35" s="1"/>
      <c r="C35" s="3"/>
      <c r="D35" s="5"/>
      <c r="E35" s="1"/>
      <c r="F35" s="1"/>
      <c r="G35" s="1"/>
    </row>
  </sheetData>
  <sortState xmlns:xlrd2="http://schemas.microsoft.com/office/spreadsheetml/2017/richdata2" ref="B8:D32">
    <sortCondition ref="C8:C32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3AC3-D7DE-47AD-AEA6-C478C3F66D4F}">
  <dimension ref="A1:G32"/>
  <sheetViews>
    <sheetView workbookViewId="0">
      <selection activeCell="K18" sqref="K18"/>
    </sheetView>
  </sheetViews>
  <sheetFormatPr defaultRowHeight="14.4" x14ac:dyDescent="0.3"/>
  <cols>
    <col min="1" max="1" width="16.5546875" customWidth="1"/>
    <col min="2" max="2" width="13.109375" customWidth="1"/>
    <col min="3" max="3" width="13" customWidth="1"/>
    <col min="4" max="4" width="12" customWidth="1"/>
    <col min="5" max="5" width="12.5546875" customWidth="1"/>
    <col min="6" max="6" width="10.5546875" bestFit="1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45167</v>
      </c>
      <c r="C3" s="1"/>
      <c r="D3" s="1"/>
      <c r="E3" s="1"/>
      <c r="F3" s="1"/>
      <c r="G3" s="1"/>
    </row>
    <row r="4" spans="1:7" x14ac:dyDescent="0.3">
      <c r="A4" s="1" t="s">
        <v>3</v>
      </c>
      <c r="B4" s="1">
        <v>302776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20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150988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384</v>
      </c>
      <c r="C8" s="3">
        <v>45078</v>
      </c>
      <c r="D8" s="5">
        <v>20208</v>
      </c>
      <c r="E8" s="1"/>
      <c r="F8" s="1"/>
      <c r="G8" s="1"/>
    </row>
    <row r="9" spans="1:7" x14ac:dyDescent="0.3">
      <c r="A9" s="1"/>
      <c r="B9" s="1">
        <v>383</v>
      </c>
      <c r="C9" s="3">
        <v>45078</v>
      </c>
      <c r="D9" s="5">
        <v>10048</v>
      </c>
      <c r="E9" s="1"/>
      <c r="F9" s="1"/>
      <c r="G9" s="1"/>
    </row>
    <row r="10" spans="1:7" x14ac:dyDescent="0.3">
      <c r="A10" s="1"/>
      <c r="B10" s="1">
        <v>390</v>
      </c>
      <c r="C10" s="3">
        <v>45078</v>
      </c>
      <c r="D10" s="5">
        <v>13472</v>
      </c>
      <c r="E10" s="1"/>
      <c r="F10" s="1"/>
      <c r="G10" s="1"/>
    </row>
    <row r="11" spans="1:7" x14ac:dyDescent="0.3">
      <c r="A11" s="1"/>
      <c r="B11" s="1">
        <v>394</v>
      </c>
      <c r="C11" s="3">
        <v>45082</v>
      </c>
      <c r="D11" s="5">
        <v>13472</v>
      </c>
      <c r="E11" s="1"/>
      <c r="F11" s="1"/>
      <c r="G11" s="1"/>
    </row>
    <row r="12" spans="1:7" x14ac:dyDescent="0.3">
      <c r="A12" s="1"/>
      <c r="B12" s="1">
        <v>652</v>
      </c>
      <c r="C12" s="3">
        <v>45090</v>
      </c>
      <c r="D12" s="5">
        <v>20073</v>
      </c>
      <c r="E12" s="1"/>
      <c r="F12" s="1"/>
      <c r="G12" s="1"/>
    </row>
    <row r="13" spans="1:7" x14ac:dyDescent="0.3">
      <c r="A13" s="1"/>
      <c r="B13" s="1">
        <v>655</v>
      </c>
      <c r="C13" s="3">
        <v>45092</v>
      </c>
      <c r="D13" s="5">
        <v>10010</v>
      </c>
      <c r="E13" s="1"/>
      <c r="F13" s="3"/>
      <c r="G13" s="1"/>
    </row>
    <row r="14" spans="1:7" x14ac:dyDescent="0.3">
      <c r="A14" s="1"/>
      <c r="B14" s="1">
        <v>664</v>
      </c>
      <c r="C14" s="3">
        <v>45095</v>
      </c>
      <c r="D14" s="5">
        <v>13567</v>
      </c>
      <c r="E14" s="1"/>
      <c r="F14" s="1"/>
      <c r="G14" s="1"/>
    </row>
    <row r="15" spans="1:7" x14ac:dyDescent="0.3">
      <c r="A15" s="1"/>
      <c r="B15" s="1">
        <v>667</v>
      </c>
      <c r="C15" s="3">
        <v>45098</v>
      </c>
      <c r="D15" s="5">
        <v>20064</v>
      </c>
      <c r="E15" s="1"/>
      <c r="F15" s="1"/>
      <c r="G15" s="1"/>
    </row>
    <row r="16" spans="1:7" x14ac:dyDescent="0.3">
      <c r="A16" s="1"/>
      <c r="B16" s="1">
        <v>675</v>
      </c>
      <c r="C16" s="3">
        <v>45105</v>
      </c>
      <c r="D16" s="5">
        <v>20064</v>
      </c>
      <c r="E16" s="1"/>
      <c r="F16" s="1"/>
      <c r="G16" s="1"/>
    </row>
    <row r="17" spans="1:7" x14ac:dyDescent="0.3">
      <c r="A17" s="1"/>
      <c r="B17" s="1">
        <v>677</v>
      </c>
      <c r="C17" s="3">
        <v>45106</v>
      </c>
      <c r="D17" s="5">
        <v>10010</v>
      </c>
      <c r="E17" s="1"/>
      <c r="F17" s="1"/>
      <c r="G17" s="1"/>
    </row>
    <row r="18" spans="1:7" x14ac:dyDescent="0.3">
      <c r="A18" s="1"/>
      <c r="B18" s="1"/>
      <c r="C18" s="3"/>
      <c r="D18" s="5"/>
      <c r="E18" s="1"/>
      <c r="F18" s="1"/>
      <c r="G18" s="1"/>
    </row>
    <row r="19" spans="1:7" x14ac:dyDescent="0.3">
      <c r="A19" s="1"/>
      <c r="B19" s="1"/>
      <c r="C19" s="8" t="s">
        <v>10</v>
      </c>
      <c r="D19" s="9">
        <f>SUM(D8:D18)</f>
        <v>150988</v>
      </c>
      <c r="E19" s="1"/>
      <c r="F19" s="1"/>
      <c r="G19" s="1"/>
    </row>
    <row r="20" spans="1:7" x14ac:dyDescent="0.3">
      <c r="A20" s="1"/>
      <c r="B20" s="1"/>
      <c r="C20" s="3"/>
      <c r="D20" s="5"/>
      <c r="E20" s="1"/>
      <c r="F20" s="1"/>
      <c r="G20" s="1"/>
    </row>
    <row r="21" spans="1:7" x14ac:dyDescent="0.3">
      <c r="A21" s="1"/>
      <c r="B21" s="1"/>
      <c r="C21" s="3"/>
      <c r="D21" s="5"/>
      <c r="E21" s="1"/>
      <c r="F21" s="1"/>
      <c r="G21" s="1"/>
    </row>
    <row r="22" spans="1:7" x14ac:dyDescent="0.3">
      <c r="A22" s="1"/>
      <c r="B22" s="1"/>
      <c r="C22" s="3"/>
      <c r="D22" s="5"/>
      <c r="E22" s="1"/>
      <c r="F22" s="1"/>
      <c r="G22" s="1"/>
    </row>
    <row r="23" spans="1:7" x14ac:dyDescent="0.3">
      <c r="A23" s="1"/>
      <c r="B23" s="1"/>
      <c r="C23" s="3"/>
      <c r="D23" s="5"/>
      <c r="E23" s="1"/>
      <c r="F23" s="1"/>
      <c r="G23" s="1"/>
    </row>
    <row r="24" spans="1:7" x14ac:dyDescent="0.3">
      <c r="A24" s="1"/>
      <c r="B24" s="1"/>
      <c r="C24" s="3"/>
      <c r="D24" s="5"/>
      <c r="E24" s="1"/>
      <c r="F24" s="1"/>
      <c r="G24" s="1"/>
    </row>
    <row r="25" spans="1:7" x14ac:dyDescent="0.3">
      <c r="A25" s="1"/>
      <c r="B25" s="1"/>
      <c r="C25" s="3"/>
      <c r="D25" s="7"/>
      <c r="E25" s="1"/>
      <c r="F25" s="1"/>
      <c r="G25" s="1"/>
    </row>
    <row r="26" spans="1:7" x14ac:dyDescent="0.3">
      <c r="A26" s="1"/>
      <c r="B26" s="1"/>
      <c r="C26" s="3"/>
      <c r="D26" s="5"/>
      <c r="E26" s="1"/>
      <c r="F26" s="1"/>
      <c r="G26" s="1"/>
    </row>
    <row r="27" spans="1:7" x14ac:dyDescent="0.3">
      <c r="A27" s="1"/>
      <c r="B27" s="1"/>
      <c r="C27" s="3"/>
      <c r="D27" s="5"/>
      <c r="E27" s="1"/>
      <c r="F27" s="1"/>
      <c r="G27" s="1"/>
    </row>
    <row r="28" spans="1:7" x14ac:dyDescent="0.3">
      <c r="A28" s="1"/>
      <c r="B28" s="1"/>
      <c r="C28" s="3"/>
      <c r="D28" s="5"/>
      <c r="E28" s="1"/>
      <c r="F28" s="1"/>
      <c r="G28" s="1"/>
    </row>
    <row r="29" spans="1:7" x14ac:dyDescent="0.3">
      <c r="A29" s="1"/>
      <c r="B29" s="1"/>
      <c r="C29" s="3"/>
      <c r="D29" s="5"/>
      <c r="E29" s="1"/>
      <c r="F29" s="1"/>
      <c r="G29" s="1"/>
    </row>
    <row r="30" spans="1:7" x14ac:dyDescent="0.3">
      <c r="A30" s="1"/>
      <c r="B30" s="1"/>
      <c r="C30" s="3"/>
      <c r="D30" s="5"/>
      <c r="E30" s="1"/>
      <c r="F30" s="1"/>
      <c r="G30" s="1"/>
    </row>
    <row r="31" spans="1:7" x14ac:dyDescent="0.3">
      <c r="A31" s="1"/>
      <c r="B31" s="1"/>
      <c r="C31" s="3"/>
      <c r="D31" s="5"/>
      <c r="E31" s="1"/>
      <c r="F31" s="1"/>
      <c r="G31" s="1"/>
    </row>
    <row r="32" spans="1:7" x14ac:dyDescent="0.3">
      <c r="A32" s="1"/>
      <c r="B32" s="1"/>
      <c r="C32" s="3"/>
      <c r="D32" s="5"/>
      <c r="E32" s="1"/>
      <c r="F32" s="1"/>
      <c r="G32" s="1"/>
    </row>
  </sheetData>
  <sortState xmlns:xlrd2="http://schemas.microsoft.com/office/spreadsheetml/2017/richdata2" ref="B8:D17">
    <sortCondition ref="C8:C17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A9BC-362D-4C13-B0FF-FE2C046B1F98}">
  <dimension ref="A1:J26"/>
  <sheetViews>
    <sheetView workbookViewId="0">
      <selection activeCell="K6" sqref="K6"/>
    </sheetView>
  </sheetViews>
  <sheetFormatPr defaultRowHeight="14.4" x14ac:dyDescent="0.3"/>
  <cols>
    <col min="1" max="1" width="16.109375" customWidth="1"/>
    <col min="2" max="2" width="13.88671875" customWidth="1"/>
    <col min="3" max="3" width="12.5546875" customWidth="1"/>
    <col min="4" max="4" width="14.5546875" customWidth="1"/>
    <col min="5" max="5" width="12.33203125" customWidth="1"/>
    <col min="10" max="10" width="11.33203125" bestFit="1" customWidth="1"/>
  </cols>
  <sheetData>
    <row r="1" spans="1:10" x14ac:dyDescent="0.3">
      <c r="A1" s="23" t="s">
        <v>0</v>
      </c>
      <c r="B1" s="24"/>
      <c r="C1" s="24"/>
      <c r="D1" s="24"/>
      <c r="E1" s="25"/>
      <c r="F1" s="2"/>
      <c r="G1" s="2"/>
    </row>
    <row r="2" spans="1:10" x14ac:dyDescent="0.3">
      <c r="A2" s="23" t="s">
        <v>1</v>
      </c>
      <c r="B2" s="24"/>
      <c r="C2" s="24"/>
      <c r="D2" s="24"/>
      <c r="E2" s="25"/>
      <c r="F2" s="2"/>
      <c r="G2" s="2"/>
    </row>
    <row r="3" spans="1:10" x14ac:dyDescent="0.3">
      <c r="A3" s="1" t="s">
        <v>2</v>
      </c>
      <c r="B3" s="3">
        <v>45253</v>
      </c>
      <c r="C3" s="1"/>
      <c r="D3" s="1"/>
      <c r="E3" s="1"/>
      <c r="F3" s="1"/>
      <c r="G3" s="1"/>
    </row>
    <row r="4" spans="1:10" x14ac:dyDescent="0.3">
      <c r="A4" s="1" t="s">
        <v>3</v>
      </c>
      <c r="B4" s="1">
        <v>302795</v>
      </c>
      <c r="C4" s="1"/>
      <c r="D4" s="1"/>
      <c r="E4" s="1"/>
      <c r="F4" s="1"/>
      <c r="G4" s="1"/>
    </row>
    <row r="5" spans="1:10" x14ac:dyDescent="0.3">
      <c r="A5" s="1" t="s">
        <v>4</v>
      </c>
      <c r="B5" s="4">
        <v>44</v>
      </c>
      <c r="C5" s="1"/>
      <c r="D5" s="1"/>
      <c r="E5" s="1"/>
      <c r="F5" s="1"/>
      <c r="G5" s="1"/>
    </row>
    <row r="6" spans="1:10" x14ac:dyDescent="0.3">
      <c r="A6" s="1" t="s">
        <v>5</v>
      </c>
      <c r="B6" s="5">
        <v>229054</v>
      </c>
      <c r="C6" s="1"/>
      <c r="D6" s="1"/>
      <c r="E6" s="1"/>
      <c r="F6" s="1"/>
      <c r="G6" s="1"/>
    </row>
    <row r="7" spans="1:10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10" x14ac:dyDescent="0.3">
      <c r="A8" s="1"/>
      <c r="B8" s="1">
        <v>192</v>
      </c>
      <c r="C8" s="3">
        <v>45053</v>
      </c>
      <c r="D8" s="5">
        <v>19440</v>
      </c>
      <c r="E8" s="1"/>
      <c r="F8" s="1"/>
      <c r="G8" s="1"/>
    </row>
    <row r="9" spans="1:10" x14ac:dyDescent="0.3">
      <c r="A9" s="1"/>
      <c r="B9" s="1">
        <v>198</v>
      </c>
      <c r="C9" s="3">
        <v>45054</v>
      </c>
      <c r="D9" s="5">
        <v>12960</v>
      </c>
      <c r="E9" s="1"/>
      <c r="F9" s="1"/>
      <c r="G9" s="1"/>
    </row>
    <row r="10" spans="1:10" x14ac:dyDescent="0.3">
      <c r="A10" s="1"/>
      <c r="B10" s="1">
        <v>354</v>
      </c>
      <c r="C10" s="3">
        <v>45061</v>
      </c>
      <c r="D10" s="5">
        <v>20208</v>
      </c>
      <c r="E10" s="1"/>
      <c r="F10" s="1"/>
      <c r="G10" s="1"/>
    </row>
    <row r="11" spans="1:10" x14ac:dyDescent="0.3">
      <c r="A11" s="1"/>
      <c r="B11" s="1">
        <v>1241</v>
      </c>
      <c r="C11" s="3">
        <v>45172</v>
      </c>
      <c r="D11" s="5">
        <v>14368</v>
      </c>
      <c r="E11" s="1"/>
      <c r="F11" s="1"/>
      <c r="G11" s="1"/>
    </row>
    <row r="12" spans="1:10" x14ac:dyDescent="0.3">
      <c r="A12" s="1"/>
      <c r="B12" s="1">
        <v>1752</v>
      </c>
      <c r="C12" s="3">
        <v>45178</v>
      </c>
      <c r="D12" s="5">
        <v>10703</v>
      </c>
      <c r="E12" s="1"/>
      <c r="F12" s="1"/>
      <c r="G12" s="1"/>
    </row>
    <row r="13" spans="1:10" x14ac:dyDescent="0.3">
      <c r="A13" s="1"/>
      <c r="B13" s="1">
        <v>1250</v>
      </c>
      <c r="C13" s="3">
        <v>45178</v>
      </c>
      <c r="D13" s="5">
        <v>14368</v>
      </c>
      <c r="E13" s="1"/>
      <c r="F13" s="1"/>
      <c r="G13" s="1"/>
    </row>
    <row r="14" spans="1:10" x14ac:dyDescent="0.3">
      <c r="A14" s="1"/>
      <c r="B14" s="1">
        <v>1753</v>
      </c>
      <c r="C14" s="3">
        <v>45179</v>
      </c>
      <c r="D14" s="5">
        <v>21349</v>
      </c>
      <c r="E14" s="1"/>
      <c r="F14" s="3"/>
      <c r="G14" s="1"/>
      <c r="J14" s="16"/>
    </row>
    <row r="15" spans="1:10" x14ac:dyDescent="0.3">
      <c r="A15" s="1"/>
      <c r="B15" s="1">
        <v>1760</v>
      </c>
      <c r="C15" s="3">
        <v>45189</v>
      </c>
      <c r="D15" s="5">
        <v>24108</v>
      </c>
      <c r="E15" s="1"/>
      <c r="F15" s="1"/>
      <c r="G15" s="1"/>
    </row>
    <row r="16" spans="1:10" x14ac:dyDescent="0.3">
      <c r="A16" s="1"/>
      <c r="B16" s="1">
        <v>1763</v>
      </c>
      <c r="C16" s="3">
        <v>45190</v>
      </c>
      <c r="D16" s="5">
        <v>16072</v>
      </c>
      <c r="E16" s="1"/>
      <c r="F16" s="1"/>
      <c r="G16" s="1"/>
    </row>
    <row r="17" spans="1:7" x14ac:dyDescent="0.3">
      <c r="A17" s="1"/>
      <c r="B17" s="1">
        <v>1765</v>
      </c>
      <c r="C17" s="3">
        <v>45192</v>
      </c>
      <c r="D17" s="5">
        <v>16072</v>
      </c>
      <c r="E17" s="1"/>
      <c r="F17" s="1"/>
      <c r="G17" s="1"/>
    </row>
    <row r="18" spans="1:7" x14ac:dyDescent="0.3">
      <c r="A18" s="1"/>
      <c r="B18" s="1">
        <v>1766</v>
      </c>
      <c r="C18" s="3">
        <v>45194</v>
      </c>
      <c r="D18" s="5">
        <v>23660</v>
      </c>
      <c r="E18" s="1"/>
      <c r="F18" s="1"/>
      <c r="G18" s="1"/>
    </row>
    <row r="19" spans="1:7" x14ac:dyDescent="0.3">
      <c r="A19" s="1"/>
      <c r="B19" s="1">
        <v>1771</v>
      </c>
      <c r="C19" s="3">
        <v>45196</v>
      </c>
      <c r="D19" s="5">
        <v>24108</v>
      </c>
      <c r="E19" s="1"/>
      <c r="F19" s="1"/>
      <c r="G19" s="1"/>
    </row>
    <row r="20" spans="1:7" x14ac:dyDescent="0.3">
      <c r="A20" s="1"/>
      <c r="B20" s="1">
        <v>1775</v>
      </c>
      <c r="C20" s="3">
        <v>45198</v>
      </c>
      <c r="D20" s="10">
        <v>11638</v>
      </c>
      <c r="E20" s="1"/>
      <c r="F20" s="1"/>
      <c r="G20" s="1"/>
    </row>
    <row r="21" spans="1:7" x14ac:dyDescent="0.3">
      <c r="A21" s="1"/>
      <c r="B21" s="1"/>
      <c r="C21" s="3"/>
      <c r="D21" s="5"/>
      <c r="E21" s="1"/>
      <c r="F21" s="1"/>
      <c r="G21" s="1"/>
    </row>
    <row r="22" spans="1:7" x14ac:dyDescent="0.3">
      <c r="A22" s="1"/>
      <c r="B22" s="1"/>
      <c r="C22" s="8" t="s">
        <v>10</v>
      </c>
      <c r="D22" s="9">
        <f>SUM(D8:D21)</f>
        <v>229054</v>
      </c>
      <c r="E22" s="1"/>
      <c r="F22" s="1"/>
      <c r="G22" s="1"/>
    </row>
    <row r="23" spans="1:7" x14ac:dyDescent="0.3">
      <c r="A23" s="1"/>
      <c r="B23" s="1"/>
      <c r="C23" s="3"/>
      <c r="D23" s="5"/>
      <c r="E23" s="1"/>
      <c r="F23" s="1"/>
      <c r="G23" s="1"/>
    </row>
    <row r="24" spans="1:7" x14ac:dyDescent="0.3">
      <c r="A24" s="1"/>
      <c r="B24" s="1"/>
      <c r="C24" s="3"/>
      <c r="D24" s="5"/>
      <c r="E24" s="1"/>
      <c r="F24" s="1"/>
      <c r="G24" s="1"/>
    </row>
    <row r="25" spans="1:7" x14ac:dyDescent="0.3">
      <c r="A25" s="1"/>
      <c r="B25" s="1"/>
      <c r="C25" s="3"/>
      <c r="D25" s="5"/>
      <c r="E25" s="1"/>
      <c r="F25" s="1"/>
      <c r="G25" s="1"/>
    </row>
    <row r="26" spans="1:7" x14ac:dyDescent="0.3">
      <c r="A26" s="1"/>
      <c r="B26" s="1"/>
      <c r="C26" s="3"/>
      <c r="D26" s="7"/>
      <c r="E26" s="1"/>
      <c r="F26" s="1"/>
      <c r="G26" s="1"/>
    </row>
  </sheetData>
  <sortState xmlns:xlrd2="http://schemas.microsoft.com/office/spreadsheetml/2017/richdata2" ref="B8:D20">
    <sortCondition ref="C8:C20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F4D0-1C9B-4C77-AEF6-B668F211CA0E}">
  <dimension ref="A1:H52"/>
  <sheetViews>
    <sheetView workbookViewId="0">
      <selection activeCell="G16" sqref="G16"/>
    </sheetView>
  </sheetViews>
  <sheetFormatPr defaultRowHeight="14.4" x14ac:dyDescent="0.3"/>
  <cols>
    <col min="1" max="1" width="17.5546875" customWidth="1"/>
    <col min="2" max="2" width="13.5546875" customWidth="1"/>
    <col min="3" max="3" width="15.33203125" customWidth="1"/>
    <col min="4" max="4" width="16.2187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45188</v>
      </c>
      <c r="C3" s="1"/>
      <c r="D3" s="1"/>
      <c r="E3" s="1"/>
      <c r="F3" s="1"/>
      <c r="G3" s="1"/>
    </row>
    <row r="4" spans="1:7" x14ac:dyDescent="0.3">
      <c r="A4" s="1" t="s">
        <v>3</v>
      </c>
      <c r="B4" s="1" t="s">
        <v>12</v>
      </c>
      <c r="C4" s="1"/>
      <c r="D4" s="1"/>
      <c r="E4" s="1"/>
      <c r="F4" s="1"/>
      <c r="G4" s="1"/>
    </row>
    <row r="5" spans="1:7" x14ac:dyDescent="0.3">
      <c r="A5" s="1" t="s">
        <v>4</v>
      </c>
      <c r="B5" s="4">
        <v>180</v>
      </c>
      <c r="C5" s="1"/>
      <c r="D5" s="1"/>
      <c r="E5" s="1"/>
      <c r="F5" s="1"/>
      <c r="G5" s="1"/>
    </row>
    <row r="6" spans="1:7" x14ac:dyDescent="0.3">
      <c r="A6" s="1" t="s">
        <v>5</v>
      </c>
      <c r="B6" s="5">
        <v>902773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651</v>
      </c>
      <c r="C8" s="3">
        <v>45085</v>
      </c>
      <c r="D8" s="5">
        <v>67360</v>
      </c>
      <c r="E8" s="1"/>
      <c r="F8" s="1"/>
      <c r="G8" s="1"/>
    </row>
    <row r="9" spans="1:7" x14ac:dyDescent="0.3">
      <c r="A9" s="1"/>
      <c r="B9" s="1">
        <v>684</v>
      </c>
      <c r="C9" s="3">
        <v>45108</v>
      </c>
      <c r="D9" s="5">
        <v>71840</v>
      </c>
      <c r="E9" s="1"/>
      <c r="F9" s="1"/>
      <c r="G9" s="1"/>
    </row>
    <row r="10" spans="1:7" x14ac:dyDescent="0.3">
      <c r="A10" s="1"/>
      <c r="B10" s="1">
        <v>683</v>
      </c>
      <c r="C10" s="3">
        <v>45108</v>
      </c>
      <c r="D10" s="5">
        <v>8980</v>
      </c>
      <c r="E10" s="1"/>
      <c r="F10" s="1"/>
      <c r="G10" s="1"/>
    </row>
    <row r="11" spans="1:7" x14ac:dyDescent="0.3">
      <c r="A11" s="1"/>
      <c r="B11" s="1">
        <v>680</v>
      </c>
      <c r="C11" s="3">
        <v>45108</v>
      </c>
      <c r="D11" s="5">
        <v>8980</v>
      </c>
      <c r="E11" s="1"/>
      <c r="F11" s="1"/>
      <c r="G11" s="1"/>
    </row>
    <row r="12" spans="1:7" x14ac:dyDescent="0.3">
      <c r="A12" s="1"/>
      <c r="B12" s="1">
        <v>682</v>
      </c>
      <c r="C12" s="3">
        <v>45108</v>
      </c>
      <c r="D12" s="5">
        <v>8980</v>
      </c>
      <c r="E12" s="1"/>
      <c r="F12" s="1"/>
      <c r="G12" s="1"/>
    </row>
    <row r="13" spans="1:7" x14ac:dyDescent="0.3">
      <c r="A13" s="1"/>
      <c r="B13" s="1">
        <v>681</v>
      </c>
      <c r="C13" s="3">
        <v>45108</v>
      </c>
      <c r="D13" s="5">
        <v>8980</v>
      </c>
      <c r="E13" s="1"/>
      <c r="F13" s="1"/>
      <c r="G13" s="1"/>
    </row>
    <row r="14" spans="1:7" x14ac:dyDescent="0.3">
      <c r="A14" s="1"/>
      <c r="B14" s="1">
        <v>679</v>
      </c>
      <c r="C14" s="3">
        <v>45108</v>
      </c>
      <c r="D14" s="5">
        <v>7820</v>
      </c>
      <c r="E14" s="1"/>
      <c r="F14" s="1"/>
      <c r="G14" s="1"/>
    </row>
    <row r="15" spans="1:7" x14ac:dyDescent="0.3">
      <c r="A15" s="1"/>
      <c r="B15" s="1">
        <v>678</v>
      </c>
      <c r="C15" s="3">
        <v>45108</v>
      </c>
      <c r="D15" s="5">
        <v>6188</v>
      </c>
      <c r="E15" s="1"/>
      <c r="F15" s="1"/>
      <c r="G15" s="1"/>
    </row>
    <row r="16" spans="1:7" x14ac:dyDescent="0.3">
      <c r="A16" s="1"/>
      <c r="B16" s="1">
        <v>686</v>
      </c>
      <c r="C16" s="3">
        <v>45110</v>
      </c>
      <c r="D16" s="5">
        <v>71840</v>
      </c>
      <c r="E16" s="1"/>
      <c r="F16" s="1"/>
      <c r="G16" s="1"/>
    </row>
    <row r="17" spans="1:7" x14ac:dyDescent="0.3">
      <c r="A17" s="1"/>
      <c r="B17" s="1">
        <v>685</v>
      </c>
      <c r="C17" s="3">
        <v>45110</v>
      </c>
      <c r="D17" s="5">
        <v>9775</v>
      </c>
      <c r="E17" s="1"/>
      <c r="F17" s="1"/>
      <c r="G17" s="1"/>
    </row>
    <row r="18" spans="1:7" x14ac:dyDescent="0.3">
      <c r="A18" s="1"/>
      <c r="B18" s="1">
        <v>688</v>
      </c>
      <c r="C18" s="3">
        <v>45112</v>
      </c>
      <c r="D18" s="5">
        <v>26940</v>
      </c>
      <c r="E18" s="1"/>
      <c r="F18" s="1"/>
      <c r="G18" s="1"/>
    </row>
    <row r="19" spans="1:7" x14ac:dyDescent="0.3">
      <c r="A19" s="1"/>
      <c r="B19" s="1">
        <v>689</v>
      </c>
      <c r="C19" s="3">
        <v>45112</v>
      </c>
      <c r="D19" s="5">
        <v>10776</v>
      </c>
      <c r="E19" s="1"/>
      <c r="F19" s="1"/>
      <c r="G19" s="1"/>
    </row>
    <row r="20" spans="1:7" x14ac:dyDescent="0.3">
      <c r="A20" s="1"/>
      <c r="B20" s="1">
        <v>691</v>
      </c>
      <c r="C20" s="3">
        <v>45113</v>
      </c>
      <c r="D20" s="5">
        <v>9775</v>
      </c>
      <c r="E20" s="1"/>
      <c r="F20" s="1"/>
      <c r="G20" s="1"/>
    </row>
    <row r="21" spans="1:7" x14ac:dyDescent="0.3">
      <c r="A21" s="1"/>
      <c r="B21" s="1">
        <v>692</v>
      </c>
      <c r="C21" s="3">
        <v>45113</v>
      </c>
      <c r="D21" s="5">
        <v>28736</v>
      </c>
      <c r="E21" s="1"/>
      <c r="F21" s="1"/>
      <c r="G21" s="1"/>
    </row>
    <row r="22" spans="1:7" x14ac:dyDescent="0.3">
      <c r="A22" s="1"/>
      <c r="B22" s="1">
        <v>693</v>
      </c>
      <c r="C22" s="3">
        <v>45114</v>
      </c>
      <c r="D22" s="5">
        <v>28736</v>
      </c>
      <c r="E22" s="1"/>
      <c r="F22" s="1"/>
      <c r="G22" s="1"/>
    </row>
    <row r="23" spans="1:7" x14ac:dyDescent="0.3">
      <c r="A23" s="1"/>
      <c r="B23" s="1">
        <v>695</v>
      </c>
      <c r="C23" s="3">
        <v>45116</v>
      </c>
      <c r="D23" s="5">
        <v>5865</v>
      </c>
      <c r="E23" s="1"/>
      <c r="F23" s="1"/>
      <c r="G23" s="1"/>
    </row>
    <row r="24" spans="1:7" x14ac:dyDescent="0.3">
      <c r="A24" s="1"/>
      <c r="B24" s="1">
        <v>696</v>
      </c>
      <c r="C24" s="3">
        <v>45116</v>
      </c>
      <c r="D24" s="5">
        <v>26940</v>
      </c>
      <c r="E24" s="1"/>
      <c r="F24" s="1"/>
      <c r="G24" s="1"/>
    </row>
    <row r="25" spans="1:7" x14ac:dyDescent="0.3">
      <c r="A25" s="1"/>
      <c r="B25" s="1">
        <v>698</v>
      </c>
      <c r="C25" s="3">
        <v>45118</v>
      </c>
      <c r="D25" s="5">
        <v>9775</v>
      </c>
      <c r="E25" s="1"/>
      <c r="F25" s="1"/>
      <c r="G25" s="1"/>
    </row>
    <row r="26" spans="1:7" x14ac:dyDescent="0.3">
      <c r="A26" s="1"/>
      <c r="B26" s="1">
        <v>699</v>
      </c>
      <c r="C26" s="3">
        <v>45118</v>
      </c>
      <c r="D26" s="5">
        <v>7820</v>
      </c>
      <c r="E26" s="1"/>
      <c r="F26" s="1"/>
      <c r="G26" s="1"/>
    </row>
    <row r="27" spans="1:7" x14ac:dyDescent="0.3">
      <c r="A27" s="1"/>
      <c r="B27" s="1">
        <v>700</v>
      </c>
      <c r="C27" s="3">
        <v>45120</v>
      </c>
      <c r="D27" s="5">
        <v>28736</v>
      </c>
      <c r="E27" s="1"/>
      <c r="F27" s="1"/>
      <c r="G27" s="1"/>
    </row>
    <row r="28" spans="1:7" x14ac:dyDescent="0.3">
      <c r="A28" s="1"/>
      <c r="B28" s="1">
        <v>1004</v>
      </c>
      <c r="C28" s="3">
        <v>45121</v>
      </c>
      <c r="D28" s="5">
        <v>71840</v>
      </c>
      <c r="E28" s="1"/>
      <c r="F28" s="1"/>
      <c r="G28" s="1"/>
    </row>
    <row r="29" spans="1:7" x14ac:dyDescent="0.3">
      <c r="A29" s="1"/>
      <c r="B29" s="1">
        <v>1001</v>
      </c>
      <c r="C29" s="3">
        <v>45121</v>
      </c>
      <c r="D29" s="5">
        <v>9970</v>
      </c>
      <c r="E29" s="1"/>
      <c r="F29" s="1"/>
      <c r="G29" s="1"/>
    </row>
    <row r="30" spans="1:7" x14ac:dyDescent="0.3">
      <c r="A30" s="1"/>
      <c r="B30" s="1">
        <v>1005</v>
      </c>
      <c r="C30" s="3">
        <v>45122</v>
      </c>
      <c r="D30" s="7">
        <v>26940</v>
      </c>
      <c r="E30" s="1"/>
      <c r="F30" s="1"/>
      <c r="G30" s="1"/>
    </row>
    <row r="31" spans="1:7" x14ac:dyDescent="0.3">
      <c r="A31" s="1"/>
      <c r="B31" s="1">
        <v>1008</v>
      </c>
      <c r="C31" s="3">
        <v>45124</v>
      </c>
      <c r="D31" s="5">
        <v>7784</v>
      </c>
      <c r="E31" s="1"/>
      <c r="F31" s="1"/>
      <c r="G31" s="1"/>
    </row>
    <row r="32" spans="1:7" x14ac:dyDescent="0.3">
      <c r="A32" s="11"/>
      <c r="B32" s="11">
        <v>1007</v>
      </c>
      <c r="C32" s="12">
        <v>45124</v>
      </c>
      <c r="D32" s="13">
        <v>9878</v>
      </c>
      <c r="E32" s="11"/>
      <c r="F32" s="11"/>
      <c r="G32" s="11"/>
    </row>
    <row r="33" spans="1:8" x14ac:dyDescent="0.3">
      <c r="A33" s="1"/>
      <c r="B33" s="1">
        <v>1006</v>
      </c>
      <c r="C33" s="3">
        <v>45124</v>
      </c>
      <c r="D33" s="5">
        <v>26940</v>
      </c>
      <c r="E33" s="1"/>
      <c r="F33" s="1"/>
      <c r="G33" s="1"/>
      <c r="H33" s="1"/>
    </row>
    <row r="34" spans="1:8" x14ac:dyDescent="0.3">
      <c r="A34" s="1"/>
      <c r="B34" s="1">
        <v>1010</v>
      </c>
      <c r="C34" s="3">
        <v>45125</v>
      </c>
      <c r="D34" s="5">
        <v>71840</v>
      </c>
      <c r="E34" s="1"/>
      <c r="F34" s="1"/>
      <c r="G34" s="1"/>
      <c r="H34" s="1"/>
    </row>
    <row r="35" spans="1:8" x14ac:dyDescent="0.3">
      <c r="A35" s="1"/>
      <c r="B35" s="1">
        <v>1009</v>
      </c>
      <c r="C35" s="3">
        <v>45125</v>
      </c>
      <c r="D35" s="5">
        <v>28736</v>
      </c>
      <c r="E35" s="1"/>
      <c r="F35" s="1"/>
      <c r="G35" s="1"/>
      <c r="H35" s="1"/>
    </row>
    <row r="36" spans="1:8" x14ac:dyDescent="0.3">
      <c r="A36" s="1"/>
      <c r="B36" s="1">
        <v>1011</v>
      </c>
      <c r="C36" s="3">
        <v>45126</v>
      </c>
      <c r="D36" s="5">
        <v>10776</v>
      </c>
      <c r="E36" s="1"/>
      <c r="F36" s="1"/>
      <c r="G36" s="1"/>
      <c r="H36" s="1"/>
    </row>
    <row r="37" spans="1:8" x14ac:dyDescent="0.3">
      <c r="A37" s="1"/>
      <c r="B37" s="1">
        <v>1012</v>
      </c>
      <c r="C37" s="3">
        <v>45128</v>
      </c>
      <c r="D37" s="5">
        <v>71840</v>
      </c>
      <c r="E37" s="1"/>
      <c r="F37" s="1"/>
      <c r="G37" s="1"/>
      <c r="H37" s="1"/>
    </row>
    <row r="38" spans="1:8" x14ac:dyDescent="0.3">
      <c r="A38" s="1"/>
      <c r="B38" s="1">
        <v>1014</v>
      </c>
      <c r="C38" s="3">
        <v>45129</v>
      </c>
      <c r="D38" s="5">
        <v>9730</v>
      </c>
      <c r="E38" s="1"/>
      <c r="F38" s="1"/>
      <c r="G38" s="1"/>
      <c r="H38" s="1"/>
    </row>
    <row r="39" spans="1:8" x14ac:dyDescent="0.3">
      <c r="A39" s="1"/>
      <c r="B39" s="1">
        <v>1015</v>
      </c>
      <c r="C39" s="3">
        <v>45131</v>
      </c>
      <c r="D39" s="5">
        <v>9672</v>
      </c>
      <c r="E39" s="1"/>
      <c r="F39" s="1"/>
      <c r="G39" s="1"/>
      <c r="H39" s="1"/>
    </row>
    <row r="40" spans="1:8" x14ac:dyDescent="0.3">
      <c r="A40" s="1"/>
      <c r="B40" s="1">
        <v>1017</v>
      </c>
      <c r="C40" s="3">
        <v>45132</v>
      </c>
      <c r="D40" s="5">
        <v>7784</v>
      </c>
      <c r="E40" s="1"/>
      <c r="F40" s="1"/>
      <c r="G40" s="1"/>
      <c r="H40" s="1"/>
    </row>
    <row r="41" spans="1:8" x14ac:dyDescent="0.3">
      <c r="A41" s="1"/>
      <c r="B41" s="1">
        <v>1023</v>
      </c>
      <c r="C41" s="3">
        <v>45135</v>
      </c>
      <c r="D41" s="5">
        <v>26940</v>
      </c>
      <c r="E41" s="1"/>
      <c r="F41" s="1"/>
      <c r="G41" s="1"/>
      <c r="H41" s="1"/>
    </row>
    <row r="42" spans="1:8" x14ac:dyDescent="0.3">
      <c r="A42" s="1"/>
      <c r="B42" s="1">
        <v>1022</v>
      </c>
      <c r="C42" s="3">
        <v>45135</v>
      </c>
      <c r="D42" s="5">
        <v>10472</v>
      </c>
      <c r="E42" s="1"/>
      <c r="F42" s="1"/>
      <c r="G42" s="1"/>
      <c r="H42" s="1"/>
    </row>
    <row r="43" spans="1:8" x14ac:dyDescent="0.3">
      <c r="A43" s="1"/>
      <c r="B43" s="1">
        <v>1024</v>
      </c>
      <c r="C43" s="3">
        <v>45136</v>
      </c>
      <c r="D43" s="5">
        <v>8980</v>
      </c>
      <c r="E43" s="1"/>
      <c r="F43" s="1"/>
      <c r="G43" s="1"/>
      <c r="H43" s="1"/>
    </row>
    <row r="44" spans="1:8" x14ac:dyDescent="0.3">
      <c r="A44" s="1"/>
      <c r="B44" s="1">
        <v>1026</v>
      </c>
      <c r="C44" s="3">
        <v>45136</v>
      </c>
      <c r="D44" s="5">
        <v>28736</v>
      </c>
      <c r="E44" s="1"/>
      <c r="F44" s="1"/>
      <c r="G44" s="1"/>
      <c r="H44" s="1"/>
    </row>
    <row r="45" spans="1:8" x14ac:dyDescent="0.3">
      <c r="A45" s="1"/>
      <c r="B45" s="1">
        <v>687</v>
      </c>
      <c r="C45" s="3">
        <v>46573</v>
      </c>
      <c r="D45" s="5">
        <v>9073</v>
      </c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2" t="s">
        <v>10</v>
      </c>
      <c r="D47" s="6">
        <f>SUM(D8:D46)</f>
        <v>902773</v>
      </c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</sheetData>
  <sortState xmlns:xlrd2="http://schemas.microsoft.com/office/spreadsheetml/2017/richdata2" ref="B8:D45">
    <sortCondition ref="C8:C4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436E-1229-4897-B668-1C2B6D480A3A}">
  <dimension ref="A1:J50"/>
  <sheetViews>
    <sheetView topLeftCell="A7" workbookViewId="0">
      <selection activeCell="K34" sqref="K34"/>
    </sheetView>
  </sheetViews>
  <sheetFormatPr defaultRowHeight="14.4" x14ac:dyDescent="0.3"/>
  <cols>
    <col min="1" max="1" width="17.109375" customWidth="1"/>
    <col min="2" max="2" width="12.21875" customWidth="1"/>
    <col min="3" max="3" width="14.6640625" customWidth="1"/>
    <col min="4" max="4" width="16.44140625" customWidth="1"/>
    <col min="9" max="10" width="11.33203125" bestFit="1" customWidth="1"/>
  </cols>
  <sheetData>
    <row r="1" spans="1:8" x14ac:dyDescent="0.3">
      <c r="A1" s="23" t="s">
        <v>0</v>
      </c>
      <c r="B1" s="24"/>
      <c r="C1" s="24"/>
      <c r="D1" s="24"/>
      <c r="E1" s="25"/>
      <c r="F1" s="2"/>
      <c r="G1" s="2"/>
    </row>
    <row r="2" spans="1:8" x14ac:dyDescent="0.3">
      <c r="A2" s="23" t="s">
        <v>1</v>
      </c>
      <c r="B2" s="24"/>
      <c r="C2" s="24"/>
      <c r="D2" s="24"/>
      <c r="E2" s="25"/>
      <c r="F2" s="2"/>
      <c r="G2" s="2"/>
    </row>
    <row r="3" spans="1:8" x14ac:dyDescent="0.3">
      <c r="A3" s="1" t="s">
        <v>2</v>
      </c>
      <c r="B3" s="3">
        <v>45217</v>
      </c>
      <c r="C3" s="1"/>
      <c r="D3" s="1"/>
      <c r="E3" s="1"/>
      <c r="F3" s="1"/>
      <c r="G3" s="1"/>
    </row>
    <row r="4" spans="1:8" x14ac:dyDescent="0.3">
      <c r="A4" s="1" t="s">
        <v>3</v>
      </c>
      <c r="B4" s="1">
        <v>302781</v>
      </c>
      <c r="C4" s="1"/>
      <c r="D4" s="1"/>
      <c r="E4" s="1"/>
      <c r="F4" s="1"/>
      <c r="G4" s="1"/>
    </row>
    <row r="5" spans="1:8" x14ac:dyDescent="0.3">
      <c r="A5" s="1" t="s">
        <v>4</v>
      </c>
      <c r="B5" s="4">
        <v>30</v>
      </c>
      <c r="C5" s="1"/>
      <c r="D5" s="1"/>
      <c r="E5" s="1"/>
      <c r="F5" s="1"/>
      <c r="G5" s="1"/>
    </row>
    <row r="6" spans="1:8" x14ac:dyDescent="0.3">
      <c r="A6" s="1" t="s">
        <v>5</v>
      </c>
      <c r="B6" s="5">
        <v>532445</v>
      </c>
      <c r="C6" s="1"/>
      <c r="D6" s="1"/>
      <c r="E6" s="1"/>
      <c r="F6" s="1"/>
      <c r="G6" s="1"/>
    </row>
    <row r="7" spans="1:8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8" x14ac:dyDescent="0.3">
      <c r="A8" s="1"/>
      <c r="B8" s="1">
        <v>191</v>
      </c>
      <c r="C8" s="3">
        <v>45052</v>
      </c>
      <c r="D8" s="14">
        <v>9861</v>
      </c>
      <c r="E8" s="1"/>
      <c r="F8" s="1"/>
      <c r="G8" s="1"/>
    </row>
    <row r="9" spans="1:8" x14ac:dyDescent="0.3">
      <c r="A9" s="1"/>
      <c r="B9" s="1">
        <v>351</v>
      </c>
      <c r="C9" s="3">
        <v>45060</v>
      </c>
      <c r="D9" s="14">
        <v>19440</v>
      </c>
      <c r="E9" s="1"/>
      <c r="F9" s="1"/>
      <c r="G9" s="1"/>
    </row>
    <row r="10" spans="1:8" x14ac:dyDescent="0.3">
      <c r="A10" s="1"/>
      <c r="B10" s="1">
        <v>362</v>
      </c>
      <c r="C10" s="3">
        <v>45065</v>
      </c>
      <c r="D10" s="14">
        <v>10048</v>
      </c>
      <c r="E10" s="1"/>
      <c r="F10" s="1"/>
      <c r="G10" s="1"/>
    </row>
    <row r="11" spans="1:8" x14ac:dyDescent="0.3">
      <c r="A11" s="1"/>
      <c r="B11" s="1">
        <v>376</v>
      </c>
      <c r="C11" s="3">
        <v>45074</v>
      </c>
      <c r="D11" s="14">
        <v>10048</v>
      </c>
      <c r="E11" s="1"/>
      <c r="F11" s="1"/>
      <c r="G11" s="1"/>
      <c r="H11" s="16"/>
    </row>
    <row r="12" spans="1:8" x14ac:dyDescent="0.3">
      <c r="A12" s="1"/>
      <c r="B12" s="1">
        <v>392</v>
      </c>
      <c r="C12" s="3">
        <v>45079</v>
      </c>
      <c r="D12" s="14">
        <v>20208</v>
      </c>
      <c r="E12" s="1"/>
      <c r="F12" s="1"/>
      <c r="G12" s="1"/>
    </row>
    <row r="13" spans="1:8" x14ac:dyDescent="0.3">
      <c r="A13" s="1"/>
      <c r="B13" s="1">
        <v>396</v>
      </c>
      <c r="C13" s="3">
        <v>45083</v>
      </c>
      <c r="D13" s="14">
        <v>18684</v>
      </c>
      <c r="E13" s="1"/>
      <c r="F13" s="1"/>
      <c r="G13" s="1"/>
    </row>
    <row r="14" spans="1:8" x14ac:dyDescent="0.3">
      <c r="A14" s="1"/>
      <c r="B14" s="1">
        <v>660</v>
      </c>
      <c r="C14" s="3">
        <v>45094</v>
      </c>
      <c r="D14" s="14">
        <v>20064</v>
      </c>
      <c r="E14" s="1"/>
      <c r="F14" s="1"/>
      <c r="G14" s="1"/>
    </row>
    <row r="15" spans="1:8" x14ac:dyDescent="0.3">
      <c r="A15" s="1"/>
      <c r="B15" s="1">
        <v>690</v>
      </c>
      <c r="C15" s="3">
        <v>45112</v>
      </c>
      <c r="D15" s="14">
        <v>10753</v>
      </c>
      <c r="E15" s="1"/>
      <c r="F15" s="1"/>
      <c r="G15" s="1"/>
    </row>
    <row r="16" spans="1:8" x14ac:dyDescent="0.3">
      <c r="A16" s="1"/>
      <c r="B16" s="1">
        <v>694</v>
      </c>
      <c r="C16" s="3">
        <v>45115</v>
      </c>
      <c r="D16" s="14">
        <v>10752</v>
      </c>
      <c r="E16" s="1"/>
      <c r="F16" s="1"/>
      <c r="G16" s="1"/>
    </row>
    <row r="17" spans="1:10" x14ac:dyDescent="0.3">
      <c r="A17" s="1"/>
      <c r="B17" s="1">
        <v>1002</v>
      </c>
      <c r="C17" s="3">
        <v>45122</v>
      </c>
      <c r="D17" s="14">
        <v>10703</v>
      </c>
      <c r="E17" s="1"/>
      <c r="F17" s="1"/>
      <c r="G17" s="1"/>
    </row>
    <row r="18" spans="1:10" x14ac:dyDescent="0.3">
      <c r="A18" s="1"/>
      <c r="B18" s="1">
        <v>1003</v>
      </c>
      <c r="C18" s="3">
        <v>45125</v>
      </c>
      <c r="D18" s="14">
        <v>10703</v>
      </c>
      <c r="E18" s="1"/>
      <c r="F18" s="1"/>
      <c r="G18" s="1"/>
    </row>
    <row r="19" spans="1:10" x14ac:dyDescent="0.3">
      <c r="A19" s="1"/>
      <c r="B19" s="1">
        <v>1013</v>
      </c>
      <c r="C19" s="3">
        <v>45128</v>
      </c>
      <c r="D19" s="14">
        <v>10703</v>
      </c>
      <c r="E19" s="1"/>
      <c r="F19" s="1"/>
      <c r="G19" s="1"/>
    </row>
    <row r="20" spans="1:10" x14ac:dyDescent="0.3">
      <c r="A20" s="1"/>
      <c r="B20" s="1">
        <v>1018</v>
      </c>
      <c r="C20" s="3">
        <v>45132</v>
      </c>
      <c r="D20" s="14">
        <v>10703</v>
      </c>
      <c r="E20" s="1"/>
      <c r="F20" s="1"/>
      <c r="G20" s="1"/>
      <c r="I20" s="16"/>
    </row>
    <row r="21" spans="1:10" x14ac:dyDescent="0.3">
      <c r="A21" s="1"/>
      <c r="B21" s="1">
        <v>1016</v>
      </c>
      <c r="C21" s="3">
        <v>45132</v>
      </c>
      <c r="D21" s="14">
        <v>10703</v>
      </c>
      <c r="E21" s="1"/>
      <c r="F21" s="1"/>
      <c r="G21" s="1"/>
    </row>
    <row r="22" spans="1:10" x14ac:dyDescent="0.3">
      <c r="A22" s="1"/>
      <c r="B22" s="1">
        <v>1019</v>
      </c>
      <c r="C22" s="3">
        <v>45133</v>
      </c>
      <c r="D22" s="7">
        <v>10703</v>
      </c>
      <c r="E22" s="1"/>
      <c r="F22" s="1"/>
      <c r="G22" s="1"/>
    </row>
    <row r="23" spans="1:10" x14ac:dyDescent="0.3">
      <c r="A23" s="1"/>
      <c r="B23" s="1">
        <v>1021</v>
      </c>
      <c r="C23" s="3">
        <v>45134</v>
      </c>
      <c r="D23" s="14">
        <v>10703</v>
      </c>
      <c r="E23" s="1"/>
      <c r="F23" s="1"/>
      <c r="G23" s="1"/>
    </row>
    <row r="24" spans="1:10" x14ac:dyDescent="0.3">
      <c r="A24" s="1"/>
      <c r="B24" s="1">
        <v>1027</v>
      </c>
      <c r="C24" s="3">
        <v>45137</v>
      </c>
      <c r="D24" s="14">
        <v>21552</v>
      </c>
      <c r="E24" s="1"/>
      <c r="F24" s="1"/>
      <c r="G24" s="1"/>
      <c r="J24" s="16">
        <f>D26+D27+D28+D29+D30+D31+D32+D33+D34+D35+D36+D37+D38+D39+D40+D41+D42+D43+D43+D44+D45</f>
        <v>317023</v>
      </c>
    </row>
    <row r="25" spans="1:10" x14ac:dyDescent="0.3">
      <c r="A25" s="1"/>
      <c r="B25" s="1">
        <v>1025</v>
      </c>
      <c r="C25" s="3">
        <v>45138</v>
      </c>
      <c r="D25" s="14">
        <v>10703</v>
      </c>
      <c r="E25" s="1"/>
      <c r="F25" s="1"/>
      <c r="G25" s="1"/>
    </row>
    <row r="26" spans="1:10" x14ac:dyDescent="0.3">
      <c r="A26" s="1"/>
      <c r="B26" s="1">
        <v>1038</v>
      </c>
      <c r="C26" s="3">
        <v>45142</v>
      </c>
      <c r="D26" s="14">
        <v>10703</v>
      </c>
      <c r="E26" s="1"/>
      <c r="F26" s="1"/>
      <c r="G26" s="1"/>
    </row>
    <row r="27" spans="1:10" x14ac:dyDescent="0.3">
      <c r="A27" s="1"/>
      <c r="B27" s="1">
        <v>1040</v>
      </c>
      <c r="C27" s="3">
        <v>45144</v>
      </c>
      <c r="D27" s="14">
        <v>21552</v>
      </c>
      <c r="E27" s="1"/>
      <c r="F27" s="1"/>
      <c r="G27" s="1"/>
    </row>
    <row r="28" spans="1:10" x14ac:dyDescent="0.3">
      <c r="A28" s="1"/>
      <c r="B28" s="1">
        <v>1039</v>
      </c>
      <c r="C28" s="3">
        <v>45144</v>
      </c>
      <c r="D28" s="14">
        <v>11313</v>
      </c>
      <c r="E28" s="1"/>
      <c r="F28" s="1"/>
      <c r="G28" s="1"/>
    </row>
    <row r="29" spans="1:10" x14ac:dyDescent="0.3">
      <c r="A29" s="1"/>
      <c r="B29" s="1">
        <v>1047</v>
      </c>
      <c r="C29" s="3">
        <v>45146</v>
      </c>
      <c r="D29" s="14">
        <v>10703</v>
      </c>
      <c r="E29" s="1"/>
      <c r="F29" s="1"/>
      <c r="G29" s="1"/>
    </row>
    <row r="30" spans="1:10" x14ac:dyDescent="0.3">
      <c r="A30" s="1"/>
      <c r="B30" s="1">
        <v>1050</v>
      </c>
      <c r="C30" s="3">
        <v>45150</v>
      </c>
      <c r="D30" s="14">
        <v>10703</v>
      </c>
      <c r="E30" s="1"/>
      <c r="F30" s="1"/>
      <c r="G30" s="1"/>
    </row>
    <row r="31" spans="1:10" x14ac:dyDescent="0.3">
      <c r="A31" s="1"/>
      <c r="B31" s="1">
        <v>1201</v>
      </c>
      <c r="C31" s="3">
        <v>45150</v>
      </c>
      <c r="D31" s="14">
        <v>21552</v>
      </c>
      <c r="E31" s="1"/>
      <c r="F31" s="1"/>
      <c r="G31" s="1"/>
    </row>
    <row r="32" spans="1:10" x14ac:dyDescent="0.3">
      <c r="A32" s="11"/>
      <c r="B32" s="11">
        <v>1205</v>
      </c>
      <c r="C32" s="12">
        <v>45153</v>
      </c>
      <c r="D32" s="15">
        <v>10703</v>
      </c>
      <c r="E32" s="11"/>
      <c r="F32" s="11"/>
      <c r="G32" s="11"/>
    </row>
    <row r="33" spans="1:7" x14ac:dyDescent="0.3">
      <c r="A33" s="1"/>
      <c r="B33" s="1">
        <v>1206</v>
      </c>
      <c r="C33" s="3">
        <v>45154</v>
      </c>
      <c r="D33" s="14">
        <v>21552</v>
      </c>
      <c r="E33" s="1"/>
      <c r="F33" s="1">
        <f>I2</f>
        <v>0</v>
      </c>
      <c r="G33" s="1"/>
    </row>
    <row r="34" spans="1:7" x14ac:dyDescent="0.3">
      <c r="A34" s="1"/>
      <c r="B34" s="1">
        <v>1209</v>
      </c>
      <c r="C34" s="3">
        <v>45156</v>
      </c>
      <c r="D34" s="14">
        <v>14368</v>
      </c>
      <c r="E34" s="1"/>
      <c r="F34" s="1"/>
      <c r="G34" s="1"/>
    </row>
    <row r="35" spans="1:7" x14ac:dyDescent="0.3">
      <c r="A35" s="1"/>
      <c r="B35" s="1">
        <v>1210</v>
      </c>
      <c r="C35" s="3">
        <v>45157</v>
      </c>
      <c r="D35" s="14">
        <v>13132</v>
      </c>
      <c r="E35" s="1"/>
      <c r="F35" s="1"/>
      <c r="G35" s="1"/>
    </row>
    <row r="36" spans="1:7" x14ac:dyDescent="0.3">
      <c r="A36" s="1"/>
      <c r="B36" s="1">
        <v>1211</v>
      </c>
      <c r="C36" s="3">
        <v>45157</v>
      </c>
      <c r="D36" s="14">
        <v>20170</v>
      </c>
      <c r="E36" s="1"/>
      <c r="F36" s="1"/>
      <c r="G36" s="1"/>
    </row>
    <row r="37" spans="1:7" x14ac:dyDescent="0.3">
      <c r="A37" s="1"/>
      <c r="B37" s="1">
        <v>1213</v>
      </c>
      <c r="C37" s="3">
        <v>45158</v>
      </c>
      <c r="D37" s="14">
        <v>10703</v>
      </c>
      <c r="E37" s="1"/>
      <c r="F37" s="1"/>
      <c r="G37" s="1"/>
    </row>
    <row r="38" spans="1:7" x14ac:dyDescent="0.3">
      <c r="A38" s="1"/>
      <c r="B38" s="1">
        <v>1214</v>
      </c>
      <c r="C38" s="3">
        <v>45158</v>
      </c>
      <c r="D38" s="14">
        <v>10703</v>
      </c>
      <c r="E38" s="1"/>
      <c r="F38" s="1"/>
      <c r="G38" s="1"/>
    </row>
    <row r="39" spans="1:7" x14ac:dyDescent="0.3">
      <c r="A39" s="1"/>
      <c r="B39" s="1">
        <v>1219</v>
      </c>
      <c r="C39" s="3">
        <v>45163</v>
      </c>
      <c r="D39" s="14">
        <v>21552</v>
      </c>
      <c r="E39" s="1"/>
      <c r="F39" s="1"/>
      <c r="G39" s="1"/>
    </row>
    <row r="40" spans="1:7" x14ac:dyDescent="0.3">
      <c r="A40" s="1"/>
      <c r="B40" s="1">
        <v>1224</v>
      </c>
      <c r="C40" s="3">
        <v>45164</v>
      </c>
      <c r="D40" s="14">
        <v>14368</v>
      </c>
      <c r="E40" s="1"/>
      <c r="F40" s="1"/>
      <c r="G40" s="1"/>
    </row>
    <row r="41" spans="1:7" x14ac:dyDescent="0.3">
      <c r="A41" s="1"/>
      <c r="B41" s="1">
        <v>1225</v>
      </c>
      <c r="C41" s="3">
        <v>45164</v>
      </c>
      <c r="D41" s="14">
        <v>10703</v>
      </c>
      <c r="E41" s="1"/>
      <c r="F41" s="1"/>
      <c r="G41" s="1"/>
    </row>
    <row r="42" spans="1:7" x14ac:dyDescent="0.3">
      <c r="A42" s="1"/>
      <c r="B42" s="1">
        <v>1227</v>
      </c>
      <c r="C42" s="3">
        <v>45164</v>
      </c>
      <c r="D42" s="14">
        <v>14368</v>
      </c>
      <c r="E42" s="1"/>
      <c r="F42" s="1"/>
      <c r="G42" s="1"/>
    </row>
    <row r="43" spans="1:7" x14ac:dyDescent="0.3">
      <c r="A43" s="1"/>
      <c r="B43" s="1">
        <v>1234</v>
      </c>
      <c r="C43" s="3">
        <v>45164</v>
      </c>
      <c r="D43" s="14">
        <v>21552</v>
      </c>
      <c r="E43" s="1"/>
      <c r="F43" s="1"/>
      <c r="G43" s="1"/>
    </row>
    <row r="44" spans="1:7" x14ac:dyDescent="0.3">
      <c r="A44" s="1"/>
      <c r="B44" s="1">
        <v>1236</v>
      </c>
      <c r="C44" s="3">
        <v>45164</v>
      </c>
      <c r="D44" s="14">
        <v>14368</v>
      </c>
      <c r="E44" s="1"/>
      <c r="F44" s="1" t="s">
        <v>15</v>
      </c>
      <c r="G44" s="1"/>
    </row>
    <row r="45" spans="1:7" x14ac:dyDescent="0.3">
      <c r="A45" s="1"/>
      <c r="B45" s="1">
        <v>1222</v>
      </c>
      <c r="C45" s="3">
        <v>45164</v>
      </c>
      <c r="D45" s="14">
        <v>10703</v>
      </c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  <row r="47" spans="1:7" x14ac:dyDescent="0.3">
      <c r="A47" s="1"/>
      <c r="B47" s="1"/>
      <c r="C47" s="2" t="s">
        <v>10</v>
      </c>
      <c r="D47" s="6">
        <f>SUM(D8:D46)</f>
        <v>532505</v>
      </c>
      <c r="E47" s="1"/>
      <c r="F47" s="1"/>
      <c r="G47" s="1"/>
    </row>
    <row r="48" spans="1:7" x14ac:dyDescent="0.3">
      <c r="A48" s="1"/>
      <c r="B48" s="1"/>
      <c r="C48" s="1"/>
      <c r="D48" s="1"/>
      <c r="E48" s="1"/>
      <c r="F48" s="1"/>
      <c r="G48" s="1"/>
    </row>
    <row r="49" spans="1:7" x14ac:dyDescent="0.3">
      <c r="A49" s="1"/>
      <c r="B49" s="1"/>
      <c r="C49" s="1"/>
      <c r="D49" s="1"/>
      <c r="E49" s="1"/>
      <c r="F49" s="1"/>
      <c r="G49" s="1"/>
    </row>
    <row r="50" spans="1:7" x14ac:dyDescent="0.3">
      <c r="A50" s="1"/>
      <c r="B50" s="1"/>
      <c r="C50" s="1"/>
      <c r="D50" s="1"/>
      <c r="E50" s="1"/>
      <c r="F50" s="1"/>
      <c r="G50" s="1"/>
    </row>
  </sheetData>
  <sortState xmlns:xlrd2="http://schemas.microsoft.com/office/spreadsheetml/2017/richdata2" ref="A8:D45">
    <sortCondition ref="C8:C4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2E7F-66E2-4F52-B9F9-4836BD118F96}">
  <sheetPr>
    <pageSetUpPr fitToPage="1"/>
  </sheetPr>
  <dimension ref="A1:G38"/>
  <sheetViews>
    <sheetView topLeftCell="A28" zoomScaleNormal="100" workbookViewId="0">
      <selection activeCell="I20" sqref="I20"/>
    </sheetView>
  </sheetViews>
  <sheetFormatPr defaultRowHeight="14.4" x14ac:dyDescent="0.3"/>
  <cols>
    <col min="1" max="1" width="13.109375" customWidth="1"/>
    <col min="2" max="2" width="12.5546875" customWidth="1"/>
    <col min="3" max="3" width="16.88671875" customWidth="1"/>
    <col min="4" max="4" width="12" customWidth="1"/>
    <col min="5" max="5" width="17.21875" customWidth="1"/>
    <col min="6" max="6" width="11.5546875" customWidth="1"/>
    <col min="7" max="7" width="5.33203125" customWidth="1"/>
    <col min="8" max="8" width="0.33203125" customWidth="1"/>
  </cols>
  <sheetData>
    <row r="1" spans="1:7" x14ac:dyDescent="0.3">
      <c r="A1" s="26" t="s">
        <v>20</v>
      </c>
      <c r="B1" s="26"/>
      <c r="C1" s="26"/>
      <c r="D1" s="26"/>
    </row>
    <row r="2" spans="1:7" x14ac:dyDescent="0.3">
      <c r="A2" s="23" t="s">
        <v>16</v>
      </c>
      <c r="B2" s="24"/>
      <c r="C2" s="24"/>
      <c r="D2" s="25"/>
      <c r="E2" s="2"/>
      <c r="F2" s="2"/>
      <c r="G2" s="1"/>
    </row>
    <row r="3" spans="1:7" x14ac:dyDescent="0.3">
      <c r="A3" s="2" t="s">
        <v>9</v>
      </c>
      <c r="B3" s="2" t="s">
        <v>6</v>
      </c>
      <c r="C3" s="2" t="s">
        <v>5</v>
      </c>
      <c r="D3" s="2" t="s">
        <v>17</v>
      </c>
      <c r="E3" s="2" t="s">
        <v>21</v>
      </c>
      <c r="F3" s="2" t="s">
        <v>22</v>
      </c>
      <c r="G3" s="1"/>
    </row>
    <row r="4" spans="1:7" x14ac:dyDescent="0.3">
      <c r="A4" s="3">
        <v>45045</v>
      </c>
      <c r="B4" s="1">
        <v>174</v>
      </c>
      <c r="C4" s="5">
        <v>64800</v>
      </c>
      <c r="D4" s="1" t="s">
        <v>18</v>
      </c>
      <c r="E4" s="19">
        <v>44956</v>
      </c>
      <c r="F4" s="1" t="s">
        <v>23</v>
      </c>
    </row>
    <row r="5" spans="1:7" x14ac:dyDescent="0.3">
      <c r="A5" s="3">
        <v>45049</v>
      </c>
      <c r="B5" s="1">
        <v>187</v>
      </c>
      <c r="C5" s="5">
        <v>19440</v>
      </c>
      <c r="D5" s="1" t="s">
        <v>18</v>
      </c>
      <c r="E5" s="19">
        <v>44956</v>
      </c>
      <c r="F5" s="1" t="s">
        <v>23</v>
      </c>
    </row>
    <row r="6" spans="1:7" x14ac:dyDescent="0.3">
      <c r="A6" s="3">
        <v>45051</v>
      </c>
      <c r="B6" s="1">
        <v>190</v>
      </c>
      <c r="C6" s="5">
        <v>19440</v>
      </c>
      <c r="D6" s="1" t="s">
        <v>18</v>
      </c>
      <c r="E6" s="4" t="s">
        <v>24</v>
      </c>
      <c r="F6" s="1" t="s">
        <v>23</v>
      </c>
    </row>
    <row r="7" spans="1:7" x14ac:dyDescent="0.3">
      <c r="A7" s="3">
        <v>45134</v>
      </c>
      <c r="B7" s="1">
        <v>1020</v>
      </c>
      <c r="C7" s="5">
        <v>26940</v>
      </c>
      <c r="D7" s="1" t="s">
        <v>18</v>
      </c>
      <c r="E7" s="19">
        <v>45194</v>
      </c>
      <c r="F7" s="1" t="s">
        <v>25</v>
      </c>
    </row>
    <row r="8" spans="1:7" x14ac:dyDescent="0.3">
      <c r="A8" s="3">
        <v>45139</v>
      </c>
      <c r="B8" s="1">
        <v>1029</v>
      </c>
      <c r="C8" s="5">
        <v>9730</v>
      </c>
      <c r="D8" s="1" t="s">
        <v>18</v>
      </c>
      <c r="E8" s="19">
        <v>45194</v>
      </c>
      <c r="F8" s="1" t="s">
        <v>25</v>
      </c>
    </row>
    <row r="9" spans="1:7" x14ac:dyDescent="0.3">
      <c r="A9" s="3">
        <v>45170</v>
      </c>
      <c r="B9" s="1">
        <v>1238</v>
      </c>
      <c r="C9" s="5">
        <v>21552</v>
      </c>
      <c r="D9" s="1" t="s">
        <v>18</v>
      </c>
      <c r="E9" s="19">
        <v>45323</v>
      </c>
      <c r="F9" s="1" t="s">
        <v>25</v>
      </c>
    </row>
    <row r="10" spans="1:7" x14ac:dyDescent="0.3">
      <c r="A10" s="3">
        <v>45182</v>
      </c>
      <c r="B10" s="1">
        <v>1754</v>
      </c>
      <c r="C10" s="5">
        <v>12044</v>
      </c>
      <c r="D10" s="1" t="s">
        <v>18</v>
      </c>
      <c r="E10" s="19">
        <v>45323</v>
      </c>
      <c r="F10" s="1" t="s">
        <v>25</v>
      </c>
    </row>
    <row r="11" spans="1:7" x14ac:dyDescent="0.3">
      <c r="A11" s="3">
        <v>45196</v>
      </c>
      <c r="B11" s="1">
        <v>1770</v>
      </c>
      <c r="C11" s="5">
        <v>11638</v>
      </c>
      <c r="D11" s="1" t="s">
        <v>18</v>
      </c>
      <c r="E11" s="19">
        <v>44958</v>
      </c>
      <c r="F11" s="1" t="s">
        <v>25</v>
      </c>
    </row>
    <row r="12" spans="1:7" x14ac:dyDescent="0.3">
      <c r="A12" s="3">
        <v>45237</v>
      </c>
      <c r="B12" s="1">
        <v>3004</v>
      </c>
      <c r="C12" s="5">
        <v>11952</v>
      </c>
      <c r="D12" s="1" t="s">
        <v>18</v>
      </c>
      <c r="E12" s="19">
        <v>45323</v>
      </c>
      <c r="F12" s="1" t="s">
        <v>25</v>
      </c>
    </row>
    <row r="13" spans="1:7" x14ac:dyDescent="0.3">
      <c r="A13" s="3">
        <v>45238</v>
      </c>
      <c r="B13" s="1">
        <v>3010</v>
      </c>
      <c r="C13" s="5">
        <v>24648</v>
      </c>
      <c r="D13" s="1" t="s">
        <v>18</v>
      </c>
      <c r="E13" s="19">
        <v>45323</v>
      </c>
      <c r="F13" s="1" t="s">
        <v>25</v>
      </c>
    </row>
    <row r="14" spans="1:7" x14ac:dyDescent="0.3">
      <c r="A14" s="3">
        <v>45244</v>
      </c>
      <c r="B14" s="1">
        <v>3025</v>
      </c>
      <c r="C14" s="5">
        <v>11951</v>
      </c>
      <c r="D14" s="1" t="s">
        <v>18</v>
      </c>
      <c r="E14" s="19">
        <v>45323</v>
      </c>
      <c r="F14" s="1" t="s">
        <v>25</v>
      </c>
    </row>
    <row r="15" spans="1:7" x14ac:dyDescent="0.3">
      <c r="A15" s="3">
        <v>45245</v>
      </c>
      <c r="B15" s="1">
        <v>3030</v>
      </c>
      <c r="C15" s="5">
        <v>24408</v>
      </c>
      <c r="D15" s="1" t="s">
        <v>18</v>
      </c>
      <c r="E15" s="19">
        <v>45323</v>
      </c>
      <c r="F15" s="1" t="s">
        <v>25</v>
      </c>
    </row>
    <row r="16" spans="1:7" x14ac:dyDescent="0.3">
      <c r="A16" s="3">
        <v>45249</v>
      </c>
      <c r="B16" s="1">
        <v>3034</v>
      </c>
      <c r="C16" s="5">
        <v>11951</v>
      </c>
      <c r="D16" s="1" t="s">
        <v>18</v>
      </c>
      <c r="E16" s="19">
        <v>45323</v>
      </c>
      <c r="F16" s="1" t="s">
        <v>25</v>
      </c>
    </row>
    <row r="17" spans="1:6" x14ac:dyDescent="0.3">
      <c r="A17" s="3">
        <v>45250</v>
      </c>
      <c r="B17" s="1">
        <v>3036</v>
      </c>
      <c r="C17" s="5">
        <v>16272</v>
      </c>
      <c r="D17" s="1" t="s">
        <v>18</v>
      </c>
      <c r="E17" s="19">
        <v>45323</v>
      </c>
      <c r="F17" s="1" t="s">
        <v>25</v>
      </c>
    </row>
    <row r="18" spans="1:6" x14ac:dyDescent="0.3">
      <c r="A18" s="3">
        <v>45252</v>
      </c>
      <c r="B18" s="1">
        <v>3039</v>
      </c>
      <c r="C18" s="5">
        <v>11373</v>
      </c>
      <c r="D18" s="1" t="s">
        <v>18</v>
      </c>
      <c r="E18" s="19">
        <v>45323</v>
      </c>
      <c r="F18" s="1" t="s">
        <v>25</v>
      </c>
    </row>
    <row r="19" spans="1:6" x14ac:dyDescent="0.3">
      <c r="A19" s="3">
        <v>45253</v>
      </c>
      <c r="B19" s="1">
        <v>3172</v>
      </c>
      <c r="C19" s="5">
        <v>16272</v>
      </c>
      <c r="D19" s="1" t="s">
        <v>18</v>
      </c>
      <c r="E19" s="19">
        <v>45323</v>
      </c>
      <c r="F19" s="1" t="s">
        <v>25</v>
      </c>
    </row>
    <row r="20" spans="1:6" x14ac:dyDescent="0.3">
      <c r="A20" s="3">
        <v>45254</v>
      </c>
      <c r="B20" s="1">
        <v>3040</v>
      </c>
      <c r="C20" s="5">
        <v>11951</v>
      </c>
      <c r="D20" s="1" t="s">
        <v>18</v>
      </c>
      <c r="E20" s="19">
        <v>45323</v>
      </c>
      <c r="F20" s="1" t="s">
        <v>25</v>
      </c>
    </row>
    <row r="21" spans="1:6" x14ac:dyDescent="0.3">
      <c r="A21" s="3">
        <v>45257</v>
      </c>
      <c r="B21" s="1">
        <v>1546</v>
      </c>
      <c r="C21" s="5">
        <v>4346</v>
      </c>
      <c r="D21" s="1" t="s">
        <v>18</v>
      </c>
      <c r="E21" s="19">
        <v>45341</v>
      </c>
      <c r="F21" s="1" t="s">
        <v>26</v>
      </c>
    </row>
    <row r="22" spans="1:6" x14ac:dyDescent="0.3">
      <c r="A22" s="3">
        <v>45258</v>
      </c>
      <c r="B22" s="1">
        <v>3044</v>
      </c>
      <c r="C22" s="5">
        <v>16272</v>
      </c>
      <c r="D22" s="1" t="s">
        <v>18</v>
      </c>
      <c r="E22" s="19">
        <v>45323</v>
      </c>
      <c r="F22" s="1" t="s">
        <v>25</v>
      </c>
    </row>
    <row r="23" spans="1:6" x14ac:dyDescent="0.3">
      <c r="A23" s="3">
        <v>45265</v>
      </c>
      <c r="B23" s="1">
        <v>1536</v>
      </c>
      <c r="C23" s="5">
        <v>11952</v>
      </c>
      <c r="D23" s="1" t="s">
        <v>18</v>
      </c>
      <c r="E23" s="19">
        <v>45323</v>
      </c>
      <c r="F23" s="1" t="s">
        <v>25</v>
      </c>
    </row>
    <row r="24" spans="1:6" x14ac:dyDescent="0.3">
      <c r="A24" s="3">
        <v>45269</v>
      </c>
      <c r="B24" s="1">
        <v>3257</v>
      </c>
      <c r="C24" s="5">
        <v>16215</v>
      </c>
      <c r="D24" s="1" t="s">
        <v>18</v>
      </c>
      <c r="E24" s="19">
        <v>45323</v>
      </c>
      <c r="F24" s="1" t="s">
        <v>25</v>
      </c>
    </row>
    <row r="25" spans="1:6" x14ac:dyDescent="0.3">
      <c r="A25" s="3">
        <v>45270</v>
      </c>
      <c r="B25" s="1">
        <v>3258</v>
      </c>
      <c r="C25" s="5">
        <v>19005</v>
      </c>
      <c r="D25" s="1" t="s">
        <v>18</v>
      </c>
      <c r="E25" s="19">
        <v>45323</v>
      </c>
      <c r="F25" s="1" t="s">
        <v>25</v>
      </c>
    </row>
    <row r="26" spans="1:6" x14ac:dyDescent="0.3">
      <c r="A26" s="3">
        <v>45274</v>
      </c>
      <c r="B26" s="1">
        <v>3262</v>
      </c>
      <c r="C26" s="5">
        <v>21432</v>
      </c>
      <c r="D26" s="1" t="s">
        <v>18</v>
      </c>
      <c r="E26" s="19">
        <v>45323</v>
      </c>
      <c r="F26" s="1" t="s">
        <v>25</v>
      </c>
    </row>
    <row r="27" spans="1:6" x14ac:dyDescent="0.3">
      <c r="A27" s="3">
        <v>45277</v>
      </c>
      <c r="B27" s="1">
        <v>3266</v>
      </c>
      <c r="C27" s="5">
        <v>80560</v>
      </c>
      <c r="D27" s="1" t="s">
        <v>18</v>
      </c>
      <c r="E27" s="19">
        <v>45336</v>
      </c>
      <c r="F27" s="1" t="s">
        <v>26</v>
      </c>
    </row>
    <row r="28" spans="1:6" x14ac:dyDescent="0.3">
      <c r="A28" s="3">
        <v>45278</v>
      </c>
      <c r="B28" s="1">
        <v>3267</v>
      </c>
      <c r="C28" s="5">
        <v>24168</v>
      </c>
      <c r="D28" s="1" t="s">
        <v>18</v>
      </c>
      <c r="E28" s="19">
        <v>45323</v>
      </c>
      <c r="F28" s="1" t="s">
        <v>25</v>
      </c>
    </row>
    <row r="29" spans="1:6" x14ac:dyDescent="0.3">
      <c r="A29" s="3">
        <v>45279</v>
      </c>
      <c r="B29" s="1">
        <v>3271</v>
      </c>
      <c r="C29" s="5">
        <v>80560</v>
      </c>
      <c r="D29" s="1" t="s">
        <v>18</v>
      </c>
      <c r="E29" s="19">
        <v>45336</v>
      </c>
      <c r="F29" s="1" t="s">
        <v>26</v>
      </c>
    </row>
    <row r="30" spans="1:6" x14ac:dyDescent="0.3">
      <c r="A30" s="3">
        <v>45279</v>
      </c>
      <c r="B30" s="1">
        <v>3270</v>
      </c>
      <c r="C30" s="5">
        <v>15240</v>
      </c>
      <c r="D30" s="1" t="s">
        <v>18</v>
      </c>
      <c r="E30" s="19">
        <v>45323</v>
      </c>
      <c r="F30" s="1" t="s">
        <v>25</v>
      </c>
    </row>
    <row r="31" spans="1:6" x14ac:dyDescent="0.3">
      <c r="A31" s="12">
        <v>45279</v>
      </c>
      <c r="B31" s="11">
        <v>3269</v>
      </c>
      <c r="C31" s="13">
        <v>10990</v>
      </c>
      <c r="D31" s="11" t="s">
        <v>18</v>
      </c>
      <c r="E31" s="19">
        <v>45323</v>
      </c>
      <c r="F31" s="1" t="s">
        <v>25</v>
      </c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2" t="s">
        <v>10</v>
      </c>
      <c r="C33" s="6">
        <f>SUM(C4:C32)</f>
        <v>627102</v>
      </c>
      <c r="D33" s="1"/>
      <c r="E33" s="1"/>
      <c r="F33" s="1"/>
    </row>
    <row r="34" spans="1:6" x14ac:dyDescent="0.3">
      <c r="A34" s="1"/>
      <c r="B34" s="1"/>
      <c r="C34" s="1"/>
      <c r="D34" s="1"/>
      <c r="E34" s="1"/>
      <c r="F34" s="1"/>
    </row>
    <row r="35" spans="1:6" x14ac:dyDescent="0.3">
      <c r="A35" s="1"/>
      <c r="B35" s="1"/>
      <c r="C35" s="1"/>
      <c r="D35" s="1"/>
      <c r="E35" s="18"/>
    </row>
    <row r="36" spans="1:6" x14ac:dyDescent="0.3">
      <c r="A36" s="1"/>
      <c r="B36" s="1"/>
      <c r="C36" s="1"/>
      <c r="D36" s="1"/>
      <c r="E36" s="1"/>
    </row>
    <row r="37" spans="1:6" x14ac:dyDescent="0.3">
      <c r="A37" s="1"/>
      <c r="B37" s="1"/>
      <c r="C37" s="1"/>
      <c r="D37" s="1"/>
      <c r="E37" s="1"/>
    </row>
    <row r="38" spans="1:6" x14ac:dyDescent="0.3">
      <c r="A38" s="1"/>
      <c r="B38" s="1"/>
      <c r="C38" s="1"/>
      <c r="D38" s="1"/>
      <c r="E38" s="1"/>
    </row>
  </sheetData>
  <mergeCells count="2">
    <mergeCell ref="A1:D1"/>
    <mergeCell ref="A2:D2"/>
  </mergeCells>
  <phoneticPr fontId="3" type="noConversion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9488-A75E-4F1D-B408-41F66F039F92}">
  <dimension ref="A1:E33"/>
  <sheetViews>
    <sheetView topLeftCell="A9" workbookViewId="0">
      <selection sqref="A1:E27"/>
    </sheetView>
  </sheetViews>
  <sheetFormatPr defaultRowHeight="14.4" x14ac:dyDescent="0.3"/>
  <cols>
    <col min="1" max="1" width="17.6640625" customWidth="1"/>
    <col min="2" max="2" width="13.44140625" customWidth="1"/>
    <col min="3" max="3" width="13.33203125" customWidth="1"/>
    <col min="4" max="4" width="16.5546875" customWidth="1"/>
  </cols>
  <sheetData>
    <row r="1" spans="1:5" x14ac:dyDescent="0.3">
      <c r="A1" s="23" t="s">
        <v>0</v>
      </c>
      <c r="B1" s="24"/>
      <c r="C1" s="24"/>
      <c r="D1" s="24"/>
      <c r="E1" s="25"/>
    </row>
    <row r="2" spans="1:5" x14ac:dyDescent="0.3">
      <c r="A2" s="23" t="s">
        <v>1</v>
      </c>
      <c r="B2" s="24"/>
      <c r="C2" s="24"/>
      <c r="D2" s="24"/>
      <c r="E2" s="25"/>
    </row>
    <row r="3" spans="1:5" x14ac:dyDescent="0.3">
      <c r="A3" s="1" t="s">
        <v>2</v>
      </c>
      <c r="B3" s="20">
        <v>45630</v>
      </c>
      <c r="C3" s="1"/>
      <c r="D3" s="1"/>
      <c r="E3" s="1"/>
    </row>
    <row r="4" spans="1:5" x14ac:dyDescent="0.3">
      <c r="A4" s="1" t="s">
        <v>3</v>
      </c>
      <c r="B4" s="21" t="s">
        <v>27</v>
      </c>
      <c r="C4" s="1"/>
      <c r="D4" s="1"/>
      <c r="E4" s="1"/>
    </row>
    <row r="5" spans="1:5" x14ac:dyDescent="0.3">
      <c r="A5" s="1" t="s">
        <v>4</v>
      </c>
      <c r="B5" s="21">
        <v>13</v>
      </c>
      <c r="C5" s="1"/>
      <c r="D5" s="1"/>
      <c r="E5" s="1"/>
    </row>
    <row r="6" spans="1:5" x14ac:dyDescent="0.3">
      <c r="A6" s="1" t="s">
        <v>5</v>
      </c>
      <c r="B6" s="22">
        <v>309844</v>
      </c>
      <c r="C6" s="1"/>
      <c r="D6" s="1"/>
      <c r="E6" s="1"/>
    </row>
    <row r="7" spans="1:5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</row>
    <row r="8" spans="1:5" x14ac:dyDescent="0.3">
      <c r="A8" s="1"/>
      <c r="B8" s="1">
        <v>1780</v>
      </c>
      <c r="C8" s="3">
        <v>45202</v>
      </c>
      <c r="D8" s="5">
        <v>10045</v>
      </c>
      <c r="E8" s="1"/>
    </row>
    <row r="9" spans="1:5" x14ac:dyDescent="0.3">
      <c r="A9" s="1"/>
      <c r="B9" s="1">
        <v>1781</v>
      </c>
      <c r="C9" s="3">
        <v>45202</v>
      </c>
      <c r="D9" s="5">
        <v>10045</v>
      </c>
      <c r="E9" s="1"/>
    </row>
    <row r="10" spans="1:5" x14ac:dyDescent="0.3">
      <c r="A10" s="1"/>
      <c r="B10" s="1">
        <v>1779</v>
      </c>
      <c r="C10" s="3">
        <v>45201</v>
      </c>
      <c r="D10" s="5">
        <v>10045</v>
      </c>
      <c r="E10" s="1"/>
    </row>
    <row r="11" spans="1:5" x14ac:dyDescent="0.3">
      <c r="A11" s="1"/>
      <c r="B11" s="1">
        <v>1778</v>
      </c>
      <c r="C11" s="3">
        <v>45201</v>
      </c>
      <c r="D11" s="5">
        <v>10045</v>
      </c>
      <c r="E11" s="1"/>
    </row>
    <row r="12" spans="1:5" x14ac:dyDescent="0.3">
      <c r="A12" s="1"/>
      <c r="B12" s="1">
        <v>1785</v>
      </c>
      <c r="C12" s="3">
        <v>45204</v>
      </c>
      <c r="D12" s="5">
        <v>8059</v>
      </c>
      <c r="E12" s="1"/>
    </row>
    <row r="13" spans="1:5" x14ac:dyDescent="0.3">
      <c r="A13" s="1"/>
      <c r="B13" s="1">
        <v>1788</v>
      </c>
      <c r="C13" s="3">
        <v>45208</v>
      </c>
      <c r="D13" s="5">
        <v>9090</v>
      </c>
      <c r="E13" s="1"/>
    </row>
    <row r="14" spans="1:5" x14ac:dyDescent="0.3">
      <c r="A14" s="1"/>
      <c r="B14" s="1">
        <v>1685</v>
      </c>
      <c r="C14" s="3">
        <v>45226</v>
      </c>
      <c r="D14" s="7">
        <v>12324</v>
      </c>
      <c r="E14" s="1"/>
    </row>
    <row r="15" spans="1:5" x14ac:dyDescent="0.3">
      <c r="A15" s="1"/>
      <c r="B15" s="1">
        <v>1782</v>
      </c>
      <c r="C15" s="3">
        <v>45202</v>
      </c>
      <c r="D15" s="5">
        <v>8464</v>
      </c>
      <c r="E15" s="1"/>
    </row>
    <row r="16" spans="1:5" x14ac:dyDescent="0.3">
      <c r="A16" s="1"/>
      <c r="B16" s="1">
        <v>1514</v>
      </c>
      <c r="C16" s="3">
        <v>45225</v>
      </c>
      <c r="D16" s="5">
        <v>8692</v>
      </c>
      <c r="E16" s="1"/>
    </row>
    <row r="17" spans="1:5" x14ac:dyDescent="0.3">
      <c r="A17" s="1"/>
      <c r="B17" s="1">
        <v>1412</v>
      </c>
      <c r="C17" s="3">
        <v>45224</v>
      </c>
      <c r="D17" s="5">
        <v>30810</v>
      </c>
      <c r="E17" s="1"/>
    </row>
    <row r="18" spans="1:5" x14ac:dyDescent="0.3">
      <c r="A18" s="1"/>
      <c r="B18" s="1">
        <v>659</v>
      </c>
      <c r="C18" s="3">
        <v>45101</v>
      </c>
      <c r="D18" s="5">
        <v>26752</v>
      </c>
      <c r="E18" s="1"/>
    </row>
    <row r="19" spans="1:5" x14ac:dyDescent="0.3">
      <c r="A19" s="1"/>
      <c r="B19" s="1">
        <v>653</v>
      </c>
      <c r="C19" s="3">
        <v>45091</v>
      </c>
      <c r="D19" s="5">
        <v>25260</v>
      </c>
      <c r="E19" s="1"/>
    </row>
    <row r="20" spans="1:5" x14ac:dyDescent="0.3">
      <c r="A20" s="1"/>
      <c r="B20" s="1">
        <v>1789</v>
      </c>
      <c r="C20" s="3">
        <v>45208</v>
      </c>
      <c r="D20" s="5">
        <v>10595</v>
      </c>
      <c r="E20" s="1"/>
    </row>
    <row r="21" spans="1:5" x14ac:dyDescent="0.3">
      <c r="A21" s="1"/>
      <c r="B21" s="1">
        <v>1793</v>
      </c>
      <c r="C21" s="3">
        <v>45210</v>
      </c>
      <c r="D21" s="5">
        <v>30135</v>
      </c>
      <c r="E21" s="1"/>
    </row>
    <row r="22" spans="1:5" x14ac:dyDescent="0.3">
      <c r="A22" s="1"/>
      <c r="B22" s="1">
        <v>965</v>
      </c>
      <c r="C22" s="3">
        <v>45223</v>
      </c>
      <c r="D22" s="5">
        <v>10865</v>
      </c>
      <c r="E22" s="1"/>
    </row>
    <row r="23" spans="1:5" x14ac:dyDescent="0.3">
      <c r="A23" s="1"/>
      <c r="B23" s="1">
        <v>1420</v>
      </c>
      <c r="C23" s="3">
        <v>45228</v>
      </c>
      <c r="D23" s="5">
        <v>30604</v>
      </c>
      <c r="E23" s="1"/>
    </row>
    <row r="24" spans="1:5" x14ac:dyDescent="0.3">
      <c r="A24" s="1"/>
      <c r="B24" s="1">
        <v>1790</v>
      </c>
      <c r="C24" s="3">
        <v>45208</v>
      </c>
      <c r="D24" s="5">
        <v>31252</v>
      </c>
      <c r="E24" s="1"/>
    </row>
    <row r="25" spans="1:5" x14ac:dyDescent="0.3">
      <c r="A25" s="1"/>
      <c r="B25" s="1">
        <v>1679</v>
      </c>
      <c r="C25" s="3">
        <v>45225</v>
      </c>
      <c r="D25" s="5">
        <v>7434</v>
      </c>
      <c r="E25" s="1"/>
    </row>
    <row r="26" spans="1:5" x14ac:dyDescent="0.3">
      <c r="A26" s="1"/>
      <c r="B26" s="1">
        <v>1671</v>
      </c>
      <c r="C26" s="3">
        <v>45215</v>
      </c>
      <c r="D26" s="5">
        <v>10866</v>
      </c>
      <c r="E26" s="1"/>
    </row>
    <row r="27" spans="1:5" x14ac:dyDescent="0.3">
      <c r="A27" s="1"/>
      <c r="B27" s="1">
        <v>1794</v>
      </c>
      <c r="C27" s="3">
        <v>45210</v>
      </c>
      <c r="D27" s="5">
        <v>8464</v>
      </c>
      <c r="E27" s="1"/>
    </row>
    <row r="28" spans="1:5" x14ac:dyDescent="0.3">
      <c r="A28" s="1"/>
      <c r="B28" s="1"/>
      <c r="C28" s="3"/>
      <c r="D28" s="5"/>
      <c r="E28" s="1"/>
    </row>
    <row r="29" spans="1:5" x14ac:dyDescent="0.3">
      <c r="A29" s="1"/>
      <c r="B29" s="1"/>
      <c r="C29" s="8" t="s">
        <v>10</v>
      </c>
      <c r="D29" s="9">
        <f>SUM(D8:D28)</f>
        <v>309846</v>
      </c>
      <c r="E29" s="1"/>
    </row>
    <row r="30" spans="1:5" x14ac:dyDescent="0.3">
      <c r="A30" s="11"/>
      <c r="B30" s="11"/>
      <c r="C30" s="12"/>
      <c r="D30" s="13"/>
      <c r="E30" s="11"/>
    </row>
    <row r="31" spans="1:5" x14ac:dyDescent="0.3">
      <c r="A31" s="1"/>
      <c r="B31" s="1"/>
      <c r="C31" s="3"/>
      <c r="D31" s="5"/>
      <c r="E31" s="1"/>
    </row>
    <row r="32" spans="1:5" x14ac:dyDescent="0.3">
      <c r="A32" s="1"/>
      <c r="B32" s="1"/>
      <c r="C32" s="3"/>
      <c r="D32" s="5"/>
      <c r="E32" s="1"/>
    </row>
    <row r="33" spans="1:5" x14ac:dyDescent="0.3">
      <c r="A33" s="1"/>
      <c r="B33" s="1"/>
      <c r="C33" s="3"/>
      <c r="D33" s="5"/>
      <c r="E33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A60C-1AC7-48A0-86F0-C43268D237B4}">
  <dimension ref="A1:E29"/>
  <sheetViews>
    <sheetView workbookViewId="0">
      <selection activeCell="H21" sqref="H21"/>
    </sheetView>
  </sheetViews>
  <sheetFormatPr defaultRowHeight="14.4" x14ac:dyDescent="0.3"/>
  <cols>
    <col min="1" max="1" width="17.33203125" customWidth="1"/>
    <col min="2" max="2" width="11.77734375" customWidth="1"/>
    <col min="3" max="3" width="14.109375" customWidth="1"/>
    <col min="4" max="4" width="17" customWidth="1"/>
  </cols>
  <sheetData>
    <row r="1" spans="1:5" x14ac:dyDescent="0.3">
      <c r="A1" s="23" t="s">
        <v>0</v>
      </c>
      <c r="B1" s="24"/>
      <c r="C1" s="24"/>
      <c r="D1" s="24"/>
      <c r="E1" s="25"/>
    </row>
    <row r="2" spans="1:5" x14ac:dyDescent="0.3">
      <c r="A2" s="23" t="s">
        <v>1</v>
      </c>
      <c r="B2" s="24"/>
      <c r="C2" s="24"/>
      <c r="D2" s="24"/>
      <c r="E2" s="25"/>
    </row>
    <row r="3" spans="1:5" x14ac:dyDescent="0.3">
      <c r="A3" s="1" t="s">
        <v>2</v>
      </c>
      <c r="B3" s="20">
        <v>45264</v>
      </c>
      <c r="C3" s="1"/>
      <c r="D3" s="1"/>
      <c r="E3" s="1"/>
    </row>
    <row r="4" spans="1:5" x14ac:dyDescent="0.3">
      <c r="A4" s="1" t="s">
        <v>3</v>
      </c>
      <c r="B4" s="21" t="s">
        <v>28</v>
      </c>
      <c r="C4" s="1"/>
      <c r="D4" s="1"/>
      <c r="E4" s="1"/>
    </row>
    <row r="5" spans="1:5" x14ac:dyDescent="0.3">
      <c r="A5" s="1" t="s">
        <v>4</v>
      </c>
      <c r="B5" s="21">
        <v>12</v>
      </c>
      <c r="C5" s="1"/>
      <c r="D5" s="1"/>
      <c r="E5" s="1"/>
    </row>
    <row r="6" spans="1:5" x14ac:dyDescent="0.3">
      <c r="A6" s="1" t="s">
        <v>5</v>
      </c>
      <c r="B6" s="22">
        <v>471281</v>
      </c>
      <c r="C6" s="1"/>
      <c r="D6" s="1"/>
      <c r="E6" s="1"/>
    </row>
    <row r="7" spans="1:5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</row>
    <row r="8" spans="1:5" x14ac:dyDescent="0.3">
      <c r="A8" s="1"/>
      <c r="B8" s="1">
        <v>1242</v>
      </c>
      <c r="C8" s="3">
        <v>45173</v>
      </c>
      <c r="D8" s="5">
        <v>7784</v>
      </c>
      <c r="E8" s="1"/>
    </row>
    <row r="9" spans="1:5" x14ac:dyDescent="0.3">
      <c r="A9" s="1"/>
      <c r="B9" s="1">
        <v>1769</v>
      </c>
      <c r="C9" s="3">
        <v>45196</v>
      </c>
      <c r="D9" s="5">
        <v>30135</v>
      </c>
      <c r="E9" s="1"/>
    </row>
    <row r="10" spans="1:5" x14ac:dyDescent="0.3">
      <c r="A10" s="1"/>
      <c r="B10" s="1">
        <v>1229</v>
      </c>
      <c r="C10" s="3">
        <v>45170</v>
      </c>
      <c r="D10" s="5">
        <v>26940</v>
      </c>
      <c r="E10" s="1"/>
    </row>
    <row r="11" spans="1:5" x14ac:dyDescent="0.3">
      <c r="A11" s="1"/>
      <c r="B11" s="1">
        <v>1756</v>
      </c>
      <c r="C11" s="3">
        <v>45183</v>
      </c>
      <c r="D11" s="5">
        <v>26940</v>
      </c>
      <c r="E11" s="1"/>
    </row>
    <row r="12" spans="1:5" x14ac:dyDescent="0.3">
      <c r="A12" s="1"/>
      <c r="B12" s="1">
        <v>1764</v>
      </c>
      <c r="C12" s="3">
        <v>45191</v>
      </c>
      <c r="D12" s="5">
        <v>12054</v>
      </c>
      <c r="E12" s="1"/>
    </row>
    <row r="13" spans="1:5" x14ac:dyDescent="0.3">
      <c r="A13" s="1"/>
      <c r="B13" s="1">
        <v>1759</v>
      </c>
      <c r="C13" s="3"/>
      <c r="D13" s="5">
        <v>32144</v>
      </c>
      <c r="E13" s="1"/>
    </row>
    <row r="14" spans="1:5" x14ac:dyDescent="0.3">
      <c r="A14" s="1"/>
      <c r="B14" s="1">
        <v>1245</v>
      </c>
      <c r="C14" s="3">
        <v>45174</v>
      </c>
      <c r="D14" s="7">
        <v>22863</v>
      </c>
      <c r="E14" s="1"/>
    </row>
    <row r="15" spans="1:5" x14ac:dyDescent="0.3">
      <c r="A15" s="1"/>
      <c r="B15" s="1">
        <v>1772</v>
      </c>
      <c r="C15" s="3">
        <v>45198</v>
      </c>
      <c r="D15" s="5">
        <v>10550</v>
      </c>
      <c r="E15" s="1"/>
    </row>
    <row r="16" spans="1:5" x14ac:dyDescent="0.3">
      <c r="A16" s="1"/>
      <c r="B16" s="1">
        <v>1758</v>
      </c>
      <c r="C16" s="3">
        <v>45188</v>
      </c>
      <c r="D16" s="5">
        <v>11245</v>
      </c>
      <c r="E16" s="1"/>
    </row>
    <row r="17" spans="1:5" x14ac:dyDescent="0.3">
      <c r="A17" s="1"/>
      <c r="B17" s="1">
        <v>1240</v>
      </c>
      <c r="C17" s="3"/>
      <c r="D17" s="5">
        <v>11092</v>
      </c>
      <c r="E17" s="1"/>
    </row>
    <row r="18" spans="1:5" x14ac:dyDescent="0.3">
      <c r="A18" s="1"/>
      <c r="B18" s="1">
        <v>1767</v>
      </c>
      <c r="C18" s="3">
        <v>45195</v>
      </c>
      <c r="D18" s="5">
        <v>10580</v>
      </c>
      <c r="E18" s="1"/>
    </row>
    <row r="19" spans="1:5" x14ac:dyDescent="0.3">
      <c r="A19" s="1"/>
      <c r="B19" s="1">
        <v>1246</v>
      </c>
      <c r="C19" s="3">
        <v>45177</v>
      </c>
      <c r="D19" s="5">
        <v>9730</v>
      </c>
      <c r="E19" s="1"/>
    </row>
    <row r="20" spans="1:5" x14ac:dyDescent="0.3">
      <c r="A20" s="1"/>
      <c r="B20" s="1">
        <v>1757</v>
      </c>
      <c r="C20" s="3">
        <v>45183</v>
      </c>
      <c r="D20" s="5">
        <v>7784</v>
      </c>
      <c r="E20" s="1"/>
    </row>
    <row r="21" spans="1:5" x14ac:dyDescent="0.3">
      <c r="A21" s="1"/>
      <c r="B21" s="1">
        <v>1249</v>
      </c>
      <c r="C21" s="3">
        <v>45178</v>
      </c>
      <c r="D21" s="5">
        <v>71840</v>
      </c>
      <c r="E21" s="1"/>
    </row>
    <row r="22" spans="1:5" x14ac:dyDescent="0.3">
      <c r="A22" s="1"/>
      <c r="B22" s="1">
        <v>1244</v>
      </c>
      <c r="C22" s="3">
        <v>45175</v>
      </c>
      <c r="D22" s="5">
        <v>71840</v>
      </c>
      <c r="E22" s="1"/>
    </row>
    <row r="23" spans="1:5" x14ac:dyDescent="0.3">
      <c r="A23" s="1"/>
      <c r="B23" s="1">
        <v>1239</v>
      </c>
      <c r="C23" s="3">
        <v>45171</v>
      </c>
      <c r="D23" s="5">
        <v>71840</v>
      </c>
      <c r="E23" s="1"/>
    </row>
    <row r="24" spans="1:5" x14ac:dyDescent="0.3">
      <c r="A24" s="1"/>
      <c r="B24" s="1">
        <v>1231</v>
      </c>
      <c r="C24" s="3">
        <v>45170</v>
      </c>
      <c r="D24" s="5">
        <v>8980</v>
      </c>
      <c r="E24" s="1"/>
    </row>
    <row r="25" spans="1:5" x14ac:dyDescent="0.3">
      <c r="A25" s="1"/>
      <c r="B25" s="1">
        <v>1233</v>
      </c>
      <c r="C25" s="3">
        <v>45170</v>
      </c>
      <c r="D25" s="5">
        <v>8980</v>
      </c>
      <c r="E25" s="1"/>
    </row>
    <row r="26" spans="1:5" x14ac:dyDescent="0.3">
      <c r="A26" s="1"/>
      <c r="B26" s="1">
        <v>1232</v>
      </c>
      <c r="C26" s="3">
        <v>45171</v>
      </c>
      <c r="D26" s="5">
        <v>8980</v>
      </c>
      <c r="E26" s="1"/>
    </row>
    <row r="27" spans="1:5" x14ac:dyDescent="0.3">
      <c r="A27" s="1"/>
      <c r="B27" s="1">
        <v>1237</v>
      </c>
      <c r="C27" s="3">
        <v>45171</v>
      </c>
      <c r="D27" s="5">
        <v>8980</v>
      </c>
      <c r="E27" s="1"/>
    </row>
    <row r="28" spans="1:5" x14ac:dyDescent="0.3">
      <c r="A28" s="1"/>
      <c r="B28" s="1"/>
      <c r="C28" s="3"/>
      <c r="D28" s="5"/>
      <c r="E28" s="1"/>
    </row>
    <row r="29" spans="1:5" x14ac:dyDescent="0.3">
      <c r="A29" s="1"/>
      <c r="B29" s="1"/>
      <c r="C29" s="8" t="s">
        <v>10</v>
      </c>
      <c r="D29" s="9">
        <f>SUM(D8:D28)</f>
        <v>471281</v>
      </c>
      <c r="E29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C11A-C3CF-4E6A-A129-E0F1D33C21AE}">
  <dimension ref="A1:F72"/>
  <sheetViews>
    <sheetView tabSelected="1" workbookViewId="0">
      <selection activeCell="E72" sqref="E72"/>
    </sheetView>
  </sheetViews>
  <sheetFormatPr defaultRowHeight="14.4" x14ac:dyDescent="0.3"/>
  <cols>
    <col min="1" max="1" width="12.44140625" customWidth="1"/>
    <col min="2" max="2" width="13.109375" customWidth="1"/>
    <col min="3" max="3" width="13.5546875" customWidth="1"/>
    <col min="4" max="4" width="11.88671875" customWidth="1"/>
    <col min="5" max="5" width="43.5546875" customWidth="1"/>
    <col min="6" max="6" width="25.88671875" customWidth="1"/>
  </cols>
  <sheetData>
    <row r="1" spans="1:6" x14ac:dyDescent="0.3">
      <c r="A1" s="27" t="s">
        <v>29</v>
      </c>
      <c r="B1" s="27"/>
      <c r="C1" s="27"/>
      <c r="D1" s="27"/>
      <c r="E1" s="1"/>
    </row>
    <row r="2" spans="1:6" x14ac:dyDescent="0.3">
      <c r="A2" s="27" t="s">
        <v>16</v>
      </c>
      <c r="B2" s="27"/>
      <c r="C2" s="27"/>
      <c r="D2" s="27"/>
      <c r="E2" s="1"/>
    </row>
    <row r="3" spans="1:6" x14ac:dyDescent="0.3">
      <c r="A3" s="1" t="s">
        <v>9</v>
      </c>
      <c r="B3" s="1" t="s">
        <v>6</v>
      </c>
      <c r="C3" s="1" t="s">
        <v>5</v>
      </c>
      <c r="D3" s="1" t="s">
        <v>17</v>
      </c>
      <c r="E3" s="1" t="s">
        <v>50</v>
      </c>
    </row>
    <row r="4" spans="1:6" x14ac:dyDescent="0.3">
      <c r="A4" s="3">
        <v>45018</v>
      </c>
      <c r="B4" s="1">
        <v>83</v>
      </c>
      <c r="C4" s="5">
        <v>64800</v>
      </c>
      <c r="D4" s="1" t="s">
        <v>19</v>
      </c>
      <c r="E4" s="1" t="s">
        <v>59</v>
      </c>
    </row>
    <row r="5" spans="1:6" x14ac:dyDescent="0.3">
      <c r="A5" s="3">
        <v>45023</v>
      </c>
      <c r="B5" s="1">
        <v>91</v>
      </c>
      <c r="C5" s="5">
        <v>32400</v>
      </c>
      <c r="D5" s="1" t="s">
        <v>19</v>
      </c>
      <c r="E5" s="1" t="s">
        <v>59</v>
      </c>
    </row>
    <row r="6" spans="1:6" x14ac:dyDescent="0.3">
      <c r="A6" s="3">
        <v>45026</v>
      </c>
      <c r="B6" s="1">
        <v>94</v>
      </c>
      <c r="C6" s="5">
        <v>64800</v>
      </c>
      <c r="D6" s="1" t="s">
        <v>19</v>
      </c>
      <c r="E6" s="1" t="s">
        <v>59</v>
      </c>
    </row>
    <row r="7" spans="1:6" x14ac:dyDescent="0.3">
      <c r="A7" s="3">
        <v>45059</v>
      </c>
      <c r="B7" s="1">
        <v>153</v>
      </c>
      <c r="C7" s="5">
        <v>19440</v>
      </c>
      <c r="D7" s="1" t="s">
        <v>19</v>
      </c>
      <c r="E7" s="1" t="s">
        <v>59</v>
      </c>
    </row>
    <row r="8" spans="1:6" x14ac:dyDescent="0.3">
      <c r="A8" s="3">
        <v>45064</v>
      </c>
      <c r="B8" s="1">
        <v>360</v>
      </c>
      <c r="C8" s="5">
        <v>20208</v>
      </c>
      <c r="D8" s="1" t="s">
        <v>19</v>
      </c>
      <c r="E8" s="1" t="s">
        <v>59</v>
      </c>
    </row>
    <row r="9" spans="1:6" x14ac:dyDescent="0.3">
      <c r="A9" s="3">
        <v>45067</v>
      </c>
      <c r="B9" s="1">
        <v>364</v>
      </c>
      <c r="C9" s="5">
        <v>20208</v>
      </c>
      <c r="D9" s="1" t="s">
        <v>19</v>
      </c>
      <c r="E9" s="1" t="s">
        <v>59</v>
      </c>
    </row>
    <row r="10" spans="1:6" x14ac:dyDescent="0.3">
      <c r="A10" s="3">
        <v>45073</v>
      </c>
      <c r="B10" s="1">
        <v>375</v>
      </c>
      <c r="C10" s="5">
        <v>20208</v>
      </c>
      <c r="D10" s="1" t="s">
        <v>19</v>
      </c>
      <c r="E10" s="1" t="s">
        <v>59</v>
      </c>
    </row>
    <row r="11" spans="1:6" x14ac:dyDescent="0.3">
      <c r="A11" s="3">
        <v>45074</v>
      </c>
      <c r="B11" s="1">
        <v>377</v>
      </c>
      <c r="C11" s="5">
        <v>20208</v>
      </c>
      <c r="D11" s="1" t="s">
        <v>19</v>
      </c>
      <c r="E11" s="1" t="s">
        <v>59</v>
      </c>
    </row>
    <row r="12" spans="1:6" x14ac:dyDescent="0.3">
      <c r="A12" s="3">
        <v>45174</v>
      </c>
      <c r="B12" s="1">
        <v>1243</v>
      </c>
      <c r="C12" s="5">
        <v>21552</v>
      </c>
      <c r="D12" s="1" t="s">
        <v>19</v>
      </c>
      <c r="E12" s="1" t="s">
        <v>38</v>
      </c>
    </row>
    <row r="13" spans="1:6" x14ac:dyDescent="0.3">
      <c r="A13" s="3">
        <v>45178</v>
      </c>
      <c r="B13" s="1">
        <v>1751</v>
      </c>
      <c r="C13" s="5">
        <v>21552</v>
      </c>
      <c r="D13" s="1" t="s">
        <v>19</v>
      </c>
      <c r="E13" s="1" t="s">
        <v>40</v>
      </c>
    </row>
    <row r="14" spans="1:6" x14ac:dyDescent="0.3">
      <c r="A14" s="3">
        <v>45181</v>
      </c>
      <c r="B14" s="1">
        <v>1755</v>
      </c>
      <c r="C14" s="5">
        <v>71840</v>
      </c>
      <c r="D14" s="1" t="s">
        <v>19</v>
      </c>
      <c r="E14" s="1" t="s">
        <v>57</v>
      </c>
      <c r="F14" t="s">
        <v>57</v>
      </c>
    </row>
    <row r="15" spans="1:6" x14ac:dyDescent="0.3">
      <c r="A15" s="28">
        <v>45195</v>
      </c>
      <c r="B15" s="29">
        <v>1768</v>
      </c>
      <c r="C15" s="30">
        <v>80360</v>
      </c>
      <c r="D15" s="29" t="s">
        <v>19</v>
      </c>
      <c r="E15" s="29" t="s">
        <v>56</v>
      </c>
      <c r="F15" t="s">
        <v>61</v>
      </c>
    </row>
    <row r="16" spans="1:6" x14ac:dyDescent="0.3">
      <c r="A16" s="3">
        <v>45200</v>
      </c>
      <c r="B16" s="1">
        <v>1774</v>
      </c>
      <c r="C16" s="5">
        <v>80360</v>
      </c>
      <c r="D16" s="1" t="s">
        <v>19</v>
      </c>
      <c r="E16" s="1" t="s">
        <v>56</v>
      </c>
    </row>
    <row r="17" spans="1:5" x14ac:dyDescent="0.3">
      <c r="A17" s="3">
        <v>45202</v>
      </c>
      <c r="B17" s="1">
        <v>1784</v>
      </c>
      <c r="C17" s="5">
        <v>16072</v>
      </c>
      <c r="D17" s="1" t="s">
        <v>19</v>
      </c>
      <c r="E17" s="1" t="s">
        <v>33</v>
      </c>
    </row>
    <row r="18" spans="1:5" x14ac:dyDescent="0.3">
      <c r="A18" s="3">
        <v>45204</v>
      </c>
      <c r="B18" s="1">
        <v>1787</v>
      </c>
      <c r="C18" s="5">
        <v>24072</v>
      </c>
      <c r="D18" s="1" t="s">
        <v>19</v>
      </c>
      <c r="E18" s="1" t="s">
        <v>42</v>
      </c>
    </row>
    <row r="19" spans="1:5" x14ac:dyDescent="0.3">
      <c r="A19" s="3">
        <v>45208</v>
      </c>
      <c r="B19" s="1">
        <v>1791</v>
      </c>
      <c r="C19" s="5">
        <v>24108</v>
      </c>
      <c r="D19" s="1" t="s">
        <v>19</v>
      </c>
      <c r="E19" s="1" t="s">
        <v>41</v>
      </c>
    </row>
    <row r="20" spans="1:5" x14ac:dyDescent="0.3">
      <c r="A20" s="3">
        <v>45209</v>
      </c>
      <c r="B20" s="1">
        <v>1792</v>
      </c>
      <c r="C20" s="5">
        <v>16072</v>
      </c>
      <c r="D20" s="1" t="s">
        <v>19</v>
      </c>
      <c r="E20" s="1" t="s">
        <v>59</v>
      </c>
    </row>
    <row r="21" spans="1:5" x14ac:dyDescent="0.3">
      <c r="A21" s="3">
        <v>45212</v>
      </c>
      <c r="B21" s="1">
        <v>1797</v>
      </c>
      <c r="C21" s="5">
        <v>16072</v>
      </c>
      <c r="D21" s="1" t="s">
        <v>19</v>
      </c>
      <c r="E21" s="1" t="s">
        <v>59</v>
      </c>
    </row>
    <row r="22" spans="1:5" x14ac:dyDescent="0.3">
      <c r="A22" s="28">
        <v>45214</v>
      </c>
      <c r="B22" s="29">
        <v>1800</v>
      </c>
      <c r="C22" s="30">
        <v>82160</v>
      </c>
      <c r="D22" s="29" t="s">
        <v>19</v>
      </c>
      <c r="E22" s="29" t="s">
        <v>62</v>
      </c>
    </row>
    <row r="23" spans="1:5" x14ac:dyDescent="0.3">
      <c r="A23" s="3">
        <v>45215</v>
      </c>
      <c r="B23" s="1">
        <v>1673</v>
      </c>
      <c r="C23" s="5">
        <v>16432</v>
      </c>
      <c r="D23" s="1" t="s">
        <v>19</v>
      </c>
      <c r="E23" s="1" t="s">
        <v>59</v>
      </c>
    </row>
    <row r="24" spans="1:5" x14ac:dyDescent="0.3">
      <c r="A24" s="3">
        <v>45215</v>
      </c>
      <c r="B24" s="1">
        <v>1672</v>
      </c>
      <c r="C24" s="5">
        <v>24648</v>
      </c>
      <c r="D24" s="1" t="s">
        <v>19</v>
      </c>
      <c r="E24" s="1" t="s">
        <v>47</v>
      </c>
    </row>
    <row r="25" spans="1:5" x14ac:dyDescent="0.3">
      <c r="A25" s="3">
        <v>45218</v>
      </c>
      <c r="B25" s="1">
        <v>1405</v>
      </c>
      <c r="C25" s="5">
        <v>8486</v>
      </c>
      <c r="D25" s="1" t="s">
        <v>19</v>
      </c>
      <c r="E25" s="1" t="s">
        <v>59</v>
      </c>
    </row>
    <row r="26" spans="1:5" x14ac:dyDescent="0.3">
      <c r="A26" s="3">
        <v>45218</v>
      </c>
      <c r="B26" s="1">
        <v>1406</v>
      </c>
      <c r="C26" s="5">
        <v>82160</v>
      </c>
      <c r="D26" s="1" t="s">
        <v>19</v>
      </c>
      <c r="E26" s="1" t="s">
        <v>56</v>
      </c>
    </row>
    <row r="27" spans="1:5" x14ac:dyDescent="0.3">
      <c r="A27" s="3">
        <v>45219</v>
      </c>
      <c r="B27" s="1">
        <v>1947</v>
      </c>
      <c r="C27" s="5">
        <v>11952</v>
      </c>
      <c r="D27" s="1" t="s">
        <v>19</v>
      </c>
      <c r="E27" s="1" t="s">
        <v>59</v>
      </c>
    </row>
    <row r="28" spans="1:5" x14ac:dyDescent="0.3">
      <c r="A28" s="3">
        <v>45219</v>
      </c>
      <c r="B28" s="1">
        <v>1946</v>
      </c>
      <c r="C28" s="5">
        <v>24648</v>
      </c>
      <c r="D28" s="1" t="s">
        <v>19</v>
      </c>
      <c r="E28" s="1" t="s">
        <v>59</v>
      </c>
    </row>
    <row r="29" spans="1:5" x14ac:dyDescent="0.3">
      <c r="A29" s="3">
        <v>45220</v>
      </c>
      <c r="B29" s="1">
        <v>1968</v>
      </c>
      <c r="C29" s="5">
        <v>82160</v>
      </c>
      <c r="D29" s="1" t="s">
        <v>19</v>
      </c>
      <c r="E29" s="1" t="s">
        <v>56</v>
      </c>
    </row>
    <row r="30" spans="1:5" x14ac:dyDescent="0.3">
      <c r="A30" s="3">
        <v>45220</v>
      </c>
      <c r="B30" s="1">
        <v>1409</v>
      </c>
      <c r="C30" s="5">
        <v>16434</v>
      </c>
      <c r="D30" s="1" t="s">
        <v>19</v>
      </c>
      <c r="E30" s="1" t="s">
        <v>59</v>
      </c>
    </row>
    <row r="31" spans="1:5" x14ac:dyDescent="0.3">
      <c r="A31" s="3">
        <v>45222</v>
      </c>
      <c r="B31" s="1">
        <v>1410</v>
      </c>
      <c r="C31" s="5">
        <v>24648</v>
      </c>
      <c r="D31" s="1" t="s">
        <v>19</v>
      </c>
      <c r="E31" s="1" t="s">
        <v>59</v>
      </c>
    </row>
    <row r="32" spans="1:5" x14ac:dyDescent="0.3">
      <c r="A32" s="3">
        <v>45223</v>
      </c>
      <c r="B32" s="1">
        <v>1677</v>
      </c>
      <c r="C32" s="5">
        <v>16432</v>
      </c>
      <c r="D32" s="1" t="s">
        <v>19</v>
      </c>
      <c r="E32" s="1" t="s">
        <v>59</v>
      </c>
    </row>
    <row r="33" spans="1:6" x14ac:dyDescent="0.3">
      <c r="A33" s="3">
        <v>45224</v>
      </c>
      <c r="B33" s="1">
        <v>1413</v>
      </c>
      <c r="C33" s="5">
        <v>11951</v>
      </c>
      <c r="D33" s="1" t="s">
        <v>19</v>
      </c>
      <c r="E33" s="1" t="s">
        <v>36</v>
      </c>
    </row>
    <row r="34" spans="1:6" x14ac:dyDescent="0.3">
      <c r="A34" s="3">
        <v>45219</v>
      </c>
      <c r="B34" s="1">
        <v>1683</v>
      </c>
      <c r="C34" s="5">
        <v>24648</v>
      </c>
      <c r="D34" s="1" t="s">
        <v>19</v>
      </c>
      <c r="E34" s="1" t="s">
        <v>31</v>
      </c>
    </row>
    <row r="35" spans="1:6" s="31" customFormat="1" x14ac:dyDescent="0.3">
      <c r="A35" s="28">
        <v>45226</v>
      </c>
      <c r="B35" s="29">
        <v>1689</v>
      </c>
      <c r="C35" s="30">
        <v>82160</v>
      </c>
      <c r="D35" s="29" t="s">
        <v>19</v>
      </c>
      <c r="E35" s="29" t="s">
        <v>55</v>
      </c>
      <c r="F35" s="31" t="s">
        <v>57</v>
      </c>
    </row>
    <row r="36" spans="1:6" x14ac:dyDescent="0.3">
      <c r="A36" s="3">
        <v>45233</v>
      </c>
      <c r="B36" s="1">
        <v>1178</v>
      </c>
      <c r="C36" s="5">
        <v>30810</v>
      </c>
      <c r="D36" s="1" t="s">
        <v>19</v>
      </c>
      <c r="E36" s="29" t="s">
        <v>32</v>
      </c>
    </row>
    <row r="37" spans="1:6" x14ac:dyDescent="0.3">
      <c r="A37" s="3">
        <v>45238</v>
      </c>
      <c r="B37" s="1">
        <v>1999</v>
      </c>
      <c r="C37" s="5">
        <v>16432</v>
      </c>
      <c r="D37" s="1" t="s">
        <v>19</v>
      </c>
      <c r="E37" s="1" t="s">
        <v>34</v>
      </c>
    </row>
    <row r="38" spans="1:6" x14ac:dyDescent="0.3">
      <c r="A38" s="3">
        <v>45239</v>
      </c>
      <c r="B38" s="1">
        <v>3012</v>
      </c>
      <c r="C38" s="5">
        <v>24648</v>
      </c>
      <c r="D38" s="1" t="s">
        <v>19</v>
      </c>
      <c r="E38" s="1" t="s">
        <v>35</v>
      </c>
    </row>
    <row r="39" spans="1:6" x14ac:dyDescent="0.3">
      <c r="A39" s="3">
        <v>45239</v>
      </c>
      <c r="B39" s="1">
        <v>3013</v>
      </c>
      <c r="C39" s="5">
        <v>82160</v>
      </c>
      <c r="D39" s="1" t="s">
        <v>19</v>
      </c>
      <c r="E39" s="1" t="s">
        <v>46</v>
      </c>
    </row>
    <row r="40" spans="1:6" x14ac:dyDescent="0.3">
      <c r="A40" s="3">
        <v>45240</v>
      </c>
      <c r="B40" s="1">
        <v>3016</v>
      </c>
      <c r="C40" s="5">
        <v>8692</v>
      </c>
      <c r="D40" s="1" t="s">
        <v>19</v>
      </c>
      <c r="E40" s="29" t="s">
        <v>49</v>
      </c>
    </row>
    <row r="41" spans="1:6" x14ac:dyDescent="0.3">
      <c r="A41" s="3">
        <v>45240</v>
      </c>
      <c r="B41" s="1">
        <v>3018</v>
      </c>
      <c r="C41" s="5">
        <v>12324</v>
      </c>
      <c r="D41" s="1" t="s">
        <v>19</v>
      </c>
      <c r="E41" s="1" t="s">
        <v>54</v>
      </c>
    </row>
    <row r="42" spans="1:6" x14ac:dyDescent="0.3">
      <c r="A42" s="3">
        <v>45241</v>
      </c>
      <c r="B42" s="1">
        <v>3020</v>
      </c>
      <c r="C42" s="5">
        <v>24648</v>
      </c>
      <c r="D42" s="1" t="s">
        <v>19</v>
      </c>
      <c r="E42" s="1" t="s">
        <v>48</v>
      </c>
    </row>
    <row r="43" spans="1:6" x14ac:dyDescent="0.3">
      <c r="A43" s="3">
        <v>45241</v>
      </c>
      <c r="B43" s="1">
        <v>3021</v>
      </c>
      <c r="C43" s="5">
        <v>82160</v>
      </c>
      <c r="D43" s="1" t="s">
        <v>19</v>
      </c>
      <c r="E43" s="1" t="s">
        <v>59</v>
      </c>
    </row>
    <row r="44" spans="1:6" x14ac:dyDescent="0.3">
      <c r="A44" s="3">
        <v>45242</v>
      </c>
      <c r="B44" s="1">
        <v>3023</v>
      </c>
      <c r="C44" s="5">
        <v>26085</v>
      </c>
      <c r="D44" s="1" t="s">
        <v>19</v>
      </c>
      <c r="E44" s="1" t="s">
        <v>59</v>
      </c>
    </row>
    <row r="45" spans="1:6" x14ac:dyDescent="0.3">
      <c r="A45" s="3">
        <v>45242</v>
      </c>
      <c r="B45" s="1">
        <v>3022</v>
      </c>
      <c r="C45" s="5">
        <v>8144</v>
      </c>
      <c r="D45" s="1" t="s">
        <v>19</v>
      </c>
      <c r="E45" s="1" t="s">
        <v>45</v>
      </c>
    </row>
    <row r="46" spans="1:6" x14ac:dyDescent="0.3">
      <c r="A46" s="3">
        <v>45242</v>
      </c>
      <c r="B46" s="1">
        <v>3024</v>
      </c>
      <c r="C46" s="5">
        <v>16432</v>
      </c>
      <c r="D46" s="1" t="s">
        <v>19</v>
      </c>
      <c r="E46" s="1" t="s">
        <v>37</v>
      </c>
    </row>
    <row r="47" spans="1:6" x14ac:dyDescent="0.3">
      <c r="A47" s="3">
        <v>45254</v>
      </c>
      <c r="B47" s="1">
        <v>3041</v>
      </c>
      <c r="C47" s="5">
        <v>81360</v>
      </c>
      <c r="D47" s="1" t="s">
        <v>19</v>
      </c>
      <c r="E47" s="1" t="s">
        <v>53</v>
      </c>
    </row>
    <row r="48" spans="1:6" x14ac:dyDescent="0.3">
      <c r="A48" s="3">
        <v>45257</v>
      </c>
      <c r="B48" s="1">
        <v>3178</v>
      </c>
      <c r="C48" s="5">
        <v>24408</v>
      </c>
      <c r="D48" s="1" t="s">
        <v>19</v>
      </c>
      <c r="E48" s="1" t="s">
        <v>30</v>
      </c>
    </row>
    <row r="49" spans="1:6" x14ac:dyDescent="0.3">
      <c r="A49" s="3">
        <v>45261</v>
      </c>
      <c r="B49" s="1">
        <v>3197</v>
      </c>
      <c r="C49" s="5">
        <v>24408</v>
      </c>
      <c r="D49" s="1" t="s">
        <v>19</v>
      </c>
      <c r="E49" s="1" t="s">
        <v>59</v>
      </c>
    </row>
    <row r="50" spans="1:6" x14ac:dyDescent="0.3">
      <c r="A50" s="3">
        <v>45261</v>
      </c>
      <c r="B50" s="1">
        <v>3199</v>
      </c>
      <c r="C50" s="5">
        <v>10170</v>
      </c>
      <c r="D50" s="1" t="s">
        <v>19</v>
      </c>
      <c r="E50" s="1" t="s">
        <v>44</v>
      </c>
    </row>
    <row r="51" spans="1:6" x14ac:dyDescent="0.3">
      <c r="A51" s="3">
        <v>45261</v>
      </c>
      <c r="B51" s="1">
        <v>1194</v>
      </c>
      <c r="C51" s="5">
        <v>8692</v>
      </c>
      <c r="D51" s="1" t="s">
        <v>19</v>
      </c>
      <c r="E51" s="1" t="s">
        <v>39</v>
      </c>
    </row>
    <row r="52" spans="1:6" x14ac:dyDescent="0.3">
      <c r="A52" s="3">
        <v>45261</v>
      </c>
      <c r="B52" s="1">
        <v>1196</v>
      </c>
      <c r="C52" s="5">
        <v>10170</v>
      </c>
      <c r="D52" s="1" t="s">
        <v>19</v>
      </c>
      <c r="E52" s="1" t="s">
        <v>43</v>
      </c>
    </row>
    <row r="53" spans="1:6" x14ac:dyDescent="0.3">
      <c r="A53" s="3">
        <v>45264</v>
      </c>
      <c r="B53" s="1">
        <v>1531</v>
      </c>
      <c r="C53" s="5">
        <v>24408</v>
      </c>
      <c r="D53" s="1" t="s">
        <v>19</v>
      </c>
      <c r="E53" s="1" t="s">
        <v>52</v>
      </c>
    </row>
    <row r="54" spans="1:6" x14ac:dyDescent="0.3">
      <c r="A54" s="3">
        <v>45265</v>
      </c>
      <c r="B54" s="1">
        <v>3251</v>
      </c>
      <c r="C54" s="5">
        <v>11695</v>
      </c>
      <c r="D54" s="1" t="s">
        <v>19</v>
      </c>
      <c r="E54" s="1" t="s">
        <v>59</v>
      </c>
    </row>
    <row r="55" spans="1:6" x14ac:dyDescent="0.3">
      <c r="A55" s="3">
        <v>45265</v>
      </c>
      <c r="B55" s="1">
        <v>3253</v>
      </c>
      <c r="C55" s="5">
        <v>23799</v>
      </c>
      <c r="D55" s="1" t="s">
        <v>19</v>
      </c>
      <c r="E55" s="1" t="s">
        <v>51</v>
      </c>
    </row>
    <row r="56" spans="1:6" x14ac:dyDescent="0.3">
      <c r="A56" s="28">
        <v>45272</v>
      </c>
      <c r="B56" s="29">
        <v>3260</v>
      </c>
      <c r="C56" s="30">
        <v>40680</v>
      </c>
      <c r="D56" s="29" t="s">
        <v>19</v>
      </c>
      <c r="E56" s="29" t="s">
        <v>58</v>
      </c>
    </row>
    <row r="57" spans="1:6" x14ac:dyDescent="0.3">
      <c r="A57" s="28">
        <v>45210</v>
      </c>
      <c r="B57" s="29">
        <v>1795</v>
      </c>
      <c r="C57" s="30">
        <v>80360</v>
      </c>
      <c r="D57" s="29" t="s">
        <v>19</v>
      </c>
      <c r="E57" s="32" t="s">
        <v>60</v>
      </c>
      <c r="F57" s="1" t="s">
        <v>61</v>
      </c>
    </row>
    <row r="58" spans="1:6" x14ac:dyDescent="0.3">
      <c r="A58" s="1"/>
      <c r="B58" s="2" t="s">
        <v>10</v>
      </c>
      <c r="C58" s="6">
        <f>SUM(C4:C57)</f>
        <v>1815936</v>
      </c>
      <c r="D58" s="1"/>
      <c r="E58" s="1"/>
    </row>
    <row r="59" spans="1:6" x14ac:dyDescent="0.3">
      <c r="A59" s="1"/>
      <c r="B59" s="1"/>
      <c r="C59" s="1"/>
      <c r="D59" s="1"/>
      <c r="E59" s="1"/>
    </row>
    <row r="60" spans="1:6" x14ac:dyDescent="0.3">
      <c r="A60" s="3"/>
      <c r="B60" s="1"/>
      <c r="C60" s="1"/>
      <c r="D60" s="1"/>
      <c r="E60" s="1"/>
    </row>
    <row r="61" spans="1:6" x14ac:dyDescent="0.3">
      <c r="A61" s="1"/>
      <c r="B61" s="1"/>
      <c r="C61" s="1"/>
      <c r="D61" s="1"/>
      <c r="E61" s="1"/>
    </row>
    <row r="62" spans="1:6" x14ac:dyDescent="0.3">
      <c r="A62" s="1"/>
      <c r="B62" s="1"/>
      <c r="C62" s="1"/>
      <c r="D62" s="1"/>
      <c r="E62" s="1"/>
    </row>
    <row r="63" spans="1:6" x14ac:dyDescent="0.3">
      <c r="A63" s="1"/>
      <c r="B63" s="1"/>
      <c r="C63" s="1"/>
      <c r="D63" s="1"/>
      <c r="E63" s="1"/>
    </row>
    <row r="64" spans="1:6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</sheetData>
  <mergeCells count="2">
    <mergeCell ref="A1:D1"/>
    <mergeCell ref="A2:D2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5EB0-FB81-42D3-AA80-7A0D7AAD82CD}">
  <dimension ref="A1:I45"/>
  <sheetViews>
    <sheetView topLeftCell="A16" workbookViewId="0">
      <selection sqref="A1:E35"/>
    </sheetView>
  </sheetViews>
  <sheetFormatPr defaultRowHeight="14.4" x14ac:dyDescent="0.3"/>
  <cols>
    <col min="1" max="1" width="17" customWidth="1"/>
    <col min="2" max="2" width="13.33203125" customWidth="1"/>
    <col min="3" max="3" width="16.5546875" customWidth="1"/>
    <col min="4" max="4" width="17.109375" customWidth="1"/>
    <col min="9" max="9" width="11.33203125" bestFit="1" customWidth="1"/>
  </cols>
  <sheetData>
    <row r="1" spans="1:9" x14ac:dyDescent="0.3">
      <c r="A1" s="23" t="s">
        <v>0</v>
      </c>
      <c r="B1" s="24"/>
      <c r="C1" s="24"/>
      <c r="D1" s="24"/>
      <c r="E1" s="25"/>
      <c r="F1" s="2"/>
      <c r="G1" s="2"/>
    </row>
    <row r="2" spans="1:9" x14ac:dyDescent="0.3">
      <c r="A2" s="23" t="s">
        <v>1</v>
      </c>
      <c r="B2" s="24"/>
      <c r="C2" s="24"/>
      <c r="D2" s="24"/>
      <c r="E2" s="25"/>
      <c r="F2" s="2"/>
      <c r="G2" s="2"/>
    </row>
    <row r="3" spans="1:9" x14ac:dyDescent="0.3">
      <c r="A3" s="1" t="s">
        <v>2</v>
      </c>
      <c r="B3" s="3">
        <v>45327</v>
      </c>
      <c r="C3" s="1"/>
      <c r="D3" s="1"/>
      <c r="E3" s="1"/>
      <c r="F3" s="1"/>
      <c r="G3" s="1"/>
    </row>
    <row r="4" spans="1:9" x14ac:dyDescent="0.3">
      <c r="A4" s="1" t="s">
        <v>3</v>
      </c>
      <c r="B4" s="1" t="s">
        <v>14</v>
      </c>
      <c r="C4" s="1"/>
      <c r="D4" s="1"/>
      <c r="E4" s="1"/>
      <c r="F4" s="1"/>
      <c r="G4" s="1"/>
    </row>
    <row r="5" spans="1:9" x14ac:dyDescent="0.3">
      <c r="A5" s="1" t="s">
        <v>4</v>
      </c>
      <c r="B5" s="4">
        <v>230</v>
      </c>
      <c r="C5" s="1"/>
      <c r="D5" s="1"/>
      <c r="E5" s="1"/>
      <c r="F5" s="1"/>
      <c r="G5" s="1"/>
    </row>
    <row r="6" spans="1:9" x14ac:dyDescent="0.3">
      <c r="A6" s="1" t="s">
        <v>5</v>
      </c>
      <c r="B6" s="5">
        <v>595831</v>
      </c>
      <c r="C6" s="1"/>
      <c r="D6" s="1"/>
      <c r="E6" s="1"/>
      <c r="F6" s="1"/>
      <c r="G6" s="1"/>
    </row>
    <row r="7" spans="1:9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9" x14ac:dyDescent="0.3">
      <c r="A8" s="1"/>
      <c r="B8" s="1">
        <v>1549</v>
      </c>
      <c r="C8" s="3">
        <v>45233</v>
      </c>
      <c r="D8" s="5">
        <v>30810</v>
      </c>
      <c r="E8" s="1"/>
      <c r="F8" s="1"/>
      <c r="G8" s="1"/>
    </row>
    <row r="9" spans="1:9" x14ac:dyDescent="0.3">
      <c r="A9" s="1"/>
      <c r="B9" s="1">
        <v>1177</v>
      </c>
      <c r="C9" s="3">
        <v>45233</v>
      </c>
      <c r="D9" s="5">
        <v>10865</v>
      </c>
      <c r="E9" s="1"/>
      <c r="F9" s="1"/>
      <c r="G9" s="1"/>
      <c r="I9" s="16"/>
    </row>
    <row r="10" spans="1:9" x14ac:dyDescent="0.3">
      <c r="A10" s="1"/>
      <c r="B10" s="1">
        <v>3003</v>
      </c>
      <c r="C10" s="3">
        <v>45237</v>
      </c>
      <c r="D10" s="5">
        <v>12324</v>
      </c>
      <c r="E10" s="1"/>
      <c r="F10" s="1"/>
      <c r="G10" s="1"/>
    </row>
    <row r="11" spans="1:9" x14ac:dyDescent="0.3">
      <c r="A11" s="1"/>
      <c r="B11" s="1">
        <v>3002</v>
      </c>
      <c r="C11" s="3">
        <v>45237</v>
      </c>
      <c r="D11" s="5">
        <v>8692</v>
      </c>
      <c r="E11" s="1"/>
      <c r="F11" s="1"/>
      <c r="G11" s="1"/>
    </row>
    <row r="12" spans="1:9" x14ac:dyDescent="0.3">
      <c r="A12" s="1"/>
      <c r="B12" s="1">
        <v>3007</v>
      </c>
      <c r="C12" s="3">
        <v>45237</v>
      </c>
      <c r="D12" s="5">
        <v>10270</v>
      </c>
      <c r="E12" s="1"/>
      <c r="F12" s="1"/>
      <c r="G12" s="1"/>
    </row>
    <row r="13" spans="1:9" x14ac:dyDescent="0.3">
      <c r="A13" s="1"/>
      <c r="B13" s="1">
        <v>3008</v>
      </c>
      <c r="C13" s="3">
        <v>45237</v>
      </c>
      <c r="D13" s="5">
        <v>10270</v>
      </c>
      <c r="E13" s="1"/>
      <c r="F13" s="1"/>
      <c r="G13" s="1"/>
    </row>
    <row r="14" spans="1:9" x14ac:dyDescent="0.3">
      <c r="A14" s="1"/>
      <c r="B14" s="1">
        <v>3006</v>
      </c>
      <c r="C14" s="3">
        <v>45237</v>
      </c>
      <c r="D14" s="5">
        <v>10270</v>
      </c>
      <c r="E14" s="1"/>
      <c r="F14" s="1"/>
      <c r="G14" s="1"/>
    </row>
    <row r="15" spans="1:9" x14ac:dyDescent="0.3">
      <c r="A15" s="1"/>
      <c r="B15" s="1">
        <v>3005</v>
      </c>
      <c r="C15" s="3">
        <v>45237</v>
      </c>
      <c r="D15" s="7">
        <v>10270</v>
      </c>
      <c r="E15" s="1"/>
      <c r="F15" s="1"/>
      <c r="G15" s="1"/>
    </row>
    <row r="16" spans="1:9" x14ac:dyDescent="0.3">
      <c r="A16" s="1"/>
      <c r="B16" s="1">
        <v>3059</v>
      </c>
      <c r="C16" s="3">
        <v>45237</v>
      </c>
      <c r="D16" s="5">
        <v>82160</v>
      </c>
      <c r="E16" s="1"/>
      <c r="F16" s="1"/>
      <c r="G16" s="1"/>
    </row>
    <row r="17" spans="1:9" x14ac:dyDescent="0.3">
      <c r="A17" s="1"/>
      <c r="B17" s="1">
        <v>3009</v>
      </c>
      <c r="C17" s="3">
        <v>45238</v>
      </c>
      <c r="D17" s="5">
        <v>12168</v>
      </c>
      <c r="E17" s="1"/>
      <c r="F17" s="1"/>
      <c r="G17" s="1"/>
    </row>
    <row r="18" spans="1:9" x14ac:dyDescent="0.3">
      <c r="A18" s="1"/>
      <c r="B18" s="1">
        <v>3029</v>
      </c>
      <c r="C18" s="3">
        <v>45245</v>
      </c>
      <c r="D18" s="5">
        <v>30147</v>
      </c>
      <c r="E18" s="1"/>
      <c r="F18" s="1"/>
      <c r="G18" s="1"/>
    </row>
    <row r="19" spans="1:9" x14ac:dyDescent="0.3">
      <c r="A19" s="1"/>
      <c r="B19" s="1">
        <v>3033</v>
      </c>
      <c r="C19" s="3">
        <v>45248</v>
      </c>
      <c r="D19" s="5">
        <v>11569</v>
      </c>
      <c r="E19" s="1"/>
      <c r="F19" s="1"/>
      <c r="G19" s="1"/>
    </row>
    <row r="20" spans="1:9" x14ac:dyDescent="0.3">
      <c r="A20" s="1"/>
      <c r="B20" s="1">
        <v>3165</v>
      </c>
      <c r="C20" s="3">
        <v>45253</v>
      </c>
      <c r="D20" s="5">
        <v>10866</v>
      </c>
      <c r="E20" s="1"/>
      <c r="F20" s="1"/>
      <c r="G20" s="1"/>
    </row>
    <row r="21" spans="1:9" x14ac:dyDescent="0.3">
      <c r="A21" s="1"/>
      <c r="B21" s="1">
        <v>935</v>
      </c>
      <c r="C21" s="3">
        <v>45253</v>
      </c>
      <c r="D21" s="5">
        <v>30501</v>
      </c>
      <c r="E21" s="1"/>
      <c r="F21" s="1"/>
      <c r="G21" s="1"/>
    </row>
    <row r="22" spans="1:9" x14ac:dyDescent="0.3">
      <c r="A22" s="1"/>
      <c r="B22" s="1">
        <v>3200</v>
      </c>
      <c r="C22" s="3">
        <v>45253</v>
      </c>
      <c r="D22" s="5">
        <v>11935</v>
      </c>
      <c r="E22" s="1"/>
      <c r="F22" s="1"/>
      <c r="G22" s="1"/>
    </row>
    <row r="23" spans="1:9" x14ac:dyDescent="0.3">
      <c r="A23" s="1"/>
      <c r="B23" s="1">
        <v>3166</v>
      </c>
      <c r="C23" s="3">
        <v>45253</v>
      </c>
      <c r="D23" s="5">
        <v>81480</v>
      </c>
      <c r="E23" s="1"/>
      <c r="F23" s="1"/>
      <c r="G23" s="1"/>
    </row>
    <row r="24" spans="1:9" x14ac:dyDescent="0.3">
      <c r="A24" s="1"/>
      <c r="B24" s="1">
        <v>1188</v>
      </c>
      <c r="C24" s="3">
        <v>45254</v>
      </c>
      <c r="D24" s="5">
        <v>8692</v>
      </c>
      <c r="E24" s="1"/>
      <c r="F24" s="1"/>
      <c r="G24" s="1"/>
    </row>
    <row r="25" spans="1:9" x14ac:dyDescent="0.3">
      <c r="A25" s="1"/>
      <c r="B25" s="1">
        <v>3042</v>
      </c>
      <c r="C25" s="3">
        <v>45256</v>
      </c>
      <c r="D25" s="5">
        <v>9277</v>
      </c>
      <c r="E25" s="1"/>
      <c r="F25" s="1"/>
      <c r="G25" s="1"/>
    </row>
    <row r="26" spans="1:9" x14ac:dyDescent="0.3">
      <c r="A26" s="1"/>
      <c r="B26" s="1">
        <v>3188</v>
      </c>
      <c r="C26" s="3">
        <v>45260</v>
      </c>
      <c r="D26" s="5">
        <v>9492</v>
      </c>
      <c r="E26" s="1"/>
      <c r="F26" s="1"/>
      <c r="G26" s="1"/>
    </row>
    <row r="27" spans="1:9" x14ac:dyDescent="0.3">
      <c r="A27" s="1"/>
      <c r="B27" s="1">
        <v>3254</v>
      </c>
      <c r="C27" s="3">
        <v>45267</v>
      </c>
      <c r="D27" s="5">
        <v>8062</v>
      </c>
      <c r="E27" s="1"/>
      <c r="F27" s="1"/>
      <c r="G27" s="1"/>
    </row>
    <row r="28" spans="1:9" x14ac:dyDescent="0.3">
      <c r="A28" s="1"/>
      <c r="B28" s="1">
        <v>3255</v>
      </c>
      <c r="C28" s="3">
        <v>45267</v>
      </c>
      <c r="D28" s="5">
        <v>30510</v>
      </c>
      <c r="E28" s="1"/>
      <c r="F28" s="1"/>
      <c r="G28" s="1"/>
      <c r="I28" s="16"/>
    </row>
    <row r="29" spans="1:9" x14ac:dyDescent="0.3">
      <c r="A29" s="1"/>
      <c r="B29" s="1">
        <v>3256</v>
      </c>
      <c r="C29" s="3">
        <v>45268</v>
      </c>
      <c r="D29" s="5">
        <v>8692</v>
      </c>
      <c r="E29" s="1"/>
      <c r="F29" s="1"/>
      <c r="G29" s="1"/>
    </row>
    <row r="30" spans="1:9" x14ac:dyDescent="0.3">
      <c r="A30" s="1"/>
      <c r="B30" s="1">
        <v>3259</v>
      </c>
      <c r="C30" s="3">
        <v>45271</v>
      </c>
      <c r="D30" s="5">
        <v>6519</v>
      </c>
      <c r="E30" s="1"/>
      <c r="F30" s="1"/>
      <c r="G30" s="1"/>
    </row>
    <row r="31" spans="1:9" x14ac:dyDescent="0.3">
      <c r="A31" s="1"/>
      <c r="B31" s="1">
        <v>3261</v>
      </c>
      <c r="C31" s="3">
        <v>45274</v>
      </c>
      <c r="D31" s="5">
        <v>31431</v>
      </c>
      <c r="E31" s="1"/>
      <c r="F31" s="1"/>
      <c r="G31" s="1"/>
    </row>
    <row r="32" spans="1:9" x14ac:dyDescent="0.3">
      <c r="A32" s="11"/>
      <c r="B32" s="11">
        <v>3265</v>
      </c>
      <c r="C32" s="12">
        <v>45275</v>
      </c>
      <c r="D32" s="13">
        <v>80560</v>
      </c>
      <c r="E32" s="11"/>
      <c r="F32" s="11"/>
      <c r="G32" s="11"/>
    </row>
    <row r="33" spans="1:7" x14ac:dyDescent="0.3">
      <c r="A33" s="1"/>
      <c r="B33" s="1">
        <v>3263</v>
      </c>
      <c r="C33" s="3">
        <v>45275</v>
      </c>
      <c r="D33" s="5">
        <v>8692</v>
      </c>
      <c r="E33" s="1"/>
      <c r="F33" s="1"/>
      <c r="G33" s="1"/>
    </row>
    <row r="34" spans="1:7" x14ac:dyDescent="0.3">
      <c r="A34" s="1"/>
      <c r="B34" s="1">
        <v>3264</v>
      </c>
      <c r="C34" s="3">
        <v>45275</v>
      </c>
      <c r="D34" s="5">
        <v>10615</v>
      </c>
      <c r="E34" s="1"/>
      <c r="F34" s="1"/>
      <c r="G34" s="1"/>
    </row>
    <row r="35" spans="1:7" x14ac:dyDescent="0.3">
      <c r="A35" s="1"/>
      <c r="B35" s="1">
        <v>3026</v>
      </c>
      <c r="C35" s="3">
        <v>45976</v>
      </c>
      <c r="D35" s="5">
        <v>8692</v>
      </c>
      <c r="E35" s="1"/>
      <c r="F35" s="1"/>
      <c r="G35" s="1"/>
    </row>
    <row r="36" spans="1:7" x14ac:dyDescent="0.3">
      <c r="A36" s="1"/>
      <c r="B36" s="1"/>
      <c r="C36" s="3"/>
      <c r="D36" s="5"/>
      <c r="E36" s="1"/>
      <c r="F36" s="1"/>
      <c r="G36" s="1"/>
    </row>
    <row r="37" spans="1:7" x14ac:dyDescent="0.3">
      <c r="A37" s="1"/>
      <c r="B37" s="1"/>
      <c r="C37" s="8" t="s">
        <v>10</v>
      </c>
      <c r="D37" s="9">
        <f>SUM(D8:D36)</f>
        <v>595831</v>
      </c>
      <c r="E37" s="1"/>
      <c r="F37" s="1"/>
      <c r="G37" s="1"/>
    </row>
    <row r="38" spans="1:7" x14ac:dyDescent="0.3">
      <c r="A38" s="1"/>
      <c r="B38" s="1"/>
      <c r="C38" s="3"/>
      <c r="D38" s="5"/>
      <c r="E38" s="1"/>
      <c r="F38" s="1"/>
      <c r="G38" s="1"/>
    </row>
    <row r="39" spans="1:7" x14ac:dyDescent="0.3">
      <c r="A39" s="1"/>
      <c r="B39" s="1"/>
      <c r="C39" s="3"/>
      <c r="D39" s="5"/>
      <c r="E39" s="1"/>
      <c r="F39" s="1"/>
      <c r="G39" s="1"/>
    </row>
    <row r="40" spans="1:7" x14ac:dyDescent="0.3">
      <c r="A40" s="1"/>
      <c r="B40" s="1"/>
      <c r="C40" s="3"/>
      <c r="D40" s="5"/>
      <c r="E40" s="1"/>
      <c r="F40" s="1"/>
      <c r="G40" s="1"/>
    </row>
    <row r="41" spans="1:7" x14ac:dyDescent="0.3">
      <c r="A41" s="1"/>
      <c r="B41" s="1"/>
      <c r="C41" s="3"/>
      <c r="D41" s="5"/>
      <c r="E41" s="1"/>
      <c r="F41" s="1"/>
      <c r="G41" s="1"/>
    </row>
    <row r="42" spans="1:7" x14ac:dyDescent="0.3">
      <c r="A42" s="1"/>
      <c r="B42" s="1"/>
      <c r="C42" s="3"/>
      <c r="D42" s="5"/>
      <c r="E42" s="1"/>
      <c r="F42" s="1"/>
      <c r="G42" s="1"/>
    </row>
    <row r="43" spans="1:7" x14ac:dyDescent="0.3">
      <c r="A43" s="1"/>
      <c r="B43" s="1"/>
      <c r="C43" s="3"/>
      <c r="D43" s="5"/>
      <c r="E43" s="1"/>
      <c r="F43" s="1"/>
      <c r="G43" s="1"/>
    </row>
    <row r="44" spans="1:7" x14ac:dyDescent="0.3">
      <c r="A44" s="1"/>
      <c r="B44" s="1"/>
      <c r="C44" s="3"/>
      <c r="D44" s="5"/>
      <c r="E44" s="1"/>
      <c r="F44" s="1"/>
      <c r="G44" s="1"/>
    </row>
    <row r="45" spans="1:7" x14ac:dyDescent="0.3">
      <c r="A45" s="1"/>
      <c r="B45" s="1"/>
      <c r="C45" s="3"/>
      <c r="D45" s="5"/>
      <c r="E45" s="1"/>
      <c r="F45" s="1"/>
      <c r="G45" s="1"/>
    </row>
  </sheetData>
  <sortState xmlns:xlrd2="http://schemas.microsoft.com/office/spreadsheetml/2017/richdata2" ref="B8:D35">
    <sortCondition ref="C8:C35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FD69-C5E5-4C41-9359-505359E23E34}">
  <dimension ref="A1:G46"/>
  <sheetViews>
    <sheetView topLeftCell="A25" workbookViewId="0">
      <selection activeCell="D8" sqref="D8"/>
    </sheetView>
  </sheetViews>
  <sheetFormatPr defaultRowHeight="14.4" x14ac:dyDescent="0.3"/>
  <cols>
    <col min="1" max="1" width="17.5546875" customWidth="1"/>
    <col min="2" max="2" width="13.77734375" customWidth="1"/>
    <col min="3" max="3" width="13.33203125" customWidth="1"/>
    <col min="4" max="4" width="17.21875" customWidth="1"/>
  </cols>
  <sheetData>
    <row r="1" spans="1:7" x14ac:dyDescent="0.3">
      <c r="A1" s="23" t="s">
        <v>0</v>
      </c>
      <c r="B1" s="24"/>
      <c r="C1" s="24"/>
      <c r="D1" s="24"/>
      <c r="E1" s="25"/>
      <c r="F1" s="2"/>
      <c r="G1" s="2"/>
    </row>
    <row r="2" spans="1:7" x14ac:dyDescent="0.3">
      <c r="A2" s="23" t="s">
        <v>1</v>
      </c>
      <c r="B2" s="24"/>
      <c r="C2" s="24"/>
      <c r="D2" s="24"/>
      <c r="E2" s="25"/>
      <c r="F2" s="2"/>
      <c r="G2" s="2"/>
    </row>
    <row r="3" spans="1:7" x14ac:dyDescent="0.3">
      <c r="A3" s="1" t="s">
        <v>2</v>
      </c>
      <c r="B3" s="3">
        <v>45236</v>
      </c>
      <c r="C3" s="1"/>
      <c r="D3" s="1"/>
      <c r="E3" s="1"/>
      <c r="F3" s="1"/>
      <c r="G3" s="1"/>
    </row>
    <row r="4" spans="1:7" x14ac:dyDescent="0.3">
      <c r="A4" s="1" t="s">
        <v>3</v>
      </c>
      <c r="B4" s="1" t="s">
        <v>13</v>
      </c>
      <c r="C4" s="1"/>
      <c r="D4" s="1"/>
      <c r="E4" s="1"/>
      <c r="F4" s="1"/>
      <c r="G4" s="1"/>
    </row>
    <row r="5" spans="1:7" x14ac:dyDescent="0.3">
      <c r="A5" s="1" t="s">
        <v>4</v>
      </c>
      <c r="B5" s="4"/>
      <c r="C5" s="1"/>
      <c r="D5" s="1"/>
      <c r="E5" s="1"/>
      <c r="F5" s="1"/>
      <c r="G5" s="1"/>
    </row>
    <row r="6" spans="1:7" x14ac:dyDescent="0.3">
      <c r="A6" s="1" t="s">
        <v>5</v>
      </c>
      <c r="B6" s="5">
        <v>1043238</v>
      </c>
      <c r="C6" s="1"/>
      <c r="D6" s="1"/>
      <c r="E6" s="1"/>
      <c r="F6" s="1"/>
      <c r="G6" s="1"/>
    </row>
    <row r="7" spans="1:7" x14ac:dyDescent="0.3">
      <c r="A7" s="2" t="s">
        <v>8</v>
      </c>
      <c r="B7" s="2" t="s">
        <v>6</v>
      </c>
      <c r="C7" s="2" t="s">
        <v>9</v>
      </c>
      <c r="D7" s="2" t="s">
        <v>7</v>
      </c>
      <c r="E7" s="1"/>
      <c r="F7" s="1"/>
      <c r="G7" s="1"/>
    </row>
    <row r="8" spans="1:7" x14ac:dyDescent="0.3">
      <c r="A8" s="1"/>
      <c r="B8" s="1">
        <v>1035</v>
      </c>
      <c r="C8" s="3">
        <v>44989</v>
      </c>
      <c r="D8" s="14">
        <v>10825</v>
      </c>
      <c r="E8" s="1"/>
      <c r="F8" s="1"/>
      <c r="G8" s="1"/>
    </row>
    <row r="9" spans="1:7" x14ac:dyDescent="0.3">
      <c r="A9" s="1"/>
      <c r="B9" s="1">
        <v>668</v>
      </c>
      <c r="C9" s="3">
        <v>45098</v>
      </c>
      <c r="D9" s="14">
        <v>7280</v>
      </c>
      <c r="E9" s="1"/>
      <c r="F9" s="1"/>
      <c r="G9" s="1"/>
    </row>
    <row r="10" spans="1:7" x14ac:dyDescent="0.3">
      <c r="A10" s="1"/>
      <c r="B10" s="1">
        <v>676</v>
      </c>
      <c r="C10" s="3">
        <v>45106</v>
      </c>
      <c r="D10" s="14">
        <v>7280</v>
      </c>
      <c r="E10" s="1"/>
      <c r="F10" s="1"/>
      <c r="G10" s="1"/>
    </row>
    <row r="11" spans="1:7" x14ac:dyDescent="0.3">
      <c r="A11" s="1"/>
      <c r="B11" s="1">
        <v>697</v>
      </c>
      <c r="C11" s="3">
        <v>45117</v>
      </c>
      <c r="D11" s="14">
        <v>71840</v>
      </c>
      <c r="E11" s="1"/>
      <c r="F11" s="1"/>
      <c r="G11" s="1"/>
    </row>
    <row r="12" spans="1:7" x14ac:dyDescent="0.3">
      <c r="A12" s="1"/>
      <c r="B12" s="1">
        <v>1028</v>
      </c>
      <c r="C12" s="3">
        <v>45139</v>
      </c>
      <c r="D12" s="14">
        <v>71840</v>
      </c>
      <c r="E12" s="1"/>
      <c r="F12" s="1"/>
      <c r="G12" s="1"/>
    </row>
    <row r="13" spans="1:7" x14ac:dyDescent="0.3">
      <c r="A13" s="1"/>
      <c r="B13" s="1">
        <v>1032</v>
      </c>
      <c r="C13" s="3">
        <v>45139</v>
      </c>
      <c r="D13" s="5">
        <v>8980</v>
      </c>
      <c r="E13" s="1"/>
      <c r="F13" s="1"/>
      <c r="G13" s="1"/>
    </row>
    <row r="14" spans="1:7" x14ac:dyDescent="0.3">
      <c r="A14" s="1"/>
      <c r="B14" s="1">
        <v>1033</v>
      </c>
      <c r="C14" s="3">
        <v>45139</v>
      </c>
      <c r="D14" s="5">
        <v>8980</v>
      </c>
      <c r="E14" s="1"/>
      <c r="F14" s="1"/>
      <c r="G14" s="1"/>
    </row>
    <row r="15" spans="1:7" x14ac:dyDescent="0.3">
      <c r="A15" s="1"/>
      <c r="B15" s="1">
        <v>1030</v>
      </c>
      <c r="C15" s="3">
        <v>45139</v>
      </c>
      <c r="D15" s="5">
        <v>8980</v>
      </c>
      <c r="E15" s="1"/>
      <c r="F15" s="1"/>
      <c r="G15" s="1"/>
    </row>
    <row r="16" spans="1:7" x14ac:dyDescent="0.3">
      <c r="A16" s="1"/>
      <c r="B16" s="1">
        <v>1031</v>
      </c>
      <c r="C16" s="3">
        <v>45139</v>
      </c>
      <c r="D16" s="5">
        <v>8980</v>
      </c>
      <c r="E16" s="1"/>
      <c r="F16" s="1"/>
      <c r="G16" s="1"/>
    </row>
    <row r="17" spans="1:7" x14ac:dyDescent="0.3">
      <c r="A17" s="1"/>
      <c r="B17" s="1">
        <v>1034</v>
      </c>
      <c r="C17" s="3">
        <v>45141</v>
      </c>
      <c r="D17" s="14">
        <v>26940</v>
      </c>
      <c r="E17" s="1"/>
      <c r="F17" s="1"/>
      <c r="G17" s="1"/>
    </row>
    <row r="18" spans="1:7" x14ac:dyDescent="0.3">
      <c r="A18" s="1"/>
      <c r="B18" s="1">
        <v>1036</v>
      </c>
      <c r="C18" s="3">
        <v>45142</v>
      </c>
      <c r="D18" s="14">
        <v>71840</v>
      </c>
      <c r="E18" s="1"/>
      <c r="F18" s="1"/>
      <c r="G18" s="1"/>
    </row>
    <row r="19" spans="1:7" x14ac:dyDescent="0.3">
      <c r="A19" s="1"/>
      <c r="B19" s="1">
        <v>1041</v>
      </c>
      <c r="C19" s="3">
        <v>45144</v>
      </c>
      <c r="D19" s="14">
        <v>71840</v>
      </c>
      <c r="E19" s="1"/>
      <c r="F19" s="1"/>
      <c r="G19" s="1"/>
    </row>
    <row r="20" spans="1:7" x14ac:dyDescent="0.3">
      <c r="A20" s="1"/>
      <c r="B20" s="1">
        <v>1044</v>
      </c>
      <c r="C20" s="3">
        <v>45145</v>
      </c>
      <c r="D20" s="14">
        <v>9730</v>
      </c>
      <c r="E20" s="1"/>
      <c r="F20" s="1"/>
      <c r="G20" s="1"/>
    </row>
    <row r="21" spans="1:7" x14ac:dyDescent="0.3">
      <c r="A21" s="1"/>
      <c r="B21" s="1">
        <v>1045</v>
      </c>
      <c r="C21" s="3">
        <v>45145</v>
      </c>
      <c r="D21" s="14">
        <v>28736</v>
      </c>
      <c r="E21" s="1"/>
      <c r="F21" s="1"/>
      <c r="G21" s="1"/>
    </row>
    <row r="22" spans="1:7" x14ac:dyDescent="0.3">
      <c r="A22" s="1"/>
      <c r="B22" s="1">
        <v>1046</v>
      </c>
      <c r="C22" s="3">
        <v>45146</v>
      </c>
      <c r="D22" s="14">
        <v>7784</v>
      </c>
      <c r="E22" s="1"/>
      <c r="F22" s="1"/>
      <c r="G22" s="1"/>
    </row>
    <row r="23" spans="1:7" x14ac:dyDescent="0.3">
      <c r="A23" s="1"/>
      <c r="B23" s="1">
        <v>1048</v>
      </c>
      <c r="C23" s="3">
        <v>45147</v>
      </c>
      <c r="D23" s="14">
        <v>71840</v>
      </c>
      <c r="E23" s="1"/>
      <c r="F23" s="1"/>
      <c r="G23" s="1"/>
    </row>
    <row r="24" spans="1:7" x14ac:dyDescent="0.3">
      <c r="A24" s="1"/>
      <c r="B24" s="1">
        <v>1049</v>
      </c>
      <c r="C24" s="3">
        <v>45149</v>
      </c>
      <c r="D24" s="14">
        <v>24110</v>
      </c>
      <c r="E24" s="1"/>
      <c r="F24" s="1"/>
      <c r="G24" s="1"/>
    </row>
    <row r="25" spans="1:7" x14ac:dyDescent="0.3">
      <c r="A25" s="1"/>
      <c r="B25" s="1">
        <v>1202</v>
      </c>
      <c r="C25" s="3">
        <v>45150</v>
      </c>
      <c r="D25" s="14">
        <v>10487</v>
      </c>
      <c r="E25" s="1"/>
      <c r="F25" s="1"/>
      <c r="G25" s="1"/>
    </row>
    <row r="26" spans="1:7" x14ac:dyDescent="0.3">
      <c r="A26" s="1"/>
      <c r="B26" s="1">
        <v>1203</v>
      </c>
      <c r="C26" s="3">
        <v>45152</v>
      </c>
      <c r="D26" s="14">
        <v>7784</v>
      </c>
      <c r="E26" s="1"/>
      <c r="F26" s="1"/>
      <c r="G26" s="1"/>
    </row>
    <row r="27" spans="1:7" x14ac:dyDescent="0.3">
      <c r="A27" s="1"/>
      <c r="B27" s="1">
        <v>1204</v>
      </c>
      <c r="C27" s="3">
        <v>45152</v>
      </c>
      <c r="D27" s="14">
        <v>71840</v>
      </c>
      <c r="E27" s="1"/>
      <c r="F27" s="1"/>
      <c r="G27" s="1"/>
    </row>
    <row r="28" spans="1:7" x14ac:dyDescent="0.3">
      <c r="A28" s="1"/>
      <c r="B28" s="1">
        <v>1207</v>
      </c>
      <c r="C28" s="3">
        <v>45155</v>
      </c>
      <c r="D28" s="14">
        <v>6113</v>
      </c>
      <c r="E28" s="1"/>
      <c r="F28" s="1"/>
      <c r="G28" s="1"/>
    </row>
    <row r="29" spans="1:7" x14ac:dyDescent="0.3">
      <c r="A29" s="1"/>
      <c r="B29" s="1">
        <v>1208</v>
      </c>
      <c r="C29" s="3">
        <v>45156</v>
      </c>
      <c r="D29" s="5">
        <v>71840</v>
      </c>
      <c r="E29" s="1"/>
      <c r="F29" s="1"/>
      <c r="G29" s="1"/>
    </row>
    <row r="30" spans="1:7" x14ac:dyDescent="0.3">
      <c r="A30" s="1"/>
      <c r="B30" s="1">
        <v>1212</v>
      </c>
      <c r="C30" s="3">
        <v>45158</v>
      </c>
      <c r="D30" s="14">
        <v>10776</v>
      </c>
      <c r="E30" s="1"/>
      <c r="F30" s="1"/>
      <c r="G30" s="1"/>
    </row>
    <row r="31" spans="1:7" x14ac:dyDescent="0.3">
      <c r="A31" s="1"/>
      <c r="B31" s="1">
        <v>1215</v>
      </c>
      <c r="C31" s="3">
        <v>45159</v>
      </c>
      <c r="D31" s="14">
        <v>9605</v>
      </c>
      <c r="E31" s="1"/>
      <c r="F31" s="1"/>
      <c r="G31" s="1"/>
    </row>
    <row r="32" spans="1:7" x14ac:dyDescent="0.3">
      <c r="A32" s="11"/>
      <c r="B32" s="11">
        <v>1216</v>
      </c>
      <c r="C32" s="12">
        <v>45161</v>
      </c>
      <c r="D32" s="17">
        <v>7784</v>
      </c>
      <c r="E32" s="11"/>
      <c r="F32" s="11"/>
      <c r="G32" s="11"/>
    </row>
    <row r="33" spans="1:7" x14ac:dyDescent="0.3">
      <c r="A33" s="1"/>
      <c r="B33" s="1">
        <v>1217</v>
      </c>
      <c r="C33" s="3">
        <v>45162</v>
      </c>
      <c r="D33" s="14">
        <v>26670</v>
      </c>
      <c r="E33" s="1"/>
      <c r="F33" s="1"/>
      <c r="G33" s="1"/>
    </row>
    <row r="34" spans="1:7" x14ac:dyDescent="0.3">
      <c r="A34" s="1"/>
      <c r="B34" s="1">
        <v>1218</v>
      </c>
      <c r="C34" s="3">
        <v>45162</v>
      </c>
      <c r="D34" s="14">
        <v>9730</v>
      </c>
      <c r="E34" s="1"/>
      <c r="F34" s="1"/>
      <c r="G34" s="1"/>
    </row>
    <row r="35" spans="1:7" x14ac:dyDescent="0.3">
      <c r="A35" s="1"/>
      <c r="B35" s="1">
        <v>1235</v>
      </c>
      <c r="C35" s="3">
        <v>45164</v>
      </c>
      <c r="D35" s="14">
        <v>9730</v>
      </c>
      <c r="E35" s="1"/>
      <c r="F35" s="1"/>
      <c r="G35" s="1"/>
    </row>
    <row r="36" spans="1:7" x14ac:dyDescent="0.3">
      <c r="A36" s="1"/>
      <c r="B36" s="1">
        <v>1230</v>
      </c>
      <c r="C36" s="3">
        <v>45164</v>
      </c>
      <c r="D36" s="14">
        <v>10741</v>
      </c>
      <c r="E36" s="1"/>
      <c r="F36" s="1"/>
      <c r="G36" s="1"/>
    </row>
    <row r="37" spans="1:7" x14ac:dyDescent="0.3">
      <c r="A37" s="1"/>
      <c r="B37" s="1">
        <v>1226</v>
      </c>
      <c r="C37" s="3">
        <v>45164</v>
      </c>
      <c r="D37" s="14">
        <v>9710</v>
      </c>
      <c r="E37" s="1"/>
      <c r="F37" s="1"/>
      <c r="G37" s="1"/>
    </row>
    <row r="38" spans="1:7" x14ac:dyDescent="0.3">
      <c r="A38" s="1"/>
      <c r="B38" s="1">
        <v>1042</v>
      </c>
      <c r="C38" s="3">
        <v>45164</v>
      </c>
      <c r="D38" s="14">
        <v>8252</v>
      </c>
      <c r="E38" s="1"/>
      <c r="F38" s="1"/>
      <c r="G38" s="1"/>
    </row>
    <row r="39" spans="1:7" x14ac:dyDescent="0.3">
      <c r="A39" s="1"/>
      <c r="B39" s="1">
        <v>1037</v>
      </c>
      <c r="C39" s="3">
        <v>45164</v>
      </c>
      <c r="D39" s="14">
        <v>10115</v>
      </c>
      <c r="E39" s="1"/>
      <c r="F39" s="1"/>
      <c r="G39" s="1"/>
    </row>
    <row r="40" spans="1:7" x14ac:dyDescent="0.3">
      <c r="A40" s="1"/>
      <c r="B40" s="1">
        <v>1220</v>
      </c>
      <c r="C40" s="3">
        <v>45164</v>
      </c>
      <c r="D40" s="14">
        <v>28736</v>
      </c>
      <c r="E40" s="1"/>
      <c r="F40" s="1"/>
      <c r="G40" s="1"/>
    </row>
    <row r="41" spans="1:7" x14ac:dyDescent="0.3">
      <c r="A41" s="1"/>
      <c r="B41" s="1">
        <v>1228</v>
      </c>
      <c r="C41" s="3">
        <v>45164</v>
      </c>
      <c r="D41" s="14">
        <v>71840</v>
      </c>
      <c r="E41" s="1"/>
      <c r="F41" s="1"/>
      <c r="G41" s="1"/>
    </row>
    <row r="42" spans="1:7" x14ac:dyDescent="0.3">
      <c r="A42" s="1"/>
      <c r="B42" s="1">
        <v>1223</v>
      </c>
      <c r="C42" s="3">
        <v>45164</v>
      </c>
      <c r="D42" s="14">
        <v>71840</v>
      </c>
      <c r="E42" s="1"/>
      <c r="F42" s="1"/>
      <c r="G42" s="1"/>
    </row>
    <row r="43" spans="1:7" x14ac:dyDescent="0.3">
      <c r="A43" s="1"/>
      <c r="B43" s="1">
        <v>1221</v>
      </c>
      <c r="C43" s="3">
        <v>45164</v>
      </c>
      <c r="D43" s="5">
        <v>71840</v>
      </c>
      <c r="E43" s="1"/>
      <c r="F43" s="1"/>
      <c r="G43" s="1"/>
    </row>
    <row r="44" spans="1:7" x14ac:dyDescent="0.3">
      <c r="A44" s="1"/>
      <c r="B44" s="1"/>
      <c r="C44" s="3"/>
      <c r="D44" s="5"/>
      <c r="E44" s="1"/>
      <c r="F44" s="1"/>
      <c r="G44" s="1"/>
    </row>
    <row r="45" spans="1:7" x14ac:dyDescent="0.3">
      <c r="A45" s="1"/>
      <c r="B45" s="1"/>
      <c r="C45" s="8" t="s">
        <v>10</v>
      </c>
      <c r="D45" s="9">
        <f>SUM(D8:D44)</f>
        <v>1043238</v>
      </c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</sheetData>
  <sortState xmlns:xlrd2="http://schemas.microsoft.com/office/spreadsheetml/2017/richdata2" ref="B8:D43">
    <sortCondition ref="C8:C43"/>
  </sortState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302768</vt:lpstr>
      <vt:lpstr>412755</vt:lpstr>
      <vt:lpstr>302769</vt:lpstr>
      <vt:lpstr>412767</vt:lpstr>
      <vt:lpstr>Q0208736</vt:lpstr>
      <vt:lpstr>302776</vt:lpstr>
      <vt:lpstr>302795</vt:lpstr>
      <vt:lpstr>Q0210646</vt:lpstr>
      <vt:lpstr>302781</vt:lpstr>
      <vt:lpstr>ACCOUNTS</vt:lpstr>
      <vt:lpstr>Q0214178</vt:lpstr>
      <vt:lpstr>Q0214176</vt:lpstr>
      <vt:lpstr>SUPPLIES</vt:lpstr>
      <vt:lpstr>Q0222561</vt:lpstr>
      <vt:lpstr>Q0213709</vt:lpstr>
      <vt:lpstr>ACCOUNTS!Print_Area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2024-05-21T11:58:46Z</cp:lastPrinted>
  <dcterms:created xsi:type="dcterms:W3CDTF">2024-04-16T12:17:31Z</dcterms:created>
  <dcterms:modified xsi:type="dcterms:W3CDTF">2024-06-28T10:01:46Z</dcterms:modified>
</cp:coreProperties>
</file>