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FC62BAA-F816-4516-BE1C-34D6311B2839}" xr6:coauthVersionLast="47" xr6:coauthVersionMax="47" xr10:uidLastSave="{00000000-0000-0000-0000-000000000000}"/>
  <bookViews>
    <workbookView xWindow="-108" yWindow="-108" windowWidth="23256" windowHeight="12456" xr2:uid="{60FFBDEA-1C1B-4D5D-9E3E-9AA36C9CB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1" l="1"/>
  <c r="E18" i="1"/>
  <c r="E12" i="1"/>
  <c r="E11" i="1"/>
  <c r="E198" i="1" l="1"/>
  <c r="E127" i="1"/>
  <c r="E135" i="1"/>
  <c r="E72" i="1"/>
  <c r="E90" i="1"/>
  <c r="E89" i="1"/>
  <c r="E88" i="1"/>
  <c r="E87" i="1"/>
  <c r="E71" i="1"/>
  <c r="E17" i="1"/>
  <c r="E34" i="1"/>
  <c r="E33" i="1"/>
  <c r="E86" i="1"/>
</calcChain>
</file>

<file path=xl/sharedStrings.xml><?xml version="1.0" encoding="utf-8"?>
<sst xmlns="http://schemas.openxmlformats.org/spreadsheetml/2006/main" count="104" uniqueCount="65">
  <si>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</si>
  <si>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</si>
  <si>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</si>
  <si>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</si>
  <si>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</si>
  <si>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</si>
  <si>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</si>
  <si>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</si>
  <si>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</si>
  <si>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</si>
  <si>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</si>
  <si>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</si>
  <si>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</si>
  <si>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</si>
  <si>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</si>
  <si>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</si>
  <si>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</si>
  <si>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</si>
  <si>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</si>
  <si>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</si>
  <si>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</si>
  <si>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</si>
  <si>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</si>
  <si>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Office consumables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</si>
  <si>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</si>
  <si>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</si>
  <si>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</si>
  <si>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</si>
  <si>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</si>
  <si>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</si>
  <si>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</si>
  <si>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</si>
  <si>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</si>
  <si>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</si>
  <si>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</si>
  <si>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</si>
  <si>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</si>
  <si>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</si>
  <si>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</si>
  <si>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</si>
  <si>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</si>
  <si>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</si>
  <si>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</si>
  <si>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</si>
  <si>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</si>
  <si>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PROCUREMENT PLAN TEMPLATE</t>
  </si>
  <si>
    <t>Computer</t>
  </si>
  <si>
    <t>Laptop</t>
  </si>
  <si>
    <t>Desks</t>
  </si>
  <si>
    <t>ACCOUNTS</t>
  </si>
  <si>
    <t>RFQ</t>
  </si>
  <si>
    <t>GOK</t>
  </si>
  <si>
    <t>Printer</t>
  </si>
  <si>
    <t>Lockable safe</t>
  </si>
  <si>
    <t>Visitors seats</t>
  </si>
  <si>
    <t>Highback seat</t>
  </si>
  <si>
    <t>Cabinet</t>
  </si>
  <si>
    <t>Curtains</t>
  </si>
  <si>
    <t>Office repair</t>
  </si>
  <si>
    <t>Printing of payment vouchers</t>
  </si>
  <si>
    <t>Cash Machine with VAT</t>
  </si>
  <si>
    <t>HP Cartridge 17A</t>
  </si>
  <si>
    <t>HP Laser jet printer cartridge 13A</t>
  </si>
  <si>
    <t>UPS</t>
  </si>
  <si>
    <t>Extension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</si>
</sst>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6" xfId="0" applyFont="1" applyBorder="1" applyAlignment="1">
      <alignment horizontal="left" vertical="top"/>
    </xf>
    <xf numFmtId="0" fontId="0" fillId="0" borderId="6" xfId="0" applyBorder="1"/>
    <xf numFmtId="43" fontId="0" fillId="0" borderId="6" xfId="1" applyFont="1" applyBorder="1"/>
    <xf numFmtId="0" fontId="3" fillId="0" borderId="6" xfId="0" applyFont="1" applyBorder="1"/>
    <xf numFmtId="0" fontId="4" fillId="0" borderId="6" xfId="0" applyFont="1" applyBorder="1"/>
    <xf numFmtId="0" fontId="2" fillId="0" borderId="0" xfId="0" applyFont="1"/>
    <xf numFmtId="43" fontId="2" fillId="0" borderId="6" xfId="1" applyFont="1" applyBorder="1"/>
    <xf numFmtId="43" fontId="5" fillId="0" borderId="6" xfId="1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225F-CE34-434D-ACAA-33FA5A5C6769}">
  <dimension ref="A2:P198"/>
  <sheetViews>
    <sheetView tabSelected="1" topLeftCell="A61" zoomScale="92" zoomScaleNormal="92" workbookViewId="0">
      <selection activeCell="I74" sqref="I74"/>
    </sheetView>
  </sheetViews>
  <sheetFormatPr defaultRowHeight="14.4" x14ac:dyDescent="0.3"/>
  <cols>
    <col min="2" max="2" width="28.77734375" customWidth="1"/>
    <col min="4" max="4" width="12.6640625" customWidth="1"/>
    <col min="5" max="5" width="13.77734375" customWidth="1"/>
    <col min="6" max="6" width="11.88671875" customWidth="1"/>
    <col min="7" max="7" width="11.6640625" customWidth="1"/>
    <col min="8" max="8" width="10" customWidth="1"/>
    <col min="13" max="13" width="13.33203125" customWidth="1"/>
    <col min="14" max="14" width="11.88671875" customWidth="1"/>
    <col min="15" max="15" width="12.109375" customWidth="1"/>
    <col min="16" max="16" width="11.88671875" customWidth="1"/>
  </cols>
  <sheetData>
    <row r="2" spans="1:16" x14ac:dyDescent="0.3">
      <c r="A2" s="13" t="s">
        <v>45</v>
      </c>
      <c r="B2" s="13"/>
      <c r="C2" s="13"/>
      <c r="D2" s="13"/>
    </row>
    <row r="3" spans="1:16" ht="57.6" x14ac:dyDescent="0.3">
      <c r="A3" s="1"/>
      <c r="B3" s="2" t="s">
        <v>0</v>
      </c>
      <c r="C3" s="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16" t="s">
        <v>11</v>
      </c>
      <c r="N3" s="17"/>
      <c r="O3" s="17"/>
      <c r="P3" s="18"/>
    </row>
    <row r="4" spans="1:16" x14ac:dyDescent="0.3">
      <c r="A4" s="1"/>
      <c r="B4" s="2"/>
      <c r="C4" s="3"/>
      <c r="D4" s="2"/>
      <c r="E4" s="2"/>
      <c r="F4" s="2"/>
      <c r="G4" s="2"/>
      <c r="H4" s="2"/>
      <c r="I4" s="3"/>
      <c r="J4" s="3"/>
      <c r="K4" s="3"/>
      <c r="L4" s="3"/>
      <c r="M4" s="4" t="s">
        <v>12</v>
      </c>
      <c r="N4" s="5" t="s">
        <v>13</v>
      </c>
      <c r="O4" s="5" t="s">
        <v>14</v>
      </c>
      <c r="P4" s="6" t="s">
        <v>15</v>
      </c>
    </row>
    <row r="5" spans="1:16" x14ac:dyDescent="0.3">
      <c r="A5" s="7" t="s">
        <v>16</v>
      </c>
      <c r="B5" s="8"/>
      <c r="C5" s="9"/>
      <c r="D5" s="10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3">
      <c r="A6" s="9">
        <v>1</v>
      </c>
      <c r="B6" s="9"/>
      <c r="C6" s="9"/>
      <c r="D6" s="10"/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3">
      <c r="A7" s="9">
        <v>2</v>
      </c>
      <c r="B7" s="9"/>
      <c r="C7" s="9"/>
      <c r="D7" s="10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3">
      <c r="A8" s="9">
        <v>3</v>
      </c>
      <c r="B8" s="9"/>
      <c r="C8" s="9"/>
      <c r="D8" s="10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A9" s="9">
        <v>4</v>
      </c>
      <c r="B9" s="9"/>
      <c r="C9" s="9"/>
      <c r="D9" s="10"/>
      <c r="E9" s="10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3">
      <c r="A10" s="7" t="s">
        <v>17</v>
      </c>
      <c r="B10" s="7"/>
      <c r="C10" s="9"/>
      <c r="D10" s="10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3">
      <c r="A11" s="9">
        <v>1</v>
      </c>
      <c r="B11" s="9" t="s">
        <v>61</v>
      </c>
      <c r="C11" s="9">
        <v>8</v>
      </c>
      <c r="D11" s="10">
        <v>20000</v>
      </c>
      <c r="E11" s="10">
        <f>C11*D11</f>
        <v>160000</v>
      </c>
      <c r="F11" s="9"/>
      <c r="G11" s="9"/>
      <c r="H11" s="9"/>
      <c r="I11" s="9"/>
      <c r="J11" s="9"/>
      <c r="K11" s="9"/>
      <c r="L11" s="9"/>
      <c r="M11" s="10">
        <v>40000</v>
      </c>
      <c r="N11" s="10">
        <v>40000</v>
      </c>
      <c r="O11" s="10">
        <v>40000</v>
      </c>
      <c r="P11" s="10">
        <v>40000</v>
      </c>
    </row>
    <row r="12" spans="1:16" x14ac:dyDescent="0.3">
      <c r="A12" s="9">
        <v>2</v>
      </c>
      <c r="B12" s="9" t="s">
        <v>62</v>
      </c>
      <c r="C12" s="9">
        <v>8</v>
      </c>
      <c r="D12" s="10">
        <v>20000</v>
      </c>
      <c r="E12" s="10">
        <f>C12*D12</f>
        <v>160000</v>
      </c>
      <c r="F12" s="9"/>
      <c r="G12" s="9"/>
      <c r="H12" s="9"/>
      <c r="I12" s="9"/>
      <c r="J12" s="9"/>
      <c r="K12" s="9"/>
      <c r="L12" s="9"/>
      <c r="M12" s="10">
        <v>40000</v>
      </c>
      <c r="N12" s="10">
        <v>40000</v>
      </c>
      <c r="O12" s="10">
        <v>40000</v>
      </c>
      <c r="P12" s="10">
        <v>40000</v>
      </c>
    </row>
    <row r="13" spans="1:16" x14ac:dyDescent="0.3">
      <c r="A13" s="9">
        <v>3</v>
      </c>
      <c r="B13" s="9"/>
      <c r="C13" s="9"/>
      <c r="D13" s="10"/>
      <c r="E13" s="1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3">
      <c r="A14" s="9">
        <v>4</v>
      </c>
      <c r="B14" s="9"/>
      <c r="C14" s="9"/>
      <c r="D14" s="10"/>
      <c r="E14" s="1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3">
      <c r="A15" s="9"/>
      <c r="B15" s="9"/>
      <c r="C15" s="9"/>
      <c r="D15" s="10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3">
      <c r="A16" s="7" t="s">
        <v>18</v>
      </c>
      <c r="B16" s="7"/>
      <c r="C16" s="9"/>
      <c r="D16" s="10"/>
      <c r="E16" s="1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3">
      <c r="A17" s="9"/>
      <c r="B17" s="9" t="s">
        <v>52</v>
      </c>
      <c r="C17" s="9">
        <v>2</v>
      </c>
      <c r="D17" s="10">
        <v>70000</v>
      </c>
      <c r="E17" s="10">
        <f>C17*D17</f>
        <v>140000</v>
      </c>
      <c r="F17" s="9" t="s">
        <v>49</v>
      </c>
      <c r="G17" s="9" t="s">
        <v>50</v>
      </c>
      <c r="H17" s="9" t="s">
        <v>51</v>
      </c>
      <c r="I17" s="9"/>
      <c r="J17" s="9"/>
      <c r="K17" s="9"/>
      <c r="L17" s="9"/>
      <c r="M17" s="10">
        <v>70000</v>
      </c>
      <c r="N17" s="10">
        <v>70000</v>
      </c>
      <c r="O17" s="11"/>
      <c r="P17" s="9"/>
    </row>
    <row r="18" spans="1:16" x14ac:dyDescent="0.3">
      <c r="A18" s="9"/>
      <c r="B18" s="9" t="s">
        <v>63</v>
      </c>
      <c r="C18" s="9">
        <v>3</v>
      </c>
      <c r="D18" s="10">
        <v>30000</v>
      </c>
      <c r="E18" s="10">
        <f>C18*D18</f>
        <v>90000</v>
      </c>
      <c r="F18" s="9" t="s">
        <v>49</v>
      </c>
      <c r="G18" s="9" t="s">
        <v>50</v>
      </c>
      <c r="H18" s="9" t="s">
        <v>51</v>
      </c>
      <c r="I18" s="9"/>
      <c r="J18" s="9"/>
      <c r="K18" s="9"/>
      <c r="L18" s="9"/>
      <c r="M18" s="10">
        <v>30000</v>
      </c>
      <c r="N18" s="10">
        <v>30000</v>
      </c>
      <c r="O18" s="10">
        <v>30000</v>
      </c>
      <c r="P18" s="9"/>
    </row>
    <row r="19" spans="1:16" x14ac:dyDescent="0.3">
      <c r="A19" s="9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9"/>
      <c r="O19" s="11"/>
      <c r="P19" s="9"/>
    </row>
    <row r="20" spans="1:16" x14ac:dyDescent="0.3">
      <c r="A20" s="9"/>
      <c r="B20" s="9"/>
      <c r="C20" s="9"/>
      <c r="D20" s="10"/>
      <c r="E20" s="10"/>
      <c r="F20" s="9"/>
      <c r="G20" s="9"/>
      <c r="H20" s="9"/>
      <c r="I20" s="9"/>
      <c r="J20" s="9"/>
      <c r="K20" s="9"/>
      <c r="L20" s="9"/>
      <c r="M20" s="9"/>
      <c r="N20" s="9"/>
      <c r="O20" s="11"/>
      <c r="P20" s="9"/>
    </row>
    <row r="21" spans="1:16" x14ac:dyDescent="0.3">
      <c r="A21" s="9"/>
      <c r="B21" s="9"/>
      <c r="C21" s="9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  <c r="O21" s="11"/>
      <c r="P21" s="9"/>
    </row>
    <row r="22" spans="1:16" x14ac:dyDescent="0.3">
      <c r="A22" s="9"/>
      <c r="B22" s="9"/>
      <c r="C22" s="9"/>
      <c r="D22" s="10"/>
      <c r="E22" s="10"/>
      <c r="F22" s="9"/>
      <c r="G22" s="9"/>
      <c r="H22" s="9"/>
      <c r="I22" s="9"/>
      <c r="J22" s="9"/>
      <c r="K22" s="9"/>
      <c r="L22" s="9"/>
      <c r="M22" s="9"/>
      <c r="N22" s="9"/>
      <c r="O22" s="11"/>
      <c r="P22" s="9"/>
    </row>
    <row r="23" spans="1:16" x14ac:dyDescent="0.3">
      <c r="A23" s="9"/>
      <c r="B23" s="9"/>
      <c r="C23" s="9"/>
      <c r="D23" s="10"/>
      <c r="E23" s="10"/>
      <c r="F23" s="9"/>
      <c r="G23" s="9"/>
      <c r="H23" s="9"/>
      <c r="I23" s="9"/>
      <c r="J23" s="9"/>
      <c r="K23" s="9"/>
      <c r="L23" s="9"/>
      <c r="M23" s="9"/>
      <c r="N23" s="9"/>
      <c r="O23" s="11"/>
      <c r="P23" s="9"/>
    </row>
    <row r="24" spans="1:16" x14ac:dyDescent="0.3">
      <c r="A24" s="9"/>
      <c r="B24" s="9"/>
      <c r="C24" s="9"/>
      <c r="D24" s="10"/>
      <c r="E24" s="1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">
      <c r="A25" s="9"/>
      <c r="B25" s="9"/>
      <c r="C25" s="9"/>
      <c r="D25" s="10"/>
      <c r="E25" s="1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3">
      <c r="A26" s="9"/>
      <c r="B26" s="9"/>
      <c r="C26" s="9"/>
      <c r="D26" s="10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3">
      <c r="A27" s="9"/>
      <c r="B27" s="9"/>
      <c r="C27" s="9"/>
      <c r="D27" s="10"/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3">
      <c r="A28" s="9"/>
      <c r="B28" s="9"/>
      <c r="C28" s="9"/>
      <c r="D28" s="10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3">
      <c r="A29" s="9"/>
      <c r="B29" s="9"/>
      <c r="C29" s="9"/>
      <c r="D29" s="10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C30" s="9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C31" s="9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7" t="s">
        <v>19</v>
      </c>
      <c r="B32" s="7"/>
      <c r="C32" s="9"/>
      <c r="D32" s="10"/>
      <c r="E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 t="s">
        <v>46</v>
      </c>
      <c r="C33" s="9">
        <v>3</v>
      </c>
      <c r="D33" s="10">
        <v>200000</v>
      </c>
      <c r="E33" s="10">
        <f>C33*D33</f>
        <v>600000</v>
      </c>
      <c r="F33" s="9" t="s">
        <v>49</v>
      </c>
      <c r="G33" s="9" t="s">
        <v>50</v>
      </c>
      <c r="H33" s="9" t="s">
        <v>51</v>
      </c>
      <c r="I33" s="12"/>
      <c r="J33" s="12"/>
      <c r="K33" s="12"/>
      <c r="L33" s="9"/>
      <c r="M33" s="10">
        <v>200000</v>
      </c>
      <c r="N33" s="10">
        <v>200000</v>
      </c>
      <c r="O33" s="10">
        <v>200000</v>
      </c>
      <c r="P33" s="9"/>
    </row>
    <row r="34" spans="1:16" x14ac:dyDescent="0.3">
      <c r="A34" s="9"/>
      <c r="B34" s="9" t="s">
        <v>47</v>
      </c>
      <c r="C34" s="9">
        <v>2</v>
      </c>
      <c r="D34" s="10">
        <v>270000</v>
      </c>
      <c r="E34" s="10">
        <f>C34*D34</f>
        <v>540000</v>
      </c>
      <c r="F34" s="9" t="s">
        <v>49</v>
      </c>
      <c r="G34" s="9" t="s">
        <v>50</v>
      </c>
      <c r="H34" s="9" t="s">
        <v>51</v>
      </c>
      <c r="I34" s="9"/>
      <c r="J34" s="9"/>
      <c r="K34" s="9"/>
      <c r="L34" s="9"/>
      <c r="M34" s="10">
        <v>270000</v>
      </c>
      <c r="N34" s="10">
        <v>270000</v>
      </c>
      <c r="O34" s="11"/>
      <c r="P34" s="9"/>
    </row>
    <row r="35" spans="1:16" x14ac:dyDescent="0.3">
      <c r="A35" s="9"/>
      <c r="B35" s="9"/>
      <c r="C35" s="9"/>
      <c r="D35" s="10"/>
      <c r="E35" s="10"/>
      <c r="F35" s="9"/>
      <c r="G35" s="9"/>
      <c r="H35" s="9"/>
      <c r="I35" s="9"/>
      <c r="J35" s="9"/>
      <c r="K35" s="9"/>
      <c r="L35" s="9"/>
      <c r="M35" s="9"/>
      <c r="N35" s="9"/>
      <c r="O35" s="11"/>
      <c r="P35" s="9"/>
    </row>
    <row r="36" spans="1:16" x14ac:dyDescent="0.3">
      <c r="A36" s="9"/>
      <c r="B36" s="9"/>
      <c r="C36" s="9"/>
      <c r="D36" s="10"/>
      <c r="E36" s="10"/>
      <c r="F36" s="9"/>
      <c r="G36" s="9"/>
      <c r="H36" s="9"/>
      <c r="I36" s="9"/>
      <c r="J36" s="9"/>
      <c r="K36" s="9"/>
      <c r="L36" s="9"/>
      <c r="M36" s="9"/>
      <c r="N36" s="9"/>
      <c r="O36" s="11"/>
      <c r="P36" s="9"/>
    </row>
    <row r="37" spans="1:16" x14ac:dyDescent="0.3">
      <c r="A37" s="9"/>
      <c r="B37" s="9"/>
      <c r="C37" s="9"/>
      <c r="D37" s="10"/>
      <c r="E37" s="10"/>
      <c r="F37" s="9"/>
      <c r="G37" s="9"/>
      <c r="H37" s="9"/>
      <c r="I37" s="9"/>
      <c r="J37" s="9"/>
      <c r="K37" s="9"/>
      <c r="L37" s="9"/>
      <c r="M37" s="9"/>
      <c r="N37" s="9"/>
      <c r="O37" s="11"/>
      <c r="P37" s="9"/>
    </row>
    <row r="38" spans="1:16" x14ac:dyDescent="0.3">
      <c r="A38" s="9"/>
      <c r="B38" s="9"/>
      <c r="C38" s="9"/>
      <c r="D38" s="10"/>
      <c r="E38" s="10"/>
      <c r="F38" s="9"/>
      <c r="G38" s="9"/>
      <c r="H38" s="9"/>
      <c r="I38" s="9"/>
      <c r="J38" s="9"/>
      <c r="K38" s="9"/>
      <c r="L38" s="9"/>
      <c r="M38" s="9"/>
      <c r="N38" s="9"/>
      <c r="O38" s="11"/>
      <c r="P38" s="9"/>
    </row>
    <row r="39" spans="1:16" x14ac:dyDescent="0.3">
      <c r="A39" s="9"/>
      <c r="B39" s="9"/>
      <c r="C39" s="9"/>
      <c r="D39" s="10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C40" s="9"/>
      <c r="D40" s="10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3">
      <c r="A41" s="9"/>
      <c r="B41" s="9"/>
      <c r="C41" s="9"/>
      <c r="D41" s="10"/>
      <c r="E41" s="1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3">
      <c r="A42" s="9"/>
      <c r="B42" s="9"/>
      <c r="C42" s="9"/>
      <c r="D42" s="10"/>
      <c r="E42" s="1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3">
      <c r="A43" s="7" t="s">
        <v>20</v>
      </c>
      <c r="B43" s="7"/>
      <c r="C43" s="9"/>
      <c r="D43" s="10"/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3">
      <c r="A44" s="9"/>
      <c r="B44" s="9"/>
      <c r="C44" s="9"/>
      <c r="D44" s="10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A45" s="9"/>
      <c r="B45" s="9"/>
      <c r="C45" s="9"/>
      <c r="D45" s="10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A46" s="9"/>
      <c r="B46" s="9"/>
      <c r="C46" s="9"/>
      <c r="D46" s="10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A47" s="9"/>
      <c r="B47" s="9"/>
      <c r="C47" s="9"/>
      <c r="D47" s="10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3">
      <c r="A48" s="9"/>
      <c r="B48" s="9"/>
      <c r="C48" s="9"/>
      <c r="D48" s="10"/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x14ac:dyDescent="0.3">
      <c r="A49" s="9"/>
      <c r="B49" s="9"/>
      <c r="C49" s="9"/>
      <c r="D49" s="10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3">
      <c r="A50" s="9"/>
      <c r="B50" s="9"/>
      <c r="C50" s="9"/>
      <c r="D50" s="10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x14ac:dyDescent="0.3">
      <c r="A51" s="9"/>
      <c r="B51" s="9"/>
      <c r="C51" s="9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x14ac:dyDescent="0.3">
      <c r="A52" s="9"/>
      <c r="B52" s="9"/>
      <c r="C52" s="9"/>
      <c r="D52" s="10"/>
      <c r="E52" s="1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x14ac:dyDescent="0.3">
      <c r="A53" s="7" t="s">
        <v>21</v>
      </c>
      <c r="B53" s="7"/>
      <c r="C53" s="9"/>
      <c r="D53" s="10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x14ac:dyDescent="0.3">
      <c r="A54" s="9"/>
      <c r="B54" s="9"/>
      <c r="C54" s="9"/>
      <c r="D54" s="10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x14ac:dyDescent="0.3">
      <c r="A55" s="9"/>
      <c r="B55" s="9"/>
      <c r="C55" s="9"/>
      <c r="D55" s="10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x14ac:dyDescent="0.3">
      <c r="A56" s="9"/>
      <c r="B56" s="9"/>
      <c r="C56" s="9"/>
      <c r="D56" s="10"/>
      <c r="E56" s="1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x14ac:dyDescent="0.3">
      <c r="A57" s="7" t="s">
        <v>22</v>
      </c>
      <c r="B57" s="7"/>
      <c r="C57" s="9"/>
      <c r="D57" s="10"/>
      <c r="E57" s="1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x14ac:dyDescent="0.3">
      <c r="A58" s="9"/>
      <c r="B58" s="9"/>
      <c r="C58" s="9"/>
      <c r="D58" s="10"/>
      <c r="E58" s="10"/>
      <c r="F58" s="9"/>
      <c r="G58" s="9"/>
      <c r="H58" s="9"/>
      <c r="I58" s="9"/>
      <c r="J58" s="9"/>
      <c r="K58" s="9"/>
      <c r="L58" s="9"/>
      <c r="M58" s="9"/>
      <c r="N58" s="9"/>
      <c r="O58" s="11"/>
      <c r="P58" s="9"/>
    </row>
    <row r="59" spans="1:16" x14ac:dyDescent="0.3">
      <c r="A59" s="9"/>
      <c r="B59" s="9"/>
      <c r="C59" s="9"/>
      <c r="D59" s="10"/>
      <c r="E59" s="10"/>
      <c r="F59" s="9"/>
      <c r="G59" s="9"/>
      <c r="H59" s="9"/>
      <c r="I59" s="9"/>
      <c r="J59" s="9"/>
      <c r="K59" s="9"/>
      <c r="L59" s="9"/>
      <c r="M59" s="9"/>
      <c r="N59" s="9"/>
      <c r="O59" s="11"/>
      <c r="P59" s="9"/>
    </row>
    <row r="60" spans="1:16" x14ac:dyDescent="0.3">
      <c r="A60" s="9"/>
      <c r="B60" s="9"/>
      <c r="C60" s="9"/>
      <c r="D60" s="10"/>
      <c r="E60" s="10"/>
      <c r="F60" s="9"/>
      <c r="G60" s="9"/>
      <c r="H60" s="9"/>
      <c r="I60" s="9"/>
      <c r="J60" s="9"/>
      <c r="K60" s="9"/>
      <c r="L60" s="9"/>
      <c r="M60" s="9"/>
      <c r="N60" s="9"/>
      <c r="O60" s="11"/>
      <c r="P60" s="9"/>
    </row>
    <row r="61" spans="1:16" x14ac:dyDescent="0.3">
      <c r="A61" s="9"/>
      <c r="B61" s="9"/>
      <c r="C61" s="9"/>
      <c r="D61" s="10"/>
      <c r="E61" s="10"/>
      <c r="F61" s="9"/>
      <c r="G61" s="9"/>
      <c r="H61" s="9"/>
      <c r="I61" s="9"/>
      <c r="J61" s="9"/>
      <c r="K61" s="9"/>
      <c r="L61" s="9"/>
      <c r="M61" s="9"/>
      <c r="N61" s="9"/>
      <c r="O61" s="11"/>
      <c r="P61" s="9"/>
    </row>
    <row r="62" spans="1:16" x14ac:dyDescent="0.3">
      <c r="A62" s="9"/>
      <c r="B62" s="9"/>
      <c r="C62" s="9"/>
      <c r="D62" s="10"/>
      <c r="E62" s="10"/>
      <c r="F62" s="9"/>
      <c r="G62" s="9"/>
      <c r="H62" s="9"/>
      <c r="I62" s="9"/>
      <c r="J62" s="9"/>
      <c r="K62" s="9"/>
      <c r="L62" s="9"/>
      <c r="M62" s="9"/>
      <c r="N62" s="9"/>
      <c r="O62" s="11"/>
      <c r="P62" s="9"/>
    </row>
    <row r="63" spans="1:16" x14ac:dyDescent="0.3">
      <c r="A63" s="9"/>
      <c r="B63" s="9"/>
      <c r="C63" s="9"/>
      <c r="D63" s="10"/>
      <c r="E63" s="10"/>
      <c r="F63" s="9"/>
      <c r="G63" s="9"/>
      <c r="H63" s="9"/>
      <c r="I63" s="9"/>
      <c r="J63" s="9"/>
      <c r="K63" s="9"/>
      <c r="L63" s="9"/>
      <c r="M63" s="9"/>
      <c r="N63" s="9"/>
      <c r="O63" s="11"/>
      <c r="P63" s="9"/>
    </row>
    <row r="64" spans="1:16" x14ac:dyDescent="0.3">
      <c r="A64" s="9"/>
      <c r="B64" s="9"/>
      <c r="C64" s="9"/>
      <c r="D64" s="10"/>
      <c r="E64" s="10"/>
      <c r="F64" s="9"/>
      <c r="G64" s="9"/>
      <c r="H64" s="9"/>
      <c r="I64" s="9"/>
      <c r="J64" s="9"/>
      <c r="K64" s="9"/>
      <c r="L64" s="9"/>
      <c r="M64" s="9"/>
      <c r="N64" s="9"/>
      <c r="O64" s="11"/>
      <c r="P64" s="9"/>
    </row>
    <row r="65" spans="1:16" x14ac:dyDescent="0.3">
      <c r="A65" s="9"/>
      <c r="B65" s="9"/>
      <c r="C65" s="9"/>
      <c r="D65" s="10"/>
      <c r="E65" s="10"/>
      <c r="F65" s="9"/>
      <c r="G65" s="9"/>
      <c r="H65" s="9"/>
      <c r="I65" s="9"/>
      <c r="J65" s="9"/>
      <c r="K65" s="9"/>
      <c r="L65" s="9"/>
      <c r="M65" s="9"/>
      <c r="N65" s="9"/>
      <c r="O65" s="11"/>
      <c r="P65" s="9"/>
    </row>
    <row r="66" spans="1:16" x14ac:dyDescent="0.3">
      <c r="A66" s="9"/>
      <c r="B66" s="9"/>
      <c r="C66" s="9"/>
      <c r="D66" s="10"/>
      <c r="E66" s="10"/>
      <c r="F66" s="9"/>
      <c r="G66" s="9"/>
      <c r="H66" s="9"/>
      <c r="I66" s="9"/>
      <c r="J66" s="9"/>
      <c r="K66" s="9"/>
      <c r="L66" s="9"/>
      <c r="M66" s="9"/>
      <c r="N66" s="9"/>
      <c r="O66" s="11"/>
      <c r="P66" s="9"/>
    </row>
    <row r="67" spans="1:16" x14ac:dyDescent="0.3">
      <c r="A67" s="9"/>
      <c r="B67" s="9"/>
      <c r="C67" s="9"/>
      <c r="D67" s="10"/>
      <c r="E67" s="10"/>
      <c r="F67" s="9"/>
      <c r="G67" s="9"/>
      <c r="H67" s="9"/>
      <c r="I67" s="9"/>
      <c r="J67" s="9"/>
      <c r="K67" s="9"/>
      <c r="L67" s="9"/>
      <c r="M67" s="9"/>
      <c r="N67" s="9"/>
      <c r="O67" s="11"/>
      <c r="P67" s="9"/>
    </row>
    <row r="68" spans="1:16" x14ac:dyDescent="0.3">
      <c r="A68" s="9"/>
      <c r="B68" s="9"/>
      <c r="C68" s="9"/>
      <c r="D68" s="10"/>
      <c r="E68" s="10"/>
      <c r="F68" s="9"/>
      <c r="G68" s="9"/>
      <c r="H68" s="9"/>
      <c r="I68" s="9"/>
      <c r="J68" s="9"/>
      <c r="K68" s="9"/>
      <c r="L68" s="9"/>
      <c r="M68" s="9"/>
      <c r="N68" s="9"/>
      <c r="O68" s="11"/>
      <c r="P68" s="9"/>
    </row>
    <row r="69" spans="1:16" x14ac:dyDescent="0.3">
      <c r="A69" s="9"/>
      <c r="B69" s="9"/>
      <c r="C69" s="9"/>
      <c r="D69" s="10"/>
      <c r="E69" s="10"/>
      <c r="F69" s="9"/>
      <c r="G69" s="9"/>
      <c r="H69" s="9"/>
      <c r="I69" s="9"/>
      <c r="J69" s="9"/>
      <c r="K69" s="9"/>
      <c r="L69" s="9"/>
      <c r="M69" s="9"/>
      <c r="N69" s="9"/>
      <c r="O69" s="11"/>
      <c r="P69" s="9"/>
    </row>
    <row r="70" spans="1:16" x14ac:dyDescent="0.3">
      <c r="A70" s="19" t="s">
        <v>23</v>
      </c>
      <c r="B70" s="20"/>
      <c r="C70" s="9"/>
      <c r="D70" s="10"/>
      <c r="E70" s="10"/>
      <c r="F70" s="9"/>
      <c r="G70" s="9"/>
      <c r="H70" s="9"/>
      <c r="I70" s="9"/>
      <c r="J70" s="9"/>
      <c r="K70" s="9"/>
      <c r="L70" s="9"/>
      <c r="M70" s="9"/>
      <c r="N70" s="9"/>
      <c r="O70" s="11"/>
      <c r="P70" s="9"/>
    </row>
    <row r="71" spans="1:16" x14ac:dyDescent="0.3">
      <c r="A71" s="9"/>
      <c r="B71" s="9" t="s">
        <v>60</v>
      </c>
      <c r="C71" s="9">
        <v>1</v>
      </c>
      <c r="D71" s="10">
        <v>50000</v>
      </c>
      <c r="E71" s="10">
        <f>C71*D71</f>
        <v>50000</v>
      </c>
      <c r="F71" s="9" t="s">
        <v>49</v>
      </c>
      <c r="G71" s="9" t="s">
        <v>50</v>
      </c>
      <c r="H71" s="9" t="s">
        <v>51</v>
      </c>
      <c r="I71" s="9"/>
      <c r="J71" s="9"/>
      <c r="K71" s="9"/>
      <c r="L71" s="9"/>
      <c r="M71" s="10">
        <v>50000</v>
      </c>
      <c r="N71" s="9"/>
      <c r="O71" s="11"/>
      <c r="P71" s="9"/>
    </row>
    <row r="72" spans="1:16" x14ac:dyDescent="0.3">
      <c r="A72" s="9"/>
      <c r="B72" s="9" t="s">
        <v>57</v>
      </c>
      <c r="C72" s="9">
        <v>9</v>
      </c>
      <c r="D72" s="10">
        <v>20000</v>
      </c>
      <c r="E72" s="10">
        <f>C72*D72</f>
        <v>180000</v>
      </c>
      <c r="F72" s="9" t="s">
        <v>49</v>
      </c>
      <c r="G72" s="9" t="s">
        <v>50</v>
      </c>
      <c r="H72" s="9" t="s">
        <v>51</v>
      </c>
      <c r="I72" s="9"/>
      <c r="J72" s="9"/>
      <c r="K72" s="9"/>
      <c r="L72" s="9"/>
      <c r="M72" s="10">
        <v>60000</v>
      </c>
      <c r="N72" s="10">
        <v>60000</v>
      </c>
      <c r="O72" s="15">
        <v>60000</v>
      </c>
      <c r="P72" s="10"/>
    </row>
    <row r="73" spans="1:16" x14ac:dyDescent="0.3">
      <c r="A73" s="9"/>
      <c r="B73" s="9" t="s">
        <v>64</v>
      </c>
      <c r="C73" s="9">
        <v>4</v>
      </c>
      <c r="D73" s="10">
        <v>4000</v>
      </c>
      <c r="E73" s="10">
        <f t="shared" ref="E73" si="0">C73*D73</f>
        <v>16000</v>
      </c>
      <c r="F73" s="9" t="s">
        <v>49</v>
      </c>
      <c r="G73" s="9" t="s">
        <v>50</v>
      </c>
      <c r="H73" s="9" t="s">
        <v>51</v>
      </c>
      <c r="I73" s="9"/>
      <c r="J73" s="9"/>
      <c r="K73" s="9"/>
      <c r="L73" s="9"/>
      <c r="M73" s="9"/>
      <c r="N73" s="9"/>
      <c r="O73" s="11"/>
      <c r="P73" s="9"/>
    </row>
    <row r="74" spans="1:16" x14ac:dyDescent="0.3">
      <c r="A74" s="9"/>
      <c r="B74" s="9"/>
      <c r="C74" s="9"/>
      <c r="D74" s="10"/>
      <c r="E74" s="10"/>
      <c r="F74" s="9"/>
      <c r="G74" s="9"/>
      <c r="H74" s="9"/>
      <c r="I74" s="9"/>
      <c r="J74" s="9"/>
      <c r="K74" s="9"/>
      <c r="L74" s="9"/>
      <c r="M74" s="9"/>
      <c r="N74" s="9"/>
      <c r="O74" s="11"/>
      <c r="P74" s="9"/>
    </row>
    <row r="75" spans="1:16" x14ac:dyDescent="0.3">
      <c r="A75" s="9"/>
      <c r="B75" s="9"/>
      <c r="C75" s="9"/>
      <c r="D75" s="10"/>
      <c r="E75" s="10"/>
      <c r="F75" s="9"/>
      <c r="G75" s="9"/>
      <c r="H75" s="9"/>
      <c r="I75" s="9"/>
      <c r="J75" s="9"/>
      <c r="K75" s="9"/>
      <c r="L75" s="9"/>
      <c r="M75" s="9"/>
      <c r="N75" s="9"/>
      <c r="O75" s="11"/>
      <c r="P75" s="9"/>
    </row>
    <row r="76" spans="1:16" x14ac:dyDescent="0.3">
      <c r="A76" s="9"/>
      <c r="B76" s="9"/>
      <c r="C76" s="9"/>
      <c r="D76" s="10"/>
      <c r="E76" s="10"/>
      <c r="F76" s="9"/>
      <c r="G76" s="9"/>
      <c r="H76" s="9"/>
      <c r="I76" s="9"/>
      <c r="J76" s="9"/>
      <c r="K76" s="9"/>
      <c r="L76" s="9"/>
      <c r="M76" s="9"/>
      <c r="N76" s="9"/>
      <c r="O76" s="11"/>
      <c r="P76" s="9"/>
    </row>
    <row r="77" spans="1:16" x14ac:dyDescent="0.3">
      <c r="A77" s="9"/>
      <c r="B77" s="9"/>
      <c r="C77" s="9"/>
      <c r="D77" s="10"/>
      <c r="E77" s="10"/>
      <c r="F77" s="9"/>
      <c r="G77" s="9"/>
      <c r="H77" s="9"/>
      <c r="I77" s="9"/>
      <c r="J77" s="9"/>
      <c r="K77" s="9"/>
      <c r="L77" s="9"/>
      <c r="M77" s="9"/>
      <c r="N77" s="9"/>
      <c r="O77" s="11"/>
      <c r="P77" s="9"/>
    </row>
    <row r="78" spans="1:16" x14ac:dyDescent="0.3">
      <c r="A78" s="9"/>
      <c r="B78" s="9"/>
      <c r="C78" s="9"/>
      <c r="D78" s="10"/>
      <c r="E78" s="10"/>
      <c r="F78" s="9"/>
      <c r="G78" s="9"/>
      <c r="H78" s="9"/>
      <c r="I78" s="9"/>
      <c r="J78" s="9"/>
      <c r="K78" s="9"/>
      <c r="L78" s="9"/>
      <c r="M78" s="9"/>
      <c r="N78" s="9"/>
      <c r="O78" s="11"/>
      <c r="P78" s="9"/>
    </row>
    <row r="79" spans="1:16" x14ac:dyDescent="0.3">
      <c r="A79" s="9"/>
      <c r="B79" s="9"/>
      <c r="C79" s="9"/>
      <c r="D79" s="10"/>
      <c r="E79" s="10"/>
      <c r="F79" s="9"/>
      <c r="G79" s="9"/>
      <c r="H79" s="9"/>
      <c r="I79" s="9"/>
      <c r="J79" s="9"/>
      <c r="K79" s="9"/>
      <c r="L79" s="9"/>
      <c r="M79" s="9"/>
      <c r="N79" s="9"/>
      <c r="O79" s="11"/>
      <c r="P79" s="9"/>
    </row>
    <row r="80" spans="1:16" x14ac:dyDescent="0.3">
      <c r="A80" s="9"/>
      <c r="B80" s="9"/>
      <c r="C80" s="9"/>
      <c r="D80" s="10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x14ac:dyDescent="0.3">
      <c r="A81" s="9"/>
      <c r="B81" s="9"/>
      <c r="C81" s="9"/>
      <c r="D81" s="10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x14ac:dyDescent="0.3">
      <c r="A82" s="9"/>
      <c r="B82" s="9"/>
      <c r="C82" s="9"/>
      <c r="D82" s="10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x14ac:dyDescent="0.3">
      <c r="A83" s="9"/>
      <c r="B83" s="9"/>
      <c r="C83" s="9"/>
      <c r="D83" s="10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x14ac:dyDescent="0.3">
      <c r="A84" s="9"/>
      <c r="B84" s="9"/>
      <c r="C84" s="9"/>
      <c r="D84" s="10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x14ac:dyDescent="0.3">
      <c r="A85" s="7" t="s">
        <v>24</v>
      </c>
      <c r="B85" s="7"/>
      <c r="C85" s="9"/>
      <c r="D85" s="10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x14ac:dyDescent="0.3">
      <c r="A86" s="9"/>
      <c r="B86" s="9" t="s">
        <v>48</v>
      </c>
      <c r="C86" s="9">
        <v>3</v>
      </c>
      <c r="D86" s="10">
        <v>30000</v>
      </c>
      <c r="E86" s="10">
        <f>C86*D86</f>
        <v>90000</v>
      </c>
      <c r="F86" s="9" t="s">
        <v>49</v>
      </c>
      <c r="G86" s="9" t="s">
        <v>50</v>
      </c>
      <c r="H86" s="9" t="s">
        <v>51</v>
      </c>
      <c r="I86" s="9"/>
      <c r="J86" s="9"/>
      <c r="K86" s="9"/>
      <c r="L86" s="9"/>
      <c r="M86" s="10">
        <v>30000</v>
      </c>
      <c r="N86" s="10">
        <v>30000</v>
      </c>
      <c r="O86" s="11"/>
      <c r="P86" s="9"/>
    </row>
    <row r="87" spans="1:16" x14ac:dyDescent="0.3">
      <c r="A87" s="9"/>
      <c r="B87" s="9" t="s">
        <v>53</v>
      </c>
      <c r="C87" s="9">
        <v>1</v>
      </c>
      <c r="D87" s="10">
        <v>500000</v>
      </c>
      <c r="E87" s="10">
        <f>C87*D87</f>
        <v>500000</v>
      </c>
      <c r="F87" s="9" t="s">
        <v>49</v>
      </c>
      <c r="G87" s="9" t="s">
        <v>50</v>
      </c>
      <c r="H87" s="9" t="s">
        <v>51</v>
      </c>
      <c r="I87" s="9"/>
      <c r="J87" s="9"/>
      <c r="K87" s="9"/>
      <c r="L87" s="9"/>
      <c r="M87" s="10">
        <v>500000</v>
      </c>
      <c r="N87" s="9"/>
      <c r="O87" s="11"/>
      <c r="P87" s="9"/>
    </row>
    <row r="88" spans="1:16" x14ac:dyDescent="0.3">
      <c r="A88" s="9"/>
      <c r="B88" s="9" t="s">
        <v>54</v>
      </c>
      <c r="C88" s="9">
        <v>3</v>
      </c>
      <c r="D88" s="10">
        <v>25000</v>
      </c>
      <c r="E88" s="10">
        <f>C88*D88</f>
        <v>75000</v>
      </c>
      <c r="F88" s="9" t="s">
        <v>49</v>
      </c>
      <c r="G88" s="9" t="s">
        <v>50</v>
      </c>
      <c r="H88" s="9" t="s">
        <v>51</v>
      </c>
      <c r="I88" s="9"/>
      <c r="J88" s="9"/>
      <c r="K88" s="9"/>
      <c r="L88" s="9"/>
      <c r="M88" s="10">
        <v>75000</v>
      </c>
      <c r="N88" s="9"/>
      <c r="O88" s="11"/>
      <c r="P88" s="9"/>
    </row>
    <row r="89" spans="1:16" x14ac:dyDescent="0.3">
      <c r="A89" s="9"/>
      <c r="B89" s="9" t="s">
        <v>55</v>
      </c>
      <c r="C89" s="9">
        <v>1</v>
      </c>
      <c r="D89" s="10">
        <v>35000</v>
      </c>
      <c r="E89" s="10">
        <f>C89*D89</f>
        <v>35000</v>
      </c>
      <c r="F89" s="9" t="s">
        <v>49</v>
      </c>
      <c r="G89" s="9" t="s">
        <v>50</v>
      </c>
      <c r="H89" s="9" t="s">
        <v>51</v>
      </c>
      <c r="I89" s="9"/>
      <c r="J89" s="9"/>
      <c r="K89" s="9"/>
      <c r="L89" s="9"/>
      <c r="M89" s="10">
        <v>35000</v>
      </c>
      <c r="N89" s="9"/>
      <c r="O89" s="11"/>
      <c r="P89" s="9"/>
    </row>
    <row r="90" spans="1:16" x14ac:dyDescent="0.3">
      <c r="A90" s="9"/>
      <c r="B90" s="9" t="s">
        <v>56</v>
      </c>
      <c r="C90" s="9">
        <v>1</v>
      </c>
      <c r="D90" s="10">
        <v>35000</v>
      </c>
      <c r="E90" s="10">
        <f>C90*D90</f>
        <v>35000</v>
      </c>
      <c r="F90" s="9" t="s">
        <v>49</v>
      </c>
      <c r="G90" s="9" t="s">
        <v>50</v>
      </c>
      <c r="H90" s="9" t="s">
        <v>51</v>
      </c>
      <c r="I90" s="9"/>
      <c r="J90" s="9"/>
      <c r="K90" s="9"/>
      <c r="L90" s="9"/>
      <c r="M90" s="10">
        <v>35000</v>
      </c>
      <c r="N90" s="9"/>
      <c r="O90" s="11"/>
      <c r="P90" s="9"/>
    </row>
    <row r="91" spans="1:16" x14ac:dyDescent="0.3">
      <c r="A91" s="9"/>
      <c r="B91" s="9"/>
      <c r="C91" s="9"/>
      <c r="D91" s="10"/>
      <c r="E91" s="10"/>
      <c r="F91" s="9"/>
      <c r="G91" s="9"/>
      <c r="H91" s="9"/>
      <c r="I91" s="9"/>
      <c r="J91" s="9"/>
      <c r="K91" s="9"/>
      <c r="L91" s="9"/>
      <c r="M91" s="9"/>
      <c r="N91" s="9"/>
      <c r="O91" s="11"/>
      <c r="P91" s="9"/>
    </row>
    <row r="92" spans="1:16" x14ac:dyDescent="0.3">
      <c r="A92" s="9"/>
      <c r="B92" s="9"/>
      <c r="C92" s="9"/>
      <c r="D92" s="10"/>
      <c r="E92" s="10"/>
      <c r="F92" s="9"/>
      <c r="G92" s="9"/>
      <c r="H92" s="9"/>
      <c r="I92" s="9"/>
      <c r="J92" s="9"/>
      <c r="K92" s="9"/>
      <c r="L92" s="9"/>
      <c r="M92" s="9"/>
      <c r="N92" s="9"/>
      <c r="O92" s="11"/>
      <c r="P92" s="9"/>
    </row>
    <row r="93" spans="1:16" x14ac:dyDescent="0.3">
      <c r="A93" s="9"/>
      <c r="B93" s="9"/>
      <c r="C93" s="9"/>
      <c r="D93" s="10"/>
      <c r="E93" s="10"/>
      <c r="F93" s="9"/>
      <c r="G93" s="9"/>
      <c r="H93" s="9"/>
      <c r="I93" s="9"/>
      <c r="J93" s="9"/>
      <c r="K93" s="9"/>
      <c r="L93" s="9"/>
      <c r="M93" s="9"/>
      <c r="N93" s="9"/>
      <c r="O93" s="11"/>
      <c r="P93" s="9"/>
    </row>
    <row r="94" spans="1:16" x14ac:dyDescent="0.3">
      <c r="A94" s="9"/>
      <c r="B94" s="9"/>
      <c r="C94" s="9"/>
      <c r="D94" s="10"/>
      <c r="E94" s="10"/>
      <c r="F94" s="9"/>
      <c r="G94" s="9"/>
      <c r="H94" s="9"/>
      <c r="I94" s="9"/>
      <c r="J94" s="9"/>
      <c r="K94" s="9"/>
      <c r="L94" s="9"/>
      <c r="M94" s="9"/>
      <c r="N94" s="9"/>
      <c r="O94" s="11"/>
      <c r="P94" s="9"/>
    </row>
    <row r="95" spans="1:16" x14ac:dyDescent="0.3">
      <c r="A95" s="9"/>
      <c r="B95" s="9"/>
      <c r="C95" s="9"/>
      <c r="D95" s="10"/>
      <c r="E95" s="10"/>
      <c r="F95" s="9"/>
      <c r="G95" s="9"/>
      <c r="H95" s="9"/>
      <c r="I95" s="9"/>
      <c r="J95" s="9"/>
      <c r="K95" s="9"/>
      <c r="L95" s="9"/>
      <c r="M95" s="9"/>
      <c r="N95" s="9"/>
      <c r="O95" s="11"/>
      <c r="P95" s="9"/>
    </row>
    <row r="96" spans="1:16" x14ac:dyDescent="0.3">
      <c r="A96" s="9"/>
      <c r="B96" s="9"/>
      <c r="C96" s="9"/>
      <c r="D96" s="10"/>
      <c r="E96" s="10"/>
      <c r="F96" s="9"/>
      <c r="G96" s="9"/>
      <c r="H96" s="9"/>
      <c r="I96" s="9"/>
      <c r="J96" s="9"/>
      <c r="K96" s="9"/>
      <c r="L96" s="9"/>
      <c r="M96" s="9"/>
      <c r="N96" s="9"/>
      <c r="O96" s="11"/>
      <c r="P96" s="9"/>
    </row>
    <row r="97" spans="1:16" x14ac:dyDescent="0.3">
      <c r="A97" s="9"/>
      <c r="B97" s="9"/>
      <c r="C97" s="9"/>
      <c r="D97" s="10"/>
      <c r="E97" s="10"/>
      <c r="F97" s="9"/>
      <c r="G97" s="9"/>
      <c r="H97" s="9"/>
      <c r="I97" s="9"/>
      <c r="J97" s="9"/>
      <c r="K97" s="9"/>
      <c r="L97" s="9"/>
      <c r="M97" s="9"/>
      <c r="N97" s="9"/>
      <c r="O97" s="11"/>
      <c r="P97" s="9"/>
    </row>
    <row r="98" spans="1:16" x14ac:dyDescent="0.3">
      <c r="A98" s="9"/>
      <c r="B98" s="9"/>
      <c r="C98" s="9"/>
      <c r="D98" s="10"/>
      <c r="E98" s="10"/>
      <c r="F98" s="9"/>
      <c r="G98" s="9"/>
      <c r="H98" s="9"/>
      <c r="I98" s="9"/>
      <c r="J98" s="9"/>
      <c r="K98" s="9"/>
      <c r="L98" s="9"/>
      <c r="M98" s="9"/>
      <c r="N98" s="9"/>
      <c r="O98" s="11"/>
      <c r="P98" s="9"/>
    </row>
    <row r="99" spans="1:16" x14ac:dyDescent="0.3">
      <c r="A99" s="9"/>
      <c r="B99" s="9"/>
      <c r="C99" s="9"/>
      <c r="D99" s="10"/>
      <c r="E99" s="10"/>
      <c r="F99" s="9"/>
      <c r="G99" s="9"/>
      <c r="H99" s="9"/>
      <c r="I99" s="9"/>
      <c r="J99" s="9"/>
      <c r="K99" s="9"/>
      <c r="L99" s="9"/>
      <c r="M99" s="9"/>
      <c r="N99" s="9"/>
      <c r="O99" s="11"/>
      <c r="P99" s="9"/>
    </row>
    <row r="100" spans="1:16" x14ac:dyDescent="0.3">
      <c r="A100" s="9"/>
      <c r="B100" s="9"/>
      <c r="C100" s="9"/>
      <c r="D100" s="10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11"/>
      <c r="P100" s="9"/>
    </row>
    <row r="101" spans="1:16" x14ac:dyDescent="0.3">
      <c r="A101" s="9"/>
      <c r="B101" s="9"/>
      <c r="C101" s="9"/>
      <c r="D101" s="10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11"/>
      <c r="P101" s="9"/>
    </row>
    <row r="102" spans="1:16" x14ac:dyDescent="0.3">
      <c r="A102" s="9"/>
      <c r="B102" s="9"/>
      <c r="C102" s="9"/>
      <c r="D102" s="10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11"/>
      <c r="P102" s="9"/>
    </row>
    <row r="103" spans="1:16" x14ac:dyDescent="0.3">
      <c r="A103" s="9"/>
      <c r="B103" s="9"/>
      <c r="C103" s="9"/>
      <c r="D103" s="10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11"/>
      <c r="P103" s="9"/>
    </row>
    <row r="104" spans="1:16" x14ac:dyDescent="0.3">
      <c r="A104" s="9"/>
      <c r="B104" s="9"/>
      <c r="C104" s="9"/>
      <c r="D104" s="10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11"/>
      <c r="P104" s="9"/>
    </row>
    <row r="105" spans="1:16" x14ac:dyDescent="0.3">
      <c r="A105" s="9"/>
      <c r="B105" s="9"/>
      <c r="C105" s="9"/>
      <c r="D105" s="10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11"/>
      <c r="P105" s="9"/>
    </row>
    <row r="106" spans="1:16" x14ac:dyDescent="0.3">
      <c r="A106" s="9"/>
      <c r="B106" s="9"/>
      <c r="C106" s="9"/>
      <c r="D106" s="10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11"/>
      <c r="P106" s="9"/>
    </row>
    <row r="107" spans="1:16" x14ac:dyDescent="0.3">
      <c r="A107" s="9"/>
      <c r="B107" s="9"/>
      <c r="C107" s="9"/>
      <c r="D107" s="10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11"/>
      <c r="P107" s="9"/>
    </row>
    <row r="108" spans="1:16" x14ac:dyDescent="0.3">
      <c r="A108" s="9"/>
      <c r="B108" s="9"/>
      <c r="C108" s="9"/>
      <c r="D108" s="10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11"/>
      <c r="P108" s="9"/>
    </row>
    <row r="109" spans="1:16" x14ac:dyDescent="0.3">
      <c r="A109" s="9"/>
      <c r="B109" s="9"/>
      <c r="C109" s="9"/>
      <c r="D109" s="10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11"/>
      <c r="P109" s="9"/>
    </row>
    <row r="110" spans="1:16" x14ac:dyDescent="0.3">
      <c r="A110" s="9"/>
      <c r="B110" s="9"/>
      <c r="C110" s="9"/>
      <c r="D110" s="10"/>
      <c r="E110" s="10"/>
      <c r="F110" s="9"/>
      <c r="G110" s="9"/>
      <c r="H110" s="9"/>
      <c r="I110" s="9"/>
      <c r="J110" s="11"/>
      <c r="K110" s="9"/>
      <c r="L110" s="9"/>
      <c r="M110" s="9"/>
      <c r="N110" s="9"/>
      <c r="O110" s="11"/>
      <c r="P110" s="9"/>
    </row>
    <row r="111" spans="1:16" x14ac:dyDescent="0.3">
      <c r="A111" s="9"/>
      <c r="B111" s="9"/>
      <c r="C111" s="9"/>
      <c r="D111" s="10"/>
      <c r="E111" s="10"/>
      <c r="F111" s="9"/>
      <c r="G111" s="9"/>
      <c r="H111" s="9"/>
      <c r="I111" s="9"/>
      <c r="J111" s="11"/>
      <c r="K111" s="9"/>
      <c r="L111" s="9"/>
      <c r="M111" s="9"/>
      <c r="N111" s="9"/>
      <c r="O111" s="11"/>
      <c r="P111" s="9"/>
    </row>
    <row r="112" spans="1:16" x14ac:dyDescent="0.3">
      <c r="A112" s="9"/>
      <c r="B112" s="9"/>
      <c r="C112" s="9"/>
      <c r="D112" s="10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11"/>
      <c r="P112" s="9"/>
    </row>
    <row r="113" spans="1:16" x14ac:dyDescent="0.3">
      <c r="A113" s="9"/>
      <c r="B113" s="9"/>
      <c r="C113" s="9"/>
      <c r="D113" s="10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11"/>
      <c r="P113" s="9"/>
    </row>
    <row r="114" spans="1:16" x14ac:dyDescent="0.3">
      <c r="A114" s="9"/>
      <c r="B114" s="9"/>
      <c r="C114" s="9"/>
      <c r="D114" s="10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11"/>
      <c r="P114" s="9"/>
    </row>
    <row r="115" spans="1:16" x14ac:dyDescent="0.3">
      <c r="A115" s="7" t="s">
        <v>25</v>
      </c>
      <c r="B115" s="7"/>
      <c r="C115" s="9"/>
      <c r="D115" s="10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11"/>
      <c r="P115" s="9"/>
    </row>
    <row r="116" spans="1:16" x14ac:dyDescent="0.3">
      <c r="A116" s="9"/>
      <c r="B116" s="9"/>
      <c r="C116" s="9"/>
      <c r="D116" s="10"/>
      <c r="E116" s="10"/>
      <c r="F116" s="9"/>
      <c r="G116" s="9"/>
      <c r="H116" s="9"/>
      <c r="I116" s="9"/>
      <c r="J116" s="9"/>
      <c r="K116" s="9"/>
      <c r="L116" s="11"/>
      <c r="M116" s="9"/>
      <c r="N116" s="9"/>
      <c r="O116" s="11"/>
      <c r="P116" s="9"/>
    </row>
    <row r="117" spans="1:16" x14ac:dyDescent="0.3">
      <c r="A117" s="9"/>
      <c r="B117" s="9"/>
      <c r="C117" s="9"/>
      <c r="D117" s="10"/>
      <c r="E117" s="10"/>
      <c r="F117" s="9"/>
      <c r="G117" s="9"/>
      <c r="H117" s="9"/>
      <c r="I117" s="9"/>
      <c r="J117" s="9"/>
      <c r="K117" s="9"/>
      <c r="L117" s="11"/>
      <c r="M117" s="9"/>
      <c r="N117" s="9"/>
      <c r="O117" s="11"/>
      <c r="P117" s="9"/>
    </row>
    <row r="118" spans="1:16" x14ac:dyDescent="0.3">
      <c r="A118" s="9"/>
      <c r="B118" s="9"/>
      <c r="C118" s="9"/>
      <c r="D118" s="10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11"/>
      <c r="P118" s="9"/>
    </row>
    <row r="119" spans="1:16" x14ac:dyDescent="0.3">
      <c r="A119" s="9"/>
      <c r="B119" s="9"/>
      <c r="C119" s="9"/>
      <c r="D119" s="10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11"/>
      <c r="P119" s="9"/>
    </row>
    <row r="120" spans="1:16" x14ac:dyDescent="0.3">
      <c r="A120" s="9"/>
      <c r="B120" s="9"/>
      <c r="C120" s="9"/>
      <c r="D120" s="10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x14ac:dyDescent="0.3">
      <c r="A121" s="7" t="s">
        <v>26</v>
      </c>
      <c r="B121" s="7"/>
      <c r="C121" s="9"/>
      <c r="D121" s="10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x14ac:dyDescent="0.3">
      <c r="A122" s="9">
        <v>1</v>
      </c>
      <c r="B122" s="9"/>
      <c r="C122" s="9"/>
      <c r="D122" s="10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x14ac:dyDescent="0.3">
      <c r="A123" s="9">
        <v>2</v>
      </c>
      <c r="B123" s="9"/>
      <c r="C123" s="9"/>
      <c r="D123" s="10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x14ac:dyDescent="0.3">
      <c r="A124" s="9"/>
      <c r="B124" s="9"/>
      <c r="C124" s="9"/>
      <c r="D124" s="10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x14ac:dyDescent="0.3">
      <c r="A125" s="9"/>
      <c r="B125" s="9"/>
      <c r="C125" s="9"/>
      <c r="D125" s="10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x14ac:dyDescent="0.3">
      <c r="A126" s="7" t="s">
        <v>27</v>
      </c>
      <c r="B126" s="7"/>
      <c r="C126" s="7"/>
      <c r="D126" s="10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x14ac:dyDescent="0.3">
      <c r="A127" s="9">
        <v>1</v>
      </c>
      <c r="B127" s="9" t="s">
        <v>59</v>
      </c>
      <c r="C127" s="9">
        <v>1</v>
      </c>
      <c r="D127" s="10">
        <v>400000</v>
      </c>
      <c r="E127" s="10">
        <f>C127*D127</f>
        <v>400000</v>
      </c>
      <c r="F127" s="9" t="s">
        <v>49</v>
      </c>
      <c r="G127" s="9" t="s">
        <v>50</v>
      </c>
      <c r="H127" s="9" t="s">
        <v>51</v>
      </c>
      <c r="I127" s="9"/>
      <c r="J127" s="9"/>
      <c r="K127" s="9"/>
      <c r="L127" s="9"/>
      <c r="M127" s="10">
        <v>100000</v>
      </c>
      <c r="N127" s="10">
        <v>100000</v>
      </c>
      <c r="O127" s="10">
        <v>100000</v>
      </c>
      <c r="P127" s="10">
        <v>100000</v>
      </c>
    </row>
    <row r="128" spans="1:16" x14ac:dyDescent="0.3">
      <c r="A128" s="9">
        <v>2</v>
      </c>
      <c r="B128" s="9"/>
      <c r="C128" s="9"/>
      <c r="D128" s="10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x14ac:dyDescent="0.3">
      <c r="A129" s="9">
        <v>3</v>
      </c>
      <c r="B129" s="9"/>
      <c r="C129" s="9"/>
      <c r="D129" s="10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x14ac:dyDescent="0.3">
      <c r="A130" s="7" t="s">
        <v>28</v>
      </c>
      <c r="B130" s="7"/>
      <c r="C130" s="9"/>
      <c r="D130" s="10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x14ac:dyDescent="0.3">
      <c r="A131" s="9">
        <v>1</v>
      </c>
      <c r="B131" s="9"/>
      <c r="C131" s="9"/>
      <c r="D131" s="10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x14ac:dyDescent="0.3">
      <c r="A132" s="9">
        <v>2</v>
      </c>
      <c r="B132" s="9"/>
      <c r="C132" s="9"/>
      <c r="D132" s="10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x14ac:dyDescent="0.3">
      <c r="A133" s="9"/>
      <c r="B133" s="9"/>
      <c r="C133" s="9"/>
      <c r="D133" s="10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x14ac:dyDescent="0.3">
      <c r="A134" s="7" t="s">
        <v>29</v>
      </c>
      <c r="B134" s="7"/>
      <c r="C134" s="9"/>
      <c r="D134" s="10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x14ac:dyDescent="0.3">
      <c r="A135" s="9"/>
      <c r="B135" s="9" t="s">
        <v>58</v>
      </c>
      <c r="C135" s="9">
        <v>1</v>
      </c>
      <c r="D135" s="10">
        <v>800000</v>
      </c>
      <c r="E135" s="10">
        <f>C135*D135</f>
        <v>800000</v>
      </c>
      <c r="F135" s="9" t="s">
        <v>49</v>
      </c>
      <c r="G135" s="9" t="s">
        <v>50</v>
      </c>
      <c r="H135" s="9" t="s">
        <v>51</v>
      </c>
      <c r="I135" s="9"/>
      <c r="J135" s="9"/>
      <c r="K135" s="9"/>
      <c r="L135" s="9"/>
      <c r="M135" s="9"/>
      <c r="N135" s="10">
        <v>800000</v>
      </c>
      <c r="O135" s="11"/>
      <c r="P135" s="9"/>
    </row>
    <row r="136" spans="1:16" x14ac:dyDescent="0.3">
      <c r="A136" s="9"/>
      <c r="B136" s="9"/>
      <c r="C136" s="9"/>
      <c r="D136" s="10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11"/>
      <c r="P136" s="9"/>
    </row>
    <row r="137" spans="1:16" x14ac:dyDescent="0.3">
      <c r="A137" s="9"/>
      <c r="B137" s="9"/>
      <c r="C137" s="9"/>
      <c r="D137" s="10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11"/>
      <c r="P137" s="9"/>
    </row>
    <row r="138" spans="1:16" x14ac:dyDescent="0.3">
      <c r="A138" s="9"/>
      <c r="B138" s="9"/>
      <c r="C138" s="9"/>
      <c r="D138" s="10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11"/>
      <c r="P138" s="9"/>
    </row>
    <row r="139" spans="1:16" x14ac:dyDescent="0.3">
      <c r="A139" s="9"/>
      <c r="B139" s="9"/>
      <c r="C139" s="9"/>
      <c r="D139" s="10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x14ac:dyDescent="0.3">
      <c r="A140" s="7" t="s">
        <v>30</v>
      </c>
      <c r="B140" s="7"/>
      <c r="C140" s="9"/>
      <c r="D140" s="10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x14ac:dyDescent="0.3">
      <c r="A141" s="9">
        <v>1</v>
      </c>
      <c r="B141" s="9"/>
      <c r="C141" s="9"/>
      <c r="D141" s="10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x14ac:dyDescent="0.3">
      <c r="A142" s="9">
        <v>2</v>
      </c>
      <c r="B142" s="9"/>
      <c r="C142" s="9"/>
      <c r="D142" s="10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x14ac:dyDescent="0.3">
      <c r="A143" s="9">
        <v>3</v>
      </c>
      <c r="B143" s="9"/>
      <c r="C143" s="9"/>
      <c r="D143" s="10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x14ac:dyDescent="0.3">
      <c r="A144" s="9">
        <v>4</v>
      </c>
      <c r="B144" s="9"/>
      <c r="C144" s="9"/>
      <c r="D144" s="10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x14ac:dyDescent="0.3">
      <c r="A145" s="7" t="s">
        <v>31</v>
      </c>
      <c r="B145" s="7"/>
      <c r="C145" s="7"/>
      <c r="D145" s="10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x14ac:dyDescent="0.3">
      <c r="A146" s="9">
        <v>1</v>
      </c>
      <c r="B146" s="9"/>
      <c r="C146" s="9"/>
      <c r="D146" s="10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x14ac:dyDescent="0.3">
      <c r="A147" s="9">
        <v>2</v>
      </c>
      <c r="B147" s="9"/>
      <c r="C147" s="9"/>
      <c r="D147" s="10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x14ac:dyDescent="0.3">
      <c r="A148" s="9">
        <v>3</v>
      </c>
      <c r="B148" s="9"/>
      <c r="C148" s="9"/>
      <c r="D148" s="10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x14ac:dyDescent="0.3">
      <c r="A149" s="7" t="s">
        <v>32</v>
      </c>
      <c r="B149" s="7"/>
      <c r="C149" s="7"/>
      <c r="D149" s="10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x14ac:dyDescent="0.3">
      <c r="A150" s="9"/>
      <c r="B150" s="9"/>
      <c r="C150" s="9"/>
      <c r="D150" s="10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11"/>
      <c r="P150" s="9"/>
    </row>
    <row r="151" spans="1:16" x14ac:dyDescent="0.3">
      <c r="A151" s="9"/>
      <c r="B151" s="9"/>
      <c r="C151" s="9"/>
      <c r="D151" s="10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11"/>
      <c r="P151" s="9"/>
    </row>
    <row r="152" spans="1:16" x14ac:dyDescent="0.3">
      <c r="A152" s="9"/>
      <c r="B152" s="9"/>
      <c r="C152" s="9"/>
      <c r="D152" s="10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x14ac:dyDescent="0.3">
      <c r="A153" s="9"/>
      <c r="B153" s="9"/>
      <c r="C153" s="9"/>
      <c r="D153" s="10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x14ac:dyDescent="0.3">
      <c r="A154" s="9">
        <v>1</v>
      </c>
      <c r="B154" s="9"/>
      <c r="C154" s="9"/>
      <c r="D154" s="10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x14ac:dyDescent="0.3">
      <c r="A155" s="9">
        <v>2</v>
      </c>
      <c r="B155" s="9"/>
      <c r="C155" s="9"/>
      <c r="D155" s="10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x14ac:dyDescent="0.3">
      <c r="A156" s="9">
        <v>3</v>
      </c>
      <c r="B156" s="9"/>
      <c r="C156" s="9"/>
      <c r="D156" s="10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x14ac:dyDescent="0.3">
      <c r="A157" s="9">
        <v>4</v>
      </c>
      <c r="B157" s="9"/>
      <c r="C157" s="9"/>
      <c r="D157" s="10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x14ac:dyDescent="0.3">
      <c r="A158" s="7" t="s">
        <v>33</v>
      </c>
      <c r="B158" s="7"/>
      <c r="C158" s="9"/>
      <c r="D158" s="10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x14ac:dyDescent="0.3">
      <c r="A159" s="9">
        <v>1</v>
      </c>
      <c r="B159" s="9"/>
      <c r="C159" s="9"/>
      <c r="D159" s="10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x14ac:dyDescent="0.3">
      <c r="A160" s="9">
        <v>2</v>
      </c>
      <c r="B160" s="9"/>
      <c r="C160" s="9"/>
      <c r="D160" s="10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x14ac:dyDescent="0.3">
      <c r="A161" s="7" t="s">
        <v>34</v>
      </c>
      <c r="B161" s="7"/>
      <c r="C161" s="7"/>
      <c r="D161" s="14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x14ac:dyDescent="0.3">
      <c r="A162" s="9">
        <v>1</v>
      </c>
      <c r="B162" s="9"/>
      <c r="C162" s="9"/>
      <c r="D162" s="10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x14ac:dyDescent="0.3">
      <c r="A163" s="9">
        <v>2</v>
      </c>
      <c r="B163" s="9"/>
      <c r="C163" s="9"/>
      <c r="D163" s="10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x14ac:dyDescent="0.3">
      <c r="A164" s="7" t="s">
        <v>35</v>
      </c>
      <c r="B164" s="7"/>
      <c r="C164" s="9"/>
      <c r="D164" s="10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x14ac:dyDescent="0.3">
      <c r="A165" s="9">
        <v>1</v>
      </c>
      <c r="B165" s="9"/>
      <c r="C165" s="9"/>
      <c r="D165" s="10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x14ac:dyDescent="0.3">
      <c r="A166" s="9">
        <v>2</v>
      </c>
      <c r="B166" s="9"/>
      <c r="C166" s="9"/>
      <c r="D166" s="10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x14ac:dyDescent="0.3">
      <c r="A167" s="9">
        <v>3</v>
      </c>
      <c r="B167" s="9"/>
      <c r="C167" s="9"/>
      <c r="D167" s="10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x14ac:dyDescent="0.3">
      <c r="A168" s="7" t="s">
        <v>36</v>
      </c>
      <c r="B168" s="7"/>
      <c r="C168" s="9"/>
      <c r="D168" s="10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x14ac:dyDescent="0.3">
      <c r="A169" s="9">
        <v>1</v>
      </c>
      <c r="B169" s="9"/>
      <c r="C169" s="9"/>
      <c r="D169" s="10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x14ac:dyDescent="0.3">
      <c r="A170" s="9">
        <v>2</v>
      </c>
      <c r="B170" s="9"/>
      <c r="C170" s="9"/>
      <c r="D170" s="10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x14ac:dyDescent="0.3">
      <c r="A171" s="9">
        <v>3</v>
      </c>
      <c r="B171" s="9"/>
      <c r="C171" s="9"/>
      <c r="D171" s="10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x14ac:dyDescent="0.3">
      <c r="A172" s="7" t="s">
        <v>37</v>
      </c>
      <c r="B172" s="7"/>
      <c r="C172" s="9"/>
      <c r="D172" s="10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x14ac:dyDescent="0.3">
      <c r="A173" s="9">
        <v>1</v>
      </c>
      <c r="B173" s="9"/>
      <c r="C173" s="9"/>
      <c r="D173" s="10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x14ac:dyDescent="0.3">
      <c r="A174" s="9">
        <v>2</v>
      </c>
      <c r="B174" s="9"/>
      <c r="C174" s="9"/>
      <c r="D174" s="10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x14ac:dyDescent="0.3">
      <c r="A175" s="7" t="s">
        <v>38</v>
      </c>
      <c r="B175" s="7"/>
      <c r="C175" s="7"/>
      <c r="D175" s="10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x14ac:dyDescent="0.3">
      <c r="A176" s="9">
        <v>1</v>
      </c>
      <c r="B176" s="9"/>
      <c r="C176" s="9"/>
      <c r="D176" s="10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x14ac:dyDescent="0.3">
      <c r="A177" s="9">
        <v>2</v>
      </c>
      <c r="B177" s="9"/>
      <c r="C177" s="9"/>
      <c r="D177" s="10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x14ac:dyDescent="0.3">
      <c r="A178" s="7" t="s">
        <v>39</v>
      </c>
      <c r="B178" s="7"/>
      <c r="C178" s="9"/>
      <c r="D178" s="10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x14ac:dyDescent="0.3">
      <c r="A179" s="9">
        <v>1</v>
      </c>
      <c r="B179" s="9"/>
      <c r="C179" s="9"/>
      <c r="D179" s="10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x14ac:dyDescent="0.3">
      <c r="A180" s="9"/>
      <c r="B180" s="9"/>
      <c r="C180" s="9"/>
      <c r="D180" s="10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x14ac:dyDescent="0.3">
      <c r="A181" s="9"/>
      <c r="B181" s="9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x14ac:dyDescent="0.3">
      <c r="A182" s="7" t="s">
        <v>40</v>
      </c>
      <c r="B182" s="7"/>
      <c r="C182" s="7"/>
      <c r="D182" s="14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x14ac:dyDescent="0.3">
      <c r="A183" s="9">
        <v>1</v>
      </c>
      <c r="B183" s="9"/>
      <c r="C183" s="9"/>
      <c r="D183" s="10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x14ac:dyDescent="0.3">
      <c r="A184" s="9">
        <v>2</v>
      </c>
      <c r="B184" s="9"/>
      <c r="C184" s="9"/>
      <c r="D184" s="10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x14ac:dyDescent="0.3">
      <c r="A185" s="9">
        <v>3</v>
      </c>
      <c r="B185" s="9"/>
      <c r="C185" s="9"/>
      <c r="D185" s="10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x14ac:dyDescent="0.3">
      <c r="A186" s="9">
        <v>4</v>
      </c>
      <c r="B186" s="9"/>
      <c r="C186" s="9"/>
      <c r="D186" s="10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x14ac:dyDescent="0.3">
      <c r="A187" s="7" t="s">
        <v>41</v>
      </c>
      <c r="B187" s="7"/>
      <c r="C187" s="7"/>
      <c r="D187" s="10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x14ac:dyDescent="0.3">
      <c r="A188" s="9">
        <v>1</v>
      </c>
      <c r="B188" s="9"/>
      <c r="C188" s="9"/>
      <c r="D188" s="10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x14ac:dyDescent="0.3">
      <c r="A189" s="9">
        <v>2</v>
      </c>
      <c r="B189" s="9"/>
      <c r="C189" s="9"/>
      <c r="D189" s="10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x14ac:dyDescent="0.3">
      <c r="A190" s="7" t="s">
        <v>42</v>
      </c>
      <c r="B190" s="7"/>
      <c r="C190" s="9"/>
      <c r="D190" s="10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x14ac:dyDescent="0.3">
      <c r="A191" s="9">
        <v>1</v>
      </c>
      <c r="B191" s="9"/>
      <c r="C191" s="9"/>
      <c r="D191" s="10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x14ac:dyDescent="0.3">
      <c r="A192" s="9">
        <v>2</v>
      </c>
      <c r="B192" s="9"/>
      <c r="C192" s="9"/>
      <c r="D192" s="10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x14ac:dyDescent="0.3">
      <c r="A193" s="9">
        <v>3</v>
      </c>
      <c r="B193" s="9"/>
      <c r="C193" s="9"/>
      <c r="D193" s="10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x14ac:dyDescent="0.3">
      <c r="A194" s="7" t="s">
        <v>43</v>
      </c>
      <c r="B194" s="7"/>
      <c r="C194" s="9"/>
      <c r="D194" s="10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x14ac:dyDescent="0.3">
      <c r="A195" s="9">
        <v>1</v>
      </c>
      <c r="B195" s="9"/>
      <c r="C195" s="9"/>
      <c r="D195" s="10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x14ac:dyDescent="0.3">
      <c r="A196" s="9">
        <v>2</v>
      </c>
      <c r="B196" s="9"/>
      <c r="C196" s="9"/>
      <c r="D196" s="10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x14ac:dyDescent="0.3">
      <c r="A197" s="9">
        <v>3</v>
      </c>
      <c r="B197" s="9"/>
      <c r="C197" s="9"/>
      <c r="D197" s="10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x14ac:dyDescent="0.3">
      <c r="A198" s="7" t="s">
        <v>44</v>
      </c>
      <c r="B198" s="7"/>
      <c r="C198" s="7"/>
      <c r="D198" s="10"/>
      <c r="E198" s="10">
        <f>SUM(E5:E197)</f>
        <v>3871000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</sheetData>
  <mergeCells count="2">
    <mergeCell ref="M3:P3"/>
    <mergeCell ref="A70:B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2024-02-28T09:29:29Z</dcterms:created>
  <dcterms:modified xsi:type="dcterms:W3CDTF">2024-05-29T15:01:37Z</dcterms:modified>
</cp:coreProperties>
</file>