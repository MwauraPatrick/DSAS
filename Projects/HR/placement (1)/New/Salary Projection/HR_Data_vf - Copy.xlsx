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1"/>
  </bookViews>
  <sheets>
    <sheet name="Sheet1" sheetId="1" r:id="rId1"/>
    <sheet name="Sheet3" sheetId="3" r:id="rId2"/>
    <sheet name="Sheet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3" l="1"/>
  <c r="K23" i="3"/>
  <c r="L4" i="3"/>
  <c r="L5" i="3"/>
  <c r="L6" i="3"/>
  <c r="L8" i="3"/>
  <c r="L9" i="3"/>
  <c r="L10" i="3"/>
  <c r="L11" i="3"/>
  <c r="L12" i="3"/>
  <c r="L13" i="3"/>
  <c r="L14" i="3"/>
  <c r="L15" i="3"/>
  <c r="L16" i="3"/>
  <c r="L17" i="3"/>
  <c r="L18" i="3"/>
  <c r="L3" i="3"/>
  <c r="K19" i="3"/>
  <c r="J4" i="3"/>
  <c r="J5" i="3"/>
  <c r="J6" i="3"/>
  <c r="J8" i="3"/>
  <c r="J9" i="3"/>
  <c r="J10" i="3"/>
  <c r="J11" i="3"/>
  <c r="J12" i="3"/>
  <c r="J13" i="3"/>
  <c r="J14" i="3"/>
  <c r="J15" i="3"/>
  <c r="J16" i="3"/>
  <c r="J17" i="3"/>
  <c r="J18" i="3"/>
  <c r="H4" i="3"/>
  <c r="H5" i="3"/>
  <c r="H6" i="3"/>
  <c r="H8" i="3"/>
  <c r="H9" i="3"/>
  <c r="H10" i="3"/>
  <c r="H11" i="3"/>
  <c r="H12" i="3"/>
  <c r="H13" i="3"/>
  <c r="H14" i="3"/>
  <c r="H15" i="3"/>
  <c r="H16" i="3"/>
  <c r="H17" i="3"/>
  <c r="H18" i="3"/>
  <c r="J3" i="3"/>
  <c r="I24" i="3"/>
  <c r="I23" i="3"/>
  <c r="G24" i="3"/>
  <c r="G23" i="3"/>
  <c r="I19" i="3"/>
  <c r="G19" i="3"/>
  <c r="F20" i="3" s="1"/>
  <c r="F4" i="3"/>
  <c r="F5" i="3"/>
  <c r="F6" i="3"/>
  <c r="F7" i="3"/>
  <c r="H7" i="3" s="1"/>
  <c r="J7" i="3" s="1"/>
  <c r="F8" i="3"/>
  <c r="F9" i="3"/>
  <c r="F10" i="3"/>
  <c r="F11" i="3"/>
  <c r="F12" i="3"/>
  <c r="F13" i="3"/>
  <c r="F14" i="3"/>
  <c r="F15" i="3"/>
  <c r="F16" i="3"/>
  <c r="F17" i="3"/>
  <c r="F18" i="3"/>
  <c r="E3" i="3"/>
  <c r="F3" i="3" s="1"/>
  <c r="F9" i="2"/>
  <c r="H7" i="2"/>
  <c r="G7" i="2"/>
  <c r="J19" i="3" l="1"/>
  <c r="L7" i="3"/>
  <c r="L19" i="3" s="1"/>
  <c r="H3" i="3"/>
  <c r="H19" i="3" s="1"/>
  <c r="F19" i="3"/>
  <c r="F21" i="3" s="1"/>
  <c r="E4" i="2"/>
  <c r="E3" i="2"/>
  <c r="G3" i="2" s="1"/>
  <c r="G4" i="2" s="1"/>
  <c r="L35" i="1" l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F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2" i="1"/>
  <c r="F23" i="1"/>
  <c r="F24" i="1"/>
  <c r="F25" i="1"/>
  <c r="F26" i="1"/>
  <c r="F27" i="1"/>
  <c r="F28" i="1"/>
  <c r="F29" i="1"/>
  <c r="F30" i="1"/>
  <c r="F31" i="1"/>
  <c r="F32" i="1"/>
  <c r="F34" i="1"/>
  <c r="F35" i="1"/>
  <c r="F2" i="1"/>
</calcChain>
</file>

<file path=xl/sharedStrings.xml><?xml version="1.0" encoding="utf-8"?>
<sst xmlns="http://schemas.openxmlformats.org/spreadsheetml/2006/main" count="111" uniqueCount="58">
  <si>
    <t>Basic Salary</t>
  </si>
  <si>
    <t>Rental house allowance</t>
  </si>
  <si>
    <t>Acting allowance</t>
  </si>
  <si>
    <t>Resp allowance</t>
  </si>
  <si>
    <t>Entertainment allowance</t>
  </si>
  <si>
    <t>extraneous allowance</t>
  </si>
  <si>
    <t>commuter allowance</t>
  </si>
  <si>
    <t>health risk allowance</t>
  </si>
  <si>
    <t>monthly retainer</t>
  </si>
  <si>
    <t>research allowance</t>
  </si>
  <si>
    <t>training levy</t>
  </si>
  <si>
    <t>pension</t>
  </si>
  <si>
    <t>university loan recovery</t>
  </si>
  <si>
    <t>salary advance recovery</t>
  </si>
  <si>
    <t>bank loan/credit recovery</t>
  </si>
  <si>
    <t>GOK house rent</t>
  </si>
  <si>
    <t>social welfare ass. Cont.</t>
  </si>
  <si>
    <t>mess fund</t>
  </si>
  <si>
    <t>imprest recovery</t>
  </si>
  <si>
    <t>social welfare ass. Loan.</t>
  </si>
  <si>
    <t>insurance policy premium</t>
  </si>
  <si>
    <t>NSSF auto</t>
  </si>
  <si>
    <t>PAYE auto</t>
  </si>
  <si>
    <t>SHIF auto</t>
  </si>
  <si>
    <t>SACCO Loan interest</t>
  </si>
  <si>
    <t>SACCO Loan recovery</t>
  </si>
  <si>
    <t>SACCO share contribution</t>
  </si>
  <si>
    <t>housing levy fund</t>
  </si>
  <si>
    <t>NSSF voluntary</t>
  </si>
  <si>
    <t>July</t>
  </si>
  <si>
    <t>Aug</t>
  </si>
  <si>
    <t>Sept</t>
  </si>
  <si>
    <t>Oct</t>
  </si>
  <si>
    <t>Nov</t>
  </si>
  <si>
    <t>Dec</t>
  </si>
  <si>
    <t>leave travel allowance</t>
  </si>
  <si>
    <t>service gratuity</t>
  </si>
  <si>
    <t>Q1 Total</t>
  </si>
  <si>
    <t>Q2 Total</t>
  </si>
  <si>
    <t>Adv. Net salary recovery</t>
  </si>
  <si>
    <t>GOK Rent arrears/recovery</t>
  </si>
  <si>
    <t>Medical allowannce</t>
  </si>
  <si>
    <t>Q3 Projection</t>
  </si>
  <si>
    <t>Q4 Projection</t>
  </si>
  <si>
    <t>Q2 Basic Salary</t>
  </si>
  <si>
    <t>Q1</t>
  </si>
  <si>
    <t>Q2</t>
  </si>
  <si>
    <t>Q3</t>
  </si>
  <si>
    <t>Q4</t>
  </si>
  <si>
    <t>25/26</t>
  </si>
  <si>
    <t>26/27</t>
  </si>
  <si>
    <t>27/28</t>
  </si>
  <si>
    <t>Basic</t>
  </si>
  <si>
    <t>Additional</t>
  </si>
  <si>
    <t>Additional gross</t>
  </si>
  <si>
    <t>SHIF (2.75% of gross)</t>
  </si>
  <si>
    <t>Housing levy (2.75% of gross)</t>
  </si>
  <si>
    <t>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</si>
</sst>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" fontId="0" fillId="0" borderId="0" xfId="0" applyNumberFormat="1"/>
    <xf numFmtId="0" fontId="1" fillId="0" borderId="0" xfId="0" applyFont="1"/>
    <xf numFmtId="0" fontId="0" fillId="2" borderId="0" xfId="0" applyFill="1"/>
    <xf numFmtId="0" fontId="1" fillId="0" borderId="1" xfId="0" applyFont="1" applyBorder="1"/>
    <xf numFmtId="4" fontId="1" fillId="0" borderId="1" xfId="0" applyNumberFormat="1" applyFont="1" applyBorder="1"/>
    <xf numFmtId="0" fontId="0" fillId="0" borderId="1" xfId="0" applyBorder="1"/>
    <xf numFmtId="4" fontId="0" fillId="0" borderId="1" xfId="0" applyNumberFormat="1" applyBorder="1"/>
    <xf numFmtId="4" fontId="4" fillId="0" borderId="1" xfId="0" applyNumberFormat="1" applyFont="1" applyBorder="1"/>
    <xf numFmtId="0" fontId="0" fillId="2" borderId="1" xfId="0" applyFill="1" applyBorder="1"/>
    <xf numFmtId="4" fontId="0" fillId="2" borderId="1" xfId="0" applyNumberFormat="1" applyFill="1" applyBorder="1"/>
    <xf numFmtId="4" fontId="3" fillId="0" borderId="1" xfId="0" applyNumberFormat="1" applyFont="1" applyBorder="1"/>
    <xf numFmtId="4" fontId="2" fillId="0" borderId="1" xfId="0" applyNumberFormat="1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5"/>
  <sheetViews>
    <sheetView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L3" sqref="L3:L5"/>
    </sheetView>
  </sheetViews>
  <sheetFormatPr defaultRowHeight="15" x14ac:dyDescent="0.25"/>
  <cols>
    <col min="2" max="2" width="24.140625" customWidth="1"/>
    <col min="3" max="3" width="15" style="1" customWidth="1"/>
    <col min="4" max="4" width="16.5703125" style="1" customWidth="1"/>
    <col min="5" max="5" width="17.7109375" style="1" customWidth="1"/>
    <col min="6" max="7" width="15.5703125" style="1" customWidth="1"/>
    <col min="8" max="8" width="24.140625" customWidth="1"/>
    <col min="9" max="9" width="16" style="1" customWidth="1"/>
    <col min="10" max="10" width="17.42578125" style="1" customWidth="1"/>
    <col min="11" max="11" width="19.42578125" style="1" customWidth="1"/>
    <col min="12" max="12" width="23.42578125" style="1" customWidth="1"/>
  </cols>
  <sheetData>
    <row r="1" spans="2:12" x14ac:dyDescent="0.25">
      <c r="C1" s="1" t="s">
        <v>29</v>
      </c>
      <c r="D1" s="1" t="s">
        <v>30</v>
      </c>
      <c r="E1" s="1" t="s">
        <v>31</v>
      </c>
      <c r="F1" s="1" t="s">
        <v>37</v>
      </c>
      <c r="I1" s="1" t="s">
        <v>32</v>
      </c>
      <c r="J1" s="1" t="s">
        <v>33</v>
      </c>
      <c r="K1" s="1" t="s">
        <v>34</v>
      </c>
      <c r="L1" s="1" t="s">
        <v>38</v>
      </c>
    </row>
    <row r="2" spans="2:12" x14ac:dyDescent="0.25">
      <c r="B2" t="s">
        <v>0</v>
      </c>
      <c r="C2" s="1">
        <v>6670055</v>
      </c>
      <c r="D2" s="1">
        <v>6686592</v>
      </c>
      <c r="E2" s="1">
        <v>6852697</v>
      </c>
      <c r="F2" s="1">
        <f>C2+D2+E2</f>
        <v>20209344</v>
      </c>
      <c r="H2" t="s">
        <v>0</v>
      </c>
      <c r="I2" s="1">
        <v>6864242</v>
      </c>
      <c r="J2" s="1">
        <v>6871368</v>
      </c>
      <c r="K2" s="1">
        <v>6850343</v>
      </c>
      <c r="L2" s="1">
        <f>I2+J2+K2</f>
        <v>20585953</v>
      </c>
    </row>
    <row r="3" spans="2:12" x14ac:dyDescent="0.25">
      <c r="B3" t="s">
        <v>1</v>
      </c>
      <c r="C3" s="1">
        <v>2758096.75</v>
      </c>
      <c r="D3" s="1">
        <v>2757750</v>
      </c>
      <c r="E3" s="1">
        <v>2777750</v>
      </c>
      <c r="F3" s="1">
        <f>C3+D3+E3</f>
        <v>8293596.75</v>
      </c>
      <c r="H3" t="s">
        <v>1</v>
      </c>
      <c r="I3" s="1">
        <v>2777750</v>
      </c>
      <c r="J3" s="1">
        <v>2781000</v>
      </c>
      <c r="K3" s="1">
        <v>2781250</v>
      </c>
      <c r="L3" s="1">
        <f t="shared" ref="L3:L35" si="0">I3+J3+K3</f>
        <v>8340000</v>
      </c>
    </row>
    <row r="4" spans="2:12" x14ac:dyDescent="0.25">
      <c r="B4" t="s">
        <v>41</v>
      </c>
      <c r="H4" t="s">
        <v>41</v>
      </c>
      <c r="I4" s="1">
        <v>0</v>
      </c>
      <c r="J4" s="1">
        <v>0</v>
      </c>
      <c r="K4" s="1">
        <v>180700</v>
      </c>
      <c r="L4" s="1">
        <f t="shared" si="0"/>
        <v>180700</v>
      </c>
    </row>
    <row r="5" spans="2:12" x14ac:dyDescent="0.25">
      <c r="B5" t="s">
        <v>2</v>
      </c>
      <c r="C5" s="1">
        <v>7978.4</v>
      </c>
      <c r="D5" s="1">
        <v>7978.4</v>
      </c>
      <c r="E5" s="1">
        <v>7978.4</v>
      </c>
      <c r="F5" s="1">
        <f t="shared" ref="F5:F20" si="1">C5+D5+E5</f>
        <v>23935.199999999997</v>
      </c>
      <c r="H5" t="s">
        <v>2</v>
      </c>
      <c r="I5" s="1">
        <v>7978.4</v>
      </c>
      <c r="J5" s="1">
        <v>7978.4</v>
      </c>
      <c r="K5" s="1">
        <v>8257.7999999999993</v>
      </c>
      <c r="L5" s="1">
        <f t="shared" si="0"/>
        <v>24214.6</v>
      </c>
    </row>
    <row r="6" spans="2:12" x14ac:dyDescent="0.25">
      <c r="B6" t="s">
        <v>3</v>
      </c>
      <c r="C6" s="1">
        <v>55000</v>
      </c>
      <c r="D6" s="1">
        <v>55000</v>
      </c>
      <c r="E6" s="1">
        <v>80000</v>
      </c>
      <c r="F6" s="1">
        <f t="shared" si="1"/>
        <v>190000</v>
      </c>
      <c r="H6" t="s">
        <v>3</v>
      </c>
      <c r="I6" s="1">
        <v>80000</v>
      </c>
      <c r="J6" s="1">
        <v>80000</v>
      </c>
      <c r="K6" s="1">
        <v>80000</v>
      </c>
      <c r="L6" s="1">
        <f t="shared" si="0"/>
        <v>240000</v>
      </c>
    </row>
    <row r="7" spans="2:12" x14ac:dyDescent="0.25">
      <c r="B7" t="s">
        <v>4</v>
      </c>
      <c r="C7" s="1">
        <v>23500</v>
      </c>
      <c r="D7" s="1">
        <v>23500</v>
      </c>
      <c r="E7" s="1">
        <v>35500</v>
      </c>
      <c r="F7" s="1">
        <f t="shared" si="1"/>
        <v>82500</v>
      </c>
      <c r="H7" t="s">
        <v>4</v>
      </c>
      <c r="I7" s="1">
        <v>35500</v>
      </c>
      <c r="J7" s="1">
        <v>35500</v>
      </c>
      <c r="K7" s="1">
        <v>35500</v>
      </c>
      <c r="L7" s="1">
        <f t="shared" si="0"/>
        <v>106500</v>
      </c>
    </row>
    <row r="8" spans="2:12" x14ac:dyDescent="0.25">
      <c r="B8" t="s">
        <v>6</v>
      </c>
      <c r="C8" s="1">
        <v>820838.7</v>
      </c>
      <c r="D8" s="1">
        <v>822000</v>
      </c>
      <c r="E8" s="1">
        <v>822000</v>
      </c>
      <c r="F8" s="1">
        <f t="shared" si="1"/>
        <v>2464838.7000000002</v>
      </c>
      <c r="H8" t="s">
        <v>6</v>
      </c>
      <c r="I8" s="1">
        <v>822000</v>
      </c>
      <c r="J8" s="1">
        <v>822000</v>
      </c>
      <c r="K8" s="1">
        <v>782000</v>
      </c>
      <c r="L8" s="1">
        <f t="shared" si="0"/>
        <v>2426000</v>
      </c>
    </row>
    <row r="9" spans="2:12" x14ac:dyDescent="0.25">
      <c r="B9" t="s">
        <v>5</v>
      </c>
      <c r="C9" s="1">
        <v>4000</v>
      </c>
      <c r="D9" s="1">
        <v>4000</v>
      </c>
      <c r="E9" s="1">
        <v>4000</v>
      </c>
      <c r="F9" s="1">
        <f t="shared" si="1"/>
        <v>12000</v>
      </c>
      <c r="H9" t="s">
        <v>5</v>
      </c>
      <c r="I9" s="1">
        <v>4000</v>
      </c>
      <c r="J9" s="1">
        <v>4000</v>
      </c>
      <c r="K9" s="1">
        <v>4000</v>
      </c>
      <c r="L9" s="1">
        <f t="shared" si="0"/>
        <v>12000</v>
      </c>
    </row>
    <row r="10" spans="2:12" x14ac:dyDescent="0.25">
      <c r="B10" t="s">
        <v>7</v>
      </c>
      <c r="C10" s="1">
        <v>9000</v>
      </c>
      <c r="D10" s="1">
        <v>9500</v>
      </c>
      <c r="E10" s="1">
        <v>9500</v>
      </c>
      <c r="F10" s="1">
        <f t="shared" si="1"/>
        <v>28000</v>
      </c>
      <c r="H10" t="s">
        <v>7</v>
      </c>
      <c r="I10" s="1">
        <v>9500</v>
      </c>
      <c r="J10" s="1">
        <v>9500</v>
      </c>
      <c r="K10" s="1">
        <v>0</v>
      </c>
      <c r="L10" s="1">
        <f t="shared" si="0"/>
        <v>19000</v>
      </c>
    </row>
    <row r="11" spans="2:12" x14ac:dyDescent="0.25">
      <c r="B11" t="s">
        <v>35</v>
      </c>
      <c r="C11" s="1">
        <v>677500</v>
      </c>
      <c r="D11" s="1">
        <v>140000</v>
      </c>
      <c r="E11" s="1">
        <v>0</v>
      </c>
      <c r="F11" s="1">
        <f t="shared" si="1"/>
        <v>817500</v>
      </c>
      <c r="H11" t="s">
        <v>35</v>
      </c>
      <c r="I11" s="1">
        <v>0</v>
      </c>
      <c r="J11" s="1">
        <v>0</v>
      </c>
      <c r="K11" s="1">
        <v>0</v>
      </c>
      <c r="L11" s="1">
        <f t="shared" si="0"/>
        <v>0</v>
      </c>
    </row>
    <row r="12" spans="2:12" x14ac:dyDescent="0.25">
      <c r="B12" t="s">
        <v>36</v>
      </c>
      <c r="C12" s="1">
        <v>0</v>
      </c>
      <c r="D12" s="1">
        <v>576359.44999999995</v>
      </c>
      <c r="E12" s="1">
        <v>0</v>
      </c>
      <c r="F12" s="1">
        <f t="shared" si="1"/>
        <v>576359.44999999995</v>
      </c>
      <c r="H12" t="s">
        <v>36</v>
      </c>
      <c r="I12" s="1">
        <v>0</v>
      </c>
      <c r="J12" s="1">
        <v>0</v>
      </c>
      <c r="K12" s="1">
        <v>0</v>
      </c>
      <c r="L12" s="1">
        <f t="shared" si="0"/>
        <v>0</v>
      </c>
    </row>
    <row r="13" spans="2:12" x14ac:dyDescent="0.25">
      <c r="B13" t="s">
        <v>8</v>
      </c>
      <c r="C13" s="1">
        <v>565437</v>
      </c>
      <c r="D13" s="1">
        <v>562437</v>
      </c>
      <c r="E13" s="1">
        <v>539792</v>
      </c>
      <c r="F13" s="1">
        <f t="shared" si="1"/>
        <v>1667666</v>
      </c>
      <c r="H13" t="s">
        <v>8</v>
      </c>
      <c r="I13" s="1">
        <v>607580</v>
      </c>
      <c r="J13" s="1">
        <v>607580</v>
      </c>
      <c r="K13" s="1">
        <v>571437</v>
      </c>
      <c r="L13" s="1">
        <f t="shared" si="0"/>
        <v>1786597</v>
      </c>
    </row>
    <row r="14" spans="2:12" x14ac:dyDescent="0.25">
      <c r="B14" t="s">
        <v>9</v>
      </c>
      <c r="C14" s="1">
        <v>644120</v>
      </c>
      <c r="D14" s="1">
        <v>418240</v>
      </c>
      <c r="E14" s="1">
        <v>329120</v>
      </c>
      <c r="F14" s="1">
        <f t="shared" si="1"/>
        <v>1391480</v>
      </c>
      <c r="H14" t="s">
        <v>9</v>
      </c>
      <c r="I14" s="1">
        <v>990120</v>
      </c>
      <c r="J14" s="1">
        <v>1046120</v>
      </c>
      <c r="K14" s="1">
        <v>956120</v>
      </c>
      <c r="L14" s="1">
        <f t="shared" si="0"/>
        <v>2992360</v>
      </c>
    </row>
    <row r="15" spans="2:12" x14ac:dyDescent="0.25">
      <c r="B15" t="s">
        <v>10</v>
      </c>
      <c r="C15" s="1">
        <v>23997</v>
      </c>
      <c r="D15" s="1">
        <v>23997</v>
      </c>
      <c r="E15" s="1">
        <v>23997</v>
      </c>
      <c r="F15" s="1">
        <f t="shared" si="1"/>
        <v>71991</v>
      </c>
      <c r="H15" t="s">
        <v>10</v>
      </c>
      <c r="I15" s="1">
        <v>23997</v>
      </c>
      <c r="J15" s="1">
        <v>23997</v>
      </c>
      <c r="K15" s="1">
        <v>13955.4</v>
      </c>
      <c r="L15" s="1">
        <f t="shared" si="0"/>
        <v>61949.4</v>
      </c>
    </row>
    <row r="16" spans="2:12" x14ac:dyDescent="0.25">
      <c r="B16" t="s">
        <v>11</v>
      </c>
      <c r="C16" s="1">
        <v>351016.55</v>
      </c>
      <c r="D16" s="1">
        <v>352020.55</v>
      </c>
      <c r="E16" s="1">
        <v>352519.35</v>
      </c>
      <c r="F16" s="1">
        <f t="shared" si="1"/>
        <v>1055556.45</v>
      </c>
      <c r="H16" t="s">
        <v>11</v>
      </c>
      <c r="J16" s="1">
        <v>353475.75</v>
      </c>
      <c r="K16" s="1">
        <v>352163.05</v>
      </c>
      <c r="L16" s="1">
        <f t="shared" si="0"/>
        <v>705638.8</v>
      </c>
    </row>
    <row r="17" spans="2:12" x14ac:dyDescent="0.25">
      <c r="B17" t="s">
        <v>12</v>
      </c>
      <c r="C17" s="1">
        <v>4246</v>
      </c>
      <c r="D17" s="1">
        <v>4246</v>
      </c>
      <c r="E17" s="1">
        <v>4246</v>
      </c>
      <c r="F17" s="1">
        <f t="shared" si="1"/>
        <v>12738</v>
      </c>
      <c r="H17" t="s">
        <v>12</v>
      </c>
      <c r="I17" s="1">
        <v>4246</v>
      </c>
      <c r="J17" s="1">
        <v>4246</v>
      </c>
      <c r="K17" s="1">
        <v>4246</v>
      </c>
      <c r="L17" s="1">
        <f t="shared" si="0"/>
        <v>12738</v>
      </c>
    </row>
    <row r="18" spans="2:12" x14ac:dyDescent="0.25">
      <c r="B18" t="s">
        <v>13</v>
      </c>
      <c r="C18" s="1">
        <v>7000</v>
      </c>
      <c r="D18" s="1">
        <v>10334</v>
      </c>
      <c r="E18" s="1">
        <v>10334</v>
      </c>
      <c r="F18" s="1">
        <f t="shared" si="1"/>
        <v>27668</v>
      </c>
      <c r="H18" t="s">
        <v>13</v>
      </c>
      <c r="I18" s="1">
        <v>43665</v>
      </c>
      <c r="J18" s="1">
        <v>44833.35</v>
      </c>
      <c r="K18" s="1">
        <v>8333</v>
      </c>
      <c r="L18" s="1">
        <f t="shared" si="0"/>
        <v>96831.35</v>
      </c>
    </row>
    <row r="19" spans="2:12" x14ac:dyDescent="0.25">
      <c r="B19" t="s">
        <v>14</v>
      </c>
      <c r="C19" s="1">
        <v>493083</v>
      </c>
      <c r="D19" s="1">
        <v>510891</v>
      </c>
      <c r="E19" s="1">
        <v>510891</v>
      </c>
      <c r="F19" s="1">
        <f t="shared" si="1"/>
        <v>1514865</v>
      </c>
      <c r="H19" t="s">
        <v>14</v>
      </c>
      <c r="I19" s="1">
        <v>510891</v>
      </c>
      <c r="J19" s="1">
        <v>510891</v>
      </c>
      <c r="K19" s="1">
        <v>510891</v>
      </c>
      <c r="L19" s="1">
        <f t="shared" si="0"/>
        <v>1532673</v>
      </c>
    </row>
    <row r="20" spans="2:12" x14ac:dyDescent="0.25">
      <c r="B20" t="s">
        <v>15</v>
      </c>
      <c r="C20" s="1">
        <v>169800</v>
      </c>
      <c r="D20" s="1">
        <v>169800</v>
      </c>
      <c r="E20" s="1">
        <v>169800</v>
      </c>
      <c r="F20" s="1">
        <f t="shared" si="1"/>
        <v>509400</v>
      </c>
      <c r="H20" t="s">
        <v>15</v>
      </c>
      <c r="I20" s="1">
        <v>149800</v>
      </c>
      <c r="J20" s="1">
        <v>149800</v>
      </c>
      <c r="K20" s="1">
        <v>119800</v>
      </c>
      <c r="L20" s="1">
        <f t="shared" si="0"/>
        <v>419400</v>
      </c>
    </row>
    <row r="21" spans="2:12" x14ac:dyDescent="0.25">
      <c r="B21" t="s">
        <v>39</v>
      </c>
      <c r="C21" s="1">
        <v>0</v>
      </c>
      <c r="D21" s="1">
        <v>0</v>
      </c>
      <c r="E21" s="1">
        <v>0</v>
      </c>
      <c r="F21" s="1">
        <v>0</v>
      </c>
      <c r="H21" t="s">
        <v>39</v>
      </c>
      <c r="I21" s="1">
        <v>0</v>
      </c>
      <c r="J21" s="1">
        <v>2000</v>
      </c>
      <c r="K21" s="1">
        <v>0</v>
      </c>
      <c r="L21" s="1">
        <f t="shared" si="0"/>
        <v>2000</v>
      </c>
    </row>
    <row r="22" spans="2:12" x14ac:dyDescent="0.25">
      <c r="B22" t="s">
        <v>16</v>
      </c>
      <c r="C22" s="1">
        <v>417650</v>
      </c>
      <c r="D22" s="1">
        <v>416550</v>
      </c>
      <c r="E22" s="1">
        <v>411250</v>
      </c>
      <c r="F22" s="1">
        <f t="shared" ref="F22:F32" si="2">C22+D22+E22</f>
        <v>1245450</v>
      </c>
      <c r="H22" t="s">
        <v>16</v>
      </c>
      <c r="I22" s="1">
        <v>409950</v>
      </c>
      <c r="J22" s="1">
        <v>396950</v>
      </c>
      <c r="K22" s="1">
        <v>393850</v>
      </c>
      <c r="L22" s="1">
        <f t="shared" si="0"/>
        <v>1200750</v>
      </c>
    </row>
    <row r="23" spans="2:12" x14ac:dyDescent="0.25">
      <c r="B23" t="s">
        <v>17</v>
      </c>
      <c r="C23" s="1">
        <v>31100</v>
      </c>
      <c r="D23" s="1">
        <v>31400</v>
      </c>
      <c r="E23" s="1">
        <v>30900</v>
      </c>
      <c r="F23" s="1">
        <f t="shared" si="2"/>
        <v>93400</v>
      </c>
      <c r="H23" t="s">
        <v>17</v>
      </c>
      <c r="I23" s="1">
        <v>31600</v>
      </c>
      <c r="J23" s="1">
        <v>31600</v>
      </c>
      <c r="K23" s="1">
        <v>31400</v>
      </c>
      <c r="L23" s="1">
        <f t="shared" si="0"/>
        <v>94600</v>
      </c>
    </row>
    <row r="24" spans="2:12" x14ac:dyDescent="0.25">
      <c r="B24" t="s">
        <v>18</v>
      </c>
      <c r="C24" s="1">
        <v>0</v>
      </c>
      <c r="D24" s="1">
        <v>0</v>
      </c>
      <c r="E24" s="1">
        <v>690240</v>
      </c>
      <c r="F24" s="1">
        <f t="shared" si="2"/>
        <v>690240</v>
      </c>
      <c r="H24" t="s">
        <v>18</v>
      </c>
      <c r="I24" s="1">
        <v>443929</v>
      </c>
      <c r="J24" s="1">
        <v>331895.8</v>
      </c>
      <c r="K24" s="1">
        <v>15000</v>
      </c>
      <c r="L24" s="1">
        <f t="shared" si="0"/>
        <v>790824.8</v>
      </c>
    </row>
    <row r="25" spans="2:12" x14ac:dyDescent="0.25">
      <c r="B25" t="s">
        <v>19</v>
      </c>
      <c r="C25" s="1">
        <v>713922</v>
      </c>
      <c r="D25" s="1">
        <v>676341</v>
      </c>
      <c r="E25" s="1">
        <v>634121</v>
      </c>
      <c r="F25" s="1">
        <f t="shared" si="2"/>
        <v>2024384</v>
      </c>
      <c r="H25" t="s">
        <v>19</v>
      </c>
      <c r="I25" s="1">
        <v>657521</v>
      </c>
      <c r="J25" s="1">
        <v>613117</v>
      </c>
      <c r="K25" s="1">
        <v>596309</v>
      </c>
      <c r="L25" s="1">
        <f t="shared" si="0"/>
        <v>1866947</v>
      </c>
    </row>
    <row r="26" spans="2:12" x14ac:dyDescent="0.25">
      <c r="B26" t="s">
        <v>20</v>
      </c>
      <c r="C26" s="1">
        <v>108548</v>
      </c>
      <c r="D26" s="1">
        <v>108548</v>
      </c>
      <c r="E26" s="1">
        <v>108548</v>
      </c>
      <c r="F26" s="1">
        <f t="shared" si="2"/>
        <v>325644</v>
      </c>
      <c r="H26" t="s">
        <v>20</v>
      </c>
      <c r="I26" s="1">
        <v>108548</v>
      </c>
      <c r="J26" s="1">
        <v>108548</v>
      </c>
      <c r="K26" s="1">
        <v>108548</v>
      </c>
      <c r="L26" s="1">
        <f t="shared" si="0"/>
        <v>325644</v>
      </c>
    </row>
    <row r="27" spans="2:12" x14ac:dyDescent="0.25">
      <c r="B27" t="s">
        <v>21</v>
      </c>
      <c r="C27" s="1">
        <v>160920</v>
      </c>
      <c r="D27" s="1">
        <v>163080</v>
      </c>
      <c r="E27" s="1">
        <v>162000</v>
      </c>
      <c r="F27" s="1">
        <f t="shared" si="2"/>
        <v>486000</v>
      </c>
      <c r="H27" t="s">
        <v>21</v>
      </c>
      <c r="I27" s="1">
        <v>163080</v>
      </c>
      <c r="J27" s="1">
        <v>163080</v>
      </c>
      <c r="K27" s="1">
        <v>160920</v>
      </c>
      <c r="L27" s="1">
        <f t="shared" si="0"/>
        <v>487080</v>
      </c>
    </row>
    <row r="28" spans="2:12" x14ac:dyDescent="0.25">
      <c r="B28" t="s">
        <v>22</v>
      </c>
      <c r="C28" s="1">
        <v>2538171.5</v>
      </c>
      <c r="D28" s="1">
        <v>2567999.25</v>
      </c>
      <c r="E28" s="1">
        <v>2816241.25</v>
      </c>
      <c r="F28" s="1">
        <f t="shared" si="2"/>
        <v>7922412</v>
      </c>
      <c r="H28" t="s">
        <v>22</v>
      </c>
      <c r="I28" s="1">
        <v>2689536</v>
      </c>
      <c r="J28" s="1">
        <v>2658252.15</v>
      </c>
      <c r="K28" s="1">
        <v>2901904.4</v>
      </c>
      <c r="L28" s="1">
        <f t="shared" si="0"/>
        <v>8249692.5500000007</v>
      </c>
    </row>
    <row r="29" spans="2:12" x14ac:dyDescent="0.25">
      <c r="B29" t="s">
        <v>23</v>
      </c>
      <c r="C29" s="1">
        <v>195200</v>
      </c>
      <c r="D29" s="1">
        <v>197800</v>
      </c>
      <c r="E29" s="1">
        <v>195150</v>
      </c>
      <c r="F29" s="1">
        <f t="shared" si="2"/>
        <v>588150</v>
      </c>
      <c r="H29" t="s">
        <v>23</v>
      </c>
      <c r="I29" s="1">
        <v>365656</v>
      </c>
      <c r="J29" s="1">
        <v>362681</v>
      </c>
      <c r="K29" s="1">
        <v>380908.79999999999</v>
      </c>
      <c r="L29" s="1">
        <f t="shared" si="0"/>
        <v>1109245.8</v>
      </c>
    </row>
    <row r="30" spans="2:12" x14ac:dyDescent="0.25">
      <c r="B30" t="s">
        <v>24</v>
      </c>
      <c r="C30" s="1">
        <v>0</v>
      </c>
      <c r="D30" s="1">
        <v>0</v>
      </c>
      <c r="E30" s="1">
        <v>1922</v>
      </c>
      <c r="F30" s="1">
        <f t="shared" si="2"/>
        <v>1922</v>
      </c>
      <c r="H30" t="s">
        <v>24</v>
      </c>
      <c r="I30" s="1">
        <v>1852</v>
      </c>
      <c r="J30" s="1">
        <v>40963.5</v>
      </c>
      <c r="K30" s="1">
        <v>3000.5</v>
      </c>
      <c r="L30" s="1">
        <f t="shared" si="0"/>
        <v>45816</v>
      </c>
    </row>
    <row r="31" spans="2:12" x14ac:dyDescent="0.25">
      <c r="B31" t="s">
        <v>25</v>
      </c>
      <c r="C31" s="1">
        <v>1808490.4</v>
      </c>
      <c r="D31" s="1">
        <v>1795049.55</v>
      </c>
      <c r="E31" s="1">
        <v>1750882.55</v>
      </c>
      <c r="F31" s="1">
        <f t="shared" si="2"/>
        <v>5354422.5</v>
      </c>
      <c r="H31" t="s">
        <v>25</v>
      </c>
      <c r="I31" s="1">
        <v>1640893</v>
      </c>
      <c r="J31" s="1">
        <v>1620543.9</v>
      </c>
      <c r="K31" s="1">
        <v>1698706.4</v>
      </c>
      <c r="L31" s="1">
        <f t="shared" si="0"/>
        <v>4960143.3</v>
      </c>
    </row>
    <row r="32" spans="2:12" x14ac:dyDescent="0.25">
      <c r="B32" t="s">
        <v>26</v>
      </c>
      <c r="C32" s="1">
        <v>413425</v>
      </c>
      <c r="D32" s="1">
        <v>414925</v>
      </c>
      <c r="E32" s="1">
        <v>419425</v>
      </c>
      <c r="F32" s="1">
        <f t="shared" si="2"/>
        <v>1247775</v>
      </c>
      <c r="H32" t="s">
        <v>26</v>
      </c>
      <c r="I32" s="1">
        <v>419425</v>
      </c>
      <c r="J32" s="1">
        <v>429725</v>
      </c>
      <c r="K32" s="1">
        <v>433225</v>
      </c>
      <c r="L32" s="1">
        <f t="shared" si="0"/>
        <v>1282375</v>
      </c>
    </row>
    <row r="33" spans="2:12" x14ac:dyDescent="0.25">
      <c r="B33" t="s">
        <v>40</v>
      </c>
      <c r="H33" t="s">
        <v>40</v>
      </c>
      <c r="J33" s="1">
        <v>15000</v>
      </c>
      <c r="K33" s="1">
        <v>15000</v>
      </c>
      <c r="L33" s="1">
        <f t="shared" si="0"/>
        <v>30000</v>
      </c>
    </row>
    <row r="34" spans="2:12" x14ac:dyDescent="0.25">
      <c r="B34" t="s">
        <v>27</v>
      </c>
      <c r="C34" s="1">
        <v>191124.15</v>
      </c>
      <c r="D34" s="1">
        <v>193682.15</v>
      </c>
      <c r="E34" s="1">
        <v>205061.5</v>
      </c>
      <c r="F34" s="1">
        <f>C34+D34+E34</f>
        <v>589867.80000000005</v>
      </c>
      <c r="H34" t="s">
        <v>27</v>
      </c>
      <c r="I34" s="1">
        <v>199449</v>
      </c>
      <c r="J34" s="1">
        <v>197826.4</v>
      </c>
      <c r="K34" s="1">
        <v>207766.9</v>
      </c>
      <c r="L34" s="1">
        <f t="shared" si="0"/>
        <v>605042.30000000005</v>
      </c>
    </row>
    <row r="35" spans="2:12" x14ac:dyDescent="0.25">
      <c r="B35" t="s">
        <v>28</v>
      </c>
      <c r="C35" s="1">
        <v>3800</v>
      </c>
      <c r="D35" s="1">
        <v>3800</v>
      </c>
      <c r="E35" s="1">
        <v>3800</v>
      </c>
      <c r="F35" s="1">
        <f>C35+D35+E35</f>
        <v>11400</v>
      </c>
      <c r="H35" t="s">
        <v>28</v>
      </c>
      <c r="I35" s="1">
        <v>3800</v>
      </c>
      <c r="J35" s="1">
        <v>3800</v>
      </c>
      <c r="K35" s="1">
        <v>0</v>
      </c>
      <c r="L35" s="1">
        <f t="shared" si="0"/>
        <v>7600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tabSelected="1" workbookViewId="0">
      <selection activeCell="E7" sqref="E7"/>
    </sheetView>
  </sheetViews>
  <sheetFormatPr defaultRowHeight="15" x14ac:dyDescent="0.25"/>
  <cols>
    <col min="1" max="1" width="19.7109375" customWidth="1"/>
    <col min="2" max="2" width="13.140625" customWidth="1"/>
    <col min="3" max="3" width="11.7109375" customWidth="1"/>
    <col min="4" max="4" width="14.28515625" customWidth="1"/>
    <col min="5" max="5" width="14.140625" customWidth="1"/>
    <col min="6" max="6" width="16" style="1" customWidth="1"/>
    <col min="7" max="7" width="15.5703125" style="1" customWidth="1"/>
    <col min="8" max="8" width="17.5703125" customWidth="1"/>
    <col min="9" max="9" width="15.5703125" customWidth="1"/>
    <col min="10" max="11" width="16.140625" customWidth="1"/>
    <col min="12" max="12" width="14.42578125" customWidth="1"/>
    <col min="14" max="14" width="15.140625" customWidth="1"/>
  </cols>
  <sheetData>
    <row r="2" spans="1:12" s="2" customFormat="1" x14ac:dyDescent="0.25">
      <c r="A2" s="4"/>
      <c r="B2" s="4" t="s">
        <v>45</v>
      </c>
      <c r="C2" s="4" t="s">
        <v>46</v>
      </c>
      <c r="D2" s="4" t="s">
        <v>47</v>
      </c>
      <c r="E2" s="4" t="s">
        <v>48</v>
      </c>
      <c r="F2" s="4" t="s">
        <v>57</v>
      </c>
      <c r="G2" s="5" t="s">
        <v>53</v>
      </c>
      <c r="H2" s="4" t="s">
        <v>49</v>
      </c>
      <c r="I2" s="4" t="s">
        <v>53</v>
      </c>
      <c r="J2" s="4" t="s">
        <v>50</v>
      </c>
      <c r="K2" s="4" t="s">
        <v>53</v>
      </c>
      <c r="L2" s="4" t="s">
        <v>51</v>
      </c>
    </row>
    <row r="3" spans="1:12" x14ac:dyDescent="0.25">
      <c r="A3" s="6" t="s">
        <v>52</v>
      </c>
      <c r="B3" s="6">
        <v>20209344</v>
      </c>
      <c r="C3" s="6">
        <v>20585953</v>
      </c>
      <c r="D3" s="6">
        <v>23249327.789999999</v>
      </c>
      <c r="E3" s="6">
        <f>D3*1.1</f>
        <v>25574260.569000002</v>
      </c>
      <c r="F3" s="7">
        <f>SUM(B3:E3)</f>
        <v>89618885.358999997</v>
      </c>
      <c r="G3" s="8">
        <v>17132184</v>
      </c>
      <c r="H3" s="7">
        <f>SUM(F3:G3)</f>
        <v>106751069.359</v>
      </c>
      <c r="I3" s="8">
        <v>6886020</v>
      </c>
      <c r="J3" s="7">
        <f>SUM(H3:I3)</f>
        <v>113637089.359</v>
      </c>
      <c r="K3" s="8">
        <v>8409384</v>
      </c>
      <c r="L3" s="7">
        <f>SUM(J3:K3)</f>
        <v>122046473.359</v>
      </c>
    </row>
    <row r="4" spans="1:12" x14ac:dyDescent="0.25">
      <c r="A4" s="6" t="s">
        <v>1</v>
      </c>
      <c r="B4" s="6">
        <v>8293596.75</v>
      </c>
      <c r="C4" s="6">
        <v>8340000</v>
      </c>
      <c r="D4" s="6">
        <v>9469695.8399999999</v>
      </c>
      <c r="E4" s="6">
        <v>10416665.424000001</v>
      </c>
      <c r="F4" s="7">
        <f t="shared" ref="F4:F18" si="0">SUM(B4:E4)</f>
        <v>36519958.013999999</v>
      </c>
      <c r="G4" s="8">
        <v>8364000</v>
      </c>
      <c r="H4" s="7">
        <f t="shared" ref="H4:H18" si="1">SUM(F4:G4)</f>
        <v>44883958.013999999</v>
      </c>
      <c r="I4" s="8">
        <v>4350000</v>
      </c>
      <c r="J4" s="7">
        <f t="shared" ref="J4:J18" si="2">SUM(H4:I4)</f>
        <v>49233958.013999999</v>
      </c>
      <c r="K4" s="8">
        <v>5796000</v>
      </c>
      <c r="L4" s="7">
        <f t="shared" ref="L4:L18" si="3">SUM(J4:K4)</f>
        <v>55029958.013999999</v>
      </c>
    </row>
    <row r="5" spans="1:12" x14ac:dyDescent="0.25">
      <c r="A5" s="6" t="s">
        <v>41</v>
      </c>
      <c r="B5" s="6"/>
      <c r="C5" s="6">
        <v>180700</v>
      </c>
      <c r="D5" s="6">
        <v>11550.000000000002</v>
      </c>
      <c r="E5" s="6">
        <v>12705.000000000004</v>
      </c>
      <c r="F5" s="7">
        <f t="shared" si="0"/>
        <v>204955</v>
      </c>
      <c r="G5" s="8"/>
      <c r="H5" s="7">
        <f t="shared" si="1"/>
        <v>204955</v>
      </c>
      <c r="I5" s="8"/>
      <c r="J5" s="7">
        <f t="shared" si="2"/>
        <v>204955</v>
      </c>
      <c r="K5" s="8"/>
      <c r="L5" s="7">
        <f t="shared" si="3"/>
        <v>204955</v>
      </c>
    </row>
    <row r="6" spans="1:12" x14ac:dyDescent="0.25">
      <c r="A6" s="6" t="s">
        <v>2</v>
      </c>
      <c r="B6" s="6">
        <v>23935.199999999997</v>
      </c>
      <c r="C6" s="6">
        <v>24214.6</v>
      </c>
      <c r="D6" s="6">
        <v>0</v>
      </c>
      <c r="E6" s="6">
        <v>0</v>
      </c>
      <c r="F6" s="7">
        <f t="shared" si="0"/>
        <v>48149.799999999996</v>
      </c>
      <c r="G6" s="8"/>
      <c r="H6" s="7">
        <f t="shared" si="1"/>
        <v>48149.799999999996</v>
      </c>
      <c r="I6" s="8"/>
      <c r="J6" s="7">
        <f t="shared" si="2"/>
        <v>48149.799999999996</v>
      </c>
      <c r="K6" s="8"/>
      <c r="L6" s="7">
        <f t="shared" si="3"/>
        <v>48149.799999999996</v>
      </c>
    </row>
    <row r="7" spans="1:12" x14ac:dyDescent="0.25">
      <c r="A7" s="6" t="s">
        <v>3</v>
      </c>
      <c r="B7" s="6">
        <v>190000</v>
      </c>
      <c r="C7" s="6">
        <v>240000</v>
      </c>
      <c r="D7" s="6">
        <v>369600.00000000006</v>
      </c>
      <c r="E7" s="6">
        <v>406560</v>
      </c>
      <c r="F7" s="7">
        <f t="shared" si="0"/>
        <v>1206160</v>
      </c>
      <c r="G7" s="8">
        <v>2880000</v>
      </c>
      <c r="H7" s="7">
        <f t="shared" si="1"/>
        <v>4086160</v>
      </c>
      <c r="I7" s="8"/>
      <c r="J7" s="7">
        <f t="shared" si="2"/>
        <v>4086160</v>
      </c>
      <c r="K7" s="8"/>
      <c r="L7" s="7">
        <f t="shared" si="3"/>
        <v>4086160</v>
      </c>
    </row>
    <row r="8" spans="1:12" x14ac:dyDescent="0.25">
      <c r="A8" s="6" t="s">
        <v>4</v>
      </c>
      <c r="B8" s="6">
        <v>82500</v>
      </c>
      <c r="C8" s="6">
        <v>106500</v>
      </c>
      <c r="D8" s="6">
        <v>163350</v>
      </c>
      <c r="E8" s="6">
        <v>179685</v>
      </c>
      <c r="F8" s="7">
        <f t="shared" si="0"/>
        <v>532035</v>
      </c>
      <c r="G8" s="8">
        <v>1440000</v>
      </c>
      <c r="H8" s="7">
        <f t="shared" si="1"/>
        <v>1972035</v>
      </c>
      <c r="I8" s="8"/>
      <c r="J8" s="7">
        <f t="shared" si="2"/>
        <v>1972035</v>
      </c>
      <c r="K8" s="8"/>
      <c r="L8" s="7">
        <f t="shared" si="3"/>
        <v>1972035</v>
      </c>
    </row>
    <row r="9" spans="1:12" x14ac:dyDescent="0.25">
      <c r="A9" s="6" t="s">
        <v>6</v>
      </c>
      <c r="B9" s="6">
        <v>2464838.7000000002</v>
      </c>
      <c r="C9" s="6">
        <v>2426000</v>
      </c>
      <c r="D9" s="6">
        <v>259315.98000000004</v>
      </c>
      <c r="E9" s="6">
        <v>285247.57800000004</v>
      </c>
      <c r="F9" s="7">
        <f t="shared" si="0"/>
        <v>5435402.2580000004</v>
      </c>
      <c r="G9" s="8">
        <v>1128000</v>
      </c>
      <c r="H9" s="7">
        <f t="shared" si="1"/>
        <v>6563402.2580000004</v>
      </c>
      <c r="I9" s="8">
        <v>1260000</v>
      </c>
      <c r="J9" s="7">
        <f t="shared" si="2"/>
        <v>7823402.2580000004</v>
      </c>
      <c r="K9" s="8">
        <v>1440000</v>
      </c>
      <c r="L9" s="7">
        <f t="shared" si="3"/>
        <v>9263402.2580000013</v>
      </c>
    </row>
    <row r="10" spans="1:12" x14ac:dyDescent="0.25">
      <c r="A10" s="6" t="s">
        <v>5</v>
      </c>
      <c r="B10" s="6">
        <v>12000</v>
      </c>
      <c r="C10" s="6">
        <v>12000</v>
      </c>
      <c r="D10" s="6">
        <v>13200.000000000002</v>
      </c>
      <c r="E10" s="6">
        <v>14520.000000000004</v>
      </c>
      <c r="F10" s="7">
        <f t="shared" si="0"/>
        <v>51720</v>
      </c>
      <c r="G10" s="8"/>
      <c r="H10" s="7">
        <f t="shared" si="1"/>
        <v>51720</v>
      </c>
      <c r="I10" s="8"/>
      <c r="J10" s="7">
        <f t="shared" si="2"/>
        <v>51720</v>
      </c>
      <c r="K10" s="8"/>
      <c r="L10" s="7">
        <f t="shared" si="3"/>
        <v>51720</v>
      </c>
    </row>
    <row r="11" spans="1:12" x14ac:dyDescent="0.25">
      <c r="A11" s="6" t="s">
        <v>7</v>
      </c>
      <c r="B11" s="6">
        <v>28000</v>
      </c>
      <c r="C11" s="6">
        <v>19000</v>
      </c>
      <c r="D11" s="6">
        <v>29700.000000000004</v>
      </c>
      <c r="E11" s="6">
        <v>32670.000000000007</v>
      </c>
      <c r="F11" s="7">
        <f t="shared" si="0"/>
        <v>109370</v>
      </c>
      <c r="G11" s="8"/>
      <c r="H11" s="7">
        <f t="shared" si="1"/>
        <v>109370</v>
      </c>
      <c r="I11" s="8"/>
      <c r="J11" s="7">
        <f t="shared" si="2"/>
        <v>109370</v>
      </c>
      <c r="K11" s="8"/>
      <c r="L11" s="7">
        <f t="shared" si="3"/>
        <v>109370</v>
      </c>
    </row>
    <row r="12" spans="1:12" x14ac:dyDescent="0.25">
      <c r="A12" s="6" t="s">
        <v>35</v>
      </c>
      <c r="B12" s="6">
        <v>817500</v>
      </c>
      <c r="C12" s="6">
        <v>0</v>
      </c>
      <c r="D12" s="6">
        <v>0</v>
      </c>
      <c r="E12" s="6">
        <v>0</v>
      </c>
      <c r="F12" s="7">
        <f t="shared" si="0"/>
        <v>817500</v>
      </c>
      <c r="G12" s="8">
        <v>2136000</v>
      </c>
      <c r="H12" s="7">
        <f t="shared" si="1"/>
        <v>2953500</v>
      </c>
      <c r="I12" s="8">
        <v>1140000</v>
      </c>
      <c r="J12" s="7">
        <f t="shared" si="2"/>
        <v>4093500</v>
      </c>
      <c r="K12" s="8">
        <v>1368000</v>
      </c>
      <c r="L12" s="7">
        <f t="shared" si="3"/>
        <v>5461500</v>
      </c>
    </row>
    <row r="13" spans="1:12" x14ac:dyDescent="0.25">
      <c r="A13" s="6" t="s">
        <v>36</v>
      </c>
      <c r="B13" s="6">
        <v>576359.44999999995</v>
      </c>
      <c r="C13" s="6">
        <v>0</v>
      </c>
      <c r="D13" s="6">
        <v>2654574.1200000006</v>
      </c>
      <c r="E13" s="6">
        <v>2920031.5320000011</v>
      </c>
      <c r="F13" s="7">
        <f t="shared" si="0"/>
        <v>6150965.1020000018</v>
      </c>
      <c r="G13" s="8">
        <v>5310977.04</v>
      </c>
      <c r="H13" s="7">
        <f t="shared" si="1"/>
        <v>11461942.142000001</v>
      </c>
      <c r="I13" s="8">
        <v>2134666</v>
      </c>
      <c r="J13" s="7">
        <f t="shared" si="2"/>
        <v>13596608.142000001</v>
      </c>
      <c r="K13" s="8">
        <v>2606909.04</v>
      </c>
      <c r="L13" s="7">
        <f t="shared" si="3"/>
        <v>16203517.182</v>
      </c>
    </row>
    <row r="14" spans="1:12" x14ac:dyDescent="0.25">
      <c r="A14" s="6" t="s">
        <v>11</v>
      </c>
      <c r="B14" s="6">
        <v>1055556.45</v>
      </c>
      <c r="C14" s="6">
        <v>705638.8</v>
      </c>
      <c r="D14" s="6">
        <v>1157982.375</v>
      </c>
      <c r="E14" s="6">
        <v>1273780.6125</v>
      </c>
      <c r="F14" s="7">
        <f t="shared" si="0"/>
        <v>4192958.2374999998</v>
      </c>
      <c r="G14" s="8">
        <v>2569827.6</v>
      </c>
      <c r="H14" s="7">
        <f t="shared" si="1"/>
        <v>6762785.8375000004</v>
      </c>
      <c r="I14" s="8">
        <v>1032903</v>
      </c>
      <c r="J14" s="7">
        <f t="shared" si="2"/>
        <v>7795688.8375000004</v>
      </c>
      <c r="K14" s="8">
        <v>1261407.6000000001</v>
      </c>
      <c r="L14" s="7">
        <f t="shared" si="3"/>
        <v>9057096.4375</v>
      </c>
    </row>
    <row r="15" spans="1:12" x14ac:dyDescent="0.25">
      <c r="A15" s="6" t="s">
        <v>21</v>
      </c>
      <c r="B15" s="6">
        <v>486000</v>
      </c>
      <c r="C15" s="6">
        <v>487080</v>
      </c>
      <c r="D15" s="6">
        <v>570240</v>
      </c>
      <c r="E15" s="6">
        <v>627264</v>
      </c>
      <c r="F15" s="7">
        <f t="shared" si="0"/>
        <v>2170584</v>
      </c>
      <c r="G15" s="8">
        <v>259200</v>
      </c>
      <c r="H15" s="7">
        <f t="shared" si="1"/>
        <v>2429784</v>
      </c>
      <c r="I15" s="8">
        <v>194000</v>
      </c>
      <c r="J15" s="7">
        <f t="shared" si="2"/>
        <v>2623784</v>
      </c>
      <c r="K15" s="8">
        <v>194400</v>
      </c>
      <c r="L15" s="7">
        <f t="shared" si="3"/>
        <v>2818184</v>
      </c>
    </row>
    <row r="16" spans="1:12" s="3" customFormat="1" x14ac:dyDescent="0.25">
      <c r="A16" s="9" t="s">
        <v>22</v>
      </c>
      <c r="B16" s="9">
        <v>7922412</v>
      </c>
      <c r="C16" s="9">
        <v>8249692.5500000007</v>
      </c>
      <c r="D16" s="9">
        <v>8406695.7149999999</v>
      </c>
      <c r="E16" s="9">
        <v>9247365.2865000013</v>
      </c>
      <c r="F16" s="10">
        <f t="shared" si="0"/>
        <v>33826165.5515</v>
      </c>
      <c r="G16" s="10"/>
      <c r="H16" s="10">
        <f t="shared" si="1"/>
        <v>33826165.5515</v>
      </c>
      <c r="I16" s="10"/>
      <c r="J16" s="10">
        <f t="shared" si="2"/>
        <v>33826165.5515</v>
      </c>
      <c r="K16" s="10"/>
      <c r="L16" s="10">
        <f t="shared" si="3"/>
        <v>33826165.5515</v>
      </c>
    </row>
    <row r="17" spans="1:12" x14ac:dyDescent="0.25">
      <c r="A17" s="6" t="s">
        <v>23</v>
      </c>
      <c r="B17" s="6">
        <v>588150</v>
      </c>
      <c r="C17" s="6">
        <v>1109245.8</v>
      </c>
      <c r="D17" s="6">
        <v>1221983.4000000001</v>
      </c>
      <c r="E17" s="6">
        <v>1344181.7400000002</v>
      </c>
      <c r="F17" s="7">
        <f t="shared" si="0"/>
        <v>4263560.9400000004</v>
      </c>
      <c r="G17" s="7">
        <v>1133555.1876000001</v>
      </c>
      <c r="H17" s="7">
        <f t="shared" si="1"/>
        <v>5397116.1276000002</v>
      </c>
      <c r="I17" s="7">
        <v>467433.69750000001</v>
      </c>
      <c r="J17" s="7">
        <f t="shared" si="2"/>
        <v>5864549.8251</v>
      </c>
      <c r="K17" s="7">
        <v>579592.76760000002</v>
      </c>
      <c r="L17" s="7">
        <f t="shared" si="3"/>
        <v>6444142.5926999999</v>
      </c>
    </row>
    <row r="18" spans="1:12" x14ac:dyDescent="0.25">
      <c r="A18" s="6" t="s">
        <v>27</v>
      </c>
      <c r="B18" s="6">
        <v>589867.80000000005</v>
      </c>
      <c r="C18" s="6">
        <v>605042.30000000005</v>
      </c>
      <c r="D18" s="6">
        <v>666530.70000000007</v>
      </c>
      <c r="E18" s="6">
        <v>733183.77000000014</v>
      </c>
      <c r="F18" s="7">
        <f t="shared" si="0"/>
        <v>2594624.5700000003</v>
      </c>
      <c r="G18" s="7">
        <v>618302.82959999994</v>
      </c>
      <c r="H18" s="7">
        <f t="shared" si="1"/>
        <v>3212927.3996000001</v>
      </c>
      <c r="I18" s="7">
        <v>254963.83499999999</v>
      </c>
      <c r="J18" s="7">
        <f t="shared" si="2"/>
        <v>3467891.2346000001</v>
      </c>
      <c r="K18" s="7">
        <v>316141.50959999999</v>
      </c>
      <c r="L18" s="7">
        <f t="shared" si="3"/>
        <v>3784032.7442000001</v>
      </c>
    </row>
    <row r="19" spans="1:12" s="2" customFormat="1" x14ac:dyDescent="0.25">
      <c r="A19" s="4"/>
      <c r="B19" s="4"/>
      <c r="C19" s="4"/>
      <c r="D19" s="4"/>
      <c r="E19" s="4"/>
      <c r="F19" s="11">
        <f t="shared" ref="F19:L19" si="4">SUM(F3:F18)</f>
        <v>187742993.83199999</v>
      </c>
      <c r="G19" s="5">
        <f t="shared" si="4"/>
        <v>42972046.657200001</v>
      </c>
      <c r="H19" s="11">
        <f t="shared" si="4"/>
        <v>230715040.4892</v>
      </c>
      <c r="I19" s="5">
        <f t="shared" si="4"/>
        <v>17719986.532500003</v>
      </c>
      <c r="J19" s="11">
        <f t="shared" si="4"/>
        <v>248435027.02169999</v>
      </c>
      <c r="K19" s="12">
        <f t="shared" si="4"/>
        <v>21971834.917199999</v>
      </c>
      <c r="L19" s="11">
        <f t="shared" si="4"/>
        <v>270406861.93889999</v>
      </c>
    </row>
    <row r="20" spans="1:12" x14ac:dyDescent="0.25">
      <c r="A20" s="6"/>
      <c r="B20" s="6"/>
      <c r="C20" s="6"/>
      <c r="D20" s="6"/>
      <c r="E20" s="6"/>
      <c r="F20" s="7">
        <f>G19</f>
        <v>42972046.657200001</v>
      </c>
      <c r="G20" s="7"/>
      <c r="H20" s="7"/>
      <c r="I20" s="7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7">
        <f>SUM(F19:F20)</f>
        <v>230715040.4892</v>
      </c>
      <c r="G21" s="7"/>
      <c r="H21" s="7"/>
      <c r="I21" s="7"/>
      <c r="J21" s="6"/>
      <c r="K21" s="6"/>
      <c r="L21" s="6"/>
    </row>
    <row r="22" spans="1:12" x14ac:dyDescent="0.25">
      <c r="A22" s="6"/>
      <c r="B22" s="6"/>
      <c r="C22" s="6"/>
      <c r="D22" s="6"/>
      <c r="E22" s="6" t="s">
        <v>54</v>
      </c>
      <c r="F22" s="7"/>
      <c r="G22" s="7"/>
      <c r="H22" s="6" t="s">
        <v>54</v>
      </c>
      <c r="I22" s="6"/>
      <c r="J22" s="6" t="s">
        <v>54</v>
      </c>
      <c r="K22" s="6"/>
      <c r="L22" s="6"/>
    </row>
    <row r="23" spans="1:12" x14ac:dyDescent="0.25">
      <c r="A23" s="6"/>
      <c r="B23" s="6"/>
      <c r="C23" s="6"/>
      <c r="D23" s="6"/>
      <c r="E23" s="13">
        <v>41220188.640000001</v>
      </c>
      <c r="F23" s="7" t="s">
        <v>55</v>
      </c>
      <c r="G23" s="7">
        <f>E23*0.0275</f>
        <v>1133555.1876000001</v>
      </c>
      <c r="H23" s="13">
        <v>16997589</v>
      </c>
      <c r="I23" s="6">
        <f>H23*0.0275</f>
        <v>467433.69750000001</v>
      </c>
      <c r="J23" s="13">
        <v>21076100.640000001</v>
      </c>
      <c r="K23" s="6">
        <f>J23*0.0275</f>
        <v>579592.76760000002</v>
      </c>
      <c r="L23" s="6"/>
    </row>
    <row r="24" spans="1:12" x14ac:dyDescent="0.25">
      <c r="A24" s="6"/>
      <c r="B24" s="6"/>
      <c r="C24" s="6"/>
      <c r="D24" s="6"/>
      <c r="E24" s="6"/>
      <c r="F24" s="7" t="s">
        <v>56</v>
      </c>
      <c r="G24" s="7">
        <f>E23*0.015</f>
        <v>618302.82959999994</v>
      </c>
      <c r="H24" s="6"/>
      <c r="I24" s="6">
        <f>H23*0.015</f>
        <v>254963.83499999999</v>
      </c>
      <c r="J24" s="6"/>
      <c r="K24" s="6">
        <f>J23*0.015</f>
        <v>316141.50959999999</v>
      </c>
      <c r="L24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9"/>
  <sheetViews>
    <sheetView workbookViewId="0">
      <selection activeCell="F10" sqref="F10"/>
    </sheetView>
  </sheetViews>
  <sheetFormatPr defaultRowHeight="15" x14ac:dyDescent="0.25"/>
  <cols>
    <col min="6" max="6" width="15.5703125" customWidth="1"/>
    <col min="7" max="7" width="18.42578125" customWidth="1"/>
    <col min="8" max="8" width="20.7109375" customWidth="1"/>
  </cols>
  <sheetData>
    <row r="2" spans="3:8" x14ac:dyDescent="0.25">
      <c r="F2" t="s">
        <v>44</v>
      </c>
    </row>
    <row r="3" spans="3:8" x14ac:dyDescent="0.25">
      <c r="C3">
        <v>20</v>
      </c>
      <c r="D3">
        <v>45000</v>
      </c>
      <c r="E3">
        <f>C3*D3</f>
        <v>900000</v>
      </c>
      <c r="F3">
        <v>20585953</v>
      </c>
      <c r="G3">
        <f>F3+E3</f>
        <v>21485953</v>
      </c>
      <c r="H3" t="s">
        <v>42</v>
      </c>
    </row>
    <row r="4" spans="3:8" x14ac:dyDescent="0.25">
      <c r="C4">
        <v>20</v>
      </c>
      <c r="D4">
        <v>45000</v>
      </c>
      <c r="E4">
        <f>C4*D4</f>
        <v>900000</v>
      </c>
      <c r="G4">
        <f>G3+E4</f>
        <v>22385953</v>
      </c>
      <c r="H4" t="s">
        <v>43</v>
      </c>
    </row>
    <row r="7" spans="3:8" x14ac:dyDescent="0.25">
      <c r="E7">
        <v>7023966.0999999996</v>
      </c>
      <c r="F7">
        <v>1.1000000000000001</v>
      </c>
      <c r="G7">
        <f>E7*F7</f>
        <v>7726362.71</v>
      </c>
      <c r="H7">
        <f>G7*F7</f>
        <v>8498998.9810000006</v>
      </c>
    </row>
    <row r="9" spans="3:8" x14ac:dyDescent="0.25">
      <c r="F9">
        <f>E7+G7+H7</f>
        <v>23249327.791000001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2025-01-31T04:18:28Z</dcterms:modified>
</cp:coreProperties>
</file>