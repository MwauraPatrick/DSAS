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_&amp;_E_PROCUREMENT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" i="1" l="1"/>
  <c r="E56" i="1"/>
  <c r="E46" i="1"/>
  <c r="E12" i="1"/>
  <c r="E69" i="1" s="1"/>
  <c r="E61" i="1"/>
  <c r="E62" i="1"/>
  <c r="E40" i="1"/>
  <c r="E31" i="1"/>
  <c r="E21" i="1"/>
  <c r="E11" i="1"/>
  <c r="E28" i="1"/>
  <c r="E27" i="1"/>
  <c r="E18" i="1"/>
  <c r="E17" i="1"/>
  <c r="E8" i="1"/>
  <c r="E67" i="1"/>
  <c r="E66" i="1"/>
  <c r="E60" i="1"/>
  <c r="E59" i="1"/>
  <c r="E53" i="1"/>
  <c r="E52" i="1"/>
  <c r="E51" i="1"/>
  <c r="E50" i="1"/>
  <c r="E49" i="1"/>
  <c r="E44" i="1"/>
  <c r="E43" i="1"/>
  <c r="E42" i="1"/>
  <c r="E41" i="1"/>
  <c r="E39" i="1"/>
  <c r="E38" i="1"/>
  <c r="E37" i="1"/>
  <c r="E36" i="1"/>
  <c r="E35" i="1"/>
  <c r="E29" i="1"/>
  <c r="E26" i="1"/>
  <c r="E25" i="1"/>
  <c r="E19" i="1"/>
  <c r="E16" i="1"/>
  <c r="E15" i="1"/>
  <c r="E9" i="1"/>
  <c r="E7" i="1"/>
  <c r="E6" i="1"/>
  <c r="E5" i="1"/>
</calcChain>
</file>

<file path=xl/sharedStrings.xml><?xml version="1.0" encoding="utf-8"?>
<sst xmlns="http://schemas.openxmlformats.org/spreadsheetml/2006/main" count="98" uniqueCount="56">
  <si>
    <t xml:space="preserve">Item description </t>
  </si>
  <si>
    <t>Qnty</t>
  </si>
  <si>
    <t xml:space="preserve">Price </t>
  </si>
  <si>
    <t>Amount</t>
  </si>
  <si>
    <t>Pedestal mobile 3 drawer</t>
  </si>
  <si>
    <t xml:space="preserve">Dimension </t>
  </si>
  <si>
    <t>421x500x610mm</t>
  </si>
  <si>
    <t xml:space="preserve">Medium Back mesh chair-Fixed PP arms, single lock mechanism, Nylon base with Nylon castors </t>
  </si>
  <si>
    <t xml:space="preserve">Oblog coffee table </t>
  </si>
  <si>
    <t>1200x600x450mm</t>
  </si>
  <si>
    <t>450x600x1300mm</t>
  </si>
  <si>
    <t>4 drawer filing cabinet -Grey</t>
  </si>
  <si>
    <t xml:space="preserve">Clinical Sciences Department </t>
  </si>
  <si>
    <t xml:space="preserve">Projected K-SRIC  Departmental Office Furniture &amp; Items </t>
  </si>
  <si>
    <t xml:space="preserve">Deputy Director's Office </t>
  </si>
  <si>
    <t xml:space="preserve">Executive sofa - two seater with arms and buttons - Ash grey </t>
  </si>
  <si>
    <t>Filing cabinet -glass swing door -Mahogany</t>
  </si>
  <si>
    <t>800x390x2074mm</t>
  </si>
  <si>
    <t xml:space="preserve">Safe digital lock + Key lock  &amp; tray, rating 60min - Inside </t>
  </si>
  <si>
    <t>Inside 320x234x260mm, Outside 412X363x360mm</t>
  </si>
  <si>
    <t xml:space="preserve">Airmesh medium back mesh chair -1D arms adjustable Height, Tilt function, Nylon Base with Nylon castors </t>
  </si>
  <si>
    <t xml:space="preserve">Medium back mesh chair -fixed PP arms, Single lock mechanism, Nylon Base with Nylon casters </t>
  </si>
  <si>
    <t>Verona Executive desk  with side extension (Consiting of 3drawers  and filing cabinet)</t>
  </si>
  <si>
    <t>1800mmx1620x745mm</t>
  </si>
  <si>
    <t xml:space="preserve">Single coat hanger with arms in chrome &amp; wooden finish </t>
  </si>
  <si>
    <t>450x1280mm</t>
  </si>
  <si>
    <t xml:space="preserve">Flip chart Board </t>
  </si>
  <si>
    <t>3x2 O/P FC-333-03BRD4005</t>
  </si>
  <si>
    <t>Water dispensor- Von (Cold, warm &amp; hot)</t>
  </si>
  <si>
    <t xml:space="preserve">Reception </t>
  </si>
  <si>
    <t xml:space="preserve">Airport waiting chair -3 seater </t>
  </si>
  <si>
    <t>2380x780x1100mm</t>
  </si>
  <si>
    <t>Modular Reception, straight &amp; 2 quarter Round (without pedestral)</t>
  </si>
  <si>
    <t>Confrence room</t>
  </si>
  <si>
    <t xml:space="preserve">Executive confrence table Oblong with panel legs </t>
  </si>
  <si>
    <t>2400x1200x745</t>
  </si>
  <si>
    <t>Water dispensor -Von</t>
  </si>
  <si>
    <t xml:space="preserve">Kitchen </t>
  </si>
  <si>
    <t xml:space="preserve">2 way workstation Desk with white metal frame </t>
  </si>
  <si>
    <t>1200x1500x745mm</t>
  </si>
  <si>
    <t xml:space="preserve">Screen -Desktop clamp mounted -Rounded corners </t>
  </si>
  <si>
    <t>1300x18x350mm</t>
  </si>
  <si>
    <t>2000w MH 302</t>
  </si>
  <si>
    <t>Office heater- Von</t>
  </si>
  <si>
    <t>Office heater- VoN</t>
  </si>
  <si>
    <t>2000W MH 302</t>
  </si>
  <si>
    <t>Office heater -VoN</t>
  </si>
  <si>
    <t>2000W</t>
  </si>
  <si>
    <t xml:space="preserve">Stockable Plastic chair with chrome legs </t>
  </si>
  <si>
    <t>Straight Desk with metal frame (Inclusive front panel)</t>
  </si>
  <si>
    <t>1200x750x745mm</t>
  </si>
  <si>
    <t>Public Health Epidemiology and Community Engagement Derpartment</t>
  </si>
  <si>
    <t xml:space="preserve">Extension cables </t>
  </si>
  <si>
    <t>Antivenom Quality Control Development &amp; Production Department</t>
  </si>
  <si>
    <t>Total</t>
  </si>
  <si>
    <t>PXNS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</si>
</sst>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I8" sqref="I8"/>
    </sheetView>
  </sheetViews>
  <sheetFormatPr defaultRowHeight="15" x14ac:dyDescent="0.25"/>
  <cols>
    <col min="1" max="1" width="29.42578125" customWidth="1"/>
    <col min="2" max="2" width="19.42578125" style="1" customWidth="1"/>
    <col min="3" max="5" width="9.140625" style="1"/>
  </cols>
  <sheetData>
    <row r="1" spans="1:8" x14ac:dyDescent="0.25">
      <c r="A1" s="17" t="s">
        <v>13</v>
      </c>
      <c r="B1" s="17"/>
      <c r="C1" s="17"/>
      <c r="D1" s="17"/>
      <c r="E1" s="17"/>
    </row>
    <row r="2" spans="1:8" x14ac:dyDescent="0.25">
      <c r="A2" s="16" t="s">
        <v>53</v>
      </c>
      <c r="B2" s="16"/>
      <c r="C2" s="16"/>
      <c r="D2" s="16"/>
      <c r="E2" s="16"/>
    </row>
    <row r="3" spans="1:8" x14ac:dyDescent="0.25">
      <c r="C3" s="1" t="s">
        <v>55</v>
      </c>
    </row>
    <row r="4" spans="1:8" x14ac:dyDescent="0.25">
      <c r="A4" s="3" t="s">
        <v>0</v>
      </c>
      <c r="B4" s="4" t="s">
        <v>5</v>
      </c>
      <c r="C4" s="4" t="s">
        <v>1</v>
      </c>
      <c r="D4" s="4" t="s">
        <v>2</v>
      </c>
      <c r="E4" s="4" t="s">
        <v>3</v>
      </c>
      <c r="H4" s="2"/>
    </row>
    <row r="5" spans="1:8" x14ac:dyDescent="0.25">
      <c r="A5" s="5" t="s">
        <v>4</v>
      </c>
      <c r="B5" s="6" t="s">
        <v>6</v>
      </c>
      <c r="C5" s="6">
        <v>15</v>
      </c>
      <c r="D5" s="7">
        <v>10140</v>
      </c>
      <c r="E5" s="6">
        <f>SUM(C5*D5)</f>
        <v>152100</v>
      </c>
    </row>
    <row r="6" spans="1:8" ht="45.75" customHeight="1" x14ac:dyDescent="0.25">
      <c r="A6" s="8" t="s">
        <v>7</v>
      </c>
      <c r="B6" s="6"/>
      <c r="C6" s="6">
        <v>15</v>
      </c>
      <c r="D6" s="7">
        <v>16529</v>
      </c>
      <c r="E6" s="6">
        <f>SUM(C6*D6)</f>
        <v>247935</v>
      </c>
    </row>
    <row r="7" spans="1:8" ht="30" x14ac:dyDescent="0.25">
      <c r="A7" s="8" t="s">
        <v>38</v>
      </c>
      <c r="B7" s="6" t="s">
        <v>39</v>
      </c>
      <c r="C7" s="6">
        <v>4</v>
      </c>
      <c r="D7" s="6">
        <v>34552</v>
      </c>
      <c r="E7" s="6">
        <f>SUM(C7*D7)</f>
        <v>138208</v>
      </c>
    </row>
    <row r="8" spans="1:8" ht="28.5" customHeight="1" x14ac:dyDescent="0.25">
      <c r="A8" s="8" t="s">
        <v>40</v>
      </c>
      <c r="B8" s="6" t="s">
        <v>41</v>
      </c>
      <c r="C8" s="6">
        <v>8</v>
      </c>
      <c r="D8" s="6">
        <v>5821</v>
      </c>
      <c r="E8" s="6">
        <f>SUM(C8*D8)</f>
        <v>46568</v>
      </c>
    </row>
    <row r="9" spans="1:8" x14ac:dyDescent="0.25">
      <c r="A9" s="8" t="s">
        <v>11</v>
      </c>
      <c r="B9" s="6" t="s">
        <v>10</v>
      </c>
      <c r="C9" s="6">
        <v>2</v>
      </c>
      <c r="D9" s="6">
        <v>16356</v>
      </c>
      <c r="E9" s="6">
        <f>SUM(C9*D9)</f>
        <v>32712</v>
      </c>
    </row>
    <row r="10" spans="1:8" ht="30" x14ac:dyDescent="0.25">
      <c r="A10" s="8" t="s">
        <v>26</v>
      </c>
      <c r="B10" s="9" t="s">
        <v>27</v>
      </c>
      <c r="C10" s="6">
        <v>1</v>
      </c>
      <c r="D10" s="6">
        <v>9795</v>
      </c>
      <c r="E10" s="6">
        <v>9795</v>
      </c>
    </row>
    <row r="11" spans="1:8" x14ac:dyDescent="0.25">
      <c r="A11" s="8" t="s">
        <v>43</v>
      </c>
      <c r="B11" s="6" t="s">
        <v>42</v>
      </c>
      <c r="C11" s="6">
        <v>1</v>
      </c>
      <c r="D11" s="6">
        <v>7000</v>
      </c>
      <c r="E11" s="6">
        <f>SUM(C11*D11)</f>
        <v>7000</v>
      </c>
    </row>
    <row r="12" spans="1:8" x14ac:dyDescent="0.25">
      <c r="A12" s="8" t="s">
        <v>52</v>
      </c>
      <c r="B12" s="6"/>
      <c r="C12" s="6">
        <v>7</v>
      </c>
      <c r="D12" s="6">
        <v>3500</v>
      </c>
      <c r="E12" s="6">
        <f>SUM(C12*D12)</f>
        <v>24500</v>
      </c>
    </row>
    <row r="14" spans="1:8" x14ac:dyDescent="0.25">
      <c r="A14" s="16" t="s">
        <v>12</v>
      </c>
      <c r="B14" s="16"/>
      <c r="C14" s="16"/>
      <c r="D14" s="16"/>
      <c r="E14" s="16"/>
    </row>
    <row r="15" spans="1:8" x14ac:dyDescent="0.25">
      <c r="A15" s="5" t="s">
        <v>4</v>
      </c>
      <c r="B15" s="6" t="s">
        <v>6</v>
      </c>
      <c r="C15" s="6">
        <v>10</v>
      </c>
      <c r="D15" s="7">
        <v>10140</v>
      </c>
      <c r="E15" s="6">
        <f>SUM(C15*D15)</f>
        <v>101400</v>
      </c>
    </row>
    <row r="16" spans="1:8" ht="45" customHeight="1" x14ac:dyDescent="0.25">
      <c r="A16" s="8" t="s">
        <v>7</v>
      </c>
      <c r="B16" s="6"/>
      <c r="C16" s="6">
        <v>10</v>
      </c>
      <c r="D16" s="7">
        <v>16529</v>
      </c>
      <c r="E16" s="6">
        <f>SUM(C16*D16)</f>
        <v>165290</v>
      </c>
    </row>
    <row r="17" spans="1:5" ht="30" x14ac:dyDescent="0.25">
      <c r="A17" s="8" t="s">
        <v>38</v>
      </c>
      <c r="B17" s="6" t="s">
        <v>39</v>
      </c>
      <c r="C17" s="6">
        <v>3</v>
      </c>
      <c r="D17" s="6">
        <v>34552</v>
      </c>
      <c r="E17" s="6">
        <f>SUM(C17*D17)</f>
        <v>103656</v>
      </c>
    </row>
    <row r="18" spans="1:5" ht="30" x14ac:dyDescent="0.25">
      <c r="A18" s="8" t="s">
        <v>40</v>
      </c>
      <c r="B18" s="6" t="s">
        <v>41</v>
      </c>
      <c r="C18" s="6">
        <v>6</v>
      </c>
      <c r="D18" s="6">
        <v>5821</v>
      </c>
      <c r="E18" s="6">
        <f>SUM(C18*D18)</f>
        <v>34926</v>
      </c>
    </row>
    <row r="19" spans="1:5" x14ac:dyDescent="0.25">
      <c r="A19" s="8" t="s">
        <v>11</v>
      </c>
      <c r="B19" s="6" t="s">
        <v>10</v>
      </c>
      <c r="C19" s="6">
        <v>2</v>
      </c>
      <c r="D19" s="6">
        <v>16356</v>
      </c>
      <c r="E19" s="6">
        <f>SUM(C19*D19)</f>
        <v>32712</v>
      </c>
    </row>
    <row r="20" spans="1:5" ht="30" x14ac:dyDescent="0.25">
      <c r="A20" s="8" t="s">
        <v>26</v>
      </c>
      <c r="B20" s="9" t="s">
        <v>27</v>
      </c>
      <c r="C20" s="6">
        <v>1</v>
      </c>
      <c r="D20" s="6">
        <v>9795</v>
      </c>
      <c r="E20" s="6">
        <v>9795</v>
      </c>
    </row>
    <row r="21" spans="1:5" x14ac:dyDescent="0.25">
      <c r="A21" s="8" t="s">
        <v>44</v>
      </c>
      <c r="B21" s="6" t="s">
        <v>45</v>
      </c>
      <c r="C21" s="6">
        <v>1</v>
      </c>
      <c r="D21" s="6">
        <v>7000</v>
      </c>
      <c r="E21" s="6">
        <f>SUM(C21*D21)</f>
        <v>7000</v>
      </c>
    </row>
    <row r="22" spans="1:5" x14ac:dyDescent="0.25">
      <c r="A22" s="8" t="s">
        <v>52</v>
      </c>
      <c r="B22" s="6"/>
      <c r="C22" s="6">
        <v>5</v>
      </c>
      <c r="D22" s="6">
        <v>3500</v>
      </c>
      <c r="E22" s="6">
        <v>17500</v>
      </c>
    </row>
    <row r="24" spans="1:5" x14ac:dyDescent="0.25">
      <c r="A24" s="18" t="s">
        <v>51</v>
      </c>
      <c r="B24" s="18"/>
      <c r="C24" s="18"/>
      <c r="D24" s="18"/>
      <c r="E24" s="18"/>
    </row>
    <row r="25" spans="1:5" x14ac:dyDescent="0.25">
      <c r="A25" s="5" t="s">
        <v>4</v>
      </c>
      <c r="B25" s="6" t="s">
        <v>6</v>
      </c>
      <c r="C25" s="6">
        <v>10</v>
      </c>
      <c r="D25" s="7">
        <v>10140</v>
      </c>
      <c r="E25" s="6">
        <f>SUM(C25*D25)</f>
        <v>101400</v>
      </c>
    </row>
    <row r="26" spans="1:5" ht="45" customHeight="1" x14ac:dyDescent="0.25">
      <c r="A26" s="8" t="s">
        <v>7</v>
      </c>
      <c r="B26" s="6"/>
      <c r="C26" s="6">
        <v>10</v>
      </c>
      <c r="D26" s="7">
        <v>16529</v>
      </c>
      <c r="E26" s="6">
        <f>SUM(C26*D26)</f>
        <v>165290</v>
      </c>
    </row>
    <row r="27" spans="1:5" ht="30" x14ac:dyDescent="0.25">
      <c r="A27" s="8" t="s">
        <v>38</v>
      </c>
      <c r="B27" s="6" t="s">
        <v>39</v>
      </c>
      <c r="C27" s="6">
        <v>3</v>
      </c>
      <c r="D27" s="7">
        <v>34552</v>
      </c>
      <c r="E27" s="6">
        <f>SUM(C27*D27)</f>
        <v>103656</v>
      </c>
    </row>
    <row r="28" spans="1:5" x14ac:dyDescent="0.25">
      <c r="A28" s="5" t="s">
        <v>40</v>
      </c>
      <c r="B28" s="6" t="s">
        <v>41</v>
      </c>
      <c r="C28" s="6">
        <v>6</v>
      </c>
      <c r="D28" s="6">
        <v>5821</v>
      </c>
      <c r="E28" s="6">
        <f>SUM(C28*D28)</f>
        <v>34926</v>
      </c>
    </row>
    <row r="29" spans="1:5" x14ac:dyDescent="0.25">
      <c r="A29" s="8" t="s">
        <v>11</v>
      </c>
      <c r="B29" s="6" t="s">
        <v>10</v>
      </c>
      <c r="C29" s="6">
        <v>2</v>
      </c>
      <c r="D29" s="6">
        <v>16356</v>
      </c>
      <c r="E29" s="6">
        <f>SUM(C29*D29)</f>
        <v>32712</v>
      </c>
    </row>
    <row r="30" spans="1:5" ht="30" x14ac:dyDescent="0.25">
      <c r="A30" s="8" t="s">
        <v>26</v>
      </c>
      <c r="B30" s="9" t="s">
        <v>27</v>
      </c>
      <c r="C30" s="6">
        <v>1</v>
      </c>
      <c r="D30" s="6">
        <v>9795</v>
      </c>
      <c r="E30" s="6">
        <v>9795</v>
      </c>
    </row>
    <row r="31" spans="1:5" x14ac:dyDescent="0.25">
      <c r="A31" s="8" t="s">
        <v>46</v>
      </c>
      <c r="B31" s="6" t="s">
        <v>47</v>
      </c>
      <c r="C31" s="6">
        <v>1</v>
      </c>
      <c r="D31" s="7">
        <v>7000</v>
      </c>
      <c r="E31" s="6">
        <f>SUM(C31*D31)</f>
        <v>7000</v>
      </c>
    </row>
    <row r="32" spans="1:5" x14ac:dyDescent="0.25">
      <c r="A32" s="8" t="s">
        <v>52</v>
      </c>
      <c r="B32" s="6"/>
      <c r="C32" s="6">
        <v>5</v>
      </c>
      <c r="D32" s="7">
        <v>3500</v>
      </c>
      <c r="E32" s="6">
        <v>17500</v>
      </c>
    </row>
    <row r="34" spans="1:5" x14ac:dyDescent="0.25">
      <c r="A34" s="15" t="s">
        <v>14</v>
      </c>
      <c r="B34" s="15"/>
      <c r="C34" s="15"/>
      <c r="D34" s="15"/>
      <c r="E34" s="15"/>
    </row>
    <row r="35" spans="1:5" ht="30" customHeight="1" x14ac:dyDescent="0.25">
      <c r="A35" s="8" t="s">
        <v>15</v>
      </c>
      <c r="B35" s="6"/>
      <c r="C35" s="6">
        <v>2</v>
      </c>
      <c r="D35" s="6">
        <v>57868</v>
      </c>
      <c r="E35" s="6">
        <f t="shared" ref="E35:E44" si="0">SUM(C35*D35)</f>
        <v>115736</v>
      </c>
    </row>
    <row r="36" spans="1:5" ht="30" x14ac:dyDescent="0.25">
      <c r="A36" s="8" t="s">
        <v>16</v>
      </c>
      <c r="B36" s="6" t="s">
        <v>17</v>
      </c>
      <c r="C36" s="6">
        <v>1</v>
      </c>
      <c r="D36" s="6">
        <v>32626</v>
      </c>
      <c r="E36" s="6">
        <f t="shared" si="0"/>
        <v>32626</v>
      </c>
    </row>
    <row r="37" spans="1:5" ht="60" x14ac:dyDescent="0.25">
      <c r="A37" s="8" t="s">
        <v>18</v>
      </c>
      <c r="B37" s="9" t="s">
        <v>19</v>
      </c>
      <c r="C37" s="6">
        <v>1</v>
      </c>
      <c r="D37" s="6">
        <v>31240</v>
      </c>
      <c r="E37" s="6">
        <f t="shared" si="0"/>
        <v>31240</v>
      </c>
    </row>
    <row r="38" spans="1:5" ht="60" customHeight="1" x14ac:dyDescent="0.25">
      <c r="A38" s="8" t="s">
        <v>20</v>
      </c>
      <c r="B38" s="6"/>
      <c r="C38" s="6">
        <v>1</v>
      </c>
      <c r="D38" s="6">
        <v>24878</v>
      </c>
      <c r="E38" s="6">
        <f t="shared" si="0"/>
        <v>24878</v>
      </c>
    </row>
    <row r="39" spans="1:5" ht="44.25" customHeight="1" x14ac:dyDescent="0.25">
      <c r="A39" s="8" t="s">
        <v>21</v>
      </c>
      <c r="B39" s="6"/>
      <c r="C39" s="6">
        <v>3</v>
      </c>
      <c r="D39" s="6">
        <v>16529</v>
      </c>
      <c r="E39" s="6">
        <f t="shared" si="0"/>
        <v>49587</v>
      </c>
    </row>
    <row r="40" spans="1:5" ht="30" customHeight="1" x14ac:dyDescent="0.25">
      <c r="A40" s="8" t="s">
        <v>49</v>
      </c>
      <c r="B40" s="6" t="s">
        <v>50</v>
      </c>
      <c r="C40" s="6">
        <v>1</v>
      </c>
      <c r="D40" s="6">
        <v>17815</v>
      </c>
      <c r="E40" s="6">
        <f t="shared" si="0"/>
        <v>17815</v>
      </c>
    </row>
    <row r="41" spans="1:5" ht="45.75" customHeight="1" x14ac:dyDescent="0.25">
      <c r="A41" s="8" t="s">
        <v>22</v>
      </c>
      <c r="B41" s="9" t="s">
        <v>23</v>
      </c>
      <c r="C41" s="6">
        <v>1</v>
      </c>
      <c r="D41" s="7">
        <v>81880</v>
      </c>
      <c r="E41" s="6">
        <f t="shared" si="0"/>
        <v>81880</v>
      </c>
    </row>
    <row r="42" spans="1:5" ht="35.25" customHeight="1" x14ac:dyDescent="0.25">
      <c r="A42" s="8" t="s">
        <v>24</v>
      </c>
      <c r="B42" s="6" t="s">
        <v>25</v>
      </c>
      <c r="C42" s="6">
        <v>1</v>
      </c>
      <c r="D42" s="6">
        <v>7820</v>
      </c>
      <c r="E42" s="6">
        <f t="shared" si="0"/>
        <v>7820</v>
      </c>
    </row>
    <row r="43" spans="1:5" ht="30" x14ac:dyDescent="0.25">
      <c r="A43" s="8" t="s">
        <v>26</v>
      </c>
      <c r="B43" s="9" t="s">
        <v>27</v>
      </c>
      <c r="C43" s="6">
        <v>1</v>
      </c>
      <c r="D43" s="6">
        <v>9795</v>
      </c>
      <c r="E43" s="6">
        <f t="shared" si="0"/>
        <v>9795</v>
      </c>
    </row>
    <row r="44" spans="1:5" ht="30" x14ac:dyDescent="0.25">
      <c r="A44" s="8" t="s">
        <v>28</v>
      </c>
      <c r="B44" s="6"/>
      <c r="C44" s="6">
        <v>1</v>
      </c>
      <c r="D44" s="6">
        <v>22000</v>
      </c>
      <c r="E44" s="6">
        <f t="shared" si="0"/>
        <v>22000</v>
      </c>
    </row>
    <row r="45" spans="1:5" x14ac:dyDescent="0.25">
      <c r="A45" s="8" t="s">
        <v>46</v>
      </c>
      <c r="B45" s="6" t="s">
        <v>47</v>
      </c>
      <c r="C45" s="6">
        <v>1</v>
      </c>
      <c r="D45" s="6">
        <v>7000</v>
      </c>
      <c r="E45" s="6">
        <v>7000</v>
      </c>
    </row>
    <row r="46" spans="1:5" x14ac:dyDescent="0.25">
      <c r="A46" s="8" t="s">
        <v>52</v>
      </c>
      <c r="B46" s="6"/>
      <c r="C46" s="6">
        <v>2</v>
      </c>
      <c r="D46" s="7">
        <v>3500</v>
      </c>
      <c r="E46" s="6">
        <f>SUM(C46*D46)</f>
        <v>7000</v>
      </c>
    </row>
    <row r="48" spans="1:5" x14ac:dyDescent="0.25">
      <c r="A48" s="15" t="s">
        <v>29</v>
      </c>
      <c r="B48" s="15"/>
      <c r="C48" s="15"/>
      <c r="D48" s="15"/>
      <c r="E48" s="15"/>
    </row>
    <row r="49" spans="1:5" ht="42.75" customHeight="1" x14ac:dyDescent="0.25">
      <c r="A49" s="10" t="s">
        <v>21</v>
      </c>
      <c r="B49" s="6"/>
      <c r="C49" s="6">
        <v>4</v>
      </c>
      <c r="D49" s="6">
        <v>16529</v>
      </c>
      <c r="E49" s="6">
        <f>SUM(C49*D49)</f>
        <v>66116</v>
      </c>
    </row>
    <row r="50" spans="1:5" ht="19.5" customHeight="1" x14ac:dyDescent="0.25">
      <c r="A50" s="8" t="s">
        <v>11</v>
      </c>
      <c r="B50" s="6" t="s">
        <v>10</v>
      </c>
      <c r="C50" s="6">
        <v>2</v>
      </c>
      <c r="D50" s="6">
        <v>16356</v>
      </c>
      <c r="E50" s="6">
        <f>SUM(C50*D50)</f>
        <v>32712</v>
      </c>
    </row>
    <row r="51" spans="1:5" x14ac:dyDescent="0.25">
      <c r="A51" s="10" t="s">
        <v>30</v>
      </c>
      <c r="B51" s="6"/>
      <c r="C51" s="6">
        <v>3</v>
      </c>
      <c r="D51" s="6">
        <v>15413</v>
      </c>
      <c r="E51" s="6">
        <f>SUM(C51*D51)</f>
        <v>46239</v>
      </c>
    </row>
    <row r="52" spans="1:5" ht="45" customHeight="1" x14ac:dyDescent="0.25">
      <c r="A52" s="10" t="s">
        <v>32</v>
      </c>
      <c r="B52" s="6" t="s">
        <v>31</v>
      </c>
      <c r="C52" s="6">
        <v>1</v>
      </c>
      <c r="D52" s="7">
        <v>112338</v>
      </c>
      <c r="E52" s="6">
        <f>SUM(C52*D52)</f>
        <v>112338</v>
      </c>
    </row>
    <row r="53" spans="1:5" ht="30" x14ac:dyDescent="0.25">
      <c r="A53" s="8" t="s">
        <v>26</v>
      </c>
      <c r="B53" s="9" t="s">
        <v>27</v>
      </c>
      <c r="C53" s="6">
        <v>1</v>
      </c>
      <c r="D53" s="6">
        <v>9795</v>
      </c>
      <c r="E53" s="6">
        <f>SUM(C53*D53)</f>
        <v>9795</v>
      </c>
    </row>
    <row r="54" spans="1:5" ht="30" x14ac:dyDescent="0.25">
      <c r="A54" s="8" t="s">
        <v>28</v>
      </c>
      <c r="B54" s="9"/>
      <c r="C54" s="6">
        <v>1</v>
      </c>
      <c r="D54" s="6">
        <v>22000</v>
      </c>
      <c r="E54" s="6">
        <v>22000</v>
      </c>
    </row>
    <row r="55" spans="1:5" x14ac:dyDescent="0.25">
      <c r="A55" s="8" t="s">
        <v>46</v>
      </c>
      <c r="B55" s="9" t="s">
        <v>47</v>
      </c>
      <c r="C55" s="6">
        <v>1</v>
      </c>
      <c r="D55" s="6">
        <v>7000</v>
      </c>
      <c r="E55" s="6">
        <v>7000</v>
      </c>
    </row>
    <row r="56" spans="1:5" x14ac:dyDescent="0.25">
      <c r="A56" s="8" t="s">
        <v>52</v>
      </c>
      <c r="B56" s="6"/>
      <c r="C56" s="6">
        <v>2</v>
      </c>
      <c r="D56" s="7">
        <v>3500</v>
      </c>
      <c r="E56" s="6">
        <f>SUM(C56*D56)</f>
        <v>7000</v>
      </c>
    </row>
    <row r="58" spans="1:5" x14ac:dyDescent="0.25">
      <c r="A58" s="16" t="s">
        <v>33</v>
      </c>
      <c r="B58" s="16"/>
      <c r="C58" s="16"/>
      <c r="D58" s="16"/>
      <c r="E58" s="16"/>
    </row>
    <row r="59" spans="1:5" ht="48" customHeight="1" x14ac:dyDescent="0.25">
      <c r="A59" s="10" t="s">
        <v>21</v>
      </c>
      <c r="B59" s="6"/>
      <c r="C59" s="6">
        <v>10</v>
      </c>
      <c r="D59" s="6">
        <v>16529</v>
      </c>
      <c r="E59" s="6">
        <f t="shared" ref="E59" si="1">SUM(C59*D59)</f>
        <v>165290</v>
      </c>
    </row>
    <row r="60" spans="1:5" ht="33" customHeight="1" x14ac:dyDescent="0.25">
      <c r="A60" s="10" t="s">
        <v>34</v>
      </c>
      <c r="B60" s="6" t="s">
        <v>35</v>
      </c>
      <c r="C60" s="6">
        <v>1</v>
      </c>
      <c r="D60" s="7">
        <v>96528</v>
      </c>
      <c r="E60" s="6">
        <f>SUM(C60*D60)</f>
        <v>96528</v>
      </c>
    </row>
    <row r="61" spans="1:5" ht="24.75" customHeight="1" x14ac:dyDescent="0.25">
      <c r="A61" s="10" t="s">
        <v>8</v>
      </c>
      <c r="B61" s="6" t="s">
        <v>9</v>
      </c>
      <c r="C61" s="6">
        <v>1</v>
      </c>
      <c r="D61" s="7">
        <v>12542</v>
      </c>
      <c r="E61" s="6">
        <f>SUM(C61*D61)</f>
        <v>12542</v>
      </c>
    </row>
    <row r="62" spans="1:5" x14ac:dyDescent="0.25">
      <c r="A62" s="10" t="s">
        <v>36</v>
      </c>
      <c r="B62" s="6"/>
      <c r="C62" s="6">
        <v>1</v>
      </c>
      <c r="D62" s="6">
        <v>22000</v>
      </c>
      <c r="E62" s="6">
        <f>SUM(C62*D62)</f>
        <v>22000</v>
      </c>
    </row>
    <row r="63" spans="1:5" x14ac:dyDescent="0.25">
      <c r="A63" s="8" t="s">
        <v>52</v>
      </c>
      <c r="B63" s="6"/>
      <c r="C63" s="6">
        <v>2</v>
      </c>
      <c r="D63" s="7">
        <v>3500</v>
      </c>
      <c r="E63" s="6">
        <f>SUM(C63*D63)</f>
        <v>7000</v>
      </c>
    </row>
    <row r="65" spans="1:5" x14ac:dyDescent="0.25">
      <c r="A65" s="11"/>
      <c r="B65" s="12" t="s">
        <v>37</v>
      </c>
      <c r="C65" s="12"/>
      <c r="D65" s="12"/>
      <c r="E65" s="12"/>
    </row>
    <row r="66" spans="1:5" ht="30" x14ac:dyDescent="0.25">
      <c r="A66" s="10" t="s">
        <v>48</v>
      </c>
      <c r="B66" s="6"/>
      <c r="C66" s="6">
        <v>10</v>
      </c>
      <c r="D66" s="6">
        <v>3220</v>
      </c>
      <c r="E66" s="6">
        <f>SUM(C66*D66)</f>
        <v>32200</v>
      </c>
    </row>
    <row r="67" spans="1:5" x14ac:dyDescent="0.25">
      <c r="A67" s="5" t="s">
        <v>8</v>
      </c>
      <c r="B67" s="6" t="s">
        <v>9</v>
      </c>
      <c r="C67" s="6">
        <v>2</v>
      </c>
      <c r="D67" s="6">
        <v>12542</v>
      </c>
      <c r="E67" s="6">
        <f>SUM(C67*D67)</f>
        <v>25084</v>
      </c>
    </row>
    <row r="68" spans="1:5" x14ac:dyDescent="0.25">
      <c r="A68" s="5"/>
      <c r="B68" s="6"/>
      <c r="C68" s="6"/>
      <c r="D68" s="6"/>
      <c r="E68" s="6"/>
    </row>
    <row r="69" spans="1:5" x14ac:dyDescent="0.25">
      <c r="A69" s="13" t="s">
        <v>54</v>
      </c>
      <c r="B69" s="14"/>
      <c r="C69" s="14"/>
      <c r="D69" s="14"/>
      <c r="E69" s="14">
        <f>SUM(E5+E6+E7+E8+E9+E10+E11+E12+E15+E16+E17+E18+E19+E20+E21+E22+E25+E26+E27+E28+E29+E30+E31+E32+E35+E36+E37+E38+E39+E40+E41+E42+E43+E44+E45+E46+E49+E50+E51+E52+E53+E54+E55+E56+E59+E60+E61+E62+E63+E66+E67)</f>
        <v>2674597</v>
      </c>
    </row>
  </sheetData>
  <mergeCells count="7">
    <mergeCell ref="A48:E48"/>
    <mergeCell ref="A58:E58"/>
    <mergeCell ref="A1:E1"/>
    <mergeCell ref="A2:E2"/>
    <mergeCell ref="A14:E14"/>
    <mergeCell ref="A24:E24"/>
    <mergeCell ref="A34:E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Adino</dc:creator>
  <cp:lastModifiedBy>Happiness</cp:lastModifiedBy>
  <dcterms:created xsi:type="dcterms:W3CDTF">2024-07-27T09:20:17Z</dcterms:created>
  <dcterms:modified xsi:type="dcterms:W3CDTF">2024-07-27T15:01:53Z</dcterms:modified>
</cp:coreProperties>
</file>