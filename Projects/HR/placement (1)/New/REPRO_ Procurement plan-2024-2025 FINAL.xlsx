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880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N40" i="1" l="1"/>
  <c r="K40" i="1"/>
  <c r="H40" i="1"/>
  <c r="D40" i="1"/>
  <c r="M42" i="1" l="1"/>
</calcChain>
</file>

<file path=xl/sharedStrings.xml><?xml version="1.0" encoding="utf-8"?>
<sst xmlns="http://schemas.openxmlformats.org/spreadsheetml/2006/main" count="54" uniqueCount="46">
  <si>
    <t>Q1</t>
  </si>
  <si>
    <t>Q2</t>
  </si>
  <si>
    <t>Q3</t>
  </si>
  <si>
    <t>Q4</t>
  </si>
  <si>
    <t>Item Description</t>
  </si>
  <si>
    <t>Required</t>
  </si>
  <si>
    <t>Unit cost</t>
  </si>
  <si>
    <t>Total cost</t>
  </si>
  <si>
    <t>Uint Cost</t>
  </si>
  <si>
    <t>Total Cost</t>
  </si>
  <si>
    <t>None sterile gloves M+S (pkt)</t>
  </si>
  <si>
    <t>Sterile surgical gloves (pkt)</t>
  </si>
  <si>
    <t>Surgical face masks (pkt)</t>
  </si>
  <si>
    <t>N95 masks Pkt of 20</t>
  </si>
  <si>
    <t>Calibration of machines</t>
  </si>
  <si>
    <t>Waste disposal containers</t>
  </si>
  <si>
    <t>Sharps disposal containers (units/boxes)</t>
  </si>
  <si>
    <t>Sieve buckets &amp; holder</t>
  </si>
  <si>
    <t>Bucket (20L)</t>
  </si>
  <si>
    <t>Biohazards bags (large, red and Yellow)</t>
  </si>
  <si>
    <t>Black polythene bags, pkt of 20</t>
  </si>
  <si>
    <t>Povidone iodine ointment cream (40g)</t>
  </si>
  <si>
    <t>Cotton wool rolls (400g)</t>
  </si>
  <si>
    <t>Gauze swabs 3”×3” ply (pkt)</t>
  </si>
  <si>
    <t>Gauze WOW rolls  (doz)</t>
  </si>
  <si>
    <t>Adhessive plaster, pcs</t>
  </si>
  <si>
    <t>Cotton gauze 36Yd</t>
  </si>
  <si>
    <t>Equipment</t>
  </si>
  <si>
    <t>Lab Chairs (Leather)</t>
  </si>
  <si>
    <t>Personnel protective equipment</t>
  </si>
  <si>
    <t>White lab coats</t>
  </si>
  <si>
    <t>Total</t>
  </si>
  <si>
    <t>Cotton wool 400g</t>
  </si>
  <si>
    <t>Computer (Desktop)</t>
  </si>
  <si>
    <t>Lap tops</t>
  </si>
  <si>
    <t>Printer and Scanner</t>
  </si>
  <si>
    <t>Personnel Protective Equipment</t>
  </si>
  <si>
    <t xml:space="preserve">CO2 Incubator </t>
  </si>
  <si>
    <t>Microscopes</t>
  </si>
  <si>
    <t>Office chairs</t>
  </si>
  <si>
    <t>Office Tables</t>
  </si>
  <si>
    <t>Office Furniture</t>
  </si>
  <si>
    <t>First Aid Equipment including Topicals and Dressings)</t>
  </si>
  <si>
    <t>Paracetamol</t>
  </si>
  <si>
    <t>Rob</t>
  </si>
  <si>
    <t>Deep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</si>
</sst>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4" fontId="1" fillId="2" borderId="1" xfId="0" applyNumberFormat="1" applyFont="1" applyFill="1" applyBorder="1"/>
    <xf numFmtId="0" fontId="1" fillId="0" borderId="1" xfId="0" applyFont="1" applyBorder="1"/>
    <xf numFmtId="4" fontId="1" fillId="0" borderId="1" xfId="0" applyNumberFormat="1" applyFont="1" applyBorder="1"/>
    <xf numFmtId="0" fontId="1" fillId="2" borderId="1" xfId="0" applyFont="1" applyFill="1" applyBorder="1"/>
    <xf numFmtId="4" fontId="0" fillId="0" borderId="1" xfId="0" applyNumberFormat="1" applyBorder="1"/>
    <xf numFmtId="0" fontId="1" fillId="0" borderId="0" xfId="0" applyFont="1"/>
    <xf numFmtId="0" fontId="1" fillId="3" borderId="1" xfId="0" applyFont="1" applyFill="1" applyBorder="1"/>
    <xf numFmtId="0" fontId="0" fillId="3" borderId="1" xfId="0" applyFill="1" applyBorder="1"/>
    <xf numFmtId="4" fontId="0" fillId="3" borderId="1" xfId="0" applyNumberFormat="1" applyFill="1" applyBorder="1"/>
    <xf numFmtId="0" fontId="0" fillId="3" borderId="0" xfId="0" applyFill="1"/>
    <xf numFmtId="4" fontId="0" fillId="2" borderId="1" xfId="0" applyNumberFormat="1" applyFill="1" applyBorder="1"/>
    <xf numFmtId="4" fontId="1" fillId="3" borderId="1" xfId="0" applyNumberFormat="1" applyFont="1" applyFill="1" applyBorder="1"/>
    <xf numFmtId="0" fontId="1" fillId="3" borderId="0" xfId="0" applyFont="1" applyFill="1"/>
    <xf numFmtId="0" fontId="0" fillId="4" borderId="1" xfId="0" applyFill="1" applyBorder="1"/>
    <xf numFmtId="4" fontId="0" fillId="4" borderId="1" xfId="0" applyNumberFormat="1" applyFill="1" applyBorder="1"/>
    <xf numFmtId="0" fontId="1" fillId="5" borderId="1" xfId="0" applyFont="1" applyFill="1" applyBorder="1"/>
    <xf numFmtId="4" fontId="1" fillId="5" borderId="1" xfId="0" applyNumberFormat="1" applyFont="1" applyFill="1" applyBorder="1"/>
    <xf numFmtId="0" fontId="1" fillId="5" borderId="0" xfId="0" applyFont="1" applyFill="1"/>
    <xf numFmtId="0" fontId="0" fillId="2" borderId="0" xfId="0" applyFill="1"/>
    <xf numFmtId="4" fontId="0" fillId="2" borderId="0" xfId="0" applyNumberFormat="1" applyFill="1"/>
    <xf numFmtId="4" fontId="0" fillId="0" borderId="0" xfId="0" applyNumberFormat="1"/>
    <xf numFmtId="0" fontId="0" fillId="6" borderId="1" xfId="0" applyFill="1" applyBorder="1"/>
    <xf numFmtId="4" fontId="0" fillId="6" borderId="1" xfId="0" applyNumberFormat="1" applyFill="1" applyBorder="1"/>
    <xf numFmtId="0" fontId="0" fillId="6" borderId="0" xfId="0" applyFill="1"/>
    <xf numFmtId="0" fontId="0" fillId="7" borderId="1" xfId="0" applyFill="1" applyBorder="1"/>
    <xf numFmtId="4" fontId="0" fillId="7" borderId="1" xfId="0" applyNumberFormat="1" applyFill="1" applyBorder="1"/>
    <xf numFmtId="0" fontId="0" fillId="7" borderId="0" xfId="0" applyFill="1"/>
    <xf numFmtId="43" fontId="1" fillId="5" borderId="1" xfId="2" applyFont="1" applyFill="1" applyBorder="1"/>
    <xf numFmtId="43" fontId="1" fillId="5" borderId="0" xfId="2" applyFont="1" applyFill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zoomScale="83" zoomScaleNormal="83" workbookViewId="0">
      <selection activeCell="F33" sqref="F33"/>
    </sheetView>
  </sheetViews>
  <sheetFormatPr defaultColWidth="9.140625" defaultRowHeight="15" x14ac:dyDescent="0.25"/>
  <cols>
    <col min="1" max="1" width="35.85546875" customWidth="1"/>
    <col min="2" max="2" width="14.140625" style="21" customWidth="1"/>
    <col min="3" max="3" width="17.5703125" style="22" customWidth="1"/>
    <col min="4" max="4" width="19.42578125" style="22" customWidth="1"/>
    <col min="5" max="5" width="12.42578125" customWidth="1"/>
    <col min="6" max="6" width="16.140625" style="23" customWidth="1"/>
    <col min="7" max="7" width="23.140625" style="23" customWidth="1"/>
    <col min="8" max="8" width="14.5703125" style="21" customWidth="1"/>
    <col min="9" max="9" width="15.140625" style="22" customWidth="1"/>
    <col min="10" max="10" width="19" style="22" customWidth="1"/>
    <col min="11" max="11" width="14.5703125" customWidth="1"/>
    <col min="12" max="12" width="14.85546875" style="23" customWidth="1"/>
    <col min="13" max="13" width="21.140625" style="23" customWidth="1"/>
    <col min="14" max="14" width="14.42578125" customWidth="1"/>
  </cols>
  <sheetData>
    <row r="1" spans="1:14" x14ac:dyDescent="0.25">
      <c r="A1" s="1"/>
      <c r="B1" s="2"/>
      <c r="C1" s="3" t="s">
        <v>0</v>
      </c>
      <c r="D1" s="3"/>
      <c r="E1" s="4"/>
      <c r="F1" s="5" t="s">
        <v>1</v>
      </c>
      <c r="G1" s="5"/>
      <c r="H1" s="6"/>
      <c r="I1" s="3" t="s">
        <v>2</v>
      </c>
      <c r="J1" s="3"/>
      <c r="K1" s="4"/>
      <c r="L1" s="5" t="s">
        <v>3</v>
      </c>
      <c r="M1" s="7"/>
    </row>
    <row r="2" spans="1:14" s="8" customFormat="1" x14ac:dyDescent="0.25">
      <c r="A2" s="8" t="s">
        <v>4</v>
      </c>
      <c r="B2" s="4" t="s">
        <v>5</v>
      </c>
      <c r="C2" s="6" t="s">
        <v>6</v>
      </c>
      <c r="D2" s="3" t="s">
        <v>7</v>
      </c>
      <c r="E2" s="3"/>
      <c r="F2" s="4" t="s">
        <v>5</v>
      </c>
      <c r="G2" s="5" t="s">
        <v>6</v>
      </c>
      <c r="H2" s="5" t="s">
        <v>7</v>
      </c>
      <c r="I2" s="6" t="s">
        <v>5</v>
      </c>
      <c r="J2" s="3" t="s">
        <v>8</v>
      </c>
      <c r="K2" s="3" t="s">
        <v>9</v>
      </c>
      <c r="L2" s="4" t="s">
        <v>5</v>
      </c>
      <c r="M2" s="5" t="s">
        <v>8</v>
      </c>
      <c r="N2" s="5" t="s">
        <v>9</v>
      </c>
    </row>
    <row r="3" spans="1:14" s="12" customFormat="1" ht="17.45" customHeight="1" x14ac:dyDescent="0.25">
      <c r="A3" s="10" t="s">
        <v>27</v>
      </c>
      <c r="B3" s="10"/>
      <c r="C3" s="11"/>
      <c r="D3" s="13">
        <f t="shared" ref="D3:D18" si="0">B3*C3</f>
        <v>0</v>
      </c>
      <c r="E3" s="10"/>
      <c r="F3" s="11"/>
      <c r="G3" s="11"/>
      <c r="H3" s="13">
        <f t="shared" ref="H3:H18" si="1">F3*G3</f>
        <v>0</v>
      </c>
      <c r="I3" s="11"/>
      <c r="J3" s="11"/>
      <c r="K3" s="13">
        <f t="shared" ref="K3:K18" si="2">I3*J3</f>
        <v>0</v>
      </c>
      <c r="L3" s="11"/>
      <c r="M3" s="11"/>
    </row>
    <row r="4" spans="1:14" ht="17.45" customHeight="1" x14ac:dyDescent="0.25">
      <c r="A4" s="1" t="s">
        <v>33</v>
      </c>
      <c r="B4" s="2">
        <v>2</v>
      </c>
      <c r="C4" s="13">
        <v>185000</v>
      </c>
      <c r="D4" s="13">
        <f t="shared" si="0"/>
        <v>370000</v>
      </c>
      <c r="E4" s="1"/>
      <c r="F4" s="7"/>
      <c r="G4" s="7"/>
      <c r="H4" s="13">
        <f t="shared" si="1"/>
        <v>0</v>
      </c>
      <c r="I4" s="13"/>
      <c r="J4" s="13"/>
      <c r="K4" s="13">
        <f t="shared" si="2"/>
        <v>0</v>
      </c>
      <c r="L4" s="7"/>
      <c r="M4" s="7"/>
    </row>
    <row r="5" spans="1:14" ht="17.45" customHeight="1" x14ac:dyDescent="0.25">
      <c r="A5" s="1" t="s">
        <v>35</v>
      </c>
      <c r="B5" s="2">
        <v>1</v>
      </c>
      <c r="C5" s="13">
        <v>100000</v>
      </c>
      <c r="D5" s="13">
        <f t="shared" si="0"/>
        <v>100000</v>
      </c>
      <c r="E5" s="1"/>
      <c r="F5" s="7"/>
      <c r="G5" s="7"/>
      <c r="H5" s="13">
        <f t="shared" si="1"/>
        <v>0</v>
      </c>
      <c r="I5" s="13"/>
      <c r="J5" s="13"/>
      <c r="K5" s="13">
        <f t="shared" si="2"/>
        <v>0</v>
      </c>
      <c r="L5" s="7"/>
      <c r="M5" s="7"/>
    </row>
    <row r="6" spans="1:14" ht="17.45" customHeight="1" x14ac:dyDescent="0.25">
      <c r="A6" s="1" t="s">
        <v>34</v>
      </c>
      <c r="B6" s="2">
        <v>1</v>
      </c>
      <c r="C6" s="13">
        <v>250000</v>
      </c>
      <c r="D6" s="13">
        <f t="shared" si="0"/>
        <v>250000</v>
      </c>
      <c r="E6" s="1"/>
      <c r="F6" s="7"/>
      <c r="G6" s="7"/>
      <c r="H6" s="13">
        <f t="shared" si="1"/>
        <v>0</v>
      </c>
      <c r="I6" s="13"/>
      <c r="J6" s="13"/>
      <c r="K6" s="13">
        <f t="shared" si="2"/>
        <v>0</v>
      </c>
      <c r="L6" s="7"/>
      <c r="M6" s="7"/>
    </row>
    <row r="7" spans="1:14" s="29" customFormat="1" ht="17.45" customHeight="1" x14ac:dyDescent="0.25">
      <c r="A7" s="27" t="s">
        <v>36</v>
      </c>
      <c r="B7" s="27"/>
      <c r="C7" s="28"/>
      <c r="D7" s="13">
        <f t="shared" si="0"/>
        <v>0</v>
      </c>
      <c r="E7" s="27"/>
      <c r="F7" s="28"/>
      <c r="G7" s="28"/>
      <c r="H7" s="13">
        <f t="shared" si="1"/>
        <v>0</v>
      </c>
      <c r="I7" s="28"/>
      <c r="J7" s="28"/>
      <c r="K7" s="13">
        <f t="shared" si="2"/>
        <v>0</v>
      </c>
      <c r="L7" s="28"/>
      <c r="M7" s="28"/>
    </row>
    <row r="8" spans="1:14" x14ac:dyDescent="0.25">
      <c r="A8" s="1" t="s">
        <v>10</v>
      </c>
      <c r="B8" s="2">
        <v>150</v>
      </c>
      <c r="C8" s="13">
        <v>1200</v>
      </c>
      <c r="D8" s="13">
        <f t="shared" si="0"/>
        <v>180000</v>
      </c>
      <c r="E8" s="1"/>
      <c r="F8" s="7"/>
      <c r="G8" s="7"/>
      <c r="H8" s="13">
        <f t="shared" si="1"/>
        <v>0</v>
      </c>
      <c r="I8" s="13"/>
      <c r="J8" s="13"/>
      <c r="K8" s="13">
        <f t="shared" si="2"/>
        <v>0</v>
      </c>
      <c r="L8" s="7"/>
      <c r="M8" s="7"/>
    </row>
    <row r="9" spans="1:14" x14ac:dyDescent="0.25">
      <c r="A9" s="1" t="s">
        <v>11</v>
      </c>
      <c r="B9" s="2">
        <v>60</v>
      </c>
      <c r="C9" s="13">
        <v>1200</v>
      </c>
      <c r="D9" s="13">
        <f t="shared" si="0"/>
        <v>72000</v>
      </c>
      <c r="E9" s="1"/>
      <c r="F9" s="7"/>
      <c r="G9" s="7"/>
      <c r="H9" s="13">
        <f t="shared" si="1"/>
        <v>0</v>
      </c>
      <c r="I9" s="13"/>
      <c r="J9" s="13"/>
      <c r="K9" s="13">
        <f t="shared" si="2"/>
        <v>0</v>
      </c>
      <c r="L9" s="7"/>
      <c r="M9" s="7"/>
    </row>
    <row r="10" spans="1:14" x14ac:dyDescent="0.25">
      <c r="A10" s="1" t="s">
        <v>12</v>
      </c>
      <c r="B10" s="2">
        <v>100</v>
      </c>
      <c r="C10" s="13">
        <v>550</v>
      </c>
      <c r="D10" s="13">
        <f t="shared" si="0"/>
        <v>55000</v>
      </c>
      <c r="E10" s="1"/>
      <c r="F10" s="7"/>
      <c r="G10" s="7"/>
      <c r="H10" s="13">
        <f t="shared" si="1"/>
        <v>0</v>
      </c>
      <c r="I10" s="13"/>
      <c r="J10" s="13"/>
      <c r="K10" s="13">
        <f t="shared" si="2"/>
        <v>0</v>
      </c>
      <c r="L10" s="7"/>
      <c r="M10" s="7"/>
    </row>
    <row r="11" spans="1:14" x14ac:dyDescent="0.25">
      <c r="A11" s="1" t="s">
        <v>13</v>
      </c>
      <c r="B11" s="2">
        <v>20</v>
      </c>
      <c r="C11" s="13">
        <v>2450</v>
      </c>
      <c r="D11" s="13">
        <f t="shared" si="0"/>
        <v>49000</v>
      </c>
      <c r="E11" s="1"/>
      <c r="F11" s="7"/>
      <c r="G11" s="7"/>
      <c r="H11" s="13">
        <f t="shared" si="1"/>
        <v>0</v>
      </c>
      <c r="I11" s="13"/>
      <c r="J11" s="13"/>
      <c r="K11" s="13">
        <f t="shared" si="2"/>
        <v>0</v>
      </c>
      <c r="L11" s="7"/>
      <c r="M11" s="7"/>
    </row>
    <row r="12" spans="1:14" s="12" customFormat="1" x14ac:dyDescent="0.25">
      <c r="A12" s="9" t="s">
        <v>15</v>
      </c>
      <c r="B12" s="10"/>
      <c r="C12" s="11"/>
      <c r="D12" s="13">
        <f t="shared" si="0"/>
        <v>0</v>
      </c>
      <c r="E12" s="11"/>
      <c r="F12" s="11"/>
      <c r="G12" s="11"/>
      <c r="H12" s="13">
        <f t="shared" si="1"/>
        <v>0</v>
      </c>
      <c r="I12" s="11"/>
      <c r="J12" s="11"/>
      <c r="K12" s="13">
        <f t="shared" si="2"/>
        <v>0</v>
      </c>
      <c r="L12" s="11"/>
      <c r="M12" s="11"/>
    </row>
    <row r="13" spans="1:14" x14ac:dyDescent="0.25">
      <c r="A13" s="1" t="s">
        <v>16</v>
      </c>
      <c r="B13" s="2">
        <v>80</v>
      </c>
      <c r="C13" s="13">
        <v>350</v>
      </c>
      <c r="D13" s="13">
        <f t="shared" si="0"/>
        <v>28000</v>
      </c>
      <c r="E13" s="1"/>
      <c r="F13" s="7"/>
      <c r="G13" s="7"/>
      <c r="H13" s="13">
        <f t="shared" si="1"/>
        <v>0</v>
      </c>
      <c r="I13" s="2">
        <v>80</v>
      </c>
      <c r="J13" s="13">
        <v>350</v>
      </c>
      <c r="K13" s="13">
        <f t="shared" si="2"/>
        <v>28000</v>
      </c>
      <c r="L13" s="7"/>
      <c r="M13" s="7"/>
    </row>
    <row r="14" spans="1:14" x14ac:dyDescent="0.25">
      <c r="A14" s="1" t="s">
        <v>17</v>
      </c>
      <c r="B14" s="2">
        <v>10</v>
      </c>
      <c r="C14" s="13">
        <v>800</v>
      </c>
      <c r="D14" s="13">
        <f t="shared" si="0"/>
        <v>8000</v>
      </c>
      <c r="E14" s="1"/>
      <c r="F14" s="7"/>
      <c r="G14" s="7"/>
      <c r="H14" s="13">
        <f t="shared" si="1"/>
        <v>0</v>
      </c>
      <c r="I14" s="2">
        <v>10</v>
      </c>
      <c r="J14" s="13">
        <v>800</v>
      </c>
      <c r="K14" s="13">
        <f t="shared" si="2"/>
        <v>8000</v>
      </c>
      <c r="L14" s="7"/>
      <c r="M14" s="7"/>
    </row>
    <row r="15" spans="1:14" x14ac:dyDescent="0.25">
      <c r="A15" s="1" t="s">
        <v>18</v>
      </c>
      <c r="B15" s="2">
        <v>10</v>
      </c>
      <c r="C15" s="13">
        <v>850</v>
      </c>
      <c r="D15" s="13">
        <f t="shared" si="0"/>
        <v>8500</v>
      </c>
      <c r="E15" s="1"/>
      <c r="F15" s="7"/>
      <c r="G15" s="7"/>
      <c r="H15" s="13">
        <f t="shared" si="1"/>
        <v>0</v>
      </c>
      <c r="I15" s="2">
        <v>10</v>
      </c>
      <c r="J15" s="13">
        <v>850</v>
      </c>
      <c r="K15" s="13">
        <f t="shared" si="2"/>
        <v>8500</v>
      </c>
      <c r="L15" s="7"/>
      <c r="M15" s="7"/>
    </row>
    <row r="16" spans="1:14" x14ac:dyDescent="0.25">
      <c r="A16" s="1" t="s">
        <v>19</v>
      </c>
      <c r="B16" s="2">
        <v>400</v>
      </c>
      <c r="C16" s="13">
        <v>80</v>
      </c>
      <c r="D16" s="13">
        <f t="shared" si="0"/>
        <v>32000</v>
      </c>
      <c r="E16" s="1"/>
      <c r="F16" s="7"/>
      <c r="G16" s="7"/>
      <c r="H16" s="13">
        <f t="shared" si="1"/>
        <v>0</v>
      </c>
      <c r="I16" s="2">
        <v>400</v>
      </c>
      <c r="J16" s="13">
        <v>80</v>
      </c>
      <c r="K16" s="13">
        <f t="shared" si="2"/>
        <v>32000</v>
      </c>
      <c r="L16" s="7"/>
      <c r="M16" s="7"/>
    </row>
    <row r="17" spans="1:13" x14ac:dyDescent="0.25">
      <c r="A17" s="1" t="s">
        <v>20</v>
      </c>
      <c r="B17" s="2">
        <v>20</v>
      </c>
      <c r="C17" s="13">
        <v>900</v>
      </c>
      <c r="D17" s="13">
        <f t="shared" si="0"/>
        <v>18000</v>
      </c>
      <c r="E17" s="1"/>
      <c r="F17" s="7"/>
      <c r="G17" s="7"/>
      <c r="H17" s="13">
        <f t="shared" si="1"/>
        <v>0</v>
      </c>
      <c r="I17" s="2">
        <v>20</v>
      </c>
      <c r="J17" s="13">
        <v>900</v>
      </c>
      <c r="K17" s="13">
        <f t="shared" si="2"/>
        <v>18000</v>
      </c>
      <c r="L17" s="7"/>
      <c r="M17" s="7"/>
    </row>
    <row r="18" spans="1:13" s="15" customFormat="1" x14ac:dyDescent="0.25">
      <c r="A18" s="9" t="s">
        <v>42</v>
      </c>
      <c r="B18" s="9"/>
      <c r="C18" s="14"/>
      <c r="D18" s="13">
        <f t="shared" si="0"/>
        <v>0</v>
      </c>
      <c r="E18" s="11"/>
      <c r="F18" s="11"/>
      <c r="G18" s="11"/>
      <c r="H18" s="13">
        <f t="shared" si="1"/>
        <v>0</v>
      </c>
      <c r="I18" s="11"/>
      <c r="J18" s="11"/>
      <c r="K18" s="13">
        <f t="shared" si="2"/>
        <v>0</v>
      </c>
      <c r="L18" s="14"/>
      <c r="M18" s="11"/>
    </row>
    <row r="19" spans="1:13" x14ac:dyDescent="0.25">
      <c r="A19" s="1" t="s">
        <v>21</v>
      </c>
      <c r="B19" s="2">
        <v>20</v>
      </c>
      <c r="C19" s="13">
        <v>650</v>
      </c>
      <c r="D19" s="13">
        <f t="shared" ref="D19:D35" si="3">B19*C19</f>
        <v>13000</v>
      </c>
      <c r="E19" s="1"/>
      <c r="F19" s="7"/>
      <c r="G19" s="7"/>
      <c r="H19" s="13">
        <f t="shared" ref="H19:H35" si="4">F19*G19</f>
        <v>0</v>
      </c>
      <c r="I19" s="2">
        <v>20</v>
      </c>
      <c r="J19" s="13">
        <v>650</v>
      </c>
      <c r="K19" s="13">
        <f t="shared" ref="K19:K35" si="5">I19*J19</f>
        <v>13000</v>
      </c>
      <c r="L19" s="7"/>
      <c r="M19" s="7"/>
    </row>
    <row r="20" spans="1:13" x14ac:dyDescent="0.25">
      <c r="A20" s="1" t="s">
        <v>22</v>
      </c>
      <c r="B20" s="2">
        <v>10</v>
      </c>
      <c r="C20" s="13">
        <v>480</v>
      </c>
      <c r="D20" s="13">
        <f t="shared" si="3"/>
        <v>4800</v>
      </c>
      <c r="E20" s="1"/>
      <c r="F20" s="7"/>
      <c r="G20" s="7"/>
      <c r="H20" s="13">
        <f t="shared" si="4"/>
        <v>0</v>
      </c>
      <c r="I20" s="2">
        <v>10</v>
      </c>
      <c r="J20" s="13">
        <v>480</v>
      </c>
      <c r="K20" s="13">
        <f t="shared" si="5"/>
        <v>4800</v>
      </c>
      <c r="L20" s="7"/>
      <c r="M20" s="7"/>
    </row>
    <row r="21" spans="1:13" x14ac:dyDescent="0.25">
      <c r="A21" s="1" t="s">
        <v>23</v>
      </c>
      <c r="B21" s="2">
        <v>100</v>
      </c>
      <c r="C21" s="13">
        <v>450</v>
      </c>
      <c r="D21" s="13">
        <f t="shared" si="3"/>
        <v>45000</v>
      </c>
      <c r="E21" s="1"/>
      <c r="F21" s="7"/>
      <c r="G21" s="7"/>
      <c r="H21" s="13">
        <f t="shared" si="4"/>
        <v>0</v>
      </c>
      <c r="I21" s="2">
        <v>100</v>
      </c>
      <c r="J21" s="13">
        <v>450</v>
      </c>
      <c r="K21" s="13">
        <f t="shared" si="5"/>
        <v>45000</v>
      </c>
      <c r="L21" s="7"/>
      <c r="M21" s="7"/>
    </row>
    <row r="22" spans="1:13" x14ac:dyDescent="0.25">
      <c r="A22" s="1" t="s">
        <v>24</v>
      </c>
      <c r="B22" s="2">
        <v>20</v>
      </c>
      <c r="C22" s="13">
        <v>1200</v>
      </c>
      <c r="D22" s="13">
        <f t="shared" si="3"/>
        <v>24000</v>
      </c>
      <c r="E22" s="1"/>
      <c r="F22" s="7"/>
      <c r="G22" s="7"/>
      <c r="H22" s="13">
        <f t="shared" si="4"/>
        <v>0</v>
      </c>
      <c r="I22" s="2">
        <v>20</v>
      </c>
      <c r="J22" s="13">
        <v>1200</v>
      </c>
      <c r="K22" s="13">
        <f t="shared" si="5"/>
        <v>24000</v>
      </c>
      <c r="L22" s="7"/>
      <c r="M22" s="7"/>
    </row>
    <row r="23" spans="1:13" x14ac:dyDescent="0.25">
      <c r="A23" s="1" t="s">
        <v>25</v>
      </c>
      <c r="B23" s="2">
        <v>12</v>
      </c>
      <c r="C23" s="13">
        <v>250</v>
      </c>
      <c r="D23" s="13">
        <f t="shared" si="3"/>
        <v>3000</v>
      </c>
      <c r="E23" s="1"/>
      <c r="F23" s="7"/>
      <c r="G23" s="7"/>
      <c r="H23" s="13">
        <f t="shared" si="4"/>
        <v>0</v>
      </c>
      <c r="I23" s="2">
        <v>12</v>
      </c>
      <c r="J23" s="13">
        <v>250</v>
      </c>
      <c r="K23" s="13">
        <f t="shared" si="5"/>
        <v>3000</v>
      </c>
      <c r="L23" s="7"/>
      <c r="M23" s="7"/>
    </row>
    <row r="24" spans="1:13" x14ac:dyDescent="0.25">
      <c r="A24" s="1" t="s">
        <v>26</v>
      </c>
      <c r="B24" s="2">
        <v>2</v>
      </c>
      <c r="C24" s="13">
        <v>1800</v>
      </c>
      <c r="D24" s="13">
        <f t="shared" si="3"/>
        <v>3600</v>
      </c>
      <c r="E24" s="1"/>
      <c r="F24" s="7"/>
      <c r="G24" s="7"/>
      <c r="H24" s="13">
        <f t="shared" si="4"/>
        <v>0</v>
      </c>
      <c r="I24" s="2">
        <v>2</v>
      </c>
      <c r="J24" s="13">
        <v>1800</v>
      </c>
      <c r="K24" s="13">
        <f t="shared" si="5"/>
        <v>3600</v>
      </c>
      <c r="L24" s="7"/>
      <c r="M24" s="7"/>
    </row>
    <row r="25" spans="1:13" x14ac:dyDescent="0.25">
      <c r="A25" s="1" t="s">
        <v>32</v>
      </c>
      <c r="B25" s="2">
        <v>4</v>
      </c>
      <c r="C25" s="13">
        <v>1120</v>
      </c>
      <c r="D25" s="13">
        <f t="shared" si="3"/>
        <v>4480</v>
      </c>
      <c r="E25" s="1"/>
      <c r="F25" s="7"/>
      <c r="G25" s="7"/>
      <c r="H25" s="13">
        <f t="shared" si="4"/>
        <v>0</v>
      </c>
      <c r="I25" s="2">
        <v>4</v>
      </c>
      <c r="J25" s="13">
        <v>1120</v>
      </c>
      <c r="K25" s="13">
        <f t="shared" si="5"/>
        <v>4480</v>
      </c>
      <c r="L25" s="7"/>
      <c r="M25" s="7"/>
    </row>
    <row r="26" spans="1:13" x14ac:dyDescent="0.25">
      <c r="A26" s="1" t="s">
        <v>45</v>
      </c>
      <c r="B26" s="2">
        <v>2</v>
      </c>
      <c r="C26" s="13">
        <v>1500</v>
      </c>
      <c r="D26" s="13">
        <f t="shared" si="3"/>
        <v>3000</v>
      </c>
      <c r="E26" s="1"/>
      <c r="F26" s="7"/>
      <c r="G26" s="7"/>
      <c r="H26" s="13">
        <f t="shared" si="4"/>
        <v>0</v>
      </c>
      <c r="I26" s="2">
        <v>2</v>
      </c>
      <c r="J26" s="13">
        <v>1500</v>
      </c>
      <c r="K26" s="13">
        <f t="shared" si="5"/>
        <v>3000</v>
      </c>
      <c r="L26" s="7"/>
      <c r="M26" s="7"/>
    </row>
    <row r="27" spans="1:13" x14ac:dyDescent="0.25">
      <c r="A27" s="1" t="s">
        <v>44</v>
      </c>
      <c r="B27" s="2">
        <v>10</v>
      </c>
      <c r="C27" s="13">
        <v>100</v>
      </c>
      <c r="D27" s="13">
        <f t="shared" si="3"/>
        <v>1000</v>
      </c>
      <c r="E27" s="1"/>
      <c r="F27" s="7"/>
      <c r="G27" s="7"/>
      <c r="H27" s="13">
        <f t="shared" si="4"/>
        <v>0</v>
      </c>
      <c r="I27" s="2">
        <v>10</v>
      </c>
      <c r="J27" s="13">
        <v>100</v>
      </c>
      <c r="K27" s="13">
        <f t="shared" si="5"/>
        <v>1000</v>
      </c>
      <c r="L27" s="7"/>
      <c r="M27" s="7"/>
    </row>
    <row r="28" spans="1:13" x14ac:dyDescent="0.25">
      <c r="A28" s="1" t="s">
        <v>43</v>
      </c>
      <c r="B28" s="2">
        <v>4</v>
      </c>
      <c r="C28" s="13">
        <v>200</v>
      </c>
      <c r="D28" s="13">
        <f t="shared" si="3"/>
        <v>800</v>
      </c>
      <c r="E28" s="1"/>
      <c r="F28" s="7"/>
      <c r="G28" s="7"/>
      <c r="H28" s="13">
        <f t="shared" si="4"/>
        <v>0</v>
      </c>
      <c r="I28" s="2">
        <v>4</v>
      </c>
      <c r="J28" s="13">
        <v>200</v>
      </c>
      <c r="K28" s="13">
        <f t="shared" si="5"/>
        <v>800</v>
      </c>
      <c r="L28" s="7"/>
      <c r="M28" s="7"/>
    </row>
    <row r="29" spans="1:13" s="12" customFormat="1" x14ac:dyDescent="0.25">
      <c r="A29" s="10" t="s">
        <v>41</v>
      </c>
      <c r="B29" s="10"/>
      <c r="C29" s="11"/>
      <c r="D29" s="13">
        <f t="shared" si="3"/>
        <v>0</v>
      </c>
      <c r="E29" s="10"/>
      <c r="F29" s="11"/>
      <c r="G29" s="11"/>
      <c r="H29" s="13">
        <f t="shared" si="4"/>
        <v>0</v>
      </c>
      <c r="I29" s="11"/>
      <c r="J29" s="11"/>
      <c r="K29" s="13">
        <f t="shared" si="5"/>
        <v>0</v>
      </c>
      <c r="L29" s="11"/>
      <c r="M29" s="11"/>
    </row>
    <row r="30" spans="1:13" s="26" customFormat="1" x14ac:dyDescent="0.25">
      <c r="A30" s="24" t="s">
        <v>40</v>
      </c>
      <c r="B30" s="24">
        <v>2</v>
      </c>
      <c r="C30" s="25">
        <v>30000</v>
      </c>
      <c r="D30" s="13">
        <f t="shared" si="3"/>
        <v>60000</v>
      </c>
      <c r="E30" s="24"/>
      <c r="F30" s="25"/>
      <c r="G30" s="25"/>
      <c r="H30" s="13">
        <f t="shared" si="4"/>
        <v>0</v>
      </c>
      <c r="I30" s="25"/>
      <c r="J30" s="25"/>
      <c r="K30" s="13">
        <f t="shared" si="5"/>
        <v>0</v>
      </c>
      <c r="L30" s="25"/>
      <c r="M30" s="25"/>
    </row>
    <row r="31" spans="1:13" s="26" customFormat="1" x14ac:dyDescent="0.25">
      <c r="A31" s="24" t="s">
        <v>39</v>
      </c>
      <c r="B31" s="24">
        <v>5</v>
      </c>
      <c r="C31" s="25">
        <v>25000</v>
      </c>
      <c r="D31" s="13">
        <f t="shared" si="3"/>
        <v>125000</v>
      </c>
      <c r="E31" s="24"/>
      <c r="F31" s="25"/>
      <c r="G31" s="25"/>
      <c r="H31" s="13">
        <f t="shared" si="4"/>
        <v>0</v>
      </c>
      <c r="I31" s="25"/>
      <c r="J31" s="25"/>
      <c r="K31" s="13">
        <f t="shared" si="5"/>
        <v>0</v>
      </c>
      <c r="L31" s="25"/>
      <c r="M31" s="25"/>
    </row>
    <row r="32" spans="1:13" s="26" customFormat="1" x14ac:dyDescent="0.25">
      <c r="A32" s="24" t="s">
        <v>28</v>
      </c>
      <c r="B32" s="24">
        <v>5</v>
      </c>
      <c r="C32" s="25">
        <v>28450</v>
      </c>
      <c r="D32" s="13">
        <f t="shared" si="3"/>
        <v>142250</v>
      </c>
      <c r="E32" s="25"/>
      <c r="F32" s="25"/>
      <c r="G32" s="25"/>
      <c r="H32" s="13">
        <f t="shared" si="4"/>
        <v>0</v>
      </c>
      <c r="I32" s="25"/>
      <c r="J32" s="25"/>
      <c r="K32" s="13">
        <f t="shared" si="5"/>
        <v>0</v>
      </c>
      <c r="L32" s="25"/>
      <c r="M32" s="25"/>
    </row>
    <row r="33" spans="1:14" s="26" customFormat="1" x14ac:dyDescent="0.25">
      <c r="A33" s="24" t="s">
        <v>37</v>
      </c>
      <c r="B33" s="24">
        <v>1</v>
      </c>
      <c r="C33" s="25">
        <v>150000</v>
      </c>
      <c r="D33" s="13">
        <f t="shared" si="3"/>
        <v>150000</v>
      </c>
      <c r="E33" s="25"/>
      <c r="F33" s="25"/>
      <c r="G33" s="25"/>
      <c r="H33" s="13">
        <f t="shared" si="4"/>
        <v>0</v>
      </c>
      <c r="I33" s="25"/>
      <c r="J33" s="25"/>
      <c r="K33" s="13">
        <f t="shared" si="5"/>
        <v>0</v>
      </c>
      <c r="L33" s="25"/>
      <c r="M33" s="25"/>
    </row>
    <row r="34" spans="1:14" s="26" customFormat="1" x14ac:dyDescent="0.25">
      <c r="A34" s="24" t="s">
        <v>38</v>
      </c>
      <c r="B34" s="24">
        <v>1</v>
      </c>
      <c r="C34" s="25">
        <v>120000</v>
      </c>
      <c r="D34" s="13">
        <f t="shared" si="3"/>
        <v>120000</v>
      </c>
      <c r="E34" s="25"/>
      <c r="F34" s="25"/>
      <c r="G34" s="25"/>
      <c r="H34" s="13">
        <f t="shared" si="4"/>
        <v>0</v>
      </c>
      <c r="I34" s="25"/>
      <c r="J34" s="25"/>
      <c r="K34" s="13">
        <f t="shared" si="5"/>
        <v>0</v>
      </c>
      <c r="L34" s="25"/>
      <c r="M34" s="25"/>
    </row>
    <row r="35" spans="1:14" s="26" customFormat="1" x14ac:dyDescent="0.25">
      <c r="A35" s="24"/>
      <c r="B35" s="24">
        <v>1</v>
      </c>
      <c r="C35" s="7">
        <v>200000</v>
      </c>
      <c r="D35" s="13">
        <f t="shared" si="3"/>
        <v>200000</v>
      </c>
      <c r="E35" s="25"/>
      <c r="F35" s="25"/>
      <c r="G35" s="25"/>
      <c r="H35" s="13">
        <f t="shared" si="4"/>
        <v>0</v>
      </c>
      <c r="I35" s="25"/>
      <c r="J35" s="25"/>
      <c r="K35" s="13">
        <f t="shared" si="5"/>
        <v>0</v>
      </c>
      <c r="L35" s="25"/>
      <c r="M35" s="25"/>
    </row>
    <row r="36" spans="1:14" x14ac:dyDescent="0.25">
      <c r="A36" s="9" t="s">
        <v>14</v>
      </c>
      <c r="B36" s="10"/>
      <c r="C36" s="11"/>
      <c r="D36" s="13">
        <f t="shared" ref="D36:D39" si="6">B36*C36</f>
        <v>0</v>
      </c>
      <c r="E36" s="7"/>
      <c r="F36" s="7"/>
      <c r="G36" s="7"/>
      <c r="H36" s="13">
        <f t="shared" ref="H36:H39" si="7">F36*G36</f>
        <v>0</v>
      </c>
      <c r="I36" s="13"/>
      <c r="J36" s="13"/>
      <c r="K36" s="13">
        <f t="shared" ref="K36:K39" si="8">I36*J36</f>
        <v>0</v>
      </c>
      <c r="L36" s="7"/>
      <c r="M36" s="7"/>
    </row>
    <row r="37" spans="1:14" x14ac:dyDescent="0.25">
      <c r="A37" s="1" t="s">
        <v>14</v>
      </c>
      <c r="B37" s="2">
        <v>1</v>
      </c>
      <c r="C37" s="13">
        <v>224000</v>
      </c>
      <c r="D37" s="13">
        <f t="shared" si="6"/>
        <v>224000</v>
      </c>
      <c r="E37" s="7"/>
      <c r="F37" s="7"/>
      <c r="G37" s="7"/>
      <c r="H37" s="13">
        <f t="shared" si="7"/>
        <v>0</v>
      </c>
      <c r="I37" s="13"/>
      <c r="J37" s="13"/>
      <c r="K37" s="13">
        <f t="shared" si="8"/>
        <v>0</v>
      </c>
      <c r="L37" s="7"/>
      <c r="M37" s="7"/>
    </row>
    <row r="38" spans="1:14" s="12" customFormat="1" x14ac:dyDescent="0.25">
      <c r="A38" s="9" t="s">
        <v>29</v>
      </c>
      <c r="B38" s="10"/>
      <c r="C38" s="11"/>
      <c r="D38" s="13">
        <f t="shared" si="6"/>
        <v>0</v>
      </c>
      <c r="E38" s="10"/>
      <c r="F38" s="11"/>
      <c r="G38" s="11"/>
      <c r="H38" s="13">
        <f t="shared" si="7"/>
        <v>0</v>
      </c>
      <c r="I38" s="11"/>
      <c r="J38" s="11"/>
      <c r="K38" s="13">
        <f t="shared" si="8"/>
        <v>0</v>
      </c>
      <c r="L38" s="11"/>
      <c r="M38" s="11"/>
    </row>
    <row r="39" spans="1:14" x14ac:dyDescent="0.25">
      <c r="A39" s="1" t="s">
        <v>30</v>
      </c>
      <c r="B39" s="16">
        <v>20</v>
      </c>
      <c r="C39" s="17">
        <v>1400</v>
      </c>
      <c r="D39" s="13">
        <f t="shared" si="6"/>
        <v>28000</v>
      </c>
      <c r="E39" s="1"/>
      <c r="F39" s="7"/>
      <c r="G39" s="7"/>
      <c r="H39" s="13">
        <f t="shared" si="7"/>
        <v>0</v>
      </c>
      <c r="I39" s="13"/>
      <c r="J39" s="13"/>
      <c r="K39" s="13">
        <f t="shared" si="8"/>
        <v>0</v>
      </c>
      <c r="L39" s="7"/>
      <c r="M39" s="7"/>
    </row>
    <row r="40" spans="1:14" s="20" customFormat="1" x14ac:dyDescent="0.25">
      <c r="A40" s="18" t="s">
        <v>31</v>
      </c>
      <c r="B40" s="18"/>
      <c r="C40" s="19"/>
      <c r="D40" s="19">
        <f>SUM(D1:D39)</f>
        <v>2322430</v>
      </c>
      <c r="E40" s="18"/>
      <c r="F40" s="19"/>
      <c r="G40" s="19"/>
      <c r="H40" s="30">
        <f>SUM(H1:H39)</f>
        <v>0</v>
      </c>
      <c r="I40" s="19"/>
      <c r="J40" s="19"/>
      <c r="K40" s="30">
        <f>SUM(K1:K39)</f>
        <v>197180</v>
      </c>
      <c r="L40" s="19"/>
      <c r="M40" s="19"/>
      <c r="N40" s="31">
        <f>SUM(N1:N39)</f>
        <v>0</v>
      </c>
    </row>
    <row r="41" spans="1:14" x14ac:dyDescent="0.25">
      <c r="A41" s="1"/>
      <c r="B41" s="2"/>
      <c r="C41" s="13"/>
      <c r="D41" s="13"/>
      <c r="E41" s="1"/>
      <c r="F41" s="7"/>
      <c r="G41" s="7"/>
      <c r="H41" s="2"/>
      <c r="I41" s="13"/>
      <c r="J41" s="13"/>
      <c r="K41" s="1"/>
      <c r="L41" s="7"/>
      <c r="M41" s="7"/>
    </row>
    <row r="42" spans="1:14" x14ac:dyDescent="0.25">
      <c r="A42" s="1"/>
      <c r="B42" s="2"/>
      <c r="C42" s="13"/>
      <c r="D42" s="13"/>
      <c r="E42" s="1"/>
      <c r="F42" s="7"/>
      <c r="G42" s="7"/>
      <c r="H42" s="2"/>
      <c r="I42" s="13"/>
      <c r="J42" s="13"/>
      <c r="K42" s="1"/>
      <c r="L42" s="7"/>
      <c r="M42" s="19">
        <f>D40+H40+K40+N40</f>
        <v>2519610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2019</dc:creator>
  <cp:lastModifiedBy>ipr</cp:lastModifiedBy>
  <dcterms:created xsi:type="dcterms:W3CDTF">2020-08-25T07:00:28Z</dcterms:created>
  <dcterms:modified xsi:type="dcterms:W3CDTF">2024-06-03T09:07:29Z</dcterms:modified>
</cp:coreProperties>
</file>