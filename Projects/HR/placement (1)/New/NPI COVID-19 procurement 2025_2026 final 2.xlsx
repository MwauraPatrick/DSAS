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B26A20D4-D9D6-43C9-B4FE-311C5AD3A16E}" xr6:coauthVersionLast="47" xr6:coauthVersionMax="47" xr10:uidLastSave="{00000000-0000-0000-0000-000000000000}"/>
  <bookViews>
    <workbookView xWindow="2500" yWindow="2500" windowWidth="14400" windowHeight="7270" xr2:uid="{62772DD5-043B-4CD2-A48E-02C9EB3EECCD}"/>
  </bookViews>
  <sheets>
    <sheet name="Benign prostate enlargemen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2" l="1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49" i="2" l="1"/>
</calcChain>
</file>

<file path=xl/sharedStrings.xml><?xml version="1.0" encoding="utf-8"?>
<sst xmlns="http://schemas.openxmlformats.org/spreadsheetml/2006/main" count="94" uniqueCount="71">
  <si>
    <t>UNIT COST</t>
  </si>
  <si>
    <t>TOTAL COST</t>
  </si>
  <si>
    <t>Ethanol GPR (20L)</t>
  </si>
  <si>
    <t>IN VITRO CYTOTOXICITY STUDIES</t>
  </si>
  <si>
    <t>UNIT OF ISSUE</t>
  </si>
  <si>
    <t>TOTAL QUANTITY</t>
  </si>
  <si>
    <t>Dulbecco′s Modified Eagle′s Medium (DMEM) with high glucose, L-glutamine and pyruvate (500 ml) (GIBCO) (10 pcs)</t>
  </si>
  <si>
    <t>Bottle</t>
  </si>
  <si>
    <t xml:space="preserve">Phosphate Buffered Saline (1000 ml) </t>
  </si>
  <si>
    <t>Fetal Bovine serum (GIBCO) (500 ml)</t>
  </si>
  <si>
    <r>
      <t>T- 75 (75cm</t>
    </r>
    <r>
      <rPr>
        <vertAlign val="superscript"/>
        <sz val="12"/>
        <color rgb="FF000000"/>
        <rFont val="Arial Narrow"/>
        <family val="2"/>
      </rPr>
      <t>2</t>
    </r>
    <r>
      <rPr>
        <sz val="12"/>
        <color rgb="FF000000"/>
        <rFont val="Arial Narrow"/>
        <family val="2"/>
      </rPr>
      <t>) Tissue Culture Flasks (10 pcs)</t>
    </r>
  </si>
  <si>
    <t>Box of 25</t>
  </si>
  <si>
    <t>NEST Tissue-culture treated, clear, flat-bottom cell culture plates (24-well) (100 pcs)</t>
  </si>
  <si>
    <t>Box</t>
  </si>
  <si>
    <t>NEST Tissue-culture treated, clear, flat-bottom cell culture plates (96-well) (100 pcs)</t>
  </si>
  <si>
    <t>Filters (0.22µM )(1 Litre)</t>
  </si>
  <si>
    <t>Millex-GP sterile syringe filters (0.22µM)(50 pcs)</t>
  </si>
  <si>
    <t>Box of 50</t>
  </si>
  <si>
    <t>Thiazol blue tetrazolium bromide; MTT (Sigma) (1g)</t>
  </si>
  <si>
    <t>Pkt</t>
  </si>
  <si>
    <t>Streptomycin/Penicillin (100ml)</t>
  </si>
  <si>
    <t>Trypan blue (100ml)</t>
  </si>
  <si>
    <t>Trypsin-EDTA (100ml)</t>
  </si>
  <si>
    <t>10 ml sterile serological pipettes (Box of 200pcs)</t>
  </si>
  <si>
    <t>Box of 200</t>
  </si>
  <si>
    <t>25 ml sterile serological pipettes (Box of 200pcs)</t>
  </si>
  <si>
    <r>
      <t>15ml Centrifuge tubes (Corning</t>
    </r>
    <r>
      <rPr>
        <vertAlign val="superscript"/>
        <sz val="12"/>
        <color rgb="FF000000"/>
        <rFont val="Arial Narrow"/>
        <family val="2"/>
      </rPr>
      <t>TM</t>
    </r>
    <r>
      <rPr>
        <sz val="12"/>
        <color rgb="FF000000"/>
        <rFont val="Arial Narrow"/>
        <family val="2"/>
      </rPr>
      <t>)(Sterile)(500pcs)</t>
    </r>
  </si>
  <si>
    <t>Box of 500</t>
  </si>
  <si>
    <r>
      <t>50ml Centrifuge tubes (Corning</t>
    </r>
    <r>
      <rPr>
        <vertAlign val="superscript"/>
        <sz val="12"/>
        <color rgb="FF000000"/>
        <rFont val="Arial Narrow"/>
        <family val="2"/>
      </rPr>
      <t>TM</t>
    </r>
    <r>
      <rPr>
        <sz val="12"/>
        <color rgb="FF000000"/>
        <rFont val="Arial Narrow"/>
        <family val="2"/>
      </rPr>
      <t>)(Sterile)(500pcs)</t>
    </r>
  </si>
  <si>
    <t>Eppendorf tubes (2ml)(Sterile), pkt of 500</t>
  </si>
  <si>
    <t>Pkt of 500</t>
  </si>
  <si>
    <t>ZAP Slik low retention filter pipette tips 20µl (Sterile) (Racks)</t>
  </si>
  <si>
    <t>ZAP Slik low retention filter pipette tips 200µl (Sterile) (Racks)</t>
  </si>
  <si>
    <t>ZAP Slik low retention filter pipette tips 1000µl (Sterile) (Racks)</t>
  </si>
  <si>
    <t>Sterile reagent reservoirs (50ml) (Sigma) (200pcs)</t>
  </si>
  <si>
    <t>Yellow tips 200µl (1000pcs) (Non-sterile)</t>
  </si>
  <si>
    <t>Blue tips 1000µl (500pcs) (Non-sterile)</t>
  </si>
  <si>
    <t>Jerrican</t>
  </si>
  <si>
    <t>Commercial Bleach (5L)</t>
  </si>
  <si>
    <t>Paper towels (box)</t>
  </si>
  <si>
    <t>Nitrile gloves (box, packet of 10)</t>
  </si>
  <si>
    <t>Surgical face masks (box)</t>
  </si>
  <si>
    <t>Aluminium foil (roll)</t>
  </si>
  <si>
    <t>Roll</t>
  </si>
  <si>
    <t>Liquid nitrogen gas</t>
  </si>
  <si>
    <t>Litres</t>
  </si>
  <si>
    <t>5 mL syringes</t>
  </si>
  <si>
    <t>Box of 100</t>
  </si>
  <si>
    <t>Gauge 18 mm needles</t>
  </si>
  <si>
    <t>Cryoboxes (9x9)</t>
  </si>
  <si>
    <t>Piece</t>
  </si>
  <si>
    <t>2 mL cryovials</t>
  </si>
  <si>
    <t>Pkt of 50</t>
  </si>
  <si>
    <t>Black waste bags</t>
  </si>
  <si>
    <t>Pkt of 100</t>
  </si>
  <si>
    <t>Red bioharzard bags</t>
  </si>
  <si>
    <t>Dimethyl sulfoxide (4L)</t>
  </si>
  <si>
    <t xml:space="preserve">Bottle </t>
  </si>
  <si>
    <t>Liquid nitrogen tank</t>
  </si>
  <si>
    <t>Tank</t>
  </si>
  <si>
    <t>Annexin V kit</t>
  </si>
  <si>
    <t>Kit</t>
  </si>
  <si>
    <t>CSFE staining kit</t>
  </si>
  <si>
    <t>BrdU staining kit</t>
  </si>
  <si>
    <t>Sheeth fluid</t>
  </si>
  <si>
    <t>20L</t>
  </si>
  <si>
    <t>Facs tubes (Pkt of 25pcs)</t>
  </si>
  <si>
    <t>Pks</t>
  </si>
  <si>
    <t>Flow cytometry charges</t>
  </si>
  <si>
    <t>Hours</t>
  </si>
  <si>
    <t>Sub-Total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</si>
</sst>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Arial Narrow"/>
      <family val="2"/>
    </font>
    <font>
      <b/>
      <sz val="12"/>
      <color rgb="FFFF0000"/>
      <name val="Arial Narrow"/>
      <family val="2"/>
    </font>
    <font>
      <sz val="12"/>
      <color rgb="FF000000"/>
      <name val="Arial Narrow"/>
      <family val="2"/>
    </font>
    <font>
      <sz val="12"/>
      <color rgb="FFFF0000"/>
      <name val="Arial Narrow"/>
      <family val="2"/>
    </font>
    <font>
      <vertAlign val="superscript"/>
      <sz val="12"/>
      <color rgb="FF000000"/>
      <name val="Arial Narrow"/>
      <family val="2"/>
    </font>
    <font>
      <sz val="12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6B26B"/>
        <bgColor rgb="FFF6B26B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left"/>
    </xf>
    <xf numFmtId="3" fontId="3" fillId="2" borderId="1" xfId="0" applyNumberFormat="1" applyFont="1" applyFill="1" applyBorder="1" applyAlignment="1">
      <alignment horizontal="center" vertical="center"/>
    </xf>
    <xf numFmtId="4" fontId="4" fillId="2" borderId="1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3" fontId="5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right"/>
    </xf>
    <xf numFmtId="4" fontId="5" fillId="0" borderId="1" xfId="0" applyNumberFormat="1" applyFont="1" applyBorder="1" applyAlignment="1">
      <alignment horizontal="right"/>
    </xf>
    <xf numFmtId="0" fontId="2" fillId="3" borderId="0" xfId="0" applyFont="1" applyFill="1"/>
    <xf numFmtId="0" fontId="5" fillId="4" borderId="1" xfId="0" applyFont="1" applyFill="1" applyBorder="1" applyAlignment="1">
      <alignment horizontal="left"/>
    </xf>
    <xf numFmtId="3" fontId="5" fillId="4" borderId="1" xfId="0" applyNumberFormat="1" applyFont="1" applyFill="1" applyBorder="1" applyAlignment="1">
      <alignment horizontal="center"/>
    </xf>
    <xf numFmtId="0" fontId="8" fillId="5" borderId="0" xfId="0" applyFont="1" applyFill="1" applyAlignment="1">
      <alignment vertical="center"/>
    </xf>
    <xf numFmtId="0" fontId="3" fillId="0" borderId="1" xfId="0" applyFont="1" applyBorder="1" applyAlignment="1">
      <alignment horizontal="left"/>
    </xf>
    <xf numFmtId="3" fontId="3" fillId="0" borderId="1" xfId="0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00CED-A0FC-4192-A077-4CA5720E1364}">
  <dimension ref="A1:J49"/>
  <sheetViews>
    <sheetView tabSelected="1" topLeftCell="A9" workbookViewId="0">
      <selection activeCell="D47" sqref="D47"/>
    </sheetView>
  </sheetViews>
  <sheetFormatPr defaultRowHeight="14.5" x14ac:dyDescent="0.35"/>
  <cols>
    <col min="1" max="1" width="68.1796875" bestFit="1" customWidth="1"/>
    <col min="2" max="2" width="14.6328125" bestFit="1" customWidth="1"/>
    <col min="3" max="3" width="16.90625" bestFit="1" customWidth="1"/>
    <col min="4" max="4" width="11" style="18" bestFit="1" customWidth="1"/>
    <col min="5" max="5" width="12.54296875" style="19" bestFit="1" customWidth="1"/>
    <col min="8" max="8" width="2.08984375" bestFit="1" customWidth="1"/>
    <col min="9" max="9" width="9.90625" bestFit="1" customWidth="1"/>
    <col min="10" max="10" width="22.90625" bestFit="1" customWidth="1"/>
  </cols>
  <sheetData>
    <row r="1" spans="1:10" ht="15.5" x14ac:dyDescent="0.35">
      <c r="A1" s="1" t="s">
        <v>3</v>
      </c>
      <c r="B1" s="1" t="s">
        <v>4</v>
      </c>
      <c r="C1" s="2" t="s">
        <v>5</v>
      </c>
      <c r="D1" s="3" t="s">
        <v>0</v>
      </c>
      <c r="E1" s="4" t="s">
        <v>1</v>
      </c>
    </row>
    <row r="2" spans="1:10" ht="31" x14ac:dyDescent="0.35">
      <c r="A2" s="5" t="s">
        <v>6</v>
      </c>
      <c r="B2" s="6" t="s">
        <v>7</v>
      </c>
      <c r="C2" s="7">
        <v>20</v>
      </c>
      <c r="D2" s="8">
        <v>8600</v>
      </c>
      <c r="E2" s="9">
        <f t="shared" ref="E2:E45" si="0">C2*D2</f>
        <v>172000</v>
      </c>
      <c r="J2" s="10"/>
    </row>
    <row r="3" spans="1:10" ht="15.5" x14ac:dyDescent="0.35">
      <c r="A3" s="6" t="s">
        <v>8</v>
      </c>
      <c r="B3" s="6" t="s">
        <v>7</v>
      </c>
      <c r="C3" s="7">
        <v>10</v>
      </c>
      <c r="D3" s="8">
        <v>14000</v>
      </c>
      <c r="E3" s="9">
        <f t="shared" si="0"/>
        <v>140000</v>
      </c>
    </row>
    <row r="4" spans="1:10" ht="15.5" x14ac:dyDescent="0.35">
      <c r="A4" s="6" t="s">
        <v>9</v>
      </c>
      <c r="B4" s="6" t="s">
        <v>7</v>
      </c>
      <c r="C4" s="7">
        <v>2</v>
      </c>
      <c r="D4" s="8">
        <v>98000</v>
      </c>
      <c r="E4" s="9">
        <f t="shared" si="0"/>
        <v>196000</v>
      </c>
    </row>
    <row r="5" spans="1:10" ht="18" x14ac:dyDescent="0.35">
      <c r="A5" s="11" t="s">
        <v>10</v>
      </c>
      <c r="B5" s="11" t="s">
        <v>11</v>
      </c>
      <c r="C5" s="12">
        <v>10</v>
      </c>
      <c r="D5" s="8">
        <v>17600</v>
      </c>
      <c r="E5" s="9">
        <f t="shared" si="0"/>
        <v>176000</v>
      </c>
    </row>
    <row r="6" spans="1:10" ht="15.5" x14ac:dyDescent="0.35">
      <c r="A6" s="11" t="s">
        <v>12</v>
      </c>
      <c r="B6" s="11" t="s">
        <v>13</v>
      </c>
      <c r="C6" s="12">
        <v>4</v>
      </c>
      <c r="D6" s="8">
        <v>48000</v>
      </c>
      <c r="E6" s="9">
        <f t="shared" si="0"/>
        <v>192000</v>
      </c>
    </row>
    <row r="7" spans="1:10" ht="15.5" x14ac:dyDescent="0.35">
      <c r="A7" s="11" t="s">
        <v>14</v>
      </c>
      <c r="B7" s="11" t="s">
        <v>13</v>
      </c>
      <c r="C7" s="12">
        <v>1</v>
      </c>
      <c r="D7" s="8">
        <v>48000</v>
      </c>
      <c r="E7" s="9">
        <f t="shared" si="0"/>
        <v>48000</v>
      </c>
    </row>
    <row r="8" spans="1:10" ht="15.5" x14ac:dyDescent="0.35">
      <c r="A8" s="6" t="s">
        <v>15</v>
      </c>
      <c r="B8" s="6" t="s">
        <v>13</v>
      </c>
      <c r="C8" s="7">
        <v>1</v>
      </c>
      <c r="D8" s="8">
        <v>47000</v>
      </c>
      <c r="E8" s="9">
        <f t="shared" si="0"/>
        <v>47000</v>
      </c>
    </row>
    <row r="9" spans="1:10" ht="15.5" x14ac:dyDescent="0.35">
      <c r="A9" s="6" t="s">
        <v>16</v>
      </c>
      <c r="B9" s="6" t="s">
        <v>17</v>
      </c>
      <c r="C9" s="7">
        <v>1</v>
      </c>
      <c r="D9" s="8">
        <v>24000</v>
      </c>
      <c r="E9" s="9">
        <f t="shared" si="0"/>
        <v>24000</v>
      </c>
    </row>
    <row r="10" spans="1:10" ht="16.25" customHeight="1" x14ac:dyDescent="0.35">
      <c r="A10" s="5" t="s">
        <v>18</v>
      </c>
      <c r="B10" s="6" t="s">
        <v>19</v>
      </c>
      <c r="C10" s="7">
        <v>1</v>
      </c>
      <c r="D10" s="8">
        <v>28000</v>
      </c>
      <c r="E10" s="9">
        <f t="shared" si="0"/>
        <v>28000</v>
      </c>
    </row>
    <row r="11" spans="1:10" ht="15.5" x14ac:dyDescent="0.35">
      <c r="A11" s="6" t="s">
        <v>20</v>
      </c>
      <c r="B11" s="6" t="s">
        <v>7</v>
      </c>
      <c r="C11" s="7">
        <v>4</v>
      </c>
      <c r="D11" s="8">
        <v>9800</v>
      </c>
      <c r="E11" s="9">
        <f t="shared" si="0"/>
        <v>39200</v>
      </c>
    </row>
    <row r="12" spans="1:10" ht="15.5" x14ac:dyDescent="0.35">
      <c r="A12" s="6" t="s">
        <v>21</v>
      </c>
      <c r="B12" s="6" t="s">
        <v>7</v>
      </c>
      <c r="C12" s="7">
        <v>2</v>
      </c>
      <c r="D12" s="8">
        <v>17400</v>
      </c>
      <c r="E12" s="9">
        <f t="shared" si="0"/>
        <v>34800</v>
      </c>
    </row>
    <row r="13" spans="1:10" ht="15.5" x14ac:dyDescent="0.35">
      <c r="A13" s="6" t="s">
        <v>22</v>
      </c>
      <c r="B13" s="6" t="s">
        <v>7</v>
      </c>
      <c r="C13" s="7">
        <v>10</v>
      </c>
      <c r="D13" s="8">
        <v>14900</v>
      </c>
      <c r="E13" s="9">
        <f t="shared" si="0"/>
        <v>149000</v>
      </c>
    </row>
    <row r="14" spans="1:10" ht="15.5" x14ac:dyDescent="0.35">
      <c r="A14" s="6" t="s">
        <v>23</v>
      </c>
      <c r="B14" s="6" t="s">
        <v>24</v>
      </c>
      <c r="C14" s="7">
        <v>4</v>
      </c>
      <c r="D14" s="8">
        <v>14500</v>
      </c>
      <c r="E14" s="9">
        <f t="shared" si="0"/>
        <v>58000</v>
      </c>
    </row>
    <row r="15" spans="1:10" ht="15.5" x14ac:dyDescent="0.35">
      <c r="A15" s="6" t="s">
        <v>25</v>
      </c>
      <c r="B15" s="6" t="s">
        <v>24</v>
      </c>
      <c r="C15" s="7">
        <v>4</v>
      </c>
      <c r="D15" s="8">
        <v>17500</v>
      </c>
      <c r="E15" s="9">
        <f t="shared" si="0"/>
        <v>70000</v>
      </c>
    </row>
    <row r="16" spans="1:10" ht="18" x14ac:dyDescent="0.35">
      <c r="A16" s="6" t="s">
        <v>26</v>
      </c>
      <c r="B16" s="6" t="s">
        <v>27</v>
      </c>
      <c r="C16" s="7">
        <v>2</v>
      </c>
      <c r="D16" s="8">
        <v>35000</v>
      </c>
      <c r="E16" s="9">
        <f t="shared" si="0"/>
        <v>70000</v>
      </c>
    </row>
    <row r="17" spans="1:5" ht="18" x14ac:dyDescent="0.35">
      <c r="A17" s="6" t="s">
        <v>28</v>
      </c>
      <c r="B17" s="6" t="s">
        <v>27</v>
      </c>
      <c r="C17" s="7">
        <v>2</v>
      </c>
      <c r="D17" s="8">
        <v>45000</v>
      </c>
      <c r="E17" s="9">
        <f t="shared" si="0"/>
        <v>90000</v>
      </c>
    </row>
    <row r="18" spans="1:5" ht="15.5" x14ac:dyDescent="0.35">
      <c r="A18" s="6" t="s">
        <v>29</v>
      </c>
      <c r="B18" s="6" t="s">
        <v>30</v>
      </c>
      <c r="C18" s="7">
        <v>2</v>
      </c>
      <c r="D18" s="8">
        <v>7500</v>
      </c>
      <c r="E18" s="9">
        <f t="shared" si="0"/>
        <v>15000</v>
      </c>
    </row>
    <row r="19" spans="1:5" ht="15.5" x14ac:dyDescent="0.35">
      <c r="A19" s="6" t="s">
        <v>31</v>
      </c>
      <c r="B19" s="6" t="s">
        <v>13</v>
      </c>
      <c r="C19" s="7">
        <v>2</v>
      </c>
      <c r="D19" s="8">
        <v>17200</v>
      </c>
      <c r="E19" s="9">
        <f t="shared" si="0"/>
        <v>34400</v>
      </c>
    </row>
    <row r="20" spans="1:5" ht="15.5" x14ac:dyDescent="0.35">
      <c r="A20" s="6" t="s">
        <v>32</v>
      </c>
      <c r="B20" s="6" t="s">
        <v>13</v>
      </c>
      <c r="C20" s="7">
        <v>5</v>
      </c>
      <c r="D20" s="8">
        <v>16100</v>
      </c>
      <c r="E20" s="9">
        <f t="shared" si="0"/>
        <v>80500</v>
      </c>
    </row>
    <row r="21" spans="1:5" ht="15.5" x14ac:dyDescent="0.35">
      <c r="A21" s="6" t="s">
        <v>33</v>
      </c>
      <c r="B21" s="6" t="s">
        <v>13</v>
      </c>
      <c r="C21" s="7">
        <v>4</v>
      </c>
      <c r="D21" s="8">
        <v>17200</v>
      </c>
      <c r="E21" s="9">
        <f t="shared" si="0"/>
        <v>68800</v>
      </c>
    </row>
    <row r="22" spans="1:5" ht="15.5" x14ac:dyDescent="0.35">
      <c r="A22" s="6" t="s">
        <v>34</v>
      </c>
      <c r="B22" s="6" t="s">
        <v>24</v>
      </c>
      <c r="C22" s="7">
        <v>4</v>
      </c>
      <c r="D22" s="8">
        <v>74000</v>
      </c>
      <c r="E22" s="9">
        <f t="shared" si="0"/>
        <v>296000</v>
      </c>
    </row>
    <row r="23" spans="1:5" ht="15.5" x14ac:dyDescent="0.35">
      <c r="A23" s="6" t="s">
        <v>35</v>
      </c>
      <c r="B23" s="6" t="s">
        <v>19</v>
      </c>
      <c r="C23" s="7">
        <v>1</v>
      </c>
      <c r="D23" s="8">
        <v>2900</v>
      </c>
      <c r="E23" s="9">
        <f t="shared" si="0"/>
        <v>2900</v>
      </c>
    </row>
    <row r="24" spans="1:5" ht="15.5" x14ac:dyDescent="0.35">
      <c r="A24" s="6" t="s">
        <v>36</v>
      </c>
      <c r="B24" s="6" t="s">
        <v>19</v>
      </c>
      <c r="C24" s="7">
        <v>1</v>
      </c>
      <c r="D24" s="8">
        <v>1900</v>
      </c>
      <c r="E24" s="9">
        <f t="shared" si="0"/>
        <v>1900</v>
      </c>
    </row>
    <row r="25" spans="1:5" ht="15.5" x14ac:dyDescent="0.35">
      <c r="A25" s="13" t="s">
        <v>2</v>
      </c>
      <c r="B25" s="6" t="s">
        <v>37</v>
      </c>
      <c r="C25" s="7">
        <v>2</v>
      </c>
      <c r="D25" s="8">
        <v>15000</v>
      </c>
      <c r="E25" s="9">
        <f t="shared" si="0"/>
        <v>30000</v>
      </c>
    </row>
    <row r="26" spans="1:5" ht="15.5" x14ac:dyDescent="0.35">
      <c r="A26" s="6" t="s">
        <v>38</v>
      </c>
      <c r="B26" s="6" t="s">
        <v>37</v>
      </c>
      <c r="C26" s="7">
        <v>2</v>
      </c>
      <c r="D26" s="8">
        <v>3200</v>
      </c>
      <c r="E26" s="9">
        <f t="shared" si="0"/>
        <v>6400</v>
      </c>
    </row>
    <row r="27" spans="1:5" ht="15.5" x14ac:dyDescent="0.35">
      <c r="A27" s="6" t="s">
        <v>39</v>
      </c>
      <c r="B27" s="6" t="s">
        <v>13</v>
      </c>
      <c r="C27" s="7">
        <v>4</v>
      </c>
      <c r="D27" s="8">
        <v>4950</v>
      </c>
      <c r="E27" s="9">
        <f t="shared" si="0"/>
        <v>19800</v>
      </c>
    </row>
    <row r="28" spans="1:5" ht="15.5" x14ac:dyDescent="0.35">
      <c r="A28" s="6" t="s">
        <v>40</v>
      </c>
      <c r="B28" s="6" t="s">
        <v>13</v>
      </c>
      <c r="C28" s="7">
        <v>2</v>
      </c>
      <c r="D28" s="8">
        <v>14000</v>
      </c>
      <c r="E28" s="9">
        <f t="shared" si="0"/>
        <v>28000</v>
      </c>
    </row>
    <row r="29" spans="1:5" ht="15.5" x14ac:dyDescent="0.35">
      <c r="A29" s="6" t="s">
        <v>41</v>
      </c>
      <c r="B29" s="6" t="s">
        <v>13</v>
      </c>
      <c r="C29" s="7">
        <v>10</v>
      </c>
      <c r="D29" s="8">
        <v>700</v>
      </c>
      <c r="E29" s="9">
        <f t="shared" si="0"/>
        <v>7000</v>
      </c>
    </row>
    <row r="30" spans="1:5" ht="15.5" x14ac:dyDescent="0.35">
      <c r="A30" s="6" t="s">
        <v>42</v>
      </c>
      <c r="B30" s="6" t="s">
        <v>43</v>
      </c>
      <c r="C30" s="7">
        <v>4</v>
      </c>
      <c r="D30" s="8">
        <v>750</v>
      </c>
      <c r="E30" s="9">
        <f t="shared" si="0"/>
        <v>3000</v>
      </c>
    </row>
    <row r="31" spans="1:5" ht="15.5" x14ac:dyDescent="0.35">
      <c r="A31" s="6" t="s">
        <v>44</v>
      </c>
      <c r="B31" s="6" t="s">
        <v>45</v>
      </c>
      <c r="C31" s="7">
        <v>240</v>
      </c>
      <c r="D31" s="8">
        <v>500</v>
      </c>
      <c r="E31" s="9">
        <f t="shared" si="0"/>
        <v>120000</v>
      </c>
    </row>
    <row r="32" spans="1:5" ht="15.5" x14ac:dyDescent="0.35">
      <c r="A32" s="6" t="s">
        <v>46</v>
      </c>
      <c r="B32" s="6" t="s">
        <v>47</v>
      </c>
      <c r="C32" s="7">
        <v>5</v>
      </c>
      <c r="D32" s="8">
        <v>2950</v>
      </c>
      <c r="E32" s="9">
        <f t="shared" si="0"/>
        <v>14750</v>
      </c>
    </row>
    <row r="33" spans="1:5" ht="15.5" x14ac:dyDescent="0.35">
      <c r="A33" s="6" t="s">
        <v>48</v>
      </c>
      <c r="B33" s="6" t="s">
        <v>47</v>
      </c>
      <c r="C33" s="7">
        <v>5</v>
      </c>
      <c r="D33" s="8">
        <v>2900</v>
      </c>
      <c r="E33" s="9">
        <f t="shared" si="0"/>
        <v>14500</v>
      </c>
    </row>
    <row r="34" spans="1:5" ht="15.5" x14ac:dyDescent="0.35">
      <c r="A34" s="6" t="s">
        <v>49</v>
      </c>
      <c r="B34" s="6" t="s">
        <v>50</v>
      </c>
      <c r="C34" s="7">
        <v>30</v>
      </c>
      <c r="D34" s="8">
        <v>2400</v>
      </c>
      <c r="E34" s="9">
        <f t="shared" si="0"/>
        <v>72000</v>
      </c>
    </row>
    <row r="35" spans="1:5" ht="15.5" x14ac:dyDescent="0.35">
      <c r="A35" s="6" t="s">
        <v>51</v>
      </c>
      <c r="B35" s="6" t="s">
        <v>52</v>
      </c>
      <c r="C35" s="7">
        <v>5</v>
      </c>
      <c r="D35" s="8">
        <v>2200</v>
      </c>
      <c r="E35" s="9">
        <f t="shared" si="0"/>
        <v>11000</v>
      </c>
    </row>
    <row r="36" spans="1:5" ht="15.5" x14ac:dyDescent="0.35">
      <c r="A36" s="6" t="s">
        <v>53</v>
      </c>
      <c r="B36" s="6" t="s">
        <v>54</v>
      </c>
      <c r="C36" s="7">
        <v>3</v>
      </c>
      <c r="D36" s="8">
        <v>7500</v>
      </c>
      <c r="E36" s="9">
        <f t="shared" si="0"/>
        <v>22500</v>
      </c>
    </row>
    <row r="37" spans="1:5" ht="15.5" x14ac:dyDescent="0.35">
      <c r="A37" s="6" t="s">
        <v>55</v>
      </c>
      <c r="B37" s="6" t="s">
        <v>54</v>
      </c>
      <c r="C37" s="7">
        <v>4</v>
      </c>
      <c r="D37" s="8">
        <v>8000</v>
      </c>
      <c r="E37" s="9">
        <f t="shared" si="0"/>
        <v>32000</v>
      </c>
    </row>
    <row r="38" spans="1:5" ht="15.5" x14ac:dyDescent="0.35">
      <c r="A38" s="6" t="s">
        <v>56</v>
      </c>
      <c r="B38" s="6" t="s">
        <v>57</v>
      </c>
      <c r="C38" s="7">
        <v>1</v>
      </c>
      <c r="D38" s="8">
        <v>115000</v>
      </c>
      <c r="E38" s="9">
        <f t="shared" si="0"/>
        <v>115000</v>
      </c>
    </row>
    <row r="39" spans="1:5" ht="15.5" x14ac:dyDescent="0.35">
      <c r="A39" s="6" t="s">
        <v>58</v>
      </c>
      <c r="B39" s="6" t="s">
        <v>59</v>
      </c>
      <c r="C39" s="7">
        <v>1</v>
      </c>
      <c r="D39" s="8"/>
      <c r="E39" s="9">
        <f t="shared" si="0"/>
        <v>0</v>
      </c>
    </row>
    <row r="40" spans="1:5" ht="15.5" x14ac:dyDescent="0.35">
      <c r="A40" s="6" t="s">
        <v>60</v>
      </c>
      <c r="B40" s="6" t="s">
        <v>61</v>
      </c>
      <c r="C40" s="7">
        <v>1</v>
      </c>
      <c r="D40" s="8">
        <v>124000</v>
      </c>
      <c r="E40" s="9">
        <f t="shared" si="0"/>
        <v>124000</v>
      </c>
    </row>
    <row r="41" spans="1:5" ht="15.5" x14ac:dyDescent="0.35">
      <c r="A41" s="6" t="s">
        <v>62</v>
      </c>
      <c r="B41" s="6" t="s">
        <v>61</v>
      </c>
      <c r="C41" s="7">
        <v>1</v>
      </c>
      <c r="D41" s="8">
        <v>130000</v>
      </c>
      <c r="E41" s="9">
        <f t="shared" si="0"/>
        <v>130000</v>
      </c>
    </row>
    <row r="42" spans="1:5" ht="15.5" x14ac:dyDescent="0.35">
      <c r="A42" s="6" t="s">
        <v>63</v>
      </c>
      <c r="B42" s="6" t="s">
        <v>61</v>
      </c>
      <c r="C42" s="7">
        <v>1</v>
      </c>
      <c r="D42" s="8">
        <v>195000</v>
      </c>
      <c r="E42" s="9">
        <f t="shared" si="0"/>
        <v>195000</v>
      </c>
    </row>
    <row r="43" spans="1:5" ht="15.5" x14ac:dyDescent="0.35">
      <c r="A43" s="6" t="s">
        <v>64</v>
      </c>
      <c r="B43" s="6" t="s">
        <v>65</v>
      </c>
      <c r="C43" s="7">
        <v>5</v>
      </c>
      <c r="D43" s="8">
        <v>15000</v>
      </c>
      <c r="E43" s="9">
        <f t="shared" si="0"/>
        <v>75000</v>
      </c>
    </row>
    <row r="44" spans="1:5" ht="15.5" x14ac:dyDescent="0.35">
      <c r="A44" s="6" t="s">
        <v>66</v>
      </c>
      <c r="B44" s="6" t="s">
        <v>67</v>
      </c>
      <c r="C44" s="7">
        <v>8</v>
      </c>
      <c r="D44" s="8">
        <v>10000</v>
      </c>
      <c r="E44" s="9">
        <f t="shared" si="0"/>
        <v>80000</v>
      </c>
    </row>
    <row r="45" spans="1:5" ht="15.5" x14ac:dyDescent="0.35">
      <c r="A45" s="6" t="s">
        <v>68</v>
      </c>
      <c r="B45" s="6" t="s">
        <v>69</v>
      </c>
      <c r="C45" s="7">
        <v>10</v>
      </c>
      <c r="D45" s="8">
        <v>6000</v>
      </c>
      <c r="E45" s="9">
        <f t="shared" si="0"/>
        <v>60000</v>
      </c>
    </row>
    <row r="46" spans="1:5" ht="15.5" x14ac:dyDescent="0.35">
      <c r="A46" s="6"/>
      <c r="B46" s="6"/>
      <c r="C46" s="7"/>
      <c r="D46" s="8"/>
      <c r="E46" s="9"/>
    </row>
    <row r="47" spans="1:5" ht="15.5" x14ac:dyDescent="0.35">
      <c r="A47" s="6"/>
      <c r="B47" s="6"/>
      <c r="C47" s="7"/>
      <c r="D47" s="8"/>
      <c r="E47" s="9"/>
    </row>
    <row r="48" spans="1:5" ht="15.5" x14ac:dyDescent="0.35">
      <c r="A48" s="6"/>
      <c r="B48" s="6"/>
      <c r="C48" s="7"/>
      <c r="D48" s="8"/>
      <c r="E48" s="9"/>
    </row>
    <row r="49" spans="1:5" ht="15.5" x14ac:dyDescent="0.35">
      <c r="A49" s="14" t="s">
        <v>70</v>
      </c>
      <c r="B49" s="14"/>
      <c r="C49" s="15"/>
      <c r="D49" s="16"/>
      <c r="E49" s="17">
        <f>SUM(E2:E31)</f>
        <v>2247700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Benign prostate enlargement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IPR</dc:creator>
  <cp:lastModifiedBy>Guest 1</cp:lastModifiedBy>
  <dcterms:created xsi:type="dcterms:W3CDTF">2025-03-17T09:39:04Z</dcterms:created>
  <dcterms:modified xsi:type="dcterms:W3CDTF">2025-03-24T13:02:01Z</dcterms:modified>
</cp:coreProperties>
</file>