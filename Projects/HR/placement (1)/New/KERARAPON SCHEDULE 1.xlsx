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7BF68C5-9559-4880-9B6E-B66F57CC3876}" xr6:coauthVersionLast="47" xr6:coauthVersionMax="47" xr10:uidLastSave="{00000000-0000-0000-0000-000000000000}"/>
  <bookViews>
    <workbookView xWindow="-108" yWindow="-108" windowWidth="23256" windowHeight="12456" firstSheet="10" activeTab="15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SECURITY MARCH 24" sheetId="18" r:id="rId5"/>
    <sheet name="SECURITY APRIL 24" sheetId="23" r:id="rId6"/>
    <sheet name="SECURITY 2023" sheetId="20" r:id="rId7"/>
    <sheet name=" K-SRIC NOV 23" sheetId="5" r:id="rId8"/>
    <sheet name="K-SRIC DEC 23" sheetId="6" r:id="rId9"/>
    <sheet name="K-SRIC OCT 23" sheetId="7" r:id="rId10"/>
    <sheet name="K-SRIC SEP 23" sheetId="8" r:id="rId11"/>
    <sheet name="K-SRIC JAN 24" sheetId="9" r:id="rId12"/>
    <sheet name="K-SRIC APRIL 24" sheetId="21" r:id="rId13"/>
    <sheet name="K-SRIC FEB 24" sheetId="13" r:id="rId14"/>
    <sheet name="K-SRIC 2023" sheetId="19" r:id="rId15"/>
    <sheet name="P.O 23" sheetId="26" r:id="rId16"/>
    <sheet name="PO JAN 24" sheetId="10" r:id="rId17"/>
    <sheet name="PO APRIL 24" sheetId="22" r:id="rId18"/>
    <sheet name="TO JAN 24" sheetId="11" r:id="rId19"/>
    <sheet name="T.O JAN 24" sheetId="27" r:id="rId20"/>
    <sheet name="TO APRIL 24" sheetId="24" r:id="rId21"/>
    <sheet name="P.O FEB 24" sheetId="14" r:id="rId22"/>
    <sheet name="TO FEB 24" sheetId="12" r:id="rId23"/>
    <sheet name="TO. MARCH 24" sheetId="17" r:id="rId24"/>
    <sheet name="P.O MARCH 24" sheetId="15" r:id="rId25"/>
    <sheet name="K-SRIC MARCH 2024" sheetId="1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9" l="1"/>
  <c r="F6" i="27" l="1"/>
  <c r="F7" i="26"/>
  <c r="F21" i="24"/>
  <c r="F30" i="24"/>
  <c r="F9" i="24"/>
  <c r="F16" i="24"/>
  <c r="F27" i="24"/>
  <c r="F12" i="24"/>
  <c r="F5" i="24"/>
  <c r="F5" i="23"/>
  <c r="F13" i="22"/>
  <c r="F14" i="21"/>
  <c r="F9" i="21"/>
  <c r="F5" i="21"/>
  <c r="F6" i="20"/>
  <c r="F19" i="19"/>
  <c r="F15" i="19"/>
  <c r="F5" i="19"/>
  <c r="F25" i="19" s="1"/>
  <c r="F6" i="18"/>
  <c r="F22" i="17"/>
  <c r="F12" i="17"/>
  <c r="F25" i="17"/>
  <c r="F19" i="17"/>
  <c r="F15" i="17"/>
  <c r="F27" i="17" s="1"/>
  <c r="F8" i="17"/>
  <c r="F5" i="17"/>
  <c r="F14" i="16"/>
  <c r="F10" i="16"/>
  <c r="F6" i="16"/>
  <c r="F6" i="15"/>
  <c r="F24" i="12"/>
  <c r="F19" i="12"/>
  <c r="F16" i="12"/>
  <c r="F12" i="12"/>
  <c r="F9" i="12"/>
  <c r="F6" i="12"/>
  <c r="F5" i="14"/>
  <c r="F13" i="13"/>
  <c r="F9" i="13"/>
  <c r="F5" i="13"/>
  <c r="F32" i="1"/>
  <c r="F14" i="3"/>
  <c r="F17" i="2"/>
  <c r="F13" i="2"/>
  <c r="F9" i="1"/>
  <c r="F23" i="1"/>
  <c r="F11" i="3"/>
  <c r="F25" i="11"/>
  <c r="F19" i="11"/>
  <c r="F16" i="11"/>
  <c r="F13" i="11"/>
  <c r="F9" i="11"/>
  <c r="F6" i="11"/>
  <c r="F8" i="10"/>
  <c r="F14" i="9"/>
  <c r="F9" i="9"/>
  <c r="F5" i="9"/>
  <c r="F16" i="9" s="1"/>
  <c r="F10" i="8"/>
  <c r="F7" i="8"/>
  <c r="F12" i="8" s="1"/>
  <c r="F4" i="8"/>
  <c r="F21" i="7"/>
  <c r="F12" i="7"/>
  <c r="F23" i="7" s="1"/>
  <c r="F5" i="7"/>
  <c r="F14" i="6"/>
  <c r="F10" i="6"/>
  <c r="F16" i="6" s="1"/>
  <c r="F5" i="6"/>
  <c r="F17" i="5"/>
  <c r="F19" i="5" s="1"/>
  <c r="F12" i="5"/>
  <c r="F8" i="5"/>
  <c r="F8" i="4"/>
  <c r="F5" i="3"/>
  <c r="F16" i="3" s="1"/>
  <c r="F23" i="2"/>
  <c r="F20" i="2"/>
  <c r="F8" i="2"/>
  <c r="F4" i="2"/>
  <c r="F29" i="1"/>
  <c r="F17" i="1"/>
  <c r="F13" i="1"/>
  <c r="F6" i="1"/>
  <c r="F33" i="1" s="1"/>
  <c r="F25" i="2" l="1"/>
  <c r="F32" i="24"/>
  <c r="F27" i="11"/>
  <c r="F16" i="21"/>
  <c r="F16" i="16"/>
  <c r="F15" i="13"/>
  <c r="F26" i="12"/>
</calcChain>
</file>

<file path=xl/sharedStrings.xml><?xml version="1.0" encoding="utf-8"?>
<sst xmlns="http://schemas.openxmlformats.org/spreadsheetml/2006/main" count="458" uniqueCount="58">
  <si>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</si>
  <si>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</si>
  <si>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</si>
  <si>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</si>
  <si>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</si>
  <si>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</si>
  <si>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</si>
  <si>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</si>
  <si>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</si>
  <si>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</si>
  <si>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</si>
  <si>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</si>
  <si>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</si>
  <si>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</si>
  <si>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</si>
  <si>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</si>
  <si>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</si>
  <si>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</si>
  <si>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</si>
  <si>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</si>
  <si>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</si>
  <si>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</si>
  <si>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</si>
  <si>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</si>
  <si>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</si>
  <si>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</si>
  <si>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</si>
  <si>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</si>
  <si>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</si>
  <si>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</si>
  <si>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</si>
  <si>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</si>
  <si>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</si>
  <si>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</si>
  <si>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</si>
  <si>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</si>
  <si>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</si>
  <si>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</si>
  <si>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</si>
  <si>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P.O FUEL REPORT FOR FEB 2024</t>
  </si>
  <si>
    <t>P.O FUEL REPORT FOR MARCH 2024</t>
  </si>
  <si>
    <t>ssss</t>
  </si>
  <si>
    <t>K-SRIC FUEL REPORT FOR MARCH 2024</t>
  </si>
  <si>
    <t>TRANSPORT FUEL REPORT FOR MARCH 24</t>
  </si>
  <si>
    <t>KBN 027 V</t>
  </si>
  <si>
    <t>KDK 711P</t>
  </si>
  <si>
    <t>GKB 442 Y</t>
  </si>
  <si>
    <t>SECURITY FUEL REPORT FOR MARCH 2024</t>
  </si>
  <si>
    <t>K-SRIC FUEL REPORT FOR 2023 INVOICES</t>
  </si>
  <si>
    <t>SECURITY FUEL REPORT FOR 2023</t>
  </si>
  <si>
    <t>K-SRIC FUEL REPORT FOR APRIL 2024</t>
  </si>
  <si>
    <t>P.O FUEL REPORT FOR APRIL 24</t>
  </si>
  <si>
    <t>SECURITY FUEL REPORT FOR APRIL 2024</t>
  </si>
  <si>
    <t>TRANSPORT FUEL REPORT FOR APRIL 24</t>
  </si>
  <si>
    <t>KMGQ 099P</t>
  </si>
  <si>
    <t>PHYISICAL FUEL REPORT FOR JAN 2024</t>
  </si>
  <si>
    <t>PHYISICAL FUEL REPORT FOR 2023</t>
  </si>
  <si>
    <t xml:space="preserve"> 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</si>
</sst>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4" fillId="0" borderId="4" xfId="0" applyFont="1" applyBorder="1"/>
    <xf numFmtId="0" fontId="5" fillId="0" borderId="4" xfId="0" applyFont="1" applyBorder="1"/>
    <xf numFmtId="43" fontId="5" fillId="0" borderId="4" xfId="1" applyFont="1" applyBorder="1"/>
    <xf numFmtId="43" fontId="4" fillId="0" borderId="4" xfId="1" applyFont="1" applyBorder="1"/>
    <xf numFmtId="0" fontId="0" fillId="0" borderId="4" xfId="0" applyBorder="1"/>
    <xf numFmtId="43" fontId="4" fillId="0" borderId="4" xfId="0" applyNumberFormat="1" applyFont="1" applyBorder="1"/>
    <xf numFmtId="0" fontId="5" fillId="0" borderId="0" xfId="0" applyFont="1"/>
    <xf numFmtId="0" fontId="6" fillId="0" borderId="4" xfId="0" applyFont="1" applyBorder="1"/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43" fontId="5" fillId="0" borderId="4" xfId="1" applyFont="1" applyBorder="1" applyAlignment="1">
      <alignment horizontal="left"/>
    </xf>
    <xf numFmtId="43" fontId="4" fillId="0" borderId="4" xfId="1" applyFont="1" applyBorder="1" applyAlignment="1">
      <alignment horizontal="left"/>
    </xf>
    <xf numFmtId="43" fontId="4" fillId="0" borderId="4" xfId="0" applyNumberFormat="1" applyFont="1" applyBorder="1" applyAlignment="1">
      <alignment horizontal="left"/>
    </xf>
    <xf numFmtId="0" fontId="9" fillId="0" borderId="4" xfId="0" applyFont="1" applyBorder="1"/>
    <xf numFmtId="43" fontId="9" fillId="0" borderId="4" xfId="1" applyFont="1" applyBorder="1"/>
    <xf numFmtId="43" fontId="8" fillId="0" borderId="4" xfId="0" applyNumberFormat="1" applyFont="1" applyBorder="1"/>
    <xf numFmtId="0" fontId="9" fillId="0" borderId="4" xfId="0" applyFont="1" applyBorder="1" applyAlignment="1">
      <alignment horizontal="left"/>
    </xf>
    <xf numFmtId="43" fontId="9" fillId="0" borderId="4" xfId="1" applyFont="1" applyBorder="1" applyAlignment="1">
      <alignment horizontal="left"/>
    </xf>
    <xf numFmtId="0" fontId="10" fillId="0" borderId="4" xfId="0" applyFont="1" applyBorder="1"/>
    <xf numFmtId="43" fontId="11" fillId="0" borderId="4" xfId="0" applyNumberFormat="1" applyFont="1" applyBorder="1"/>
    <xf numFmtId="43" fontId="11" fillId="0" borderId="4" xfId="1" applyFont="1" applyBorder="1"/>
    <xf numFmtId="0" fontId="4" fillId="0" borderId="0" xfId="0" applyFont="1"/>
    <xf numFmtId="0" fontId="3" fillId="0" borderId="4" xfId="0" applyFont="1" applyBorder="1"/>
    <xf numFmtId="0" fontId="8" fillId="0" borderId="4" xfId="0" applyFont="1" applyBorder="1"/>
    <xf numFmtId="43" fontId="3" fillId="0" borderId="4" xfId="1" applyFont="1" applyBorder="1"/>
    <xf numFmtId="43" fontId="8" fillId="0" borderId="4" xfId="1" applyFont="1" applyBorder="1"/>
    <xf numFmtId="43" fontId="13" fillId="0" borderId="4" xfId="0" applyNumberFormat="1" applyFont="1" applyBorder="1"/>
    <xf numFmtId="0" fontId="13" fillId="0" borderId="4" xfId="0" applyFont="1" applyBorder="1"/>
    <xf numFmtId="43" fontId="13" fillId="0" borderId="4" xfId="1" applyFont="1" applyBorder="1"/>
    <xf numFmtId="0" fontId="2" fillId="0" borderId="0" xfId="0" applyFont="1"/>
    <xf numFmtId="0" fontId="2" fillId="0" borderId="4" xfId="0" applyFont="1" applyBorder="1"/>
    <xf numFmtId="43" fontId="2" fillId="0" borderId="4" xfId="1" applyFont="1" applyBorder="1"/>
    <xf numFmtId="3" fontId="2" fillId="0" borderId="4" xfId="0" applyNumberFormat="1" applyFont="1" applyBorder="1"/>
    <xf numFmtId="43" fontId="2" fillId="0" borderId="4" xfId="0" applyNumberFormat="1" applyFont="1" applyBorder="1"/>
    <xf numFmtId="0" fontId="1" fillId="0" borderId="4" xfId="0" applyFont="1" applyBorder="1"/>
    <xf numFmtId="43" fontId="1" fillId="0" borderId="4" xfId="1" applyFont="1" applyBorder="1"/>
    <xf numFmtId="43" fontId="3" fillId="0" borderId="4" xfId="1" applyFont="1" applyFill="1" applyBorder="1"/>
    <xf numFmtId="43" fontId="12" fillId="0" borderId="4" xfId="1" applyFont="1" applyFill="1" applyBorder="1"/>
    <xf numFmtId="43" fontId="8" fillId="0" borderId="4" xfId="1" applyFont="1" applyFill="1" applyBorder="1"/>
    <xf numFmtId="0" fontId="12" fillId="0" borderId="4" xfId="0" applyFont="1" applyBorder="1"/>
    <xf numFmtId="0" fontId="14" fillId="0" borderId="4" xfId="0" applyFont="1" applyBorder="1"/>
    <xf numFmtId="43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3" fontId="8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33203125" customWidth="1"/>
    <col min="5" max="5" width="10" customWidth="1"/>
    <col min="6" max="6" width="13.88671875" customWidth="1"/>
    <col min="13" max="13" width="11.6640625"/>
  </cols>
  <sheetData>
    <row r="1" spans="1:6">
      <c r="A1" s="42" t="s">
        <v>0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B1"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33203125" style="7" customWidth="1"/>
    <col min="5" max="5" width="6.6640625" style="7" customWidth="1"/>
    <col min="6" max="6" width="12.88671875" style="7" customWidth="1"/>
    <col min="7" max="16384" width="8.88671875" style="7"/>
  </cols>
  <sheetData>
    <row r="1" spans="1:6">
      <c r="A1" s="45" t="s">
        <v>14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33203125" customWidth="1"/>
    <col min="6" max="6" width="13.33203125" customWidth="1"/>
  </cols>
  <sheetData>
    <row r="1" spans="1:6">
      <c r="A1" s="46" t="s">
        <v>17</v>
      </c>
      <c r="B1" s="47"/>
      <c r="C1" s="47"/>
      <c r="D1" s="47"/>
      <c r="E1" s="47"/>
      <c r="F1" s="48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46" t="s">
        <v>20</v>
      </c>
      <c r="C7" s="47"/>
      <c r="D7" s="47"/>
      <c r="E7" s="47"/>
      <c r="F7" s="48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9"/>
    </sheetView>
  </sheetViews>
  <sheetFormatPr defaultColWidth="8.88671875" defaultRowHeight="14.4"/>
  <cols>
    <col min="1" max="1" width="5.109375" customWidth="1"/>
    <col min="2" max="2" width="15.6640625" customWidth="1"/>
    <col min="4" max="4" width="12.6640625" customWidth="1"/>
    <col min="6" max="6" width="11.6640625" customWidth="1"/>
  </cols>
  <sheetData>
    <row r="1" spans="1:6">
      <c r="A1" s="45" t="s">
        <v>21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sqref="A1:F8"/>
    </sheetView>
  </sheetViews>
  <sheetFormatPr defaultRowHeight="14.4"/>
  <cols>
    <col min="2" max="2" width="11.88671875" customWidth="1"/>
    <col min="4" max="4" width="13.88671875" customWidth="1"/>
    <col min="6" max="6" width="13.88671875" customWidth="1"/>
  </cols>
  <sheetData>
    <row r="1" spans="1:6">
      <c r="A1" s="45" t="s">
        <v>47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14" t="s">
        <v>46</v>
      </c>
      <c r="C3" s="2">
        <v>137180</v>
      </c>
      <c r="D3" s="2">
        <v>3776</v>
      </c>
      <c r="E3" s="2">
        <v>50</v>
      </c>
      <c r="F3" s="3">
        <v>9515</v>
      </c>
    </row>
    <row r="4" spans="1:6">
      <c r="A4" s="2">
        <v>2</v>
      </c>
      <c r="B4" s="14" t="s">
        <v>46</v>
      </c>
      <c r="C4" s="2">
        <v>137236</v>
      </c>
      <c r="D4" s="2">
        <v>3766</v>
      </c>
      <c r="E4" s="2">
        <v>50</v>
      </c>
      <c r="F4" s="3">
        <v>9515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1" t="s">
        <v>19</v>
      </c>
      <c r="E6" s="2"/>
      <c r="F6" s="4">
        <f>SUM(F3:F5)</f>
        <v>19030</v>
      </c>
    </row>
    <row r="7" spans="1:6">
      <c r="A7" s="2"/>
      <c r="B7" s="2"/>
      <c r="C7" s="2"/>
      <c r="D7" s="1"/>
      <c r="E7" s="2"/>
      <c r="F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N12" sqref="N12"/>
    </sheetView>
  </sheetViews>
  <sheetFormatPr defaultRowHeight="14.4"/>
  <cols>
    <col min="2" max="2" width="12.88671875" customWidth="1"/>
    <col min="4" max="4" width="11.33203125" customWidth="1"/>
    <col min="6" max="6" width="13.33203125" customWidth="1"/>
  </cols>
  <sheetData>
    <row r="1" spans="1:6">
      <c r="A1" s="49" t="s">
        <v>52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15</v>
      </c>
      <c r="D3" s="31">
        <v>3459</v>
      </c>
      <c r="E3" s="31">
        <v>50</v>
      </c>
      <c r="F3" s="32">
        <v>9015</v>
      </c>
    </row>
    <row r="4" spans="1:6">
      <c r="A4" s="31"/>
      <c r="B4" s="31"/>
      <c r="C4" s="31"/>
      <c r="D4" s="31"/>
      <c r="E4" s="31"/>
      <c r="F4" s="32"/>
    </row>
    <row r="5" spans="1:6">
      <c r="A5" s="31"/>
      <c r="B5" s="31"/>
      <c r="C5" s="31"/>
      <c r="D5" s="24" t="s">
        <v>19</v>
      </c>
      <c r="E5" s="31"/>
      <c r="F5" s="26">
        <f>SUM(F3:F4)</f>
        <v>9015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activeCell="E13" sqref="E12:E13"/>
    </sheetView>
  </sheetViews>
  <sheetFormatPr defaultRowHeight="14.4"/>
  <cols>
    <col min="2" max="2" width="12.33203125" customWidth="1"/>
    <col min="3" max="3" width="9.33203125" customWidth="1"/>
    <col min="4" max="4" width="12.5546875" customWidth="1"/>
    <col min="6" max="6" width="14.5546875" customWidth="1"/>
  </cols>
  <sheetData>
    <row r="1" spans="1:6">
      <c r="A1" s="49" t="s">
        <v>49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23</v>
      </c>
      <c r="C3" s="23">
        <v>137307</v>
      </c>
      <c r="D3" s="23">
        <v>3198</v>
      </c>
      <c r="E3" s="23">
        <v>50</v>
      </c>
      <c r="F3" s="25">
        <v>10170</v>
      </c>
    </row>
    <row r="4" spans="1:6">
      <c r="A4" s="23">
        <v>2</v>
      </c>
      <c r="B4" s="23" t="s">
        <v>23</v>
      </c>
      <c r="C4" s="23">
        <v>135369</v>
      </c>
      <c r="D4" s="23">
        <v>3017</v>
      </c>
      <c r="E4" s="23">
        <v>50</v>
      </c>
      <c r="F4" s="25">
        <v>10270</v>
      </c>
    </row>
    <row r="5" spans="1:6">
      <c r="A5" s="23"/>
      <c r="B5" s="23" t="s">
        <v>22</v>
      </c>
      <c r="C5" s="23">
        <v>137306</v>
      </c>
      <c r="D5" s="23">
        <v>1197</v>
      </c>
      <c r="E5" s="23">
        <v>50</v>
      </c>
      <c r="F5" s="25">
        <v>10170</v>
      </c>
    </row>
    <row r="6" spans="1:6" ht="18">
      <c r="A6" s="23"/>
      <c r="B6" s="23"/>
      <c r="C6" s="23"/>
      <c r="D6" s="28" t="s">
        <v>19</v>
      </c>
      <c r="E6" s="23"/>
      <c r="F6" s="29">
        <f>SUM(F3:F5)</f>
        <v>30610</v>
      </c>
    </row>
    <row r="7" spans="1:6">
      <c r="A7" s="23"/>
      <c r="B7" s="23"/>
      <c r="C7" s="23"/>
      <c r="D7" s="24"/>
      <c r="E7" s="23"/>
      <c r="F7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F19"/>
    </sheetView>
  </sheetViews>
  <sheetFormatPr defaultColWidth="8.88671875" defaultRowHeight="14.4"/>
  <cols>
    <col min="1" max="1" width="5.33203125" customWidth="1"/>
    <col min="2" max="2" width="12" customWidth="1"/>
    <col min="4" max="4" width="12.6640625" customWidth="1"/>
    <col min="6" max="6" width="11.6640625" customWidth="1"/>
  </cols>
  <sheetData>
    <row r="1" spans="1:6">
      <c r="A1" s="45" t="s">
        <v>25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33203125" customWidth="1"/>
    <col min="4" max="4" width="13.33203125" customWidth="1"/>
    <col min="6" max="6" width="12.109375" customWidth="1"/>
  </cols>
  <sheetData>
    <row r="1" spans="1:6">
      <c r="A1" s="45" t="s">
        <v>29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45" t="s">
        <v>30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>
      <selection sqref="A1:F1"/>
    </sheetView>
  </sheetViews>
  <sheetFormatPr defaultColWidth="8.88671875" defaultRowHeight="14.4"/>
  <cols>
    <col min="1" max="1" width="5" customWidth="1"/>
    <col min="2" max="2" width="11.109375" customWidth="1"/>
    <col min="3" max="3" width="9.6640625" customWidth="1"/>
    <col min="4" max="4" width="15.88671875" customWidth="1"/>
    <col min="6" max="6" width="11.44140625" customWidth="1"/>
  </cols>
  <sheetData>
    <row r="1" spans="1:6">
      <c r="A1" s="45" t="s">
        <v>31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selection sqref="A1:F16"/>
    </sheetView>
  </sheetViews>
  <sheetFormatPr defaultColWidth="8.88671875" defaultRowHeight="14.4"/>
  <cols>
    <col min="2" max="2" width="11.664062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45" t="s">
        <v>32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selection activeCell="F19" sqref="F19"/>
    </sheetView>
  </sheetViews>
  <sheetFormatPr defaultRowHeight="14.4"/>
  <cols>
    <col min="2" max="2" width="13" customWidth="1"/>
    <col min="4" max="4" width="13.44140625" customWidth="1"/>
    <col min="5" max="5" width="10.6640625" customWidth="1"/>
    <col min="6" max="6" width="11.6640625" customWidth="1"/>
  </cols>
  <sheetData>
    <row r="1" spans="1:6">
      <c r="A1" s="49" t="s">
        <v>50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26</v>
      </c>
      <c r="C3" s="31">
        <v>53</v>
      </c>
      <c r="D3" s="31">
        <v>3790</v>
      </c>
      <c r="E3" s="31">
        <v>55</v>
      </c>
      <c r="F3" s="32">
        <v>10950</v>
      </c>
    </row>
    <row r="4" spans="1:6">
      <c r="A4" s="31">
        <v>2</v>
      </c>
      <c r="B4" s="31" t="s">
        <v>26</v>
      </c>
      <c r="C4" s="31">
        <v>55</v>
      </c>
      <c r="D4" s="31">
        <v>3800</v>
      </c>
      <c r="E4" s="31">
        <v>55</v>
      </c>
      <c r="F4" s="32">
        <v>10659</v>
      </c>
    </row>
    <row r="5" spans="1:6">
      <c r="A5" s="31"/>
      <c r="B5" s="31"/>
      <c r="C5" s="31"/>
      <c r="D5" s="24" t="s">
        <v>8</v>
      </c>
      <c r="E5" s="31"/>
      <c r="F5" s="26">
        <f>SUM(F3:F4)</f>
        <v>21609</v>
      </c>
    </row>
    <row r="6" spans="1:6">
      <c r="A6" s="31"/>
      <c r="B6" s="31"/>
      <c r="C6" s="31"/>
      <c r="D6" s="24"/>
      <c r="E6" s="31"/>
      <c r="F6" s="26"/>
    </row>
    <row r="7" spans="1:6">
      <c r="A7" s="31">
        <v>1</v>
      </c>
      <c r="B7" s="31" t="s">
        <v>27</v>
      </c>
      <c r="C7" s="31">
        <v>51</v>
      </c>
      <c r="D7" s="31">
        <v>3789</v>
      </c>
      <c r="E7" s="31">
        <v>120</v>
      </c>
      <c r="F7" s="32">
        <v>22836</v>
      </c>
    </row>
    <row r="8" spans="1:6">
      <c r="A8" s="31"/>
      <c r="B8" s="31"/>
      <c r="C8" s="31"/>
      <c r="D8" s="31"/>
      <c r="E8" s="31"/>
      <c r="F8" s="32"/>
    </row>
    <row r="9" spans="1:6">
      <c r="A9" s="31"/>
      <c r="B9" s="31"/>
      <c r="C9" s="31"/>
      <c r="D9" s="24" t="s">
        <v>8</v>
      </c>
      <c r="E9" s="31"/>
      <c r="F9" s="26">
        <f>SUM(F7:F8)</f>
        <v>22836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28</v>
      </c>
      <c r="C11" s="31">
        <v>54</v>
      </c>
      <c r="D11" s="31">
        <v>3793</v>
      </c>
      <c r="E11" s="31">
        <v>74</v>
      </c>
      <c r="F11" s="32">
        <v>14107</v>
      </c>
    </row>
    <row r="12" spans="1:6">
      <c r="A12" s="31">
        <v>2</v>
      </c>
      <c r="B12" s="31" t="s">
        <v>28</v>
      </c>
      <c r="C12" s="31">
        <v>56</v>
      </c>
      <c r="D12" s="31">
        <v>3456</v>
      </c>
      <c r="E12" s="31">
        <v>79</v>
      </c>
      <c r="F12" s="32">
        <v>14328</v>
      </c>
    </row>
    <row r="13" spans="1:6">
      <c r="A13" s="31"/>
      <c r="B13" s="31"/>
      <c r="C13" s="31"/>
      <c r="D13" s="31"/>
      <c r="E13" s="31"/>
      <c r="F13" s="32"/>
    </row>
    <row r="14" spans="1:6">
      <c r="A14" s="31"/>
      <c r="B14" s="31"/>
      <c r="C14" s="31"/>
      <c r="D14" s="24" t="s">
        <v>8</v>
      </c>
      <c r="E14" s="31"/>
      <c r="F14" s="26">
        <f>SUM(F11:F13)</f>
        <v>28435</v>
      </c>
    </row>
    <row r="15" spans="1:6">
      <c r="A15" s="31"/>
      <c r="B15" s="31"/>
      <c r="C15" s="31"/>
      <c r="D15" s="24"/>
      <c r="E15" s="31"/>
      <c r="F15" s="26"/>
    </row>
    <row r="16" spans="1:6">
      <c r="A16" s="31"/>
      <c r="B16" s="31"/>
      <c r="C16" s="31"/>
      <c r="D16" s="24" t="s">
        <v>13</v>
      </c>
      <c r="E16" s="31"/>
      <c r="F16" s="16">
        <f>F5+F9+F14</f>
        <v>72880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>
      <selection sqref="A1:F15"/>
    </sheetView>
  </sheetViews>
  <sheetFormatPr defaultRowHeight="14.4"/>
  <cols>
    <col min="2" max="2" width="12.88671875" customWidth="1"/>
    <col min="3" max="3" width="10.88671875" customWidth="1"/>
    <col min="4" max="4" width="14" customWidth="1"/>
    <col min="5" max="5" width="9.5546875" customWidth="1"/>
    <col min="6" max="6" width="11.109375" customWidth="1"/>
  </cols>
  <sheetData>
    <row r="1" spans="1:6">
      <c r="A1" s="45" t="s">
        <v>38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5"/>
  <sheetViews>
    <sheetView workbookViewId="0">
      <selection activeCell="N19" sqref="N19"/>
    </sheetView>
  </sheetViews>
  <sheetFormatPr defaultRowHeight="14.4"/>
  <cols>
    <col min="2" max="2" width="16.44140625" customWidth="1"/>
    <col min="4" max="4" width="13.109375" customWidth="1"/>
    <col min="5" max="5" width="9.88671875" customWidth="1"/>
    <col min="6" max="6" width="15.6640625" customWidth="1"/>
  </cols>
  <sheetData>
    <row r="1" spans="1:6">
      <c r="A1" s="49" t="s">
        <v>48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26</v>
      </c>
      <c r="C3" s="23">
        <v>137301</v>
      </c>
      <c r="D3" s="23">
        <v>1761</v>
      </c>
      <c r="E3" s="23">
        <v>55</v>
      </c>
      <c r="F3" s="37">
        <v>11638</v>
      </c>
    </row>
    <row r="4" spans="1:6">
      <c r="A4" s="23"/>
      <c r="B4" s="23" t="s">
        <v>26</v>
      </c>
      <c r="C4" s="23">
        <v>137304</v>
      </c>
      <c r="D4" s="23">
        <v>1799</v>
      </c>
      <c r="E4" s="23">
        <v>55</v>
      </c>
      <c r="F4" s="37">
        <v>11952</v>
      </c>
    </row>
    <row r="5" spans="1:6" ht="15.6">
      <c r="A5" s="23"/>
      <c r="B5" s="24" t="s">
        <v>8</v>
      </c>
      <c r="C5" s="23"/>
      <c r="D5" s="24"/>
      <c r="E5" s="23"/>
      <c r="F5" s="38">
        <f>SUM(F3:F4)</f>
        <v>23590</v>
      </c>
    </row>
    <row r="6" spans="1:6">
      <c r="A6" s="23"/>
      <c r="B6" s="23"/>
      <c r="C6" s="23"/>
      <c r="D6" s="24"/>
      <c r="E6" s="23"/>
      <c r="F6" s="39"/>
    </row>
    <row r="7" spans="1:6">
      <c r="A7" s="23">
        <v>1</v>
      </c>
      <c r="B7" s="23" t="s">
        <v>27</v>
      </c>
      <c r="C7" s="23">
        <v>135331</v>
      </c>
      <c r="D7" s="23">
        <v>337</v>
      </c>
      <c r="E7" s="23">
        <v>120</v>
      </c>
      <c r="F7" s="37">
        <v>24648</v>
      </c>
    </row>
    <row r="8" spans="1:6">
      <c r="A8" s="23"/>
      <c r="B8" s="23" t="s">
        <v>27</v>
      </c>
      <c r="C8" s="23">
        <v>135322</v>
      </c>
      <c r="D8" s="23">
        <v>1798</v>
      </c>
      <c r="E8" s="23">
        <v>120</v>
      </c>
      <c r="F8" s="37">
        <v>24108</v>
      </c>
    </row>
    <row r="9" spans="1:6">
      <c r="A9" s="23"/>
      <c r="B9" s="23" t="s">
        <v>27</v>
      </c>
      <c r="C9" s="23">
        <v>135337</v>
      </c>
      <c r="D9" s="23">
        <v>3035</v>
      </c>
      <c r="E9" s="23">
        <v>120</v>
      </c>
      <c r="F9" s="37">
        <v>24408</v>
      </c>
    </row>
    <row r="10" spans="1:6">
      <c r="A10" s="23"/>
      <c r="B10" s="23" t="s">
        <v>27</v>
      </c>
      <c r="C10" s="23">
        <v>135343</v>
      </c>
      <c r="D10" s="23">
        <v>3171</v>
      </c>
      <c r="E10" s="23">
        <v>120</v>
      </c>
      <c r="F10" s="37">
        <v>24408</v>
      </c>
    </row>
    <row r="11" spans="1:6">
      <c r="A11" s="23"/>
      <c r="B11" s="23" t="s">
        <v>27</v>
      </c>
      <c r="C11" s="23">
        <v>137305</v>
      </c>
      <c r="D11" s="23">
        <v>1773</v>
      </c>
      <c r="E11" s="23">
        <v>120</v>
      </c>
      <c r="F11" s="37">
        <v>24108</v>
      </c>
    </row>
    <row r="12" spans="1:6">
      <c r="A12" s="23"/>
      <c r="B12" s="23" t="s">
        <v>27</v>
      </c>
      <c r="C12" s="23">
        <v>137303</v>
      </c>
      <c r="D12" s="23">
        <v>1247</v>
      </c>
      <c r="E12" s="23">
        <v>120</v>
      </c>
      <c r="F12" s="37">
        <v>21552</v>
      </c>
    </row>
    <row r="13" spans="1:6">
      <c r="A13" s="23"/>
      <c r="B13" s="23" t="s">
        <v>27</v>
      </c>
      <c r="C13" s="23">
        <v>137302</v>
      </c>
      <c r="D13" s="23">
        <v>1776</v>
      </c>
      <c r="E13" s="23">
        <v>120</v>
      </c>
      <c r="F13" s="37">
        <v>24108</v>
      </c>
    </row>
    <row r="14" spans="1:6">
      <c r="A14" s="23"/>
      <c r="B14" s="23" t="s">
        <v>27</v>
      </c>
      <c r="C14" s="23">
        <v>135349</v>
      </c>
      <c r="D14" s="23">
        <v>1889</v>
      </c>
      <c r="E14" s="23">
        <v>120</v>
      </c>
      <c r="F14" s="37">
        <v>24408</v>
      </c>
    </row>
    <row r="15" spans="1:6" ht="15.6">
      <c r="A15" s="23"/>
      <c r="B15" s="24" t="s">
        <v>8</v>
      </c>
      <c r="C15" s="23"/>
      <c r="D15" s="23"/>
      <c r="E15" s="23"/>
      <c r="F15" s="38">
        <f>SUM(F7:F14)</f>
        <v>191748</v>
      </c>
    </row>
    <row r="16" spans="1:6">
      <c r="A16" s="23"/>
      <c r="B16" s="23"/>
      <c r="C16" s="23"/>
      <c r="D16" s="24"/>
      <c r="E16" s="23"/>
      <c r="F16" s="39"/>
    </row>
    <row r="17" spans="1:6">
      <c r="A17" s="23">
        <v>1</v>
      </c>
      <c r="B17" s="23" t="s">
        <v>28</v>
      </c>
      <c r="C17" s="23">
        <v>137308</v>
      </c>
      <c r="D17" s="23">
        <v>1777</v>
      </c>
      <c r="E17" s="23">
        <v>80</v>
      </c>
      <c r="F17" s="37">
        <v>16072</v>
      </c>
    </row>
    <row r="18" spans="1:6">
      <c r="A18" s="23"/>
      <c r="B18" s="23" t="s">
        <v>28</v>
      </c>
      <c r="C18" s="23">
        <v>137151</v>
      </c>
      <c r="D18" s="23">
        <v>3252</v>
      </c>
      <c r="E18" s="23">
        <v>80</v>
      </c>
      <c r="F18" s="37">
        <v>16272</v>
      </c>
    </row>
    <row r="19" spans="1:6" ht="15.6">
      <c r="A19" s="23"/>
      <c r="B19" s="24" t="s">
        <v>8</v>
      </c>
      <c r="C19" s="23"/>
      <c r="D19" s="24"/>
      <c r="E19" s="23"/>
      <c r="F19" s="38">
        <f>SUM(F17:F18)</f>
        <v>32344</v>
      </c>
    </row>
    <row r="20" spans="1:6">
      <c r="A20" s="23"/>
      <c r="B20" s="23"/>
      <c r="C20" s="23"/>
      <c r="D20" s="24"/>
      <c r="E20" s="23"/>
      <c r="F20" s="39"/>
    </row>
    <row r="21" spans="1:6">
      <c r="A21" s="2">
        <v>1</v>
      </c>
      <c r="B21" s="2" t="s">
        <v>15</v>
      </c>
      <c r="C21" s="2">
        <v>135347</v>
      </c>
      <c r="D21" s="2">
        <v>3043</v>
      </c>
      <c r="E21" s="2">
        <v>160</v>
      </c>
      <c r="F21" s="3">
        <v>32544</v>
      </c>
    </row>
    <row r="22" spans="1:6" ht="18">
      <c r="A22" s="23"/>
      <c r="B22" s="40" t="s">
        <v>57</v>
      </c>
      <c r="C22" s="23"/>
      <c r="D22" s="23"/>
      <c r="E22" s="23"/>
      <c r="F22" s="27">
        <f>SUM(F21)</f>
        <v>32544</v>
      </c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 ht="23.4">
      <c r="A25" s="5"/>
      <c r="B25" s="41" t="s">
        <v>19</v>
      </c>
      <c r="C25" s="5"/>
      <c r="D25" s="5"/>
      <c r="E25" s="5"/>
      <c r="F25" s="27">
        <f>F5+F15+F19+F22</f>
        <v>280226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tabSelected="1" workbookViewId="0">
      <selection activeCell="J19" sqref="J19"/>
    </sheetView>
  </sheetViews>
  <sheetFormatPr defaultRowHeight="14.4"/>
  <cols>
    <col min="2" max="2" width="15.6640625" customWidth="1"/>
    <col min="6" max="6" width="14" customWidth="1"/>
  </cols>
  <sheetData>
    <row r="1" spans="1:6">
      <c r="A1" s="45" t="s">
        <v>56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135397</v>
      </c>
      <c r="D3" s="2">
        <v>3260</v>
      </c>
      <c r="E3" s="2">
        <v>200</v>
      </c>
      <c r="F3" s="3">
        <v>40680</v>
      </c>
    </row>
    <row r="4" spans="1:6">
      <c r="A4" s="2">
        <v>2</v>
      </c>
      <c r="B4" s="2" t="s">
        <v>18</v>
      </c>
      <c r="C4" s="2">
        <v>135376</v>
      </c>
      <c r="D4" s="2">
        <v>3031</v>
      </c>
      <c r="E4" s="2">
        <v>400</v>
      </c>
      <c r="F4" s="3">
        <v>81360</v>
      </c>
    </row>
    <row r="5" spans="1:6">
      <c r="A5" s="2">
        <v>3</v>
      </c>
      <c r="B5" s="2" t="s">
        <v>18</v>
      </c>
      <c r="C5" s="2">
        <v>135221</v>
      </c>
      <c r="D5" s="2">
        <v>1762</v>
      </c>
      <c r="E5" s="2">
        <v>400</v>
      </c>
      <c r="F5" s="3">
        <v>80360</v>
      </c>
    </row>
    <row r="6" spans="1:6">
      <c r="A6" s="2">
        <v>5</v>
      </c>
      <c r="B6" s="2"/>
      <c r="C6" s="2"/>
      <c r="D6" s="1"/>
      <c r="E6" s="2"/>
      <c r="F6" s="4"/>
    </row>
    <row r="7" spans="1:6">
      <c r="A7" s="2"/>
      <c r="B7" s="2"/>
      <c r="C7" s="2"/>
      <c r="D7" s="1" t="s">
        <v>19</v>
      </c>
      <c r="E7" s="2"/>
      <c r="F7" s="4">
        <f>SUM(F3:F5)</f>
        <v>202400</v>
      </c>
    </row>
    <row r="8" spans="1:6">
      <c r="A8" s="2"/>
      <c r="B8" s="2"/>
      <c r="C8" s="2"/>
      <c r="D8" s="1"/>
      <c r="E8" s="1"/>
      <c r="F8" s="4"/>
    </row>
    <row r="9" spans="1:6">
      <c r="A9" s="2"/>
      <c r="B9" s="2"/>
      <c r="C9" s="2"/>
      <c r="D9" s="1"/>
      <c r="E9" s="2"/>
      <c r="F9" s="6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33203125" customWidth="1"/>
    <col min="4" max="4" width="11" customWidth="1"/>
    <col min="5" max="5" width="10.33203125" customWidth="1"/>
    <col min="6" max="6" width="12" customWidth="1"/>
  </cols>
  <sheetData>
    <row r="1" spans="1:6">
      <c r="A1" s="45" t="s">
        <v>55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4"/>
  <sheetViews>
    <sheetView workbookViewId="0">
      <selection activeCell="H13" sqref="H13"/>
    </sheetView>
  </sheetViews>
  <sheetFormatPr defaultColWidth="8.88671875" defaultRowHeight="14.4"/>
  <cols>
    <col min="1" max="1" width="8.88671875" style="30"/>
    <col min="2" max="2" width="16.6640625" style="30" customWidth="1"/>
    <col min="3" max="3" width="10.33203125" style="30" customWidth="1"/>
    <col min="4" max="4" width="14.6640625" style="30" customWidth="1"/>
    <col min="5" max="5" width="10.88671875" style="30" customWidth="1"/>
    <col min="6" max="6" width="13.33203125" style="30" customWidth="1"/>
    <col min="7" max="16384" width="8.88671875" style="30"/>
  </cols>
  <sheetData>
    <row r="1" spans="1:6">
      <c r="A1" s="49" t="s">
        <v>51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137235</v>
      </c>
      <c r="D3" s="33">
        <v>3795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137235</v>
      </c>
      <c r="D4" s="31">
        <v>3794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14</v>
      </c>
      <c r="D5" s="31">
        <v>3797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14</v>
      </c>
      <c r="D6" s="31">
        <v>3798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16</v>
      </c>
      <c r="D7" s="31">
        <v>3454</v>
      </c>
      <c r="E7" s="31">
        <v>200</v>
      </c>
      <c r="F7" s="32">
        <v>36060</v>
      </c>
    </row>
    <row r="8" spans="1:6">
      <c r="A8" s="31">
        <v>6</v>
      </c>
      <c r="B8" s="31" t="s">
        <v>18</v>
      </c>
      <c r="C8" s="31">
        <v>16</v>
      </c>
      <c r="D8" s="31">
        <v>3453</v>
      </c>
      <c r="E8" s="31">
        <v>200</v>
      </c>
      <c r="F8" s="32">
        <v>36060</v>
      </c>
    </row>
    <row r="9" spans="1:6">
      <c r="A9" s="31">
        <v>7</v>
      </c>
      <c r="B9" s="31" t="s">
        <v>18</v>
      </c>
      <c r="C9" s="31">
        <v>17</v>
      </c>
      <c r="D9" s="31">
        <v>3461</v>
      </c>
      <c r="E9" s="31">
        <v>43.97</v>
      </c>
      <c r="F9" s="32">
        <v>7928</v>
      </c>
    </row>
    <row r="10" spans="1:6">
      <c r="A10" s="31">
        <v>8</v>
      </c>
      <c r="B10" s="31" t="s">
        <v>18</v>
      </c>
      <c r="C10" s="31">
        <v>17</v>
      </c>
      <c r="D10" s="31">
        <v>3460</v>
      </c>
      <c r="E10" s="31">
        <v>200</v>
      </c>
      <c r="F10" s="34">
        <v>36060</v>
      </c>
    </row>
    <row r="11" spans="1:6">
      <c r="A11" s="31">
        <v>9</v>
      </c>
      <c r="B11" s="31" t="s">
        <v>18</v>
      </c>
      <c r="C11" s="31">
        <v>17</v>
      </c>
      <c r="D11" s="31">
        <v>3458</v>
      </c>
      <c r="E11" s="31">
        <v>156</v>
      </c>
      <c r="F11" s="32">
        <v>28132</v>
      </c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288480</v>
      </c>
    </row>
    <row r="14" spans="1:6">
      <c r="A14" s="31"/>
      <c r="B14" s="31"/>
      <c r="C14" s="31"/>
      <c r="D14" s="31"/>
      <c r="E14" s="31"/>
      <c r="F14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8"/>
  <sheetViews>
    <sheetView workbookViewId="0">
      <selection sqref="A1:F3"/>
    </sheetView>
  </sheetViews>
  <sheetFormatPr defaultColWidth="8.88671875" defaultRowHeight="14.4"/>
  <cols>
    <col min="1" max="1" width="5.88671875" customWidth="1"/>
    <col min="2" max="2" width="12" customWidth="1"/>
    <col min="3" max="3" width="11.33203125" customWidth="1"/>
    <col min="4" max="4" width="14.44140625" customWidth="1"/>
    <col min="6" max="6" width="11.88671875" customWidth="1"/>
  </cols>
  <sheetData>
    <row r="1" spans="1:6">
      <c r="A1" s="42" t="s">
        <v>34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>
      <selection activeCell="A26" sqref="A26"/>
    </sheetView>
  </sheetViews>
  <sheetFormatPr defaultRowHeight="14.4"/>
  <cols>
    <col min="2" max="2" width="13.33203125" customWidth="1"/>
    <col min="3" max="3" width="11.6640625" customWidth="1"/>
    <col min="4" max="4" width="10.33203125" customWidth="1"/>
    <col min="6" max="6" width="13" customWidth="1"/>
  </cols>
  <sheetData>
    <row r="1" spans="1:6">
      <c r="A1" s="42" t="s">
        <v>34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15</v>
      </c>
      <c r="C3" s="2">
        <v>135347</v>
      </c>
      <c r="D3" s="2">
        <v>3043</v>
      </c>
      <c r="E3" s="2">
        <v>160</v>
      </c>
      <c r="F3" s="3">
        <v>32544</v>
      </c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24" t="s">
        <v>19</v>
      </c>
      <c r="C6" s="5"/>
      <c r="D6" s="5"/>
      <c r="E6" s="5"/>
      <c r="F6" s="16">
        <f>SUM(F3:F5)</f>
        <v>32544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3"/>
  <sheetViews>
    <sheetView workbookViewId="0">
      <selection activeCell="F21" sqref="F21"/>
    </sheetView>
  </sheetViews>
  <sheetFormatPr defaultRowHeight="14.4"/>
  <cols>
    <col min="2" max="2" width="13.5546875" customWidth="1"/>
    <col min="4" max="4" width="13" customWidth="1"/>
    <col min="6" max="6" width="13.109375" customWidth="1"/>
  </cols>
  <sheetData>
    <row r="1" spans="1:6">
      <c r="A1" s="52" t="s">
        <v>53</v>
      </c>
      <c r="B1" s="50"/>
      <c r="C1" s="50"/>
      <c r="D1" s="50"/>
      <c r="E1" s="50"/>
      <c r="F1" s="51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10</v>
      </c>
      <c r="D3" s="31">
        <v>3791</v>
      </c>
      <c r="E3" s="31">
        <v>147</v>
      </c>
      <c r="F3" s="32">
        <v>28057</v>
      </c>
    </row>
    <row r="4" spans="1:6">
      <c r="A4" s="31">
        <v>2</v>
      </c>
      <c r="B4" s="31" t="s">
        <v>7</v>
      </c>
      <c r="C4" s="31">
        <v>12</v>
      </c>
      <c r="D4" s="31">
        <v>3455</v>
      </c>
      <c r="E4" s="31">
        <v>141</v>
      </c>
      <c r="F4" s="32">
        <v>25411</v>
      </c>
    </row>
    <row r="5" spans="1:6">
      <c r="A5" s="31"/>
      <c r="B5" s="31"/>
      <c r="C5" s="31"/>
      <c r="D5" s="24" t="s">
        <v>8</v>
      </c>
      <c r="E5" s="31"/>
      <c r="F5" s="26">
        <f>SUM(F3:F4)</f>
        <v>53468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137239</v>
      </c>
      <c r="D7" s="31">
        <v>3784</v>
      </c>
      <c r="E7" s="31">
        <v>153</v>
      </c>
      <c r="F7" s="32">
        <v>29195</v>
      </c>
    </row>
    <row r="8" spans="1:6">
      <c r="A8" s="31"/>
      <c r="B8" s="31" t="s">
        <v>15</v>
      </c>
      <c r="C8" s="31">
        <v>8</v>
      </c>
      <c r="D8" s="31">
        <v>3464</v>
      </c>
      <c r="E8" s="31">
        <v>123</v>
      </c>
      <c r="F8" s="32">
        <v>22169</v>
      </c>
    </row>
    <row r="9" spans="1:6">
      <c r="A9" s="31"/>
      <c r="B9" s="31"/>
      <c r="C9" s="31"/>
      <c r="D9" s="24" t="s">
        <v>8</v>
      </c>
      <c r="E9" s="31"/>
      <c r="F9" s="26">
        <f>SUM(F7:F8)</f>
        <v>51364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137186</v>
      </c>
      <c r="D11" s="31">
        <v>3796</v>
      </c>
      <c r="E11" s="31">
        <v>50</v>
      </c>
      <c r="F11" s="32">
        <v>9955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9955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137242</v>
      </c>
      <c r="D14" s="31">
        <v>3457</v>
      </c>
      <c r="E14" s="31">
        <v>60</v>
      </c>
      <c r="F14" s="32">
        <v>10854</v>
      </c>
    </row>
    <row r="15" spans="1:6">
      <c r="A15" s="31">
        <v>2</v>
      </c>
      <c r="B15" s="31" t="s">
        <v>10</v>
      </c>
      <c r="C15" s="31">
        <v>137231</v>
      </c>
      <c r="D15" s="31">
        <v>3786</v>
      </c>
      <c r="E15" s="31">
        <v>59</v>
      </c>
      <c r="F15" s="32">
        <v>11294</v>
      </c>
    </row>
    <row r="16" spans="1:6">
      <c r="A16" s="31"/>
      <c r="B16" s="31"/>
      <c r="C16" s="31"/>
      <c r="D16" s="24" t="s">
        <v>8</v>
      </c>
      <c r="E16" s="31"/>
      <c r="F16" s="26">
        <f>SUM(F14:F15)</f>
        <v>22148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9</v>
      </c>
      <c r="D18" s="31">
        <v>3788</v>
      </c>
      <c r="E18" s="31">
        <v>70</v>
      </c>
      <c r="F18" s="32">
        <v>13321</v>
      </c>
    </row>
    <row r="19" spans="1:6">
      <c r="A19" s="31">
        <v>2</v>
      </c>
      <c r="B19" s="31" t="s">
        <v>45</v>
      </c>
      <c r="C19" s="31">
        <v>11</v>
      </c>
      <c r="D19" s="31">
        <v>3451</v>
      </c>
      <c r="E19" s="31">
        <v>70</v>
      </c>
      <c r="F19" s="32">
        <v>12628</v>
      </c>
    </row>
    <row r="20" spans="1:6">
      <c r="A20" s="31">
        <v>3</v>
      </c>
      <c r="B20" s="31" t="s">
        <v>45</v>
      </c>
      <c r="C20" s="31">
        <v>31</v>
      </c>
      <c r="D20" s="31">
        <v>3462</v>
      </c>
      <c r="E20" s="31">
        <v>60.78</v>
      </c>
      <c r="F20" s="32">
        <v>10958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36907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137185</v>
      </c>
      <c r="D23" s="31">
        <v>3792</v>
      </c>
      <c r="E23" s="31">
        <v>40</v>
      </c>
      <c r="F23" s="32">
        <v>7964</v>
      </c>
    </row>
    <row r="24" spans="1:6">
      <c r="A24" s="31">
        <v>2</v>
      </c>
      <c r="B24" s="31" t="s">
        <v>11</v>
      </c>
      <c r="C24" s="31">
        <v>137241</v>
      </c>
      <c r="D24" s="31">
        <v>3785</v>
      </c>
      <c r="E24" s="31">
        <v>40</v>
      </c>
      <c r="F24" s="32">
        <v>7968</v>
      </c>
    </row>
    <row r="25" spans="1:6">
      <c r="A25" s="31">
        <v>3</v>
      </c>
      <c r="B25" s="31" t="s">
        <v>11</v>
      </c>
      <c r="C25" s="31">
        <v>20</v>
      </c>
      <c r="D25" s="31">
        <v>3463</v>
      </c>
      <c r="E25" s="31">
        <v>40</v>
      </c>
      <c r="F25" s="32">
        <v>7752</v>
      </c>
    </row>
    <row r="26" spans="1:6">
      <c r="A26" s="31">
        <v>4</v>
      </c>
      <c r="B26" s="31" t="s">
        <v>11</v>
      </c>
      <c r="C26" s="31">
        <v>13</v>
      </c>
      <c r="D26" s="31">
        <v>3452</v>
      </c>
      <c r="E26" s="31">
        <v>40</v>
      </c>
      <c r="F26" s="32">
        <v>7756</v>
      </c>
    </row>
    <row r="27" spans="1:6">
      <c r="A27" s="31"/>
      <c r="B27" s="31"/>
      <c r="C27" s="31"/>
      <c r="D27" s="24" t="s">
        <v>8</v>
      </c>
      <c r="E27" s="31"/>
      <c r="F27" s="26">
        <f>SUM(F23:F26)</f>
        <v>31440</v>
      </c>
    </row>
    <row r="28" spans="1:6">
      <c r="A28" s="31"/>
      <c r="B28" s="31"/>
      <c r="C28" s="31"/>
      <c r="D28" s="24"/>
      <c r="E28" s="31"/>
      <c r="F28" s="26"/>
    </row>
    <row r="29" spans="1:6">
      <c r="A29" s="31">
        <v>1</v>
      </c>
      <c r="B29" s="35" t="s">
        <v>54</v>
      </c>
      <c r="C29" s="31">
        <v>137243</v>
      </c>
      <c r="D29" s="35">
        <v>3787</v>
      </c>
      <c r="E29" s="31"/>
      <c r="F29" s="36">
        <v>1992</v>
      </c>
    </row>
    <row r="30" spans="1:6">
      <c r="A30" s="31"/>
      <c r="B30" s="35"/>
      <c r="C30" s="31"/>
      <c r="D30" s="24" t="s">
        <v>8</v>
      </c>
      <c r="E30" s="31"/>
      <c r="F30" s="26">
        <f>SUM(F29)</f>
        <v>1992</v>
      </c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24" t="s">
        <v>13</v>
      </c>
      <c r="E32" s="31"/>
      <c r="F32" s="16">
        <f>F5+F9+F12+F16+F21+F27+F30</f>
        <v>207274</v>
      </c>
    </row>
    <row r="33" spans="1:6">
      <c r="A33" s="31"/>
      <c r="B33" s="31"/>
      <c r="C33" s="31"/>
      <c r="D33" s="31"/>
      <c r="E33" s="31"/>
      <c r="F33" s="31"/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"/>
  <sheetViews>
    <sheetView workbookViewId="0">
      <selection sqref="A1:F9"/>
    </sheetView>
  </sheetViews>
  <sheetFormatPr defaultRowHeight="14.4"/>
  <cols>
    <col min="2" max="2" width="15.6640625" customWidth="1"/>
    <col min="3" max="3" width="10.6640625" customWidth="1"/>
    <col min="4" max="4" width="10.33203125" customWidth="1"/>
    <col min="6" max="6" width="11.6640625" customWidth="1"/>
  </cols>
  <sheetData>
    <row r="1" spans="1:6">
      <c r="A1" s="45" t="s">
        <v>39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"/>
  <sheetViews>
    <sheetView workbookViewId="0">
      <selection sqref="A1:F26"/>
    </sheetView>
  </sheetViews>
  <sheetFormatPr defaultRowHeight="14.4"/>
  <cols>
    <col min="2" max="2" width="12.33203125" customWidth="1"/>
    <col min="3" max="3" width="11.6640625" customWidth="1"/>
    <col min="4" max="4" width="10.6640625" customWidth="1"/>
    <col min="6" max="6" width="13.6640625" customWidth="1"/>
  </cols>
  <sheetData>
    <row r="1" spans="1:6">
      <c r="A1" s="42" t="s">
        <v>37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7"/>
  <sheetViews>
    <sheetView workbookViewId="0">
      <selection activeCell="F27" sqref="F27"/>
    </sheetView>
  </sheetViews>
  <sheetFormatPr defaultRowHeight="14.4"/>
  <cols>
    <col min="2" max="2" width="12.33203125" customWidth="1"/>
    <col min="3" max="3" width="10.109375" customWidth="1"/>
    <col min="4" max="4" width="12.33203125" customWidth="1"/>
    <col min="6" max="6" width="13.88671875" customWidth="1"/>
  </cols>
  <sheetData>
    <row r="1" spans="1:6">
      <c r="A1" s="42" t="s">
        <v>43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137240</v>
      </c>
      <c r="D3" s="2">
        <v>3778</v>
      </c>
      <c r="E3" s="2">
        <v>150</v>
      </c>
      <c r="F3" s="3">
        <v>28545</v>
      </c>
    </row>
    <row r="4" spans="1:6">
      <c r="A4" s="2">
        <v>2</v>
      </c>
      <c r="B4" s="2" t="s">
        <v>7</v>
      </c>
      <c r="C4" s="2">
        <v>137233</v>
      </c>
      <c r="D4" s="2">
        <v>3762</v>
      </c>
      <c r="E4" s="2">
        <v>147</v>
      </c>
      <c r="F4" s="3">
        <v>28775</v>
      </c>
    </row>
    <row r="5" spans="1:6">
      <c r="A5" s="2"/>
      <c r="B5" s="2"/>
      <c r="C5" s="2"/>
      <c r="D5" s="1" t="s">
        <v>8</v>
      </c>
      <c r="E5" s="2"/>
      <c r="F5" s="4">
        <f>SUM(F3:F4)</f>
        <v>57320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15</v>
      </c>
      <c r="C7" s="2">
        <v>137222</v>
      </c>
      <c r="D7" s="2">
        <v>3296</v>
      </c>
      <c r="E7" s="2">
        <v>160</v>
      </c>
      <c r="F7" s="3">
        <v>31424</v>
      </c>
    </row>
    <row r="8" spans="1:6">
      <c r="A8" s="2"/>
      <c r="B8" s="2"/>
      <c r="C8" s="2"/>
      <c r="D8" s="1" t="s">
        <v>8</v>
      </c>
      <c r="E8" s="2"/>
      <c r="F8" s="4">
        <f>SUM(F7)</f>
        <v>31424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9</v>
      </c>
      <c r="C10" s="2">
        <v>137237</v>
      </c>
      <c r="D10" s="2">
        <v>3775</v>
      </c>
      <c r="E10" s="2">
        <v>48</v>
      </c>
      <c r="F10" s="3">
        <v>9614</v>
      </c>
    </row>
    <row r="11" spans="1:6">
      <c r="A11" s="2">
        <v>2</v>
      </c>
      <c r="B11" s="2" t="s">
        <v>9</v>
      </c>
      <c r="C11" s="2">
        <v>137230</v>
      </c>
      <c r="D11" s="2">
        <v>3769</v>
      </c>
      <c r="E11" s="2">
        <v>50</v>
      </c>
      <c r="F11" s="3">
        <v>9955</v>
      </c>
    </row>
    <row r="12" spans="1:6">
      <c r="A12" s="2"/>
      <c r="B12" s="2"/>
      <c r="C12" s="2"/>
      <c r="D12" s="1" t="s">
        <v>8</v>
      </c>
      <c r="E12" s="2"/>
      <c r="F12" s="4">
        <f>SUM(F10:F11)</f>
        <v>19569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12</v>
      </c>
      <c r="C14" s="2">
        <v>137184</v>
      </c>
      <c r="D14" s="2">
        <v>3779</v>
      </c>
      <c r="E14" s="2">
        <v>51</v>
      </c>
      <c r="F14" s="3">
        <v>10264</v>
      </c>
    </row>
    <row r="15" spans="1:6">
      <c r="A15" s="2"/>
      <c r="B15" s="2"/>
      <c r="C15" s="2"/>
      <c r="D15" s="1" t="s">
        <v>8</v>
      </c>
      <c r="E15" s="2"/>
      <c r="F15" s="4">
        <f>SUM(F14)</f>
        <v>10264</v>
      </c>
    </row>
    <row r="16" spans="1:6">
      <c r="A16" s="2"/>
      <c r="B16" s="2"/>
      <c r="C16" s="2"/>
      <c r="D16" s="1"/>
      <c r="E16" s="2"/>
      <c r="F16" s="4"/>
    </row>
    <row r="17" spans="1:10">
      <c r="A17" s="2">
        <v>1</v>
      </c>
      <c r="B17" s="2" t="s">
        <v>11</v>
      </c>
      <c r="C17" s="2">
        <v>137234</v>
      </c>
      <c r="D17" s="2">
        <v>3768</v>
      </c>
      <c r="E17" s="2">
        <v>41</v>
      </c>
      <c r="F17" s="3">
        <v>8200</v>
      </c>
    </row>
    <row r="18" spans="1:10">
      <c r="A18" s="2">
        <v>2</v>
      </c>
      <c r="B18" s="2" t="s">
        <v>11</v>
      </c>
      <c r="C18" s="2">
        <v>137228</v>
      </c>
      <c r="D18" s="2">
        <v>3299</v>
      </c>
      <c r="E18" s="2">
        <v>40</v>
      </c>
      <c r="F18" s="3">
        <v>8252</v>
      </c>
    </row>
    <row r="19" spans="1:10">
      <c r="A19" s="2"/>
      <c r="B19" s="2"/>
      <c r="C19" s="2"/>
      <c r="D19" s="1" t="s">
        <v>8</v>
      </c>
      <c r="E19" s="2"/>
      <c r="F19" s="4">
        <f>SUM(F17:F18)</f>
        <v>16452</v>
      </c>
    </row>
    <row r="20" spans="1:10">
      <c r="A20" s="2"/>
      <c r="B20" s="2"/>
      <c r="C20" s="2"/>
      <c r="D20" s="1"/>
      <c r="E20" s="2"/>
      <c r="F20" s="4"/>
    </row>
    <row r="21" spans="1:10">
      <c r="A21" s="2">
        <v>1</v>
      </c>
      <c r="B21" s="2" t="s">
        <v>44</v>
      </c>
      <c r="C21" s="2">
        <v>137238</v>
      </c>
      <c r="D21" s="14">
        <v>3770</v>
      </c>
      <c r="E21" s="2">
        <v>160</v>
      </c>
      <c r="F21" s="15">
        <v>30448</v>
      </c>
    </row>
    <row r="22" spans="1:10">
      <c r="A22" s="2"/>
      <c r="B22" s="2"/>
      <c r="C22" s="2"/>
      <c r="D22" s="1" t="s">
        <v>8</v>
      </c>
      <c r="E22" s="2"/>
      <c r="F22" s="21">
        <f>SUM(F21)</f>
        <v>30448</v>
      </c>
    </row>
    <row r="23" spans="1:10">
      <c r="A23" s="2"/>
      <c r="B23" s="2"/>
      <c r="C23" s="2"/>
      <c r="D23" s="14"/>
      <c r="E23" s="2"/>
      <c r="F23" s="15"/>
    </row>
    <row r="24" spans="1:10">
      <c r="A24" s="2"/>
      <c r="B24" s="14" t="s">
        <v>45</v>
      </c>
      <c r="C24" s="2">
        <v>137232</v>
      </c>
      <c r="D24" s="14">
        <v>3761</v>
      </c>
      <c r="E24" s="2">
        <v>70</v>
      </c>
      <c r="F24" s="15">
        <v>13678</v>
      </c>
    </row>
    <row r="25" spans="1:10">
      <c r="A25" s="5"/>
      <c r="B25" s="5"/>
      <c r="C25" s="5"/>
      <c r="D25" s="1" t="s">
        <v>8</v>
      </c>
      <c r="E25" s="5"/>
      <c r="F25" s="20">
        <f>SUM(F24)</f>
        <v>13678</v>
      </c>
      <c r="J25" s="1"/>
    </row>
    <row r="26" spans="1:10">
      <c r="A26" s="5"/>
      <c r="B26" s="5"/>
      <c r="C26" s="5"/>
      <c r="D26" s="1"/>
      <c r="E26" s="5"/>
      <c r="F26" s="20"/>
      <c r="J26" s="22"/>
    </row>
    <row r="27" spans="1:10">
      <c r="A27" s="5"/>
      <c r="B27" s="5"/>
      <c r="C27" s="5"/>
      <c r="D27" s="1" t="s">
        <v>13</v>
      </c>
      <c r="E27" s="5"/>
      <c r="F27" s="6">
        <f>F5+F8+F12+F15+F19+F22+F25</f>
        <v>179155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9"/>
  <sheetViews>
    <sheetView workbookViewId="0">
      <selection activeCell="F4" sqref="F4"/>
    </sheetView>
  </sheetViews>
  <sheetFormatPr defaultRowHeight="14.4"/>
  <cols>
    <col min="1" max="1" width="10.5546875" customWidth="1"/>
    <col min="2" max="2" width="13.33203125" customWidth="1"/>
    <col min="3" max="3" width="10.33203125" customWidth="1"/>
    <col min="4" max="4" width="10.109375" customWidth="1"/>
    <col min="6" max="6" width="13" customWidth="1"/>
  </cols>
  <sheetData>
    <row r="1" spans="1:6">
      <c r="A1" s="45" t="s">
        <v>40</v>
      </c>
      <c r="B1" s="43"/>
      <c r="C1" s="43"/>
      <c r="D1" s="43"/>
      <c r="E1" s="43"/>
      <c r="F1" s="4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137244</v>
      </c>
      <c r="D3" s="2">
        <v>3774</v>
      </c>
      <c r="E3" s="2">
        <v>199.7</v>
      </c>
      <c r="F3" s="3">
        <v>38020</v>
      </c>
    </row>
    <row r="4" spans="1:6">
      <c r="A4" s="2">
        <v>2</v>
      </c>
      <c r="B4" s="2" t="s">
        <v>18</v>
      </c>
      <c r="C4" s="2">
        <v>137244</v>
      </c>
      <c r="D4" s="14">
        <v>3773</v>
      </c>
      <c r="E4" s="2">
        <v>200</v>
      </c>
      <c r="F4" s="15">
        <v>38060</v>
      </c>
    </row>
    <row r="5" spans="1:6">
      <c r="A5" s="2"/>
      <c r="B5" s="2"/>
      <c r="C5" s="2"/>
      <c r="D5" s="1"/>
      <c r="E5" s="2"/>
      <c r="F5" s="4"/>
    </row>
    <row r="6" spans="1:6">
      <c r="A6" s="2"/>
      <c r="B6" s="2"/>
      <c r="C6" s="2"/>
      <c r="D6" s="1" t="s">
        <v>19</v>
      </c>
      <c r="E6" s="1"/>
      <c r="F6" s="4">
        <f>SUM(F3:F5)</f>
        <v>76080</v>
      </c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6"/>
  <sheetViews>
    <sheetView workbookViewId="0">
      <selection activeCell="L16" sqref="L16"/>
    </sheetView>
  </sheetViews>
  <sheetFormatPr defaultRowHeight="14.4"/>
  <cols>
    <col min="2" max="2" width="11.109375" customWidth="1"/>
    <col min="3" max="3" width="9.88671875" customWidth="1"/>
    <col min="4" max="4" width="11.33203125" customWidth="1"/>
    <col min="6" max="6" width="11.6640625" customWidth="1"/>
  </cols>
  <sheetData>
    <row r="1" spans="1:10">
      <c r="A1" s="45" t="s">
        <v>42</v>
      </c>
      <c r="B1" s="43"/>
      <c r="C1" s="43"/>
      <c r="D1" s="43"/>
      <c r="E1" s="43"/>
      <c r="F1" s="44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>
      <c r="A3" s="2">
        <v>1</v>
      </c>
      <c r="B3" s="2" t="s">
        <v>26</v>
      </c>
      <c r="C3" s="2">
        <v>137177</v>
      </c>
      <c r="D3" s="2">
        <v>3278</v>
      </c>
      <c r="E3" s="2">
        <v>55</v>
      </c>
      <c r="F3" s="3">
        <v>11346</v>
      </c>
    </row>
    <row r="4" spans="1:10">
      <c r="A4" s="2">
        <v>2</v>
      </c>
      <c r="B4" s="2" t="s">
        <v>26</v>
      </c>
      <c r="C4" s="2">
        <v>137181</v>
      </c>
      <c r="D4" s="2">
        <v>3772</v>
      </c>
      <c r="E4" s="2">
        <v>55</v>
      </c>
      <c r="F4" s="3">
        <v>10950</v>
      </c>
    </row>
    <row r="5" spans="1:10">
      <c r="A5" s="2">
        <v>3</v>
      </c>
      <c r="B5" s="2" t="s">
        <v>26</v>
      </c>
      <c r="C5" s="2">
        <v>137179</v>
      </c>
      <c r="D5" s="2">
        <v>3765</v>
      </c>
      <c r="E5" s="2">
        <v>55</v>
      </c>
      <c r="F5" s="3">
        <v>11346</v>
      </c>
    </row>
    <row r="6" spans="1:10">
      <c r="A6" s="2"/>
      <c r="B6" s="2"/>
      <c r="C6" s="2"/>
      <c r="D6" s="1" t="s">
        <v>8</v>
      </c>
      <c r="E6" s="2"/>
      <c r="F6" s="4">
        <f>SUM(F3:F5)</f>
        <v>33642</v>
      </c>
    </row>
    <row r="7" spans="1:10">
      <c r="A7" s="2"/>
      <c r="B7" s="2"/>
      <c r="C7" s="2"/>
      <c r="D7" s="1"/>
      <c r="E7" s="2"/>
      <c r="F7" s="4"/>
    </row>
    <row r="8" spans="1:10">
      <c r="A8" s="2">
        <v>1</v>
      </c>
      <c r="B8" s="2" t="s">
        <v>27</v>
      </c>
      <c r="C8" s="2">
        <v>137176</v>
      </c>
      <c r="D8" s="2">
        <v>3763</v>
      </c>
      <c r="E8" s="2">
        <v>120</v>
      </c>
      <c r="F8" s="3">
        <v>23448</v>
      </c>
    </row>
    <row r="9" spans="1:10">
      <c r="A9" s="2"/>
      <c r="B9" s="2" t="s">
        <v>27</v>
      </c>
      <c r="C9" s="2">
        <v>137183</v>
      </c>
      <c r="D9" s="2">
        <v>3783</v>
      </c>
      <c r="E9" s="2">
        <v>112</v>
      </c>
      <c r="F9" s="3">
        <v>21498</v>
      </c>
    </row>
    <row r="10" spans="1:10">
      <c r="A10" s="2"/>
      <c r="B10" s="2"/>
      <c r="C10" s="2"/>
      <c r="D10" s="1" t="s">
        <v>8</v>
      </c>
      <c r="E10" s="2"/>
      <c r="F10" s="4">
        <f>SUM(F8:F9)</f>
        <v>44946</v>
      </c>
    </row>
    <row r="11" spans="1:10">
      <c r="A11" s="2"/>
      <c r="B11" s="2"/>
      <c r="C11" s="2"/>
      <c r="D11" s="1"/>
      <c r="E11" s="2"/>
      <c r="F11" s="4"/>
    </row>
    <row r="12" spans="1:10">
      <c r="A12" s="2">
        <v>1</v>
      </c>
      <c r="B12" s="2" t="s">
        <v>28</v>
      </c>
      <c r="C12" s="2">
        <v>137174</v>
      </c>
      <c r="D12" s="2">
        <v>3764</v>
      </c>
      <c r="E12" s="2">
        <v>58</v>
      </c>
      <c r="F12" s="3">
        <v>11516</v>
      </c>
    </row>
    <row r="13" spans="1:10">
      <c r="A13" s="2"/>
      <c r="B13" s="2" t="s">
        <v>28</v>
      </c>
      <c r="C13" s="2">
        <v>137182</v>
      </c>
      <c r="D13" s="2">
        <v>3781</v>
      </c>
      <c r="E13" s="2">
        <v>80</v>
      </c>
      <c r="F13" s="3">
        <v>14704</v>
      </c>
    </row>
    <row r="14" spans="1:10">
      <c r="A14" s="2"/>
      <c r="B14" s="2"/>
      <c r="C14" s="2"/>
      <c r="D14" s="1" t="s">
        <v>8</v>
      </c>
      <c r="E14" s="2"/>
      <c r="F14" s="4">
        <f>SUM(F12:F13)</f>
        <v>26220</v>
      </c>
    </row>
    <row r="15" spans="1:10">
      <c r="A15" s="2"/>
      <c r="B15" s="2"/>
      <c r="C15" s="2"/>
      <c r="D15" s="1"/>
      <c r="E15" s="2"/>
      <c r="F15" s="4"/>
    </row>
    <row r="16" spans="1:10">
      <c r="A16" s="2"/>
      <c r="B16" s="2"/>
      <c r="C16" s="2"/>
      <c r="D16" s="1" t="s">
        <v>13</v>
      </c>
      <c r="E16" s="2"/>
      <c r="F16" s="6">
        <f>F6+F10+F14</f>
        <v>104808</v>
      </c>
      <c r="J16" t="s">
        <v>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T.O NOV 23</vt:lpstr>
      <vt:lpstr>T.O DEC 23</vt:lpstr>
      <vt:lpstr>P.O NOV&amp;DEC 2023</vt:lpstr>
      <vt:lpstr>SECURITY NOV 23</vt:lpstr>
      <vt:lpstr>SECURITY MARCH 24</vt:lpstr>
      <vt:lpstr>SECURITY APRIL 24</vt:lpstr>
      <vt:lpstr>SECURITY 2023</vt:lpstr>
      <vt:lpstr> K-SRIC NOV 23</vt:lpstr>
      <vt:lpstr>K-SRIC DEC 23</vt:lpstr>
      <vt:lpstr>K-SRIC OCT 23</vt:lpstr>
      <vt:lpstr>K-SRIC SEP 23</vt:lpstr>
      <vt:lpstr>K-SRIC JAN 24</vt:lpstr>
      <vt:lpstr>K-SRIC APRIL 24</vt:lpstr>
      <vt:lpstr>K-SRIC FEB 24</vt:lpstr>
      <vt:lpstr>K-SRIC 2023</vt:lpstr>
      <vt:lpstr>P.O 23</vt:lpstr>
      <vt:lpstr>PO JAN 24</vt:lpstr>
      <vt:lpstr>PO APRIL 24</vt:lpstr>
      <vt:lpstr>TO JAN 24</vt:lpstr>
      <vt:lpstr>T.O JAN 24</vt:lpstr>
      <vt:lpstr>TO APRIL 24</vt:lpstr>
      <vt:lpstr>P.O FEB 24</vt:lpstr>
      <vt:lpstr>TO FEB 24</vt:lpstr>
      <vt:lpstr>TO. MARCH 24</vt:lpstr>
      <vt:lpstr>P.O MARCH 24</vt:lpstr>
      <vt:lpstr>K-SRIC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2024-05-20T07:49:54Z</cp:lastPrinted>
  <dcterms:created xsi:type="dcterms:W3CDTF">2024-01-29T12:57:00Z</dcterms:created>
  <dcterms:modified xsi:type="dcterms:W3CDTF">2024-07-05T07:04:45Z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