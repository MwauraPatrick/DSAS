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D859CB9-72C5-4DEE-878E-0B9EA86007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PRA" sheetId="3" r:id="rId1"/>
    <sheet name="local Goods" sheetId="2" r:id="rId2"/>
    <sheet name="EXPENDITUR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4" i="2" l="1"/>
  <c r="G164" i="2"/>
  <c r="D65" i="3"/>
  <c r="G56" i="3"/>
  <c r="G38" i="3"/>
  <c r="G17" i="3"/>
</calcChain>
</file>

<file path=xl/sharedStrings.xml><?xml version="1.0" encoding="utf-8"?>
<sst xmlns="http://schemas.openxmlformats.org/spreadsheetml/2006/main" count="680" uniqueCount="183">
  <si>
    <t>4TH QUARTER REPORT FROM APRIL 2023  TO JUNE 2023 INSTITUTE OF PRIMATE RESEARCH</t>
  </si>
  <si>
    <t>Section B: All Contracts Awards to the Target Group (Youth,Women and PWD)</t>
  </si>
  <si>
    <t>Note: All columns should be filled in as appropriare</t>
  </si>
  <si>
    <t>Supplier/Contractor Name Business name as appears in the AGPO Cert</t>
  </si>
  <si>
    <t>Names of Directors</t>
  </si>
  <si>
    <t>Nature of Contract (goods/works/ non-consultancy/consultancy services</t>
  </si>
  <si>
    <t>Tender/ quotation No &amp;Description</t>
  </si>
  <si>
    <t>Method of Procurment</t>
  </si>
  <si>
    <t>LPO/LSO/Contract</t>
  </si>
  <si>
    <t>Contract Value</t>
  </si>
  <si>
    <t>PWD</t>
  </si>
  <si>
    <t>TOTAL</t>
  </si>
  <si>
    <t>WOMEN</t>
  </si>
  <si>
    <t>Gradwin enterprises Ltd</t>
  </si>
  <si>
    <t>Grace karoki</t>
  </si>
  <si>
    <t>goods</t>
  </si>
  <si>
    <t>crown white spirit in 5lts</t>
  </si>
  <si>
    <t>Quotation</t>
  </si>
  <si>
    <t>Wilcare enterprises</t>
  </si>
  <si>
    <t>irene maingi</t>
  </si>
  <si>
    <t>Goods</t>
  </si>
  <si>
    <t>Lab consumables</t>
  </si>
  <si>
    <t>African Bliss Travel Ltd</t>
  </si>
  <si>
    <t>Lilian</t>
  </si>
  <si>
    <t>services</t>
  </si>
  <si>
    <t>return Air Ticket for Dr. Atunga to Mombasa</t>
  </si>
  <si>
    <t>African bliss travel ltd</t>
  </si>
  <si>
    <t>Return Air Ticket for Director to Mombasa</t>
  </si>
  <si>
    <t>change of flight ticket for Director to return</t>
  </si>
  <si>
    <t>Sirandu Investment Co Ltd</t>
  </si>
  <si>
    <t>Caren</t>
  </si>
  <si>
    <t>Supply of Fresh Fruits &amp; Vegetables</t>
  </si>
  <si>
    <t>Contract</t>
  </si>
  <si>
    <t>PinPoint Hygiene Services Ltd</t>
  </si>
  <si>
    <t>Jane Wachira</t>
  </si>
  <si>
    <t>Services</t>
  </si>
  <si>
    <t xml:space="preserve">Provision Of Sanitary Bins Services </t>
  </si>
  <si>
    <t>Arclink enterprises</t>
  </si>
  <si>
    <t xml:space="preserve">Damaris </t>
  </si>
  <si>
    <t>service</t>
  </si>
  <si>
    <t>maintenance of coldroom</t>
  </si>
  <si>
    <t>YOUTH</t>
  </si>
  <si>
    <t>Kam Kam Limited</t>
  </si>
  <si>
    <t>David Mugo</t>
  </si>
  <si>
    <t>electrical materials</t>
  </si>
  <si>
    <t>Haste enterprises</t>
  </si>
  <si>
    <t>joseph Mugweru</t>
  </si>
  <si>
    <t>x-plier fans and filters at A.S.D</t>
  </si>
  <si>
    <t>installation of x-plier at pathology</t>
  </si>
  <si>
    <t>Legacy lab africa ltd</t>
  </si>
  <si>
    <t>gabriel mutugi</t>
  </si>
  <si>
    <t>Joseph Mugweru</t>
  </si>
  <si>
    <t>maintenance of HVAC systems</t>
  </si>
  <si>
    <t>TOTAL PURCHASES FOR THE 4TH QUARTER =4515272.71</t>
  </si>
  <si>
    <r>
      <rPr>
        <b/>
        <sz val="9"/>
        <color rgb="FF000000"/>
        <rFont val="Calibri"/>
        <charset val="134"/>
      </rPr>
      <t>%= (PWD 0+ Women 510550 + Youth 634380) ÷4515272.71×100   = 26</t>
    </r>
    <r>
      <rPr>
        <b/>
        <sz val="9"/>
        <color rgb="FF000000"/>
        <rFont val="SimSun"/>
        <charset val="134"/>
      </rPr>
      <t>％</t>
    </r>
  </si>
  <si>
    <t>Section C: Summary of all contract Awards as presented in Section B above</t>
  </si>
  <si>
    <t>No.</t>
  </si>
  <si>
    <t>Category</t>
  </si>
  <si>
    <t>No. of Contracts awarded</t>
  </si>
  <si>
    <t>Total Value of contracts awarded</t>
  </si>
  <si>
    <t>% of contract value per categorty</t>
  </si>
  <si>
    <t>Women</t>
  </si>
  <si>
    <t>Youth</t>
  </si>
  <si>
    <t>Total</t>
  </si>
  <si>
    <t>PREPARED BY…………………………………………….SIGNATURE……………………………………………….</t>
  </si>
  <si>
    <t>DATE…………………………………………………..</t>
  </si>
  <si>
    <t>APPROVED BY……………………………………………SIGNATURE…………………………………………………DATE…………………………………………..</t>
  </si>
  <si>
    <t>INSTITUTE OF PRIMATE RESEARCH</t>
  </si>
  <si>
    <r>
      <rPr>
        <b/>
        <sz val="12"/>
        <color rgb="FF000000"/>
        <rFont val="Calibri Light"/>
        <charset val="134"/>
      </rPr>
      <t xml:space="preserve">REGION </t>
    </r>
    <r>
      <rPr>
        <sz val="12"/>
        <color rgb="FF000000"/>
        <rFont val="Cambria"/>
        <charset val="134"/>
      </rPr>
      <t xml:space="preserve">(Fill </t>
    </r>
    <r>
      <rPr>
        <sz val="12"/>
        <color rgb="FF000000"/>
        <rFont val="Cambria"/>
        <charset val="134"/>
      </rPr>
      <t>Below)</t>
    </r>
  </si>
  <si>
    <t>LOCAL GOODS REPORT 4th QUARTER</t>
  </si>
  <si>
    <t>INSTITUTE OF PRIMATE RESEARCH QUARTER REPORTS APRIL - JUNE</t>
  </si>
  <si>
    <r>
      <rPr>
        <b/>
        <sz val="11"/>
        <color rgb="FF000000"/>
        <rFont val="Calibri Light"/>
        <charset val="134"/>
      </rPr>
      <t xml:space="preserve">FINANCIAL YEAR </t>
    </r>
    <r>
      <rPr>
        <sz val="11"/>
        <color rgb="FF000000"/>
        <rFont val="Cambria"/>
        <charset val="134"/>
      </rPr>
      <t>2022/23</t>
    </r>
  </si>
  <si>
    <t>DATE</t>
  </si>
  <si>
    <t>D.O.F</t>
  </si>
  <si>
    <t>L.P.O</t>
  </si>
  <si>
    <t>DEPARTMENTS</t>
  </si>
  <si>
    <t>ITEM DESCRIPTION</t>
  </si>
  <si>
    <t>SUPPLIERS NAME</t>
  </si>
  <si>
    <t>AMOUNT</t>
  </si>
  <si>
    <t>BUY KENYA BUILD KENYA</t>
  </si>
  <si>
    <t>Security</t>
  </si>
  <si>
    <t>Diesel for GKB 146R</t>
  </si>
  <si>
    <t>Kerarapon petrol station</t>
  </si>
  <si>
    <t>Administration</t>
  </si>
  <si>
    <t>Diesel for GKB 335T</t>
  </si>
  <si>
    <t>Diesel  for GKB 146R</t>
  </si>
  <si>
    <t>Diesel  for GKB 335T</t>
  </si>
  <si>
    <t>K - sric</t>
  </si>
  <si>
    <t>Diesel for KCU 576Z</t>
  </si>
  <si>
    <t>K-sric</t>
  </si>
  <si>
    <t>super  for KCU 502Z</t>
  </si>
  <si>
    <t>diesel for KCZ 551B</t>
  </si>
  <si>
    <t>Diesel for KCU 570Z</t>
  </si>
  <si>
    <t>17/4/2023</t>
  </si>
  <si>
    <t>super petrol for KCU 502Z</t>
  </si>
  <si>
    <t>19/4/3023</t>
  </si>
  <si>
    <t>Diesesl for KCZ 551B</t>
  </si>
  <si>
    <t>Diesel for KCU 502Z</t>
  </si>
  <si>
    <t>15/5/2023</t>
  </si>
  <si>
    <t>27/5/2023</t>
  </si>
  <si>
    <t>19/4/2023</t>
  </si>
  <si>
    <t>service of programme vehicles KCZ 551B</t>
  </si>
  <si>
    <t>24/5/2023</t>
  </si>
  <si>
    <t>Diesel for  KCU 576Z</t>
  </si>
  <si>
    <t>26/4/2023</t>
  </si>
  <si>
    <t>Transport</t>
  </si>
  <si>
    <t>Mult grade oil</t>
  </si>
  <si>
    <t>Super petrol for KCT 811Y</t>
  </si>
  <si>
    <t>Super petrol for KAL 107U</t>
  </si>
  <si>
    <t>Super petrol for KBL 126G</t>
  </si>
  <si>
    <t>physical operations</t>
  </si>
  <si>
    <t>Diesel for generator</t>
  </si>
  <si>
    <t>Diesel for KBT 106N</t>
  </si>
  <si>
    <t>Dielsel for GKB 335T</t>
  </si>
  <si>
    <t>Diesel for KCT 730Y</t>
  </si>
  <si>
    <t>diesel for KCH 490Q</t>
  </si>
  <si>
    <t>Diesel for KCP 827K</t>
  </si>
  <si>
    <t>Diesel for GKB GKB 146R</t>
  </si>
  <si>
    <t>Super petrol for GKB 335T</t>
  </si>
  <si>
    <t>diesel for incerator</t>
  </si>
  <si>
    <t>super petrol for KBL 126G</t>
  </si>
  <si>
    <t>Diesel for KBT 506N</t>
  </si>
  <si>
    <t>super petrol for KCT 811Y</t>
  </si>
  <si>
    <t>25/5/2023</t>
  </si>
  <si>
    <t>16/5/2023</t>
  </si>
  <si>
    <t>20/6/2023</t>
  </si>
  <si>
    <t>29/6/2023</t>
  </si>
  <si>
    <t>30/6/2023</t>
  </si>
  <si>
    <t>25/6/2023</t>
  </si>
  <si>
    <t>super petrol KBL 126R</t>
  </si>
  <si>
    <t>,</t>
  </si>
  <si>
    <t>30/5/2023</t>
  </si>
  <si>
    <t>C.O.R</t>
  </si>
  <si>
    <t>18/4/2023</t>
  </si>
  <si>
    <t>servo motor  for the central power regulator</t>
  </si>
  <si>
    <t>Bemki electricals</t>
  </si>
  <si>
    <t>crown white spirit in 5ltrs</t>
  </si>
  <si>
    <t>Gradwin enterprises ltd</t>
  </si>
  <si>
    <t>13635/13634</t>
  </si>
  <si>
    <t>hardware materials</t>
  </si>
  <si>
    <t>Mijoshi enterprises ltd</t>
  </si>
  <si>
    <t>repair &amp; service of fans &amp; replacing filters at ASD</t>
  </si>
  <si>
    <t>Haste Enterprises</t>
  </si>
  <si>
    <t>27/4/2023</t>
  </si>
  <si>
    <t>installation of new x-plier fans at histo-pathology</t>
  </si>
  <si>
    <t>12791/92</t>
  </si>
  <si>
    <t>12792/93/94</t>
  </si>
  <si>
    <t>Benchem Lab Supplies</t>
  </si>
  <si>
    <t>Inqaba biotec E.A ltd</t>
  </si>
  <si>
    <t>Africa biosystem ltd</t>
  </si>
  <si>
    <t>Sciencescope Limited</t>
  </si>
  <si>
    <t>T.I.D</t>
  </si>
  <si>
    <t>repair &amp; service of Cº₂ incubator</t>
  </si>
  <si>
    <t>Lab-vision ltd</t>
  </si>
  <si>
    <t>Admin- Director</t>
  </si>
  <si>
    <t>19/5/2023</t>
  </si>
  <si>
    <t>A.S.D</t>
  </si>
  <si>
    <t>monkey Cubes &amp; freight charges</t>
  </si>
  <si>
    <t>Unga Farm Care E.A  ltd</t>
  </si>
  <si>
    <t>surgical face mask 3 ply</t>
  </si>
  <si>
    <t>30/4/2023</t>
  </si>
  <si>
    <t>I.C.T</t>
  </si>
  <si>
    <t>Provision of Internet Services</t>
  </si>
  <si>
    <t>Wananchi Group Limited</t>
  </si>
  <si>
    <t>Physical</t>
  </si>
  <si>
    <t>Provision Of Garbage Collection Services</t>
  </si>
  <si>
    <t>Bins (NRB)Services Ltd</t>
  </si>
  <si>
    <t>provision of fruits &amp; vegetables</t>
  </si>
  <si>
    <t>sirandu Investment Co Ltd</t>
  </si>
  <si>
    <t>31/5/2023</t>
  </si>
  <si>
    <t>31/5/2024</t>
  </si>
  <si>
    <t>31/5/2025</t>
  </si>
  <si>
    <t>31/5/2026</t>
  </si>
  <si>
    <t>maintenance of HVAC</t>
  </si>
  <si>
    <r>
      <rPr>
        <b/>
        <sz val="11"/>
        <color rgb="FF000000"/>
        <rFont val="Arial"/>
        <charset val="134"/>
      </rPr>
      <t>TOTA</t>
    </r>
    <r>
      <rPr>
        <sz val="11"/>
        <color theme="1"/>
        <rFont val="Calibri"/>
        <charset val="134"/>
        <scheme val="minor"/>
      </rPr>
      <t>L</t>
    </r>
  </si>
  <si>
    <t xml:space="preserve">Local goods percentage for the quarter 45% </t>
  </si>
  <si>
    <t>local goods purchased</t>
  </si>
  <si>
    <t>%= 48%</t>
  </si>
  <si>
    <t>total expenditure</t>
  </si>
  <si>
    <t>Prepared by………………………………………..Signature………………………………….Date</t>
  </si>
  <si>
    <t>…………….………..…Date…………………………</t>
  </si>
  <si>
    <t>Approved by………………………………………..Signature………………………………….Date………………………….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</si>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</sst>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8" formatCode="#,##0.00&quot; &quot;;&quot; (&quot;#,##0.00&quot;)&quot;;&quot; -&quot;#&quot; &quot;;@&quot; &quot;"/>
    <numFmt numFmtId="169" formatCode="mm/dd/yyyy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2"/>
      <color rgb="FF000000"/>
      <name val="Calibri"/>
      <charset val="134"/>
    </font>
    <font>
      <b/>
      <sz val="12"/>
      <color rgb="FF000000"/>
      <name val="Calibri Light"/>
      <charset val="134"/>
    </font>
    <font>
      <b/>
      <sz val="11"/>
      <color rgb="FF000000"/>
      <name val="Calibri Light"/>
      <charset val="134"/>
    </font>
    <font>
      <sz val="12"/>
      <color rgb="FF000000"/>
      <name val="Calibri Light"/>
      <charset val="134"/>
    </font>
    <font>
      <sz val="14"/>
      <color rgb="FF000000"/>
      <name val="Times New Roman"/>
      <charset val="134"/>
    </font>
    <font>
      <b/>
      <sz val="11"/>
      <color rgb="FF000000"/>
      <name val="Calibri"/>
      <charset val="134"/>
    </font>
    <font>
      <sz val="12"/>
      <color rgb="FF000000"/>
      <name val="Arial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Arial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Times New Roman"/>
      <charset val="134"/>
    </font>
    <font>
      <sz val="12"/>
      <color rgb="FF000000"/>
      <name val="Trebuchet MS"/>
      <charset val="134"/>
    </font>
    <font>
      <b/>
      <sz val="12"/>
      <color rgb="FF000000"/>
      <name val="Trebuchet MS"/>
      <charset val="134"/>
    </font>
    <font>
      <sz val="12"/>
      <color theme="1"/>
      <name val="Times New Roman"/>
      <charset val="134"/>
    </font>
    <font>
      <b/>
      <sz val="9"/>
      <color rgb="FF000000"/>
      <name val="Calibri"/>
      <charset val="134"/>
    </font>
    <font>
      <sz val="9"/>
      <color rgb="FF000000"/>
      <name val="Arial"/>
      <charset val="134"/>
    </font>
    <font>
      <sz val="9"/>
      <color rgb="FF000000"/>
      <name val="Trebuchet MS"/>
      <charset val="134"/>
    </font>
    <font>
      <sz val="9"/>
      <color rgb="FF000000"/>
      <name val="Calibri"/>
      <charset val="134"/>
    </font>
    <font>
      <sz val="11"/>
      <color rgb="FF000000"/>
      <name val="Arial"/>
      <charset val="134"/>
    </font>
    <font>
      <sz val="12"/>
      <color rgb="FF000000"/>
      <name val="Cambria"/>
      <charset val="134"/>
    </font>
    <font>
      <sz val="11"/>
      <color rgb="FF000000"/>
      <name val="Cambria"/>
      <charset val="134"/>
    </font>
    <font>
      <b/>
      <sz val="9"/>
      <color rgb="FF000000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5" fontId="26" fillId="0" borderId="0" applyFont="0" applyFill="0" applyBorder="0" applyAlignment="0" applyProtection="0"/>
    <xf numFmtId="0" fontId="1" fillId="0" borderId="0" applyNumberFormat="0" applyBorder="0" applyProtection="0"/>
    <xf numFmtId="168" fontId="22" fillId="0" borderId="0" applyFont="0" applyBorder="0" applyProtection="0"/>
  </cellStyleXfs>
  <cellXfs count="140">
    <xf numFmtId="0" fontId="0" fillId="0" borderId="0" xfId="0"/>
    <xf numFmtId="0" fontId="1" fillId="0" borderId="0" xfId="2"/>
    <xf numFmtId="0" fontId="2" fillId="0" borderId="0" xfId="2" applyFont="1"/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wrapText="1"/>
    </xf>
    <xf numFmtId="0" fontId="5" fillId="0" borderId="2" xfId="2" applyFont="1" applyBorder="1" applyAlignment="1">
      <alignment horizontal="center" wrapText="1"/>
    </xf>
    <xf numFmtId="0" fontId="5" fillId="0" borderId="3" xfId="2" applyFont="1" applyBorder="1" applyAlignment="1">
      <alignment horizontal="center" wrapText="1"/>
    </xf>
    <xf numFmtId="0" fontId="3" fillId="0" borderId="1" xfId="2" applyFont="1" applyBorder="1" applyAlignment="1">
      <alignment horizontal="center" wrapText="1"/>
    </xf>
    <xf numFmtId="0" fontId="3" fillId="0" borderId="2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4" xfId="2" applyFont="1" applyBorder="1" applyAlignment="1">
      <alignment wrapText="1"/>
    </xf>
    <xf numFmtId="169" fontId="5" fillId="0" borderId="4" xfId="2" applyNumberFormat="1" applyFont="1" applyBorder="1" applyAlignment="1">
      <alignment horizontal="left" wrapText="1"/>
    </xf>
    <xf numFmtId="0" fontId="5" fillId="0" borderId="4" xfId="2" applyFont="1" applyBorder="1" applyAlignment="1">
      <alignment horizontal="left" wrapText="1"/>
    </xf>
    <xf numFmtId="0" fontId="6" fillId="0" borderId="4" xfId="0" applyFont="1" applyBorder="1" applyAlignment="1">
      <alignment horizontal="right" vertical="top"/>
    </xf>
    <xf numFmtId="0" fontId="5" fillId="0" borderId="4" xfId="2" applyFont="1" applyBorder="1" applyAlignment="1">
      <alignment wrapText="1"/>
    </xf>
    <xf numFmtId="0" fontId="6" fillId="0" borderId="4" xfId="0" applyFont="1" applyBorder="1" applyAlignment="1">
      <alignment horizontal="left" vertical="top"/>
    </xf>
    <xf numFmtId="3" fontId="6" fillId="0" borderId="4" xfId="0" applyNumberFormat="1" applyFont="1" applyBorder="1" applyAlignment="1">
      <alignment vertical="top"/>
    </xf>
    <xf numFmtId="168" fontId="5" fillId="0" borderId="4" xfId="3" applyFont="1" applyBorder="1" applyAlignment="1">
      <alignment horizontal="left" wrapText="1"/>
    </xf>
    <xf numFmtId="0" fontId="5" fillId="0" borderId="4" xfId="2" applyFont="1" applyBorder="1" applyAlignment="1">
      <alignment horizontal="left"/>
    </xf>
    <xf numFmtId="168" fontId="5" fillId="0" borderId="4" xfId="3" applyFont="1" applyBorder="1" applyAlignment="1">
      <alignment horizontal="left"/>
    </xf>
    <xf numFmtId="168" fontId="5" fillId="0" borderId="4" xfId="3" applyFont="1" applyBorder="1" applyAlignment="1">
      <alignment horizontal="left" vertical="top"/>
    </xf>
    <xf numFmtId="0" fontId="6" fillId="0" borderId="4" xfId="0" applyFont="1" applyBorder="1" applyAlignment="1">
      <alignment horizontal="left"/>
    </xf>
    <xf numFmtId="0" fontId="5" fillId="0" borderId="5" xfId="2" applyFont="1" applyBorder="1" applyAlignment="1">
      <alignment horizontal="left"/>
    </xf>
    <xf numFmtId="168" fontId="3" fillId="0" borderId="5" xfId="3" applyFont="1" applyBorder="1" applyAlignment="1">
      <alignment horizontal="left" vertical="top"/>
    </xf>
    <xf numFmtId="168" fontId="3" fillId="0" borderId="4" xfId="3" applyFont="1" applyBorder="1" applyAlignment="1">
      <alignment horizontal="left"/>
    </xf>
    <xf numFmtId="0" fontId="1" fillId="0" borderId="4" xfId="2" applyBorder="1" applyAlignment="1">
      <alignment horizontal="left"/>
    </xf>
    <xf numFmtId="168" fontId="1" fillId="0" borderId="4" xfId="3" applyFont="1" applyBorder="1" applyAlignment="1">
      <alignment horizontal="left"/>
    </xf>
    <xf numFmtId="168" fontId="7" fillId="0" borderId="4" xfId="3" applyFont="1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4" xfId="0" applyFont="1" applyBorder="1" applyAlignment="1">
      <alignment vertical="top"/>
    </xf>
    <xf numFmtId="3" fontId="8" fillId="0" borderId="4" xfId="0" applyNumberFormat="1" applyFont="1" applyBorder="1"/>
    <xf numFmtId="0" fontId="8" fillId="0" borderId="4" xfId="0" applyFont="1" applyBorder="1"/>
    <xf numFmtId="0" fontId="0" fillId="0" borderId="0" xfId="0" applyAlignment="1">
      <alignment horizontal="left"/>
    </xf>
    <xf numFmtId="0" fontId="9" fillId="0" borderId="4" xfId="0" applyFont="1" applyBorder="1" applyAlignment="1">
      <alignment horizontal="left" vertical="top"/>
    </xf>
    <xf numFmtId="4" fontId="8" fillId="0" borderId="4" xfId="0" applyNumberFormat="1" applyFont="1" applyBorder="1"/>
    <xf numFmtId="2" fontId="9" fillId="0" borderId="4" xfId="0" applyNumberFormat="1" applyFont="1" applyBorder="1" applyAlignment="1">
      <alignment horizontal="left" vertical="top"/>
    </xf>
    <xf numFmtId="3" fontId="9" fillId="0" borderId="4" xfId="0" applyNumberFormat="1" applyFont="1" applyBorder="1"/>
    <xf numFmtId="0" fontId="9" fillId="2" borderId="4" xfId="0" applyFont="1" applyFill="1" applyBorder="1" applyAlignment="1">
      <alignment horizontal="right" vertical="top"/>
    </xf>
    <xf numFmtId="168" fontId="10" fillId="0" borderId="4" xfId="3" applyFont="1" applyBorder="1"/>
    <xf numFmtId="169" fontId="0" fillId="0" borderId="4" xfId="0" applyNumberFormat="1" applyBorder="1" applyAlignment="1">
      <alignment horizontal="left"/>
    </xf>
    <xf numFmtId="0" fontId="9" fillId="0" borderId="4" xfId="0" applyFont="1" applyBorder="1" applyAlignment="1">
      <alignment vertical="top"/>
    </xf>
    <xf numFmtId="165" fontId="0" fillId="0" borderId="4" xfId="1" applyBorder="1" applyAlignment="1"/>
    <xf numFmtId="168" fontId="1" fillId="0" borderId="4" xfId="3" applyFont="1" applyBorder="1"/>
    <xf numFmtId="0" fontId="9" fillId="0" borderId="4" xfId="3" applyNumberFormat="1" applyFont="1" applyBorder="1" applyAlignment="1">
      <alignment horizontal="left"/>
    </xf>
    <xf numFmtId="0" fontId="9" fillId="0" borderId="4" xfId="0" applyFont="1" applyBorder="1" applyAlignment="1">
      <alignment horizontal="left" vertical="top" wrapText="1"/>
    </xf>
    <xf numFmtId="2" fontId="9" fillId="0" borderId="4" xfId="0" applyNumberFormat="1" applyFont="1" applyBorder="1" applyAlignment="1">
      <alignment vertical="top"/>
    </xf>
    <xf numFmtId="165" fontId="7" fillId="0" borderId="4" xfId="1" applyFont="1" applyFill="1" applyBorder="1" applyAlignment="1"/>
    <xf numFmtId="168" fontId="7" fillId="0" borderId="4" xfId="3" applyFont="1" applyBorder="1" applyAlignment="1">
      <alignment horizontal="right"/>
    </xf>
    <xf numFmtId="165" fontId="1" fillId="0" borderId="4" xfId="1" applyFont="1" applyFill="1" applyBorder="1" applyAlignment="1">
      <alignment horizontal="left"/>
    </xf>
    <xf numFmtId="169" fontId="11" fillId="0" borderId="4" xfId="0" applyNumberFormat="1" applyFont="1" applyBorder="1"/>
    <xf numFmtId="165" fontId="7" fillId="0" borderId="4" xfId="1" applyFont="1" applyFill="1" applyBorder="1" applyAlignment="1">
      <alignment horizontal="left"/>
    </xf>
    <xf numFmtId="169" fontId="0" fillId="0" borderId="4" xfId="0" applyNumberFormat="1" applyBorder="1"/>
    <xf numFmtId="0" fontId="0" fillId="0" borderId="4" xfId="0" applyBorder="1"/>
    <xf numFmtId="168" fontId="7" fillId="0" borderId="4" xfId="3" applyFont="1" applyBorder="1"/>
    <xf numFmtId="9" fontId="0" fillId="0" borderId="0" xfId="0" applyNumberFormat="1" applyAlignment="1">
      <alignment horizontal="center"/>
    </xf>
    <xf numFmtId="165" fontId="0" fillId="0" borderId="0" xfId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2" fillId="3" borderId="0" xfId="2" applyFont="1" applyFill="1"/>
    <xf numFmtId="0" fontId="12" fillId="3" borderId="0" xfId="2" applyFont="1" applyFill="1" applyAlignment="1">
      <alignment horizontal="left"/>
    </xf>
    <xf numFmtId="0" fontId="1" fillId="3" borderId="0" xfId="2" applyFill="1"/>
    <xf numFmtId="0" fontId="1" fillId="3" borderId="0" xfId="2" applyFill="1" applyAlignment="1">
      <alignment horizontal="right"/>
    </xf>
    <xf numFmtId="0" fontId="13" fillId="3" borderId="0" xfId="2" applyFont="1" applyFill="1" applyAlignment="1">
      <alignment horizontal="left"/>
    </xf>
    <xf numFmtId="0" fontId="13" fillId="3" borderId="0" xfId="2" applyFont="1" applyFill="1"/>
    <xf numFmtId="0" fontId="1" fillId="3" borderId="0" xfId="2" applyFill="1" applyAlignment="1">
      <alignment horizontal="right" wrapText="1"/>
    </xf>
    <xf numFmtId="0" fontId="7" fillId="3" borderId="4" xfId="2" applyFont="1" applyFill="1" applyBorder="1" applyAlignment="1">
      <alignment wrapText="1"/>
    </xf>
    <xf numFmtId="0" fontId="7" fillId="3" borderId="4" xfId="2" applyFont="1" applyFill="1" applyBorder="1" applyAlignment="1">
      <alignment horizontal="left" wrapText="1"/>
    </xf>
    <xf numFmtId="0" fontId="7" fillId="3" borderId="4" xfId="2" applyFont="1" applyFill="1" applyBorder="1" applyAlignment="1">
      <alignment horizontal="right" wrapText="1"/>
    </xf>
    <xf numFmtId="0" fontId="1" fillId="0" borderId="4" xfId="2" applyBorder="1" applyAlignment="1">
      <alignment wrapText="1"/>
    </xf>
    <xf numFmtId="0" fontId="1" fillId="3" borderId="4" xfId="2" applyFill="1" applyBorder="1" applyAlignment="1">
      <alignment wrapText="1"/>
    </xf>
    <xf numFmtId="0" fontId="1" fillId="3" borderId="4" xfId="2" applyFill="1" applyBorder="1"/>
    <xf numFmtId="0" fontId="1" fillId="0" borderId="4" xfId="2" applyBorder="1" applyAlignment="1">
      <alignment horizontal="right"/>
    </xf>
    <xf numFmtId="3" fontId="1" fillId="0" borderId="4" xfId="2" applyNumberFormat="1" applyBorder="1" applyAlignment="1">
      <alignment horizontal="center"/>
    </xf>
    <xf numFmtId="165" fontId="1" fillId="0" borderId="4" xfId="1" applyFont="1" applyFill="1" applyBorder="1" applyAlignment="1"/>
    <xf numFmtId="0" fontId="1" fillId="3" borderId="4" xfId="2" applyFill="1" applyBorder="1" applyAlignment="1">
      <alignment horizontal="left" wrapText="1"/>
    </xf>
    <xf numFmtId="0" fontId="9" fillId="0" borderId="4" xfId="3" applyNumberFormat="1" applyFont="1" applyBorder="1" applyAlignment="1">
      <alignment horizontal="left" vertical="top"/>
    </xf>
    <xf numFmtId="2" fontId="0" fillId="0" borderId="4" xfId="0" applyNumberFormat="1" applyBorder="1" applyAlignment="1">
      <alignment horizontal="center"/>
    </xf>
    <xf numFmtId="2" fontId="9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vertical="top"/>
    </xf>
    <xf numFmtId="0" fontId="0" fillId="0" borderId="4" xfId="0" applyBorder="1" applyAlignment="1">
      <alignment horizontal="center"/>
    </xf>
    <xf numFmtId="0" fontId="9" fillId="0" borderId="4" xfId="3" applyNumberFormat="1" applyFont="1" applyBorder="1" applyAlignment="1">
      <alignment horizontal="center" vertical="top"/>
    </xf>
    <xf numFmtId="2" fontId="11" fillId="0" borderId="4" xfId="0" applyNumberFormat="1" applyFont="1" applyBorder="1"/>
    <xf numFmtId="0" fontId="1" fillId="0" borderId="4" xfId="0" applyFont="1" applyBorder="1" applyAlignment="1">
      <alignment horizontal="right" vertical="center"/>
    </xf>
    <xf numFmtId="0" fontId="7" fillId="3" borderId="5" xfId="2" applyFont="1" applyFill="1" applyBorder="1" applyAlignment="1">
      <alignment wrapText="1"/>
    </xf>
    <xf numFmtId="0" fontId="1" fillId="3" borderId="5" xfId="2" applyFill="1" applyBorder="1"/>
    <xf numFmtId="0" fontId="7" fillId="3" borderId="5" xfId="2" applyFont="1" applyFill="1" applyBorder="1" applyAlignment="1">
      <alignment horizontal="left"/>
    </xf>
    <xf numFmtId="0" fontId="1" fillId="3" borderId="5" xfId="2" applyFill="1" applyBorder="1" applyAlignment="1">
      <alignment wrapText="1"/>
    </xf>
    <xf numFmtId="0" fontId="1" fillId="3" borderId="5" xfId="2" applyFill="1" applyBorder="1" applyAlignment="1">
      <alignment horizontal="right"/>
    </xf>
    <xf numFmtId="165" fontId="0" fillId="0" borderId="4" xfId="1" applyBorder="1" applyAlignment="1">
      <alignment horizontal="left"/>
    </xf>
    <xf numFmtId="0" fontId="9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165" fontId="1" fillId="0" borderId="6" xfId="1" applyFont="1" applyFill="1" applyBorder="1" applyAlignment="1">
      <alignment horizontal="left"/>
    </xf>
    <xf numFmtId="0" fontId="14" fillId="0" borderId="2" xfId="0" applyFont="1" applyBorder="1" applyAlignment="1">
      <alignment vertical="top"/>
    </xf>
    <xf numFmtId="0" fontId="0" fillId="0" borderId="2" xfId="0" applyBorder="1" applyAlignment="1">
      <alignment horizontal="left"/>
    </xf>
    <xf numFmtId="0" fontId="15" fillId="0" borderId="4" xfId="2" applyFont="1" applyBorder="1" applyAlignment="1">
      <alignment horizontal="left" vertical="center"/>
    </xf>
    <xf numFmtId="0" fontId="9" fillId="0" borderId="2" xfId="0" applyFont="1" applyBorder="1" applyAlignment="1">
      <alignment vertical="top"/>
    </xf>
    <xf numFmtId="0" fontId="15" fillId="0" borderId="4" xfId="2" applyFont="1" applyBorder="1" applyAlignment="1">
      <alignment vertical="center"/>
    </xf>
    <xf numFmtId="0" fontId="9" fillId="0" borderId="2" xfId="0" applyFont="1" applyBorder="1" applyAlignment="1">
      <alignment horizontal="left" vertical="top"/>
    </xf>
    <xf numFmtId="2" fontId="11" fillId="0" borderId="3" xfId="0" applyNumberFormat="1" applyFont="1" applyBorder="1" applyAlignment="1">
      <alignment horizontal="center"/>
    </xf>
    <xf numFmtId="0" fontId="15" fillId="0" borderId="7" xfId="2" applyFont="1" applyBorder="1" applyAlignment="1">
      <alignment vertical="center" wrapText="1"/>
    </xf>
    <xf numFmtId="0" fontId="16" fillId="0" borderId="7" xfId="2" applyFont="1" applyBorder="1" applyAlignment="1">
      <alignment horizontal="left" vertical="center"/>
    </xf>
    <xf numFmtId="0" fontId="15" fillId="0" borderId="7" xfId="2" applyFont="1" applyBorder="1" applyAlignment="1">
      <alignment vertical="center"/>
    </xf>
    <xf numFmtId="0" fontId="15" fillId="0" borderId="7" xfId="2" applyFont="1" applyBorder="1" applyAlignment="1">
      <alignment horizontal="left" vertical="center"/>
    </xf>
    <xf numFmtId="3" fontId="15" fillId="0" borderId="7" xfId="2" applyNumberFormat="1" applyFont="1" applyBorder="1" applyAlignment="1">
      <alignment vertical="center"/>
    </xf>
    <xf numFmtId="165" fontId="9" fillId="0" borderId="4" xfId="1" applyFont="1" applyFill="1" applyBorder="1" applyAlignment="1">
      <alignment horizontal="left"/>
    </xf>
    <xf numFmtId="4" fontId="9" fillId="0" borderId="4" xfId="0" applyNumberFormat="1" applyFont="1" applyBorder="1" applyAlignment="1">
      <alignment vertical="top"/>
    </xf>
    <xf numFmtId="165" fontId="17" fillId="0" borderId="4" xfId="1" applyFont="1" applyBorder="1" applyAlignment="1">
      <alignment horizontal="left"/>
    </xf>
    <xf numFmtId="3" fontId="13" fillId="0" borderId="4" xfId="2" applyNumberFormat="1" applyFont="1" applyBorder="1"/>
    <xf numFmtId="0" fontId="0" fillId="0" borderId="3" xfId="0" applyBorder="1" applyAlignment="1">
      <alignment horizontal="center"/>
    </xf>
    <xf numFmtId="0" fontId="1" fillId="3" borderId="4" xfId="2" applyFill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0" fontId="14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top"/>
    </xf>
    <xf numFmtId="2" fontId="14" fillId="0" borderId="3" xfId="0" applyNumberFormat="1" applyFont="1" applyBorder="1" applyAlignment="1">
      <alignment horizontal="center" vertical="top"/>
    </xf>
    <xf numFmtId="0" fontId="18" fillId="0" borderId="0" xfId="2" applyFont="1"/>
    <xf numFmtId="0" fontId="19" fillId="0" borderId="8" xfId="0" applyFont="1" applyBorder="1"/>
    <xf numFmtId="0" fontId="18" fillId="0" borderId="0" xfId="2" applyFont="1" applyAlignment="1">
      <alignment horizontal="left"/>
    </xf>
    <xf numFmtId="0" fontId="20" fillId="0" borderId="0" xfId="2" applyFont="1" applyAlignment="1">
      <alignment vertical="center" wrapText="1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right" vertical="center"/>
    </xf>
    <xf numFmtId="3" fontId="15" fillId="0" borderId="0" xfId="2" applyNumberFormat="1" applyFont="1" applyAlignment="1">
      <alignment vertical="center"/>
    </xf>
    <xf numFmtId="0" fontId="21" fillId="0" borderId="0" xfId="2" applyFont="1" applyAlignment="1">
      <alignment wrapText="1"/>
    </xf>
    <xf numFmtId="0" fontId="21" fillId="0" borderId="0" xfId="2" applyFont="1" applyAlignment="1">
      <alignment horizontal="left"/>
    </xf>
    <xf numFmtId="3" fontId="7" fillId="3" borderId="0" xfId="2" applyNumberFormat="1" applyFont="1" applyFill="1" applyAlignment="1">
      <alignment horizontal="right"/>
    </xf>
    <xf numFmtId="0" fontId="1" fillId="3" borderId="0" xfId="2" applyFill="1" applyAlignment="1">
      <alignment wrapText="1"/>
    </xf>
    <xf numFmtId="0" fontId="1" fillId="3" borderId="0" xfId="2" applyFill="1" applyAlignment="1">
      <alignment horizontal="left"/>
    </xf>
    <xf numFmtId="3" fontId="7" fillId="3" borderId="0" xfId="2" applyNumberFormat="1" applyFont="1" applyFill="1"/>
    <xf numFmtId="0" fontId="7" fillId="3" borderId="0" xfId="2" applyFont="1" applyFill="1"/>
    <xf numFmtId="0" fontId="1" fillId="3" borderId="4" xfId="2" applyFill="1" applyBorder="1" applyAlignment="1">
      <alignment horizontal="right"/>
    </xf>
    <xf numFmtId="9" fontId="1" fillId="3" borderId="4" xfId="2" applyNumberFormat="1" applyFill="1" applyBorder="1" applyAlignment="1">
      <alignment wrapText="1"/>
    </xf>
    <xf numFmtId="4" fontId="0" fillId="0" borderId="0" xfId="0" applyNumberFormat="1" applyAlignment="1">
      <alignment horizontal="right"/>
    </xf>
    <xf numFmtId="9" fontId="1" fillId="3" borderId="4" xfId="2" applyNumberFormat="1" applyFill="1" applyBorder="1"/>
    <xf numFmtId="0" fontId="1" fillId="0" borderId="0" xfId="2" applyAlignment="1">
      <alignment horizontal="right"/>
    </xf>
    <xf numFmtId="0" fontId="7" fillId="3" borderId="4" xfId="2" applyFont="1" applyFill="1" applyBorder="1" applyAlignment="1">
      <alignment horizontal="right"/>
    </xf>
    <xf numFmtId="4" fontId="1" fillId="3" borderId="4" xfId="2" applyNumberFormat="1" applyFill="1" applyBorder="1" applyAlignment="1">
      <alignment horizontal="right"/>
    </xf>
  </cellXfs>
  <cellStyles count="4">
    <cellStyle name="Comma" xfId="1" builtinId="3"/>
    <cellStyle name="Excel Built-in Comma" xfId="3" xr:uid="{00000000-0005-0000-0000-000032000000}"/>
    <cellStyle name="Excel Built-in Normal 1" xfId="2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54315</xdr:colOff>
      <xdr:row>2</xdr:row>
      <xdr:rowOff>0</xdr:rowOff>
    </xdr:from>
    <xdr:ext cx="365" cy="186446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664950" y="381000"/>
          <a:ext cx="635" cy="186055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x-none" sz="1200" b="0" i="0" u="none" strike="noStrike" kern="1200" cap="none" spc="0" baseline="0">
            <a:solidFill>
              <a:srgbClr val="000000"/>
            </a:solidFill>
            <a:uFillTx/>
            <a:latin typeface="Calibri" panose="020F0502020204030204"/>
          </a:endParaRPr>
        </a:p>
      </xdr:txBody>
    </xdr:sp>
    <xdr:clientData/>
  </xdr:oneCellAnchor>
  <xdr:oneCellAnchor>
    <xdr:from>
      <xdr:col>7</xdr:col>
      <xdr:colOff>54315</xdr:colOff>
      <xdr:row>65</xdr:row>
      <xdr:rowOff>135331</xdr:rowOff>
    </xdr:from>
    <xdr:ext cx="365" cy="206654"/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64950" y="16089630"/>
          <a:ext cx="635" cy="206375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x-none" sz="1200" b="0" i="0" u="none" strike="noStrike" kern="1200" cap="none" spc="0" baseline="0">
            <a:solidFill>
              <a:srgbClr val="000000"/>
            </a:solidFill>
            <a:uFillTx/>
            <a:latin typeface="Calibri" panose="020F050202020403020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>
      <selection activeCell="B2" sqref="B2:B4"/>
    </sheetView>
  </sheetViews>
  <sheetFormatPr defaultColWidth="9" defaultRowHeight="14.4"/>
  <cols>
    <col min="1" max="1" width="35.33203125" customWidth="1"/>
    <col min="2" max="2" width="16.88671875" customWidth="1"/>
    <col min="3" max="3" width="12.44140625" customWidth="1"/>
    <col min="4" max="4" width="49" customWidth="1"/>
    <col min="5" max="5" width="23.88671875" customWidth="1"/>
    <col min="6" max="6" width="21.44140625" customWidth="1"/>
    <col min="7" max="7" width="20.8867187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5.6">
      <c r="A2" s="61" t="s">
        <v>0</v>
      </c>
      <c r="B2" s="61"/>
      <c r="C2" s="62"/>
      <c r="D2" s="63"/>
      <c r="E2" s="63"/>
      <c r="F2" s="64"/>
      <c r="G2" s="63"/>
    </row>
    <row r="3" spans="1:7" ht="15.6">
      <c r="A3" s="61" t="s">
        <v>1</v>
      </c>
      <c r="B3" s="61"/>
      <c r="C3" s="65"/>
      <c r="D3" s="66"/>
      <c r="E3" s="63"/>
      <c r="F3" s="67"/>
      <c r="G3" s="63"/>
    </row>
    <row r="4" spans="1:7" ht="15.6">
      <c r="A4" s="61" t="s">
        <v>2</v>
      </c>
      <c r="B4" s="61"/>
      <c r="C4" s="65"/>
      <c r="D4" s="66"/>
      <c r="E4" s="63"/>
      <c r="F4" s="67"/>
      <c r="G4" s="63"/>
    </row>
    <row r="5" spans="1:7" ht="100.8">
      <c r="A5" s="68" t="s">
        <v>3</v>
      </c>
      <c r="B5" s="68" t="s">
        <v>4</v>
      </c>
      <c r="C5" s="69" t="s">
        <v>5</v>
      </c>
      <c r="D5" s="68" t="s">
        <v>6</v>
      </c>
      <c r="E5" s="68" t="s">
        <v>7</v>
      </c>
      <c r="F5" s="70" t="s">
        <v>8</v>
      </c>
      <c r="G5" s="68" t="s">
        <v>9</v>
      </c>
    </row>
    <row r="6" spans="1:7">
      <c r="A6" s="71"/>
      <c r="B6" s="72"/>
      <c r="C6" s="69" t="s">
        <v>10</v>
      </c>
      <c r="D6" s="72"/>
      <c r="E6" s="73"/>
      <c r="F6" s="74"/>
      <c r="G6" s="75"/>
    </row>
    <row r="7" spans="1:7" ht="15.6">
      <c r="A7" s="36"/>
      <c r="B7" s="36"/>
      <c r="C7" s="36"/>
      <c r="D7" s="43"/>
      <c r="E7" s="36"/>
      <c r="F7" s="46"/>
      <c r="G7" s="51"/>
    </row>
    <row r="8" spans="1:7" ht="15.6">
      <c r="A8" s="36"/>
      <c r="B8" s="36"/>
      <c r="C8" s="36"/>
      <c r="D8" s="43"/>
      <c r="E8" s="36"/>
      <c r="F8" s="46"/>
      <c r="G8" s="51"/>
    </row>
    <row r="9" spans="1:7" ht="15.6">
      <c r="A9" s="43"/>
      <c r="B9" s="43"/>
      <c r="C9" s="36"/>
      <c r="D9" s="36"/>
      <c r="E9" s="36"/>
      <c r="F9" s="46"/>
      <c r="G9" s="76"/>
    </row>
    <row r="10" spans="1:7" ht="15.6">
      <c r="A10" s="43"/>
      <c r="B10" s="43"/>
      <c r="C10" s="36"/>
      <c r="D10" s="36"/>
      <c r="E10" s="36"/>
      <c r="F10" s="46"/>
      <c r="G10" s="76"/>
    </row>
    <row r="11" spans="1:7" ht="15.6">
      <c r="A11" s="36"/>
      <c r="B11" s="43"/>
      <c r="C11" s="36"/>
      <c r="D11" s="43"/>
      <c r="E11" s="36"/>
      <c r="F11" s="46"/>
      <c r="G11" s="51"/>
    </row>
    <row r="12" spans="1:7" ht="15.6">
      <c r="A12" s="36"/>
      <c r="B12" s="43"/>
      <c r="C12" s="36"/>
      <c r="D12" s="43"/>
      <c r="E12" s="36"/>
      <c r="F12" s="46"/>
      <c r="G12" s="51"/>
    </row>
    <row r="13" spans="1:7" ht="15.6">
      <c r="A13" s="36"/>
      <c r="B13" s="43"/>
      <c r="C13" s="36"/>
      <c r="D13" s="43"/>
      <c r="E13" s="36"/>
      <c r="F13" s="46"/>
      <c r="G13" s="51"/>
    </row>
    <row r="14" spans="1:7" ht="15.6">
      <c r="A14" s="43"/>
      <c r="B14" s="31"/>
      <c r="C14" s="77"/>
      <c r="D14" s="43"/>
      <c r="E14" s="73"/>
      <c r="F14" s="78"/>
      <c r="G14" s="79"/>
    </row>
    <row r="15" spans="1:7" ht="15.6">
      <c r="A15" s="36"/>
      <c r="B15" s="36"/>
      <c r="C15" s="77"/>
      <c r="D15" s="36"/>
      <c r="E15" s="73"/>
      <c r="F15" s="36"/>
      <c r="G15" s="80"/>
    </row>
    <row r="16" spans="1:7" ht="15.6">
      <c r="A16" s="43"/>
      <c r="B16" s="31"/>
      <c r="C16" s="77"/>
      <c r="D16" s="43"/>
      <c r="E16" s="73"/>
      <c r="F16" s="81"/>
      <c r="G16" s="79"/>
    </row>
    <row r="17" spans="1:7" ht="15.6">
      <c r="A17" s="82" t="s">
        <v>11</v>
      </c>
      <c r="B17" s="83"/>
      <c r="C17" s="77"/>
      <c r="D17" s="43"/>
      <c r="E17" s="73"/>
      <c r="F17" s="84"/>
      <c r="G17" s="85">
        <f>SUM(G7:G16)</f>
        <v>0</v>
      </c>
    </row>
    <row r="18" spans="1:7" ht="15.6">
      <c r="A18" s="43"/>
      <c r="B18" s="55"/>
      <c r="C18" s="77"/>
      <c r="D18" s="43"/>
      <c r="E18" s="73"/>
      <c r="F18" s="86"/>
      <c r="G18" s="83"/>
    </row>
    <row r="19" spans="1:7">
      <c r="A19" s="87"/>
      <c r="B19" s="88"/>
      <c r="C19" s="89" t="s">
        <v>12</v>
      </c>
      <c r="D19" s="88"/>
      <c r="E19" s="90"/>
      <c r="F19" s="91"/>
      <c r="G19" s="88"/>
    </row>
    <row r="20" spans="1:7" ht="15.6">
      <c r="A20" s="36" t="s">
        <v>13</v>
      </c>
      <c r="B20" s="36" t="s">
        <v>14</v>
      </c>
      <c r="C20" s="43" t="s">
        <v>15</v>
      </c>
      <c r="D20" s="43" t="s">
        <v>16</v>
      </c>
      <c r="E20" s="43" t="s">
        <v>17</v>
      </c>
      <c r="F20" s="46">
        <v>134794</v>
      </c>
      <c r="G20" s="92">
        <v>23000</v>
      </c>
    </row>
    <row r="21" spans="1:7" ht="15.6">
      <c r="A21" s="36" t="s">
        <v>18</v>
      </c>
      <c r="B21" s="36" t="s">
        <v>19</v>
      </c>
      <c r="C21" s="36" t="s">
        <v>20</v>
      </c>
      <c r="D21" s="43" t="s">
        <v>21</v>
      </c>
      <c r="E21" s="36" t="s">
        <v>17</v>
      </c>
      <c r="F21" s="46">
        <v>134956</v>
      </c>
      <c r="G21" s="39">
        <v>66500</v>
      </c>
    </row>
    <row r="22" spans="1:7" ht="15.6">
      <c r="A22" s="36" t="s">
        <v>22</v>
      </c>
      <c r="B22" s="36" t="s">
        <v>23</v>
      </c>
      <c r="C22" s="43" t="s">
        <v>24</v>
      </c>
      <c r="D22" s="43" t="s">
        <v>25</v>
      </c>
      <c r="E22" s="36" t="s">
        <v>17</v>
      </c>
      <c r="F22" s="36">
        <v>134960</v>
      </c>
      <c r="G22" s="33">
        <v>23800</v>
      </c>
    </row>
    <row r="23" spans="1:7" ht="15.6">
      <c r="A23" s="36" t="s">
        <v>26</v>
      </c>
      <c r="B23" s="36" t="s">
        <v>23</v>
      </c>
      <c r="C23" s="43" t="s">
        <v>24</v>
      </c>
      <c r="D23" s="43" t="s">
        <v>27</v>
      </c>
      <c r="E23" s="36" t="s">
        <v>17</v>
      </c>
      <c r="F23" s="36">
        <v>134961</v>
      </c>
      <c r="G23" s="33">
        <v>25800</v>
      </c>
    </row>
    <row r="24" spans="1:7" ht="15.6">
      <c r="A24" s="36" t="s">
        <v>26</v>
      </c>
      <c r="B24" s="36" t="s">
        <v>23</v>
      </c>
      <c r="C24" s="43" t="s">
        <v>24</v>
      </c>
      <c r="D24" s="43" t="s">
        <v>28</v>
      </c>
      <c r="E24" s="36" t="s">
        <v>17</v>
      </c>
      <c r="F24" s="36">
        <v>134962</v>
      </c>
      <c r="G24" s="33">
        <v>8500</v>
      </c>
    </row>
    <row r="25" spans="1:7" ht="15.6">
      <c r="A25" s="36" t="s">
        <v>26</v>
      </c>
      <c r="B25" s="36" t="s">
        <v>23</v>
      </c>
      <c r="C25" s="43" t="s">
        <v>24</v>
      </c>
      <c r="D25" s="43" t="s">
        <v>25</v>
      </c>
      <c r="E25" s="36" t="s">
        <v>17</v>
      </c>
      <c r="F25" s="36">
        <v>134792</v>
      </c>
      <c r="G25" s="33">
        <v>21500</v>
      </c>
    </row>
    <row r="26" spans="1:7" ht="15.6">
      <c r="A26" s="43" t="s">
        <v>29</v>
      </c>
      <c r="B26" s="43" t="s">
        <v>30</v>
      </c>
      <c r="C26" s="36" t="s">
        <v>20</v>
      </c>
      <c r="D26" s="43" t="s">
        <v>31</v>
      </c>
      <c r="E26" s="36" t="s">
        <v>17</v>
      </c>
      <c r="F26" s="36" t="s">
        <v>32</v>
      </c>
      <c r="G26" s="92">
        <v>99450</v>
      </c>
    </row>
    <row r="27" spans="1:7" ht="15.6">
      <c r="A27" s="43" t="s">
        <v>29</v>
      </c>
      <c r="B27" s="43" t="s">
        <v>30</v>
      </c>
      <c r="C27" s="36" t="s">
        <v>20</v>
      </c>
      <c r="D27" s="43" t="s">
        <v>31</v>
      </c>
      <c r="E27" s="36" t="s">
        <v>17</v>
      </c>
      <c r="F27" s="36" t="s">
        <v>32</v>
      </c>
      <c r="G27" s="92">
        <v>49600</v>
      </c>
    </row>
    <row r="28" spans="1:7" ht="15.6">
      <c r="A28" s="43" t="s">
        <v>29</v>
      </c>
      <c r="B28" s="43" t="s">
        <v>30</v>
      </c>
      <c r="C28" s="36" t="s">
        <v>20</v>
      </c>
      <c r="D28" s="43" t="s">
        <v>31</v>
      </c>
      <c r="E28" s="36" t="s">
        <v>17</v>
      </c>
      <c r="F28" s="36" t="s">
        <v>32</v>
      </c>
      <c r="G28" s="51">
        <v>94600</v>
      </c>
    </row>
    <row r="29" spans="1:7" ht="15.6">
      <c r="A29" s="93" t="s">
        <v>33</v>
      </c>
      <c r="B29" s="94" t="s">
        <v>34</v>
      </c>
      <c r="C29" s="93" t="s">
        <v>35</v>
      </c>
      <c r="D29" s="95" t="s">
        <v>36</v>
      </c>
      <c r="E29" s="43" t="s">
        <v>17</v>
      </c>
      <c r="F29" s="36" t="s">
        <v>32</v>
      </c>
      <c r="G29" s="51">
        <v>6400</v>
      </c>
    </row>
    <row r="30" spans="1:7" ht="15.6">
      <c r="A30" s="93" t="s">
        <v>33</v>
      </c>
      <c r="B30" s="94" t="s">
        <v>34</v>
      </c>
      <c r="C30" s="93" t="s">
        <v>35</v>
      </c>
      <c r="D30" s="95" t="s">
        <v>36</v>
      </c>
      <c r="E30" s="43" t="s">
        <v>17</v>
      </c>
      <c r="F30" s="36" t="s">
        <v>32</v>
      </c>
      <c r="G30" s="51">
        <v>6400</v>
      </c>
    </row>
    <row r="31" spans="1:7" ht="15.6">
      <c r="A31" s="93" t="s">
        <v>33</v>
      </c>
      <c r="B31" s="94" t="s">
        <v>34</v>
      </c>
      <c r="C31" s="93" t="s">
        <v>35</v>
      </c>
      <c r="D31" s="95" t="s">
        <v>36</v>
      </c>
      <c r="E31" s="43" t="s">
        <v>17</v>
      </c>
      <c r="F31" s="36" t="s">
        <v>32</v>
      </c>
      <c r="G31" s="51">
        <v>6400</v>
      </c>
    </row>
    <row r="32" spans="1:7" ht="15.6">
      <c r="A32" s="93" t="s">
        <v>33</v>
      </c>
      <c r="B32" s="94" t="s">
        <v>34</v>
      </c>
      <c r="C32" s="93" t="s">
        <v>35</v>
      </c>
      <c r="D32" s="95" t="s">
        <v>36</v>
      </c>
      <c r="E32" s="43" t="s">
        <v>17</v>
      </c>
      <c r="F32" s="36" t="s">
        <v>32</v>
      </c>
      <c r="G32" s="51">
        <v>6400</v>
      </c>
    </row>
    <row r="33" spans="1:7" ht="15.6">
      <c r="A33" s="93" t="s">
        <v>37</v>
      </c>
      <c r="B33" s="94" t="s">
        <v>38</v>
      </c>
      <c r="C33" s="93" t="s">
        <v>39</v>
      </c>
      <c r="D33" s="95" t="s">
        <v>40</v>
      </c>
      <c r="E33" s="43" t="s">
        <v>17</v>
      </c>
      <c r="F33" s="93" t="s">
        <v>32</v>
      </c>
      <c r="G33" s="96">
        <v>36100</v>
      </c>
    </row>
    <row r="34" spans="1:7" ht="15.6">
      <c r="A34" s="93" t="s">
        <v>37</v>
      </c>
      <c r="B34" s="94" t="s">
        <v>38</v>
      </c>
      <c r="C34" s="93" t="s">
        <v>39</v>
      </c>
      <c r="D34" s="95" t="s">
        <v>40</v>
      </c>
      <c r="E34" s="43" t="s">
        <v>17</v>
      </c>
      <c r="F34" s="93" t="s">
        <v>32</v>
      </c>
      <c r="G34" s="96">
        <v>36100</v>
      </c>
    </row>
    <row r="35" spans="1:7" ht="15.6">
      <c r="A35" s="93"/>
      <c r="B35" s="94"/>
      <c r="C35" s="93"/>
      <c r="D35" s="95"/>
      <c r="E35" s="94"/>
      <c r="F35" s="93"/>
      <c r="G35" s="96"/>
    </row>
    <row r="36" spans="1:7" ht="15.6">
      <c r="A36" s="93"/>
      <c r="B36" s="94"/>
      <c r="C36" s="93"/>
      <c r="D36" s="95"/>
      <c r="E36" s="94"/>
      <c r="F36" s="93"/>
      <c r="G36" s="96"/>
    </row>
    <row r="37" spans="1:7" ht="15.6">
      <c r="A37" s="43"/>
      <c r="B37" s="43"/>
      <c r="C37" s="36"/>
      <c r="D37" s="43"/>
      <c r="E37" s="43"/>
      <c r="F37" s="36"/>
      <c r="G37" s="51"/>
    </row>
    <row r="38" spans="1:7" ht="16.2">
      <c r="A38" s="97" t="s">
        <v>11</v>
      </c>
      <c r="B38" s="98"/>
      <c r="C38" s="99"/>
      <c r="D38" s="100"/>
      <c r="E38" s="101"/>
      <c r="F38" s="102"/>
      <c r="G38" s="103">
        <f>SUM(G20:G37)</f>
        <v>510550</v>
      </c>
    </row>
    <row r="39" spans="1:7" ht="16.2">
      <c r="A39" s="104"/>
      <c r="B39" s="36"/>
      <c r="C39" s="105" t="s">
        <v>41</v>
      </c>
      <c r="D39" s="106"/>
      <c r="E39" s="106"/>
      <c r="F39" s="107"/>
      <c r="G39" s="108"/>
    </row>
    <row r="40" spans="1:7" ht="15.6">
      <c r="A40" s="36" t="s">
        <v>42</v>
      </c>
      <c r="B40" s="36" t="s">
        <v>43</v>
      </c>
      <c r="C40" s="36" t="s">
        <v>20</v>
      </c>
      <c r="D40" s="43" t="s">
        <v>44</v>
      </c>
      <c r="E40" s="36" t="s">
        <v>17</v>
      </c>
      <c r="F40" s="36">
        <v>134796</v>
      </c>
      <c r="G40" s="109">
        <v>73140</v>
      </c>
    </row>
    <row r="41" spans="1:7" ht="15.6">
      <c r="A41" s="43" t="s">
        <v>45</v>
      </c>
      <c r="B41" s="43" t="s">
        <v>46</v>
      </c>
      <c r="C41" s="36" t="s">
        <v>24</v>
      </c>
      <c r="D41" s="36" t="s">
        <v>47</v>
      </c>
      <c r="E41" s="36" t="s">
        <v>17</v>
      </c>
      <c r="F41" s="36">
        <v>134800</v>
      </c>
      <c r="G41" s="110">
        <v>109200</v>
      </c>
    </row>
    <row r="42" spans="1:7" ht="15.6">
      <c r="A42" s="43" t="s">
        <v>45</v>
      </c>
      <c r="B42" s="43" t="s">
        <v>46</v>
      </c>
      <c r="C42" s="36" t="s">
        <v>24</v>
      </c>
      <c r="D42" s="43" t="s">
        <v>48</v>
      </c>
      <c r="E42" s="36" t="s">
        <v>17</v>
      </c>
      <c r="F42" s="46">
        <v>134951</v>
      </c>
      <c r="G42" s="111">
        <v>65000</v>
      </c>
    </row>
    <row r="43" spans="1:7" ht="15.6">
      <c r="A43" s="36" t="s">
        <v>49</v>
      </c>
      <c r="B43" s="36" t="s">
        <v>50</v>
      </c>
      <c r="C43" s="36" t="s">
        <v>20</v>
      </c>
      <c r="D43" s="43" t="s">
        <v>21</v>
      </c>
      <c r="E43" s="36" t="s">
        <v>17</v>
      </c>
      <c r="F43" s="36">
        <v>134952</v>
      </c>
      <c r="G43" s="39">
        <v>191540</v>
      </c>
    </row>
    <row r="44" spans="1:7" ht="15.6">
      <c r="A44" s="36" t="s">
        <v>49</v>
      </c>
      <c r="B44" s="36" t="s">
        <v>50</v>
      </c>
      <c r="C44" s="36" t="s">
        <v>20</v>
      </c>
      <c r="D44" s="43" t="s">
        <v>21</v>
      </c>
      <c r="E44" s="36" t="s">
        <v>17</v>
      </c>
      <c r="F44" s="36">
        <v>134953</v>
      </c>
      <c r="G44" s="39">
        <v>42600</v>
      </c>
    </row>
    <row r="45" spans="1:7" ht="18">
      <c r="A45" s="36" t="s">
        <v>49</v>
      </c>
      <c r="B45" s="36" t="s">
        <v>50</v>
      </c>
      <c r="C45" s="36" t="s">
        <v>20</v>
      </c>
      <c r="D45" s="43" t="s">
        <v>21</v>
      </c>
      <c r="E45" s="36" t="s">
        <v>17</v>
      </c>
      <c r="F45" s="18">
        <v>134964</v>
      </c>
      <c r="G45" s="33">
        <v>9000</v>
      </c>
    </row>
    <row r="46" spans="1:7" ht="15.6">
      <c r="A46" t="s">
        <v>45</v>
      </c>
      <c r="B46" s="36" t="s">
        <v>51</v>
      </c>
      <c r="C46" s="36" t="s">
        <v>39</v>
      </c>
      <c r="D46" s="43" t="s">
        <v>52</v>
      </c>
      <c r="E46" s="36" t="s">
        <v>17</v>
      </c>
      <c r="F46" s="46" t="s">
        <v>32</v>
      </c>
      <c r="G46" s="109">
        <v>143900</v>
      </c>
    </row>
    <row r="47" spans="1:7" ht="15.6">
      <c r="A47" s="47"/>
      <c r="B47" s="43"/>
      <c r="C47" s="36"/>
      <c r="D47" s="43"/>
      <c r="E47" s="36"/>
      <c r="F47" s="46"/>
      <c r="G47" s="109"/>
    </row>
    <row r="48" spans="1:7" ht="15.6">
      <c r="A48" s="47"/>
      <c r="B48" s="43"/>
      <c r="C48" s="36"/>
      <c r="D48" s="43"/>
      <c r="E48" s="36"/>
      <c r="F48" s="46"/>
      <c r="G48" s="109"/>
    </row>
    <row r="49" spans="1:7" ht="15.6">
      <c r="A49" s="36"/>
      <c r="B49" s="43"/>
      <c r="C49" s="36"/>
      <c r="D49" s="43"/>
      <c r="E49" s="36"/>
      <c r="F49" s="46"/>
      <c r="G49" s="109"/>
    </row>
    <row r="50" spans="1:7" ht="15.6">
      <c r="A50" s="36"/>
      <c r="B50" s="43"/>
      <c r="C50" s="36"/>
      <c r="D50" s="43"/>
      <c r="E50" s="36"/>
      <c r="F50" s="46"/>
      <c r="G50" s="109"/>
    </row>
    <row r="51" spans="1:7" ht="15.6">
      <c r="A51" s="36"/>
      <c r="B51" s="43"/>
      <c r="C51" s="36"/>
      <c r="D51" s="43"/>
      <c r="E51" s="36"/>
      <c r="F51" s="46"/>
      <c r="G51" s="109"/>
    </row>
    <row r="52" spans="1:7" ht="15.6">
      <c r="A52" s="100"/>
      <c r="B52" s="36"/>
      <c r="C52" s="28"/>
      <c r="D52" s="100"/>
      <c r="E52" s="112"/>
      <c r="F52" s="102"/>
      <c r="G52" s="113"/>
    </row>
    <row r="53" spans="1:7" ht="15.6">
      <c r="A53" s="43"/>
      <c r="B53" s="31"/>
      <c r="C53" s="28"/>
      <c r="D53" s="43"/>
      <c r="E53" s="112"/>
      <c r="F53" s="36"/>
      <c r="G53" s="83"/>
    </row>
    <row r="54" spans="1:7" ht="15.6">
      <c r="A54" s="43"/>
      <c r="B54" s="31"/>
      <c r="C54" s="28"/>
      <c r="D54" s="43"/>
      <c r="E54" s="112"/>
      <c r="F54" s="81"/>
      <c r="G54" s="83"/>
    </row>
    <row r="55" spans="1:7" ht="16.2">
      <c r="A55" s="43"/>
      <c r="B55" s="31"/>
      <c r="C55" s="114"/>
      <c r="D55" s="43"/>
      <c r="E55" s="101"/>
      <c r="F55" s="81"/>
      <c r="G55" s="115"/>
    </row>
    <row r="56" spans="1:7" ht="16.2">
      <c r="A56" s="116" t="s">
        <v>11</v>
      </c>
      <c r="B56" s="102"/>
      <c r="C56" s="114"/>
      <c r="D56" s="102"/>
      <c r="E56" s="101"/>
      <c r="F56" s="117"/>
      <c r="G56" s="118">
        <f>SUM(G40:G55)</f>
        <v>634380</v>
      </c>
    </row>
    <row r="57" spans="1:7" ht="16.2">
      <c r="A57" s="119" t="s">
        <v>53</v>
      </c>
      <c r="B57" s="120"/>
      <c r="C57" s="121"/>
      <c r="D57" s="122"/>
      <c r="E57" s="123"/>
      <c r="F57" s="124"/>
      <c r="G57" s="125"/>
    </row>
    <row r="58" spans="1:7" ht="16.2">
      <c r="A58" s="119" t="s">
        <v>54</v>
      </c>
      <c r="B58" s="119"/>
      <c r="C58" s="121"/>
      <c r="D58" s="126"/>
      <c r="E58" s="123"/>
      <c r="F58" s="124"/>
      <c r="G58" s="125"/>
    </row>
    <row r="59" spans="1:7">
      <c r="A59" s="126"/>
      <c r="B59" s="119"/>
      <c r="C59" s="127"/>
      <c r="D59" s="119"/>
      <c r="E59" s="63"/>
      <c r="F59" s="64"/>
      <c r="G59" s="128"/>
    </row>
    <row r="60" spans="1:7" ht="15.6">
      <c r="A60" s="129"/>
      <c r="B60" s="61" t="s">
        <v>55</v>
      </c>
      <c r="C60" s="130"/>
      <c r="D60" s="63"/>
      <c r="E60" s="63"/>
      <c r="F60" s="64"/>
      <c r="G60" s="131"/>
    </row>
    <row r="61" spans="1:7" ht="43.2">
      <c r="A61" s="68" t="s">
        <v>56</v>
      </c>
      <c r="B61" s="132" t="s">
        <v>57</v>
      </c>
      <c r="C61" s="69" t="s">
        <v>58</v>
      </c>
      <c r="D61" s="68" t="s">
        <v>59</v>
      </c>
      <c r="E61" s="68" t="s">
        <v>60</v>
      </c>
      <c r="F61" s="64"/>
      <c r="G61" s="131"/>
    </row>
    <row r="62" spans="1:7">
      <c r="A62" s="72">
        <v>1</v>
      </c>
      <c r="B62" s="68" t="s">
        <v>10</v>
      </c>
      <c r="C62" s="133">
        <v>0</v>
      </c>
      <c r="D62" s="85">
        <v>0</v>
      </c>
      <c r="E62" s="134"/>
      <c r="F62" s="64"/>
      <c r="G62" s="131"/>
    </row>
    <row r="63" spans="1:7">
      <c r="A63" s="72">
        <v>2</v>
      </c>
      <c r="B63" s="73" t="s">
        <v>61</v>
      </c>
      <c r="C63" s="133">
        <v>15</v>
      </c>
      <c r="D63" s="135">
        <v>510550</v>
      </c>
      <c r="E63" s="136">
        <v>0.12</v>
      </c>
      <c r="F63" s="137"/>
      <c r="G63" s="1"/>
    </row>
    <row r="64" spans="1:7">
      <c r="A64" s="72">
        <v>3</v>
      </c>
      <c r="B64" s="73" t="s">
        <v>62</v>
      </c>
      <c r="C64" s="133">
        <v>7</v>
      </c>
      <c r="D64" s="135">
        <v>634380</v>
      </c>
      <c r="E64" s="136">
        <v>0.14000000000000001</v>
      </c>
      <c r="F64" s="137"/>
      <c r="G64" s="1"/>
    </row>
    <row r="65" spans="1:7">
      <c r="A65" s="72"/>
      <c r="B65" s="73" t="s">
        <v>63</v>
      </c>
      <c r="C65" s="138">
        <v>22</v>
      </c>
      <c r="D65" s="139">
        <f>SUM(D62:D64)</f>
        <v>1144930</v>
      </c>
      <c r="E65" s="136">
        <v>0.26</v>
      </c>
      <c r="F65" s="137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 t="s">
        <v>64</v>
      </c>
      <c r="B67" s="1"/>
      <c r="C67" s="1"/>
      <c r="D67" s="1" t="s">
        <v>65</v>
      </c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 t="s">
        <v>66</v>
      </c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175"/>
  <sheetViews>
    <sheetView tabSelected="1" topLeftCell="A131" workbookViewId="0">
      <selection activeCell="B142" sqref="B142"/>
    </sheetView>
  </sheetViews>
  <sheetFormatPr defaultColWidth="9" defaultRowHeight="14.4"/>
  <cols>
    <col min="1" max="1" width="14" customWidth="1"/>
    <col min="2" max="2" width="17.5546875" customWidth="1"/>
    <col min="3" max="3" width="18" customWidth="1"/>
    <col min="4" max="4" width="21" customWidth="1"/>
    <col min="5" max="5" width="54.44140625" customWidth="1"/>
    <col min="6" max="6" width="27.44140625" customWidth="1"/>
    <col min="7" max="7" width="21.6640625" customWidth="1"/>
    <col min="8" max="8" width="19.109375" customWidth="1"/>
  </cols>
  <sheetData>
    <row r="3" spans="1:9" ht="28.8">
      <c r="A3" s="1"/>
      <c r="B3" s="1"/>
      <c r="C3" s="1"/>
      <c r="D3" s="1"/>
      <c r="E3" s="2" t="s">
        <v>67</v>
      </c>
      <c r="F3" s="1"/>
      <c r="G3" s="1"/>
      <c r="H3" s="1"/>
      <c r="I3" s="1"/>
    </row>
    <row r="4" spans="1:9" ht="15.6">
      <c r="A4" s="1"/>
      <c r="B4" s="1"/>
      <c r="C4" s="1"/>
      <c r="D4" s="1"/>
      <c r="E4" s="1"/>
      <c r="F4" s="3" t="s">
        <v>68</v>
      </c>
      <c r="G4" s="1"/>
      <c r="H4" s="1"/>
      <c r="I4" s="1"/>
    </row>
    <row r="5" spans="1:9" ht="46.8">
      <c r="A5" s="3"/>
      <c r="B5" s="4"/>
      <c r="C5" s="4"/>
      <c r="D5" s="4" t="s">
        <v>69</v>
      </c>
      <c r="E5" s="5" t="s">
        <v>70</v>
      </c>
      <c r="G5" s="4"/>
      <c r="H5" s="6" t="s">
        <v>71</v>
      </c>
      <c r="I5" s="1"/>
    </row>
    <row r="6" spans="1:9" ht="15.6">
      <c r="A6" s="7"/>
      <c r="B6" s="8"/>
      <c r="C6" s="8"/>
      <c r="D6" s="8"/>
      <c r="E6" s="9"/>
      <c r="F6" s="10"/>
      <c r="G6" s="11"/>
      <c r="H6" s="12"/>
      <c r="I6" s="1"/>
    </row>
    <row r="7" spans="1:9" ht="31.2">
      <c r="A7" s="13" t="s">
        <v>72</v>
      </c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  <c r="G7" s="13" t="s">
        <v>78</v>
      </c>
      <c r="H7" s="13" t="s">
        <v>79</v>
      </c>
      <c r="I7" s="1"/>
    </row>
    <row r="8" spans="1:9" ht="18">
      <c r="A8" s="14">
        <v>45017</v>
      </c>
      <c r="B8" s="15">
        <v>14432</v>
      </c>
      <c r="C8" s="16">
        <v>134847</v>
      </c>
      <c r="D8" s="17" t="s">
        <v>80</v>
      </c>
      <c r="E8" s="18" t="s">
        <v>81</v>
      </c>
      <c r="F8" s="18" t="s">
        <v>82</v>
      </c>
      <c r="G8" s="19">
        <v>8100</v>
      </c>
      <c r="H8" s="20"/>
      <c r="I8" s="1"/>
    </row>
    <row r="9" spans="1:9" ht="18">
      <c r="A9" s="14">
        <v>45017</v>
      </c>
      <c r="B9" s="15">
        <v>14433</v>
      </c>
      <c r="C9" s="16">
        <v>134848</v>
      </c>
      <c r="D9" s="17" t="s">
        <v>83</v>
      </c>
      <c r="E9" s="18" t="s">
        <v>84</v>
      </c>
      <c r="F9" s="18" t="s">
        <v>82</v>
      </c>
      <c r="G9" s="19">
        <v>8100</v>
      </c>
      <c r="H9" s="20"/>
      <c r="I9" s="1"/>
    </row>
    <row r="10" spans="1:9" ht="18">
      <c r="A10" s="14">
        <v>44930</v>
      </c>
      <c r="B10" s="21">
        <v>14433</v>
      </c>
      <c r="C10" s="16">
        <v>134849</v>
      </c>
      <c r="D10" s="17" t="s">
        <v>83</v>
      </c>
      <c r="E10" s="18" t="s">
        <v>85</v>
      </c>
      <c r="F10" s="18" t="s">
        <v>82</v>
      </c>
      <c r="G10" s="19">
        <v>8100</v>
      </c>
      <c r="H10" s="22"/>
      <c r="I10" s="1"/>
    </row>
    <row r="11" spans="1:9" ht="18">
      <c r="A11" s="14">
        <v>45017</v>
      </c>
      <c r="B11" s="21">
        <v>14432</v>
      </c>
      <c r="C11" s="16">
        <v>134850</v>
      </c>
      <c r="D11" s="17" t="s">
        <v>83</v>
      </c>
      <c r="E11" s="18" t="s">
        <v>86</v>
      </c>
      <c r="F11" s="18" t="s">
        <v>82</v>
      </c>
      <c r="G11" s="19">
        <v>8100</v>
      </c>
      <c r="H11" s="23"/>
      <c r="I11" s="1"/>
    </row>
    <row r="12" spans="1:9" ht="18">
      <c r="A12" s="14">
        <v>45203</v>
      </c>
      <c r="B12" s="21">
        <v>13666</v>
      </c>
      <c r="C12" s="16">
        <v>134862</v>
      </c>
      <c r="D12" s="17" t="s">
        <v>87</v>
      </c>
      <c r="E12" s="18" t="s">
        <v>88</v>
      </c>
      <c r="F12" s="18" t="s">
        <v>82</v>
      </c>
      <c r="G12" s="19">
        <v>19440</v>
      </c>
      <c r="H12" s="23"/>
      <c r="I12" s="1"/>
    </row>
    <row r="13" spans="1:9" ht="18">
      <c r="A13" s="14">
        <v>45234</v>
      </c>
      <c r="B13" s="21">
        <v>13633</v>
      </c>
      <c r="C13" s="16">
        <v>134870</v>
      </c>
      <c r="D13" s="17" t="s">
        <v>89</v>
      </c>
      <c r="E13" s="18" t="s">
        <v>90</v>
      </c>
      <c r="F13" s="18" t="s">
        <v>82</v>
      </c>
      <c r="G13" s="19">
        <v>9862</v>
      </c>
      <c r="H13" s="23"/>
      <c r="I13" s="1"/>
    </row>
    <row r="14" spans="1:9" ht="18">
      <c r="A14" s="14">
        <v>45234</v>
      </c>
      <c r="B14" s="21">
        <v>13662</v>
      </c>
      <c r="C14" s="16">
        <v>134871</v>
      </c>
      <c r="D14" s="17" t="s">
        <v>87</v>
      </c>
      <c r="E14" s="18" t="s">
        <v>91</v>
      </c>
      <c r="F14" s="18" t="s">
        <v>82</v>
      </c>
      <c r="G14" s="19">
        <v>12960</v>
      </c>
      <c r="H14" s="23"/>
      <c r="I14" s="1"/>
    </row>
    <row r="15" spans="1:9" ht="18">
      <c r="A15" s="14">
        <v>45234</v>
      </c>
      <c r="B15" s="21">
        <v>13661</v>
      </c>
      <c r="C15" s="16">
        <v>134872</v>
      </c>
      <c r="D15" s="17" t="s">
        <v>87</v>
      </c>
      <c r="E15" s="18" t="s">
        <v>92</v>
      </c>
      <c r="F15" s="18" t="s">
        <v>82</v>
      </c>
      <c r="G15" s="19">
        <v>19440</v>
      </c>
      <c r="H15" s="23"/>
      <c r="I15" s="1"/>
    </row>
    <row r="16" spans="1:9" ht="18">
      <c r="A16" s="14" t="s">
        <v>93</v>
      </c>
      <c r="B16" s="21">
        <v>13665</v>
      </c>
      <c r="C16" s="16">
        <v>134873</v>
      </c>
      <c r="D16" s="17" t="s">
        <v>87</v>
      </c>
      <c r="E16" s="18" t="s">
        <v>94</v>
      </c>
      <c r="F16" s="18" t="s">
        <v>82</v>
      </c>
      <c r="G16" s="19">
        <v>9861</v>
      </c>
      <c r="H16" s="23"/>
      <c r="I16" s="1"/>
    </row>
    <row r="17" spans="1:9" ht="18">
      <c r="A17" s="14" t="s">
        <v>95</v>
      </c>
      <c r="B17" s="21">
        <v>13667</v>
      </c>
      <c r="C17" s="16">
        <v>134874</v>
      </c>
      <c r="D17" s="17" t="s">
        <v>89</v>
      </c>
      <c r="E17" s="18" t="s">
        <v>91</v>
      </c>
      <c r="F17" s="18" t="s">
        <v>82</v>
      </c>
      <c r="G17" s="19">
        <v>12960</v>
      </c>
      <c r="H17" s="23"/>
      <c r="I17" s="1"/>
    </row>
    <row r="18" spans="1:9" ht="18">
      <c r="A18" s="14" t="s">
        <v>95</v>
      </c>
      <c r="B18" s="21">
        <v>13666</v>
      </c>
      <c r="C18" s="16">
        <v>134875</v>
      </c>
      <c r="D18" s="17" t="s">
        <v>89</v>
      </c>
      <c r="E18" s="18" t="s">
        <v>88</v>
      </c>
      <c r="F18" s="18" t="s">
        <v>82</v>
      </c>
      <c r="G18" s="19">
        <v>19440</v>
      </c>
      <c r="H18" s="23"/>
      <c r="I18" s="1"/>
    </row>
    <row r="19" spans="1:9" ht="18">
      <c r="A19" s="14">
        <v>44962</v>
      </c>
      <c r="B19" s="21">
        <v>13675</v>
      </c>
      <c r="C19" s="16">
        <v>134876</v>
      </c>
      <c r="D19" s="17" t="s">
        <v>87</v>
      </c>
      <c r="E19" s="18" t="s">
        <v>96</v>
      </c>
      <c r="F19" s="18" t="s">
        <v>82</v>
      </c>
      <c r="G19" s="19">
        <v>12960</v>
      </c>
      <c r="H19" s="23"/>
      <c r="I19" s="1"/>
    </row>
    <row r="20" spans="1:9" ht="18">
      <c r="A20" s="14">
        <v>44931</v>
      </c>
      <c r="B20" s="21">
        <v>13669</v>
      </c>
      <c r="C20" s="16">
        <v>134877</v>
      </c>
      <c r="D20" s="17" t="s">
        <v>87</v>
      </c>
      <c r="E20" s="18" t="s">
        <v>88</v>
      </c>
      <c r="F20" s="18" t="s">
        <v>82</v>
      </c>
      <c r="G20" s="19">
        <v>19440</v>
      </c>
      <c r="H20" s="23"/>
      <c r="I20" s="1"/>
    </row>
    <row r="21" spans="1:9" ht="18">
      <c r="A21" s="14">
        <v>44962</v>
      </c>
      <c r="B21" s="21">
        <v>13670</v>
      </c>
      <c r="C21" s="16">
        <v>134878</v>
      </c>
      <c r="D21" s="17" t="s">
        <v>87</v>
      </c>
      <c r="E21" s="18" t="s">
        <v>88</v>
      </c>
      <c r="F21" s="18" t="s">
        <v>82</v>
      </c>
      <c r="G21" s="19">
        <v>19440</v>
      </c>
      <c r="H21" s="23"/>
      <c r="I21" s="1"/>
    </row>
    <row r="22" spans="1:9" ht="18">
      <c r="A22" s="14">
        <v>44962</v>
      </c>
      <c r="B22" s="21">
        <v>13672</v>
      </c>
      <c r="C22" s="16">
        <v>134879</v>
      </c>
      <c r="D22" s="17" t="s">
        <v>87</v>
      </c>
      <c r="E22" s="18" t="s">
        <v>97</v>
      </c>
      <c r="F22" s="18" t="s">
        <v>82</v>
      </c>
      <c r="G22" s="19">
        <v>9862</v>
      </c>
      <c r="H22" s="23"/>
      <c r="I22" s="1"/>
    </row>
    <row r="23" spans="1:9" ht="18">
      <c r="A23" s="14" t="s">
        <v>98</v>
      </c>
      <c r="B23" s="21">
        <v>13682</v>
      </c>
      <c r="C23" s="16">
        <v>134880</v>
      </c>
      <c r="D23" s="17" t="s">
        <v>87</v>
      </c>
      <c r="E23" s="18" t="s">
        <v>91</v>
      </c>
      <c r="F23" s="18" t="s">
        <v>82</v>
      </c>
      <c r="G23" s="19">
        <v>13472</v>
      </c>
      <c r="H23" s="23"/>
      <c r="I23" s="1"/>
    </row>
    <row r="24" spans="1:9" ht="18">
      <c r="A24" s="14">
        <v>44931</v>
      </c>
      <c r="B24" s="21">
        <v>13669</v>
      </c>
      <c r="C24" s="16">
        <v>134881</v>
      </c>
      <c r="D24" s="17" t="s">
        <v>87</v>
      </c>
      <c r="E24" s="18" t="s">
        <v>88</v>
      </c>
      <c r="F24" s="18" t="s">
        <v>82</v>
      </c>
      <c r="G24" s="19">
        <v>19440</v>
      </c>
      <c r="H24" s="23"/>
      <c r="I24" s="1"/>
    </row>
    <row r="25" spans="1:9" ht="18">
      <c r="A25" s="14">
        <v>44962</v>
      </c>
      <c r="B25" s="21">
        <v>13670</v>
      </c>
      <c r="C25" s="16">
        <v>134882</v>
      </c>
      <c r="D25" s="17" t="s">
        <v>87</v>
      </c>
      <c r="E25" s="18" t="s">
        <v>88</v>
      </c>
      <c r="F25" s="18" t="s">
        <v>82</v>
      </c>
      <c r="G25" s="19">
        <v>19440</v>
      </c>
      <c r="H25" s="23"/>
      <c r="I25" s="1"/>
    </row>
    <row r="26" spans="1:9" ht="18">
      <c r="A26" s="14">
        <v>45204</v>
      </c>
      <c r="B26" s="21">
        <v>13680</v>
      </c>
      <c r="C26" s="16">
        <v>134883</v>
      </c>
      <c r="D26" s="17" t="s">
        <v>87</v>
      </c>
      <c r="E26" s="18" t="s">
        <v>91</v>
      </c>
      <c r="F26" s="18" t="s">
        <v>82</v>
      </c>
      <c r="G26" s="19">
        <v>13472</v>
      </c>
      <c r="H26" s="23"/>
      <c r="I26" s="1"/>
    </row>
    <row r="27" spans="1:9" ht="18">
      <c r="A27" s="14">
        <v>44962</v>
      </c>
      <c r="B27" s="21">
        <v>13672</v>
      </c>
      <c r="C27" s="16">
        <v>134884</v>
      </c>
      <c r="D27" s="17" t="s">
        <v>87</v>
      </c>
      <c r="E27" s="18" t="s">
        <v>88</v>
      </c>
      <c r="F27" s="18" t="s">
        <v>82</v>
      </c>
      <c r="G27" s="19">
        <v>19440</v>
      </c>
      <c r="H27" s="23"/>
      <c r="I27" s="1"/>
    </row>
    <row r="28" spans="1:9" ht="18">
      <c r="A28" s="14">
        <v>45143</v>
      </c>
      <c r="B28" s="21">
        <v>13675</v>
      </c>
      <c r="C28" s="16">
        <v>134885</v>
      </c>
      <c r="D28" s="17" t="s">
        <v>87</v>
      </c>
      <c r="E28" s="18" t="s">
        <v>97</v>
      </c>
      <c r="F28" s="18" t="s">
        <v>82</v>
      </c>
      <c r="G28" s="19">
        <v>9862</v>
      </c>
      <c r="H28" s="23"/>
      <c r="I28" s="1"/>
    </row>
    <row r="29" spans="1:9" ht="18">
      <c r="A29" s="14" t="s">
        <v>99</v>
      </c>
      <c r="B29" s="21">
        <v>13658</v>
      </c>
      <c r="C29" s="16">
        <v>134886</v>
      </c>
      <c r="D29" s="17" t="s">
        <v>87</v>
      </c>
      <c r="E29" s="18" t="s">
        <v>92</v>
      </c>
      <c r="F29" s="18" t="s">
        <v>82</v>
      </c>
      <c r="G29" s="19">
        <v>19440</v>
      </c>
      <c r="H29" s="23"/>
      <c r="I29" s="1"/>
    </row>
    <row r="30" spans="1:9" ht="18">
      <c r="A30" s="14">
        <v>44962</v>
      </c>
      <c r="B30" s="21">
        <v>13672</v>
      </c>
      <c r="C30" s="16">
        <v>134887</v>
      </c>
      <c r="D30" s="17" t="s">
        <v>87</v>
      </c>
      <c r="E30" s="18" t="s">
        <v>97</v>
      </c>
      <c r="F30" s="18" t="s">
        <v>82</v>
      </c>
      <c r="G30" s="19">
        <v>9862</v>
      </c>
      <c r="H30" s="23"/>
      <c r="I30" s="1"/>
    </row>
    <row r="31" spans="1:9" ht="18">
      <c r="A31" s="14">
        <v>44962</v>
      </c>
      <c r="B31" s="21">
        <v>13654</v>
      </c>
      <c r="C31" s="16">
        <v>134888</v>
      </c>
      <c r="D31" s="17" t="s">
        <v>87</v>
      </c>
      <c r="E31" s="18" t="s">
        <v>88</v>
      </c>
      <c r="F31" s="18" t="s">
        <v>82</v>
      </c>
      <c r="G31" s="19">
        <v>19440</v>
      </c>
      <c r="H31" s="23"/>
      <c r="I31" s="1"/>
    </row>
    <row r="32" spans="1:9" ht="18">
      <c r="A32" s="14" t="s">
        <v>100</v>
      </c>
      <c r="B32" s="21">
        <v>13668</v>
      </c>
      <c r="C32" s="16">
        <v>134889</v>
      </c>
      <c r="D32" s="17" t="s">
        <v>87</v>
      </c>
      <c r="E32" s="18" t="s">
        <v>101</v>
      </c>
      <c r="F32" s="18" t="s">
        <v>82</v>
      </c>
      <c r="G32" s="19">
        <v>14965</v>
      </c>
      <c r="H32" s="23"/>
      <c r="I32" s="1"/>
    </row>
    <row r="33" spans="1:9" ht="18">
      <c r="A33" s="14" t="s">
        <v>102</v>
      </c>
      <c r="B33" s="21">
        <v>13657</v>
      </c>
      <c r="C33" s="16">
        <v>134890</v>
      </c>
      <c r="D33" s="17" t="s">
        <v>87</v>
      </c>
      <c r="E33" s="18" t="s">
        <v>88</v>
      </c>
      <c r="F33" s="18" t="s">
        <v>82</v>
      </c>
      <c r="G33" s="19">
        <v>20208</v>
      </c>
      <c r="H33" s="23"/>
      <c r="I33" s="1"/>
    </row>
    <row r="34" spans="1:9" ht="18">
      <c r="A34" s="14">
        <v>44962</v>
      </c>
      <c r="B34" s="21">
        <v>13671</v>
      </c>
      <c r="C34" s="16">
        <v>134892</v>
      </c>
      <c r="D34" s="17" t="s">
        <v>87</v>
      </c>
      <c r="E34" s="18" t="s">
        <v>91</v>
      </c>
      <c r="F34" s="18" t="s">
        <v>82</v>
      </c>
      <c r="G34" s="19">
        <v>12960</v>
      </c>
      <c r="H34" s="23"/>
      <c r="I34" s="1"/>
    </row>
    <row r="35" spans="1:9" ht="18">
      <c r="A35" s="14">
        <v>45051</v>
      </c>
      <c r="B35" s="21">
        <v>13670</v>
      </c>
      <c r="C35" s="16">
        <v>134894</v>
      </c>
      <c r="D35" s="17" t="s">
        <v>87</v>
      </c>
      <c r="E35" s="18" t="s">
        <v>88</v>
      </c>
      <c r="F35" s="18" t="s">
        <v>82</v>
      </c>
      <c r="G35" s="19">
        <v>19440</v>
      </c>
      <c r="H35" s="23"/>
      <c r="I35" s="1"/>
    </row>
    <row r="36" spans="1:9" ht="18">
      <c r="A36" s="14" t="s">
        <v>100</v>
      </c>
      <c r="B36" s="21">
        <v>13666</v>
      </c>
      <c r="C36" s="16">
        <v>134895</v>
      </c>
      <c r="D36" s="17" t="s">
        <v>87</v>
      </c>
      <c r="E36" s="18" t="s">
        <v>88</v>
      </c>
      <c r="F36" s="18" t="s">
        <v>82</v>
      </c>
      <c r="G36" s="19">
        <v>19440</v>
      </c>
      <c r="H36" s="23"/>
      <c r="I36" s="1"/>
    </row>
    <row r="37" spans="1:9" ht="18">
      <c r="A37" s="14">
        <v>45234</v>
      </c>
      <c r="B37" s="21">
        <v>13661</v>
      </c>
      <c r="C37" s="16">
        <v>134896</v>
      </c>
      <c r="D37" s="17" t="s">
        <v>87</v>
      </c>
      <c r="E37" s="18" t="s">
        <v>103</v>
      </c>
      <c r="F37" s="18" t="s">
        <v>82</v>
      </c>
      <c r="G37" s="19">
        <v>19440</v>
      </c>
      <c r="H37" s="23"/>
      <c r="I37" s="1"/>
    </row>
    <row r="38" spans="1:9" ht="18">
      <c r="A38" s="14">
        <v>45265</v>
      </c>
      <c r="B38" s="21">
        <v>13683</v>
      </c>
      <c r="C38" s="16">
        <v>134897</v>
      </c>
      <c r="D38" s="17" t="s">
        <v>87</v>
      </c>
      <c r="E38" s="18" t="s">
        <v>94</v>
      </c>
      <c r="F38" s="18" t="s">
        <v>82</v>
      </c>
      <c r="G38" s="19">
        <v>10049</v>
      </c>
      <c r="H38" s="23"/>
      <c r="I38" s="1"/>
    </row>
    <row r="39" spans="1:9" ht="18">
      <c r="A39" s="14">
        <v>45143</v>
      </c>
      <c r="B39" s="21">
        <v>13676</v>
      </c>
      <c r="C39" s="16">
        <v>134898</v>
      </c>
      <c r="D39" s="17" t="s">
        <v>87</v>
      </c>
      <c r="E39" s="18" t="s">
        <v>94</v>
      </c>
      <c r="F39" s="18" t="s">
        <v>82</v>
      </c>
      <c r="G39" s="19">
        <v>10049</v>
      </c>
      <c r="H39" s="23"/>
      <c r="I39" s="1"/>
    </row>
    <row r="40" spans="1:9" ht="18">
      <c r="A40" s="14" t="s">
        <v>104</v>
      </c>
      <c r="B40" s="21">
        <v>13732</v>
      </c>
      <c r="C40" s="16">
        <v>134899</v>
      </c>
      <c r="D40" s="17" t="s">
        <v>87</v>
      </c>
      <c r="E40" s="18" t="s">
        <v>91</v>
      </c>
      <c r="F40" s="18" t="s">
        <v>82</v>
      </c>
      <c r="G40" s="19">
        <v>12960</v>
      </c>
      <c r="H40" s="23"/>
      <c r="I40" s="1"/>
    </row>
    <row r="41" spans="1:9" ht="18">
      <c r="A41" s="14">
        <v>44931</v>
      </c>
      <c r="B41" s="21">
        <v>13669</v>
      </c>
      <c r="C41" s="16">
        <v>134900</v>
      </c>
      <c r="D41" s="17" t="s">
        <v>87</v>
      </c>
      <c r="E41" s="18" t="s">
        <v>103</v>
      </c>
      <c r="F41" s="18" t="s">
        <v>82</v>
      </c>
      <c r="G41" s="19">
        <v>19440</v>
      </c>
      <c r="H41" s="23"/>
      <c r="I41" s="1"/>
    </row>
    <row r="42" spans="1:9" ht="18">
      <c r="A42" s="14">
        <v>45020</v>
      </c>
      <c r="B42" s="21">
        <v>13713</v>
      </c>
      <c r="C42" s="16">
        <v>134905</v>
      </c>
      <c r="D42" s="17" t="s">
        <v>105</v>
      </c>
      <c r="E42" s="18" t="s">
        <v>106</v>
      </c>
      <c r="F42" s="18" t="s">
        <v>82</v>
      </c>
      <c r="G42" s="19">
        <v>10750</v>
      </c>
      <c r="H42" s="23"/>
      <c r="I42" s="1"/>
    </row>
    <row r="43" spans="1:9" ht="18">
      <c r="A43" s="14">
        <v>45021</v>
      </c>
      <c r="B43" s="21">
        <v>13715</v>
      </c>
      <c r="C43" s="16">
        <v>134906</v>
      </c>
      <c r="D43" s="17" t="s">
        <v>105</v>
      </c>
      <c r="E43" s="18" t="s">
        <v>107</v>
      </c>
      <c r="F43" s="18" t="s">
        <v>82</v>
      </c>
      <c r="G43" s="19">
        <v>10758</v>
      </c>
      <c r="H43" s="23"/>
      <c r="I43" s="1"/>
    </row>
    <row r="44" spans="1:9" ht="18">
      <c r="A44" s="14">
        <v>45021</v>
      </c>
      <c r="B44" s="21">
        <v>13715</v>
      </c>
      <c r="C44" s="16">
        <v>134907</v>
      </c>
      <c r="D44" s="17" t="s">
        <v>105</v>
      </c>
      <c r="E44" s="18" t="s">
        <v>108</v>
      </c>
      <c r="F44" s="18" t="s">
        <v>82</v>
      </c>
      <c r="G44" s="19">
        <v>8965</v>
      </c>
      <c r="H44" s="23"/>
      <c r="I44" s="1"/>
    </row>
    <row r="45" spans="1:9" ht="18">
      <c r="A45" s="14">
        <v>45021</v>
      </c>
      <c r="B45" s="21">
        <v>13714</v>
      </c>
      <c r="C45" s="16">
        <v>134908</v>
      </c>
      <c r="D45" s="17" t="s">
        <v>105</v>
      </c>
      <c r="E45" s="18" t="s">
        <v>109</v>
      </c>
      <c r="F45" s="18" t="s">
        <v>82</v>
      </c>
      <c r="G45" s="19">
        <v>7172</v>
      </c>
      <c r="H45" s="23"/>
      <c r="I45" s="1"/>
    </row>
    <row r="46" spans="1:9" ht="18">
      <c r="A46" s="14">
        <v>45021</v>
      </c>
      <c r="B46" s="21">
        <v>13714</v>
      </c>
      <c r="C46" s="16">
        <v>134909</v>
      </c>
      <c r="D46" s="17" t="s">
        <v>105</v>
      </c>
      <c r="E46" s="18" t="s">
        <v>109</v>
      </c>
      <c r="F46" s="18" t="s">
        <v>82</v>
      </c>
      <c r="G46" s="19">
        <v>7172</v>
      </c>
      <c r="H46" s="23"/>
      <c r="I46" s="1"/>
    </row>
    <row r="47" spans="1:9" ht="18">
      <c r="A47" s="14">
        <v>45027</v>
      </c>
      <c r="B47" s="21">
        <v>13720</v>
      </c>
      <c r="C47" s="16">
        <v>134910</v>
      </c>
      <c r="D47" s="17" t="s">
        <v>105</v>
      </c>
      <c r="E47" s="18" t="s">
        <v>109</v>
      </c>
      <c r="F47" s="18" t="s">
        <v>82</v>
      </c>
      <c r="G47" s="19">
        <v>7172</v>
      </c>
      <c r="H47" s="23"/>
      <c r="I47" s="1"/>
    </row>
    <row r="48" spans="1:9" ht="18">
      <c r="A48" s="14">
        <v>45035</v>
      </c>
      <c r="B48" s="21">
        <v>14435</v>
      </c>
      <c r="C48" s="16">
        <v>134911</v>
      </c>
      <c r="D48" s="17" t="s">
        <v>110</v>
      </c>
      <c r="E48" s="18" t="s">
        <v>111</v>
      </c>
      <c r="F48" s="18" t="s">
        <v>82</v>
      </c>
      <c r="G48" s="19">
        <v>64800</v>
      </c>
      <c r="H48" s="23"/>
      <c r="I48" s="1"/>
    </row>
    <row r="49" spans="1:9" ht="18">
      <c r="A49" s="14">
        <v>45021</v>
      </c>
      <c r="B49" s="21">
        <v>13716</v>
      </c>
      <c r="C49" s="16">
        <v>134912</v>
      </c>
      <c r="D49" s="17" t="s">
        <v>105</v>
      </c>
      <c r="E49" s="18" t="s">
        <v>108</v>
      </c>
      <c r="F49" s="18" t="s">
        <v>82</v>
      </c>
      <c r="G49" s="19">
        <v>8659</v>
      </c>
      <c r="H49" s="23"/>
      <c r="I49" s="1"/>
    </row>
    <row r="50" spans="1:9" ht="18">
      <c r="A50" s="14">
        <v>45027</v>
      </c>
      <c r="B50" s="21">
        <v>13717</v>
      </c>
      <c r="C50" s="16">
        <v>134913</v>
      </c>
      <c r="D50" s="17" t="s">
        <v>105</v>
      </c>
      <c r="E50" s="18" t="s">
        <v>112</v>
      </c>
      <c r="F50" s="18" t="s">
        <v>82</v>
      </c>
      <c r="G50" s="19">
        <v>24300</v>
      </c>
      <c r="H50" s="23"/>
      <c r="I50" s="1"/>
    </row>
    <row r="51" spans="1:9" ht="18">
      <c r="A51" s="14">
        <v>45048</v>
      </c>
      <c r="B51" s="21">
        <v>14437</v>
      </c>
      <c r="C51" s="16">
        <v>134914</v>
      </c>
      <c r="D51" s="17" t="s">
        <v>83</v>
      </c>
      <c r="E51" s="18" t="s">
        <v>113</v>
      </c>
      <c r="F51" s="18" t="s">
        <v>82</v>
      </c>
      <c r="G51" s="19">
        <v>8100</v>
      </c>
      <c r="H51" s="22"/>
      <c r="I51" s="1"/>
    </row>
    <row r="52" spans="1:9" ht="18">
      <c r="A52" s="14">
        <v>45027</v>
      </c>
      <c r="B52" s="21">
        <v>13719</v>
      </c>
      <c r="C52" s="16">
        <v>134915</v>
      </c>
      <c r="D52" s="17" t="s">
        <v>105</v>
      </c>
      <c r="E52" s="18" t="s">
        <v>107</v>
      </c>
      <c r="F52" s="18" t="s">
        <v>82</v>
      </c>
      <c r="G52" s="19">
        <v>10758</v>
      </c>
      <c r="H52" s="22"/>
      <c r="I52" s="1"/>
    </row>
    <row r="53" spans="1:9" ht="18">
      <c r="A53" s="14">
        <v>45027</v>
      </c>
      <c r="B53" s="21">
        <v>13718</v>
      </c>
      <c r="C53" s="16">
        <v>134916</v>
      </c>
      <c r="D53" s="17" t="s">
        <v>105</v>
      </c>
      <c r="E53" s="18" t="s">
        <v>114</v>
      </c>
      <c r="F53" s="18" t="s">
        <v>82</v>
      </c>
      <c r="G53" s="19">
        <v>9720</v>
      </c>
      <c r="H53" s="22"/>
      <c r="I53" s="1"/>
    </row>
    <row r="54" spans="1:9" ht="18">
      <c r="A54" s="14">
        <v>45034</v>
      </c>
      <c r="B54" s="21">
        <v>13723</v>
      </c>
      <c r="C54" s="16">
        <v>134917</v>
      </c>
      <c r="D54" s="17" t="s">
        <v>105</v>
      </c>
      <c r="E54" s="18" t="s">
        <v>115</v>
      </c>
      <c r="F54" s="18" t="s">
        <v>82</v>
      </c>
      <c r="G54" s="19">
        <v>9720</v>
      </c>
      <c r="H54" s="22"/>
      <c r="I54" s="1"/>
    </row>
    <row r="55" spans="1:9" ht="18">
      <c r="A55" s="14">
        <v>45034</v>
      </c>
      <c r="B55" s="21">
        <v>13725</v>
      </c>
      <c r="C55" s="16">
        <v>134918</v>
      </c>
      <c r="D55" s="17" t="s">
        <v>105</v>
      </c>
      <c r="E55" s="18" t="s">
        <v>112</v>
      </c>
      <c r="F55" s="18" t="s">
        <v>82</v>
      </c>
      <c r="G55" s="19">
        <v>24300</v>
      </c>
      <c r="H55" s="22"/>
      <c r="I55" s="1"/>
    </row>
    <row r="56" spans="1:9" ht="18">
      <c r="A56" s="14">
        <v>45034</v>
      </c>
      <c r="B56" s="15">
        <v>13727</v>
      </c>
      <c r="C56" s="16">
        <v>134919</v>
      </c>
      <c r="D56" s="17" t="s">
        <v>105</v>
      </c>
      <c r="E56" s="18" t="s">
        <v>108</v>
      </c>
      <c r="F56" s="18" t="s">
        <v>82</v>
      </c>
      <c r="G56" s="19">
        <v>8965</v>
      </c>
      <c r="H56" s="20"/>
      <c r="I56" s="1"/>
    </row>
    <row r="57" spans="1:9" ht="18">
      <c r="A57" s="14">
        <v>45034</v>
      </c>
      <c r="B57" s="21">
        <v>13724</v>
      </c>
      <c r="C57" s="16">
        <v>134920</v>
      </c>
      <c r="D57" s="17" t="s">
        <v>105</v>
      </c>
      <c r="E57" s="24" t="s">
        <v>109</v>
      </c>
      <c r="F57" s="18" t="s">
        <v>82</v>
      </c>
      <c r="G57" s="19">
        <v>7172</v>
      </c>
      <c r="H57" s="22"/>
      <c r="I57" s="1"/>
    </row>
    <row r="58" spans="1:9" ht="18">
      <c r="A58" s="14">
        <v>45034</v>
      </c>
      <c r="B58" s="21">
        <v>13726</v>
      </c>
      <c r="C58" s="16">
        <v>134921</v>
      </c>
      <c r="D58" s="17" t="s">
        <v>105</v>
      </c>
      <c r="E58" s="18" t="s">
        <v>116</v>
      </c>
      <c r="F58" s="18" t="s">
        <v>82</v>
      </c>
      <c r="G58" s="19">
        <v>25970</v>
      </c>
      <c r="H58" s="22"/>
      <c r="I58" s="1"/>
    </row>
    <row r="59" spans="1:9" ht="18">
      <c r="A59" s="14">
        <v>45048</v>
      </c>
      <c r="B59" s="21">
        <v>14436</v>
      </c>
      <c r="C59" s="16">
        <v>134922</v>
      </c>
      <c r="D59" s="17" t="s">
        <v>83</v>
      </c>
      <c r="E59" s="18" t="s">
        <v>111</v>
      </c>
      <c r="F59" s="18" t="s">
        <v>82</v>
      </c>
      <c r="G59" s="19">
        <v>64800</v>
      </c>
      <c r="H59" s="22"/>
      <c r="I59" s="1"/>
    </row>
    <row r="60" spans="1:9" ht="18">
      <c r="A60" s="14">
        <v>45034</v>
      </c>
      <c r="B60" s="21">
        <v>13722</v>
      </c>
      <c r="C60" s="16">
        <v>134923</v>
      </c>
      <c r="D60" s="17" t="s">
        <v>105</v>
      </c>
      <c r="E60" s="18" t="s">
        <v>107</v>
      </c>
      <c r="F60" s="18" t="s">
        <v>82</v>
      </c>
      <c r="G60" s="19">
        <v>8965</v>
      </c>
      <c r="H60" s="22"/>
      <c r="I60" s="1"/>
    </row>
    <row r="61" spans="1:9" ht="18">
      <c r="A61" s="14">
        <v>45042</v>
      </c>
      <c r="B61" s="21">
        <v>13732</v>
      </c>
      <c r="C61" s="16">
        <v>134924</v>
      </c>
      <c r="D61" s="17" t="s">
        <v>105</v>
      </c>
      <c r="E61" s="18" t="s">
        <v>91</v>
      </c>
      <c r="F61" s="18" t="s">
        <v>82</v>
      </c>
      <c r="G61" s="19">
        <v>12960</v>
      </c>
      <c r="H61" s="22"/>
      <c r="I61" s="1"/>
    </row>
    <row r="62" spans="1:9" ht="18">
      <c r="A62" s="14">
        <v>45027</v>
      </c>
      <c r="B62" s="21">
        <v>13721</v>
      </c>
      <c r="C62" s="16">
        <v>134925</v>
      </c>
      <c r="D62" s="17" t="s">
        <v>105</v>
      </c>
      <c r="E62" s="18" t="s">
        <v>108</v>
      </c>
      <c r="F62" s="18" t="s">
        <v>82</v>
      </c>
      <c r="G62" s="19">
        <v>8965</v>
      </c>
      <c r="H62" s="22"/>
      <c r="I62" s="1"/>
    </row>
    <row r="63" spans="1:9" ht="18">
      <c r="A63" s="14">
        <v>45042</v>
      </c>
      <c r="B63" s="21">
        <v>13730</v>
      </c>
      <c r="C63" s="16">
        <v>134926</v>
      </c>
      <c r="D63" s="17" t="s">
        <v>105</v>
      </c>
      <c r="E63" s="18" t="s">
        <v>109</v>
      </c>
      <c r="F63" s="18" t="s">
        <v>82</v>
      </c>
      <c r="G63" s="19">
        <v>7172</v>
      </c>
      <c r="H63" s="22"/>
      <c r="I63" s="1"/>
    </row>
    <row r="64" spans="1:9" ht="18">
      <c r="A64" s="14">
        <v>45035</v>
      </c>
      <c r="B64" s="21">
        <v>14435</v>
      </c>
      <c r="C64" s="16">
        <v>134927</v>
      </c>
      <c r="D64" s="17" t="s">
        <v>105</v>
      </c>
      <c r="E64" s="18" t="s">
        <v>111</v>
      </c>
      <c r="F64" s="18" t="s">
        <v>82</v>
      </c>
      <c r="G64" s="19">
        <v>64800</v>
      </c>
      <c r="H64" s="22"/>
      <c r="I64" s="1"/>
    </row>
    <row r="65" spans="1:9" ht="18">
      <c r="A65" s="14">
        <v>45042</v>
      </c>
      <c r="B65" s="21">
        <v>13729</v>
      </c>
      <c r="C65" s="16">
        <v>134928</v>
      </c>
      <c r="D65" s="17" t="s">
        <v>105</v>
      </c>
      <c r="E65" s="18" t="s">
        <v>114</v>
      </c>
      <c r="F65" s="18" t="s">
        <v>82</v>
      </c>
      <c r="G65" s="19">
        <v>10758</v>
      </c>
      <c r="H65" s="22"/>
      <c r="I65" s="1"/>
    </row>
    <row r="66" spans="1:9" ht="18">
      <c r="A66" s="14">
        <v>45042</v>
      </c>
      <c r="B66" s="25">
        <v>13728</v>
      </c>
      <c r="C66" s="16">
        <v>134929</v>
      </c>
      <c r="D66" s="17" t="s">
        <v>105</v>
      </c>
      <c r="E66" s="18" t="s">
        <v>112</v>
      </c>
      <c r="F66" s="18" t="s">
        <v>82</v>
      </c>
      <c r="G66" s="19">
        <v>24300</v>
      </c>
      <c r="H66" s="26"/>
      <c r="I66" s="1"/>
    </row>
    <row r="67" spans="1:9" ht="18">
      <c r="A67" s="14">
        <v>45234</v>
      </c>
      <c r="B67" s="21">
        <v>13643</v>
      </c>
      <c r="C67" s="16">
        <v>134930</v>
      </c>
      <c r="D67" s="17" t="s">
        <v>105</v>
      </c>
      <c r="E67" s="18" t="s">
        <v>111</v>
      </c>
      <c r="F67" s="18" t="s">
        <v>82</v>
      </c>
      <c r="G67" s="19">
        <v>64800</v>
      </c>
      <c r="H67" s="27"/>
      <c r="I67" s="1"/>
    </row>
    <row r="68" spans="1:9" ht="18">
      <c r="A68" s="14">
        <v>45027</v>
      </c>
      <c r="B68" s="28">
        <v>13721</v>
      </c>
      <c r="C68" s="16">
        <v>134931</v>
      </c>
      <c r="D68" s="17" t="s">
        <v>105</v>
      </c>
      <c r="E68" s="18" t="s">
        <v>108</v>
      </c>
      <c r="F68" s="18" t="s">
        <v>82</v>
      </c>
      <c r="G68" s="19">
        <v>8965</v>
      </c>
      <c r="H68" s="29"/>
      <c r="I68" s="1"/>
    </row>
    <row r="69" spans="1:9" ht="18">
      <c r="A69" s="14">
        <v>45048</v>
      </c>
      <c r="B69" s="28">
        <v>14437</v>
      </c>
      <c r="C69" s="16">
        <v>134933</v>
      </c>
      <c r="D69" s="17" t="s">
        <v>105</v>
      </c>
      <c r="E69" s="18" t="s">
        <v>84</v>
      </c>
      <c r="F69" s="18" t="s">
        <v>82</v>
      </c>
      <c r="G69" s="19">
        <v>8100</v>
      </c>
      <c r="H69" s="29"/>
      <c r="I69" s="1"/>
    </row>
    <row r="70" spans="1:9" ht="18">
      <c r="A70" s="14">
        <v>45068</v>
      </c>
      <c r="B70" s="28">
        <v>14438</v>
      </c>
      <c r="C70" s="16">
        <v>134934</v>
      </c>
      <c r="D70" s="17" t="s">
        <v>105</v>
      </c>
      <c r="E70" s="18" t="s">
        <v>117</v>
      </c>
      <c r="F70" s="18" t="s">
        <v>82</v>
      </c>
      <c r="G70" s="19">
        <v>8100</v>
      </c>
      <c r="H70" s="30"/>
      <c r="I70" s="1"/>
    </row>
    <row r="71" spans="1:9" ht="18">
      <c r="A71" s="14">
        <v>45042</v>
      </c>
      <c r="B71" s="28">
        <v>13731</v>
      </c>
      <c r="C71" s="16">
        <v>134935</v>
      </c>
      <c r="D71" s="17" t="s">
        <v>105</v>
      </c>
      <c r="E71" s="18" t="s">
        <v>118</v>
      </c>
      <c r="F71" s="18" t="s">
        <v>82</v>
      </c>
      <c r="G71" s="19">
        <v>8965</v>
      </c>
      <c r="H71" s="30"/>
      <c r="I71" s="1"/>
    </row>
    <row r="72" spans="1:9" ht="18">
      <c r="A72" s="14">
        <v>45049</v>
      </c>
      <c r="B72" s="28">
        <v>13644</v>
      </c>
      <c r="C72" s="16">
        <v>134936</v>
      </c>
      <c r="D72" s="17" t="s">
        <v>110</v>
      </c>
      <c r="E72" s="18" t="s">
        <v>111</v>
      </c>
      <c r="F72" s="18" t="s">
        <v>82</v>
      </c>
      <c r="G72" s="19">
        <v>64800</v>
      </c>
      <c r="H72" s="30"/>
      <c r="I72" s="1"/>
    </row>
    <row r="73" spans="1:9" ht="18">
      <c r="A73" s="14">
        <v>45076</v>
      </c>
      <c r="B73" s="28">
        <v>13650</v>
      </c>
      <c r="C73" s="16">
        <v>134937</v>
      </c>
      <c r="D73" s="17" t="s">
        <v>110</v>
      </c>
      <c r="E73" s="18" t="s">
        <v>119</v>
      </c>
      <c r="F73" s="18" t="s">
        <v>82</v>
      </c>
      <c r="G73" s="19">
        <v>67360</v>
      </c>
      <c r="H73" s="30"/>
      <c r="I73" s="1"/>
    </row>
    <row r="74" spans="1:9" ht="18">
      <c r="A74" s="14">
        <v>45050</v>
      </c>
      <c r="B74" s="28">
        <v>13733</v>
      </c>
      <c r="C74" s="16">
        <v>134938</v>
      </c>
      <c r="D74" s="17" t="s">
        <v>105</v>
      </c>
      <c r="E74" s="18" t="s">
        <v>120</v>
      </c>
      <c r="F74" s="18" t="s">
        <v>82</v>
      </c>
      <c r="G74" s="19">
        <v>7172</v>
      </c>
      <c r="H74" s="30"/>
      <c r="I74" s="1"/>
    </row>
    <row r="75" spans="1:9" ht="18">
      <c r="A75" s="14">
        <v>44684</v>
      </c>
      <c r="B75" s="28">
        <v>13644</v>
      </c>
      <c r="C75" s="16">
        <v>134939</v>
      </c>
      <c r="D75" s="17" t="s">
        <v>110</v>
      </c>
      <c r="E75" s="18" t="s">
        <v>111</v>
      </c>
      <c r="F75" s="18" t="s">
        <v>82</v>
      </c>
      <c r="G75" s="19">
        <v>64800</v>
      </c>
      <c r="H75" s="29"/>
      <c r="I75" s="1"/>
    </row>
    <row r="76" spans="1:9" ht="18">
      <c r="A76" s="14">
        <v>45050</v>
      </c>
      <c r="B76" s="28">
        <v>13734</v>
      </c>
      <c r="C76" s="16">
        <v>134940</v>
      </c>
      <c r="D76" s="17" t="s">
        <v>105</v>
      </c>
      <c r="E76" s="18" t="s">
        <v>108</v>
      </c>
      <c r="F76" s="18" t="s">
        <v>82</v>
      </c>
      <c r="G76" s="19">
        <v>9135</v>
      </c>
      <c r="H76" s="29"/>
      <c r="I76" s="1"/>
    </row>
    <row r="77" spans="1:9" ht="18">
      <c r="A77" s="14">
        <v>45061</v>
      </c>
      <c r="B77" s="28">
        <v>13736</v>
      </c>
      <c r="C77" s="16">
        <v>134941</v>
      </c>
      <c r="D77" s="17" t="s">
        <v>105</v>
      </c>
      <c r="E77" s="18" t="s">
        <v>120</v>
      </c>
      <c r="F77" s="18" t="s">
        <v>82</v>
      </c>
      <c r="G77" s="19">
        <v>7308</v>
      </c>
      <c r="H77" s="29"/>
      <c r="I77" s="1"/>
    </row>
    <row r="78" spans="1:9" ht="18">
      <c r="A78" s="14">
        <v>45068</v>
      </c>
      <c r="B78" s="28">
        <v>14439</v>
      </c>
      <c r="C78" s="16">
        <v>134943</v>
      </c>
      <c r="D78" s="17" t="s">
        <v>105</v>
      </c>
      <c r="E78" s="18" t="s">
        <v>84</v>
      </c>
      <c r="F78" s="18" t="s">
        <v>82</v>
      </c>
      <c r="G78" s="19">
        <v>8420</v>
      </c>
      <c r="H78" s="29"/>
      <c r="I78" s="1"/>
    </row>
    <row r="79" spans="1:9" ht="18">
      <c r="A79" s="14">
        <v>45061</v>
      </c>
      <c r="B79" s="28">
        <v>13737</v>
      </c>
      <c r="C79" s="16">
        <v>134944</v>
      </c>
      <c r="D79" s="17" t="s">
        <v>105</v>
      </c>
      <c r="E79" s="18" t="s">
        <v>121</v>
      </c>
      <c r="F79" s="18" t="s">
        <v>82</v>
      </c>
      <c r="G79" s="19">
        <v>25260</v>
      </c>
      <c r="H79" s="29"/>
      <c r="I79" s="1"/>
    </row>
    <row r="80" spans="1:9" ht="18">
      <c r="A80" s="14">
        <v>45061</v>
      </c>
      <c r="B80" s="28">
        <v>13735</v>
      </c>
      <c r="C80" s="16">
        <v>134945</v>
      </c>
      <c r="D80" s="17" t="s">
        <v>105</v>
      </c>
      <c r="E80" s="18" t="s">
        <v>122</v>
      </c>
      <c r="F80" s="18" t="s">
        <v>82</v>
      </c>
      <c r="G80" s="19">
        <v>10962</v>
      </c>
      <c r="H80" s="29"/>
      <c r="I80" s="1"/>
    </row>
    <row r="81" spans="1:9" ht="18">
      <c r="A81" s="14">
        <v>45077</v>
      </c>
      <c r="B81" s="28">
        <v>13735</v>
      </c>
      <c r="C81" s="16">
        <v>134946</v>
      </c>
      <c r="D81" s="17" t="s">
        <v>105</v>
      </c>
      <c r="E81" s="18" t="s">
        <v>121</v>
      </c>
      <c r="F81" s="18" t="s">
        <v>82</v>
      </c>
      <c r="G81" s="19">
        <v>25260</v>
      </c>
      <c r="H81" s="29"/>
      <c r="I81" s="1"/>
    </row>
    <row r="82" spans="1:9" ht="18">
      <c r="A82" s="14">
        <v>45050</v>
      </c>
      <c r="B82" s="28">
        <v>13742</v>
      </c>
      <c r="C82" s="16">
        <v>134947</v>
      </c>
      <c r="D82" s="17" t="s">
        <v>105</v>
      </c>
      <c r="E82" s="18" t="s">
        <v>108</v>
      </c>
      <c r="F82" s="18" t="s">
        <v>82</v>
      </c>
      <c r="G82" s="19">
        <v>9135</v>
      </c>
      <c r="H82" s="29"/>
      <c r="I82" s="1"/>
    </row>
    <row r="83" spans="1:9" ht="18">
      <c r="A83" s="14">
        <v>45071</v>
      </c>
      <c r="B83" s="28">
        <v>13740</v>
      </c>
      <c r="C83" s="16">
        <v>134948</v>
      </c>
      <c r="D83" s="17" t="s">
        <v>105</v>
      </c>
      <c r="E83" s="18" t="s">
        <v>120</v>
      </c>
      <c r="F83" s="18" t="s">
        <v>82</v>
      </c>
      <c r="G83" s="19">
        <v>7308</v>
      </c>
      <c r="H83" s="29"/>
      <c r="I83" s="1"/>
    </row>
    <row r="84" spans="1:9" ht="18">
      <c r="A84" s="14">
        <v>45076</v>
      </c>
      <c r="B84" s="28">
        <v>13744</v>
      </c>
      <c r="C84" s="16">
        <v>134949</v>
      </c>
      <c r="D84" s="17" t="s">
        <v>105</v>
      </c>
      <c r="E84" s="18" t="s">
        <v>121</v>
      </c>
      <c r="F84" s="18" t="s">
        <v>82</v>
      </c>
      <c r="G84" s="19">
        <v>25260</v>
      </c>
      <c r="H84" s="29"/>
      <c r="I84" s="1"/>
    </row>
    <row r="85" spans="1:9" ht="18">
      <c r="A85" s="14">
        <v>45085</v>
      </c>
      <c r="B85" s="28">
        <v>13748</v>
      </c>
      <c r="C85" s="16">
        <v>134950</v>
      </c>
      <c r="D85" s="17" t="s">
        <v>105</v>
      </c>
      <c r="E85" s="18" t="s">
        <v>122</v>
      </c>
      <c r="F85" s="18" t="s">
        <v>82</v>
      </c>
      <c r="G85" s="19">
        <v>5481</v>
      </c>
      <c r="H85" s="29"/>
      <c r="I85" s="1"/>
    </row>
    <row r="86" spans="1:9" ht="18">
      <c r="A86" s="14">
        <v>45265</v>
      </c>
      <c r="B86" s="21">
        <v>13683</v>
      </c>
      <c r="C86" s="16">
        <v>135001</v>
      </c>
      <c r="D86" s="17" t="s">
        <v>87</v>
      </c>
      <c r="E86" s="18" t="s">
        <v>94</v>
      </c>
      <c r="F86" s="18" t="s">
        <v>82</v>
      </c>
      <c r="G86" s="19">
        <v>10049</v>
      </c>
      <c r="H86" s="23"/>
      <c r="I86" s="1"/>
    </row>
    <row r="87" spans="1:9" ht="18">
      <c r="A87" s="14">
        <v>45082</v>
      </c>
      <c r="B87" s="21">
        <v>13678</v>
      </c>
      <c r="C87" s="16">
        <v>135002</v>
      </c>
      <c r="D87" s="17" t="s">
        <v>87</v>
      </c>
      <c r="E87" s="18" t="s">
        <v>88</v>
      </c>
      <c r="F87" s="18" t="s">
        <v>82</v>
      </c>
      <c r="G87" s="19">
        <v>20208</v>
      </c>
      <c r="H87" s="23"/>
      <c r="I87" s="1"/>
    </row>
    <row r="88" spans="1:9" ht="18">
      <c r="A88" s="14">
        <v>45082</v>
      </c>
      <c r="B88" s="21">
        <v>13678</v>
      </c>
      <c r="C88" s="16">
        <v>135003</v>
      </c>
      <c r="D88" s="17" t="s">
        <v>87</v>
      </c>
      <c r="E88" s="18" t="s">
        <v>88</v>
      </c>
      <c r="F88" s="18" t="s">
        <v>82</v>
      </c>
      <c r="G88" s="19">
        <v>20208</v>
      </c>
      <c r="H88" s="23"/>
      <c r="I88" s="1"/>
    </row>
    <row r="89" spans="1:9" ht="18">
      <c r="A89" s="14">
        <v>45174</v>
      </c>
      <c r="B89" s="21">
        <v>13679</v>
      </c>
      <c r="C89" s="16">
        <v>135004</v>
      </c>
      <c r="D89" s="17" t="s">
        <v>87</v>
      </c>
      <c r="E89" s="18" t="s">
        <v>103</v>
      </c>
      <c r="F89" s="18" t="s">
        <v>82</v>
      </c>
      <c r="G89" s="19">
        <v>20208</v>
      </c>
      <c r="H89" s="23"/>
      <c r="I89" s="1"/>
    </row>
    <row r="90" spans="1:9" ht="18">
      <c r="A90" s="14">
        <v>45204</v>
      </c>
      <c r="B90" s="21">
        <v>13680</v>
      </c>
      <c r="C90" s="16">
        <v>135005</v>
      </c>
      <c r="D90" s="17" t="s">
        <v>89</v>
      </c>
      <c r="E90" s="18" t="s">
        <v>91</v>
      </c>
      <c r="F90" s="18" t="s">
        <v>82</v>
      </c>
      <c r="G90" s="19">
        <v>13472</v>
      </c>
      <c r="H90" s="23"/>
      <c r="I90" s="1"/>
    </row>
    <row r="91" spans="1:9" ht="18">
      <c r="A91" s="14">
        <v>45265</v>
      </c>
      <c r="B91" s="21">
        <v>13681</v>
      </c>
      <c r="C91" s="16">
        <v>135006</v>
      </c>
      <c r="D91" s="17" t="s">
        <v>87</v>
      </c>
      <c r="E91" s="18" t="s">
        <v>91</v>
      </c>
      <c r="F91" s="18" t="s">
        <v>82</v>
      </c>
      <c r="G91" s="19">
        <v>13472</v>
      </c>
      <c r="H91" s="23"/>
      <c r="I91" s="1"/>
    </row>
    <row r="92" spans="1:9" ht="18">
      <c r="A92" s="14">
        <v>45174</v>
      </c>
      <c r="B92" s="21">
        <v>13679</v>
      </c>
      <c r="C92" s="16">
        <v>135007</v>
      </c>
      <c r="D92" s="17" t="s">
        <v>87</v>
      </c>
      <c r="E92" s="18" t="s">
        <v>88</v>
      </c>
      <c r="F92" s="18" t="s">
        <v>82</v>
      </c>
      <c r="G92" s="19">
        <v>20208</v>
      </c>
      <c r="H92" s="23"/>
      <c r="I92" s="1"/>
    </row>
    <row r="93" spans="1:9" ht="18">
      <c r="A93" s="14" t="s">
        <v>123</v>
      </c>
      <c r="B93" s="21">
        <v>13687</v>
      </c>
      <c r="C93" s="16">
        <v>135008</v>
      </c>
      <c r="D93" s="17" t="s">
        <v>87</v>
      </c>
      <c r="E93" s="18" t="s">
        <v>88</v>
      </c>
      <c r="F93" s="18" t="s">
        <v>82</v>
      </c>
      <c r="G93" s="19">
        <v>20208</v>
      </c>
      <c r="H93" s="23"/>
      <c r="I93" s="1"/>
    </row>
    <row r="94" spans="1:9" ht="18">
      <c r="A94" s="14">
        <v>45052</v>
      </c>
      <c r="B94" s="21">
        <v>13693</v>
      </c>
      <c r="C94" s="16">
        <v>135009</v>
      </c>
      <c r="D94" s="17" t="s">
        <v>87</v>
      </c>
      <c r="E94" s="18" t="s">
        <v>88</v>
      </c>
      <c r="F94" s="18" t="s">
        <v>82</v>
      </c>
      <c r="G94" s="19">
        <v>20208</v>
      </c>
      <c r="H94" s="23"/>
      <c r="I94" s="1"/>
    </row>
    <row r="95" spans="1:9" ht="18">
      <c r="A95" s="14" t="s">
        <v>124</v>
      </c>
      <c r="B95" s="21">
        <v>13684</v>
      </c>
      <c r="C95" s="16">
        <v>135010</v>
      </c>
      <c r="D95" s="17" t="s">
        <v>87</v>
      </c>
      <c r="E95" s="18" t="s">
        <v>94</v>
      </c>
      <c r="F95" s="18" t="s">
        <v>82</v>
      </c>
      <c r="G95" s="19">
        <v>10049</v>
      </c>
      <c r="H95" s="23"/>
      <c r="I95" s="1"/>
    </row>
    <row r="96" spans="1:9" ht="18">
      <c r="A96" s="14" t="s">
        <v>98</v>
      </c>
      <c r="B96" s="21">
        <v>13682</v>
      </c>
      <c r="C96" s="16">
        <v>135011</v>
      </c>
      <c r="D96" s="17" t="s">
        <v>87</v>
      </c>
      <c r="E96" s="18" t="s">
        <v>91</v>
      </c>
      <c r="F96" s="18" t="s">
        <v>82</v>
      </c>
      <c r="G96" s="19">
        <v>13472</v>
      </c>
      <c r="H96" s="23"/>
      <c r="I96" s="1"/>
    </row>
    <row r="97" spans="1:9" ht="18">
      <c r="A97" s="14" t="s">
        <v>123</v>
      </c>
      <c r="B97" s="21">
        <v>13687</v>
      </c>
      <c r="C97" s="16">
        <v>135012</v>
      </c>
      <c r="D97" s="17" t="s">
        <v>87</v>
      </c>
      <c r="E97" s="18" t="s">
        <v>88</v>
      </c>
      <c r="F97" s="18" t="s">
        <v>82</v>
      </c>
      <c r="G97" s="19">
        <v>20208</v>
      </c>
      <c r="H97" s="23"/>
      <c r="I97" s="1"/>
    </row>
    <row r="98" spans="1:9" ht="18">
      <c r="A98" s="14" t="s">
        <v>123</v>
      </c>
      <c r="B98" s="21">
        <v>13685</v>
      </c>
      <c r="C98" s="16">
        <v>135013</v>
      </c>
      <c r="D98" s="17" t="s">
        <v>87</v>
      </c>
      <c r="E98" s="18" t="s">
        <v>91</v>
      </c>
      <c r="F98" s="18" t="s">
        <v>82</v>
      </c>
      <c r="G98" s="19">
        <v>13742</v>
      </c>
      <c r="H98" s="23"/>
      <c r="I98" s="1"/>
    </row>
    <row r="99" spans="1:9" ht="18">
      <c r="A99" s="14" t="s">
        <v>123</v>
      </c>
      <c r="B99" s="21">
        <v>13685</v>
      </c>
      <c r="C99" s="16">
        <v>135014</v>
      </c>
      <c r="D99" s="17" t="s">
        <v>87</v>
      </c>
      <c r="E99" s="18" t="s">
        <v>94</v>
      </c>
      <c r="F99" s="18" t="s">
        <v>82</v>
      </c>
      <c r="G99" s="19">
        <v>10049</v>
      </c>
      <c r="H99" s="23"/>
      <c r="I99" s="1"/>
    </row>
    <row r="100" spans="1:9" ht="18">
      <c r="A100" s="14" t="s">
        <v>125</v>
      </c>
      <c r="B100" s="21">
        <v>13690</v>
      </c>
      <c r="C100" s="16">
        <v>135015</v>
      </c>
      <c r="D100" s="17" t="s">
        <v>87</v>
      </c>
      <c r="E100" s="18" t="s">
        <v>91</v>
      </c>
      <c r="F100" s="18" t="s">
        <v>82</v>
      </c>
      <c r="G100" s="19">
        <v>13472</v>
      </c>
      <c r="H100" s="23"/>
      <c r="I100" s="1"/>
    </row>
    <row r="101" spans="1:9" ht="18">
      <c r="A101" s="14">
        <v>45266</v>
      </c>
      <c r="B101" s="21">
        <v>13691</v>
      </c>
      <c r="C101" s="16">
        <v>135016</v>
      </c>
      <c r="D101" s="17" t="s">
        <v>87</v>
      </c>
      <c r="E101" s="18" t="s">
        <v>94</v>
      </c>
      <c r="F101" s="18" t="s">
        <v>82</v>
      </c>
      <c r="G101" s="19">
        <v>10049</v>
      </c>
      <c r="H101" s="23"/>
      <c r="I101" s="1"/>
    </row>
    <row r="102" spans="1:9" ht="18">
      <c r="A102" s="14">
        <v>45052</v>
      </c>
      <c r="B102" s="21">
        <v>13693</v>
      </c>
      <c r="C102" s="16">
        <v>135017</v>
      </c>
      <c r="D102" s="17" t="s">
        <v>87</v>
      </c>
      <c r="E102" s="18" t="s">
        <v>92</v>
      </c>
      <c r="F102" s="18" t="s">
        <v>82</v>
      </c>
      <c r="G102" s="19">
        <v>20208</v>
      </c>
      <c r="H102" s="23"/>
      <c r="I102" s="1"/>
    </row>
    <row r="103" spans="1:9" ht="18">
      <c r="A103" s="14">
        <v>45052</v>
      </c>
      <c r="B103" s="21">
        <v>13692</v>
      </c>
      <c r="C103" s="16">
        <v>135018</v>
      </c>
      <c r="D103" s="17" t="s">
        <v>87</v>
      </c>
      <c r="E103" s="18" t="s">
        <v>91</v>
      </c>
      <c r="F103" s="18" t="s">
        <v>82</v>
      </c>
      <c r="G103" s="19">
        <v>13472</v>
      </c>
      <c r="H103" s="23"/>
      <c r="I103" s="1"/>
    </row>
    <row r="104" spans="1:9" ht="18">
      <c r="A104" s="14">
        <v>45083</v>
      </c>
      <c r="B104" s="21">
        <v>13696</v>
      </c>
      <c r="C104" s="16">
        <v>135019</v>
      </c>
      <c r="D104" s="17" t="s">
        <v>87</v>
      </c>
      <c r="E104" s="18" t="s">
        <v>88</v>
      </c>
      <c r="F104" s="18" t="s">
        <v>82</v>
      </c>
      <c r="G104" s="19">
        <v>20208</v>
      </c>
      <c r="H104" s="23"/>
      <c r="I104" s="1"/>
    </row>
    <row r="105" spans="1:9" ht="18">
      <c r="A105" s="14">
        <v>45144</v>
      </c>
      <c r="B105" s="21">
        <v>13694</v>
      </c>
      <c r="C105" s="16">
        <v>135020</v>
      </c>
      <c r="D105" s="17" t="s">
        <v>87</v>
      </c>
      <c r="E105" s="18" t="s">
        <v>91</v>
      </c>
      <c r="F105" s="18" t="s">
        <v>82</v>
      </c>
      <c r="G105" s="19">
        <v>13742</v>
      </c>
      <c r="H105" s="23"/>
    </row>
    <row r="106" spans="1:9" ht="18">
      <c r="A106" s="14" t="s">
        <v>125</v>
      </c>
      <c r="B106" s="21">
        <v>13689</v>
      </c>
      <c r="C106" s="16">
        <v>135021</v>
      </c>
      <c r="D106" s="17" t="s">
        <v>87</v>
      </c>
      <c r="E106" s="18" t="s">
        <v>88</v>
      </c>
      <c r="F106" s="18" t="s">
        <v>82</v>
      </c>
      <c r="G106" s="19">
        <v>20208</v>
      </c>
      <c r="H106" s="23"/>
    </row>
    <row r="107" spans="1:9" ht="18">
      <c r="A107" s="14" t="s">
        <v>126</v>
      </c>
      <c r="B107" s="21">
        <v>13688</v>
      </c>
      <c r="C107" s="16">
        <v>135022</v>
      </c>
      <c r="D107" s="17" t="s">
        <v>87</v>
      </c>
      <c r="E107" s="18" t="s">
        <v>97</v>
      </c>
      <c r="F107" s="18" t="s">
        <v>82</v>
      </c>
      <c r="G107" s="19">
        <v>10049</v>
      </c>
      <c r="H107" s="23"/>
    </row>
    <row r="108" spans="1:9" ht="18">
      <c r="A108" s="14" t="s">
        <v>98</v>
      </c>
      <c r="B108" s="21">
        <v>13738</v>
      </c>
      <c r="C108" s="16">
        <v>135051</v>
      </c>
      <c r="D108" s="17" t="s">
        <v>105</v>
      </c>
      <c r="E108" s="18" t="s">
        <v>114</v>
      </c>
      <c r="F108" s="18" t="s">
        <v>82</v>
      </c>
      <c r="G108" s="19">
        <v>10104</v>
      </c>
      <c r="H108" s="23"/>
    </row>
    <row r="109" spans="1:9" ht="18">
      <c r="A109" s="14" t="s">
        <v>123</v>
      </c>
      <c r="B109" s="21">
        <v>13739</v>
      </c>
      <c r="C109" s="16">
        <v>135052</v>
      </c>
      <c r="D109" s="17" t="s">
        <v>105</v>
      </c>
      <c r="E109" s="18" t="s">
        <v>107</v>
      </c>
      <c r="F109" s="18" t="s">
        <v>82</v>
      </c>
      <c r="G109" s="19">
        <v>10962</v>
      </c>
      <c r="H109" s="23"/>
    </row>
    <row r="110" spans="1:9" ht="18">
      <c r="A110" s="14" t="s">
        <v>100</v>
      </c>
      <c r="B110" s="21">
        <v>14434</v>
      </c>
      <c r="C110" s="16">
        <v>135054</v>
      </c>
      <c r="D110" s="17" t="s">
        <v>83</v>
      </c>
      <c r="E110" s="18" t="s">
        <v>81</v>
      </c>
      <c r="F110" s="18" t="s">
        <v>82</v>
      </c>
      <c r="G110" s="19">
        <v>8420</v>
      </c>
      <c r="H110" s="23"/>
    </row>
    <row r="111" spans="1:9" ht="18">
      <c r="A111" s="14" t="s">
        <v>100</v>
      </c>
      <c r="B111" s="21">
        <v>14435</v>
      </c>
      <c r="C111" s="16">
        <v>135055</v>
      </c>
      <c r="D111" s="17" t="s">
        <v>83</v>
      </c>
      <c r="E111" s="18" t="s">
        <v>84</v>
      </c>
      <c r="F111" s="18" t="s">
        <v>82</v>
      </c>
      <c r="G111" s="19">
        <v>8420</v>
      </c>
      <c r="H111" s="23"/>
    </row>
    <row r="112" spans="1:9" ht="18">
      <c r="A112" s="14">
        <v>45144</v>
      </c>
      <c r="B112" s="31">
        <v>14434</v>
      </c>
      <c r="C112" s="16">
        <v>135056</v>
      </c>
      <c r="D112" s="17" t="s">
        <v>83</v>
      </c>
      <c r="E112" s="18" t="s">
        <v>85</v>
      </c>
      <c r="F112" s="18" t="s">
        <v>82</v>
      </c>
      <c r="G112" s="19">
        <v>8420</v>
      </c>
      <c r="H112" s="29"/>
    </row>
    <row r="113" spans="1:8" ht="18">
      <c r="A113" s="14">
        <v>10</v>
      </c>
      <c r="B113" s="31">
        <v>14441</v>
      </c>
      <c r="C113" s="16">
        <v>135057</v>
      </c>
      <c r="D113" s="17" t="s">
        <v>83</v>
      </c>
      <c r="E113" s="18" t="s">
        <v>86</v>
      </c>
      <c r="F113" s="18" t="s">
        <v>82</v>
      </c>
      <c r="G113" s="19">
        <v>8420</v>
      </c>
      <c r="H113" s="29"/>
    </row>
    <row r="114" spans="1:8" ht="18">
      <c r="A114" s="14" t="s">
        <v>182</v>
      </c>
      <c r="B114" s="31">
        <v>13746</v>
      </c>
      <c r="C114" s="16">
        <v>135059</v>
      </c>
      <c r="D114" s="17" t="s">
        <v>105</v>
      </c>
      <c r="E114" s="18" t="s">
        <v>109</v>
      </c>
      <c r="F114" s="18" t="s">
        <v>82</v>
      </c>
      <c r="G114" s="19">
        <v>7308</v>
      </c>
      <c r="H114" s="29"/>
    </row>
    <row r="115" spans="1:8" ht="18">
      <c r="A115" s="14" t="s">
        <v>128</v>
      </c>
      <c r="B115" s="31">
        <v>13741</v>
      </c>
      <c r="C115" s="16">
        <v>135060</v>
      </c>
      <c r="D115" s="17" t="s">
        <v>105</v>
      </c>
      <c r="E115" s="32" t="s">
        <v>121</v>
      </c>
      <c r="F115" s="18" t="s">
        <v>82</v>
      </c>
      <c r="G115" s="33">
        <v>25260</v>
      </c>
      <c r="H115" s="29"/>
    </row>
    <row r="116" spans="1:8" ht="18">
      <c r="A116" s="14" t="s">
        <v>98</v>
      </c>
      <c r="B116" s="31">
        <v>13750</v>
      </c>
      <c r="C116" s="16">
        <v>135061</v>
      </c>
      <c r="D116" s="17" t="s">
        <v>105</v>
      </c>
      <c r="E116" s="32" t="s">
        <v>107</v>
      </c>
      <c r="F116" s="18" t="s">
        <v>82</v>
      </c>
      <c r="G116" s="33">
        <v>10962</v>
      </c>
      <c r="H116" s="29"/>
    </row>
    <row r="117" spans="1:8" ht="18">
      <c r="A117" s="14" t="s">
        <v>127</v>
      </c>
      <c r="B117" s="31">
        <v>13745</v>
      </c>
      <c r="C117" s="16">
        <v>135062</v>
      </c>
      <c r="D117" s="17" t="s">
        <v>105</v>
      </c>
      <c r="E117" s="32" t="s">
        <v>108</v>
      </c>
      <c r="F117" s="18" t="s">
        <v>82</v>
      </c>
      <c r="G117" s="33">
        <v>9135</v>
      </c>
      <c r="H117" s="29"/>
    </row>
    <row r="118" spans="1:8" ht="18">
      <c r="A118" s="14">
        <v>45113</v>
      </c>
      <c r="B118" s="31">
        <v>13801</v>
      </c>
      <c r="C118" s="16">
        <v>135063</v>
      </c>
      <c r="D118" s="17" t="s">
        <v>105</v>
      </c>
      <c r="E118" s="32" t="s">
        <v>129</v>
      </c>
      <c r="F118" s="18" t="s">
        <v>82</v>
      </c>
      <c r="G118" s="33" t="s">
        <v>130</v>
      </c>
      <c r="H118" s="29"/>
    </row>
    <row r="119" spans="1:8" ht="18">
      <c r="A119" s="14">
        <v>45113</v>
      </c>
      <c r="B119" s="31">
        <v>13803</v>
      </c>
      <c r="C119" s="16">
        <v>135064</v>
      </c>
      <c r="D119" s="17" t="s">
        <v>105</v>
      </c>
      <c r="E119" s="32" t="s">
        <v>114</v>
      </c>
      <c r="F119" s="18" t="s">
        <v>82</v>
      </c>
      <c r="G119" s="33">
        <v>10104</v>
      </c>
      <c r="H119" s="29"/>
    </row>
    <row r="120" spans="1:8" ht="18">
      <c r="A120" s="14">
        <v>45113</v>
      </c>
      <c r="B120" s="31">
        <v>13749</v>
      </c>
      <c r="C120" s="16">
        <v>135065</v>
      </c>
      <c r="D120" s="17" t="s">
        <v>105</v>
      </c>
      <c r="E120" s="32" t="s">
        <v>121</v>
      </c>
      <c r="F120" s="18" t="s">
        <v>82</v>
      </c>
      <c r="G120" s="33">
        <v>25260</v>
      </c>
      <c r="H120" s="29"/>
    </row>
    <row r="121" spans="1:8" ht="18">
      <c r="A121" s="14" t="s">
        <v>131</v>
      </c>
      <c r="B121" s="31">
        <v>13743</v>
      </c>
      <c r="C121" s="16">
        <v>135067</v>
      </c>
      <c r="D121" s="17" t="s">
        <v>105</v>
      </c>
      <c r="E121" s="32" t="s">
        <v>116</v>
      </c>
      <c r="F121" s="18" t="s">
        <v>82</v>
      </c>
      <c r="G121" s="33">
        <v>26944</v>
      </c>
      <c r="H121" s="29"/>
    </row>
    <row r="122" spans="1:8" ht="18">
      <c r="A122" s="14"/>
      <c r="B122" s="31"/>
      <c r="C122" s="16"/>
      <c r="D122" s="17"/>
      <c r="E122" s="32"/>
      <c r="F122" s="18"/>
      <c r="G122" s="34"/>
      <c r="H122" s="29"/>
    </row>
    <row r="123" spans="1:8" ht="18">
      <c r="A123" s="14">
        <v>45234</v>
      </c>
      <c r="B123" s="31">
        <v>12789</v>
      </c>
      <c r="C123" s="16">
        <v>134792</v>
      </c>
      <c r="D123" s="17" t="s">
        <v>132</v>
      </c>
      <c r="E123" s="32" t="s">
        <v>25</v>
      </c>
      <c r="F123" s="18" t="s">
        <v>26</v>
      </c>
      <c r="G123" s="33">
        <v>21500</v>
      </c>
      <c r="H123" s="33">
        <v>21500</v>
      </c>
    </row>
    <row r="124" spans="1:8" ht="18">
      <c r="A124" s="14" t="s">
        <v>133</v>
      </c>
      <c r="B124" s="31">
        <v>14398</v>
      </c>
      <c r="C124" s="16">
        <v>134793</v>
      </c>
      <c r="D124" s="17" t="s">
        <v>110</v>
      </c>
      <c r="E124" s="32" t="s">
        <v>134</v>
      </c>
      <c r="F124" s="18" t="s">
        <v>135</v>
      </c>
      <c r="G124" s="33">
        <v>40600</v>
      </c>
      <c r="H124" s="33">
        <v>40600</v>
      </c>
    </row>
    <row r="125" spans="1:8" ht="18">
      <c r="A125" s="14">
        <v>45050</v>
      </c>
      <c r="B125" s="31">
        <v>13634</v>
      </c>
      <c r="C125" s="16">
        <v>134794</v>
      </c>
      <c r="D125" s="17" t="s">
        <v>110</v>
      </c>
      <c r="E125" s="32" t="s">
        <v>136</v>
      </c>
      <c r="F125" s="18" t="s">
        <v>137</v>
      </c>
      <c r="G125" s="33">
        <v>23000</v>
      </c>
      <c r="H125" s="33">
        <v>23000</v>
      </c>
    </row>
    <row r="126" spans="1:8" ht="18">
      <c r="A126" s="14">
        <v>45050</v>
      </c>
      <c r="B126" s="35">
        <v>13642</v>
      </c>
      <c r="C126" s="16">
        <v>134795</v>
      </c>
      <c r="D126" s="17" t="s">
        <v>110</v>
      </c>
      <c r="E126" s="32" t="s">
        <v>44</v>
      </c>
      <c r="F126" s="18" t="s">
        <v>42</v>
      </c>
      <c r="G126" s="33">
        <v>73140</v>
      </c>
      <c r="H126" s="33">
        <v>73141</v>
      </c>
    </row>
    <row r="127" spans="1:8" ht="18">
      <c r="A127" s="14">
        <v>45050</v>
      </c>
      <c r="B127" s="31" t="s">
        <v>138</v>
      </c>
      <c r="C127" s="16">
        <v>134797</v>
      </c>
      <c r="D127" s="17" t="s">
        <v>110</v>
      </c>
      <c r="E127" s="32" t="s">
        <v>139</v>
      </c>
      <c r="F127" s="18" t="s">
        <v>140</v>
      </c>
      <c r="G127" s="33">
        <v>577900</v>
      </c>
      <c r="H127" s="33">
        <v>577901</v>
      </c>
    </row>
    <row r="128" spans="1:8" ht="18">
      <c r="A128" s="14">
        <v>45081</v>
      </c>
      <c r="B128" s="31">
        <v>14399</v>
      </c>
      <c r="C128" s="16">
        <v>134800</v>
      </c>
      <c r="D128" s="17" t="s">
        <v>110</v>
      </c>
      <c r="E128" s="32" t="s">
        <v>141</v>
      </c>
      <c r="F128" s="18" t="s">
        <v>142</v>
      </c>
      <c r="G128" s="33">
        <v>109200</v>
      </c>
      <c r="H128" s="33">
        <v>109201</v>
      </c>
    </row>
    <row r="129" spans="1:8" ht="18">
      <c r="A129" s="14" t="s">
        <v>143</v>
      </c>
      <c r="B129" s="31">
        <v>13626</v>
      </c>
      <c r="C129" s="16">
        <v>134951</v>
      </c>
      <c r="D129" s="17" t="s">
        <v>110</v>
      </c>
      <c r="E129" s="32" t="s">
        <v>144</v>
      </c>
      <c r="F129" s="18" t="s">
        <v>142</v>
      </c>
      <c r="G129" s="33">
        <v>65000</v>
      </c>
      <c r="H129" s="29"/>
    </row>
    <row r="130" spans="1:8" ht="18">
      <c r="A130" s="14">
        <v>45143</v>
      </c>
      <c r="B130" s="31" t="s">
        <v>145</v>
      </c>
      <c r="C130" s="16">
        <v>134952</v>
      </c>
      <c r="D130" s="17" t="s">
        <v>132</v>
      </c>
      <c r="E130" s="32" t="s">
        <v>21</v>
      </c>
      <c r="F130" s="18" t="s">
        <v>49</v>
      </c>
      <c r="G130" s="33">
        <v>191540</v>
      </c>
      <c r="H130" s="29"/>
    </row>
    <row r="131" spans="1:8" ht="18">
      <c r="A131" s="14">
        <v>45143</v>
      </c>
      <c r="B131" s="31" t="s">
        <v>146</v>
      </c>
      <c r="C131" s="16">
        <v>134953</v>
      </c>
      <c r="D131" s="17" t="s">
        <v>132</v>
      </c>
      <c r="E131" s="32" t="s">
        <v>21</v>
      </c>
      <c r="F131" s="18" t="s">
        <v>49</v>
      </c>
      <c r="G131" s="33">
        <v>42600</v>
      </c>
      <c r="H131" s="29"/>
    </row>
    <row r="132" spans="1:8" ht="18">
      <c r="A132" s="14">
        <v>45143</v>
      </c>
      <c r="B132" s="31" t="s">
        <v>145</v>
      </c>
      <c r="C132" s="16">
        <v>134954</v>
      </c>
      <c r="D132" s="17" t="s">
        <v>132</v>
      </c>
      <c r="E132" s="32" t="s">
        <v>21</v>
      </c>
      <c r="F132" s="18" t="s">
        <v>147</v>
      </c>
      <c r="G132" s="33">
        <v>12750</v>
      </c>
      <c r="H132" s="29"/>
    </row>
    <row r="133" spans="1:8" ht="18">
      <c r="A133" s="14">
        <v>45143</v>
      </c>
      <c r="B133" s="31">
        <v>12793</v>
      </c>
      <c r="C133" s="16">
        <v>134955</v>
      </c>
      <c r="D133" s="17" t="s">
        <v>132</v>
      </c>
      <c r="E133" s="32" t="s">
        <v>21</v>
      </c>
      <c r="F133" s="36" t="s">
        <v>148</v>
      </c>
      <c r="G133" s="37">
        <v>8658.94</v>
      </c>
      <c r="H133" s="38"/>
    </row>
    <row r="134" spans="1:8" ht="18">
      <c r="A134" s="14">
        <v>45143</v>
      </c>
      <c r="B134" s="31">
        <v>13474</v>
      </c>
      <c r="C134" s="16">
        <v>134956</v>
      </c>
      <c r="D134" s="17" t="s">
        <v>132</v>
      </c>
      <c r="E134" s="32" t="s">
        <v>21</v>
      </c>
      <c r="F134" s="36" t="s">
        <v>18</v>
      </c>
      <c r="G134" s="33">
        <v>66500</v>
      </c>
      <c r="H134" s="38"/>
    </row>
    <row r="135" spans="1:8" ht="18">
      <c r="A135" s="14">
        <v>45143</v>
      </c>
      <c r="B135" s="31">
        <v>12788</v>
      </c>
      <c r="C135" s="16">
        <v>134957</v>
      </c>
      <c r="D135" s="17" t="s">
        <v>132</v>
      </c>
      <c r="E135" s="32" t="s">
        <v>21</v>
      </c>
      <c r="F135" s="36" t="s">
        <v>149</v>
      </c>
      <c r="G135" s="37">
        <v>34995.769999999997</v>
      </c>
      <c r="H135" s="38"/>
    </row>
    <row r="136" spans="1:8" ht="18">
      <c r="A136" s="14">
        <v>45143</v>
      </c>
      <c r="B136" s="31">
        <v>12788</v>
      </c>
      <c r="C136" s="16">
        <v>134958</v>
      </c>
      <c r="D136" s="17" t="s">
        <v>132</v>
      </c>
      <c r="E136" s="32" t="s">
        <v>21</v>
      </c>
      <c r="F136" s="36" t="s">
        <v>150</v>
      </c>
      <c r="G136" s="33">
        <v>42500</v>
      </c>
      <c r="H136" s="29"/>
    </row>
    <row r="137" spans="1:8" ht="18">
      <c r="A137" s="14">
        <v>45235</v>
      </c>
      <c r="B137" s="31">
        <v>11275</v>
      </c>
      <c r="C137" s="16">
        <v>134959</v>
      </c>
      <c r="D137" s="17" t="s">
        <v>151</v>
      </c>
      <c r="E137" s="32" t="s">
        <v>152</v>
      </c>
      <c r="F137" s="36" t="s">
        <v>153</v>
      </c>
      <c r="G137" s="33">
        <v>56840</v>
      </c>
      <c r="H137" s="33">
        <v>56840</v>
      </c>
    </row>
    <row r="138" spans="1:8" ht="18">
      <c r="A138" s="14">
        <v>45235</v>
      </c>
      <c r="B138" s="31">
        <v>15558</v>
      </c>
      <c r="C138" s="16">
        <v>134960</v>
      </c>
      <c r="D138" s="17" t="s">
        <v>154</v>
      </c>
      <c r="E138" s="32" t="s">
        <v>25</v>
      </c>
      <c r="F138" s="36" t="s">
        <v>22</v>
      </c>
      <c r="G138" s="33">
        <v>23800</v>
      </c>
      <c r="H138" s="39">
        <v>23800</v>
      </c>
    </row>
    <row r="139" spans="1:8" ht="18">
      <c r="A139" s="14">
        <v>45235</v>
      </c>
      <c r="B139" s="31">
        <v>13557</v>
      </c>
      <c r="C139" s="16">
        <v>134961</v>
      </c>
      <c r="D139" s="17" t="s">
        <v>154</v>
      </c>
      <c r="E139" s="32" t="s">
        <v>27</v>
      </c>
      <c r="F139" s="36" t="s">
        <v>26</v>
      </c>
      <c r="G139" s="33">
        <v>25800</v>
      </c>
      <c r="H139" s="39">
        <v>25800</v>
      </c>
    </row>
    <row r="140" spans="1:8" ht="18">
      <c r="A140" s="14">
        <v>45265</v>
      </c>
      <c r="B140" s="31">
        <v>13559</v>
      </c>
      <c r="C140" s="16">
        <v>134962</v>
      </c>
      <c r="D140" s="17" t="s">
        <v>154</v>
      </c>
      <c r="E140" s="32" t="s">
        <v>28</v>
      </c>
      <c r="F140" s="36" t="s">
        <v>26</v>
      </c>
      <c r="G140" s="33">
        <v>8500</v>
      </c>
      <c r="H140" s="39">
        <v>8500</v>
      </c>
    </row>
    <row r="141" spans="1:8" ht="18">
      <c r="A141" s="14" t="s">
        <v>155</v>
      </c>
      <c r="B141" s="31">
        <v>13491</v>
      </c>
      <c r="C141" s="16">
        <v>134963</v>
      </c>
      <c r="D141" s="17" t="s">
        <v>156</v>
      </c>
      <c r="E141" s="32" t="s">
        <v>157</v>
      </c>
      <c r="F141" s="36" t="s">
        <v>158</v>
      </c>
      <c r="G141" s="33">
        <v>598008</v>
      </c>
      <c r="H141" s="39">
        <v>598008</v>
      </c>
    </row>
    <row r="142" spans="1:8" ht="18">
      <c r="A142" s="14" t="s">
        <v>102</v>
      </c>
      <c r="B142" s="31">
        <v>13489</v>
      </c>
      <c r="C142" s="16">
        <v>134964</v>
      </c>
      <c r="D142" s="17" t="s">
        <v>156</v>
      </c>
      <c r="E142" s="32" t="s">
        <v>159</v>
      </c>
      <c r="F142" s="36" t="s">
        <v>49</v>
      </c>
      <c r="G142" s="33">
        <v>9000</v>
      </c>
      <c r="H142" s="39">
        <v>9000</v>
      </c>
    </row>
    <row r="143" spans="1:8" ht="18">
      <c r="A143" s="14"/>
      <c r="B143" s="31"/>
      <c r="C143" s="16"/>
      <c r="D143" s="17"/>
      <c r="E143" s="32"/>
      <c r="F143" s="36"/>
      <c r="G143" s="33"/>
      <c r="H143" s="39"/>
    </row>
    <row r="144" spans="1:8" ht="18">
      <c r="A144" s="14" t="s">
        <v>160</v>
      </c>
      <c r="B144" s="31"/>
      <c r="C144" s="40" t="s">
        <v>32</v>
      </c>
      <c r="D144" s="17" t="s">
        <v>161</v>
      </c>
      <c r="E144" s="32" t="s">
        <v>162</v>
      </c>
      <c r="F144" s="36" t="s">
        <v>163</v>
      </c>
      <c r="G144" s="33">
        <v>29098</v>
      </c>
      <c r="H144" s="39">
        <v>29098</v>
      </c>
    </row>
    <row r="145" spans="1:8" ht="18">
      <c r="A145" s="14" t="s">
        <v>160</v>
      </c>
      <c r="B145" s="31"/>
      <c r="C145" s="40" t="s">
        <v>32</v>
      </c>
      <c r="D145" s="17" t="s">
        <v>164</v>
      </c>
      <c r="E145" s="32" t="s">
        <v>165</v>
      </c>
      <c r="F145" s="36" t="s">
        <v>166</v>
      </c>
      <c r="G145" s="33">
        <v>13920</v>
      </c>
      <c r="H145" s="39">
        <v>13920</v>
      </c>
    </row>
    <row r="146" spans="1:8" ht="18">
      <c r="A146" s="14" t="s">
        <v>160</v>
      </c>
      <c r="B146" s="31"/>
      <c r="C146" s="40" t="s">
        <v>32</v>
      </c>
      <c r="D146" s="17" t="s">
        <v>164</v>
      </c>
      <c r="E146" s="32" t="s">
        <v>36</v>
      </c>
      <c r="F146" s="36" t="s">
        <v>33</v>
      </c>
      <c r="G146" s="33">
        <v>6400</v>
      </c>
      <c r="H146" s="39">
        <v>6400</v>
      </c>
    </row>
    <row r="147" spans="1:8" ht="18">
      <c r="A147" s="14" t="s">
        <v>160</v>
      </c>
      <c r="B147" s="31"/>
      <c r="C147" s="40" t="s">
        <v>32</v>
      </c>
      <c r="D147" s="17" t="s">
        <v>156</v>
      </c>
      <c r="E147" s="32" t="s">
        <v>167</v>
      </c>
      <c r="F147" s="36" t="s">
        <v>168</v>
      </c>
      <c r="G147" s="33">
        <v>99450</v>
      </c>
      <c r="H147" s="41">
        <v>99450</v>
      </c>
    </row>
    <row r="148" spans="1:8" ht="18">
      <c r="A148" s="14" t="s">
        <v>169</v>
      </c>
      <c r="B148" s="31"/>
      <c r="C148" s="40" t="s">
        <v>32</v>
      </c>
      <c r="D148" s="17" t="s">
        <v>161</v>
      </c>
      <c r="E148" s="32" t="s">
        <v>162</v>
      </c>
      <c r="F148" s="36" t="s">
        <v>163</v>
      </c>
      <c r="G148" s="33">
        <v>29098</v>
      </c>
      <c r="H148" s="39">
        <v>29098</v>
      </c>
    </row>
    <row r="149" spans="1:8" ht="18">
      <c r="A149" s="14" t="s">
        <v>170</v>
      </c>
      <c r="B149" s="31"/>
      <c r="C149" s="40" t="s">
        <v>32</v>
      </c>
      <c r="D149" s="17" t="s">
        <v>164</v>
      </c>
      <c r="E149" s="32" t="s">
        <v>165</v>
      </c>
      <c r="F149" s="36" t="s">
        <v>166</v>
      </c>
      <c r="G149" s="33">
        <v>13920</v>
      </c>
      <c r="H149" s="39">
        <v>13920</v>
      </c>
    </row>
    <row r="150" spans="1:8" ht="18">
      <c r="A150" s="14" t="s">
        <v>171</v>
      </c>
      <c r="B150" s="31"/>
      <c r="C150" s="40" t="s">
        <v>32</v>
      </c>
      <c r="D150" s="17" t="s">
        <v>164</v>
      </c>
      <c r="E150" s="32" t="s">
        <v>36</v>
      </c>
      <c r="F150" s="36" t="s">
        <v>33</v>
      </c>
      <c r="G150" s="33">
        <v>6400</v>
      </c>
      <c r="H150" s="39">
        <v>6400</v>
      </c>
    </row>
    <row r="151" spans="1:8" ht="18">
      <c r="A151" s="14" t="s">
        <v>172</v>
      </c>
      <c r="B151" s="31"/>
      <c r="C151" s="40" t="s">
        <v>32</v>
      </c>
      <c r="D151" s="17" t="s">
        <v>156</v>
      </c>
      <c r="E151" s="32" t="s">
        <v>167</v>
      </c>
      <c r="F151" s="36" t="s">
        <v>168</v>
      </c>
      <c r="G151" s="33">
        <v>49600</v>
      </c>
      <c r="H151" s="41">
        <v>49600</v>
      </c>
    </row>
    <row r="152" spans="1:8" ht="18">
      <c r="A152" s="14" t="s">
        <v>127</v>
      </c>
      <c r="B152" s="31"/>
      <c r="C152" s="40" t="s">
        <v>32</v>
      </c>
      <c r="D152" s="17" t="s">
        <v>161</v>
      </c>
      <c r="E152" s="32" t="s">
        <v>162</v>
      </c>
      <c r="F152" s="36" t="s">
        <v>163</v>
      </c>
      <c r="G152" s="33">
        <v>29098</v>
      </c>
      <c r="H152" s="39">
        <v>29098</v>
      </c>
    </row>
    <row r="153" spans="1:8" ht="18">
      <c r="A153" s="14" t="s">
        <v>127</v>
      </c>
      <c r="B153" s="31"/>
      <c r="C153" s="40" t="s">
        <v>32</v>
      </c>
      <c r="D153" s="17" t="s">
        <v>164</v>
      </c>
      <c r="E153" s="32" t="s">
        <v>165</v>
      </c>
      <c r="F153" s="36" t="s">
        <v>166</v>
      </c>
      <c r="G153" s="33">
        <v>13920</v>
      </c>
      <c r="H153" s="39">
        <v>13920</v>
      </c>
    </row>
    <row r="154" spans="1:8" ht="18">
      <c r="A154" s="14" t="s">
        <v>127</v>
      </c>
      <c r="B154" s="31"/>
      <c r="C154" s="40" t="s">
        <v>32</v>
      </c>
      <c r="D154" s="17" t="s">
        <v>164</v>
      </c>
      <c r="E154" s="32" t="s">
        <v>36</v>
      </c>
      <c r="F154" s="36" t="s">
        <v>33</v>
      </c>
      <c r="G154" s="33">
        <v>6400</v>
      </c>
      <c r="H154" s="39">
        <v>6400</v>
      </c>
    </row>
    <row r="155" spans="1:8" ht="18">
      <c r="A155" s="14" t="s">
        <v>127</v>
      </c>
      <c r="B155" s="31"/>
      <c r="C155" s="40" t="s">
        <v>32</v>
      </c>
      <c r="D155" s="17" t="s">
        <v>156</v>
      </c>
      <c r="E155" s="32" t="s">
        <v>167</v>
      </c>
      <c r="F155" s="36" t="s">
        <v>168</v>
      </c>
      <c r="G155" s="33">
        <v>94600</v>
      </c>
      <c r="H155" s="41">
        <v>94600</v>
      </c>
    </row>
    <row r="156" spans="1:8" ht="18">
      <c r="A156" s="14" t="s">
        <v>127</v>
      </c>
      <c r="B156" s="31"/>
      <c r="C156" s="40" t="s">
        <v>32</v>
      </c>
      <c r="D156" s="17" t="s">
        <v>164</v>
      </c>
      <c r="E156" s="32" t="s">
        <v>173</v>
      </c>
      <c r="F156" s="36" t="s">
        <v>142</v>
      </c>
      <c r="G156" s="33">
        <v>143900</v>
      </c>
      <c r="H156" s="41">
        <v>143900</v>
      </c>
    </row>
    <row r="157" spans="1:8" ht="15.6">
      <c r="A157" s="42" t="s">
        <v>127</v>
      </c>
      <c r="B157" s="31"/>
      <c r="C157" s="40" t="s">
        <v>32</v>
      </c>
      <c r="D157" s="17" t="s">
        <v>164</v>
      </c>
      <c r="E157" s="43" t="s">
        <v>40</v>
      </c>
      <c r="F157" s="36" t="s">
        <v>37</v>
      </c>
      <c r="G157" s="44">
        <v>36100</v>
      </c>
      <c r="H157" s="45">
        <v>36100</v>
      </c>
    </row>
    <row r="158" spans="1:8" ht="15.6">
      <c r="A158" s="42"/>
      <c r="B158" s="31"/>
      <c r="C158" s="46"/>
      <c r="D158" s="17"/>
      <c r="E158" s="43"/>
      <c r="F158" s="47"/>
      <c r="G158" s="44"/>
      <c r="H158" s="29"/>
    </row>
    <row r="159" spans="1:8" ht="15.6">
      <c r="A159" s="42"/>
      <c r="B159" s="31"/>
      <c r="C159" s="46"/>
      <c r="D159" s="17"/>
      <c r="E159" s="43"/>
      <c r="F159" s="36"/>
      <c r="G159" s="44"/>
      <c r="H159" s="29"/>
    </row>
    <row r="160" spans="1:8" ht="15.6">
      <c r="A160" s="42"/>
      <c r="B160" s="31"/>
      <c r="C160" s="46"/>
      <c r="D160" s="17"/>
      <c r="E160" s="43"/>
      <c r="F160" s="36"/>
      <c r="G160" s="44"/>
      <c r="H160" s="29"/>
    </row>
    <row r="161" spans="1:8" ht="15.6">
      <c r="A161" s="42"/>
      <c r="B161" s="31"/>
      <c r="C161" s="46"/>
      <c r="D161" s="17"/>
      <c r="E161" s="43"/>
      <c r="F161" s="36"/>
      <c r="G161" s="44"/>
      <c r="H161" s="29"/>
    </row>
    <row r="162" spans="1:8" ht="15.6">
      <c r="A162" s="42"/>
      <c r="B162" s="31"/>
      <c r="C162" s="46"/>
      <c r="D162" s="17"/>
      <c r="E162" s="43"/>
      <c r="F162" s="36"/>
      <c r="G162" s="44"/>
      <c r="H162" s="29"/>
    </row>
    <row r="163" spans="1:8" ht="15.6">
      <c r="A163" s="42"/>
      <c r="B163" s="31"/>
      <c r="C163" s="46"/>
      <c r="D163" s="17"/>
      <c r="E163" s="43"/>
      <c r="F163" s="36"/>
      <c r="G163" s="48"/>
      <c r="H163" s="38"/>
    </row>
    <row r="164" spans="1:8" ht="15.6">
      <c r="A164" s="42" t="s">
        <v>174</v>
      </c>
      <c r="B164" s="31"/>
      <c r="C164" s="46"/>
      <c r="D164" s="17"/>
      <c r="E164" s="43"/>
      <c r="F164" s="36"/>
      <c r="G164" s="49">
        <f>SUM(G8:G163)</f>
        <v>4515272.71</v>
      </c>
      <c r="H164" s="50">
        <f>SUM(H8:H163)</f>
        <v>2139195</v>
      </c>
    </row>
    <row r="165" spans="1:8" ht="15.6">
      <c r="A165" s="42"/>
      <c r="B165" s="31"/>
      <c r="C165" s="46"/>
      <c r="D165" s="17"/>
      <c r="E165" s="43"/>
      <c r="F165" s="36"/>
      <c r="G165" s="51"/>
      <c r="H165" s="29"/>
    </row>
    <row r="166" spans="1:8" ht="15.6">
      <c r="A166" s="52"/>
      <c r="B166" s="31"/>
      <c r="C166" s="46"/>
      <c r="D166" s="17"/>
      <c r="E166" s="43"/>
      <c r="F166" s="36"/>
      <c r="G166" s="53"/>
      <c r="H166" s="45"/>
    </row>
    <row r="167" spans="1:8" ht="15.6">
      <c r="A167" s="54"/>
      <c r="B167" s="55"/>
      <c r="C167" s="46"/>
      <c r="D167" s="17"/>
      <c r="E167" s="43"/>
      <c r="F167" s="36"/>
      <c r="G167" s="51"/>
      <c r="H167" s="45"/>
    </row>
    <row r="168" spans="1:8">
      <c r="A168" s="55"/>
      <c r="B168" s="55"/>
      <c r="C168" s="31"/>
      <c r="D168" s="55"/>
      <c r="E168" s="55"/>
      <c r="F168" s="55"/>
      <c r="G168" s="53"/>
      <c r="H168" s="56"/>
    </row>
    <row r="169" spans="1:8">
      <c r="A169" t="s">
        <v>175</v>
      </c>
      <c r="C169" s="57">
        <v>0.48</v>
      </c>
    </row>
    <row r="171" spans="1:8">
      <c r="A171" t="s">
        <v>176</v>
      </c>
      <c r="C171" s="58">
        <v>2139195</v>
      </c>
      <c r="D171" s="59" t="s">
        <v>177</v>
      </c>
    </row>
    <row r="172" spans="1:8">
      <c r="A172" t="s">
        <v>178</v>
      </c>
      <c r="C172" s="51">
        <v>4515272.71</v>
      </c>
    </row>
    <row r="173" spans="1:8" ht="15.6">
      <c r="A173" t="s">
        <v>179</v>
      </c>
      <c r="E173" s="60" t="s">
        <v>180</v>
      </c>
    </row>
    <row r="175" spans="1:8">
      <c r="A175" t="s">
        <v>181</v>
      </c>
    </row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547A-0057-4B28-ACC6-31F006FAFBFD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PPRA</vt:lpstr>
      <vt:lpstr>local Goods</vt:lpstr>
      <vt:lpstr>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Procurement PC 1</cp:lastModifiedBy>
  <dcterms:created xsi:type="dcterms:W3CDTF">2022-09-30T09:58:00Z</dcterms:created>
  <dcterms:modified xsi:type="dcterms:W3CDTF">2024-06-12T12:41:03Z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610390FB148F4617AEEED5CD60003233</vt:lpwstr>
  </property>
  <property fmtid="{D5CDD505-2E9C-101B-9397-08002B2CF9AE}" pid="3" name="KSOProductBuildVer">
    <vt:lpwstr>1033-12.2.0.13292</vt:lpwstr>
  </property>
</Properties>
</file>