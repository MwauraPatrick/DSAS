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2A918E3-B8D4-4AFE-94FF-8D015CB366D6}" xr6:coauthVersionLast="47" xr6:coauthVersionMax="47" xr10:uidLastSave="{00000000-0000-0000-0000-000000000000}"/>
  <bookViews>
    <workbookView xWindow="4284" yWindow="3360" windowWidth="17280" windowHeight="8880" xr2:uid="{00000000-000D-0000-FFFF-FFFF00000000}"/>
  </bookViews>
  <sheets>
    <sheet name="procurement plan new 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0" i="1" l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62" i="1"/>
  <c r="E45" i="1"/>
  <c r="E10" i="1"/>
  <c r="E9" i="1"/>
  <c r="E11" i="1" l="1"/>
  <c r="E12" i="1"/>
  <c r="E13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<sst xmlns="http://schemas.openxmlformats.org/spreadsheetml/2006/main" count="201" uniqueCount="154">
  <si>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</si>
  <si>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</si>
  <si>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</si>
  <si>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</si>
  <si>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</si>
  <si>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</si>
  <si>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</si>
  <si>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</si>
  <si>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</si>
  <si>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</si>
  <si>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</si>
  <si>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</si>
  <si>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</si>
  <si>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</si>
  <si>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</si>
  <si>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</si>
  <si>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</si>
  <si>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</si>
  <si>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</si>
  <si>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</si>
  <si>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</si>
  <si>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</si>
  <si>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</si>
  <si>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</si>
  <si>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</si>
  <si>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</si>
  <si>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</si>
  <si>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</si>
  <si>
    <t>30..Bindery</t>
  </si>
  <si>
    <t>31.Linen</t>
  </si>
  <si>
    <t>33.Internet</t>
  </si>
  <si>
    <t>35.Building  and Hardware Materials</t>
  </si>
  <si>
    <t>36.Hire of Motor Vehicles</t>
  </si>
  <si>
    <t>37.Community Projects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</si>
  <si>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</si>
  <si>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</si>
  <si>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</si>
  <si>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</si>
  <si>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</si>
  <si>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</si>
  <si>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</si>
  <si>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</si>
  <si>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</si>
  <si>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</si>
  <si>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</si>
  <si>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</si>
  <si>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</si>
  <si>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</si>
  <si>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</si>
  <si>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</si>
  <si>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Office consumables</t>
  </si>
  <si>
    <t>DEVELOPMENT PROJECTS</t>
  </si>
  <si>
    <t xml:space="preserve">DEVELOPMENT OF SOFTWARE </t>
  </si>
  <si>
    <t>ü</t>
  </si>
  <si>
    <t>1.ADVERTISEMENT</t>
  </si>
  <si>
    <t>quantities</t>
  </si>
  <si>
    <t>Banner</t>
  </si>
  <si>
    <t>Teardrops</t>
  </si>
  <si>
    <t>Pamphlets</t>
  </si>
  <si>
    <t>Flyers</t>
  </si>
  <si>
    <t>Brochures A5</t>
  </si>
  <si>
    <t>Laserjet 83A</t>
  </si>
  <si>
    <t>Laserjet 36A</t>
  </si>
  <si>
    <t>Spring files</t>
  </si>
  <si>
    <t>Plastic folders</t>
  </si>
  <si>
    <t>Paper punch</t>
  </si>
  <si>
    <t>A4 counter books</t>
  </si>
  <si>
    <t>A5 counter books</t>
  </si>
  <si>
    <t>Printing papers</t>
  </si>
  <si>
    <t>Yellow sticker</t>
  </si>
  <si>
    <t xml:space="preserve">Office glue </t>
  </si>
  <si>
    <t>Stapplers</t>
  </si>
  <si>
    <t>Stapple pins</t>
  </si>
  <si>
    <t>Note books (dozen)</t>
  </si>
  <si>
    <t>Bic biro pens (Packet of 24)</t>
  </si>
  <si>
    <t>Pencils (Packet of 24)</t>
  </si>
  <si>
    <t>Rubbers/erasers (packet of 24)</t>
  </si>
  <si>
    <t>Marker pens (Packet of 10)</t>
  </si>
  <si>
    <t>Permanent markers (10)</t>
  </si>
  <si>
    <t>Clip boards</t>
  </si>
  <si>
    <t>Highlighters</t>
  </si>
  <si>
    <t>Rullers</t>
  </si>
  <si>
    <t>A4 envelops (Pack of 25)</t>
  </si>
  <si>
    <t>Curtains</t>
  </si>
  <si>
    <t>First aid kits</t>
  </si>
  <si>
    <t>Safari boots</t>
  </si>
  <si>
    <t>2 pairs of green suits</t>
  </si>
  <si>
    <t>2 Pairs of green hut</t>
  </si>
  <si>
    <t>Rain coats</t>
  </si>
  <si>
    <t xml:space="preserve">Green dust coats </t>
  </si>
  <si>
    <t>Gumboots</t>
  </si>
  <si>
    <t>MICROP topdressing fertilizer(25 kg bag)</t>
  </si>
  <si>
    <t>Ethernet</t>
  </si>
  <si>
    <t>Green Abshade screening mesh (rolls)</t>
  </si>
  <si>
    <t>Fixing nails (Kgs)</t>
  </si>
  <si>
    <t>Motor vehicle hire</t>
  </si>
  <si>
    <t>Maintainance</t>
  </si>
  <si>
    <t>Fuel</t>
  </si>
  <si>
    <t>Improved pasture seeds</t>
  </si>
  <si>
    <t>Improved goat breeds</t>
  </si>
  <si>
    <t>Tree planting</t>
  </si>
  <si>
    <t>Construction of Samburu field site</t>
  </si>
  <si>
    <t>Construction of departmental store for field school equipment</t>
  </si>
  <si>
    <t>Construction of departmental laboratory</t>
  </si>
  <si>
    <t>Construction of Departmental washrooms</t>
  </si>
  <si>
    <t xml:space="preserve">ODK Design, Loading &amp; data Cleaning </t>
  </si>
  <si>
    <t>34.Media Publicity Expenses</t>
  </si>
  <si>
    <t>Kenya Televison</t>
  </si>
  <si>
    <t>Local Radio</t>
  </si>
  <si>
    <t>Tents</t>
  </si>
  <si>
    <t>Fecal sample collecting poly pots (1 pkt of 100 pcs)</t>
  </si>
  <si>
    <t>19. Staff Uniforms and protective clothing</t>
  </si>
  <si>
    <t>Power Banks (10 Pcs)</t>
  </si>
  <si>
    <t>GPS (x-trex 20)</t>
  </si>
  <si>
    <t>Digital cameras (canon-EOS 80D, DSLR,18-135MM LENS)</t>
  </si>
  <si>
    <t>Binoculars</t>
  </si>
  <si>
    <t>7. Field Equipment</t>
  </si>
  <si>
    <t>8. Field supplies</t>
  </si>
  <si>
    <t>Rechargeable headlight</t>
  </si>
  <si>
    <t>A metal storage box</t>
  </si>
  <si>
    <t>Tape measure</t>
  </si>
  <si>
    <t>GPS batteries AA &amp; AAA (pairs)</t>
  </si>
  <si>
    <t>9. Field Utensils</t>
  </si>
  <si>
    <t>Plates</t>
  </si>
  <si>
    <t>1 dozen</t>
  </si>
  <si>
    <t>Spoons</t>
  </si>
  <si>
    <t>Cups</t>
  </si>
  <si>
    <t>Knives</t>
  </si>
  <si>
    <t>Cooking pots (Assorted sizes)</t>
  </si>
  <si>
    <t>Gas cooker(Meko)</t>
  </si>
  <si>
    <t>Microtox LX analyzer</t>
  </si>
  <si>
    <t>Fridge and freezer</t>
  </si>
  <si>
    <t>Ecotoxic analyzer</t>
  </si>
  <si>
    <t>10. Office Furniture</t>
  </si>
  <si>
    <t>Office Chairs</t>
  </si>
  <si>
    <t>File Cabinet</t>
  </si>
  <si>
    <t>Notice Board</t>
  </si>
  <si>
    <t>Lockable drawers</t>
  </si>
  <si>
    <t>Lockable reference book wall shelves</t>
  </si>
  <si>
    <t>Lockable office desks</t>
  </si>
  <si>
    <t>Data Capture Phones/tablets (10 Pcs)</t>
  </si>
  <si>
    <t>Laptops</t>
  </si>
  <si>
    <t>Projector</t>
  </si>
  <si>
    <t>Electric kettle</t>
  </si>
  <si>
    <t>Desktop computers</t>
  </si>
  <si>
    <t>11. Office Machines and usables</t>
  </si>
  <si>
    <t>Ethanol (litres)</t>
  </si>
  <si>
    <t>Formaline (litres)</t>
  </si>
  <si>
    <t>Seed collection and seedlings</t>
  </si>
  <si>
    <t>Sample collecting tubes (pkt of 100)</t>
  </si>
  <si>
    <t>Soil pots for seedlings (pkt of 100)</t>
  </si>
  <si>
    <t>Office repair and painting</t>
  </si>
  <si>
    <t>International Primates Day</t>
  </si>
  <si>
    <t>Iworld Mokey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</si>
</sst>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43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9" xfId="0" applyBorder="1"/>
    <xf numFmtId="43" fontId="2" fillId="0" borderId="1" xfId="1" applyFont="1" applyBorder="1"/>
    <xf numFmtId="0" fontId="2" fillId="0" borderId="0" xfId="0" applyFont="1"/>
    <xf numFmtId="164" fontId="0" fillId="0" borderId="1" xfId="0" applyNumberFormat="1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0"/>
  <sheetViews>
    <sheetView tabSelected="1" zoomScale="102" zoomScaleNormal="100" workbookViewId="0">
      <selection activeCell="E260" sqref="E260"/>
    </sheetView>
  </sheetViews>
  <sheetFormatPr defaultRowHeight="14.4" x14ac:dyDescent="0.3"/>
  <cols>
    <col min="1" max="1" width="7.44140625" customWidth="1"/>
    <col min="2" max="2" width="51.5546875" customWidth="1"/>
    <col min="4" max="4" width="18.44140625" customWidth="1"/>
    <col min="5" max="5" width="17.5546875" bestFit="1" customWidth="1"/>
    <col min="6" max="6" width="14.109375" customWidth="1"/>
    <col min="7" max="7" width="20.5546875" customWidth="1"/>
    <col min="8" max="8" width="11.5546875" customWidth="1"/>
  </cols>
  <sheetData>
    <row r="1" spans="1:20" ht="40.5" customHeight="1" x14ac:dyDescent="0.3">
      <c r="A1" s="2"/>
      <c r="B1" s="3" t="s">
        <v>34</v>
      </c>
      <c r="C1" s="4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19"/>
      <c r="N1" s="23" t="s">
        <v>45</v>
      </c>
      <c r="O1" s="24"/>
      <c r="P1" s="24"/>
      <c r="Q1" s="24"/>
      <c r="R1" s="24"/>
      <c r="S1" s="24"/>
      <c r="T1" s="25"/>
    </row>
    <row r="2" spans="1:20" ht="22.5" customHeight="1" x14ac:dyDescent="0.3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19" t="s">
        <v>55</v>
      </c>
      <c r="N2" s="5" t="s">
        <v>46</v>
      </c>
      <c r="O2" s="6" t="s">
        <v>55</v>
      </c>
      <c r="P2" s="6" t="s">
        <v>47</v>
      </c>
      <c r="Q2" s="6" t="s">
        <v>55</v>
      </c>
      <c r="R2" s="6" t="s">
        <v>48</v>
      </c>
      <c r="S2" s="6" t="s">
        <v>55</v>
      </c>
      <c r="T2" s="7" t="s">
        <v>49</v>
      </c>
    </row>
    <row r="3" spans="1:20" x14ac:dyDescent="0.3">
      <c r="A3" s="1"/>
      <c r="B3" s="9" t="s">
        <v>0</v>
      </c>
      <c r="C3" s="1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>
        <v>1</v>
      </c>
      <c r="B4" s="1" t="s">
        <v>58</v>
      </c>
      <c r="C4" s="1">
        <v>250</v>
      </c>
      <c r="D4" s="10">
        <v>3000</v>
      </c>
      <c r="E4" s="10">
        <f>C4*D4</f>
        <v>750000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>
        <v>2</v>
      </c>
      <c r="B5" s="1" t="s">
        <v>60</v>
      </c>
      <c r="C5" s="1">
        <v>1000</v>
      </c>
      <c r="D5" s="10">
        <v>200</v>
      </c>
      <c r="E5" s="10">
        <f t="shared" ref="E5:E13" si="0">C5*D5</f>
        <v>200000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>
        <v>3</v>
      </c>
      <c r="B6" s="1" t="s">
        <v>56</v>
      </c>
      <c r="C6" s="1">
        <v>2</v>
      </c>
      <c r="D6" s="10">
        <v>7000</v>
      </c>
      <c r="E6" s="10">
        <f t="shared" si="0"/>
        <v>14000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>
        <v>4</v>
      </c>
      <c r="B7" s="1" t="s">
        <v>57</v>
      </c>
      <c r="C7" s="1">
        <v>4</v>
      </c>
      <c r="D7" s="10">
        <v>6500</v>
      </c>
      <c r="E7" s="10">
        <f t="shared" si="0"/>
        <v>26000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>
        <v>5</v>
      </c>
      <c r="B8" s="1" t="s">
        <v>59</v>
      </c>
      <c r="C8" s="1">
        <v>250</v>
      </c>
      <c r="D8" s="10">
        <v>750</v>
      </c>
      <c r="E8" s="10">
        <f t="shared" si="0"/>
        <v>187500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>
        <v>6</v>
      </c>
      <c r="B9" s="1" t="s">
        <v>152</v>
      </c>
      <c r="C9" s="1">
        <v>1</v>
      </c>
      <c r="D9" s="10">
        <v>70000</v>
      </c>
      <c r="E9" s="10">
        <f t="shared" si="0"/>
        <v>70000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>
        <v>7</v>
      </c>
      <c r="B10" s="1" t="s">
        <v>153</v>
      </c>
      <c r="C10" s="1">
        <v>1</v>
      </c>
      <c r="D10" s="10">
        <v>70000</v>
      </c>
      <c r="E10" s="10">
        <f t="shared" si="0"/>
        <v>70000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9" t="s">
        <v>1</v>
      </c>
      <c r="B11" s="9"/>
      <c r="C11" s="1"/>
      <c r="D11" s="10"/>
      <c r="E11" s="10">
        <f t="shared" si="0"/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>
        <v>1</v>
      </c>
      <c r="B12" s="1" t="s">
        <v>61</v>
      </c>
      <c r="C12" s="1">
        <v>4</v>
      </c>
      <c r="D12" s="10">
        <v>11000</v>
      </c>
      <c r="E12" s="10">
        <f t="shared" si="0"/>
        <v>44000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>
        <v>2</v>
      </c>
      <c r="B13" s="1" t="s">
        <v>62</v>
      </c>
      <c r="C13" s="1">
        <v>2</v>
      </c>
      <c r="D13" s="10">
        <v>9000</v>
      </c>
      <c r="E13" s="10">
        <f t="shared" si="0"/>
        <v>18000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>
        <v>3</v>
      </c>
      <c r="B14" s="1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>
        <v>4</v>
      </c>
      <c r="B15" s="1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9" t="s">
        <v>2</v>
      </c>
      <c r="B17" s="9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1"/>
      <c r="S18" s="11"/>
      <c r="T18" s="1"/>
    </row>
    <row r="19" spans="1:20" x14ac:dyDescent="0.3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1"/>
      <c r="S19" s="11"/>
      <c r="T19" s="1"/>
    </row>
    <row r="20" spans="1:20" x14ac:dyDescent="0.3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1"/>
      <c r="S20" s="11"/>
      <c r="T20" s="1"/>
    </row>
    <row r="21" spans="1:20" x14ac:dyDescent="0.3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1"/>
      <c r="S21" s="11"/>
      <c r="T21" s="1"/>
    </row>
    <row r="22" spans="1:20" x14ac:dyDescent="0.3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1"/>
      <c r="S22" s="11"/>
      <c r="T22" s="1"/>
    </row>
    <row r="23" spans="1:20" x14ac:dyDescent="0.3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1"/>
      <c r="S23" s="11"/>
      <c r="T23" s="1"/>
    </row>
    <row r="24" spans="1:20" x14ac:dyDescent="0.3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1"/>
      <c r="S24" s="11"/>
      <c r="T24" s="1"/>
    </row>
    <row r="25" spans="1:20" x14ac:dyDescent="0.3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0"/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9" t="s">
        <v>3</v>
      </c>
      <c r="B33" s="9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0"/>
      <c r="E34" s="10"/>
      <c r="F34" s="1"/>
      <c r="G34" s="1"/>
      <c r="H34" s="1"/>
      <c r="I34" s="8"/>
      <c r="J34" s="8"/>
      <c r="K34" s="8"/>
      <c r="L34" s="1"/>
      <c r="M34" s="1"/>
      <c r="N34" s="1"/>
      <c r="O34" s="1"/>
      <c r="P34" s="1"/>
      <c r="Q34" s="1"/>
      <c r="R34" s="11"/>
      <c r="S34" s="11"/>
      <c r="T34" s="1"/>
    </row>
    <row r="35" spans="1:20" x14ac:dyDescent="0.3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1"/>
      <c r="S35" s="11"/>
      <c r="T35" s="1"/>
    </row>
    <row r="36" spans="1:20" x14ac:dyDescent="0.3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1"/>
      <c r="S36" s="11"/>
      <c r="T36" s="1"/>
    </row>
    <row r="37" spans="1:20" x14ac:dyDescent="0.3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1"/>
      <c r="S37" s="11"/>
      <c r="T37" s="1"/>
    </row>
    <row r="38" spans="1:20" x14ac:dyDescent="0.3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1"/>
      <c r="S38" s="11"/>
      <c r="T38" s="1"/>
    </row>
    <row r="39" spans="1:20" x14ac:dyDescent="0.3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1"/>
      <c r="S39" s="11"/>
      <c r="T39" s="1"/>
    </row>
    <row r="40" spans="1:20" x14ac:dyDescent="0.3">
      <c r="A40" s="1"/>
      <c r="B40" s="1"/>
      <c r="C40" s="1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9" t="s">
        <v>4</v>
      </c>
      <c r="B44" s="9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>
        <v>1</v>
      </c>
      <c r="B45" s="1" t="s">
        <v>148</v>
      </c>
      <c r="C45" s="1">
        <v>10000</v>
      </c>
      <c r="D45" s="10">
        <v>50</v>
      </c>
      <c r="E45" s="10">
        <f>C45*D45</f>
        <v>500000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>
        <v>2</v>
      </c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>
        <v>3</v>
      </c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>
        <v>4</v>
      </c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1" x14ac:dyDescent="0.3">
      <c r="A49" s="1">
        <v>5</v>
      </c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1" x14ac:dyDescent="0.3">
      <c r="A50" s="1">
        <v>6</v>
      </c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1" x14ac:dyDescent="0.3">
      <c r="A51" s="1">
        <v>7</v>
      </c>
      <c r="B51" s="1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1" x14ac:dyDescent="0.3">
      <c r="A52" s="1">
        <v>8</v>
      </c>
      <c r="B52" s="1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1" x14ac:dyDescent="0.3">
      <c r="A53" s="1">
        <v>9</v>
      </c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1" x14ac:dyDescent="0.3">
      <c r="A54" s="9" t="s">
        <v>5</v>
      </c>
      <c r="B54" s="9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1" x14ac:dyDescent="0.3">
      <c r="A55" s="1">
        <v>1</v>
      </c>
      <c r="B55" s="1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1" x14ac:dyDescent="0.3">
      <c r="A56" s="1">
        <v>2</v>
      </c>
      <c r="B56" s="1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1" x14ac:dyDescent="0.3">
      <c r="A57" s="1">
        <v>3</v>
      </c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1" x14ac:dyDescent="0.3">
      <c r="A58" s="9"/>
      <c r="B58" s="9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1" x14ac:dyDescent="0.3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1"/>
      <c r="S59" s="11"/>
      <c r="T59" s="1"/>
    </row>
    <row r="60" spans="1:21" x14ac:dyDescent="0.3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1"/>
      <c r="S60" s="11"/>
      <c r="T60" s="1"/>
    </row>
    <row r="61" spans="1:21" x14ac:dyDescent="0.3">
      <c r="A61" s="9" t="s">
        <v>116</v>
      </c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1"/>
      <c r="S61" s="11"/>
      <c r="T61" s="1"/>
    </row>
    <row r="62" spans="1:21" x14ac:dyDescent="0.3">
      <c r="A62" s="1">
        <v>1</v>
      </c>
      <c r="B62" s="1" t="s">
        <v>140</v>
      </c>
      <c r="C62" s="10">
        <v>10</v>
      </c>
      <c r="D62" s="1">
        <v>20000</v>
      </c>
      <c r="E62" s="22">
        <f>C62*D62</f>
        <v>200000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1"/>
      <c r="S62" s="11"/>
      <c r="T62" s="1"/>
    </row>
    <row r="63" spans="1:21" x14ac:dyDescent="0.3">
      <c r="A63" s="1">
        <v>2</v>
      </c>
      <c r="B63" s="1" t="s">
        <v>112</v>
      </c>
      <c r="C63" s="10">
        <v>10</v>
      </c>
      <c r="D63" s="1">
        <v>5000</v>
      </c>
      <c r="E63" s="22">
        <f t="shared" ref="E63:E126" si="1">C63*D63</f>
        <v>50000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1"/>
      <c r="S63" s="11"/>
      <c r="T63" s="1"/>
      <c r="U63" s="1"/>
    </row>
    <row r="64" spans="1:21" x14ac:dyDescent="0.3">
      <c r="A64" s="1">
        <v>3</v>
      </c>
      <c r="B64" s="1" t="s">
        <v>113</v>
      </c>
      <c r="C64" s="10">
        <v>8</v>
      </c>
      <c r="D64" s="1">
        <v>25000</v>
      </c>
      <c r="E64" s="22">
        <f t="shared" si="1"/>
        <v>200000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1"/>
      <c r="S64" s="11"/>
      <c r="T64" s="1"/>
      <c r="U64" s="1"/>
    </row>
    <row r="65" spans="1:21" x14ac:dyDescent="0.3">
      <c r="A65" s="1">
        <v>4</v>
      </c>
      <c r="B65" s="1" t="s">
        <v>114</v>
      </c>
      <c r="C65" s="10">
        <v>2</v>
      </c>
      <c r="D65" s="1">
        <v>141000</v>
      </c>
      <c r="E65" s="22">
        <f t="shared" si="1"/>
        <v>282000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1"/>
      <c r="S65" s="11"/>
      <c r="T65" s="1"/>
      <c r="U65" s="1"/>
    </row>
    <row r="66" spans="1:21" x14ac:dyDescent="0.3">
      <c r="A66" s="1">
        <v>6</v>
      </c>
      <c r="B66" s="1" t="s">
        <v>115</v>
      </c>
      <c r="C66" s="10">
        <v>4</v>
      </c>
      <c r="D66" s="1">
        <v>25000</v>
      </c>
      <c r="E66" s="22">
        <f t="shared" si="1"/>
        <v>100000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1"/>
      <c r="S66" s="11"/>
      <c r="T66" s="1"/>
      <c r="U66" s="1"/>
    </row>
    <row r="67" spans="1:21" x14ac:dyDescent="0.3">
      <c r="A67" s="1">
        <v>7</v>
      </c>
      <c r="E67" s="22">
        <f t="shared" si="1"/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1"/>
      <c r="S67" s="11"/>
      <c r="T67" s="1"/>
      <c r="U67" s="1"/>
    </row>
    <row r="68" spans="1:21" x14ac:dyDescent="0.3">
      <c r="A68" s="1"/>
      <c r="B68" s="1"/>
      <c r="C68" s="1"/>
      <c r="D68" s="10"/>
      <c r="E68" s="22">
        <f t="shared" si="1"/>
        <v>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1"/>
      <c r="S68" s="11"/>
      <c r="T68" s="1"/>
      <c r="U68" s="1"/>
    </row>
    <row r="69" spans="1:21" x14ac:dyDescent="0.3">
      <c r="A69" s="1"/>
      <c r="B69" s="1"/>
      <c r="C69" s="1"/>
      <c r="D69" s="10"/>
      <c r="E69" s="22">
        <f t="shared" si="1"/>
        <v>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1"/>
      <c r="S69" s="11"/>
      <c r="T69" s="1"/>
      <c r="U69" s="1"/>
    </row>
    <row r="70" spans="1:21" x14ac:dyDescent="0.3">
      <c r="A70" s="1"/>
      <c r="B70" s="1"/>
      <c r="C70" s="1"/>
      <c r="D70" s="10"/>
      <c r="E70" s="22">
        <f t="shared" si="1"/>
        <v>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1"/>
      <c r="S70" s="11"/>
      <c r="T70" s="1"/>
      <c r="U70" s="1"/>
    </row>
    <row r="71" spans="1:21" x14ac:dyDescent="0.3">
      <c r="A71" s="9" t="s">
        <v>117</v>
      </c>
      <c r="B71" s="1"/>
      <c r="C71" s="1"/>
      <c r="D71" s="10"/>
      <c r="E71" s="22">
        <f t="shared" si="1"/>
        <v>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1"/>
      <c r="S71" s="11"/>
      <c r="T71" s="1"/>
      <c r="U71" s="1"/>
    </row>
    <row r="72" spans="1:21" x14ac:dyDescent="0.3">
      <c r="A72" s="1">
        <v>1</v>
      </c>
      <c r="B72" s="1" t="s">
        <v>109</v>
      </c>
      <c r="C72" s="1">
        <v>15</v>
      </c>
      <c r="D72" s="10">
        <v>15000</v>
      </c>
      <c r="E72" s="22">
        <f t="shared" si="1"/>
        <v>225000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1"/>
      <c r="S72" s="11"/>
      <c r="T72" s="1"/>
      <c r="U72" s="1"/>
    </row>
    <row r="73" spans="1:21" x14ac:dyDescent="0.3">
      <c r="A73" s="1">
        <v>2</v>
      </c>
      <c r="B73" s="1" t="s">
        <v>118</v>
      </c>
      <c r="C73" s="1">
        <v>15</v>
      </c>
      <c r="D73" s="10">
        <v>1600</v>
      </c>
      <c r="E73" s="22">
        <f t="shared" si="1"/>
        <v>24000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1"/>
      <c r="S73" s="11"/>
      <c r="T73" s="1"/>
      <c r="U73" s="1"/>
    </row>
    <row r="74" spans="1:21" x14ac:dyDescent="0.3">
      <c r="A74" s="1">
        <v>3</v>
      </c>
      <c r="B74" s="1" t="s">
        <v>119</v>
      </c>
      <c r="C74" s="1">
        <v>2</v>
      </c>
      <c r="D74" s="10">
        <v>4500</v>
      </c>
      <c r="E74" s="22">
        <f t="shared" si="1"/>
        <v>9000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1"/>
      <c r="S74" s="11"/>
      <c r="T74" s="1"/>
      <c r="U74" s="1"/>
    </row>
    <row r="75" spans="1:21" x14ac:dyDescent="0.3">
      <c r="A75" s="1">
        <v>4</v>
      </c>
      <c r="B75" s="1" t="s">
        <v>120</v>
      </c>
      <c r="C75" s="1">
        <v>2</v>
      </c>
      <c r="D75" s="10">
        <v>2000</v>
      </c>
      <c r="E75" s="22">
        <f t="shared" si="1"/>
        <v>4000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1"/>
      <c r="S75" s="11"/>
      <c r="T75" s="1"/>
      <c r="U75" s="1"/>
    </row>
    <row r="76" spans="1:21" x14ac:dyDescent="0.3">
      <c r="A76" s="1">
        <v>5</v>
      </c>
      <c r="B76" s="1" t="s">
        <v>121</v>
      </c>
      <c r="C76" s="1">
        <v>10</v>
      </c>
      <c r="D76" s="10">
        <v>5000</v>
      </c>
      <c r="E76" s="22">
        <f t="shared" si="1"/>
        <v>50000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1"/>
      <c r="S76" s="11"/>
      <c r="T76" s="1"/>
      <c r="U76" s="1"/>
    </row>
    <row r="77" spans="1:21" x14ac:dyDescent="0.3">
      <c r="A77" s="1">
        <v>6</v>
      </c>
      <c r="B77" s="1" t="s">
        <v>84</v>
      </c>
      <c r="C77" s="1">
        <v>4</v>
      </c>
      <c r="D77" s="10">
        <v>7000</v>
      </c>
      <c r="E77" s="22">
        <f t="shared" si="1"/>
        <v>28000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1"/>
      <c r="S77" s="11"/>
      <c r="T77" s="1"/>
      <c r="U77" s="1"/>
    </row>
    <row r="78" spans="1:21" x14ac:dyDescent="0.3">
      <c r="A78" s="1"/>
      <c r="B78" s="1"/>
      <c r="C78" s="1"/>
      <c r="D78" s="10"/>
      <c r="E78" s="22">
        <f t="shared" si="1"/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1"/>
      <c r="S78" s="11"/>
      <c r="T78" s="1"/>
      <c r="U78" s="1"/>
    </row>
    <row r="79" spans="1:21" x14ac:dyDescent="0.3">
      <c r="A79" s="1"/>
      <c r="B79" s="1"/>
      <c r="C79" s="1"/>
      <c r="D79" s="10"/>
      <c r="E79" s="22">
        <f t="shared" si="1"/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1"/>
      <c r="S79" s="11"/>
      <c r="T79" s="1"/>
      <c r="U79" s="1"/>
    </row>
    <row r="80" spans="1:21" x14ac:dyDescent="0.3">
      <c r="A80" s="9" t="s">
        <v>122</v>
      </c>
      <c r="B80" s="1"/>
      <c r="C80" s="1"/>
      <c r="D80" s="10"/>
      <c r="E80" s="22">
        <f t="shared" si="1"/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1"/>
      <c r="S80" s="11"/>
      <c r="T80" s="1"/>
      <c r="U80" s="1"/>
    </row>
    <row r="81" spans="1:21" x14ac:dyDescent="0.3">
      <c r="A81" s="1">
        <v>1</v>
      </c>
      <c r="B81" s="1" t="s">
        <v>123</v>
      </c>
      <c r="C81" s="1" t="s">
        <v>124</v>
      </c>
      <c r="D81" s="10">
        <v>1200</v>
      </c>
      <c r="E81" s="22">
        <v>1200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3">
      <c r="A82" s="1">
        <v>2</v>
      </c>
      <c r="B82" s="1" t="s">
        <v>125</v>
      </c>
      <c r="C82" s="1" t="s">
        <v>124</v>
      </c>
      <c r="D82" s="10">
        <v>300</v>
      </c>
      <c r="E82" s="22">
        <v>300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3">
      <c r="A83" s="1">
        <v>3</v>
      </c>
      <c r="B83" s="1" t="s">
        <v>126</v>
      </c>
      <c r="C83" s="1" t="s">
        <v>124</v>
      </c>
      <c r="D83" s="10">
        <v>1500</v>
      </c>
      <c r="E83" s="22">
        <v>1500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3">
      <c r="A84" s="1">
        <v>4</v>
      </c>
      <c r="B84" s="1" t="s">
        <v>127</v>
      </c>
      <c r="C84" s="1">
        <v>2</v>
      </c>
      <c r="D84" s="10">
        <v>200</v>
      </c>
      <c r="E84" s="22">
        <f t="shared" si="1"/>
        <v>400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3">
      <c r="A85" s="1">
        <v>5</v>
      </c>
      <c r="B85" s="1" t="s">
        <v>128</v>
      </c>
      <c r="C85" s="1">
        <v>5</v>
      </c>
      <c r="D85" s="10">
        <v>1000</v>
      </c>
      <c r="E85" s="22">
        <f t="shared" si="1"/>
        <v>5000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3">
      <c r="A86" s="9">
        <v>6</v>
      </c>
      <c r="B86" s="1" t="s">
        <v>129</v>
      </c>
      <c r="C86" s="1">
        <v>1</v>
      </c>
      <c r="D86" s="10">
        <v>5000</v>
      </c>
      <c r="E86" s="22">
        <f t="shared" si="1"/>
        <v>5000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1" x14ac:dyDescent="0.3">
      <c r="A87" s="1"/>
      <c r="B87" s="1"/>
      <c r="C87" s="1"/>
      <c r="D87" s="10"/>
      <c r="E87" s="22">
        <f t="shared" si="1"/>
        <v>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1"/>
      <c r="S87" s="11"/>
      <c r="T87" s="1"/>
    </row>
    <row r="88" spans="1:21" x14ac:dyDescent="0.3">
      <c r="A88" s="9" t="s">
        <v>133</v>
      </c>
      <c r="B88" s="9"/>
      <c r="C88" s="1"/>
      <c r="D88" s="10"/>
      <c r="E88" s="22">
        <f t="shared" si="1"/>
        <v>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1"/>
      <c r="S88" s="11"/>
      <c r="T88" s="1"/>
    </row>
    <row r="89" spans="1:21" x14ac:dyDescent="0.3">
      <c r="A89" s="1">
        <v>1</v>
      </c>
      <c r="B89" s="10" t="s">
        <v>134</v>
      </c>
      <c r="C89" s="1">
        <v>8</v>
      </c>
      <c r="D89" s="1">
        <v>40000</v>
      </c>
      <c r="E89" s="22">
        <f t="shared" si="1"/>
        <v>320000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1"/>
      <c r="S89" s="11"/>
      <c r="T89" s="1"/>
    </row>
    <row r="90" spans="1:21" x14ac:dyDescent="0.3">
      <c r="A90" s="1">
        <v>2</v>
      </c>
      <c r="B90" s="10" t="s">
        <v>135</v>
      </c>
      <c r="C90" s="1">
        <v>6</v>
      </c>
      <c r="D90" s="1">
        <v>15000</v>
      </c>
      <c r="E90" s="22">
        <f t="shared" si="1"/>
        <v>90000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1"/>
      <c r="S90" s="11"/>
      <c r="T90" s="1"/>
    </row>
    <row r="91" spans="1:21" x14ac:dyDescent="0.3">
      <c r="A91" s="1">
        <v>3</v>
      </c>
      <c r="B91" s="10" t="s">
        <v>138</v>
      </c>
      <c r="C91" s="1">
        <v>2</v>
      </c>
      <c r="D91" s="1">
        <v>30000</v>
      </c>
      <c r="E91" s="22">
        <f t="shared" si="1"/>
        <v>60000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1"/>
      <c r="S91" s="11"/>
      <c r="T91" s="1"/>
    </row>
    <row r="92" spans="1:21" x14ac:dyDescent="0.3">
      <c r="A92" s="1">
        <v>4</v>
      </c>
      <c r="B92" s="10" t="s">
        <v>136</v>
      </c>
      <c r="C92" s="1">
        <v>3</v>
      </c>
      <c r="D92" s="1">
        <v>8000</v>
      </c>
      <c r="E92" s="22">
        <f t="shared" si="1"/>
        <v>24000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1"/>
      <c r="S92" s="11"/>
      <c r="T92" s="1"/>
    </row>
    <row r="93" spans="1:21" x14ac:dyDescent="0.3">
      <c r="A93" s="1">
        <v>5</v>
      </c>
      <c r="B93" s="10" t="s">
        <v>137</v>
      </c>
      <c r="C93" s="1">
        <v>3</v>
      </c>
      <c r="D93" s="1">
        <v>25000</v>
      </c>
      <c r="E93" s="22">
        <f t="shared" si="1"/>
        <v>75000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1"/>
      <c r="S93" s="11"/>
      <c r="T93" s="1"/>
    </row>
    <row r="94" spans="1:21" x14ac:dyDescent="0.3">
      <c r="A94" s="1">
        <v>6</v>
      </c>
      <c r="B94" s="1" t="s">
        <v>139</v>
      </c>
      <c r="C94" s="1">
        <v>8</v>
      </c>
      <c r="D94" s="10">
        <v>15000</v>
      </c>
      <c r="E94" s="22">
        <f t="shared" si="1"/>
        <v>120000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1"/>
      <c r="S94" s="11"/>
      <c r="T94" s="1"/>
    </row>
    <row r="95" spans="1:21" x14ac:dyDescent="0.3">
      <c r="A95" s="1"/>
      <c r="B95" s="1"/>
      <c r="C95" s="1"/>
      <c r="D95" s="10"/>
      <c r="E95" s="22">
        <f t="shared" si="1"/>
        <v>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1"/>
      <c r="S95" s="11"/>
      <c r="T95" s="1"/>
    </row>
    <row r="96" spans="1:21" x14ac:dyDescent="0.3">
      <c r="A96" s="1"/>
      <c r="B96" s="1"/>
      <c r="C96" s="1"/>
      <c r="D96" s="10"/>
      <c r="E96" s="22">
        <f t="shared" si="1"/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1"/>
      <c r="S96" s="11"/>
      <c r="T96" s="1"/>
    </row>
    <row r="97" spans="1:20" x14ac:dyDescent="0.3">
      <c r="A97" s="1"/>
      <c r="B97" s="1"/>
      <c r="C97" s="1"/>
      <c r="D97" s="10"/>
      <c r="E97" s="22">
        <f t="shared" si="1"/>
        <v>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1"/>
      <c r="S97" s="11"/>
      <c r="T97" s="1"/>
    </row>
    <row r="98" spans="1:20" x14ac:dyDescent="0.3">
      <c r="A98" s="1"/>
      <c r="B98" s="1"/>
      <c r="C98" s="1"/>
      <c r="D98" s="10"/>
      <c r="E98" s="22">
        <f t="shared" si="1"/>
        <v>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1"/>
      <c r="S98" s="11"/>
      <c r="T98" s="1"/>
    </row>
    <row r="99" spans="1:20" x14ac:dyDescent="0.3">
      <c r="A99" s="9" t="s">
        <v>145</v>
      </c>
      <c r="B99" s="1"/>
      <c r="C99" s="1"/>
      <c r="D99" s="10"/>
      <c r="E99" s="22">
        <f t="shared" si="1"/>
        <v>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1"/>
      <c r="S99" s="11"/>
      <c r="T99" s="1"/>
    </row>
    <row r="100" spans="1:20" x14ac:dyDescent="0.3">
      <c r="A100" s="1">
        <v>1</v>
      </c>
      <c r="B100" s="1" t="s">
        <v>144</v>
      </c>
      <c r="C100" s="1">
        <v>2</v>
      </c>
      <c r="D100" s="10">
        <v>150000</v>
      </c>
      <c r="E100" s="22">
        <f t="shared" si="1"/>
        <v>300000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1"/>
      <c r="S100" s="11"/>
      <c r="T100" s="1"/>
    </row>
    <row r="101" spans="1:20" x14ac:dyDescent="0.3">
      <c r="A101" s="1">
        <v>2</v>
      </c>
      <c r="B101" s="1" t="s">
        <v>141</v>
      </c>
      <c r="C101" s="1">
        <v>2</v>
      </c>
      <c r="D101" s="10">
        <v>150000</v>
      </c>
      <c r="E101" s="22">
        <f t="shared" si="1"/>
        <v>300000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1"/>
      <c r="S101" s="11"/>
      <c r="T101" s="1"/>
    </row>
    <row r="102" spans="1:20" x14ac:dyDescent="0.3">
      <c r="A102" s="1">
        <v>3</v>
      </c>
      <c r="B102" s="1" t="s">
        <v>142</v>
      </c>
      <c r="C102" s="1">
        <v>1</v>
      </c>
      <c r="D102" s="10">
        <v>150000</v>
      </c>
      <c r="E102" s="22">
        <f t="shared" si="1"/>
        <v>150000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1"/>
      <c r="S102" s="11"/>
      <c r="T102" s="1"/>
    </row>
    <row r="103" spans="1:20" x14ac:dyDescent="0.3">
      <c r="A103" s="1">
        <v>4</v>
      </c>
      <c r="B103" s="4" t="s">
        <v>143</v>
      </c>
      <c r="C103" s="1">
        <v>1</v>
      </c>
      <c r="D103" s="10">
        <v>4000</v>
      </c>
      <c r="E103" s="22">
        <f t="shared" si="1"/>
        <v>4000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1"/>
      <c r="S103" s="11"/>
      <c r="T103" s="1"/>
    </row>
    <row r="104" spans="1:20" x14ac:dyDescent="0.3">
      <c r="A104" s="1"/>
      <c r="B104" s="1"/>
      <c r="C104" s="1"/>
      <c r="D104" s="10"/>
      <c r="E104" s="22">
        <f t="shared" si="1"/>
        <v>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1"/>
      <c r="S104" s="11"/>
      <c r="T104" s="1"/>
    </row>
    <row r="105" spans="1:20" x14ac:dyDescent="0.3">
      <c r="A105" s="1"/>
      <c r="B105" s="1"/>
      <c r="C105" s="1"/>
      <c r="D105" s="10"/>
      <c r="E105" s="22">
        <f t="shared" si="1"/>
        <v>0</v>
      </c>
      <c r="F105" s="1"/>
      <c r="G105" s="1"/>
      <c r="H105" s="1"/>
      <c r="I105" s="1"/>
      <c r="J105" s="11"/>
      <c r="K105" s="1"/>
      <c r="L105" s="1"/>
      <c r="M105" s="1"/>
      <c r="N105" s="1"/>
      <c r="O105" s="1"/>
      <c r="P105" s="1"/>
      <c r="Q105" s="1"/>
      <c r="R105" s="11"/>
      <c r="S105" s="11"/>
      <c r="T105" s="1"/>
    </row>
    <row r="106" spans="1:20" x14ac:dyDescent="0.3">
      <c r="A106" s="1"/>
      <c r="B106" s="1"/>
      <c r="C106" s="1"/>
      <c r="D106" s="10"/>
      <c r="E106" s="22">
        <f t="shared" si="1"/>
        <v>0</v>
      </c>
      <c r="F106" s="1"/>
      <c r="G106" s="1"/>
      <c r="H106" s="1"/>
      <c r="I106" s="1"/>
      <c r="J106" s="11"/>
      <c r="K106" s="1"/>
      <c r="L106" s="1"/>
      <c r="M106" s="1"/>
      <c r="N106" s="1"/>
      <c r="O106" s="1"/>
      <c r="P106" s="1"/>
      <c r="Q106" s="1"/>
      <c r="R106" s="11"/>
      <c r="S106" s="11"/>
      <c r="T106" s="1"/>
    </row>
    <row r="107" spans="1:20" x14ac:dyDescent="0.3">
      <c r="A107" s="1"/>
      <c r="B107" s="1"/>
      <c r="C107" s="1"/>
      <c r="D107" s="10"/>
      <c r="E107" s="22">
        <f t="shared" si="1"/>
        <v>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1"/>
      <c r="S107" s="11"/>
      <c r="T107" s="1"/>
    </row>
    <row r="108" spans="1:20" x14ac:dyDescent="0.3">
      <c r="A108" s="1"/>
      <c r="B108" s="1"/>
      <c r="C108" s="1"/>
      <c r="D108" s="10"/>
      <c r="E108" s="22">
        <f t="shared" si="1"/>
        <v>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1"/>
      <c r="S108" s="11"/>
      <c r="T108" s="1"/>
    </row>
    <row r="109" spans="1:20" x14ac:dyDescent="0.3">
      <c r="A109" s="1"/>
      <c r="B109" s="1"/>
      <c r="C109" s="1"/>
      <c r="D109" s="10"/>
      <c r="E109" s="22">
        <f t="shared" si="1"/>
        <v>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1"/>
      <c r="S109" s="11"/>
      <c r="T109" s="1"/>
    </row>
    <row r="110" spans="1:20" x14ac:dyDescent="0.3">
      <c r="A110" s="9" t="s">
        <v>8</v>
      </c>
      <c r="B110" s="9"/>
      <c r="C110" s="1"/>
      <c r="D110" s="10"/>
      <c r="E110" s="22">
        <f t="shared" si="1"/>
        <v>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1"/>
      <c r="S110" s="11"/>
      <c r="T110" s="1"/>
    </row>
    <row r="111" spans="1:20" x14ac:dyDescent="0.3">
      <c r="A111" s="1">
        <v>1</v>
      </c>
      <c r="B111" s="1" t="s">
        <v>96</v>
      </c>
      <c r="C111" s="1">
        <v>15</v>
      </c>
      <c r="D111" s="10">
        <v>10000</v>
      </c>
      <c r="E111" s="22">
        <f t="shared" si="1"/>
        <v>150000</v>
      </c>
      <c r="F111" s="1"/>
      <c r="G111" s="1"/>
      <c r="H111" s="1"/>
      <c r="I111" s="1"/>
      <c r="J111" s="1"/>
      <c r="K111" s="1"/>
      <c r="L111" s="11"/>
      <c r="M111" s="11"/>
      <c r="N111" s="1"/>
      <c r="O111" s="1"/>
      <c r="P111" s="1"/>
      <c r="Q111" s="1"/>
      <c r="R111" s="11"/>
      <c r="S111" s="11"/>
      <c r="T111" s="1"/>
    </row>
    <row r="112" spans="1:20" x14ac:dyDescent="0.3">
      <c r="A112" s="1">
        <v>2</v>
      </c>
      <c r="B112" s="1" t="s">
        <v>97</v>
      </c>
      <c r="C112" s="1">
        <v>37500</v>
      </c>
      <c r="D112" s="10">
        <v>200</v>
      </c>
      <c r="E112" s="22">
        <f t="shared" si="1"/>
        <v>7500000</v>
      </c>
      <c r="F112" s="1"/>
      <c r="G112" s="1"/>
      <c r="H112" s="1"/>
      <c r="I112" s="1"/>
      <c r="J112" s="1"/>
      <c r="K112" s="1"/>
      <c r="L112" s="11"/>
      <c r="M112" s="11"/>
      <c r="N112" s="1"/>
      <c r="O112" s="1"/>
      <c r="P112" s="1"/>
      <c r="Q112" s="1"/>
      <c r="R112" s="11"/>
      <c r="S112" s="11"/>
      <c r="T112" s="1"/>
    </row>
    <row r="113" spans="1:20" x14ac:dyDescent="0.3">
      <c r="A113" s="1"/>
      <c r="B113" s="1"/>
      <c r="C113" s="1"/>
      <c r="D113" s="10"/>
      <c r="E113" s="22">
        <f t="shared" si="1"/>
        <v>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1"/>
      <c r="S113" s="11"/>
      <c r="T113" s="1"/>
    </row>
    <row r="114" spans="1:20" x14ac:dyDescent="0.3">
      <c r="A114" s="1"/>
      <c r="B114" s="1"/>
      <c r="C114" s="1"/>
      <c r="D114" s="10"/>
      <c r="E114" s="22">
        <f t="shared" si="1"/>
        <v>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1"/>
      <c r="S114" s="11"/>
      <c r="T114" s="1"/>
    </row>
    <row r="115" spans="1:20" x14ac:dyDescent="0.3">
      <c r="A115" s="1"/>
      <c r="B115" s="1"/>
      <c r="C115" s="1"/>
      <c r="D115" s="10"/>
      <c r="E115" s="22">
        <f t="shared" si="1"/>
        <v>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9"/>
      <c r="B116" s="9"/>
      <c r="C116" s="1"/>
      <c r="D116" s="10"/>
      <c r="E116" s="22">
        <f t="shared" si="1"/>
        <v>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1"/>
      <c r="B117" s="1"/>
      <c r="C117" s="1"/>
      <c r="D117" s="10"/>
      <c r="E117" s="22">
        <f t="shared" si="1"/>
        <v>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1"/>
      <c r="B118" s="1"/>
      <c r="C118" s="1"/>
      <c r="D118" s="10"/>
      <c r="E118" s="22">
        <f t="shared" si="1"/>
        <v>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1"/>
      <c r="B119" s="1"/>
      <c r="C119" s="1"/>
      <c r="D119" s="10"/>
      <c r="E119" s="22">
        <f t="shared" si="1"/>
        <v>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1"/>
      <c r="B120" s="1"/>
      <c r="C120" s="1"/>
      <c r="D120" s="10"/>
      <c r="E120" s="22">
        <f t="shared" si="1"/>
        <v>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1" t="s">
        <v>10</v>
      </c>
      <c r="B121" s="1"/>
      <c r="C121" s="1"/>
      <c r="D121" s="10"/>
      <c r="E121" s="22">
        <f t="shared" si="1"/>
        <v>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1">
        <v>1</v>
      </c>
      <c r="B122" s="1"/>
      <c r="C122" s="1"/>
      <c r="D122" s="10"/>
      <c r="E122" s="22">
        <f t="shared" si="1"/>
        <v>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1">
        <v>2</v>
      </c>
      <c r="B123" s="1"/>
      <c r="C123" s="1"/>
      <c r="D123" s="10"/>
      <c r="E123" s="22">
        <f t="shared" si="1"/>
        <v>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1">
        <v>3</v>
      </c>
      <c r="B124" s="1"/>
      <c r="C124" s="1"/>
      <c r="D124" s="10"/>
      <c r="E124" s="22">
        <f t="shared" si="1"/>
        <v>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s="21" customFormat="1" x14ac:dyDescent="0.3">
      <c r="A125" s="9" t="s">
        <v>11</v>
      </c>
      <c r="B125" s="9"/>
      <c r="C125" s="9"/>
      <c r="D125" s="20"/>
      <c r="E125" s="22">
        <f t="shared" si="1"/>
        <v>0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1:20" x14ac:dyDescent="0.3">
      <c r="A126" s="1">
        <v>1</v>
      </c>
      <c r="B126" s="1" t="s">
        <v>68</v>
      </c>
      <c r="C126" s="1">
        <v>4</v>
      </c>
      <c r="D126" s="10">
        <v>1000</v>
      </c>
      <c r="E126" s="22">
        <f t="shared" si="1"/>
        <v>4000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1">
        <v>2</v>
      </c>
      <c r="B127" s="1" t="s">
        <v>73</v>
      </c>
      <c r="C127" s="1">
        <v>20</v>
      </c>
      <c r="D127" s="10">
        <v>1200</v>
      </c>
      <c r="E127" s="22">
        <f t="shared" ref="E127:E190" si="2">C127*D127</f>
        <v>24000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1">
        <v>3</v>
      </c>
      <c r="B128" s="1" t="s">
        <v>74</v>
      </c>
      <c r="C128" s="1">
        <v>10</v>
      </c>
      <c r="D128" s="10">
        <v>1500</v>
      </c>
      <c r="E128" s="22">
        <f t="shared" si="2"/>
        <v>15000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1">
        <v>4</v>
      </c>
      <c r="B129" s="1" t="s">
        <v>75</v>
      </c>
      <c r="C129" s="1">
        <v>5</v>
      </c>
      <c r="D129" s="10">
        <v>1500</v>
      </c>
      <c r="E129" s="22">
        <f t="shared" si="2"/>
        <v>7500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1">
        <v>5</v>
      </c>
      <c r="B130" s="1" t="s">
        <v>76</v>
      </c>
      <c r="C130" s="1">
        <v>5</v>
      </c>
      <c r="D130" s="10">
        <v>720</v>
      </c>
      <c r="E130" s="22">
        <f t="shared" si="2"/>
        <v>3600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1">
        <v>6</v>
      </c>
      <c r="B131" s="1" t="s">
        <v>69</v>
      </c>
      <c r="C131" s="1">
        <v>12</v>
      </c>
      <c r="D131" s="10">
        <v>150</v>
      </c>
      <c r="E131" s="22">
        <f t="shared" si="2"/>
        <v>1800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1">
        <v>7</v>
      </c>
      <c r="B132" s="1" t="s">
        <v>70</v>
      </c>
      <c r="C132" s="1">
        <v>4</v>
      </c>
      <c r="D132" s="10">
        <v>150</v>
      </c>
      <c r="E132" s="22">
        <f t="shared" si="2"/>
        <v>600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1">
        <v>8</v>
      </c>
      <c r="B133" s="1" t="s">
        <v>63</v>
      </c>
      <c r="C133" s="1">
        <v>12</v>
      </c>
      <c r="D133" s="10">
        <v>100</v>
      </c>
      <c r="E133" s="22">
        <f t="shared" si="2"/>
        <v>1200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1">
        <v>9</v>
      </c>
      <c r="B134" s="1" t="s">
        <v>71</v>
      </c>
      <c r="C134" s="1">
        <v>3</v>
      </c>
      <c r="D134" s="10">
        <v>500</v>
      </c>
      <c r="E134" s="22">
        <f t="shared" si="2"/>
        <v>1500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1">
        <v>10</v>
      </c>
      <c r="B135" s="1" t="s">
        <v>72</v>
      </c>
      <c r="C135" s="1">
        <v>2</v>
      </c>
      <c r="D135" s="10">
        <v>200</v>
      </c>
      <c r="E135" s="22">
        <f t="shared" si="2"/>
        <v>400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1">
        <v>11</v>
      </c>
      <c r="B136" s="1" t="s">
        <v>77</v>
      </c>
      <c r="C136" s="1">
        <v>2</v>
      </c>
      <c r="D136" s="1">
        <v>1500</v>
      </c>
      <c r="E136" s="22">
        <f t="shared" si="2"/>
        <v>3000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1">
        <v>12</v>
      </c>
      <c r="B137" s="1" t="s">
        <v>78</v>
      </c>
      <c r="C137" s="1">
        <v>1</v>
      </c>
      <c r="D137" s="1">
        <v>60</v>
      </c>
      <c r="E137" s="22">
        <f t="shared" si="2"/>
        <v>60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1">
        <v>13</v>
      </c>
      <c r="B138" s="1" t="s">
        <v>80</v>
      </c>
      <c r="C138" s="1">
        <v>6</v>
      </c>
      <c r="D138" s="1">
        <v>150</v>
      </c>
      <c r="E138" s="22">
        <f t="shared" si="2"/>
        <v>900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1">
        <v>14</v>
      </c>
      <c r="B139" s="1" t="s">
        <v>66</v>
      </c>
      <c r="C139" s="1">
        <v>6</v>
      </c>
      <c r="D139" s="1">
        <v>300</v>
      </c>
      <c r="E139" s="22">
        <f t="shared" si="2"/>
        <v>1800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1">
        <v>15</v>
      </c>
      <c r="B140" s="1" t="s">
        <v>67</v>
      </c>
      <c r="C140" s="1">
        <v>6</v>
      </c>
      <c r="D140" s="1">
        <v>250</v>
      </c>
      <c r="E140" s="22">
        <f t="shared" si="2"/>
        <v>1500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1">
        <v>16</v>
      </c>
      <c r="B141" s="1" t="s">
        <v>79</v>
      </c>
      <c r="C141" s="1">
        <v>12</v>
      </c>
      <c r="D141" s="1">
        <v>150</v>
      </c>
      <c r="E141" s="22">
        <f t="shared" si="2"/>
        <v>1800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1">
        <v>17</v>
      </c>
      <c r="B142" s="1" t="s">
        <v>65</v>
      </c>
      <c r="C142" s="1">
        <v>3</v>
      </c>
      <c r="D142" s="10">
        <v>500</v>
      </c>
      <c r="E142" s="22">
        <f t="shared" si="2"/>
        <v>1500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1">
        <v>18</v>
      </c>
      <c r="B143" s="1" t="s">
        <v>81</v>
      </c>
      <c r="C143" s="1">
        <v>6</v>
      </c>
      <c r="D143" s="10">
        <v>100</v>
      </c>
      <c r="E143" s="22">
        <f t="shared" si="2"/>
        <v>600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1">
        <v>19</v>
      </c>
      <c r="B144" s="1" t="s">
        <v>64</v>
      </c>
      <c r="C144" s="1">
        <v>6</v>
      </c>
      <c r="D144" s="10">
        <v>100</v>
      </c>
      <c r="E144" s="22">
        <f t="shared" si="2"/>
        <v>600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1">
        <v>20</v>
      </c>
      <c r="B145" s="1" t="s">
        <v>82</v>
      </c>
      <c r="C145" s="1">
        <v>4</v>
      </c>
      <c r="D145" s="10">
        <v>500</v>
      </c>
      <c r="E145" s="22">
        <f t="shared" si="2"/>
        <v>2000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1"/>
      <c r="B146" s="1"/>
      <c r="C146" s="1"/>
      <c r="D146" s="10"/>
      <c r="E146" s="22">
        <f t="shared" si="2"/>
        <v>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9" t="s">
        <v>12</v>
      </c>
      <c r="B147" s="9"/>
      <c r="C147" s="1"/>
      <c r="D147" s="10"/>
      <c r="E147" s="22">
        <f t="shared" si="2"/>
        <v>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1"/>
      <c r="B148" s="1" t="s">
        <v>83</v>
      </c>
      <c r="C148" s="1">
        <v>10</v>
      </c>
      <c r="D148" s="10">
        <v>20000</v>
      </c>
      <c r="E148" s="22">
        <f t="shared" si="2"/>
        <v>200000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1"/>
      <c r="S148" s="11"/>
      <c r="T148" s="1"/>
    </row>
    <row r="149" spans="1:20" x14ac:dyDescent="0.3">
      <c r="A149" s="1"/>
      <c r="B149" s="1" t="s">
        <v>151</v>
      </c>
      <c r="C149" s="1">
        <v>1</v>
      </c>
      <c r="D149" s="10">
        <v>400000</v>
      </c>
      <c r="E149" s="22">
        <f t="shared" si="2"/>
        <v>400000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1"/>
      <c r="S149" s="11"/>
      <c r="T149" s="1"/>
    </row>
    <row r="150" spans="1:20" x14ac:dyDescent="0.3">
      <c r="A150" s="1"/>
      <c r="B150" s="1"/>
      <c r="C150" s="1"/>
      <c r="D150" s="10"/>
      <c r="E150" s="22">
        <f t="shared" si="2"/>
        <v>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1"/>
      <c r="S150" s="11"/>
      <c r="T150" s="1"/>
    </row>
    <row r="151" spans="1:20" x14ac:dyDescent="0.3">
      <c r="A151" s="1"/>
      <c r="B151" s="1"/>
      <c r="C151" s="1"/>
      <c r="D151" s="10"/>
      <c r="E151" s="22">
        <f t="shared" si="2"/>
        <v>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1" t="s">
        <v>13</v>
      </c>
      <c r="B152" s="1"/>
      <c r="C152" s="1"/>
      <c r="D152" s="10"/>
      <c r="E152" s="22">
        <f t="shared" si="2"/>
        <v>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1">
        <v>1</v>
      </c>
      <c r="B153" s="1"/>
      <c r="C153" s="1"/>
      <c r="D153" s="10"/>
      <c r="E153" s="22">
        <f t="shared" si="2"/>
        <v>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1">
        <v>2</v>
      </c>
      <c r="B154" s="1"/>
      <c r="C154" s="1"/>
      <c r="D154" s="10"/>
      <c r="E154" s="22">
        <f t="shared" si="2"/>
        <v>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1">
        <v>3</v>
      </c>
      <c r="B155" s="1"/>
      <c r="C155" s="1"/>
      <c r="D155" s="10"/>
      <c r="E155" s="22">
        <f t="shared" si="2"/>
        <v>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1">
        <v>4</v>
      </c>
      <c r="B156" s="1"/>
      <c r="C156" s="1"/>
      <c r="D156" s="10"/>
      <c r="E156" s="22">
        <f t="shared" si="2"/>
        <v>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1" t="s">
        <v>14</v>
      </c>
      <c r="B157" s="1"/>
      <c r="C157" s="1"/>
      <c r="D157" s="10"/>
      <c r="E157" s="22">
        <f t="shared" si="2"/>
        <v>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1">
        <v>1</v>
      </c>
      <c r="B158" s="1"/>
      <c r="C158" s="1"/>
      <c r="D158" s="10"/>
      <c r="E158" s="22">
        <f t="shared" si="2"/>
        <v>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1">
        <v>2</v>
      </c>
      <c r="B159" s="1"/>
      <c r="C159" s="1"/>
      <c r="D159" s="10"/>
      <c r="E159" s="22">
        <f t="shared" si="2"/>
        <v>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1">
        <v>3</v>
      </c>
      <c r="B160" s="1"/>
      <c r="C160" s="1"/>
      <c r="D160" s="10"/>
      <c r="E160" s="22">
        <f t="shared" si="2"/>
        <v>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1" t="s">
        <v>15</v>
      </c>
      <c r="B161" s="1"/>
      <c r="C161" s="1"/>
      <c r="D161" s="10"/>
      <c r="E161" s="22">
        <f t="shared" si="2"/>
        <v>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1">
        <v>1</v>
      </c>
      <c r="B162" s="1" t="s">
        <v>150</v>
      </c>
      <c r="C162" s="1">
        <v>1000</v>
      </c>
      <c r="D162" s="10">
        <v>500</v>
      </c>
      <c r="E162" s="22">
        <f t="shared" si="2"/>
        <v>500000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1"/>
      <c r="S162" s="11"/>
      <c r="T162" s="1"/>
    </row>
    <row r="163" spans="1:20" x14ac:dyDescent="0.3">
      <c r="A163" s="1"/>
      <c r="B163" s="1"/>
      <c r="C163" s="1"/>
      <c r="D163" s="10"/>
      <c r="E163" s="22">
        <f t="shared" si="2"/>
        <v>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1"/>
      <c r="S163" s="11"/>
      <c r="T163" s="1"/>
    </row>
    <row r="164" spans="1:20" x14ac:dyDescent="0.3">
      <c r="A164" s="1"/>
      <c r="B164" s="1"/>
      <c r="C164" s="1"/>
      <c r="D164" s="10"/>
      <c r="E164" s="22">
        <f t="shared" si="2"/>
        <v>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9" t="s">
        <v>16</v>
      </c>
      <c r="B165" s="1"/>
      <c r="C165" s="1"/>
      <c r="D165" s="10"/>
      <c r="E165" s="22">
        <f t="shared" si="2"/>
        <v>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1">
        <v>1</v>
      </c>
      <c r="B166" s="1" t="s">
        <v>84</v>
      </c>
      <c r="C166" s="1">
        <v>1</v>
      </c>
      <c r="D166" s="10">
        <v>7000</v>
      </c>
      <c r="E166" s="22">
        <f t="shared" si="2"/>
        <v>7000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1">
        <v>2</v>
      </c>
      <c r="B167" s="1"/>
      <c r="C167" s="1"/>
      <c r="D167" s="10"/>
      <c r="E167" s="22">
        <f t="shared" si="2"/>
        <v>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9" t="s">
        <v>111</v>
      </c>
      <c r="B168" s="9"/>
      <c r="C168" s="1"/>
      <c r="D168" s="10"/>
      <c r="E168" s="22">
        <f t="shared" si="2"/>
        <v>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1">
        <v>1</v>
      </c>
      <c r="B169" s="1" t="s">
        <v>86</v>
      </c>
      <c r="C169" s="1">
        <v>30</v>
      </c>
      <c r="D169" s="10">
        <v>3150</v>
      </c>
      <c r="E169" s="22">
        <f t="shared" si="2"/>
        <v>94500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1">
        <v>2</v>
      </c>
      <c r="B170" s="1" t="s">
        <v>87</v>
      </c>
      <c r="C170" s="1">
        <v>30</v>
      </c>
      <c r="D170" s="10">
        <v>550</v>
      </c>
      <c r="E170" s="22">
        <f t="shared" si="2"/>
        <v>16500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1">
        <v>3</v>
      </c>
      <c r="B171" s="1" t="s">
        <v>85</v>
      </c>
      <c r="C171" s="1">
        <v>15</v>
      </c>
      <c r="D171" s="10">
        <v>4000</v>
      </c>
      <c r="E171" s="22">
        <f t="shared" si="2"/>
        <v>60000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1">
        <v>4</v>
      </c>
      <c r="B172" s="1" t="s">
        <v>88</v>
      </c>
      <c r="C172" s="1">
        <v>15</v>
      </c>
      <c r="D172" s="10">
        <v>3000</v>
      </c>
      <c r="E172" s="22">
        <f t="shared" si="2"/>
        <v>45000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1">
        <v>5</v>
      </c>
      <c r="B173" s="1" t="s">
        <v>89</v>
      </c>
      <c r="C173" s="1">
        <v>15</v>
      </c>
      <c r="D173" s="10">
        <v>2700</v>
      </c>
      <c r="E173" s="22">
        <f t="shared" si="2"/>
        <v>40500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1">
        <v>6</v>
      </c>
      <c r="B174" s="1" t="s">
        <v>90</v>
      </c>
      <c r="C174" s="1">
        <v>15</v>
      </c>
      <c r="D174" s="10">
        <v>2500</v>
      </c>
      <c r="E174" s="22">
        <f t="shared" si="2"/>
        <v>37500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1"/>
      <c r="B175" s="1"/>
      <c r="C175" s="1"/>
      <c r="D175" s="10"/>
      <c r="E175" s="22">
        <f t="shared" si="2"/>
        <v>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1" t="s">
        <v>18</v>
      </c>
      <c r="B176" s="1"/>
      <c r="C176" s="1"/>
      <c r="D176" s="10"/>
      <c r="E176" s="22">
        <f t="shared" si="2"/>
        <v>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1">
        <v>1</v>
      </c>
      <c r="B177" s="1"/>
      <c r="C177" s="1"/>
      <c r="D177" s="10"/>
      <c r="E177" s="22">
        <f t="shared" si="2"/>
        <v>0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1">
        <v>2</v>
      </c>
      <c r="B178" s="1"/>
      <c r="C178" s="1"/>
      <c r="D178" s="10"/>
      <c r="E178" s="22">
        <f t="shared" si="2"/>
        <v>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1">
        <v>3</v>
      </c>
      <c r="B179" s="1"/>
      <c r="C179" s="1"/>
      <c r="D179" s="10"/>
      <c r="E179" s="22">
        <f t="shared" si="2"/>
        <v>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1" t="s">
        <v>19</v>
      </c>
      <c r="B180" s="1"/>
      <c r="C180" s="1"/>
      <c r="D180" s="10"/>
      <c r="E180" s="22">
        <f t="shared" si="2"/>
        <v>0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1">
        <v>1</v>
      </c>
      <c r="B181" s="1"/>
      <c r="C181" s="1"/>
      <c r="D181" s="10"/>
      <c r="E181" s="22">
        <f t="shared" si="2"/>
        <v>0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1">
        <v>2</v>
      </c>
      <c r="B182" s="1"/>
      <c r="C182" s="1"/>
      <c r="D182" s="10"/>
      <c r="E182" s="22">
        <f t="shared" si="2"/>
        <v>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1">
        <v>3</v>
      </c>
      <c r="B183" s="1"/>
      <c r="C183" s="1"/>
      <c r="D183" s="10"/>
      <c r="E183" s="22">
        <f t="shared" si="2"/>
        <v>0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1" t="s">
        <v>20</v>
      </c>
      <c r="B184" s="1"/>
      <c r="C184" s="1"/>
      <c r="D184" s="10"/>
      <c r="E184" s="22">
        <f t="shared" si="2"/>
        <v>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1">
        <v>1</v>
      </c>
      <c r="B185" s="1"/>
      <c r="C185" s="1"/>
      <c r="D185" s="10"/>
      <c r="E185" s="22">
        <f t="shared" si="2"/>
        <v>0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1">
        <v>2</v>
      </c>
      <c r="B186" s="1"/>
      <c r="C186" s="1"/>
      <c r="D186" s="10"/>
      <c r="E186" s="22">
        <f t="shared" si="2"/>
        <v>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1" t="s">
        <v>21</v>
      </c>
      <c r="B187" s="1"/>
      <c r="C187" s="1"/>
      <c r="D187" s="10"/>
      <c r="E187" s="22">
        <f t="shared" si="2"/>
        <v>0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1">
        <v>1</v>
      </c>
      <c r="B188" s="1"/>
      <c r="C188" s="1"/>
      <c r="D188" s="10"/>
      <c r="E188" s="22">
        <f t="shared" si="2"/>
        <v>0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1">
        <v>2</v>
      </c>
      <c r="B189" s="1"/>
      <c r="C189" s="1"/>
      <c r="D189" s="10"/>
      <c r="E189" s="22">
        <f t="shared" si="2"/>
        <v>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9" t="s">
        <v>22</v>
      </c>
      <c r="B190" s="1"/>
      <c r="C190" s="1"/>
      <c r="D190" s="10"/>
      <c r="E190" s="22">
        <f t="shared" si="2"/>
        <v>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1">
        <v>1</v>
      </c>
      <c r="B191" s="1" t="s">
        <v>130</v>
      </c>
      <c r="C191" s="1">
        <v>2</v>
      </c>
      <c r="D191" s="10">
        <v>40000</v>
      </c>
      <c r="E191" s="22">
        <f t="shared" ref="E191:E254" si="3">C191*D191</f>
        <v>80000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1">
        <v>2</v>
      </c>
      <c r="B192" s="1" t="s">
        <v>131</v>
      </c>
      <c r="C192" s="1">
        <v>1</v>
      </c>
      <c r="D192" s="10">
        <v>160000</v>
      </c>
      <c r="E192" s="22">
        <f t="shared" si="3"/>
        <v>160000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1">
        <v>3</v>
      </c>
      <c r="B193" s="1" t="s">
        <v>132</v>
      </c>
      <c r="C193" s="1">
        <v>1</v>
      </c>
      <c r="D193" s="10">
        <v>200000</v>
      </c>
      <c r="E193" s="22">
        <f t="shared" si="3"/>
        <v>200000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1"/>
      <c r="B194" s="1"/>
      <c r="C194" s="1"/>
      <c r="D194" s="10"/>
      <c r="E194" s="22">
        <f t="shared" si="3"/>
        <v>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1"/>
      <c r="B195" s="1"/>
      <c r="C195" s="1"/>
      <c r="D195" s="10"/>
      <c r="E195" s="22">
        <f t="shared" si="3"/>
        <v>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9" t="s">
        <v>23</v>
      </c>
      <c r="B196" s="9"/>
      <c r="C196" s="1"/>
      <c r="D196" s="10"/>
      <c r="E196" s="22">
        <f t="shared" si="3"/>
        <v>0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1">
        <v>1</v>
      </c>
      <c r="B197" s="1" t="s">
        <v>110</v>
      </c>
      <c r="C197" s="1">
        <v>2</v>
      </c>
      <c r="D197" s="10">
        <v>3000</v>
      </c>
      <c r="E197" s="22">
        <f t="shared" si="3"/>
        <v>6000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1">
        <v>2</v>
      </c>
      <c r="B198" s="1" t="s">
        <v>146</v>
      </c>
      <c r="C198" s="1">
        <v>5</v>
      </c>
      <c r="D198" s="10">
        <v>14000</v>
      </c>
      <c r="E198" s="22">
        <f t="shared" si="3"/>
        <v>70000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1">
        <v>3</v>
      </c>
      <c r="B199" s="1" t="s">
        <v>147</v>
      </c>
      <c r="C199" s="1">
        <v>5</v>
      </c>
      <c r="D199" s="10">
        <v>20000</v>
      </c>
      <c r="E199" s="22">
        <f t="shared" si="3"/>
        <v>100000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1">
        <v>4</v>
      </c>
      <c r="B200" s="1" t="s">
        <v>149</v>
      </c>
      <c r="C200" s="1">
        <v>4</v>
      </c>
      <c r="D200" s="10">
        <v>5000</v>
      </c>
      <c r="E200" s="22">
        <f t="shared" si="3"/>
        <v>20000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9" t="s">
        <v>24</v>
      </c>
      <c r="B201" s="9"/>
      <c r="C201" s="1"/>
      <c r="D201" s="10"/>
      <c r="E201" s="22">
        <f t="shared" si="3"/>
        <v>0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1">
        <v>1</v>
      </c>
      <c r="B202" s="1"/>
      <c r="C202" s="1"/>
      <c r="D202" s="10"/>
      <c r="E202" s="22">
        <f t="shared" si="3"/>
        <v>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1">
        <v>2</v>
      </c>
      <c r="B203" s="1"/>
      <c r="C203" s="1"/>
      <c r="D203" s="10"/>
      <c r="E203" s="22">
        <f t="shared" si="3"/>
        <v>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1" t="s">
        <v>25</v>
      </c>
      <c r="B204" s="1"/>
      <c r="C204" s="1"/>
      <c r="D204" s="10"/>
      <c r="E204" s="22">
        <f t="shared" si="3"/>
        <v>0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1">
        <v>1</v>
      </c>
      <c r="B205" s="1"/>
      <c r="C205" s="1"/>
      <c r="D205" s="10"/>
      <c r="E205" s="22">
        <f t="shared" si="3"/>
        <v>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1">
        <v>2</v>
      </c>
      <c r="B206" s="1"/>
      <c r="C206" s="1"/>
      <c r="D206" s="10"/>
      <c r="E206" s="22">
        <f t="shared" si="3"/>
        <v>0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1">
        <v>3</v>
      </c>
      <c r="B207" s="1"/>
      <c r="C207" s="1"/>
      <c r="D207" s="10"/>
      <c r="E207" s="22">
        <f t="shared" si="3"/>
        <v>0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9" t="s">
        <v>26</v>
      </c>
      <c r="B208" s="9"/>
      <c r="C208" s="1"/>
      <c r="D208" s="10"/>
      <c r="E208" s="22">
        <f t="shared" si="3"/>
        <v>0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1">
        <v>1</v>
      </c>
      <c r="B209" s="1" t="s">
        <v>91</v>
      </c>
      <c r="C209" s="1">
        <v>1</v>
      </c>
      <c r="D209" s="10">
        <v>5000</v>
      </c>
      <c r="E209" s="22">
        <f t="shared" si="3"/>
        <v>5000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1">
        <v>2</v>
      </c>
      <c r="B210" s="1"/>
      <c r="C210" s="1"/>
      <c r="D210" s="10"/>
      <c r="E210" s="22">
        <f t="shared" si="3"/>
        <v>0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1">
        <v>3</v>
      </c>
      <c r="B211" s="1"/>
      <c r="C211" s="1"/>
      <c r="D211" s="10"/>
      <c r="E211" s="22">
        <f t="shared" si="3"/>
        <v>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1" t="s">
        <v>27</v>
      </c>
      <c r="B212" s="1"/>
      <c r="C212" s="1"/>
      <c r="D212" s="10"/>
      <c r="E212" s="22">
        <f t="shared" si="3"/>
        <v>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1">
        <v>1</v>
      </c>
      <c r="B213" s="1"/>
      <c r="C213" s="1"/>
      <c r="D213" s="10"/>
      <c r="E213" s="22">
        <f t="shared" si="3"/>
        <v>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1">
        <v>2</v>
      </c>
      <c r="B214" s="1"/>
      <c r="C214" s="1"/>
      <c r="D214" s="10"/>
      <c r="E214" s="22">
        <f t="shared" si="3"/>
        <v>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1">
        <v>3</v>
      </c>
      <c r="B215" s="1"/>
      <c r="C215" s="1"/>
      <c r="D215" s="10"/>
      <c r="E215" s="22">
        <f t="shared" si="3"/>
        <v>0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1" t="s">
        <v>28</v>
      </c>
      <c r="B216" s="1"/>
      <c r="C216" s="1"/>
      <c r="D216" s="10"/>
      <c r="E216" s="22">
        <f t="shared" si="3"/>
        <v>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1">
        <v>1</v>
      </c>
      <c r="B217" s="1"/>
      <c r="C217" s="1"/>
      <c r="D217" s="10"/>
      <c r="E217" s="22">
        <f t="shared" si="3"/>
        <v>0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1">
        <v>2</v>
      </c>
      <c r="B218" s="1"/>
      <c r="C218" s="1"/>
      <c r="D218" s="10"/>
      <c r="E218" s="22">
        <f t="shared" si="3"/>
        <v>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1">
        <v>3</v>
      </c>
      <c r="B219" s="1"/>
      <c r="C219" s="1"/>
      <c r="D219" s="10"/>
      <c r="E219" s="22">
        <f t="shared" si="3"/>
        <v>0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1" t="s">
        <v>29</v>
      </c>
      <c r="B220" s="1"/>
      <c r="C220" s="1"/>
      <c r="D220" s="10"/>
      <c r="E220" s="22">
        <f t="shared" si="3"/>
        <v>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1">
        <v>1</v>
      </c>
      <c r="B221" s="1"/>
      <c r="C221" s="1"/>
      <c r="D221" s="10"/>
      <c r="E221" s="22">
        <f t="shared" si="3"/>
        <v>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1">
        <v>2</v>
      </c>
      <c r="B222" s="1"/>
      <c r="C222" s="1"/>
      <c r="D222" s="10"/>
      <c r="E222" s="22">
        <f t="shared" si="3"/>
        <v>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1"/>
      <c r="B223" s="1"/>
      <c r="C223" s="1"/>
      <c r="D223" s="10"/>
      <c r="E223" s="22">
        <f t="shared" si="3"/>
        <v>0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1"/>
      <c r="B224" s="1"/>
      <c r="C224" s="1"/>
      <c r="D224" s="10"/>
      <c r="E224" s="22">
        <f t="shared" si="3"/>
        <v>0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1">
        <v>2</v>
      </c>
      <c r="B225" s="1"/>
      <c r="C225" s="1"/>
      <c r="D225" s="10"/>
      <c r="E225" s="22">
        <f t="shared" si="3"/>
        <v>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1">
        <v>3</v>
      </c>
      <c r="B226" s="1"/>
      <c r="C226" s="1"/>
      <c r="D226" s="10"/>
      <c r="E226" s="22">
        <f t="shared" si="3"/>
        <v>0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1">
        <v>4</v>
      </c>
      <c r="B227" s="1"/>
      <c r="C227" s="1"/>
      <c r="D227" s="10"/>
      <c r="E227" s="22">
        <f t="shared" si="3"/>
        <v>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1">
        <v>5</v>
      </c>
      <c r="B228" s="1"/>
      <c r="C228" s="1"/>
      <c r="D228" s="10"/>
      <c r="E228" s="22">
        <f t="shared" si="3"/>
        <v>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1" t="s">
        <v>30</v>
      </c>
      <c r="B229" s="1"/>
      <c r="C229" s="1"/>
      <c r="D229" s="10"/>
      <c r="E229" s="22">
        <f t="shared" si="3"/>
        <v>0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1">
        <v>1</v>
      </c>
      <c r="B230" s="1" t="s">
        <v>92</v>
      </c>
      <c r="C230" s="1">
        <v>1</v>
      </c>
      <c r="D230" s="10"/>
      <c r="E230" s="22">
        <f t="shared" si="3"/>
        <v>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1">
        <v>2</v>
      </c>
      <c r="B231" s="1"/>
      <c r="C231" s="1"/>
      <c r="D231" s="10"/>
      <c r="E231" s="22">
        <f t="shared" si="3"/>
        <v>0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1">
        <v>3</v>
      </c>
      <c r="B232" s="1"/>
      <c r="C232" s="1"/>
      <c r="D232" s="10"/>
      <c r="E232" s="22">
        <f t="shared" si="3"/>
        <v>0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s="21" customFormat="1" x14ac:dyDescent="0.3">
      <c r="A233" s="9" t="s">
        <v>106</v>
      </c>
      <c r="B233" s="9"/>
      <c r="C233" s="9"/>
      <c r="D233" s="20"/>
      <c r="E233" s="22">
        <f t="shared" si="3"/>
        <v>0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spans="1:20" x14ac:dyDescent="0.3">
      <c r="A234" s="1">
        <v>1</v>
      </c>
      <c r="B234" s="1" t="s">
        <v>107</v>
      </c>
      <c r="C234" s="1">
        <v>2</v>
      </c>
      <c r="D234" s="10">
        <v>150000</v>
      </c>
      <c r="E234" s="22">
        <f t="shared" si="3"/>
        <v>300000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1">
        <v>2</v>
      </c>
      <c r="B235" s="1" t="s">
        <v>108</v>
      </c>
      <c r="C235" s="1">
        <v>2</v>
      </c>
      <c r="D235" s="10">
        <v>30000</v>
      </c>
      <c r="E235" s="22">
        <f t="shared" si="3"/>
        <v>60000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1">
        <v>3</v>
      </c>
      <c r="B236" s="1"/>
      <c r="C236" s="1"/>
      <c r="D236" s="10"/>
      <c r="E236" s="22">
        <f t="shared" si="3"/>
        <v>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s="21" customFormat="1" x14ac:dyDescent="0.3">
      <c r="A237" s="9" t="s">
        <v>31</v>
      </c>
      <c r="B237" s="9"/>
      <c r="C237" s="9"/>
      <c r="D237" s="20"/>
      <c r="E237" s="22">
        <f t="shared" si="3"/>
        <v>0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spans="1:20" x14ac:dyDescent="0.3">
      <c r="A238" s="1">
        <v>1</v>
      </c>
      <c r="B238" s="1" t="s">
        <v>93</v>
      </c>
      <c r="C238" s="1">
        <v>5</v>
      </c>
      <c r="D238" s="10">
        <v>35000</v>
      </c>
      <c r="E238" s="22">
        <f t="shared" si="3"/>
        <v>175000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1">
        <v>2</v>
      </c>
      <c r="B239" s="1" t="s">
        <v>94</v>
      </c>
      <c r="C239" s="1">
        <v>3</v>
      </c>
      <c r="D239" s="10">
        <v>2500</v>
      </c>
      <c r="E239" s="22">
        <f t="shared" si="3"/>
        <v>7500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1">
        <v>3</v>
      </c>
      <c r="B240" s="1"/>
      <c r="C240" s="1"/>
      <c r="D240" s="10"/>
      <c r="E240" s="22">
        <f t="shared" si="3"/>
        <v>0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s="21" customFormat="1" x14ac:dyDescent="0.3">
      <c r="A241" s="9" t="s">
        <v>32</v>
      </c>
      <c r="B241" s="9"/>
      <c r="C241" s="9"/>
      <c r="D241" s="20"/>
      <c r="E241" s="22">
        <f t="shared" si="3"/>
        <v>0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spans="1:20" x14ac:dyDescent="0.3">
      <c r="A242" s="1">
        <v>1</v>
      </c>
      <c r="B242" s="1" t="s">
        <v>95</v>
      </c>
      <c r="C242" s="1">
        <v>15</v>
      </c>
      <c r="D242" s="10">
        <v>90000</v>
      </c>
      <c r="E242" s="22">
        <f t="shared" si="3"/>
        <v>1350000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1">
        <v>2</v>
      </c>
      <c r="B243" s="1" t="s">
        <v>96</v>
      </c>
      <c r="C243" s="1">
        <v>15</v>
      </c>
      <c r="D243" s="10">
        <v>10000</v>
      </c>
      <c r="E243" s="22">
        <f t="shared" si="3"/>
        <v>150000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1">
        <v>3</v>
      </c>
      <c r="B244" s="1" t="s">
        <v>97</v>
      </c>
      <c r="C244" s="1">
        <v>37500</v>
      </c>
      <c r="D244" s="10">
        <v>200</v>
      </c>
      <c r="E244" s="22">
        <f t="shared" si="3"/>
        <v>7500000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1"/>
      <c r="B245" s="1"/>
      <c r="C245" s="1"/>
      <c r="D245" s="10"/>
      <c r="E245" s="22">
        <f t="shared" si="3"/>
        <v>0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1"/>
      <c r="B246" s="1"/>
      <c r="C246" s="1"/>
      <c r="D246" s="10"/>
      <c r="E246" s="22">
        <f t="shared" si="3"/>
        <v>0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9" t="s">
        <v>33</v>
      </c>
      <c r="B247" s="9"/>
      <c r="C247" s="1"/>
      <c r="D247" s="10"/>
      <c r="E247" s="22">
        <f t="shared" si="3"/>
        <v>0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1">
        <v>1</v>
      </c>
      <c r="B248" s="1" t="s">
        <v>98</v>
      </c>
      <c r="C248" s="1">
        <v>25</v>
      </c>
      <c r="D248" s="10">
        <v>7000</v>
      </c>
      <c r="E248" s="22">
        <f t="shared" si="3"/>
        <v>175000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1">
        <v>2</v>
      </c>
      <c r="B249" s="1" t="s">
        <v>99</v>
      </c>
      <c r="C249" s="1">
        <v>25</v>
      </c>
      <c r="D249" s="10">
        <v>25000</v>
      </c>
      <c r="E249" s="22">
        <f t="shared" si="3"/>
        <v>625000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1">
        <v>3</v>
      </c>
      <c r="B250" s="1" t="s">
        <v>100</v>
      </c>
      <c r="C250" s="1">
        <v>30000</v>
      </c>
      <c r="D250" s="10">
        <v>50</v>
      </c>
      <c r="E250" s="22">
        <f t="shared" si="3"/>
        <v>1500000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9" t="s">
        <v>51</v>
      </c>
      <c r="B251" s="9"/>
      <c r="C251" s="1"/>
      <c r="D251" s="10"/>
      <c r="E251" s="22">
        <f t="shared" si="3"/>
        <v>0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1"/>
      <c r="B252" s="1" t="s">
        <v>101</v>
      </c>
      <c r="C252" s="1">
        <v>1</v>
      </c>
      <c r="D252" s="10">
        <v>200000000</v>
      </c>
      <c r="E252" s="22">
        <f t="shared" si="3"/>
        <v>200000000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1"/>
      <c r="S252" s="11"/>
      <c r="T252" s="1"/>
    </row>
    <row r="253" spans="1:20" x14ac:dyDescent="0.3">
      <c r="A253" s="1"/>
      <c r="B253" s="1" t="s">
        <v>102</v>
      </c>
      <c r="C253" s="1">
        <v>1</v>
      </c>
      <c r="D253" s="10">
        <v>5000000</v>
      </c>
      <c r="E253" s="22">
        <f t="shared" si="3"/>
        <v>5000000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1"/>
      <c r="S253" s="11"/>
      <c r="T253" s="1"/>
    </row>
    <row r="254" spans="1:20" x14ac:dyDescent="0.3">
      <c r="A254" s="1"/>
      <c r="B254" s="1" t="s">
        <v>103</v>
      </c>
      <c r="C254" s="1">
        <v>1</v>
      </c>
      <c r="D254" s="10">
        <v>5000000</v>
      </c>
      <c r="E254" s="22">
        <f t="shared" si="3"/>
        <v>5000000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1"/>
      <c r="S254" s="11"/>
      <c r="T254" s="1"/>
    </row>
    <row r="255" spans="1:20" x14ac:dyDescent="0.3">
      <c r="A255" s="1"/>
      <c r="B255" s="1" t="s">
        <v>104</v>
      </c>
      <c r="C255" s="1">
        <v>2</v>
      </c>
      <c r="D255" s="10">
        <v>2500000</v>
      </c>
      <c r="E255" s="22">
        <f t="shared" ref="E255:E257" si="4">C255*D255</f>
        <v>5000000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9" t="s">
        <v>52</v>
      </c>
      <c r="B256" s="9"/>
      <c r="C256" s="1"/>
      <c r="D256" s="10"/>
      <c r="E256" s="22">
        <f t="shared" si="4"/>
        <v>0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1"/>
      <c r="B257" t="s">
        <v>105</v>
      </c>
      <c r="C257" s="1">
        <v>1</v>
      </c>
      <c r="D257" s="10">
        <v>150000</v>
      </c>
      <c r="E257" s="22">
        <f t="shared" si="4"/>
        <v>150000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1" t="s">
        <v>53</v>
      </c>
      <c r="S257" s="11"/>
      <c r="T257" s="1"/>
    </row>
    <row r="258" spans="1:20" x14ac:dyDescent="0.3">
      <c r="A258" s="1"/>
      <c r="B258" s="1"/>
      <c r="C258" s="1"/>
      <c r="D258" s="10"/>
      <c r="E258" s="1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1"/>
      <c r="B259" s="1"/>
      <c r="C259" s="1"/>
      <c r="D259" s="10"/>
      <c r="E259" s="1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1"/>
      <c r="B260" s="1"/>
      <c r="C260" s="1"/>
      <c r="D260" s="10"/>
      <c r="E260" s="20">
        <f>SUM(E3:E259)</f>
        <v>241265760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</sheetData>
  <mergeCells count="1">
    <mergeCell ref="N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97"/>
  <sheetViews>
    <sheetView workbookViewId="0">
      <selection activeCell="E194" sqref="E194"/>
    </sheetView>
  </sheetViews>
  <sheetFormatPr defaultRowHeight="14.4" x14ac:dyDescent="0.3"/>
  <cols>
    <col min="1" max="1" width="15" customWidth="1"/>
    <col min="2" max="2" width="17.88671875" customWidth="1"/>
    <col min="3" max="3" width="13.88671875" customWidth="1"/>
    <col min="4" max="4" width="15.88671875" customWidth="1"/>
    <col min="5" max="5" width="13.44140625" customWidth="1"/>
    <col min="6" max="6" width="10" customWidth="1"/>
    <col min="7" max="7" width="9.88671875" customWidth="1"/>
    <col min="8" max="8" width="11.5546875" customWidth="1"/>
  </cols>
  <sheetData>
    <row r="2" spans="1:16" ht="43.2" x14ac:dyDescent="0.3">
      <c r="A2" s="13"/>
      <c r="B2" s="14" t="s">
        <v>34</v>
      </c>
      <c r="C2" s="15" t="s">
        <v>35</v>
      </c>
      <c r="D2" s="14" t="s">
        <v>36</v>
      </c>
      <c r="E2" s="14" t="s">
        <v>37</v>
      </c>
      <c r="F2" s="14" t="s">
        <v>38</v>
      </c>
      <c r="G2" s="14" t="s">
        <v>39</v>
      </c>
      <c r="H2" s="14" t="s">
        <v>40</v>
      </c>
      <c r="I2" s="15" t="s">
        <v>41</v>
      </c>
      <c r="J2" s="15" t="s">
        <v>42</v>
      </c>
      <c r="K2" s="15" t="s">
        <v>43</v>
      </c>
      <c r="L2" s="15" t="s">
        <v>44</v>
      </c>
      <c r="M2" s="26" t="s">
        <v>45</v>
      </c>
      <c r="N2" s="27"/>
      <c r="O2" s="27"/>
      <c r="P2" s="28"/>
    </row>
    <row r="3" spans="1:16" x14ac:dyDescent="0.3">
      <c r="A3" s="13"/>
      <c r="B3" s="14"/>
      <c r="C3" s="15"/>
      <c r="D3" s="14"/>
      <c r="E3" s="14"/>
      <c r="F3" s="14"/>
      <c r="G3" s="14"/>
      <c r="H3" s="14"/>
      <c r="I3" s="15"/>
      <c r="J3" s="15"/>
      <c r="K3" s="15"/>
      <c r="L3" s="15"/>
      <c r="M3" s="16" t="s">
        <v>46</v>
      </c>
      <c r="N3" s="17" t="s">
        <v>47</v>
      </c>
      <c r="O3" s="17" t="s">
        <v>48</v>
      </c>
      <c r="P3" s="18" t="s">
        <v>49</v>
      </c>
    </row>
    <row r="4" spans="1:16" x14ac:dyDescent="0.3">
      <c r="A4" s="9" t="s">
        <v>54</v>
      </c>
      <c r="B4" s="12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>
        <v>1</v>
      </c>
      <c r="B5" s="1"/>
      <c r="C5" s="1"/>
      <c r="D5" s="10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>
        <v>2</v>
      </c>
      <c r="B6" s="1"/>
      <c r="C6" s="1"/>
      <c r="D6" s="10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>
        <v>3</v>
      </c>
      <c r="B7" s="1"/>
      <c r="C7" s="1"/>
      <c r="D7" s="10"/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>
        <v>4</v>
      </c>
      <c r="B8" s="1"/>
      <c r="C8" s="1"/>
      <c r="D8" s="10"/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9" t="s">
        <v>1</v>
      </c>
      <c r="B9" s="9"/>
      <c r="C9" s="1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>
        <v>1</v>
      </c>
      <c r="B10" s="1"/>
      <c r="C10" s="1"/>
      <c r="D10" s="10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>
        <v>2</v>
      </c>
      <c r="B11" s="1"/>
      <c r="C11" s="1"/>
      <c r="D11" s="10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>
        <v>3</v>
      </c>
      <c r="B12" s="1"/>
      <c r="C12" s="1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>
        <v>4</v>
      </c>
      <c r="B13" s="1"/>
      <c r="C13" s="1"/>
      <c r="D13" s="10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0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9" t="s">
        <v>2</v>
      </c>
      <c r="B15" s="9"/>
      <c r="C15" s="1"/>
      <c r="D15" s="10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1"/>
      <c r="P16" s="1"/>
    </row>
    <row r="17" spans="1:16" x14ac:dyDescent="0.3">
      <c r="A17" s="1"/>
      <c r="B17" s="1"/>
      <c r="C17" s="1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1"/>
      <c r="P17" s="1"/>
    </row>
    <row r="18" spans="1:16" x14ac:dyDescent="0.3">
      <c r="A18" s="1"/>
      <c r="B18" s="1"/>
      <c r="C18" s="1"/>
      <c r="D18" s="10"/>
      <c r="E18" s="10"/>
      <c r="F18" s="1"/>
      <c r="G18" s="1"/>
      <c r="H18" s="1"/>
      <c r="I18" s="1"/>
      <c r="J18" s="1"/>
      <c r="K18" s="1"/>
      <c r="L18" s="1"/>
      <c r="M18" s="1"/>
      <c r="N18" s="1"/>
      <c r="O18" s="11"/>
      <c r="P18" s="1"/>
    </row>
    <row r="19" spans="1:16" x14ac:dyDescent="0.3">
      <c r="A19" s="1"/>
      <c r="B19" s="1"/>
      <c r="C19" s="1"/>
      <c r="D19" s="10"/>
      <c r="E19" s="10"/>
      <c r="F19" s="1"/>
      <c r="G19" s="1"/>
      <c r="H19" s="1"/>
      <c r="I19" s="1"/>
      <c r="J19" s="1"/>
      <c r="K19" s="1"/>
      <c r="L19" s="1"/>
      <c r="M19" s="1"/>
      <c r="N19" s="1"/>
      <c r="O19" s="11"/>
      <c r="P19" s="1"/>
    </row>
    <row r="20" spans="1:16" x14ac:dyDescent="0.3">
      <c r="A20" s="1"/>
      <c r="B20" s="1"/>
      <c r="C20" s="1"/>
      <c r="D20" s="10"/>
      <c r="E20" s="10"/>
      <c r="F20" s="1"/>
      <c r="G20" s="1"/>
      <c r="H20" s="1"/>
      <c r="I20" s="1"/>
      <c r="J20" s="1"/>
      <c r="K20" s="1"/>
      <c r="L20" s="1"/>
      <c r="M20" s="1"/>
      <c r="N20" s="1"/>
      <c r="O20" s="11"/>
      <c r="P20" s="1"/>
    </row>
    <row r="21" spans="1:16" x14ac:dyDescent="0.3">
      <c r="A21" s="1"/>
      <c r="B21" s="1"/>
      <c r="C21" s="1"/>
      <c r="D21" s="10"/>
      <c r="E21" s="10"/>
      <c r="F21" s="1"/>
      <c r="G21" s="1"/>
      <c r="H21" s="1"/>
      <c r="I21" s="1"/>
      <c r="J21" s="1"/>
      <c r="K21" s="1"/>
      <c r="L21" s="1"/>
      <c r="M21" s="1"/>
      <c r="N21" s="1"/>
      <c r="O21" s="11"/>
      <c r="P21" s="1"/>
    </row>
    <row r="22" spans="1:16" x14ac:dyDescent="0.3">
      <c r="A22" s="1"/>
      <c r="B22" s="1"/>
      <c r="C22" s="1"/>
      <c r="D22" s="10"/>
      <c r="E22" s="10"/>
      <c r="F22" s="1"/>
      <c r="G22" s="1"/>
      <c r="H22" s="1"/>
      <c r="I22" s="1"/>
      <c r="J22" s="1"/>
      <c r="K22" s="1"/>
      <c r="L22" s="1"/>
      <c r="M22" s="1"/>
      <c r="N22" s="1"/>
      <c r="O22" s="11"/>
      <c r="P22" s="1"/>
    </row>
    <row r="23" spans="1:16" x14ac:dyDescent="0.3">
      <c r="A23" s="1"/>
      <c r="B23" s="1"/>
      <c r="C23" s="1"/>
      <c r="D23" s="10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0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0"/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0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0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0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9" t="s">
        <v>3</v>
      </c>
      <c r="B31" s="9"/>
      <c r="C31" s="1"/>
      <c r="D31" s="10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0"/>
      <c r="E32" s="10"/>
      <c r="F32" s="1"/>
      <c r="G32" s="1"/>
      <c r="H32" s="1"/>
      <c r="I32" s="8"/>
      <c r="J32" s="8"/>
      <c r="K32" s="8"/>
      <c r="L32" s="1"/>
      <c r="M32" s="1"/>
      <c r="N32" s="1"/>
      <c r="O32" s="11"/>
      <c r="P32" s="1"/>
    </row>
    <row r="33" spans="1:16" x14ac:dyDescent="0.3">
      <c r="A33" s="1"/>
      <c r="B33" s="1"/>
      <c r="C33" s="1"/>
      <c r="D33" s="10"/>
      <c r="E33" s="10"/>
      <c r="F33" s="1"/>
      <c r="G33" s="1"/>
      <c r="H33" s="1"/>
      <c r="I33" s="1"/>
      <c r="J33" s="1"/>
      <c r="K33" s="1"/>
      <c r="L33" s="1"/>
      <c r="M33" s="1"/>
      <c r="N33" s="1"/>
      <c r="O33" s="11"/>
      <c r="P33" s="1"/>
    </row>
    <row r="34" spans="1:16" x14ac:dyDescent="0.3">
      <c r="A34" s="1"/>
      <c r="B34" s="1"/>
      <c r="C34" s="1"/>
      <c r="D34" s="10"/>
      <c r="E34" s="10"/>
      <c r="F34" s="1"/>
      <c r="G34" s="1"/>
      <c r="H34" s="1"/>
      <c r="I34" s="1"/>
      <c r="J34" s="1"/>
      <c r="K34" s="1"/>
      <c r="L34" s="1"/>
      <c r="M34" s="1"/>
      <c r="N34" s="1"/>
      <c r="O34" s="11"/>
      <c r="P34" s="1"/>
    </row>
    <row r="35" spans="1:16" x14ac:dyDescent="0.3">
      <c r="A35" s="1"/>
      <c r="B35" s="1"/>
      <c r="C35" s="1"/>
      <c r="D35" s="10"/>
      <c r="E35" s="10"/>
      <c r="F35" s="1"/>
      <c r="G35" s="1"/>
      <c r="H35" s="1"/>
      <c r="I35" s="1"/>
      <c r="J35" s="1"/>
      <c r="K35" s="1"/>
      <c r="L35" s="1"/>
      <c r="M35" s="1"/>
      <c r="N35" s="1"/>
      <c r="O35" s="11"/>
      <c r="P35" s="1"/>
    </row>
    <row r="36" spans="1:16" x14ac:dyDescent="0.3">
      <c r="A36" s="1"/>
      <c r="B36" s="1"/>
      <c r="C36" s="1"/>
      <c r="D36" s="10"/>
      <c r="E36" s="10"/>
      <c r="F36" s="1"/>
      <c r="G36" s="1"/>
      <c r="H36" s="1"/>
      <c r="I36" s="1"/>
      <c r="J36" s="1"/>
      <c r="K36" s="1"/>
      <c r="L36" s="1"/>
      <c r="M36" s="1"/>
      <c r="N36" s="1"/>
      <c r="O36" s="11"/>
      <c r="P36" s="1"/>
    </row>
    <row r="37" spans="1:16" x14ac:dyDescent="0.3">
      <c r="A37" s="1"/>
      <c r="B37" s="1"/>
      <c r="C37" s="1"/>
      <c r="D37" s="10"/>
      <c r="E37" s="10"/>
      <c r="F37" s="1"/>
      <c r="G37" s="1"/>
      <c r="H37" s="1"/>
      <c r="I37" s="1"/>
      <c r="J37" s="1"/>
      <c r="K37" s="1"/>
      <c r="L37" s="1"/>
      <c r="M37" s="1"/>
      <c r="N37" s="1"/>
      <c r="O37" s="11"/>
      <c r="P37" s="1"/>
    </row>
    <row r="38" spans="1:16" x14ac:dyDescent="0.3">
      <c r="A38" s="1"/>
      <c r="B38" s="1"/>
      <c r="C38" s="1"/>
      <c r="D38" s="10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0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0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0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9" t="s">
        <v>4</v>
      </c>
      <c r="B42" s="9"/>
      <c r="C42" s="1"/>
      <c r="D42" s="10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0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0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0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0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0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0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0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0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9" t="s">
        <v>5</v>
      </c>
      <c r="B52" s="9"/>
      <c r="C52" s="1"/>
      <c r="D52" s="10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0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0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0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9" t="s">
        <v>6</v>
      </c>
      <c r="B56" s="9"/>
      <c r="C56" s="1"/>
      <c r="D56" s="10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0"/>
      <c r="E57" s="10"/>
      <c r="F57" s="1"/>
      <c r="G57" s="1"/>
      <c r="H57" s="1"/>
      <c r="I57" s="1"/>
      <c r="J57" s="1"/>
      <c r="K57" s="1"/>
      <c r="L57" s="1"/>
      <c r="M57" s="1"/>
      <c r="N57" s="1"/>
      <c r="O57" s="11"/>
      <c r="P57" s="1"/>
    </row>
    <row r="58" spans="1:16" x14ac:dyDescent="0.3">
      <c r="A58" s="1"/>
      <c r="B58" s="1"/>
      <c r="C58" s="1"/>
      <c r="D58" s="10"/>
      <c r="E58" s="10"/>
      <c r="F58" s="1"/>
      <c r="G58" s="1"/>
      <c r="H58" s="1"/>
      <c r="I58" s="1"/>
      <c r="J58" s="1"/>
      <c r="K58" s="1"/>
      <c r="L58" s="1"/>
      <c r="M58" s="1"/>
      <c r="N58" s="1"/>
      <c r="O58" s="11"/>
      <c r="P58" s="1"/>
    </row>
    <row r="59" spans="1:16" x14ac:dyDescent="0.3">
      <c r="A59" s="1"/>
      <c r="B59" s="1"/>
      <c r="C59" s="1"/>
      <c r="D59" s="10"/>
      <c r="E59" s="10"/>
      <c r="F59" s="1"/>
      <c r="G59" s="1"/>
      <c r="H59" s="1"/>
      <c r="I59" s="1"/>
      <c r="J59" s="1"/>
      <c r="K59" s="1"/>
      <c r="L59" s="1"/>
      <c r="M59" s="1"/>
      <c r="N59" s="1"/>
      <c r="O59" s="11"/>
      <c r="P59" s="1"/>
    </row>
    <row r="60" spans="1:16" x14ac:dyDescent="0.3">
      <c r="A60" s="1"/>
      <c r="B60" s="1"/>
      <c r="C60" s="1"/>
      <c r="D60" s="10"/>
      <c r="E60" s="10"/>
      <c r="F60" s="1"/>
      <c r="G60" s="1"/>
      <c r="H60" s="1"/>
      <c r="I60" s="1"/>
      <c r="J60" s="1"/>
      <c r="K60" s="1"/>
      <c r="L60" s="1"/>
      <c r="M60" s="1"/>
      <c r="N60" s="1"/>
      <c r="O60" s="11"/>
      <c r="P60" s="1"/>
    </row>
    <row r="61" spans="1:16" x14ac:dyDescent="0.3">
      <c r="A61" s="1"/>
      <c r="B61" s="1"/>
      <c r="C61" s="1"/>
      <c r="D61" s="10"/>
      <c r="E61" s="10"/>
      <c r="F61" s="1"/>
      <c r="G61" s="1"/>
      <c r="H61" s="1"/>
      <c r="I61" s="1"/>
      <c r="J61" s="1"/>
      <c r="K61" s="1"/>
      <c r="L61" s="1"/>
      <c r="M61" s="1"/>
      <c r="N61" s="1"/>
      <c r="O61" s="11"/>
      <c r="P61" s="1"/>
    </row>
    <row r="62" spans="1:16" x14ac:dyDescent="0.3">
      <c r="A62" s="1"/>
      <c r="B62" s="1"/>
      <c r="C62" s="1"/>
      <c r="D62" s="10"/>
      <c r="E62" s="10"/>
      <c r="F62" s="1"/>
      <c r="G62" s="1"/>
      <c r="H62" s="1"/>
      <c r="I62" s="1"/>
      <c r="J62" s="1"/>
      <c r="K62" s="1"/>
      <c r="L62" s="1"/>
      <c r="M62" s="1"/>
      <c r="N62" s="1"/>
      <c r="O62" s="11"/>
      <c r="P62" s="1"/>
    </row>
    <row r="63" spans="1:16" x14ac:dyDescent="0.3">
      <c r="A63" s="1"/>
      <c r="B63" s="1"/>
      <c r="C63" s="1"/>
      <c r="D63" s="10"/>
      <c r="E63" s="10"/>
      <c r="F63" s="1"/>
      <c r="G63" s="1"/>
      <c r="H63" s="1"/>
      <c r="I63" s="1"/>
      <c r="J63" s="1"/>
      <c r="K63" s="1"/>
      <c r="L63" s="1"/>
      <c r="M63" s="1"/>
      <c r="N63" s="1"/>
      <c r="O63" s="11"/>
      <c r="P63" s="1"/>
    </row>
    <row r="64" spans="1:16" x14ac:dyDescent="0.3">
      <c r="A64" s="1"/>
      <c r="B64" s="1"/>
      <c r="C64" s="1"/>
      <c r="D64" s="10"/>
      <c r="E64" s="10"/>
      <c r="F64" s="1"/>
      <c r="G64" s="1"/>
      <c r="H64" s="1"/>
      <c r="I64" s="1"/>
      <c r="J64" s="1"/>
      <c r="K64" s="1"/>
      <c r="L64" s="1"/>
      <c r="M64" s="1"/>
      <c r="N64" s="1"/>
      <c r="O64" s="11"/>
      <c r="P64" s="1"/>
    </row>
    <row r="65" spans="1:16" x14ac:dyDescent="0.3">
      <c r="A65" s="1"/>
      <c r="B65" s="1"/>
      <c r="C65" s="1"/>
      <c r="D65" s="10"/>
      <c r="E65" s="10"/>
      <c r="F65" s="1"/>
      <c r="G65" s="1"/>
      <c r="H65" s="1"/>
      <c r="I65" s="1"/>
      <c r="J65" s="1"/>
      <c r="K65" s="1"/>
      <c r="L65" s="1"/>
      <c r="M65" s="1"/>
      <c r="N65" s="1"/>
      <c r="O65" s="11"/>
      <c r="P65" s="1"/>
    </row>
    <row r="66" spans="1:16" x14ac:dyDescent="0.3">
      <c r="A66" s="1"/>
      <c r="B66" s="1"/>
      <c r="C66" s="1"/>
      <c r="D66" s="10"/>
      <c r="E66" s="10"/>
      <c r="F66" s="1"/>
      <c r="G66" s="1"/>
      <c r="H66" s="1"/>
      <c r="I66" s="1"/>
      <c r="J66" s="1"/>
      <c r="K66" s="1"/>
      <c r="L66" s="1"/>
      <c r="M66" s="1"/>
      <c r="N66" s="1"/>
      <c r="O66" s="11"/>
      <c r="P66" s="1"/>
    </row>
    <row r="67" spans="1:16" x14ac:dyDescent="0.3">
      <c r="A67" s="1"/>
      <c r="B67" s="1"/>
      <c r="C67" s="1"/>
      <c r="D67" s="10"/>
      <c r="E67" s="10"/>
      <c r="F67" s="1"/>
      <c r="G67" s="1"/>
      <c r="H67" s="1"/>
      <c r="I67" s="1"/>
      <c r="J67" s="1"/>
      <c r="K67" s="1"/>
      <c r="L67" s="1"/>
      <c r="M67" s="1"/>
      <c r="N67" s="1"/>
      <c r="O67" s="11"/>
      <c r="P67" s="1"/>
    </row>
    <row r="68" spans="1:16" x14ac:dyDescent="0.3">
      <c r="A68" s="1"/>
      <c r="B68" s="1"/>
      <c r="C68" s="1"/>
      <c r="D68" s="10"/>
      <c r="E68" s="10"/>
      <c r="F68" s="1"/>
      <c r="G68" s="1"/>
      <c r="H68" s="1"/>
      <c r="I68" s="1"/>
      <c r="J68" s="1"/>
      <c r="K68" s="1"/>
      <c r="L68" s="1"/>
      <c r="M68" s="1"/>
      <c r="N68" s="1"/>
      <c r="O68" s="11"/>
      <c r="P68" s="1"/>
    </row>
    <row r="69" spans="1:16" x14ac:dyDescent="0.3">
      <c r="A69" s="29" t="s">
        <v>50</v>
      </c>
      <c r="B69" s="30"/>
      <c r="C69" s="1"/>
      <c r="D69" s="10"/>
      <c r="E69" s="10"/>
      <c r="F69" s="1"/>
      <c r="G69" s="1"/>
      <c r="H69" s="1"/>
      <c r="I69" s="1"/>
      <c r="J69" s="1"/>
      <c r="K69" s="1"/>
      <c r="L69" s="1"/>
      <c r="M69" s="1"/>
      <c r="N69" s="1"/>
      <c r="O69" s="11"/>
      <c r="P69" s="1"/>
    </row>
    <row r="70" spans="1:16" x14ac:dyDescent="0.3">
      <c r="A70" s="1"/>
      <c r="B70" s="1"/>
      <c r="C70" s="1"/>
      <c r="D70" s="10"/>
      <c r="E70" s="10"/>
      <c r="F70" s="1"/>
      <c r="G70" s="1"/>
      <c r="H70" s="1"/>
      <c r="I70" s="1"/>
      <c r="J70" s="1"/>
      <c r="K70" s="1"/>
      <c r="L70" s="1"/>
      <c r="M70" s="1"/>
      <c r="N70" s="1"/>
      <c r="O70" s="11"/>
      <c r="P70" s="1"/>
    </row>
    <row r="71" spans="1:16" x14ac:dyDescent="0.3">
      <c r="A71" s="1"/>
      <c r="B71" s="1"/>
      <c r="C71" s="1"/>
      <c r="D71" s="10"/>
      <c r="E71" s="10"/>
      <c r="F71" s="1"/>
      <c r="G71" s="1"/>
      <c r="H71" s="1"/>
      <c r="I71" s="1"/>
      <c r="J71" s="1"/>
      <c r="K71" s="1"/>
      <c r="L71" s="1"/>
      <c r="M71" s="1"/>
      <c r="N71" s="1"/>
      <c r="O71" s="11"/>
      <c r="P71" s="1"/>
    </row>
    <row r="72" spans="1:16" x14ac:dyDescent="0.3">
      <c r="A72" s="1"/>
      <c r="B72" s="1"/>
      <c r="C72" s="1"/>
      <c r="D72" s="10"/>
      <c r="E72" s="10"/>
      <c r="F72" s="1"/>
      <c r="G72" s="1"/>
      <c r="H72" s="1"/>
      <c r="I72" s="1"/>
      <c r="J72" s="1"/>
      <c r="K72" s="1"/>
      <c r="L72" s="1"/>
      <c r="M72" s="1"/>
      <c r="N72" s="1"/>
      <c r="O72" s="11"/>
      <c r="P72" s="1"/>
    </row>
    <row r="73" spans="1:16" x14ac:dyDescent="0.3">
      <c r="A73" s="1"/>
      <c r="B73" s="1"/>
      <c r="C73" s="1"/>
      <c r="D73" s="10"/>
      <c r="E73" s="10"/>
      <c r="F73" s="1"/>
      <c r="G73" s="1"/>
      <c r="H73" s="1"/>
      <c r="I73" s="1"/>
      <c r="J73" s="1"/>
      <c r="K73" s="1"/>
      <c r="L73" s="1"/>
      <c r="M73" s="1"/>
      <c r="N73" s="1"/>
      <c r="O73" s="11"/>
      <c r="P73" s="1"/>
    </row>
    <row r="74" spans="1:16" x14ac:dyDescent="0.3">
      <c r="A74" s="1"/>
      <c r="B74" s="1"/>
      <c r="C74" s="1"/>
      <c r="D74" s="10"/>
      <c r="E74" s="10"/>
      <c r="F74" s="1"/>
      <c r="G74" s="1"/>
      <c r="H74" s="1"/>
      <c r="I74" s="1"/>
      <c r="J74" s="1"/>
      <c r="K74" s="1"/>
      <c r="L74" s="1"/>
      <c r="M74" s="1"/>
      <c r="N74" s="1"/>
      <c r="O74" s="11"/>
      <c r="P74" s="1"/>
    </row>
    <row r="75" spans="1:16" x14ac:dyDescent="0.3">
      <c r="A75" s="1"/>
      <c r="B75" s="1"/>
      <c r="C75" s="1"/>
      <c r="D75" s="10"/>
      <c r="E75" s="10"/>
      <c r="F75" s="1"/>
      <c r="G75" s="1"/>
      <c r="H75" s="1"/>
      <c r="I75" s="1"/>
      <c r="J75" s="1"/>
      <c r="K75" s="1"/>
      <c r="L75" s="1"/>
      <c r="M75" s="1"/>
      <c r="N75" s="1"/>
      <c r="O75" s="11"/>
      <c r="P75" s="1"/>
    </row>
    <row r="76" spans="1:16" x14ac:dyDescent="0.3">
      <c r="A76" s="1"/>
      <c r="B76" s="1"/>
      <c r="C76" s="1"/>
      <c r="D76" s="10"/>
      <c r="E76" s="10"/>
      <c r="F76" s="1"/>
      <c r="G76" s="1"/>
      <c r="H76" s="1"/>
      <c r="I76" s="1"/>
      <c r="J76" s="1"/>
      <c r="K76" s="1"/>
      <c r="L76" s="1"/>
      <c r="M76" s="1"/>
      <c r="N76" s="1"/>
      <c r="O76" s="11"/>
      <c r="P76" s="1"/>
    </row>
    <row r="77" spans="1:16" x14ac:dyDescent="0.3">
      <c r="A77" s="1"/>
      <c r="B77" s="1"/>
      <c r="C77" s="1"/>
      <c r="D77" s="10"/>
      <c r="E77" s="10"/>
      <c r="F77" s="1"/>
      <c r="G77" s="1"/>
      <c r="H77" s="1"/>
      <c r="I77" s="1"/>
      <c r="J77" s="1"/>
      <c r="K77" s="1"/>
      <c r="L77" s="1"/>
      <c r="M77" s="1"/>
      <c r="N77" s="1"/>
      <c r="O77" s="11"/>
      <c r="P77" s="1"/>
    </row>
    <row r="78" spans="1:16" x14ac:dyDescent="0.3">
      <c r="A78" s="1"/>
      <c r="B78" s="1"/>
      <c r="C78" s="1"/>
      <c r="D78" s="10"/>
      <c r="E78" s="10"/>
      <c r="F78" s="1"/>
      <c r="G78" s="1"/>
      <c r="H78" s="1"/>
      <c r="I78" s="1"/>
      <c r="J78" s="1"/>
      <c r="K78" s="1"/>
      <c r="L78" s="1"/>
      <c r="M78" s="1"/>
      <c r="N78" s="1"/>
      <c r="O78" s="11"/>
      <c r="P78" s="1"/>
    </row>
    <row r="79" spans="1:16" x14ac:dyDescent="0.3">
      <c r="A79" s="1"/>
      <c r="B79" s="1"/>
      <c r="C79" s="1"/>
      <c r="D79" s="10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0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">
      <c r="A81" s="1"/>
      <c r="B81" s="1"/>
      <c r="C81" s="1"/>
      <c r="D81" s="10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">
      <c r="A82" s="1"/>
      <c r="B82" s="1"/>
      <c r="C82" s="1"/>
      <c r="D82" s="10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">
      <c r="A83" s="1"/>
      <c r="B83" s="1"/>
      <c r="C83" s="1"/>
      <c r="D83" s="10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3">
      <c r="A84" s="9" t="s">
        <v>7</v>
      </c>
      <c r="B84" s="9"/>
      <c r="C84" s="1"/>
      <c r="D84" s="10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3">
      <c r="A85" s="1"/>
      <c r="B85" s="1"/>
      <c r="C85" s="1"/>
      <c r="D85" s="10"/>
      <c r="E85" s="10"/>
      <c r="F85" s="1"/>
      <c r="G85" s="1"/>
      <c r="H85" s="1"/>
      <c r="I85" s="1"/>
      <c r="J85" s="1"/>
      <c r="K85" s="1"/>
      <c r="L85" s="1"/>
      <c r="M85" s="1"/>
      <c r="N85" s="1"/>
      <c r="O85" s="11"/>
      <c r="P85" s="1"/>
    </row>
    <row r="86" spans="1:16" x14ac:dyDescent="0.3">
      <c r="A86" s="1"/>
      <c r="B86" s="1"/>
      <c r="C86" s="1"/>
      <c r="D86" s="10"/>
      <c r="E86" s="10"/>
      <c r="F86" s="1"/>
      <c r="G86" s="1"/>
      <c r="H86" s="1"/>
      <c r="I86" s="1"/>
      <c r="J86" s="1"/>
      <c r="K86" s="1"/>
      <c r="L86" s="1"/>
      <c r="M86" s="1"/>
      <c r="N86" s="1"/>
      <c r="O86" s="11"/>
      <c r="P86" s="1"/>
    </row>
    <row r="87" spans="1:16" x14ac:dyDescent="0.3">
      <c r="A87" s="1"/>
      <c r="B87" s="1"/>
      <c r="C87" s="1"/>
      <c r="D87" s="10"/>
      <c r="E87" s="10"/>
      <c r="F87" s="1"/>
      <c r="G87" s="1"/>
      <c r="H87" s="1"/>
      <c r="I87" s="1"/>
      <c r="J87" s="1"/>
      <c r="K87" s="1"/>
      <c r="L87" s="1"/>
      <c r="M87" s="1"/>
      <c r="N87" s="1"/>
      <c r="O87" s="11"/>
      <c r="P87" s="1"/>
    </row>
    <row r="88" spans="1:16" x14ac:dyDescent="0.3">
      <c r="A88" s="1"/>
      <c r="B88" s="1"/>
      <c r="C88" s="1"/>
      <c r="D88" s="10"/>
      <c r="E88" s="10"/>
      <c r="F88" s="1"/>
      <c r="G88" s="1"/>
      <c r="H88" s="1"/>
      <c r="I88" s="1"/>
      <c r="J88" s="1"/>
      <c r="K88" s="1"/>
      <c r="L88" s="1"/>
      <c r="M88" s="1"/>
      <c r="N88" s="1"/>
      <c r="O88" s="11"/>
      <c r="P88" s="1"/>
    </row>
    <row r="89" spans="1:16" x14ac:dyDescent="0.3">
      <c r="A89" s="1"/>
      <c r="B89" s="1"/>
      <c r="C89" s="1"/>
      <c r="D89" s="10"/>
      <c r="E89" s="10"/>
      <c r="F89" s="1"/>
      <c r="G89" s="1"/>
      <c r="H89" s="1"/>
      <c r="I89" s="1"/>
      <c r="J89" s="1"/>
      <c r="K89" s="1"/>
      <c r="L89" s="1"/>
      <c r="M89" s="1"/>
      <c r="N89" s="1"/>
      <c r="O89" s="11"/>
      <c r="P89" s="1"/>
    </row>
    <row r="90" spans="1:16" x14ac:dyDescent="0.3">
      <c r="A90" s="1"/>
      <c r="B90" s="1"/>
      <c r="C90" s="1"/>
      <c r="D90" s="10"/>
      <c r="E90" s="10"/>
      <c r="F90" s="1"/>
      <c r="G90" s="1"/>
      <c r="H90" s="1"/>
      <c r="I90" s="1"/>
      <c r="J90" s="1"/>
      <c r="K90" s="1"/>
      <c r="L90" s="1"/>
      <c r="M90" s="1"/>
      <c r="N90" s="1"/>
      <c r="O90" s="11"/>
      <c r="P90" s="1"/>
    </row>
    <row r="91" spans="1:16" x14ac:dyDescent="0.3">
      <c r="A91" s="1"/>
      <c r="B91" s="1"/>
      <c r="C91" s="1"/>
      <c r="D91" s="10"/>
      <c r="E91" s="10"/>
      <c r="F91" s="1"/>
      <c r="G91" s="1"/>
      <c r="H91" s="1"/>
      <c r="I91" s="1"/>
      <c r="J91" s="1"/>
      <c r="K91" s="1"/>
      <c r="L91" s="1"/>
      <c r="M91" s="1"/>
      <c r="N91" s="1"/>
      <c r="O91" s="11"/>
      <c r="P91" s="1"/>
    </row>
    <row r="92" spans="1:16" x14ac:dyDescent="0.3">
      <c r="A92" s="1"/>
      <c r="B92" s="1"/>
      <c r="C92" s="1"/>
      <c r="D92" s="10"/>
      <c r="E92" s="10"/>
      <c r="F92" s="1"/>
      <c r="G92" s="1"/>
      <c r="H92" s="1"/>
      <c r="I92" s="1"/>
      <c r="J92" s="1"/>
      <c r="K92" s="1"/>
      <c r="L92" s="1"/>
      <c r="M92" s="1"/>
      <c r="N92" s="1"/>
      <c r="O92" s="11"/>
      <c r="P92" s="1"/>
    </row>
    <row r="93" spans="1:16" x14ac:dyDescent="0.3">
      <c r="A93" s="1"/>
      <c r="B93" s="1"/>
      <c r="C93" s="1"/>
      <c r="D93" s="10"/>
      <c r="E93" s="10"/>
      <c r="F93" s="1"/>
      <c r="G93" s="1"/>
      <c r="H93" s="1"/>
      <c r="I93" s="1"/>
      <c r="J93" s="1"/>
      <c r="K93" s="1"/>
      <c r="L93" s="1"/>
      <c r="M93" s="1"/>
      <c r="N93" s="1"/>
      <c r="O93" s="11"/>
      <c r="P93" s="1"/>
    </row>
    <row r="94" spans="1:16" x14ac:dyDescent="0.3">
      <c r="A94" s="1"/>
      <c r="B94" s="1"/>
      <c r="C94" s="1"/>
      <c r="D94" s="10"/>
      <c r="E94" s="10"/>
      <c r="F94" s="1"/>
      <c r="G94" s="1"/>
      <c r="H94" s="1"/>
      <c r="I94" s="1"/>
      <c r="J94" s="1"/>
      <c r="K94" s="1"/>
      <c r="L94" s="1"/>
      <c r="M94" s="1"/>
      <c r="N94" s="1"/>
      <c r="O94" s="11"/>
      <c r="P94" s="1"/>
    </row>
    <row r="95" spans="1:16" x14ac:dyDescent="0.3">
      <c r="A95" s="1"/>
      <c r="B95" s="1"/>
      <c r="C95" s="1"/>
      <c r="D95" s="10"/>
      <c r="E95" s="10"/>
      <c r="F95" s="1"/>
      <c r="G95" s="1"/>
      <c r="H95" s="1"/>
      <c r="I95" s="1"/>
      <c r="J95" s="1"/>
      <c r="K95" s="1"/>
      <c r="L95" s="1"/>
      <c r="M95" s="1"/>
      <c r="N95" s="1"/>
      <c r="O95" s="11"/>
      <c r="P95" s="1"/>
    </row>
    <row r="96" spans="1:16" x14ac:dyDescent="0.3">
      <c r="A96" s="1"/>
      <c r="B96" s="1"/>
      <c r="C96" s="1"/>
      <c r="D96" s="10"/>
      <c r="E96" s="10"/>
      <c r="F96" s="1"/>
      <c r="G96" s="1"/>
      <c r="H96" s="1"/>
      <c r="I96" s="1"/>
      <c r="J96" s="1"/>
      <c r="K96" s="1"/>
      <c r="L96" s="1"/>
      <c r="M96" s="1"/>
      <c r="N96" s="1"/>
      <c r="O96" s="11"/>
      <c r="P96" s="1"/>
    </row>
    <row r="97" spans="1:16" x14ac:dyDescent="0.3">
      <c r="A97" s="1"/>
      <c r="B97" s="1"/>
      <c r="C97" s="1"/>
      <c r="D97" s="10"/>
      <c r="E97" s="10"/>
      <c r="F97" s="1"/>
      <c r="G97" s="1"/>
      <c r="H97" s="1"/>
      <c r="I97" s="1"/>
      <c r="J97" s="1"/>
      <c r="K97" s="1"/>
      <c r="L97" s="1"/>
      <c r="M97" s="1"/>
      <c r="N97" s="1"/>
      <c r="O97" s="11"/>
      <c r="P97" s="1"/>
    </row>
    <row r="98" spans="1:16" x14ac:dyDescent="0.3">
      <c r="A98" s="1"/>
      <c r="B98" s="1"/>
      <c r="C98" s="1"/>
      <c r="D98" s="10"/>
      <c r="E98" s="10"/>
      <c r="F98" s="1"/>
      <c r="G98" s="1"/>
      <c r="H98" s="1"/>
      <c r="I98" s="1"/>
      <c r="J98" s="1"/>
      <c r="K98" s="1"/>
      <c r="L98" s="1"/>
      <c r="M98" s="1"/>
      <c r="N98" s="1"/>
      <c r="O98" s="11"/>
      <c r="P98" s="1"/>
    </row>
    <row r="99" spans="1:16" x14ac:dyDescent="0.3">
      <c r="A99" s="1"/>
      <c r="B99" s="1"/>
      <c r="C99" s="1"/>
      <c r="D99" s="10"/>
      <c r="E99" s="10"/>
      <c r="F99" s="1"/>
      <c r="G99" s="1"/>
      <c r="H99" s="1"/>
      <c r="I99" s="1"/>
      <c r="J99" s="1"/>
      <c r="K99" s="1"/>
      <c r="L99" s="1"/>
      <c r="M99" s="1"/>
      <c r="N99" s="1"/>
      <c r="O99" s="11"/>
      <c r="P99" s="1"/>
    </row>
    <row r="100" spans="1:16" x14ac:dyDescent="0.3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1"/>
      <c r="P100" s="1"/>
    </row>
    <row r="101" spans="1:16" x14ac:dyDescent="0.3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1"/>
      <c r="P101" s="1"/>
    </row>
    <row r="102" spans="1:16" x14ac:dyDescent="0.3">
      <c r="A102" s="1"/>
      <c r="B102" s="1"/>
      <c r="C102" s="1"/>
      <c r="D102" s="10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1"/>
      <c r="P102" s="1"/>
    </row>
    <row r="103" spans="1:16" x14ac:dyDescent="0.3">
      <c r="A103" s="1"/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1"/>
      <c r="P103" s="1"/>
    </row>
    <row r="104" spans="1:16" x14ac:dyDescent="0.3">
      <c r="A104" s="1"/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1"/>
      <c r="P104" s="1"/>
    </row>
    <row r="105" spans="1:16" x14ac:dyDescent="0.3">
      <c r="A105" s="1"/>
      <c r="B105" s="1"/>
      <c r="C105" s="1"/>
      <c r="D105" s="10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1"/>
      <c r="P105" s="1"/>
    </row>
    <row r="106" spans="1:16" x14ac:dyDescent="0.3">
      <c r="A106" s="1"/>
      <c r="B106" s="1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1"/>
      <c r="P106" s="1"/>
    </row>
    <row r="107" spans="1:16" x14ac:dyDescent="0.3">
      <c r="A107" s="1"/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1"/>
      <c r="P107" s="1"/>
    </row>
    <row r="108" spans="1:16" x14ac:dyDescent="0.3">
      <c r="A108" s="1"/>
      <c r="B108" s="1"/>
      <c r="C108" s="1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1"/>
      <c r="P108" s="1"/>
    </row>
    <row r="109" spans="1:16" x14ac:dyDescent="0.3">
      <c r="A109" s="1"/>
      <c r="B109" s="1"/>
      <c r="C109" s="1"/>
      <c r="D109" s="10"/>
      <c r="E109" s="10"/>
      <c r="F109" s="1"/>
      <c r="G109" s="1"/>
      <c r="H109" s="1"/>
      <c r="I109" s="1"/>
      <c r="J109" s="11"/>
      <c r="K109" s="1"/>
      <c r="L109" s="1"/>
      <c r="M109" s="1"/>
      <c r="N109" s="1"/>
      <c r="O109" s="11"/>
      <c r="P109" s="1"/>
    </row>
    <row r="110" spans="1:16" x14ac:dyDescent="0.3">
      <c r="A110" s="1"/>
      <c r="B110" s="1"/>
      <c r="C110" s="1"/>
      <c r="D110" s="10"/>
      <c r="E110" s="10"/>
      <c r="F110" s="1"/>
      <c r="G110" s="1"/>
      <c r="H110" s="1"/>
      <c r="I110" s="1"/>
      <c r="J110" s="11"/>
      <c r="K110" s="1"/>
      <c r="L110" s="1"/>
      <c r="M110" s="1"/>
      <c r="N110" s="1"/>
      <c r="O110" s="11"/>
      <c r="P110" s="1"/>
    </row>
    <row r="111" spans="1:16" x14ac:dyDescent="0.3">
      <c r="A111" s="1"/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1"/>
      <c r="P111" s="1"/>
    </row>
    <row r="112" spans="1:16" x14ac:dyDescent="0.3">
      <c r="A112" s="1"/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1"/>
      <c r="P112" s="1"/>
    </row>
    <row r="113" spans="1:16" x14ac:dyDescent="0.3">
      <c r="A113" s="1"/>
      <c r="B113" s="1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1"/>
      <c r="P113" s="1"/>
    </row>
    <row r="114" spans="1:16" x14ac:dyDescent="0.3">
      <c r="A114" s="9" t="s">
        <v>8</v>
      </c>
      <c r="B114" s="9"/>
      <c r="C114" s="1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1"/>
      <c r="P114" s="1"/>
    </row>
    <row r="115" spans="1:16" x14ac:dyDescent="0.3">
      <c r="A115" s="1"/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1"/>
      <c r="M115" s="1"/>
      <c r="N115" s="1"/>
      <c r="O115" s="11"/>
      <c r="P115" s="1"/>
    </row>
    <row r="116" spans="1:16" x14ac:dyDescent="0.3">
      <c r="A116" s="1"/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1"/>
      <c r="M116" s="1"/>
      <c r="N116" s="1"/>
      <c r="O116" s="11"/>
      <c r="P116" s="1"/>
    </row>
    <row r="117" spans="1:16" x14ac:dyDescent="0.3">
      <c r="A117" s="1"/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1"/>
      <c r="P117" s="1"/>
    </row>
    <row r="118" spans="1:16" x14ac:dyDescent="0.3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1"/>
      <c r="P118" s="1"/>
    </row>
    <row r="119" spans="1:16" x14ac:dyDescent="0.3">
      <c r="A119" s="1"/>
      <c r="B119" s="1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3">
      <c r="A120" s="9" t="s">
        <v>9</v>
      </c>
      <c r="B120" s="9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3">
      <c r="A121" s="1">
        <v>1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3">
      <c r="A122" s="1">
        <v>2</v>
      </c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3">
      <c r="A123" s="1"/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3">
      <c r="A124" s="1"/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3">
      <c r="A125" s="1" t="s">
        <v>10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3">
      <c r="A126" s="1">
        <v>1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3">
      <c r="A127" s="1">
        <v>2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3">
      <c r="A128" s="1">
        <v>3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3">
      <c r="A129" s="1" t="s">
        <v>11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3">
      <c r="A130" s="1">
        <v>1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3">
      <c r="A131" s="1">
        <v>2</v>
      </c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3">
      <c r="A132" s="1"/>
      <c r="B132" s="1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3">
      <c r="A133" s="9" t="s">
        <v>12</v>
      </c>
      <c r="B133" s="9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3">
      <c r="A134" s="1"/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1"/>
      <c r="P134" s="1"/>
    </row>
    <row r="135" spans="1:16" x14ac:dyDescent="0.3">
      <c r="A135" s="1"/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1"/>
      <c r="P135" s="1"/>
    </row>
    <row r="136" spans="1:16" x14ac:dyDescent="0.3">
      <c r="A136" s="1"/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1"/>
      <c r="P136" s="1"/>
    </row>
    <row r="137" spans="1:16" x14ac:dyDescent="0.3">
      <c r="A137" s="1"/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1"/>
      <c r="P137" s="1"/>
    </row>
    <row r="138" spans="1:16" x14ac:dyDescent="0.3">
      <c r="A138" s="1"/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3">
      <c r="A139" s="1" t="s">
        <v>13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3">
      <c r="A140" s="1">
        <v>1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3">
      <c r="A141" s="1">
        <v>2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3">
      <c r="A142" s="1">
        <v>3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3">
      <c r="A143" s="1">
        <v>4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3">
      <c r="A144" s="1" t="s">
        <v>14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3">
      <c r="A145" s="1">
        <v>1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3">
      <c r="A146" s="1">
        <v>2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3">
      <c r="A147" s="1">
        <v>3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3">
      <c r="A148" s="1" t="s">
        <v>15</v>
      </c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3">
      <c r="A149" s="1"/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1"/>
      <c r="P149" s="1"/>
    </row>
    <row r="150" spans="1:16" x14ac:dyDescent="0.3">
      <c r="A150" s="1"/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1"/>
      <c r="P150" s="1"/>
    </row>
    <row r="151" spans="1:16" x14ac:dyDescent="0.3">
      <c r="A151" s="1"/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3">
      <c r="A152" s="1"/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3">
      <c r="A153" s="1">
        <v>1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3">
      <c r="A154" s="1">
        <v>2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3">
      <c r="A155" s="1">
        <v>3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3">
      <c r="A156" s="1">
        <v>4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3">
      <c r="A157" s="1" t="s">
        <v>16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">
      <c r="A158" s="1">
        <v>1</v>
      </c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3">
      <c r="A159" s="1">
        <v>2</v>
      </c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3">
      <c r="A160" s="1" t="s">
        <v>17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3">
      <c r="A161" s="1">
        <v>1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3">
      <c r="A162" s="1">
        <v>2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3">
      <c r="A163" s="1" t="s">
        <v>18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3">
      <c r="A164" s="1">
        <v>1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3">
      <c r="A165" s="1">
        <v>2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3">
      <c r="A166" s="1">
        <v>3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3">
      <c r="A167" s="1" t="s">
        <v>19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3">
      <c r="A168" s="1">
        <v>1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3">
      <c r="A169" s="1">
        <v>2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3">
      <c r="A170" s="1">
        <v>3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3">
      <c r="A171" s="1" t="s">
        <v>20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3">
      <c r="A172" s="1">
        <v>1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3">
      <c r="A173" s="1">
        <v>2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3">
      <c r="A174" s="1" t="s">
        <v>21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3">
      <c r="A175" s="1">
        <v>1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3">
      <c r="A176" s="1">
        <v>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3">
      <c r="A177" s="1" t="s">
        <v>22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3">
      <c r="A178" s="1">
        <v>1</v>
      </c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3">
      <c r="A179" s="1"/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3">
      <c r="A180" s="1"/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3">
      <c r="A181" s="1" t="s">
        <v>23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3">
      <c r="A182" s="1">
        <v>1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3">
      <c r="A183" s="1">
        <v>2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3">
      <c r="A184" s="1">
        <v>3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3">
      <c r="A185" s="1">
        <v>4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3">
      <c r="A186" s="1" t="s">
        <v>24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3">
      <c r="A187" s="1">
        <v>1</v>
      </c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3">
      <c r="A188" s="1">
        <v>2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3">
      <c r="A189" s="1" t="s">
        <v>25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3">
      <c r="A190" s="1">
        <v>1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3">
      <c r="A191" s="1">
        <v>2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3">
      <c r="A192" s="1">
        <v>3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3">
      <c r="A193" s="1" t="s">
        <v>26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3">
      <c r="A194" s="1">
        <v>1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3">
      <c r="A195" s="1">
        <v>2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3">
      <c r="A196" s="1">
        <v>3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3">
      <c r="A197" s="1" t="s">
        <v>27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</sheetData>
  <mergeCells count="2">
    <mergeCell ref="M2:P2"/>
    <mergeCell ref="A69:B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procurement plan new 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Procurement PC 1</cp:lastModifiedBy>
  <dcterms:created xsi:type="dcterms:W3CDTF">2022-03-23T07:11:00Z</dcterms:created>
  <dcterms:modified xsi:type="dcterms:W3CDTF">2024-08-16T13:18:44Z</dcterms:modified>
</cp:coreProperties>
</file>