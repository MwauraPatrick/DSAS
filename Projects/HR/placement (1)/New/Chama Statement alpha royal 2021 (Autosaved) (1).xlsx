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E:\"/>
    </mc:Choice>
  </mc:AlternateContent>
  <xr:revisionPtr revIDLastSave="0" documentId="8_{E40835FE-7258-4C16-ABC9-AD67F38F49D1}" xr6:coauthVersionLast="47" xr6:coauthVersionMax="47" xr10:uidLastSave="{00000000-0000-0000-0000-000000000000}"/>
  <bookViews>
    <workbookView xWindow="-120" yWindow="-120" windowWidth="29040" windowHeight="15720" activeTab="1" xr2:uid="{00000000-000D-0000-FFFF-FFFF00000000}"/>
  </bookViews>
  <sheets>
    <sheet name="financial statement 2018" sheetId="1" r:id="rId1"/>
    <sheet name="Statement 2021" sheetId="33" r:id="rId2"/>
    <sheet name="statememnt 2020" sheetId="3" r:id="rId3"/>
    <sheet name="Welfare" sheetId="5" r:id="rId4"/>
    <sheet name="Loans" sheetId="6" r:id="rId5"/>
    <sheet name="Contributions" sheetId="7" r:id="rId6"/>
    <sheet name="Aisha Muthoni Statement" sheetId="8" r:id="rId7"/>
    <sheet name="Amina Statement" sheetId="9" r:id="rId8"/>
    <sheet name="Fatma Shaffi Statement" sheetId="10" r:id="rId9"/>
    <sheet name="Janet Dali Statement" sheetId="11" r:id="rId10"/>
    <sheet name="KK Statement" sheetId="12" r:id="rId11"/>
    <sheet name="Maimuna Juma Statement" sheetId="13" r:id="rId12"/>
    <sheet name="Nuru K Statement" sheetId="14" r:id="rId13"/>
    <sheet name="Nuru M Statement" sheetId="15" r:id="rId14"/>
    <sheet name="Patience Ndonye Statement" sheetId="16" r:id="rId15"/>
    <sheet name="Amina Salim" sheetId="17" state="hidden" r:id="rId16"/>
    <sheet name="Fatma Shaffi" sheetId="18" state="hidden" r:id="rId17"/>
    <sheet name="Janet Dali" sheetId="19" state="hidden" r:id="rId18"/>
    <sheet name="Khadijah Jaber" sheetId="20" state="hidden" r:id="rId19"/>
    <sheet name="Rabia Salim Statement" sheetId="21" r:id="rId20"/>
    <sheet name="Sheila Mwalekwa Statement" sheetId="22" r:id="rId21"/>
    <sheet name="Zuhura Sumba Statement" sheetId="23" r:id="rId22"/>
    <sheet name="Rehema Ali Statement" sheetId="24" r:id="rId23"/>
    <sheet name="Nuru K" sheetId="25" r:id="rId24"/>
    <sheet name="Nuru M" sheetId="26" state="hidden" r:id="rId25"/>
    <sheet name="Patience Ndonye" sheetId="27" state="hidden" r:id="rId26"/>
    <sheet name="Rabia Salim" sheetId="28" state="hidden" r:id="rId27"/>
    <sheet name="Rehema Ali" sheetId="29" state="hidden" r:id="rId28"/>
    <sheet name="Sheila Mwalekwa" sheetId="30" state="hidden" r:id="rId29"/>
  </sheets>
  <externalReferences>
    <externalReference r:id="rId30"/>
    <externalReference r:id="rId31"/>
  </externalReferences>
  <definedNames>
    <definedName name="_xlnm._FilterDatabase" localSheetId="5" hidden="1">Contributions!$A$2:$V$18</definedName>
  </definedNames>
  <calcPr calcId="191029"/>
</workbook>
</file>

<file path=xl/calcChain.xml><?xml version="1.0" encoding="utf-8"?>
<calcChain xmlns="http://schemas.openxmlformats.org/spreadsheetml/2006/main">
  <c r="AW3" i="5" l="1"/>
  <c r="BN16" i="5" l="1"/>
  <c r="BM16" i="5"/>
  <c r="BN15" i="5"/>
  <c r="BM15" i="5"/>
  <c r="BN14" i="5"/>
  <c r="BM14" i="5"/>
  <c r="BN13" i="5"/>
  <c r="BM13" i="5"/>
  <c r="BM12" i="5"/>
  <c r="BN11" i="5"/>
  <c r="BM11" i="5"/>
  <c r="BN10" i="5"/>
  <c r="BM10" i="5"/>
  <c r="BN9" i="5"/>
  <c r="BM9" i="5"/>
  <c r="BN8" i="5"/>
  <c r="BM8" i="5"/>
  <c r="BN7" i="5"/>
  <c r="BM7" i="5"/>
  <c r="BN6" i="5"/>
  <c r="BM6" i="5"/>
  <c r="BN5" i="5"/>
  <c r="BM5" i="5"/>
  <c r="BM4" i="5"/>
  <c r="BM3" i="5"/>
  <c r="BN17" i="5" l="1"/>
  <c r="BM17" i="5"/>
  <c r="B66" i="33" l="1"/>
  <c r="B61" i="33" l="1"/>
  <c r="E52" i="33"/>
  <c r="D52" i="33"/>
  <c r="BA18" i="7"/>
  <c r="F28" i="6" l="1"/>
  <c r="C28" i="6"/>
  <c r="G23" i="6"/>
  <c r="E23" i="6"/>
  <c r="H23" i="6" s="1"/>
  <c r="G27" i="6"/>
  <c r="D27" i="6"/>
  <c r="E27" i="6" s="1"/>
  <c r="H27" i="6" s="1"/>
  <c r="G26" i="6"/>
  <c r="D26" i="6"/>
  <c r="E26" i="6" s="1"/>
  <c r="H26" i="6" s="1"/>
  <c r="G25" i="6"/>
  <c r="D25" i="6"/>
  <c r="E25" i="6" s="1"/>
  <c r="H25" i="6" s="1"/>
  <c r="E24" i="6"/>
  <c r="G2" i="6"/>
  <c r="G3" i="6"/>
  <c r="G4" i="6"/>
  <c r="G5" i="6"/>
  <c r="G6" i="6"/>
  <c r="G8" i="6"/>
  <c r="G9" i="6"/>
  <c r="G10" i="6"/>
  <c r="G11" i="6"/>
  <c r="G12" i="6"/>
  <c r="G13" i="6"/>
  <c r="G14" i="6"/>
  <c r="G15" i="6"/>
  <c r="C16" i="6"/>
  <c r="D28" i="6" l="1"/>
  <c r="H28" i="6"/>
  <c r="G16" i="6"/>
  <c r="G28" i="6" s="1"/>
  <c r="E28" i="6"/>
  <c r="F16" i="6" l="1"/>
  <c r="BR18" i="7" l="1"/>
  <c r="BV17" i="7"/>
  <c r="BR17" i="7"/>
  <c r="BT17" i="7" s="1"/>
  <c r="BR16" i="7"/>
  <c r="BR15" i="7"/>
  <c r="BR14" i="7"/>
  <c r="BR13" i="7"/>
  <c r="BV12" i="7"/>
  <c r="BR12" i="7"/>
  <c r="BR11" i="7"/>
  <c r="BR10" i="7"/>
  <c r="BR9" i="7"/>
  <c r="BR8" i="7"/>
  <c r="BR7" i="7"/>
  <c r="BR6" i="7"/>
  <c r="BT6" i="7" s="1"/>
  <c r="BR5" i="7"/>
  <c r="BT5" i="7" s="1"/>
  <c r="BR3" i="7"/>
  <c r="D15" i="6"/>
  <c r="E15" i="6" s="1"/>
  <c r="H15" i="6" s="1"/>
  <c r="D14" i="6"/>
  <c r="E14" i="6"/>
  <c r="H14" i="6" s="1"/>
  <c r="D13" i="6"/>
  <c r="E13" i="6" s="1"/>
  <c r="H13" i="6" s="1"/>
  <c r="E7" i="30"/>
  <c r="D7" i="30"/>
  <c r="C7" i="30"/>
  <c r="E7" i="29"/>
  <c r="D7" i="29"/>
  <c r="C7" i="29"/>
  <c r="H5" i="29"/>
  <c r="E11" i="28"/>
  <c r="D11" i="28"/>
  <c r="C11" i="28"/>
  <c r="D23" i="26"/>
  <c r="E23" i="26" s="1"/>
  <c r="D22" i="26"/>
  <c r="E22" i="26" s="1"/>
  <c r="D21" i="26"/>
  <c r="E21" i="26" s="1"/>
  <c r="D20" i="26"/>
  <c r="E20" i="26" s="1"/>
  <c r="F17" i="26"/>
  <c r="E13" i="26"/>
  <c r="D13" i="26"/>
  <c r="C13" i="26"/>
  <c r="C14" i="26" s="1"/>
  <c r="D30" i="25"/>
  <c r="E29" i="25"/>
  <c r="D29" i="25"/>
  <c r="D28" i="25"/>
  <c r="D27" i="25"/>
  <c r="D26" i="25"/>
  <c r="D25" i="25"/>
  <c r="D24" i="25"/>
  <c r="D23" i="25"/>
  <c r="D22" i="25"/>
  <c r="D21" i="25"/>
  <c r="E14" i="25"/>
  <c r="D14" i="25"/>
  <c r="F21" i="25" s="1"/>
  <c r="F22" i="25" s="1"/>
  <c r="F23" i="25" s="1"/>
  <c r="F24" i="25" s="1"/>
  <c r="F25" i="25" s="1"/>
  <c r="F26" i="25" s="1"/>
  <c r="F27" i="25" s="1"/>
  <c r="F28" i="25" s="1"/>
  <c r="F29" i="25" s="1"/>
  <c r="F30" i="25" s="1"/>
  <c r="C14" i="25"/>
  <c r="C15" i="25" s="1"/>
  <c r="E27" i="24"/>
  <c r="E28" i="24" s="1"/>
  <c r="D27" i="24"/>
  <c r="D28" i="24" s="1"/>
  <c r="C27" i="24"/>
  <c r="E26" i="24"/>
  <c r="D26" i="24"/>
  <c r="C26" i="24"/>
  <c r="E27" i="23"/>
  <c r="E28" i="23" s="1"/>
  <c r="D27" i="23"/>
  <c r="D28" i="23" s="1"/>
  <c r="C27" i="23"/>
  <c r="E26" i="23"/>
  <c r="D26" i="23"/>
  <c r="C26" i="23"/>
  <c r="E27" i="22"/>
  <c r="E28" i="22" s="1"/>
  <c r="D27" i="22"/>
  <c r="C27" i="22"/>
  <c r="C28" i="22" s="1"/>
  <c r="E26" i="22"/>
  <c r="D26" i="22"/>
  <c r="C26" i="22"/>
  <c r="K29" i="21"/>
  <c r="K30" i="21" s="1"/>
  <c r="J29" i="21"/>
  <c r="E29" i="21"/>
  <c r="D29" i="21"/>
  <c r="D30" i="21" s="1"/>
  <c r="C29" i="21"/>
  <c r="J28" i="21"/>
  <c r="I28" i="21"/>
  <c r="I30" i="21" s="1"/>
  <c r="E28" i="21"/>
  <c r="D28" i="21"/>
  <c r="C28" i="21"/>
  <c r="R23" i="21"/>
  <c r="R25" i="21" s="1"/>
  <c r="R26" i="21" s="1"/>
  <c r="R19" i="21"/>
  <c r="N13" i="21"/>
  <c r="N14" i="21" s="1"/>
  <c r="M14" i="21" s="1"/>
  <c r="E9" i="20"/>
  <c r="D9" i="20"/>
  <c r="C9" i="20"/>
  <c r="E5" i="19"/>
  <c r="D5" i="19"/>
  <c r="C5" i="19"/>
  <c r="F3" i="19"/>
  <c r="D25" i="18"/>
  <c r="D24" i="18"/>
  <c r="D23" i="18"/>
  <c r="D22" i="18"/>
  <c r="D21" i="18"/>
  <c r="D20" i="18"/>
  <c r="D19" i="18"/>
  <c r="D18" i="18"/>
  <c r="D17" i="18"/>
  <c r="D16" i="18"/>
  <c r="E9" i="18"/>
  <c r="D9" i="18"/>
  <c r="C9" i="18"/>
  <c r="E14" i="17"/>
  <c r="D14" i="17"/>
  <c r="C14" i="17"/>
  <c r="E24" i="16"/>
  <c r="D24" i="16"/>
  <c r="E23" i="16"/>
  <c r="D23" i="16"/>
  <c r="C23" i="16"/>
  <c r="C25" i="16" s="1"/>
  <c r="E25" i="15"/>
  <c r="E26" i="15" s="1"/>
  <c r="D25" i="15"/>
  <c r="E24" i="15"/>
  <c r="D24" i="15"/>
  <c r="C15" i="15"/>
  <c r="C24" i="15" s="1"/>
  <c r="E23" i="14"/>
  <c r="D23" i="14"/>
  <c r="C23" i="14"/>
  <c r="E22" i="14"/>
  <c r="D22" i="14"/>
  <c r="C22" i="14"/>
  <c r="E25" i="13"/>
  <c r="E24" i="13"/>
  <c r="D24" i="13"/>
  <c r="D25" i="13" s="1"/>
  <c r="C24" i="13"/>
  <c r="C25" i="13" s="1"/>
  <c r="E23" i="13"/>
  <c r="D23" i="13"/>
  <c r="B11" i="13"/>
  <c r="H31" i="12"/>
  <c r="E26" i="12"/>
  <c r="D26" i="12"/>
  <c r="E25" i="12"/>
  <c r="D25" i="12"/>
  <c r="C25" i="12"/>
  <c r="C27" i="12" s="1"/>
  <c r="I23" i="12"/>
  <c r="H23" i="12"/>
  <c r="I16" i="12"/>
  <c r="I19" i="12" s="1"/>
  <c r="D24" i="11"/>
  <c r="C24" i="11"/>
  <c r="D23" i="11"/>
  <c r="C23" i="11"/>
  <c r="E28" i="10"/>
  <c r="D28" i="10"/>
  <c r="C28" i="10"/>
  <c r="C29" i="10" s="1"/>
  <c r="E27" i="10"/>
  <c r="D27" i="10"/>
  <c r="C27" i="10"/>
  <c r="E27" i="9"/>
  <c r="E28" i="9" s="1"/>
  <c r="D27" i="9"/>
  <c r="E26" i="9"/>
  <c r="D26" i="9"/>
  <c r="C26" i="9"/>
  <c r="C28" i="9" s="1"/>
  <c r="E27" i="8"/>
  <c r="D27" i="8"/>
  <c r="E26" i="8"/>
  <c r="D26" i="8"/>
  <c r="C26" i="8"/>
  <c r="C28" i="8" s="1"/>
  <c r="G28" i="7"/>
  <c r="E28" i="7"/>
  <c r="D28" i="7"/>
  <c r="V18" i="7"/>
  <c r="O18" i="7"/>
  <c r="N18" i="7"/>
  <c r="L18" i="7"/>
  <c r="K18" i="7"/>
  <c r="J18" i="7"/>
  <c r="I18" i="7"/>
  <c r="H18" i="7"/>
  <c r="G18" i="7"/>
  <c r="E18" i="7"/>
  <c r="D18" i="7"/>
  <c r="C18" i="7"/>
  <c r="B18" i="7"/>
  <c r="AZ17" i="7"/>
  <c r="AL17" i="7"/>
  <c r="AH17" i="7"/>
  <c r="AJ17" i="7" s="1"/>
  <c r="S17" i="7"/>
  <c r="AK17" i="7" s="1"/>
  <c r="P17" i="7"/>
  <c r="AZ16" i="7"/>
  <c r="BB16" i="7" s="1"/>
  <c r="AH16" i="7"/>
  <c r="AJ16" i="7" s="1"/>
  <c r="S16" i="7"/>
  <c r="Q16" i="7"/>
  <c r="P16" i="7"/>
  <c r="AZ15" i="7"/>
  <c r="BB15" i="7" s="1"/>
  <c r="AH15" i="7"/>
  <c r="AJ15" i="7" s="1"/>
  <c r="S15" i="7"/>
  <c r="Q15" i="7"/>
  <c r="T15" i="7" s="1"/>
  <c r="AL15" i="7" s="1"/>
  <c r="BD15" i="7" s="1"/>
  <c r="BV15" i="7" s="1"/>
  <c r="P15" i="7"/>
  <c r="AZ14" i="7"/>
  <c r="BB14" i="7" s="1"/>
  <c r="AH14" i="7"/>
  <c r="AJ14" i="7" s="1"/>
  <c r="S14" i="7"/>
  <c r="AK14" i="7" s="1"/>
  <c r="Q14" i="7"/>
  <c r="T14" i="7" s="1"/>
  <c r="AL14" i="7" s="1"/>
  <c r="BD14" i="7" s="1"/>
  <c r="BV14" i="7" s="1"/>
  <c r="P14" i="7"/>
  <c r="AZ13" i="7"/>
  <c r="BB13" i="7" s="1"/>
  <c r="AH13" i="7"/>
  <c r="AJ13" i="7" s="1"/>
  <c r="S13" i="7"/>
  <c r="Q13" i="7"/>
  <c r="T13" i="7" s="1"/>
  <c r="AL13" i="7" s="1"/>
  <c r="BD13" i="7" s="1"/>
  <c r="BV13" i="7" s="1"/>
  <c r="P13" i="7"/>
  <c r="AZ12" i="7"/>
  <c r="AH12" i="7"/>
  <c r="AJ12" i="7" s="1"/>
  <c r="S12" i="7"/>
  <c r="AK12" i="7" s="1"/>
  <c r="Q12" i="7"/>
  <c r="T12" i="7" s="1"/>
  <c r="P12" i="7"/>
  <c r="R12" i="7" s="1"/>
  <c r="AZ11" i="7"/>
  <c r="BB11" i="7" s="1"/>
  <c r="AH11" i="7"/>
  <c r="AJ11" i="7" s="1"/>
  <c r="S11" i="7"/>
  <c r="Q11" i="7"/>
  <c r="T11" i="7" s="1"/>
  <c r="AL11" i="7" s="1"/>
  <c r="BD11" i="7" s="1"/>
  <c r="BV11" i="7" s="1"/>
  <c r="P11" i="7"/>
  <c r="AZ10" i="7"/>
  <c r="BB10" i="7" s="1"/>
  <c r="AH10" i="7"/>
  <c r="AJ10" i="7" s="1"/>
  <c r="S10" i="7"/>
  <c r="Q10" i="7"/>
  <c r="T10" i="7" s="1"/>
  <c r="AL10" i="7" s="1"/>
  <c r="BD10" i="7" s="1"/>
  <c r="BV10" i="7" s="1"/>
  <c r="P10" i="7"/>
  <c r="AZ9" i="7"/>
  <c r="AH9" i="7"/>
  <c r="AJ9" i="7" s="1"/>
  <c r="Q9" i="7"/>
  <c r="T9" i="7" s="1"/>
  <c r="AL9" i="7" s="1"/>
  <c r="BD9" i="7" s="1"/>
  <c r="BV9" i="7" s="1"/>
  <c r="M9" i="7"/>
  <c r="M18" i="7" s="1"/>
  <c r="AZ8" i="7"/>
  <c r="BB8" i="7" s="1"/>
  <c r="AH8" i="7"/>
  <c r="AJ8" i="7" s="1"/>
  <c r="S8" i="7"/>
  <c r="AK8" i="7" s="1"/>
  <c r="Q8" i="7"/>
  <c r="R8" i="7" s="1"/>
  <c r="P8" i="7"/>
  <c r="AZ7" i="7"/>
  <c r="BB7" i="7" s="1"/>
  <c r="AH7" i="7"/>
  <c r="AJ7" i="7" s="1"/>
  <c r="S7" i="7"/>
  <c r="Q7" i="7"/>
  <c r="T7" i="7" s="1"/>
  <c r="AL7" i="7" s="1"/>
  <c r="BD7" i="7" s="1"/>
  <c r="BV7" i="7" s="1"/>
  <c r="P7" i="7"/>
  <c r="R7" i="7" s="1"/>
  <c r="AZ6" i="7"/>
  <c r="BB6" i="7" s="1"/>
  <c r="AH6" i="7"/>
  <c r="AJ6" i="7" s="1"/>
  <c r="Q6" i="7"/>
  <c r="T6" i="7" s="1"/>
  <c r="AL6" i="7" s="1"/>
  <c r="BD6" i="7" s="1"/>
  <c r="BV6" i="7" s="1"/>
  <c r="F6" i="7"/>
  <c r="AZ5" i="7"/>
  <c r="BB5" i="7" s="1"/>
  <c r="AH5" i="7"/>
  <c r="AJ5" i="7" s="1"/>
  <c r="S5" i="7"/>
  <c r="AK5" i="7" s="1"/>
  <c r="Q5" i="7"/>
  <c r="T5" i="7" s="1"/>
  <c r="P5" i="7"/>
  <c r="AZ4" i="7"/>
  <c r="BB4" i="7" s="1"/>
  <c r="AH4" i="7"/>
  <c r="AJ4" i="7" s="1"/>
  <c r="S4" i="7"/>
  <c r="Q4" i="7"/>
  <c r="T4" i="7" s="1"/>
  <c r="AL4" i="7" s="1"/>
  <c r="BD4" i="7" s="1"/>
  <c r="BV4" i="7" s="1"/>
  <c r="P4" i="7"/>
  <c r="AZ3" i="7"/>
  <c r="AH3" i="7"/>
  <c r="AJ3" i="7" s="1"/>
  <c r="S3" i="7"/>
  <c r="Q3" i="7"/>
  <c r="P3" i="7"/>
  <c r="D12" i="6"/>
  <c r="E12" i="6" s="1"/>
  <c r="E11" i="6"/>
  <c r="H11" i="6" s="1"/>
  <c r="D11" i="6"/>
  <c r="D10" i="6"/>
  <c r="E10" i="6" s="1"/>
  <c r="H10" i="6" s="1"/>
  <c r="D9" i="6"/>
  <c r="E9" i="6" s="1"/>
  <c r="H9" i="6" s="1"/>
  <c r="D8" i="6"/>
  <c r="E8" i="6" s="1"/>
  <c r="H8" i="6" s="1"/>
  <c r="D7" i="6"/>
  <c r="E7" i="6" s="1"/>
  <c r="H7" i="6" s="1"/>
  <c r="D6" i="6"/>
  <c r="E5" i="6"/>
  <c r="H5" i="6" s="1"/>
  <c r="B59" i="1" s="1"/>
  <c r="E4" i="6"/>
  <c r="H4" i="6" s="1"/>
  <c r="D77" i="3" s="1"/>
  <c r="D79" i="3" s="1"/>
  <c r="E3" i="6"/>
  <c r="H3" i="6" s="1"/>
  <c r="E2" i="6"/>
  <c r="AI17" i="5"/>
  <c r="S17" i="5"/>
  <c r="N17" i="5"/>
  <c r="M17" i="5"/>
  <c r="L17" i="5"/>
  <c r="K17" i="5"/>
  <c r="J17" i="5"/>
  <c r="I17" i="5"/>
  <c r="H17" i="5"/>
  <c r="G17" i="5"/>
  <c r="F17" i="5"/>
  <c r="E17" i="5"/>
  <c r="D17" i="5"/>
  <c r="C17" i="5"/>
  <c r="B17" i="5"/>
  <c r="AW16" i="5"/>
  <c r="AV16" i="5"/>
  <c r="AE16" i="5"/>
  <c r="Q16" i="5"/>
  <c r="AH16" i="5" s="1"/>
  <c r="P16" i="5"/>
  <c r="O16" i="5"/>
  <c r="AW15" i="5"/>
  <c r="AV15" i="5"/>
  <c r="AE15" i="5"/>
  <c r="Q15" i="5"/>
  <c r="AH15" i="5" s="1"/>
  <c r="P15" i="5"/>
  <c r="O15" i="5"/>
  <c r="AW14" i="5"/>
  <c r="AV14" i="5"/>
  <c r="AE14" i="5"/>
  <c r="Q14" i="5"/>
  <c r="AH14" i="5" s="1"/>
  <c r="P14" i="5"/>
  <c r="O14" i="5"/>
  <c r="AW13" i="5"/>
  <c r="AV13" i="5"/>
  <c r="AE13" i="5"/>
  <c r="Q13" i="5"/>
  <c r="AH13" i="5" s="1"/>
  <c r="P13" i="5"/>
  <c r="O13" i="5"/>
  <c r="AW12" i="5"/>
  <c r="AV12" i="5"/>
  <c r="AE12" i="5"/>
  <c r="Q12" i="5"/>
  <c r="AH12" i="5" s="1"/>
  <c r="P12" i="5"/>
  <c r="O12" i="5"/>
  <c r="AW11" i="5"/>
  <c r="AV11" i="5"/>
  <c r="AE11" i="5"/>
  <c r="Q11" i="5"/>
  <c r="AH11" i="5" s="1"/>
  <c r="P11" i="5"/>
  <c r="O11" i="5"/>
  <c r="AW10" i="5"/>
  <c r="AV10" i="5"/>
  <c r="AE10" i="5"/>
  <c r="Q10" i="5"/>
  <c r="P10" i="5"/>
  <c r="O10" i="5"/>
  <c r="AW9" i="5"/>
  <c r="AV9" i="5"/>
  <c r="AE9" i="5"/>
  <c r="Q9" i="5"/>
  <c r="AH9" i="5" s="1"/>
  <c r="P9" i="5"/>
  <c r="O9" i="5"/>
  <c r="AW8" i="5"/>
  <c r="AV8" i="5"/>
  <c r="AE8" i="5"/>
  <c r="Q8" i="5"/>
  <c r="AH8" i="5" s="1"/>
  <c r="P8" i="5"/>
  <c r="O8" i="5"/>
  <c r="AW7" i="5"/>
  <c r="AV7" i="5"/>
  <c r="AE7" i="5"/>
  <c r="Q7" i="5"/>
  <c r="AH7" i="5" s="1"/>
  <c r="P7" i="5"/>
  <c r="O7" i="5"/>
  <c r="AW6" i="5"/>
  <c r="AV6" i="5"/>
  <c r="AE6" i="5"/>
  <c r="Q6" i="5"/>
  <c r="AH6" i="5" s="1"/>
  <c r="P6" i="5"/>
  <c r="O6" i="5"/>
  <c r="AW5" i="5"/>
  <c r="AV5" i="5"/>
  <c r="AE5" i="5"/>
  <c r="Q5" i="5"/>
  <c r="AH5" i="5" s="1"/>
  <c r="P5" i="5"/>
  <c r="O5" i="5"/>
  <c r="AW4" i="5"/>
  <c r="AV4" i="5"/>
  <c r="AE4" i="5"/>
  <c r="Q4" i="5"/>
  <c r="AH4" i="5" s="1"/>
  <c r="P4" i="5"/>
  <c r="O4" i="5"/>
  <c r="AV3" i="5"/>
  <c r="AE3" i="5"/>
  <c r="Q3" i="5"/>
  <c r="P3" i="5"/>
  <c r="O3" i="5"/>
  <c r="E79" i="3"/>
  <c r="E74" i="3"/>
  <c r="D69" i="3"/>
  <c r="D68" i="3"/>
  <c r="D67" i="3"/>
  <c r="D66" i="3"/>
  <c r="D65" i="3"/>
  <c r="D64" i="3"/>
  <c r="D63" i="3"/>
  <c r="E54" i="3"/>
  <c r="E60" i="3" s="1"/>
  <c r="D54" i="3"/>
  <c r="C54" i="3" s="1"/>
  <c r="F51" i="3"/>
  <c r="E51" i="3"/>
  <c r="C49" i="3"/>
  <c r="C48" i="3"/>
  <c r="C51" i="3" s="1"/>
  <c r="D44" i="3"/>
  <c r="D39" i="3"/>
  <c r="D38" i="3"/>
  <c r="C38" i="3"/>
  <c r="E35" i="3"/>
  <c r="D35" i="3"/>
  <c r="D37" i="3" s="1"/>
  <c r="D40" i="3" s="1"/>
  <c r="C35" i="3"/>
  <c r="C37" i="3" s="1"/>
  <c r="D31" i="3"/>
  <c r="C31" i="3" s="1"/>
  <c r="D26" i="3"/>
  <c r="D48" i="3" s="1"/>
  <c r="D20" i="3"/>
  <c r="C20" i="3"/>
  <c r="D19" i="3"/>
  <c r="D21" i="3" s="1"/>
  <c r="C19" i="3"/>
  <c r="E13" i="3"/>
  <c r="E14" i="3" s="1"/>
  <c r="E12" i="3"/>
  <c r="D12" i="3"/>
  <c r="D15" i="3" s="1"/>
  <c r="C12" i="3"/>
  <c r="F6" i="3"/>
  <c r="F5" i="3"/>
  <c r="E5" i="3"/>
  <c r="E7" i="3" s="1"/>
  <c r="D5" i="3"/>
  <c r="C5" i="3"/>
  <c r="B52" i="1"/>
  <c r="B69" i="1" s="1"/>
  <c r="B71" i="1" s="1"/>
  <c r="D8" i="1" s="1"/>
  <c r="B40" i="1"/>
  <c r="B27" i="1"/>
  <c r="B22" i="1"/>
  <c r="C10" i="1" s="1"/>
  <c r="C13" i="1"/>
  <c r="C12" i="1"/>
  <c r="C11" i="1"/>
  <c r="D5" i="1"/>
  <c r="AG4" i="5" l="1"/>
  <c r="C30" i="21"/>
  <c r="C24" i="14"/>
  <c r="R4" i="7"/>
  <c r="D25" i="16"/>
  <c r="C28" i="23"/>
  <c r="C29" i="23" s="1"/>
  <c r="E29" i="10"/>
  <c r="E25" i="16"/>
  <c r="E24" i="14"/>
  <c r="D28" i="9"/>
  <c r="C29" i="9" s="1"/>
  <c r="C8" i="30"/>
  <c r="R5" i="5"/>
  <c r="R6" i="5"/>
  <c r="R9" i="5"/>
  <c r="R13" i="5"/>
  <c r="R14" i="5"/>
  <c r="AG5" i="5"/>
  <c r="AI5" i="5" s="1"/>
  <c r="AG14" i="5"/>
  <c r="AX14" i="5" s="1"/>
  <c r="BO14" i="5" s="1"/>
  <c r="AY4" i="5"/>
  <c r="BP4" i="5" s="1"/>
  <c r="AY5" i="5"/>
  <c r="BP5" i="5" s="1"/>
  <c r="AY13" i="5"/>
  <c r="BP13" i="5" s="1"/>
  <c r="AY14" i="5"/>
  <c r="BP14" i="5" s="1"/>
  <c r="AY16" i="5"/>
  <c r="BP16" i="5" s="1"/>
  <c r="AG12" i="5"/>
  <c r="AI12" i="5" s="1"/>
  <c r="O17" i="5"/>
  <c r="AV17" i="5"/>
  <c r="AY6" i="5"/>
  <c r="BP6" i="5" s="1"/>
  <c r="AY7" i="5"/>
  <c r="BP7" i="5" s="1"/>
  <c r="AY9" i="5"/>
  <c r="BP9" i="5" s="1"/>
  <c r="R10" i="5"/>
  <c r="AY12" i="5"/>
  <c r="BP12" i="5" s="1"/>
  <c r="AG13" i="5"/>
  <c r="AI13" i="5" s="1"/>
  <c r="AG16" i="5"/>
  <c r="AI16" i="5" s="1"/>
  <c r="G35" i="3"/>
  <c r="C15" i="1"/>
  <c r="D8" i="3"/>
  <c r="D22" i="3"/>
  <c r="F7" i="3"/>
  <c r="D74" i="3"/>
  <c r="R10" i="7"/>
  <c r="U11" i="7"/>
  <c r="R13" i="7"/>
  <c r="R15" i="7"/>
  <c r="D27" i="12"/>
  <c r="C28" i="12" s="1"/>
  <c r="D26" i="15"/>
  <c r="BU8" i="7"/>
  <c r="AW17" i="5"/>
  <c r="AG8" i="5"/>
  <c r="AI8" i="5" s="1"/>
  <c r="AG10" i="5"/>
  <c r="AX10" i="5" s="1"/>
  <c r="BO10" i="5" s="1"/>
  <c r="C26" i="13"/>
  <c r="C29" i="22"/>
  <c r="BU17" i="7"/>
  <c r="BW17" i="7" s="1"/>
  <c r="Q17" i="5"/>
  <c r="AY8" i="5"/>
  <c r="BP8" i="5" s="1"/>
  <c r="AG9" i="5"/>
  <c r="AI9" i="5" s="1"/>
  <c r="AY11" i="5"/>
  <c r="BP11" i="5" s="1"/>
  <c r="AY15" i="5"/>
  <c r="BP15" i="5" s="1"/>
  <c r="E6" i="6"/>
  <c r="H6" i="6" s="1"/>
  <c r="H16" i="6" s="1"/>
  <c r="D16" i="6"/>
  <c r="AK10" i="7"/>
  <c r="R11" i="7"/>
  <c r="U13" i="7"/>
  <c r="R14" i="7"/>
  <c r="R16" i="7"/>
  <c r="D28" i="8"/>
  <c r="C29" i="8" s="1"/>
  <c r="D29" i="10"/>
  <c r="C30" i="10" s="1"/>
  <c r="C25" i="11"/>
  <c r="D24" i="14"/>
  <c r="C25" i="14" s="1"/>
  <c r="C26" i="16"/>
  <c r="C10" i="18"/>
  <c r="E30" i="21"/>
  <c r="M15" i="21" s="1"/>
  <c r="D28" i="22"/>
  <c r="C28" i="24"/>
  <c r="C29" i="24" s="1"/>
  <c r="C12" i="28"/>
  <c r="C8" i="29"/>
  <c r="AI4" i="5"/>
  <c r="AG6" i="5"/>
  <c r="AI6" i="5" s="1"/>
  <c r="R7" i="5"/>
  <c r="R12" i="5"/>
  <c r="R16" i="5"/>
  <c r="BB3" i="7"/>
  <c r="AZ18" i="7"/>
  <c r="U5" i="7"/>
  <c r="AK7" i="7"/>
  <c r="BC7" i="7" s="1"/>
  <c r="BE7" i="7" s="1"/>
  <c r="E28" i="8"/>
  <c r="D25" i="11"/>
  <c r="E27" i="12"/>
  <c r="C10" i="20"/>
  <c r="J30" i="21"/>
  <c r="I31" i="21" s="1"/>
  <c r="F20" i="26"/>
  <c r="F21" i="26" s="1"/>
  <c r="F22" i="26" s="1"/>
  <c r="F23" i="26" s="1"/>
  <c r="BT13" i="7"/>
  <c r="BT14" i="7"/>
  <c r="BT9" i="7"/>
  <c r="BT7" i="7"/>
  <c r="BT11" i="7"/>
  <c r="BT15" i="7"/>
  <c r="BT4" i="7"/>
  <c r="BT8" i="7"/>
  <c r="BT12" i="7"/>
  <c r="BT16" i="7"/>
  <c r="BB9" i="7"/>
  <c r="BB12" i="7"/>
  <c r="E61" i="3"/>
  <c r="AX4" i="5"/>
  <c r="D27" i="3"/>
  <c r="D49" i="3"/>
  <c r="D51" i="3" s="1"/>
  <c r="D55" i="3"/>
  <c r="D60" i="3" s="1"/>
  <c r="R4" i="5"/>
  <c r="R8" i="5"/>
  <c r="R11" i="5"/>
  <c r="R15" i="5"/>
  <c r="AX16" i="5"/>
  <c r="Q18" i="7"/>
  <c r="R5" i="7"/>
  <c r="BC12" i="7"/>
  <c r="BU12" i="7" s="1"/>
  <c r="BW12" i="7" s="1"/>
  <c r="U15" i="7"/>
  <c r="AM17" i="7"/>
  <c r="I21" i="12"/>
  <c r="I24" i="12"/>
  <c r="P17" i="5"/>
  <c r="D16" i="3" s="1"/>
  <c r="D17" i="3" s="1"/>
  <c r="AG3" i="5"/>
  <c r="AG7" i="5"/>
  <c r="AH10" i="5"/>
  <c r="AK3" i="7"/>
  <c r="AL5" i="7"/>
  <c r="BD5" i="7" s="1"/>
  <c r="BV5" i="7" s="1"/>
  <c r="P6" i="7"/>
  <c r="R6" i="7" s="1"/>
  <c r="F18" i="7"/>
  <c r="BC14" i="7"/>
  <c r="BE14" i="7" s="1"/>
  <c r="AM14" i="7"/>
  <c r="F32" i="10"/>
  <c r="H22" i="15"/>
  <c r="H20" i="15"/>
  <c r="C21" i="3"/>
  <c r="C22" i="3" s="1"/>
  <c r="AH3" i="5"/>
  <c r="AY3" i="5" s="1"/>
  <c r="BP3" i="5" s="1"/>
  <c r="AK4" i="7"/>
  <c r="BC5" i="7"/>
  <c r="M16" i="21"/>
  <c r="M17" i="21" s="1"/>
  <c r="R3" i="5"/>
  <c r="H2" i="6"/>
  <c r="S6" i="7"/>
  <c r="BC8" i="7"/>
  <c r="BC10" i="7"/>
  <c r="AM10" i="7"/>
  <c r="AL12" i="7"/>
  <c r="U12" i="7"/>
  <c r="C31" i="21"/>
  <c r="AG11" i="5"/>
  <c r="AG15" i="5"/>
  <c r="R3" i="7"/>
  <c r="U4" i="7"/>
  <c r="U7" i="7"/>
  <c r="T8" i="7"/>
  <c r="U10" i="7"/>
  <c r="AK11" i="7"/>
  <c r="U14" i="7"/>
  <c r="AK15" i="7"/>
  <c r="U17" i="7"/>
  <c r="S9" i="7"/>
  <c r="T16" i="7"/>
  <c r="AL16" i="7" s="1"/>
  <c r="BD16" i="7" s="1"/>
  <c r="BV16" i="7" s="1"/>
  <c r="AK16" i="7"/>
  <c r="H21" i="15"/>
  <c r="T3" i="7"/>
  <c r="P9" i="7"/>
  <c r="R9" i="7" s="1"/>
  <c r="AK13" i="7"/>
  <c r="C25" i="15"/>
  <c r="C26" i="15" s="1"/>
  <c r="BQ14" i="5" l="1"/>
  <c r="BE5" i="7"/>
  <c r="BO4" i="5"/>
  <c r="BQ4" i="5" s="1"/>
  <c r="E16" i="6"/>
  <c r="AX12" i="5"/>
  <c r="BU5" i="7"/>
  <c r="BW5" i="7" s="1"/>
  <c r="C27" i="15"/>
  <c r="B60" i="1"/>
  <c r="AX9" i="5"/>
  <c r="AZ9" i="5" s="1"/>
  <c r="AI14" i="5"/>
  <c r="AZ14" i="5"/>
  <c r="AX6" i="5"/>
  <c r="BO6" i="5" s="1"/>
  <c r="BQ6" i="5" s="1"/>
  <c r="AX5" i="5"/>
  <c r="AZ5" i="5" s="1"/>
  <c r="AZ16" i="5"/>
  <c r="BO16" i="5"/>
  <c r="BQ16" i="5" s="1"/>
  <c r="AZ12" i="5"/>
  <c r="BO12" i="5"/>
  <c r="BQ12" i="5" s="1"/>
  <c r="AZ6" i="5"/>
  <c r="BO5" i="5"/>
  <c r="BQ5" i="5" s="1"/>
  <c r="AX13" i="5"/>
  <c r="D7" i="1"/>
  <c r="D13" i="3"/>
  <c r="D14" i="3" s="1"/>
  <c r="BU7" i="7"/>
  <c r="BW7" i="7" s="1"/>
  <c r="BE10" i="7"/>
  <c r="BU10" i="7"/>
  <c r="BW10" i="7" s="1"/>
  <c r="AX8" i="5"/>
  <c r="AM7" i="7"/>
  <c r="D61" i="3"/>
  <c r="BU14" i="7"/>
  <c r="BW14" i="7" s="1"/>
  <c r="B26" i="11"/>
  <c r="R17" i="5"/>
  <c r="R18" i="7"/>
  <c r="S18" i="7"/>
  <c r="D9" i="3" s="1"/>
  <c r="D10" i="3" s="1"/>
  <c r="AZ4" i="5"/>
  <c r="BE12" i="7"/>
  <c r="BC13" i="7"/>
  <c r="AM13" i="7"/>
  <c r="BC16" i="7"/>
  <c r="AM16" i="7"/>
  <c r="BC15" i="7"/>
  <c r="AM15" i="7"/>
  <c r="AL8" i="7"/>
  <c r="U8" i="7"/>
  <c r="AI15" i="5"/>
  <c r="AX15" i="5"/>
  <c r="BO15" i="5" s="1"/>
  <c r="BQ15" i="5" s="1"/>
  <c r="BC4" i="7"/>
  <c r="AM4" i="7"/>
  <c r="AY10" i="5"/>
  <c r="AY17" i="5" s="1"/>
  <c r="AI10" i="5"/>
  <c r="AI11" i="5"/>
  <c r="AX11" i="5"/>
  <c r="U6" i="7"/>
  <c r="AK6" i="7"/>
  <c r="BC3" i="7"/>
  <c r="AM3" i="7"/>
  <c r="AI7" i="5"/>
  <c r="AX7" i="5"/>
  <c r="AL3" i="7"/>
  <c r="BD3" i="7" s="1"/>
  <c r="T18" i="7"/>
  <c r="U9" i="7"/>
  <c r="AK9" i="7"/>
  <c r="BC11" i="7"/>
  <c r="AM11" i="7"/>
  <c r="U16" i="7"/>
  <c r="P18" i="7"/>
  <c r="AM5" i="7"/>
  <c r="U3" i="7"/>
  <c r="U18" i="7" s="1"/>
  <c r="AI3" i="5"/>
  <c r="AX3" i="5"/>
  <c r="AM12" i="7"/>
  <c r="G34" i="3"/>
  <c r="C27" i="3"/>
  <c r="BO9" i="5" l="1"/>
  <c r="BQ9" i="5" s="1"/>
  <c r="D42" i="3"/>
  <c r="D45" i="3" s="1"/>
  <c r="AZ3" i="5"/>
  <c r="BO3" i="5"/>
  <c r="BQ3" i="5" s="1"/>
  <c r="AZ7" i="5"/>
  <c r="BO7" i="5"/>
  <c r="BQ7" i="5" s="1"/>
  <c r="AZ11" i="5"/>
  <c r="BO11" i="5"/>
  <c r="BQ11" i="5" s="1"/>
  <c r="AZ13" i="5"/>
  <c r="BO13" i="5"/>
  <c r="BQ13" i="5" s="1"/>
  <c r="AZ10" i="5"/>
  <c r="BP10" i="5"/>
  <c r="AZ8" i="5"/>
  <c r="BO8" i="5"/>
  <c r="BQ8" i="5" s="1"/>
  <c r="BV3" i="7"/>
  <c r="BE16" i="7"/>
  <c r="BU16" i="7"/>
  <c r="BW16" i="7" s="1"/>
  <c r="BE11" i="7"/>
  <c r="BU11" i="7"/>
  <c r="BW11" i="7" s="1"/>
  <c r="BU3" i="7"/>
  <c r="BE13" i="7"/>
  <c r="BU13" i="7"/>
  <c r="BW13" i="7" s="1"/>
  <c r="BE4" i="7"/>
  <c r="BW4" i="7"/>
  <c r="BE15" i="7"/>
  <c r="BU15" i="7"/>
  <c r="BW15" i="7" s="1"/>
  <c r="AZ15" i="5"/>
  <c r="BE3" i="7"/>
  <c r="D6" i="3"/>
  <c r="D7" i="3" s="1"/>
  <c r="D6" i="1"/>
  <c r="D15" i="1" s="1"/>
  <c r="BC9" i="7"/>
  <c r="AM9" i="7"/>
  <c r="BC6" i="7"/>
  <c r="AM6" i="7"/>
  <c r="BD8" i="7"/>
  <c r="AM8" i="7"/>
  <c r="U20" i="7"/>
  <c r="BC18" i="7" l="1"/>
  <c r="BU18" i="7" s="1"/>
  <c r="BQ10" i="5"/>
  <c r="BP17" i="5"/>
  <c r="BW3" i="7"/>
  <c r="BE8" i="7"/>
  <c r="BV8" i="7"/>
  <c r="BW8" i="7" s="1"/>
  <c r="BE9" i="7"/>
  <c r="BU9" i="7"/>
  <c r="BW9" i="7" s="1"/>
  <c r="BD18" i="7"/>
  <c r="BE6" i="7"/>
  <c r="BU6" i="7"/>
  <c r="BW6" i="7" s="1"/>
</calcChain>
</file>

<file path=xl/sharedStrings.xml><?xml version="1.0" encoding="utf-8"?>
<sst xmlns="http://schemas.openxmlformats.org/spreadsheetml/2006/main" count="968" uniqueCount="255">
  <si>
    <t>ALPHA ROYALWOMEN GROUP</t>
  </si>
  <si>
    <t>BALANCE AS AT  30TH SEPTEMBER 2018</t>
  </si>
  <si>
    <t xml:space="preserve">FINANCIAL STATEMENT </t>
  </si>
  <si>
    <t>Kshs.</t>
  </si>
  <si>
    <t>Balance Brought Forward</t>
  </si>
  <si>
    <t>Total share Contribution</t>
  </si>
  <si>
    <t>CSR  Contribution</t>
  </si>
  <si>
    <t xml:space="preserve">Commission </t>
  </si>
  <si>
    <t>1</t>
  </si>
  <si>
    <t>Cash at Bank</t>
  </si>
  <si>
    <t>Deposits</t>
  </si>
  <si>
    <t>2</t>
  </si>
  <si>
    <t>Debtor</t>
  </si>
  <si>
    <t>3</t>
  </si>
  <si>
    <t>loan Balances</t>
  </si>
  <si>
    <t>4</t>
  </si>
  <si>
    <t>5</t>
  </si>
  <si>
    <t>NOTE  '1</t>
  </si>
  <si>
    <t>KCB BALANCES</t>
  </si>
  <si>
    <t>CBA BALANCES</t>
  </si>
  <si>
    <t>NOTE '2</t>
  </si>
  <si>
    <t>Being cash Deposited with Zimele</t>
  </si>
  <si>
    <t>Being Cash Deposited with CIC</t>
  </si>
  <si>
    <t>Total</t>
  </si>
  <si>
    <t>NOTE '3</t>
  </si>
  <si>
    <t>Aisha Muthoni</t>
  </si>
  <si>
    <t>Khadijah Jaber</t>
  </si>
  <si>
    <t>Maimuna Juma</t>
  </si>
  <si>
    <t>Patience Ndonye</t>
  </si>
  <si>
    <t>Rabia Salim</t>
  </si>
  <si>
    <t>Rehema Ali</t>
  </si>
  <si>
    <t>Sheila Mwalekwa</t>
  </si>
  <si>
    <t>Commissions Maimuna</t>
  </si>
  <si>
    <t>Commissions Aisha</t>
  </si>
  <si>
    <t>NOTE '4</t>
  </si>
  <si>
    <t>Kshs</t>
  </si>
  <si>
    <t>Loan balance Aisha</t>
  </si>
  <si>
    <t>NOTE  '5</t>
  </si>
  <si>
    <t>Zimele Earnings</t>
  </si>
  <si>
    <t>CIC Earnings</t>
  </si>
  <si>
    <t>less CBA Bank charges</t>
  </si>
  <si>
    <t>less KCB Bank Charges</t>
  </si>
  <si>
    <t>Loan Balance Maimuna</t>
  </si>
  <si>
    <t xml:space="preserve">INCOME AND EXPENDITURE </t>
  </si>
  <si>
    <t>INCOME:</t>
  </si>
  <si>
    <t>Commission</t>
  </si>
  <si>
    <t>ICEA Earnings</t>
  </si>
  <si>
    <t xml:space="preserve">less </t>
  </si>
  <si>
    <t>Bank charges</t>
  </si>
  <si>
    <t>2018 AGM</t>
  </si>
  <si>
    <t>Net Income</t>
  </si>
  <si>
    <t>Name</t>
  </si>
  <si>
    <t>Deficit</t>
  </si>
  <si>
    <t>AMINA SALIM</t>
  </si>
  <si>
    <t>FATMA SHAFFY</t>
  </si>
  <si>
    <t>Janet Dali</t>
  </si>
  <si>
    <t>KHADIJA JABER</t>
  </si>
  <si>
    <t>Nuru Kibirige</t>
  </si>
  <si>
    <t>NURU ZUHUDI</t>
  </si>
  <si>
    <t>RIZIKI KAGUA</t>
  </si>
  <si>
    <t>ZUHURA SUMBA</t>
  </si>
  <si>
    <t>UNKNOWN</t>
  </si>
  <si>
    <t>TOTAL</t>
  </si>
  <si>
    <t>Loans Issued</t>
  </si>
  <si>
    <t>Fatma Shaffi</t>
  </si>
  <si>
    <t>ALPHA ROYAL WOMEN GROUP</t>
  </si>
  <si>
    <t>STATEMENT OF ACCOUNTS</t>
  </si>
  <si>
    <t>STATUS OF CHAMA 2020</t>
  </si>
  <si>
    <t>Item</t>
  </si>
  <si>
    <t>Description</t>
  </si>
  <si>
    <t>Contributions</t>
  </si>
  <si>
    <t xml:space="preserve">Expected Total Savings </t>
  </si>
  <si>
    <t>Actual Members Savings</t>
  </si>
  <si>
    <t>Account Status</t>
  </si>
  <si>
    <t>Éxpected Cummulative Balance</t>
  </si>
  <si>
    <t>Cummulative Balances</t>
  </si>
  <si>
    <t>Net Position</t>
  </si>
  <si>
    <t>Welfare (CSR)</t>
  </si>
  <si>
    <t>Registration</t>
  </si>
  <si>
    <t>Investments</t>
  </si>
  <si>
    <t>ICEA</t>
  </si>
  <si>
    <t>Earnings</t>
  </si>
  <si>
    <t>Cummulative Income</t>
  </si>
  <si>
    <t>Zimele</t>
  </si>
  <si>
    <t>Bank Account Balances</t>
  </si>
  <si>
    <t>KCB</t>
  </si>
  <si>
    <t>CBA</t>
  </si>
  <si>
    <t>Total Cash Position</t>
  </si>
  <si>
    <t>Bank Total</t>
  </si>
  <si>
    <t>Deposit Total</t>
  </si>
  <si>
    <t>Loans Out</t>
  </si>
  <si>
    <t>Members Contribution</t>
  </si>
  <si>
    <t>+Excesses</t>
  </si>
  <si>
    <t>Less Expenses</t>
  </si>
  <si>
    <t>Income Statements</t>
  </si>
  <si>
    <t>Income Statement</t>
  </si>
  <si>
    <t>Loan Commissions</t>
  </si>
  <si>
    <t>Total Income</t>
  </si>
  <si>
    <t>Expenditure</t>
  </si>
  <si>
    <t>Bank Charges</t>
  </si>
  <si>
    <t>KCB Bank Charges</t>
  </si>
  <si>
    <t>CBA Bank Charges</t>
  </si>
  <si>
    <t>Chama Expenses</t>
  </si>
  <si>
    <t>AGM</t>
  </si>
  <si>
    <t>Total Expenses</t>
  </si>
  <si>
    <t>Profit (+)/Loss(-)</t>
  </si>
  <si>
    <t>Debtors</t>
  </si>
  <si>
    <t>Khadija Jaber</t>
  </si>
  <si>
    <t>Rehema Ali CSR</t>
  </si>
  <si>
    <t>Commissions Rehema</t>
  </si>
  <si>
    <t>Khadijah Jaber CSR</t>
  </si>
  <si>
    <t>Outstanding Loan Balances</t>
  </si>
  <si>
    <t>Date</t>
  </si>
  <si>
    <t>Balance</t>
  </si>
  <si>
    <t>Comments</t>
  </si>
  <si>
    <t>Nuru Mohammed</t>
  </si>
  <si>
    <t>Amina Salim</t>
  </si>
  <si>
    <t>Aisha</t>
  </si>
  <si>
    <t>Rabia</t>
  </si>
  <si>
    <t>Bal B/F</t>
  </si>
  <si>
    <t>Oct</t>
  </si>
  <si>
    <t>Nov</t>
  </si>
  <si>
    <t>Dec</t>
  </si>
  <si>
    <t>Jan</t>
  </si>
  <si>
    <t>Feb</t>
  </si>
  <si>
    <t>Mar</t>
  </si>
  <si>
    <t>Apr</t>
  </si>
  <si>
    <t>May</t>
  </si>
  <si>
    <t>Jun</t>
  </si>
  <si>
    <t>Jul</t>
  </si>
  <si>
    <t>Aug</t>
  </si>
  <si>
    <t>Sep</t>
  </si>
  <si>
    <t>Grand Total</t>
  </si>
  <si>
    <t>Amount Expected</t>
  </si>
  <si>
    <t>Expected Amount</t>
  </si>
  <si>
    <t>Fatma Shaffy</t>
  </si>
  <si>
    <t>Nuru Zuhudi</t>
  </si>
  <si>
    <t>Riziki Kagua</t>
  </si>
  <si>
    <t>Zuhura Sumba</t>
  </si>
  <si>
    <t>Amount</t>
  </si>
  <si>
    <t>Commissions</t>
  </si>
  <si>
    <t>Total Obligation</t>
  </si>
  <si>
    <t>Paid</t>
  </si>
  <si>
    <t>Commissions Earned</t>
  </si>
  <si>
    <t>Khadija Bajaber</t>
  </si>
  <si>
    <t>Nyevu Kagua</t>
  </si>
  <si>
    <t>Membership</t>
  </si>
  <si>
    <t>Total Expected</t>
  </si>
  <si>
    <t>BALANCE B/F</t>
  </si>
  <si>
    <t>Amount Expected 2020</t>
  </si>
  <si>
    <t xml:space="preserve">Total </t>
  </si>
  <si>
    <t>Receipts 2020</t>
  </si>
  <si>
    <t>Credit</t>
  </si>
  <si>
    <t>Describtion</t>
  </si>
  <si>
    <t>Loans</t>
  </si>
  <si>
    <t>Welfare</t>
  </si>
  <si>
    <t>Balance B/F</t>
  </si>
  <si>
    <t>OCT</t>
  </si>
  <si>
    <t>NOV</t>
  </si>
  <si>
    <t>DEC</t>
  </si>
  <si>
    <t>JAN</t>
  </si>
  <si>
    <t>FEB</t>
  </si>
  <si>
    <t>MAR</t>
  </si>
  <si>
    <t>APR</t>
  </si>
  <si>
    <t>MAY</t>
  </si>
  <si>
    <t>JUN</t>
  </si>
  <si>
    <t>JUL</t>
  </si>
  <si>
    <t>AUG</t>
  </si>
  <si>
    <t>SEP</t>
  </si>
  <si>
    <t>Total Amount</t>
  </si>
  <si>
    <t>Amount Owed 2020</t>
  </si>
  <si>
    <t>Total Owed</t>
  </si>
  <si>
    <t>Amina+Rabia</t>
  </si>
  <si>
    <t>Amina</t>
  </si>
  <si>
    <t>*The loan should have been paid at KES 66,000 by now with KES 44000 carried to 2021. The loan has been paid at 0. Therefore balance carried forward is still 110,000</t>
  </si>
  <si>
    <t>Balance C/F(2020)</t>
  </si>
  <si>
    <t>Notes:</t>
  </si>
  <si>
    <t>Debit</t>
  </si>
  <si>
    <t>Fees</t>
  </si>
  <si>
    <t>Loan</t>
  </si>
  <si>
    <t>Applied for Oct 2018</t>
  </si>
  <si>
    <t>Amount Disbursed</t>
  </si>
  <si>
    <t xml:space="preserve">First Repayment </t>
  </si>
  <si>
    <t>Last Repayment</t>
  </si>
  <si>
    <t>Repayment Schedule</t>
  </si>
  <si>
    <t>Principal</t>
  </si>
  <si>
    <t>Fee</t>
  </si>
  <si>
    <t>Refund for AGM Usage</t>
  </si>
  <si>
    <t>Oct Nov Dec (Less 1500)</t>
  </si>
  <si>
    <t>5K amina 5K Rabia</t>
  </si>
  <si>
    <t>Amina Salim for Rabia</t>
  </si>
  <si>
    <t>Rabia Salim Exit Statement</t>
  </si>
  <si>
    <t>Total Contributions</t>
  </si>
  <si>
    <t>Expected Contribution By Feb</t>
  </si>
  <si>
    <t>Admin Costs 5%</t>
  </si>
  <si>
    <t>Loan Issued</t>
  </si>
  <si>
    <t>Loan Fee</t>
  </si>
  <si>
    <t>Loan Payment</t>
  </si>
  <si>
    <t>Loan Balance</t>
  </si>
  <si>
    <t>Total Amount Owed to Chama</t>
  </si>
  <si>
    <t>Final Payment</t>
  </si>
  <si>
    <t>Overpayment moved to savings</t>
  </si>
  <si>
    <t>BALANCE BF</t>
  </si>
  <si>
    <t>Balance BF</t>
  </si>
  <si>
    <t>2020</t>
  </si>
  <si>
    <t>2021</t>
  </si>
  <si>
    <t/>
  </si>
  <si>
    <t>oct 2019 to sept 2020</t>
  </si>
  <si>
    <t>fatma siad she cleared</t>
  </si>
  <si>
    <t>Khadija Jabir said she cleared to ask Janet</t>
  </si>
  <si>
    <t>offset agaist her shares</t>
  </si>
  <si>
    <t>cleared in october</t>
  </si>
  <si>
    <t>FINANCIAL STATEMENT  AS AT 30.09.2021</t>
  </si>
  <si>
    <t>Total shares contribution</t>
  </si>
  <si>
    <t>CSR Contribution</t>
  </si>
  <si>
    <t>Loan Balancies</t>
  </si>
  <si>
    <t>ICEA LION interest</t>
  </si>
  <si>
    <t>Zimelee interest</t>
  </si>
  <si>
    <t>House Deposit</t>
  </si>
  <si>
    <t>Zimelee</t>
  </si>
  <si>
    <t>Creditors</t>
  </si>
  <si>
    <t>DEBTORS CONTRIBUTION</t>
  </si>
  <si>
    <t>DEBTOR CSR</t>
  </si>
  <si>
    <t>Note 1</t>
  </si>
  <si>
    <t>We invested</t>
  </si>
  <si>
    <t>We received</t>
  </si>
  <si>
    <t>Defecit</t>
  </si>
  <si>
    <t>Interest earned</t>
  </si>
  <si>
    <t>NOTE 1</t>
  </si>
  <si>
    <t>Cash in  NCBA</t>
  </si>
  <si>
    <t>Cash in  KCB</t>
  </si>
  <si>
    <t>DR</t>
  </si>
  <si>
    <t>CR</t>
  </si>
  <si>
    <t>Admin fee</t>
  </si>
  <si>
    <t>Note 2</t>
  </si>
  <si>
    <t>NOTE 2</t>
  </si>
  <si>
    <t>Admin cost  5% of 230,000</t>
  </si>
  <si>
    <t>CSR arears  Rabia</t>
  </si>
  <si>
    <t>Rabia   refund of contr</t>
  </si>
  <si>
    <t xml:space="preserve">PETTY CASH </t>
  </si>
  <si>
    <t>overdrawn</t>
  </si>
  <si>
    <t>Suspence</t>
  </si>
  <si>
    <t>paid in february 2022 99000</t>
  </si>
  <si>
    <t>paid in october  21the balance of 85000</t>
  </si>
  <si>
    <t xml:space="preserve"> </t>
  </si>
  <si>
    <t>Total Paid</t>
  </si>
  <si>
    <t>Cummulative</t>
  </si>
  <si>
    <t>paid balance loan of 16500 in october 2022( had paid 148500 earlier and cleared the 16500</t>
  </si>
  <si>
    <t>paid the balance of 80000 in october 2021</t>
  </si>
  <si>
    <t>cleared</t>
  </si>
  <si>
    <t xml:space="preserve">   </t>
  </si>
  <si>
    <t>paid 88000 last financial year and cleared 132000 on 16th june 2022</t>
  </si>
  <si>
    <t>paid 30000 last financial year</t>
  </si>
  <si>
    <t>bal 4500</t>
  </si>
  <si>
    <t>paid 170,000 balance 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</si>
</sst>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_);[Red]\(0.00\)"/>
  </numFmts>
  <fonts count="17" x14ac:knownFonts="1">
    <font>
      <sz val="11"/>
      <color theme="1"/>
      <name val="Arial"/>
    </font>
    <font>
      <sz val="11"/>
      <color theme="1"/>
      <name val="Calibri"/>
      <family val="2"/>
      <scheme val="minor"/>
    </font>
    <font>
      <b/>
      <sz val="11"/>
      <color theme="1"/>
      <name val="Calibri"/>
    </font>
    <font>
      <sz val="11"/>
      <color theme="1"/>
      <name val="Calibri"/>
    </font>
    <font>
      <sz val="11"/>
      <color theme="1"/>
      <name val="Calibri"/>
    </font>
    <font>
      <b/>
      <u/>
      <sz val="11"/>
      <color theme="1"/>
      <name val="Calibri"/>
    </font>
    <font>
      <sz val="11"/>
      <name val="Arial"/>
    </font>
    <font>
      <sz val="11"/>
      <color theme="1"/>
      <name val="Arial"/>
    </font>
    <font>
      <b/>
      <sz val="11"/>
      <name val="Arial"/>
    </font>
    <font>
      <b/>
      <sz val="11"/>
      <color theme="1"/>
      <name val="Arial"/>
    </font>
    <font>
      <b/>
      <sz val="11"/>
      <color rgb="FFFF0000"/>
      <name val="Arial"/>
    </font>
    <font>
      <b/>
      <sz val="11"/>
      <color rgb="FFFF0000"/>
      <name val="Calibri"/>
    </font>
    <font>
      <b/>
      <sz val="11"/>
      <color theme="1"/>
      <name val="Calibri"/>
    </font>
    <font>
      <sz val="11"/>
      <color theme="1"/>
      <name val="Arial"/>
      <family val="2"/>
    </font>
    <font>
      <b/>
      <sz val="11"/>
      <color theme="1"/>
      <name val="Arial"/>
      <family val="2"/>
    </font>
    <font>
      <b/>
      <sz val="11"/>
      <color theme="1"/>
      <name val="Calibri"/>
      <family val="2"/>
    </font>
    <font>
      <sz val="11"/>
      <color rgb="FFFF0000"/>
      <name val="Arial"/>
      <family val="2"/>
    </font>
  </fonts>
  <fills count="3">
    <fill>
      <patternFill patternType="none"/>
    </fill>
    <fill>
      <patternFill patternType="gray125"/>
    </fill>
    <fill>
      <patternFill patternType="solid">
        <fgColor rgb="FFFFFF00"/>
        <bgColor rgb="FFFFFF00"/>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7" fillId="0" borderId="0" applyFont="0" applyFill="0" applyBorder="0" applyAlignment="0" applyProtection="0"/>
    <xf numFmtId="0" fontId="1" fillId="0" borderId="2"/>
    <xf numFmtId="43" fontId="1" fillId="0" borderId="2" applyFont="0" applyFill="0" applyBorder="0" applyAlignment="0" applyProtection="0"/>
  </cellStyleXfs>
  <cellXfs count="83">
    <xf numFmtId="0" fontId="0" fillId="0" borderId="0" xfId="0"/>
    <xf numFmtId="0" fontId="2" fillId="0" borderId="0" xfId="0" applyFont="1" applyAlignment="1">
      <alignment horizontal="center"/>
    </xf>
    <xf numFmtId="0" fontId="2" fillId="0" borderId="0" xfId="0" applyFont="1"/>
    <xf numFmtId="0" fontId="3" fillId="0" borderId="1" xfId="0" applyFont="1" applyBorder="1"/>
    <xf numFmtId="43" fontId="3" fillId="0" borderId="0" xfId="0" applyNumberFormat="1" applyFont="1"/>
    <xf numFmtId="43" fontId="3" fillId="0" borderId="1" xfId="0" applyNumberFormat="1" applyFont="1" applyBorder="1"/>
    <xf numFmtId="0" fontId="3" fillId="0" borderId="1" xfId="0" quotePrefix="1" applyFont="1" applyBorder="1"/>
    <xf numFmtId="49" fontId="3" fillId="0" borderId="1" xfId="0" applyNumberFormat="1" applyFont="1" applyBorder="1"/>
    <xf numFmtId="49" fontId="3" fillId="0" borderId="1" xfId="0" quotePrefix="1" applyNumberFormat="1" applyFont="1" applyBorder="1"/>
    <xf numFmtId="43" fontId="2" fillId="0" borderId="1" xfId="0" applyNumberFormat="1" applyFont="1" applyBorder="1"/>
    <xf numFmtId="9" fontId="2" fillId="0" borderId="1" xfId="0" applyNumberFormat="1" applyFont="1" applyBorder="1"/>
    <xf numFmtId="9" fontId="3" fillId="0" borderId="1" xfId="0" applyNumberFormat="1" applyFont="1" applyBorder="1"/>
    <xf numFmtId="9" fontId="3" fillId="0" borderId="0" xfId="0" applyNumberFormat="1" applyFont="1"/>
    <xf numFmtId="0" fontId="2" fillId="0" borderId="1" xfId="0" applyFont="1" applyBorder="1"/>
    <xf numFmtId="0" fontId="3" fillId="0" borderId="0" xfId="0" applyFont="1"/>
    <xf numFmtId="43" fontId="2" fillId="0" borderId="0" xfId="0" applyNumberFormat="1" applyFont="1"/>
    <xf numFmtId="0" fontId="4" fillId="0" borderId="0" xfId="0" applyFont="1"/>
    <xf numFmtId="0" fontId="5" fillId="0" borderId="1" xfId="0" applyFont="1" applyBorder="1"/>
    <xf numFmtId="0" fontId="2" fillId="0" borderId="1" xfId="0" applyFont="1" applyBorder="1" applyAlignment="1">
      <alignment wrapText="1"/>
    </xf>
    <xf numFmtId="0" fontId="3" fillId="0" borderId="0" xfId="0" applyFont="1" applyAlignment="1">
      <alignment horizontal="center"/>
    </xf>
    <xf numFmtId="49" fontId="3" fillId="0" borderId="0" xfId="0" applyNumberFormat="1" applyFont="1"/>
    <xf numFmtId="43" fontId="4" fillId="0" borderId="0" xfId="0" applyNumberFormat="1" applyFont="1"/>
    <xf numFmtId="16" fontId="3" fillId="0" borderId="0" xfId="0" applyNumberFormat="1" applyFont="1"/>
    <xf numFmtId="0" fontId="3" fillId="2" borderId="2" xfId="0" applyFont="1" applyFill="1" applyBorder="1"/>
    <xf numFmtId="0" fontId="7" fillId="0" borderId="1" xfId="0" applyFont="1" applyBorder="1"/>
    <xf numFmtId="43" fontId="7" fillId="0" borderId="0" xfId="0" applyNumberFormat="1" applyFont="1"/>
    <xf numFmtId="0" fontId="8" fillId="0" borderId="0" xfId="0" applyFont="1"/>
    <xf numFmtId="0" fontId="6" fillId="0" borderId="0" xfId="0" applyFont="1"/>
    <xf numFmtId="0" fontId="9" fillId="0" borderId="1" xfId="0" applyFont="1" applyBorder="1" applyAlignment="1">
      <alignment wrapText="1"/>
    </xf>
    <xf numFmtId="0" fontId="9" fillId="0" borderId="1" xfId="0" applyFont="1" applyBorder="1"/>
    <xf numFmtId="0" fontId="7" fillId="0" borderId="0" xfId="0" applyFont="1"/>
    <xf numFmtId="164" fontId="2" fillId="0" borderId="0" xfId="0" applyNumberFormat="1" applyFont="1"/>
    <xf numFmtId="164" fontId="3" fillId="0" borderId="0" xfId="0" applyNumberFormat="1" applyFont="1"/>
    <xf numFmtId="164" fontId="3" fillId="0" borderId="1" xfId="0" applyNumberFormat="1" applyFont="1" applyBorder="1"/>
    <xf numFmtId="164" fontId="2" fillId="0" borderId="1" xfId="0" applyNumberFormat="1" applyFont="1" applyBorder="1"/>
    <xf numFmtId="4" fontId="3" fillId="0" borderId="1" xfId="0" applyNumberFormat="1" applyFont="1" applyBorder="1"/>
    <xf numFmtId="40" fontId="3" fillId="0" borderId="1" xfId="0" applyNumberFormat="1" applyFont="1" applyBorder="1"/>
    <xf numFmtId="40" fontId="2" fillId="0" borderId="1" xfId="0" applyNumberFormat="1" applyFont="1" applyBorder="1"/>
    <xf numFmtId="40" fontId="2" fillId="0" borderId="0" xfId="0" applyNumberFormat="1" applyFont="1"/>
    <xf numFmtId="40" fontId="3" fillId="0" borderId="0" xfId="0" applyNumberFormat="1" applyFont="1"/>
    <xf numFmtId="40" fontId="7" fillId="0" borderId="0" xfId="0" applyNumberFormat="1" applyFont="1"/>
    <xf numFmtId="40" fontId="7" fillId="0" borderId="1" xfId="0" applyNumberFormat="1" applyFont="1" applyBorder="1"/>
    <xf numFmtId="4" fontId="3" fillId="0" borderId="0" xfId="0" applyNumberFormat="1" applyFont="1"/>
    <xf numFmtId="0" fontId="3" fillId="0" borderId="6" xfId="0" applyFont="1" applyBorder="1"/>
    <xf numFmtId="40" fontId="4" fillId="0" borderId="0" xfId="0" applyNumberFormat="1" applyFont="1"/>
    <xf numFmtId="14" fontId="3" fillId="0" borderId="0" xfId="0" applyNumberFormat="1" applyFont="1"/>
    <xf numFmtId="17" fontId="3" fillId="0" borderId="0" xfId="0" applyNumberFormat="1" applyFont="1"/>
    <xf numFmtId="4" fontId="3" fillId="2" borderId="2" xfId="0" applyNumberFormat="1" applyFont="1" applyFill="1" applyBorder="1"/>
    <xf numFmtId="0" fontId="10" fillId="0" borderId="0" xfId="0" applyFont="1"/>
    <xf numFmtId="0" fontId="11" fillId="0" borderId="0" xfId="0" applyFont="1"/>
    <xf numFmtId="40" fontId="3" fillId="0" borderId="7" xfId="0" applyNumberFormat="1" applyFont="1" applyBorder="1"/>
    <xf numFmtId="0" fontId="12" fillId="0" borderId="0" xfId="0" applyFont="1"/>
    <xf numFmtId="0" fontId="0" fillId="0" borderId="0" xfId="0" quotePrefix="1"/>
    <xf numFmtId="17" fontId="2" fillId="0" borderId="1" xfId="0" applyNumberFormat="1" applyFont="1" applyBorder="1"/>
    <xf numFmtId="43" fontId="4" fillId="0" borderId="0" xfId="1" applyFont="1" applyAlignment="1"/>
    <xf numFmtId="43" fontId="3" fillId="0" borderId="0" xfId="1" applyFont="1" applyAlignment="1"/>
    <xf numFmtId="43" fontId="0" fillId="0" borderId="0" xfId="1" applyFont="1" applyAlignment="1"/>
    <xf numFmtId="43" fontId="0" fillId="0" borderId="0" xfId="0" applyNumberFormat="1"/>
    <xf numFmtId="17" fontId="0" fillId="0" borderId="0" xfId="0" applyNumberFormat="1"/>
    <xf numFmtId="43" fontId="14" fillId="0" borderId="0" xfId="1" applyFont="1" applyAlignment="1"/>
    <xf numFmtId="3" fontId="0" fillId="0" borderId="0" xfId="0" applyNumberFormat="1"/>
    <xf numFmtId="0" fontId="0" fillId="0" borderId="8" xfId="0" applyBorder="1"/>
    <xf numFmtId="43" fontId="0" fillId="0" borderId="8" xfId="1" applyFont="1" applyBorder="1" applyAlignment="1"/>
    <xf numFmtId="0" fontId="2" fillId="0" borderId="8" xfId="0" applyFont="1" applyBorder="1"/>
    <xf numFmtId="0" fontId="13" fillId="0" borderId="8" xfId="0" applyFont="1" applyBorder="1"/>
    <xf numFmtId="0" fontId="15" fillId="0" borderId="8" xfId="0" applyFont="1" applyBorder="1"/>
    <xf numFmtId="0" fontId="9" fillId="0" borderId="3" xfId="0" applyFont="1" applyBorder="1" applyAlignment="1">
      <alignment wrapText="1"/>
    </xf>
    <xf numFmtId="0" fontId="2" fillId="0" borderId="3" xfId="0" applyFont="1" applyBorder="1"/>
    <xf numFmtId="0" fontId="3" fillId="0" borderId="2" xfId="0" applyFont="1" applyBorder="1"/>
    <xf numFmtId="0" fontId="9" fillId="0" borderId="5" xfId="0" applyFont="1" applyBorder="1" applyAlignment="1">
      <alignment wrapText="1"/>
    </xf>
    <xf numFmtId="0" fontId="2" fillId="0" borderId="5" xfId="0" applyFont="1" applyBorder="1"/>
    <xf numFmtId="0" fontId="3" fillId="0" borderId="5" xfId="0" applyFont="1" applyBorder="1"/>
    <xf numFmtId="0" fontId="3" fillId="0" borderId="3" xfId="0" applyFont="1" applyBorder="1"/>
    <xf numFmtId="0" fontId="16" fillId="0" borderId="8" xfId="0" applyFont="1" applyBorder="1"/>
    <xf numFmtId="0" fontId="2" fillId="0" borderId="0" xfId="0" applyFont="1" applyAlignment="1">
      <alignment horizontal="center"/>
    </xf>
    <xf numFmtId="0" fontId="0" fillId="0" borderId="0" xfId="0"/>
    <xf numFmtId="0" fontId="2" fillId="0" borderId="0" xfId="0" applyFont="1" applyAlignment="1">
      <alignment horizontal="center" vertical="center"/>
    </xf>
    <xf numFmtId="0" fontId="2" fillId="0" borderId="3" xfId="0" quotePrefix="1" applyFont="1" applyBorder="1" applyAlignment="1">
      <alignment horizontal="center"/>
    </xf>
    <xf numFmtId="0" fontId="6" fillId="0" borderId="4" xfId="0" applyFont="1" applyBorder="1"/>
    <xf numFmtId="0" fontId="6" fillId="0" borderId="5" xfId="0" applyFont="1" applyBorder="1"/>
    <xf numFmtId="0" fontId="2" fillId="0" borderId="3" xfId="0" applyFont="1" applyBorder="1" applyAlignment="1">
      <alignment horizontal="center"/>
    </xf>
    <xf numFmtId="40" fontId="3" fillId="0" borderId="0" xfId="0" applyNumberFormat="1" applyFont="1" applyAlignment="1">
      <alignment horizontal="left" wrapText="1"/>
    </xf>
    <xf numFmtId="0" fontId="3" fillId="0" borderId="0" xfId="0" applyFont="1" applyAlignment="1">
      <alignment horizontal="left" wrapText="1"/>
    </xf>
  </cellXfs>
  <cellStyles count="4">
    <cellStyle name="Comma" xfId="1" builtinId="3"/>
    <cellStyle name="Comma 2" xfId="3" xr:uid="{00000000-0005-0000-0000-000001000000}"/>
    <cellStyle name="Normal" xfId="0" builtinId="0"/>
    <cellStyle name="Normal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ncbagroupplc-my.sharepoint.com/Users/janet.dali/Downloads/ALPHA%20ROYAL%20SHARES%20CONTRIBUTION%2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ncbagroupplc-my.sharepoint.com/Users/janet.dali/Downloads/ALPHA%20ROYAL%20SHARES%20CONTRIBUTION%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statement"/>
      <sheetName val="cash bk"/>
      <sheetName val="Sheet1"/>
      <sheetName val="CSR"/>
      <sheetName val="COMMISSION"/>
      <sheetName val="loans"/>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statement"/>
      <sheetName val="cash bk"/>
      <sheetName val="Sheet1"/>
      <sheetName val="CSR"/>
      <sheetName val="COMMISSION"/>
      <sheetName val="loans"/>
      <sheetName val="Sheet3"/>
      <sheetName val="Sheet2"/>
    </sheetNames>
    <sheetDataSet>
      <sheetData sheetId="0"/>
      <sheetData sheetId="1"/>
      <sheetData sheetId="2"/>
      <sheetData sheetId="3"/>
      <sheetData sheetId="4"/>
      <sheetData sheetId="5"/>
      <sheetData sheetId="6" refreshError="1"/>
      <sheetData sheetId="7"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J34" sqref="J34"/>
    </sheetView>
  </sheetViews>
  <sheetFormatPr defaultColWidth="12.625" defaultRowHeight="15" customHeight="1" x14ac:dyDescent="0.2"/>
  <cols>
    <col min="1" max="1" width="25.25" customWidth="1"/>
    <col min="2" max="3" width="12.625" customWidth="1"/>
    <col min="4" max="4" width="11.125" customWidth="1"/>
    <col min="5" max="6" width="11" customWidth="1"/>
    <col min="7" max="7" width="7.625" customWidth="1"/>
    <col min="8" max="8" width="9.75" customWidth="1"/>
    <col min="9" max="26" width="7.625" customWidth="1"/>
  </cols>
  <sheetData>
    <row r="1" spans="1:8" ht="14.25" customHeight="1" x14ac:dyDescent="0.25">
      <c r="A1" s="74" t="s">
        <v>0</v>
      </c>
      <c r="B1" s="75"/>
      <c r="C1" s="75"/>
      <c r="D1" s="75"/>
    </row>
    <row r="2" spans="1:8" ht="14.25" customHeight="1" x14ac:dyDescent="0.25">
      <c r="A2" s="74" t="s">
        <v>1</v>
      </c>
      <c r="B2" s="75"/>
      <c r="C2" s="75"/>
      <c r="D2" s="75"/>
    </row>
    <row r="3" spans="1:8" ht="14.25" customHeight="1" x14ac:dyDescent="0.25">
      <c r="A3" s="2" t="s">
        <v>2</v>
      </c>
      <c r="B3" s="2"/>
      <c r="C3" s="2"/>
      <c r="D3" s="2"/>
    </row>
    <row r="4" spans="1:8" ht="14.25" customHeight="1" x14ac:dyDescent="0.25">
      <c r="A4" s="3"/>
      <c r="B4" s="3"/>
      <c r="C4" s="3" t="s">
        <v>3</v>
      </c>
      <c r="D4" s="3" t="s">
        <v>3</v>
      </c>
    </row>
    <row r="5" spans="1:8" ht="14.25" customHeight="1" x14ac:dyDescent="0.25">
      <c r="A5" s="3" t="s">
        <v>4</v>
      </c>
      <c r="B5" s="3"/>
      <c r="C5" s="3"/>
      <c r="D5" s="4">
        <f>'[1]Financial statement'!$D$16</f>
        <v>0</v>
      </c>
    </row>
    <row r="6" spans="1:8" ht="14.25" customHeight="1" x14ac:dyDescent="0.25">
      <c r="A6" s="3" t="s">
        <v>5</v>
      </c>
      <c r="B6" s="3"/>
      <c r="C6" s="5"/>
      <c r="D6" s="5">
        <f>Contributions!P18</f>
        <v>694600</v>
      </c>
      <c r="F6" s="4"/>
      <c r="H6" s="4"/>
    </row>
    <row r="7" spans="1:8" ht="14.25" customHeight="1" x14ac:dyDescent="0.25">
      <c r="A7" s="3" t="s">
        <v>6</v>
      </c>
      <c r="B7" s="3"/>
      <c r="C7" s="5"/>
      <c r="D7" s="5">
        <f>Welfare!O17</f>
        <v>66000</v>
      </c>
      <c r="F7" s="4"/>
    </row>
    <row r="8" spans="1:8" ht="14.25" customHeight="1" x14ac:dyDescent="0.25">
      <c r="A8" s="3" t="s">
        <v>7</v>
      </c>
      <c r="B8" s="6" t="s">
        <v>8</v>
      </c>
      <c r="C8" s="5"/>
      <c r="D8" s="5">
        <f>B71</f>
        <v>66192.760000000009</v>
      </c>
      <c r="F8" s="4"/>
    </row>
    <row r="9" spans="1:8" ht="14.25" customHeight="1" x14ac:dyDescent="0.25">
      <c r="A9" s="3"/>
      <c r="B9" s="3"/>
      <c r="C9" s="5"/>
      <c r="D9" s="5"/>
      <c r="E9" s="4"/>
      <c r="F9" s="4"/>
    </row>
    <row r="10" spans="1:8" ht="14.25" customHeight="1" x14ac:dyDescent="0.25">
      <c r="A10" s="3" t="s">
        <v>9</v>
      </c>
      <c r="B10" s="7">
        <v>1</v>
      </c>
      <c r="C10" s="5">
        <f>B22</f>
        <v>1589565</v>
      </c>
      <c r="D10" s="5"/>
      <c r="F10" s="4"/>
    </row>
    <row r="11" spans="1:8" ht="14.25" customHeight="1" x14ac:dyDescent="0.25">
      <c r="A11" s="3" t="s">
        <v>10</v>
      </c>
      <c r="B11" s="8" t="s">
        <v>11</v>
      </c>
      <c r="C11" s="5">
        <f>B27</f>
        <v>1000000</v>
      </c>
      <c r="D11" s="5"/>
    </row>
    <row r="12" spans="1:8" ht="14.25" customHeight="1" x14ac:dyDescent="0.25">
      <c r="A12" s="3" t="s">
        <v>12</v>
      </c>
      <c r="B12" s="8" t="s">
        <v>13</v>
      </c>
      <c r="C12" s="5">
        <f>B40</f>
        <v>284000</v>
      </c>
      <c r="D12" s="5"/>
    </row>
    <row r="13" spans="1:8" ht="14.25" customHeight="1" x14ac:dyDescent="0.25">
      <c r="A13" s="3" t="s">
        <v>14</v>
      </c>
      <c r="B13" s="8" t="s">
        <v>15</v>
      </c>
      <c r="C13" s="5">
        <f>B44</f>
        <v>100000</v>
      </c>
      <c r="D13" s="5"/>
    </row>
    <row r="14" spans="1:8" ht="14.25" customHeight="1" x14ac:dyDescent="0.25">
      <c r="A14" s="3"/>
      <c r="B14" s="8" t="s">
        <v>16</v>
      </c>
      <c r="C14" s="5">
        <v>0</v>
      </c>
      <c r="D14" s="5"/>
    </row>
    <row r="15" spans="1:8" ht="14.25" customHeight="1" x14ac:dyDescent="0.25">
      <c r="A15" s="3"/>
      <c r="B15" s="3"/>
      <c r="C15" s="9">
        <f>C10+C11+C12+C13</f>
        <v>2973565</v>
      </c>
      <c r="D15" s="9">
        <f>SUM(D5:D14)</f>
        <v>826792.76</v>
      </c>
      <c r="E15" s="4"/>
    </row>
    <row r="16" spans="1:8" ht="14.25" customHeight="1" x14ac:dyDescent="0.2"/>
    <row r="17" spans="1:26" ht="14.25" customHeight="1" x14ac:dyDescent="0.25">
      <c r="D17" s="4"/>
    </row>
    <row r="18" spans="1:26" ht="14.25" customHeight="1" x14ac:dyDescent="0.2"/>
    <row r="19" spans="1:26" ht="14.25" customHeight="1" x14ac:dyDescent="0.25">
      <c r="A19" s="10" t="s">
        <v>17</v>
      </c>
      <c r="B19" s="11" t="s">
        <v>3</v>
      </c>
      <c r="C19" s="12"/>
      <c r="D19" s="12"/>
      <c r="E19" s="12"/>
      <c r="F19" s="12"/>
      <c r="G19" s="12"/>
      <c r="H19" s="12"/>
      <c r="I19" s="12"/>
      <c r="K19" s="12"/>
      <c r="L19" s="12"/>
      <c r="M19" s="12"/>
      <c r="N19" s="12"/>
      <c r="O19" s="12"/>
      <c r="P19" s="12"/>
      <c r="Q19" s="12"/>
      <c r="R19" s="12"/>
      <c r="S19" s="12"/>
      <c r="T19" s="12"/>
      <c r="U19" s="12"/>
      <c r="V19" s="12"/>
      <c r="W19" s="12"/>
      <c r="X19" s="12"/>
      <c r="Y19" s="12"/>
      <c r="Z19" s="12"/>
    </row>
    <row r="20" spans="1:26" ht="14.25" customHeight="1" x14ac:dyDescent="0.25">
      <c r="A20" s="3" t="s">
        <v>18</v>
      </c>
      <c r="B20" s="5">
        <v>881124</v>
      </c>
    </row>
    <row r="21" spans="1:26" ht="14.25" customHeight="1" x14ac:dyDescent="0.25">
      <c r="A21" s="3" t="s">
        <v>19</v>
      </c>
      <c r="B21" s="5">
        <v>708441</v>
      </c>
    </row>
    <row r="22" spans="1:26" ht="14.25" customHeight="1" x14ac:dyDescent="0.25">
      <c r="A22" s="3"/>
      <c r="B22" s="9">
        <f>B20+B21</f>
        <v>1589565</v>
      </c>
    </row>
    <row r="23" spans="1:26" ht="14.25" customHeight="1" x14ac:dyDescent="0.25">
      <c r="A23" s="3"/>
      <c r="B23" s="5"/>
    </row>
    <row r="24" spans="1:26" ht="14.25" customHeight="1" x14ac:dyDescent="0.25">
      <c r="A24" s="13" t="s">
        <v>20</v>
      </c>
      <c r="B24" s="5"/>
    </row>
    <row r="25" spans="1:26" ht="14.25" customHeight="1" x14ac:dyDescent="0.25">
      <c r="A25" s="3" t="s">
        <v>21</v>
      </c>
      <c r="B25" s="9">
        <v>500000</v>
      </c>
    </row>
    <row r="26" spans="1:26" ht="14.25" customHeight="1" x14ac:dyDescent="0.25">
      <c r="A26" s="14" t="s">
        <v>22</v>
      </c>
      <c r="B26" s="4">
        <v>500000</v>
      </c>
    </row>
    <row r="27" spans="1:26" ht="14.25" customHeight="1" x14ac:dyDescent="0.25">
      <c r="A27" s="2" t="s">
        <v>23</v>
      </c>
      <c r="B27" s="15">
        <f>B25+B26</f>
        <v>1000000</v>
      </c>
    </row>
    <row r="28" spans="1:26" ht="14.25" customHeight="1" x14ac:dyDescent="0.25">
      <c r="A28" s="3"/>
      <c r="B28" s="5"/>
    </row>
    <row r="29" spans="1:26" ht="14.25" customHeight="1" x14ac:dyDescent="0.25">
      <c r="A29" s="3"/>
      <c r="B29" s="5"/>
    </row>
    <row r="30" spans="1:26" ht="14.25" customHeight="1" x14ac:dyDescent="0.25">
      <c r="A30" s="13" t="s">
        <v>24</v>
      </c>
      <c r="B30" s="3" t="s">
        <v>3</v>
      </c>
    </row>
    <row r="31" spans="1:26" ht="14.25" customHeight="1" x14ac:dyDescent="0.25">
      <c r="A31" s="14" t="s">
        <v>25</v>
      </c>
      <c r="B31" s="14">
        <v>-66000</v>
      </c>
    </row>
    <row r="32" spans="1:26" ht="14.25" customHeight="1" x14ac:dyDescent="0.25">
      <c r="A32" s="14" t="s">
        <v>26</v>
      </c>
      <c r="B32" s="14">
        <v>-38500</v>
      </c>
    </row>
    <row r="33" spans="1:26" ht="14.25" customHeight="1" x14ac:dyDescent="0.25">
      <c r="A33" s="14" t="s">
        <v>27</v>
      </c>
      <c r="B33" s="14">
        <v>-54500</v>
      </c>
    </row>
    <row r="34" spans="1:26" ht="14.25" customHeight="1" x14ac:dyDescent="0.25">
      <c r="A34" s="14" t="s">
        <v>28</v>
      </c>
      <c r="B34" s="14">
        <v>-41000</v>
      </c>
    </row>
    <row r="35" spans="1:26" ht="14.25" customHeight="1" x14ac:dyDescent="0.25">
      <c r="A35" s="14" t="s">
        <v>29</v>
      </c>
      <c r="B35" s="14">
        <v>-11000</v>
      </c>
    </row>
    <row r="36" spans="1:26" ht="14.25" customHeight="1" x14ac:dyDescent="0.25">
      <c r="A36" s="14" t="s">
        <v>30</v>
      </c>
      <c r="B36" s="14">
        <v>-44000</v>
      </c>
    </row>
    <row r="37" spans="1:26" ht="14.25" customHeight="1" x14ac:dyDescent="0.25">
      <c r="A37" s="14" t="s">
        <v>31</v>
      </c>
      <c r="B37" s="14">
        <v>-16000</v>
      </c>
    </row>
    <row r="38" spans="1:26" ht="14.25" customHeight="1" x14ac:dyDescent="0.25">
      <c r="A38" s="14" t="s">
        <v>32</v>
      </c>
      <c r="B38" s="14">
        <v>-3000</v>
      </c>
    </row>
    <row r="39" spans="1:26" ht="14.25" customHeight="1" x14ac:dyDescent="0.25">
      <c r="A39" s="14" t="s">
        <v>33</v>
      </c>
      <c r="B39" s="14">
        <v>-10000</v>
      </c>
    </row>
    <row r="40" spans="1:26" ht="14.25" customHeight="1" x14ac:dyDescent="0.25">
      <c r="A40" s="2" t="s">
        <v>23</v>
      </c>
      <c r="B40" s="9">
        <f>-SUM(B31:B39)</f>
        <v>284000</v>
      </c>
    </row>
    <row r="41" spans="1:26" ht="14.25" customHeight="1" x14ac:dyDescent="0.25">
      <c r="A41" s="3"/>
      <c r="B41" s="5"/>
    </row>
    <row r="42" spans="1:26" ht="14.25" customHeight="1" x14ac:dyDescent="0.25">
      <c r="A42" s="13" t="s">
        <v>34</v>
      </c>
      <c r="B42" s="5" t="s">
        <v>35</v>
      </c>
    </row>
    <row r="43" spans="1:26" ht="14.25" customHeight="1" x14ac:dyDescent="0.25">
      <c r="A43" s="3" t="s">
        <v>36</v>
      </c>
      <c r="B43" s="9">
        <v>100000</v>
      </c>
    </row>
    <row r="44" spans="1:26" ht="14.25" customHeight="1" x14ac:dyDescent="0.25">
      <c r="A44" s="2" t="s">
        <v>23</v>
      </c>
      <c r="B44" s="15">
        <v>100000</v>
      </c>
    </row>
    <row r="45" spans="1:26" ht="14.25" customHeight="1" x14ac:dyDescent="0.25">
      <c r="A45" s="3"/>
      <c r="B45" s="5"/>
    </row>
    <row r="46" spans="1:26" ht="14.25" customHeight="1" x14ac:dyDescent="0.25">
      <c r="A46" s="3"/>
      <c r="B46" s="5"/>
    </row>
    <row r="47" spans="1:26" ht="14.25" customHeight="1" x14ac:dyDescent="0.25">
      <c r="A47" s="3"/>
      <c r="B47" s="5"/>
    </row>
    <row r="48" spans="1:26" ht="14.25" customHeight="1" x14ac:dyDescent="0.25">
      <c r="A48" s="10" t="s">
        <v>37</v>
      </c>
      <c r="B48" s="11" t="s">
        <v>3</v>
      </c>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4.25" customHeight="1" x14ac:dyDescent="0.25">
      <c r="A49" s="3" t="s">
        <v>7</v>
      </c>
      <c r="B49" s="5">
        <v>28000</v>
      </c>
    </row>
    <row r="50" spans="1:26" ht="14.25" customHeight="1" x14ac:dyDescent="0.25">
      <c r="A50" s="3" t="s">
        <v>38</v>
      </c>
      <c r="B50" s="5">
        <v>2000</v>
      </c>
    </row>
    <row r="51" spans="1:26" ht="14.25" customHeight="1" x14ac:dyDescent="0.25">
      <c r="A51" s="3" t="s">
        <v>39</v>
      </c>
      <c r="B51" s="5">
        <v>3000</v>
      </c>
    </row>
    <row r="52" spans="1:26" ht="14.25" customHeight="1" x14ac:dyDescent="0.25">
      <c r="A52" s="3" t="s">
        <v>40</v>
      </c>
      <c r="B52" s="5">
        <f>588+40</f>
        <v>628</v>
      </c>
    </row>
    <row r="53" spans="1:26" ht="14.25" customHeight="1" x14ac:dyDescent="0.25">
      <c r="A53" s="3" t="s">
        <v>41</v>
      </c>
      <c r="B53" s="5">
        <v>2538</v>
      </c>
    </row>
    <row r="54" spans="1:26" ht="14.25" customHeight="1" x14ac:dyDescent="0.25">
      <c r="A54" s="3"/>
      <c r="B54" s="9"/>
    </row>
    <row r="55" spans="1:26" ht="14.25" customHeight="1" x14ac:dyDescent="0.25">
      <c r="B55" s="4"/>
    </row>
    <row r="56" spans="1:26" ht="14.25" customHeight="1" x14ac:dyDescent="0.2"/>
    <row r="57" spans="1:26" ht="14.25" customHeight="1" x14ac:dyDescent="0.25">
      <c r="A57" s="13" t="s">
        <v>34</v>
      </c>
      <c r="B57" s="5" t="s">
        <v>35</v>
      </c>
    </row>
    <row r="58" spans="1:26" ht="14.25" customHeight="1" x14ac:dyDescent="0.25">
      <c r="A58" s="3" t="s">
        <v>36</v>
      </c>
      <c r="B58" s="9">
        <v>100000</v>
      </c>
    </row>
    <row r="59" spans="1:26" ht="14.25" customHeight="1" x14ac:dyDescent="0.25">
      <c r="A59" s="16" t="s">
        <v>42</v>
      </c>
      <c r="B59" s="9">
        <f>Loans!H5</f>
        <v>0</v>
      </c>
    </row>
    <row r="60" spans="1:26" ht="14.25" customHeight="1" x14ac:dyDescent="0.25">
      <c r="A60" s="2" t="s">
        <v>23</v>
      </c>
      <c r="B60" s="15">
        <f>Loans!H16</f>
        <v>747000</v>
      </c>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2"/>
    <row r="62" spans="1:26" ht="14.25" customHeight="1" x14ac:dyDescent="0.2"/>
    <row r="63" spans="1:26" ht="14.25" customHeight="1" x14ac:dyDescent="0.25">
      <c r="A63" s="17" t="s">
        <v>43</v>
      </c>
      <c r="B63" s="3" t="s">
        <v>3</v>
      </c>
    </row>
    <row r="64" spans="1:26" ht="14.25" customHeight="1" x14ac:dyDescent="0.25">
      <c r="A64" s="3" t="s">
        <v>44</v>
      </c>
      <c r="B64" s="3"/>
    </row>
    <row r="65" spans="1:2" ht="14.25" customHeight="1" x14ac:dyDescent="0.25">
      <c r="A65" s="3" t="s">
        <v>45</v>
      </c>
      <c r="B65" s="5">
        <v>15000</v>
      </c>
    </row>
    <row r="66" spans="1:2" ht="14.25" customHeight="1" x14ac:dyDescent="0.25">
      <c r="A66" s="3" t="s">
        <v>38</v>
      </c>
      <c r="B66" s="5">
        <v>56117.16</v>
      </c>
    </row>
    <row r="67" spans="1:2" ht="14.25" customHeight="1" x14ac:dyDescent="0.25">
      <c r="A67" s="3" t="s">
        <v>46</v>
      </c>
      <c r="B67" s="5">
        <v>3545.6</v>
      </c>
    </row>
    <row r="68" spans="1:2" ht="14.25" customHeight="1" x14ac:dyDescent="0.25">
      <c r="A68" s="3" t="s">
        <v>47</v>
      </c>
      <c r="B68" s="5"/>
    </row>
    <row r="69" spans="1:2" ht="14.25" customHeight="1" x14ac:dyDescent="0.25">
      <c r="A69" s="3" t="s">
        <v>48</v>
      </c>
      <c r="B69" s="5">
        <f>-(B52+B53)</f>
        <v>-3166</v>
      </c>
    </row>
    <row r="70" spans="1:2" ht="14.25" customHeight="1" x14ac:dyDescent="0.25">
      <c r="A70" s="3" t="s">
        <v>49</v>
      </c>
      <c r="B70" s="5">
        <v>-11636</v>
      </c>
    </row>
    <row r="71" spans="1:2" ht="14.25" customHeight="1" x14ac:dyDescent="0.25">
      <c r="A71" s="3" t="s">
        <v>50</v>
      </c>
      <c r="B71" s="9">
        <f>(B65+B66+B67)-(B69-B70)</f>
        <v>66192.760000000009</v>
      </c>
    </row>
    <row r="72" spans="1:2" ht="14.25" customHeight="1" x14ac:dyDescent="0.2"/>
    <row r="73" spans="1:2" ht="14.25" customHeight="1" x14ac:dyDescent="0.2"/>
    <row r="74" spans="1:2" ht="14.25" customHeight="1" x14ac:dyDescent="0.2"/>
    <row r="75" spans="1:2" ht="14.25" customHeight="1" x14ac:dyDescent="0.2"/>
    <row r="76" spans="1:2" ht="14.25" customHeight="1" x14ac:dyDescent="0.2"/>
    <row r="77" spans="1:2" ht="14.25" customHeight="1" x14ac:dyDescent="0.2"/>
    <row r="78" spans="1:2" ht="14.25" customHeight="1" x14ac:dyDescent="0.2"/>
    <row r="79" spans="1:2" ht="14.25" customHeight="1" x14ac:dyDescent="0.2"/>
    <row r="80" spans="1:2"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2">
    <mergeCell ref="A1:D1"/>
    <mergeCell ref="A2:D2"/>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E66"/>
  <sheetViews>
    <sheetView tabSelected="1" workbookViewId="0">
      <selection activeCell="B45" sqref="B45"/>
    </sheetView>
  </sheetViews>
  <sheetFormatPr defaultRowHeight="14.25" x14ac:dyDescent="0.2"/>
  <cols>
    <col min="1" max="1" width="20.5" customWidth="1"/>
    <col min="2" max="2" width="12.625" bestFit="1" customWidth="1"/>
    <col min="4" max="4" width="12.625" bestFit="1" customWidth="1"/>
    <col min="5" max="5" width="13.75" bestFit="1" customWidth="1"/>
  </cols>
  <sheetData>
    <row r="3" spans="1:5" x14ac:dyDescent="0.2">
      <c r="B3" t="s">
        <v>65</v>
      </c>
    </row>
    <row r="5" spans="1:5" x14ac:dyDescent="0.2">
      <c r="B5" t="s">
        <v>212</v>
      </c>
    </row>
    <row r="7" spans="1:5" x14ac:dyDescent="0.2">
      <c r="A7" s="61"/>
      <c r="B7" s="61"/>
      <c r="C7" s="61"/>
      <c r="D7" s="61" t="s">
        <v>231</v>
      </c>
      <c r="E7" s="61" t="s">
        <v>232</v>
      </c>
    </row>
    <row r="8" spans="1:5" x14ac:dyDescent="0.2">
      <c r="A8" s="61" t="s">
        <v>213</v>
      </c>
      <c r="B8" s="61"/>
      <c r="C8" s="61"/>
      <c r="D8" s="61"/>
      <c r="E8" s="62">
        <v>3445000</v>
      </c>
    </row>
    <row r="9" spans="1:5" x14ac:dyDescent="0.2">
      <c r="A9" s="61" t="s">
        <v>214</v>
      </c>
      <c r="B9" s="61"/>
      <c r="C9" s="61"/>
      <c r="D9" s="61"/>
      <c r="E9" s="62">
        <v>297500</v>
      </c>
    </row>
    <row r="10" spans="1:5" x14ac:dyDescent="0.2">
      <c r="A10" s="61" t="s">
        <v>45</v>
      </c>
      <c r="B10" s="61"/>
      <c r="C10" s="61"/>
      <c r="D10" s="61"/>
      <c r="E10" s="62">
        <v>74000</v>
      </c>
    </row>
    <row r="11" spans="1:5" x14ac:dyDescent="0.2">
      <c r="A11" s="61" t="s">
        <v>216</v>
      </c>
      <c r="B11" s="61"/>
      <c r="C11" s="61"/>
      <c r="D11" s="61"/>
      <c r="E11" s="62">
        <v>127436</v>
      </c>
    </row>
    <row r="12" spans="1:5" x14ac:dyDescent="0.2">
      <c r="A12" s="61" t="s">
        <v>217</v>
      </c>
      <c r="B12" s="61"/>
      <c r="C12" s="61"/>
      <c r="D12" s="61"/>
      <c r="E12" s="62">
        <v>87493</v>
      </c>
    </row>
    <row r="13" spans="1:5" x14ac:dyDescent="0.2">
      <c r="A13" s="61" t="s">
        <v>233</v>
      </c>
      <c r="B13" s="61" t="s">
        <v>234</v>
      </c>
      <c r="C13" s="61"/>
      <c r="D13" s="61"/>
      <c r="E13" s="62">
        <v>15500</v>
      </c>
    </row>
    <row r="14" spans="1:5" x14ac:dyDescent="0.2">
      <c r="A14" s="61" t="s">
        <v>220</v>
      </c>
      <c r="B14" s="61"/>
      <c r="C14" s="61"/>
      <c r="D14" s="61"/>
      <c r="E14" s="62"/>
    </row>
    <row r="15" spans="1:5" ht="15" x14ac:dyDescent="0.25">
      <c r="A15" s="63" t="s">
        <v>53</v>
      </c>
      <c r="B15" s="61"/>
      <c r="C15" s="61"/>
      <c r="D15" s="61"/>
      <c r="E15" s="62">
        <v>5000</v>
      </c>
    </row>
    <row r="16" spans="1:5" ht="15" x14ac:dyDescent="0.25">
      <c r="A16" s="63" t="s">
        <v>57</v>
      </c>
      <c r="B16" s="61"/>
      <c r="C16" s="61"/>
      <c r="D16" s="61"/>
      <c r="E16" s="62">
        <v>10100</v>
      </c>
    </row>
    <row r="17" spans="1:5" x14ac:dyDescent="0.2">
      <c r="A17" s="64" t="s">
        <v>240</v>
      </c>
      <c r="B17" s="61"/>
      <c r="C17" s="61"/>
      <c r="D17" s="61"/>
      <c r="E17" s="62">
        <v>9500</v>
      </c>
    </row>
    <row r="18" spans="1:5" x14ac:dyDescent="0.2">
      <c r="A18" s="61" t="s">
        <v>219</v>
      </c>
      <c r="B18" s="61" t="s">
        <v>223</v>
      </c>
      <c r="C18" s="61"/>
      <c r="D18" s="62">
        <v>366796.4</v>
      </c>
      <c r="E18" s="61"/>
    </row>
    <row r="19" spans="1:5" x14ac:dyDescent="0.2">
      <c r="A19" s="61" t="s">
        <v>218</v>
      </c>
      <c r="B19" s="61"/>
      <c r="C19" s="61"/>
      <c r="D19" s="62">
        <v>1440000</v>
      </c>
      <c r="E19" s="61"/>
    </row>
    <row r="20" spans="1:5" x14ac:dyDescent="0.2">
      <c r="A20" s="61" t="s">
        <v>215</v>
      </c>
      <c r="B20" s="61"/>
      <c r="C20" s="61"/>
      <c r="D20" s="62">
        <v>616000</v>
      </c>
      <c r="E20" s="61"/>
    </row>
    <row r="21" spans="1:5" x14ac:dyDescent="0.2">
      <c r="A21" s="61" t="s">
        <v>229</v>
      </c>
      <c r="B21" s="61"/>
      <c r="C21" s="61"/>
      <c r="D21" s="62">
        <v>288914</v>
      </c>
      <c r="E21" s="61"/>
    </row>
    <row r="22" spans="1:5" x14ac:dyDescent="0.2">
      <c r="A22" s="61" t="s">
        <v>230</v>
      </c>
      <c r="B22" s="61"/>
      <c r="C22" s="61"/>
      <c r="D22" s="62">
        <v>198982.05000000005</v>
      </c>
      <c r="E22" s="61"/>
    </row>
    <row r="23" spans="1:5" x14ac:dyDescent="0.2">
      <c r="A23" s="61"/>
      <c r="B23" s="61"/>
      <c r="C23" s="61"/>
      <c r="D23" s="62"/>
      <c r="E23" s="61"/>
    </row>
    <row r="24" spans="1:5" x14ac:dyDescent="0.2">
      <c r="A24" s="61" t="s">
        <v>221</v>
      </c>
      <c r="B24" s="61"/>
      <c r="C24" s="61"/>
      <c r="D24" s="61"/>
      <c r="E24" s="61"/>
    </row>
    <row r="25" spans="1:5" ht="15" x14ac:dyDescent="0.25">
      <c r="A25" s="63" t="s">
        <v>25</v>
      </c>
      <c r="B25" s="61">
        <v>-155000</v>
      </c>
      <c r="C25" s="61"/>
      <c r="D25" s="61"/>
      <c r="E25" s="61"/>
    </row>
    <row r="26" spans="1:5" ht="15" x14ac:dyDescent="0.25">
      <c r="A26" s="63" t="s">
        <v>54</v>
      </c>
      <c r="B26" s="61">
        <v>-30000</v>
      </c>
      <c r="C26" s="61"/>
      <c r="D26" s="61"/>
      <c r="E26" s="61"/>
    </row>
    <row r="27" spans="1:5" ht="15" x14ac:dyDescent="0.25">
      <c r="A27" s="63" t="s">
        <v>56</v>
      </c>
      <c r="B27" s="61">
        <v>-95000</v>
      </c>
      <c r="C27" s="61"/>
      <c r="D27" s="61"/>
      <c r="E27" s="61"/>
    </row>
    <row r="28" spans="1:5" ht="15" x14ac:dyDescent="0.25">
      <c r="A28" s="63" t="s">
        <v>27</v>
      </c>
      <c r="B28" s="61">
        <v>-58000</v>
      </c>
      <c r="C28" s="61"/>
      <c r="D28" s="61"/>
      <c r="E28" s="61"/>
    </row>
    <row r="29" spans="1:5" ht="15" x14ac:dyDescent="0.25">
      <c r="A29" s="63" t="s">
        <v>58</v>
      </c>
      <c r="B29" s="61">
        <v>-60000</v>
      </c>
      <c r="C29" s="61"/>
      <c r="D29" s="61"/>
      <c r="E29" s="61"/>
    </row>
    <row r="30" spans="1:5" ht="15" x14ac:dyDescent="0.25">
      <c r="A30" s="63" t="s">
        <v>28</v>
      </c>
      <c r="B30" s="61">
        <v>-125000</v>
      </c>
      <c r="C30" s="61"/>
      <c r="D30" s="61"/>
      <c r="E30" s="61"/>
    </row>
    <row r="31" spans="1:5" ht="15" x14ac:dyDescent="0.25">
      <c r="A31" s="63" t="s">
        <v>30</v>
      </c>
      <c r="B31" s="61">
        <v>-80000</v>
      </c>
      <c r="C31" s="61"/>
      <c r="D31" s="61"/>
      <c r="E31" s="61"/>
    </row>
    <row r="32" spans="1:5" ht="15" x14ac:dyDescent="0.25">
      <c r="A32" s="63" t="s">
        <v>59</v>
      </c>
      <c r="B32" s="61">
        <v>-95000</v>
      </c>
      <c r="C32" s="61"/>
      <c r="D32" s="61"/>
      <c r="E32" s="61"/>
    </row>
    <row r="33" spans="1:5" ht="15" x14ac:dyDescent="0.25">
      <c r="A33" s="63" t="s">
        <v>31</v>
      </c>
      <c r="B33" s="61">
        <v>-60000</v>
      </c>
      <c r="C33" s="61"/>
      <c r="D33" s="61"/>
      <c r="E33" s="61"/>
    </row>
    <row r="34" spans="1:5" ht="15" x14ac:dyDescent="0.25">
      <c r="A34" s="63" t="s">
        <v>60</v>
      </c>
      <c r="B34" s="61">
        <v>-50000</v>
      </c>
      <c r="C34" s="61"/>
      <c r="D34" s="62">
        <v>808300</v>
      </c>
      <c r="E34" s="61"/>
    </row>
    <row r="35" spans="1:5" x14ac:dyDescent="0.2">
      <c r="A35" s="64" t="s">
        <v>238</v>
      </c>
      <c r="B35" s="61"/>
      <c r="C35" s="61"/>
      <c r="D35" s="62">
        <v>104500</v>
      </c>
      <c r="E35" s="61"/>
    </row>
    <row r="36" spans="1:5" ht="15" x14ac:dyDescent="0.25">
      <c r="A36" s="63" t="s">
        <v>222</v>
      </c>
      <c r="B36" s="61"/>
      <c r="C36" s="61"/>
      <c r="D36" s="61"/>
      <c r="E36" s="61"/>
    </row>
    <row r="37" spans="1:5" ht="15" x14ac:dyDescent="0.25">
      <c r="A37" s="65" t="s">
        <v>241</v>
      </c>
      <c r="B37" s="61">
        <v>2536.5500000000002</v>
      </c>
      <c r="C37" s="61"/>
      <c r="D37" s="61"/>
      <c r="E37" s="61"/>
    </row>
    <row r="38" spans="1:5" ht="15" x14ac:dyDescent="0.25">
      <c r="A38" s="63" t="s">
        <v>25</v>
      </c>
      <c r="B38" s="61">
        <v>-15500</v>
      </c>
      <c r="C38" s="61"/>
      <c r="D38" s="61"/>
      <c r="E38" s="61"/>
    </row>
    <row r="39" spans="1:5" ht="15" x14ac:dyDescent="0.25">
      <c r="A39" s="63" t="s">
        <v>116</v>
      </c>
      <c r="B39" s="61">
        <v>-500</v>
      </c>
      <c r="C39" s="61"/>
      <c r="D39" s="61"/>
      <c r="E39" s="61"/>
    </row>
    <row r="40" spans="1:5" ht="15" x14ac:dyDescent="0.25">
      <c r="A40" s="63" t="s">
        <v>135</v>
      </c>
      <c r="B40" s="61">
        <v>-3500</v>
      </c>
      <c r="C40" s="61"/>
      <c r="D40" s="61"/>
      <c r="E40" s="61"/>
    </row>
    <row r="41" spans="1:5" ht="15" x14ac:dyDescent="0.25">
      <c r="A41" s="63" t="s">
        <v>107</v>
      </c>
      <c r="B41" s="61">
        <v>-8000</v>
      </c>
      <c r="C41" s="61"/>
      <c r="D41" s="61"/>
      <c r="E41" s="61"/>
    </row>
    <row r="42" spans="1:5" ht="15" x14ac:dyDescent="0.25">
      <c r="A42" s="63" t="s">
        <v>27</v>
      </c>
      <c r="B42" s="61">
        <v>-6000</v>
      </c>
      <c r="C42" s="61"/>
      <c r="D42" s="61"/>
      <c r="E42" s="61"/>
    </row>
    <row r="43" spans="1:5" ht="15" x14ac:dyDescent="0.25">
      <c r="A43" s="63" t="s">
        <v>136</v>
      </c>
      <c r="B43" s="61">
        <v>-6000</v>
      </c>
      <c r="C43" s="61"/>
      <c r="D43" s="61"/>
      <c r="E43" s="61"/>
    </row>
    <row r="44" spans="1:5" ht="15" x14ac:dyDescent="0.25">
      <c r="A44" s="63" t="s">
        <v>28</v>
      </c>
      <c r="B44" s="61">
        <v>-16000</v>
      </c>
      <c r="C44" s="61"/>
      <c r="D44" s="61"/>
      <c r="E44" s="61"/>
    </row>
    <row r="45" spans="1:5" ht="15" x14ac:dyDescent="0.25">
      <c r="A45" s="63" t="s">
        <v>30</v>
      </c>
      <c r="B45" s="61">
        <v>-10000</v>
      </c>
      <c r="C45" s="61"/>
      <c r="D45" s="61"/>
      <c r="E45" s="61"/>
    </row>
    <row r="46" spans="1:5" ht="15" x14ac:dyDescent="0.25">
      <c r="A46" s="63" t="s">
        <v>137</v>
      </c>
      <c r="B46" s="61">
        <v>-9500</v>
      </c>
      <c r="C46" s="61"/>
      <c r="D46" s="61"/>
      <c r="E46" s="61"/>
    </row>
    <row r="47" spans="1:5" ht="15" x14ac:dyDescent="0.25">
      <c r="A47" s="63" t="s">
        <v>31</v>
      </c>
      <c r="B47" s="61">
        <v>-6000</v>
      </c>
      <c r="C47" s="61"/>
      <c r="D47" s="61"/>
      <c r="E47" s="61"/>
    </row>
    <row r="48" spans="1:5" ht="15" x14ac:dyDescent="0.25">
      <c r="A48" s="63" t="s">
        <v>138</v>
      </c>
      <c r="B48" s="61">
        <v>-8000</v>
      </c>
      <c r="C48" s="61"/>
      <c r="D48" s="62">
        <v>91536.55</v>
      </c>
      <c r="E48" s="61"/>
    </row>
    <row r="49" spans="1:5" ht="15" x14ac:dyDescent="0.25">
      <c r="A49" s="65" t="s">
        <v>239</v>
      </c>
      <c r="B49" s="61"/>
      <c r="C49" s="61"/>
      <c r="D49" s="62">
        <v>156500</v>
      </c>
      <c r="E49" s="61"/>
    </row>
    <row r="50" spans="1:5" x14ac:dyDescent="0.2">
      <c r="A50" s="61"/>
      <c r="B50" s="61"/>
      <c r="C50" s="61"/>
      <c r="D50" s="61"/>
      <c r="E50" s="61"/>
    </row>
    <row r="51" spans="1:5" x14ac:dyDescent="0.2">
      <c r="A51" s="61"/>
      <c r="B51" s="61"/>
      <c r="C51" s="61"/>
      <c r="D51" s="61"/>
      <c r="E51" s="61"/>
    </row>
    <row r="52" spans="1:5" x14ac:dyDescent="0.2">
      <c r="A52" s="61"/>
      <c r="B52" s="61"/>
      <c r="C52" s="61"/>
      <c r="D52" s="62">
        <f>SUM(D8:D51)</f>
        <v>4071529</v>
      </c>
      <c r="E52" s="62">
        <f>SUM(E8:E51)</f>
        <v>4071529</v>
      </c>
    </row>
    <row r="57" spans="1:5" x14ac:dyDescent="0.2">
      <c r="A57" t="s">
        <v>228</v>
      </c>
    </row>
    <row r="58" spans="1:5" x14ac:dyDescent="0.2">
      <c r="A58" t="s">
        <v>224</v>
      </c>
      <c r="B58" s="60">
        <v>500000</v>
      </c>
    </row>
    <row r="59" spans="1:5" x14ac:dyDescent="0.2">
      <c r="A59" t="s">
        <v>227</v>
      </c>
      <c r="B59" s="60">
        <v>87493</v>
      </c>
    </row>
    <row r="60" spans="1:5" x14ac:dyDescent="0.2">
      <c r="A60" t="s">
        <v>225</v>
      </c>
      <c r="B60" s="56">
        <v>-220697</v>
      </c>
    </row>
    <row r="61" spans="1:5" x14ac:dyDescent="0.2">
      <c r="A61" t="s">
        <v>226</v>
      </c>
      <c r="B61" s="60">
        <f>SUM(B58:B60)</f>
        <v>366796</v>
      </c>
    </row>
    <row r="63" spans="1:5" x14ac:dyDescent="0.2">
      <c r="A63" t="s">
        <v>235</v>
      </c>
    </row>
    <row r="64" spans="1:5" x14ac:dyDescent="0.2">
      <c r="A64" t="s">
        <v>236</v>
      </c>
      <c r="B64" s="56">
        <v>11500</v>
      </c>
    </row>
    <row r="65" spans="1:2" x14ac:dyDescent="0.2">
      <c r="A65" t="s">
        <v>237</v>
      </c>
      <c r="B65" s="56">
        <v>4000</v>
      </c>
    </row>
    <row r="66" spans="1:2" ht="15" x14ac:dyDescent="0.25">
      <c r="B66" s="59">
        <f>SUM(B64:B65)</f>
        <v>15500</v>
      </c>
    </row>
  </sheetData>
  <pageMargins left="0.7" right="0.7" top="0.75" bottom="0.75" header="0.3" footer="0.3"/>
  <pageSetup fitToHeight="0"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1" workbookViewId="0">
      <selection activeCell="C38" sqref="C38"/>
    </sheetView>
  </sheetViews>
  <sheetFormatPr defaultColWidth="12.625" defaultRowHeight="15" customHeight="1" x14ac:dyDescent="0.2"/>
  <cols>
    <col min="1" max="1" width="20.5" customWidth="1"/>
    <col min="2" max="3" width="23.75" customWidth="1"/>
    <col min="4" max="4" width="15.5" customWidth="1"/>
    <col min="5" max="5" width="11" customWidth="1"/>
    <col min="6" max="6" width="12.875" customWidth="1"/>
    <col min="7" max="7" width="15.25" customWidth="1"/>
    <col min="8" max="26" width="7.625" customWidth="1"/>
  </cols>
  <sheetData>
    <row r="1" spans="1:7" ht="14.25" customHeight="1" x14ac:dyDescent="0.25">
      <c r="A1" s="74" t="s">
        <v>65</v>
      </c>
      <c r="B1" s="75"/>
      <c r="C1" s="75"/>
      <c r="D1" s="75"/>
      <c r="E1" s="75"/>
      <c r="F1" s="75"/>
      <c r="G1" s="14"/>
    </row>
    <row r="2" spans="1:7" ht="14.25" customHeight="1" x14ac:dyDescent="0.25">
      <c r="A2" s="74" t="s">
        <v>66</v>
      </c>
      <c r="B2" s="75"/>
      <c r="C2" s="75"/>
      <c r="D2" s="75"/>
      <c r="E2" s="75"/>
      <c r="F2" s="75"/>
    </row>
    <row r="3" spans="1:7" ht="14.25" customHeight="1" x14ac:dyDescent="0.25">
      <c r="A3" s="74" t="s">
        <v>67</v>
      </c>
      <c r="B3" s="75"/>
      <c r="C3" s="75"/>
      <c r="D3" s="75"/>
      <c r="E3" s="75"/>
      <c r="F3" s="75"/>
    </row>
    <row r="4" spans="1:7" ht="14.25" customHeight="1" x14ac:dyDescent="0.25">
      <c r="A4" s="1" t="s">
        <v>68</v>
      </c>
      <c r="B4" s="2" t="s">
        <v>69</v>
      </c>
      <c r="C4" s="2">
        <v>2020</v>
      </c>
      <c r="D4" s="2">
        <v>2019</v>
      </c>
      <c r="E4" s="2">
        <v>2018</v>
      </c>
      <c r="F4" s="2">
        <v>2017</v>
      </c>
    </row>
    <row r="5" spans="1:7" ht="14.25" customHeight="1" x14ac:dyDescent="0.25">
      <c r="A5" s="76" t="s">
        <v>70</v>
      </c>
      <c r="B5" s="16" t="s">
        <v>71</v>
      </c>
      <c r="C5" s="16">
        <f>40000*14</f>
        <v>560000</v>
      </c>
      <c r="D5" s="4">
        <f>(60000*14)</f>
        <v>840000</v>
      </c>
      <c r="E5" s="4">
        <f>(60000*14)</f>
        <v>840000</v>
      </c>
      <c r="F5" s="4">
        <f>5000*9*14</f>
        <v>630000</v>
      </c>
    </row>
    <row r="6" spans="1:7" ht="14.25" customHeight="1" x14ac:dyDescent="0.25">
      <c r="A6" s="75"/>
      <c r="B6" s="16" t="s">
        <v>72</v>
      </c>
      <c r="D6" s="4">
        <f>Contributions!P18</f>
        <v>694600</v>
      </c>
      <c r="E6" s="4">
        <v>882000</v>
      </c>
      <c r="F6" s="4">
        <f>[2]Sheet1!$K$28</f>
        <v>0</v>
      </c>
    </row>
    <row r="7" spans="1:7" ht="14.25" customHeight="1" x14ac:dyDescent="0.25">
      <c r="A7" s="75"/>
      <c r="B7" s="16" t="s">
        <v>73</v>
      </c>
      <c r="D7" s="4">
        <f>D6-D5</f>
        <v>-145400</v>
      </c>
      <c r="E7" s="4">
        <f>E6-E5</f>
        <v>42000</v>
      </c>
      <c r="F7" s="4">
        <f>F6-F5</f>
        <v>-630000</v>
      </c>
    </row>
    <row r="8" spans="1:7" ht="14.25" customHeight="1" x14ac:dyDescent="0.25">
      <c r="A8" s="75"/>
      <c r="B8" s="16" t="s">
        <v>74</v>
      </c>
      <c r="D8" s="4">
        <f>F5+E5+D5</f>
        <v>2310000</v>
      </c>
      <c r="E8" s="4"/>
      <c r="F8" s="4"/>
    </row>
    <row r="9" spans="1:7" ht="14.25" customHeight="1" x14ac:dyDescent="0.25">
      <c r="A9" s="75"/>
      <c r="B9" s="16" t="s">
        <v>75</v>
      </c>
      <c r="D9" s="4">
        <f>Contributions!S18</f>
        <v>2179100</v>
      </c>
    </row>
    <row r="10" spans="1:7" ht="14.25" customHeight="1" x14ac:dyDescent="0.25">
      <c r="A10" s="75"/>
      <c r="B10" s="2" t="s">
        <v>76</v>
      </c>
      <c r="C10" s="2"/>
      <c r="D10" s="15">
        <f>D9-D8</f>
        <v>-130900</v>
      </c>
    </row>
    <row r="11" spans="1:7" ht="14.25" customHeight="1" x14ac:dyDescent="0.25">
      <c r="A11" s="19"/>
    </row>
    <row r="12" spans="1:7" ht="14.25" customHeight="1" x14ac:dyDescent="0.25">
      <c r="A12" s="76" t="s">
        <v>77</v>
      </c>
      <c r="B12" s="16" t="s">
        <v>71</v>
      </c>
      <c r="C12" s="16">
        <f>500*8</f>
        <v>4000</v>
      </c>
      <c r="D12" s="4">
        <f>12*500*14</f>
        <v>84000</v>
      </c>
      <c r="E12" s="4">
        <f>11*500*14</f>
        <v>77000</v>
      </c>
      <c r="F12" s="4"/>
    </row>
    <row r="13" spans="1:7" ht="14.25" customHeight="1" x14ac:dyDescent="0.25">
      <c r="A13" s="75"/>
      <c r="B13" s="16" t="s">
        <v>72</v>
      </c>
      <c r="D13" s="4">
        <f>Welfare!O17</f>
        <v>66000</v>
      </c>
      <c r="E13" s="4">
        <f>[2]CSR!$N$28</f>
        <v>0</v>
      </c>
      <c r="F13" s="4"/>
    </row>
    <row r="14" spans="1:7" ht="14.25" customHeight="1" x14ac:dyDescent="0.25">
      <c r="A14" s="75"/>
      <c r="B14" s="16" t="s">
        <v>73</v>
      </c>
      <c r="D14" s="4">
        <f>D13-D12</f>
        <v>-18000</v>
      </c>
      <c r="E14" s="4">
        <f>E13-E12</f>
        <v>-77000</v>
      </c>
      <c r="F14" s="4"/>
    </row>
    <row r="15" spans="1:7" ht="14.25" customHeight="1" x14ac:dyDescent="0.25">
      <c r="A15" s="75"/>
      <c r="B15" s="16" t="s">
        <v>74</v>
      </c>
      <c r="D15" s="4">
        <f>E12+D12</f>
        <v>161000</v>
      </c>
      <c r="E15" s="4"/>
      <c r="F15" s="4"/>
    </row>
    <row r="16" spans="1:7" ht="14.25" customHeight="1" x14ac:dyDescent="0.25">
      <c r="A16" s="75"/>
      <c r="B16" s="16" t="s">
        <v>75</v>
      </c>
      <c r="D16" s="4">
        <f>Welfare!P17</f>
        <v>138500</v>
      </c>
    </row>
    <row r="17" spans="1:5" ht="14.25" customHeight="1" x14ac:dyDescent="0.25">
      <c r="A17" s="75"/>
      <c r="B17" s="2" t="s">
        <v>76</v>
      </c>
      <c r="C17" s="2"/>
      <c r="D17" s="15">
        <f>D16-D15</f>
        <v>-22500</v>
      </c>
    </row>
    <row r="18" spans="1:5" ht="14.25" customHeight="1" x14ac:dyDescent="0.25">
      <c r="A18" s="19"/>
    </row>
    <row r="19" spans="1:5" ht="14.25" customHeight="1" x14ac:dyDescent="0.25">
      <c r="A19" s="76" t="s">
        <v>78</v>
      </c>
      <c r="B19" s="16" t="s">
        <v>71</v>
      </c>
      <c r="C19" s="4">
        <f>14*1000</f>
        <v>14000</v>
      </c>
      <c r="D19" s="4">
        <f>14*1000</f>
        <v>14000</v>
      </c>
    </row>
    <row r="20" spans="1:5" ht="14.25" customHeight="1" x14ac:dyDescent="0.25">
      <c r="A20" s="75"/>
      <c r="B20" s="16" t="s">
        <v>72</v>
      </c>
      <c r="C20" s="4">
        <f>Contributions!B18</f>
        <v>14000</v>
      </c>
      <c r="D20" s="4">
        <f>Contributions!B18</f>
        <v>14000</v>
      </c>
    </row>
    <row r="21" spans="1:5" ht="14.25" customHeight="1" x14ac:dyDescent="0.25">
      <c r="A21" s="75"/>
      <c r="B21" s="16" t="s">
        <v>74</v>
      </c>
      <c r="C21" s="4">
        <f>D19</f>
        <v>14000</v>
      </c>
      <c r="D21" s="4">
        <f>E19+D19</f>
        <v>14000</v>
      </c>
    </row>
    <row r="22" spans="1:5" ht="14.25" customHeight="1" x14ac:dyDescent="0.25">
      <c r="A22" s="75"/>
      <c r="B22" s="2" t="s">
        <v>76</v>
      </c>
      <c r="C22" s="15">
        <f>C20-C21</f>
        <v>0</v>
      </c>
      <c r="D22" s="15">
        <f>D20-D21</f>
        <v>0</v>
      </c>
    </row>
    <row r="23" spans="1:5" ht="14.25" customHeight="1" x14ac:dyDescent="0.25">
      <c r="A23" s="19"/>
    </row>
    <row r="24" spans="1:5" ht="14.25" customHeight="1" x14ac:dyDescent="0.25">
      <c r="A24" s="1" t="s">
        <v>79</v>
      </c>
    </row>
    <row r="25" spans="1:5" ht="14.25" customHeight="1" x14ac:dyDescent="0.25">
      <c r="A25" s="76" t="s">
        <v>80</v>
      </c>
      <c r="B25" s="16" t="s">
        <v>10</v>
      </c>
      <c r="C25" s="4">
        <v>500000</v>
      </c>
      <c r="D25" s="4">
        <v>500000</v>
      </c>
      <c r="E25" s="4">
        <v>500000</v>
      </c>
    </row>
    <row r="26" spans="1:5" ht="14.25" customHeight="1" x14ac:dyDescent="0.25">
      <c r="A26" s="75"/>
      <c r="B26" s="16" t="s">
        <v>81</v>
      </c>
      <c r="C26" s="4">
        <v>37564.400000000001</v>
      </c>
      <c r="D26" s="4">
        <f>56117.16-21071.72</f>
        <v>35045.440000000002</v>
      </c>
      <c r="E26" s="4">
        <v>21071.52</v>
      </c>
    </row>
    <row r="27" spans="1:5" ht="14.25" customHeight="1" x14ac:dyDescent="0.25">
      <c r="A27" s="75"/>
      <c r="B27" s="16" t="s">
        <v>82</v>
      </c>
      <c r="C27" s="4">
        <f>D27+C26</f>
        <v>93681.360000000015</v>
      </c>
      <c r="D27" s="4">
        <f>E26+D26</f>
        <v>56116.960000000006</v>
      </c>
    </row>
    <row r="28" spans="1:5" ht="14.25" customHeight="1" x14ac:dyDescent="0.25">
      <c r="A28" s="19"/>
    </row>
    <row r="29" spans="1:5" ht="14.25" customHeight="1" x14ac:dyDescent="0.25">
      <c r="A29" s="76" t="s">
        <v>83</v>
      </c>
      <c r="B29" s="16" t="s">
        <v>10</v>
      </c>
      <c r="C29" s="4">
        <v>500000</v>
      </c>
      <c r="D29" s="4">
        <v>500000</v>
      </c>
    </row>
    <row r="30" spans="1:5" ht="14.25" customHeight="1" x14ac:dyDescent="0.25">
      <c r="A30" s="75"/>
      <c r="B30" s="16" t="s">
        <v>81</v>
      </c>
      <c r="C30" s="4">
        <v>49159.14</v>
      </c>
      <c r="D30" s="4">
        <v>3151</v>
      </c>
    </row>
    <row r="31" spans="1:5" ht="14.25" customHeight="1" x14ac:dyDescent="0.25">
      <c r="A31" s="75"/>
      <c r="B31" s="16" t="s">
        <v>82</v>
      </c>
      <c r="C31" s="4">
        <f>C30+D31</f>
        <v>52310.14</v>
      </c>
      <c r="D31" s="4">
        <f>E30+D30</f>
        <v>3151</v>
      </c>
    </row>
    <row r="32" spans="1:5" ht="14.25" customHeight="1" x14ac:dyDescent="0.25">
      <c r="A32" s="19"/>
    </row>
    <row r="33" spans="1:7" ht="14.25" customHeight="1" x14ac:dyDescent="0.25">
      <c r="A33" s="1" t="s">
        <v>84</v>
      </c>
      <c r="B33" s="16" t="s">
        <v>85</v>
      </c>
      <c r="C33" s="4">
        <v>3664</v>
      </c>
      <c r="D33" s="4">
        <v>881124</v>
      </c>
      <c r="E33" s="4">
        <v>981830</v>
      </c>
    </row>
    <row r="34" spans="1:7" ht="14.25" customHeight="1" x14ac:dyDescent="0.25">
      <c r="A34" s="19"/>
      <c r="B34" s="16" t="s">
        <v>86</v>
      </c>
      <c r="C34" s="4">
        <v>708441</v>
      </c>
      <c r="D34" s="4">
        <v>316236</v>
      </c>
      <c r="E34" s="4">
        <v>0</v>
      </c>
      <c r="G34" s="4">
        <f>C48-D27</f>
        <v>-18552.560000000005</v>
      </c>
    </row>
    <row r="35" spans="1:7" ht="14.25" customHeight="1" x14ac:dyDescent="0.25">
      <c r="A35" s="19"/>
      <c r="B35" s="2" t="s">
        <v>23</v>
      </c>
      <c r="C35" s="15">
        <f>C33+C34</f>
        <v>712105</v>
      </c>
      <c r="D35" s="15">
        <f>D33+D34</f>
        <v>1197360</v>
      </c>
      <c r="E35" s="15">
        <f>E33+E34</f>
        <v>981830</v>
      </c>
      <c r="G35" s="4">
        <f>52310-D31</f>
        <v>49159</v>
      </c>
    </row>
    <row r="36" spans="1:7" ht="14.25" customHeight="1" x14ac:dyDescent="0.25">
      <c r="A36" s="19"/>
    </row>
    <row r="37" spans="1:7" ht="14.25" customHeight="1" x14ac:dyDescent="0.25">
      <c r="A37" s="19" t="s">
        <v>87</v>
      </c>
      <c r="B37" s="16" t="s">
        <v>88</v>
      </c>
      <c r="C37" s="4">
        <f>C35</f>
        <v>712105</v>
      </c>
      <c r="D37" s="4">
        <f>D35</f>
        <v>1197360</v>
      </c>
    </row>
    <row r="38" spans="1:7" ht="14.25" customHeight="1" x14ac:dyDescent="0.25">
      <c r="A38" s="19"/>
      <c r="B38" s="16" t="s">
        <v>89</v>
      </c>
      <c r="C38" s="4">
        <f>C29+C25</f>
        <v>1000000</v>
      </c>
      <c r="D38" s="4">
        <f>D29+D25</f>
        <v>1000000</v>
      </c>
    </row>
    <row r="39" spans="1:7" ht="14.25" customHeight="1" x14ac:dyDescent="0.25">
      <c r="A39" s="19"/>
      <c r="B39" s="16" t="s">
        <v>90</v>
      </c>
      <c r="D39" s="4">
        <f>100000</f>
        <v>100000</v>
      </c>
    </row>
    <row r="40" spans="1:7" ht="14.25" customHeight="1" x14ac:dyDescent="0.25">
      <c r="A40" s="19"/>
      <c r="B40" s="16" t="s">
        <v>23</v>
      </c>
      <c r="D40" s="4">
        <f>D37+D38+D39</f>
        <v>2297360</v>
      </c>
    </row>
    <row r="41" spans="1:7" ht="14.25" customHeight="1" x14ac:dyDescent="0.25">
      <c r="A41" s="19"/>
    </row>
    <row r="42" spans="1:7" ht="14.25" customHeight="1" x14ac:dyDescent="0.25">
      <c r="A42" s="19"/>
      <c r="B42" s="16" t="s">
        <v>91</v>
      </c>
      <c r="D42" s="4">
        <f>D9+D21+D16</f>
        <v>2331600</v>
      </c>
      <c r="E42" s="4"/>
    </row>
    <row r="43" spans="1:7" ht="14.25" customHeight="1" x14ac:dyDescent="0.25">
      <c r="A43" s="19"/>
      <c r="B43" s="20" t="s">
        <v>92</v>
      </c>
      <c r="C43" s="20"/>
      <c r="D43" s="4">
        <v>34600</v>
      </c>
      <c r="E43" s="4"/>
    </row>
    <row r="44" spans="1:7" ht="14.25" customHeight="1" x14ac:dyDescent="0.25">
      <c r="A44" s="19"/>
      <c r="B44" s="16" t="s">
        <v>93</v>
      </c>
      <c r="D44" s="4">
        <f>-11636</f>
        <v>-11636</v>
      </c>
    </row>
    <row r="45" spans="1:7" ht="14.25" customHeight="1" x14ac:dyDescent="0.25">
      <c r="A45" s="19"/>
      <c r="B45" s="16" t="s">
        <v>23</v>
      </c>
      <c r="D45" s="4">
        <f>SUM(D42:D44)</f>
        <v>2354564</v>
      </c>
      <c r="E45" s="4"/>
    </row>
    <row r="46" spans="1:7" ht="14.25" customHeight="1" x14ac:dyDescent="0.25">
      <c r="A46" s="19"/>
    </row>
    <row r="47" spans="1:7" ht="14.25" customHeight="1" x14ac:dyDescent="0.25">
      <c r="A47" s="1" t="s">
        <v>94</v>
      </c>
    </row>
    <row r="48" spans="1:7" ht="14.25" customHeight="1" x14ac:dyDescent="0.25">
      <c r="A48" s="76" t="s">
        <v>95</v>
      </c>
      <c r="B48" s="16" t="s">
        <v>80</v>
      </c>
      <c r="C48" s="4">
        <f>C26</f>
        <v>37564.400000000001</v>
      </c>
      <c r="D48" s="4">
        <f>D26</f>
        <v>35045.440000000002</v>
      </c>
      <c r="E48" s="4">
        <v>21071.52</v>
      </c>
      <c r="F48" s="15">
        <v>0</v>
      </c>
    </row>
    <row r="49" spans="1:6" ht="14.25" customHeight="1" x14ac:dyDescent="0.25">
      <c r="A49" s="75"/>
      <c r="B49" s="16" t="s">
        <v>83</v>
      </c>
      <c r="C49" s="4">
        <f>C30</f>
        <v>49159.14</v>
      </c>
      <c r="D49" s="4">
        <f>D31</f>
        <v>3151</v>
      </c>
      <c r="E49" s="4">
        <v>0</v>
      </c>
      <c r="F49" s="15">
        <v>0</v>
      </c>
    </row>
    <row r="50" spans="1:6" ht="14.25" customHeight="1" x14ac:dyDescent="0.25">
      <c r="A50" s="75"/>
      <c r="B50" s="16" t="s">
        <v>96</v>
      </c>
      <c r="C50" s="4">
        <v>46500</v>
      </c>
      <c r="D50" s="4">
        <v>18000</v>
      </c>
      <c r="E50" s="4">
        <v>9000</v>
      </c>
      <c r="F50" s="15">
        <v>0</v>
      </c>
    </row>
    <row r="51" spans="1:6" ht="14.25" customHeight="1" x14ac:dyDescent="0.25">
      <c r="A51" s="75"/>
      <c r="B51" s="2" t="s">
        <v>97</v>
      </c>
      <c r="C51" s="15">
        <f>SUM(C48:C50)</f>
        <v>133223.54</v>
      </c>
      <c r="D51" s="15">
        <f>SUM(D48:D50)</f>
        <v>56196.44</v>
      </c>
      <c r="E51" s="15">
        <f>SUM(E48:E50)</f>
        <v>30071.52</v>
      </c>
      <c r="F51" s="15">
        <f>SUM(F48:F50)</f>
        <v>0</v>
      </c>
    </row>
    <row r="52" spans="1:6" ht="14.25" customHeight="1" x14ac:dyDescent="0.25">
      <c r="A52" s="19"/>
      <c r="D52" s="4"/>
    </row>
    <row r="53" spans="1:6" ht="14.25" customHeight="1" x14ac:dyDescent="0.25">
      <c r="A53" s="76" t="s">
        <v>98</v>
      </c>
      <c r="B53" s="2" t="s">
        <v>99</v>
      </c>
      <c r="C53" s="2"/>
    </row>
    <row r="54" spans="1:6" ht="14.25" customHeight="1" x14ac:dyDescent="0.25">
      <c r="A54" s="75"/>
      <c r="B54" s="16" t="s">
        <v>100</v>
      </c>
      <c r="C54" s="21">
        <f>D54+(315+83+(240*4))</f>
        <v>3896</v>
      </c>
      <c r="D54" s="4">
        <f>'financial statement 2018'!B53</f>
        <v>2538</v>
      </c>
      <c r="E54" s="4">
        <f>'[2]Financial statement'!$B$22</f>
        <v>0</v>
      </c>
    </row>
    <row r="55" spans="1:6" ht="14.25" customHeight="1" x14ac:dyDescent="0.25">
      <c r="A55" s="75"/>
      <c r="B55" s="16" t="s">
        <v>101</v>
      </c>
      <c r="C55" s="16">
        <v>1076</v>
      </c>
      <c r="D55" s="4">
        <f>'financial statement 2018'!B52</f>
        <v>628</v>
      </c>
    </row>
    <row r="56" spans="1:6" ht="14.25" customHeight="1" x14ac:dyDescent="0.2">
      <c r="A56" s="75"/>
    </row>
    <row r="57" spans="1:6" ht="14.25" customHeight="1" x14ac:dyDescent="0.25">
      <c r="A57" s="75"/>
      <c r="B57" s="2" t="s">
        <v>102</v>
      </c>
      <c r="C57" s="2"/>
    </row>
    <row r="58" spans="1:6" ht="14.25" customHeight="1" x14ac:dyDescent="0.25">
      <c r="A58" s="75"/>
      <c r="B58" s="16" t="s">
        <v>103</v>
      </c>
      <c r="C58" s="16">
        <v>50000</v>
      </c>
      <c r="D58" s="4">
        <v>11636</v>
      </c>
    </row>
    <row r="59" spans="1:6" ht="14.25" customHeight="1" x14ac:dyDescent="0.2">
      <c r="A59" s="75"/>
    </row>
    <row r="60" spans="1:6" ht="14.25" customHeight="1" x14ac:dyDescent="0.25">
      <c r="A60" s="75"/>
      <c r="B60" s="2" t="s">
        <v>104</v>
      </c>
      <c r="C60" s="2"/>
      <c r="D60" s="15">
        <f>D58+D55+D54</f>
        <v>14802</v>
      </c>
      <c r="E60" s="15">
        <f>E58+E55+E54</f>
        <v>0</v>
      </c>
    </row>
    <row r="61" spans="1:6" ht="14.25" customHeight="1" x14ac:dyDescent="0.25">
      <c r="A61" s="75"/>
      <c r="B61" s="2" t="s">
        <v>105</v>
      </c>
      <c r="C61" s="2"/>
      <c r="D61" s="15">
        <f>D51-D60</f>
        <v>41394.44</v>
      </c>
      <c r="E61" s="15">
        <f>E51-E60</f>
        <v>30071.52</v>
      </c>
    </row>
    <row r="62" spans="1:6" ht="14.25" customHeight="1" x14ac:dyDescent="0.25">
      <c r="A62" s="19"/>
    </row>
    <row r="63" spans="1:6" ht="14.25" customHeight="1" x14ac:dyDescent="0.25">
      <c r="A63" s="76" t="s">
        <v>106</v>
      </c>
      <c r="B63" s="14" t="s">
        <v>25</v>
      </c>
      <c r="C63" s="14"/>
      <c r="D63" s="4" t="e">
        <f>VLOOKUP(B63,#REF!,2,0)</f>
        <v>#REF!</v>
      </c>
    </row>
    <row r="64" spans="1:6" ht="14.25" customHeight="1" x14ac:dyDescent="0.25">
      <c r="A64" s="75"/>
      <c r="B64" s="14" t="s">
        <v>107</v>
      </c>
      <c r="C64" s="14"/>
      <c r="D64" s="4" t="e">
        <f>VLOOKUP(B64,#REF!,2,0)</f>
        <v>#REF!</v>
      </c>
    </row>
    <row r="65" spans="1:26" ht="14.25" customHeight="1" x14ac:dyDescent="0.25">
      <c r="A65" s="75"/>
      <c r="B65" s="14" t="s">
        <v>27</v>
      </c>
      <c r="C65" s="14"/>
      <c r="D65" s="4" t="e">
        <f>VLOOKUP(B65,#REF!,2,0)</f>
        <v>#REF!</v>
      </c>
    </row>
    <row r="66" spans="1:26" ht="14.25" customHeight="1" x14ac:dyDescent="0.25">
      <c r="A66" s="75"/>
      <c r="B66" s="14" t="s">
        <v>28</v>
      </c>
      <c r="C66" s="14"/>
      <c r="D66" s="4" t="e">
        <f>VLOOKUP(B66,#REF!,2,0)</f>
        <v>#REF!</v>
      </c>
    </row>
    <row r="67" spans="1:26" ht="14.25" customHeight="1" x14ac:dyDescent="0.25">
      <c r="A67" s="75"/>
      <c r="B67" s="14" t="s">
        <v>29</v>
      </c>
      <c r="C67" s="14"/>
      <c r="D67" s="4" t="e">
        <f>VLOOKUP(B67,#REF!,2,0)</f>
        <v>#REF!</v>
      </c>
    </row>
    <row r="68" spans="1:26" ht="14.25" customHeight="1" x14ac:dyDescent="0.25">
      <c r="A68" s="75"/>
      <c r="B68" s="14" t="s">
        <v>30</v>
      </c>
      <c r="C68" s="14"/>
      <c r="D68" s="4" t="e">
        <f>VLOOKUP(B68,#REF!,2,0)</f>
        <v>#REF!</v>
      </c>
    </row>
    <row r="69" spans="1:26" ht="14.25" customHeight="1" x14ac:dyDescent="0.25">
      <c r="A69" s="75"/>
      <c r="B69" s="14" t="s">
        <v>31</v>
      </c>
      <c r="C69" s="14"/>
      <c r="D69" s="4" t="e">
        <f>VLOOKUP(B69,#REF!,2,0)</f>
        <v>#REF!</v>
      </c>
    </row>
    <row r="70" spans="1:26" ht="14.25" customHeight="1" x14ac:dyDescent="0.25">
      <c r="A70" s="75"/>
      <c r="B70" s="14" t="s">
        <v>33</v>
      </c>
      <c r="C70" s="14"/>
      <c r="D70" s="4">
        <v>-10000</v>
      </c>
    </row>
    <row r="71" spans="1:26" ht="14.25" customHeight="1" x14ac:dyDescent="0.25">
      <c r="A71" s="75"/>
      <c r="B71" s="14" t="s">
        <v>108</v>
      </c>
      <c r="C71" s="14"/>
      <c r="D71" s="4"/>
      <c r="E71" s="4">
        <v>-5000</v>
      </c>
    </row>
    <row r="72" spans="1:26" ht="14.25" customHeight="1" x14ac:dyDescent="0.25">
      <c r="A72" s="75"/>
      <c r="B72" s="14" t="s">
        <v>109</v>
      </c>
      <c r="C72" s="14"/>
      <c r="D72" s="4"/>
      <c r="E72" s="4">
        <v>-3000</v>
      </c>
    </row>
    <row r="73" spans="1:26" ht="14.25" customHeight="1" x14ac:dyDescent="0.25">
      <c r="A73" s="75"/>
      <c r="B73" s="14" t="s">
        <v>110</v>
      </c>
      <c r="C73" s="14"/>
      <c r="D73" s="4"/>
      <c r="E73" s="4">
        <v>-1500</v>
      </c>
    </row>
    <row r="74" spans="1:26" ht="14.25" customHeight="1" x14ac:dyDescent="0.25">
      <c r="A74" s="19"/>
      <c r="B74" s="2" t="s">
        <v>23</v>
      </c>
      <c r="C74" s="2"/>
      <c r="D74" s="15" t="e">
        <f>SUM(D63:D73)</f>
        <v>#REF!</v>
      </c>
      <c r="E74" s="15">
        <f>SUM(E63:E73)</f>
        <v>-9500</v>
      </c>
      <c r="F74" s="14"/>
      <c r="G74" s="14"/>
      <c r="H74" s="14"/>
      <c r="I74" s="14"/>
      <c r="J74" s="14"/>
      <c r="K74" s="14"/>
      <c r="L74" s="14"/>
      <c r="M74" s="14"/>
      <c r="N74" s="14"/>
      <c r="O74" s="14"/>
      <c r="P74" s="14"/>
      <c r="Q74" s="14"/>
      <c r="R74" s="14"/>
      <c r="S74" s="14"/>
      <c r="T74" s="14"/>
      <c r="U74" s="14"/>
      <c r="V74" s="14"/>
      <c r="W74" s="14"/>
      <c r="X74" s="14"/>
      <c r="Y74" s="14"/>
      <c r="Z74" s="14"/>
    </row>
    <row r="75" spans="1:26" ht="14.25" customHeight="1" x14ac:dyDescent="0.25">
      <c r="A75" s="19"/>
    </row>
    <row r="76" spans="1:26" ht="14.25" customHeight="1" x14ac:dyDescent="0.25">
      <c r="A76" s="1" t="s">
        <v>111</v>
      </c>
    </row>
    <row r="77" spans="1:26" ht="14.25" customHeight="1" x14ac:dyDescent="0.25">
      <c r="A77" s="19"/>
      <c r="B77" s="14" t="s">
        <v>25</v>
      </c>
      <c r="C77" s="14"/>
      <c r="D77" s="4">
        <f>Loans!H4</f>
        <v>0</v>
      </c>
    </row>
    <row r="78" spans="1:26" ht="14.25" customHeight="1" x14ac:dyDescent="0.25">
      <c r="A78" s="19"/>
      <c r="B78" s="14" t="s">
        <v>30</v>
      </c>
      <c r="C78" s="14"/>
      <c r="D78" s="4"/>
      <c r="E78" s="4">
        <v>-20000</v>
      </c>
    </row>
    <row r="79" spans="1:26" ht="14.25" customHeight="1" x14ac:dyDescent="0.25">
      <c r="A79" s="19"/>
      <c r="B79" s="2" t="s">
        <v>23</v>
      </c>
      <c r="C79" s="2"/>
      <c r="D79" s="15">
        <f>D77+D78</f>
        <v>0</v>
      </c>
      <c r="E79" s="15">
        <f>E77+E78</f>
        <v>-20000</v>
      </c>
    </row>
    <row r="80" spans="1:26" ht="14.25" customHeight="1" x14ac:dyDescent="0.25">
      <c r="A80" s="19"/>
    </row>
    <row r="81" spans="1:1" ht="14.25" customHeight="1" x14ac:dyDescent="0.25">
      <c r="A81" s="19"/>
    </row>
    <row r="82" spans="1:1" ht="14.25" customHeight="1" x14ac:dyDescent="0.25">
      <c r="A82" s="19"/>
    </row>
    <row r="83" spans="1:1" ht="14.25" customHeight="1" x14ac:dyDescent="0.25">
      <c r="A83" s="19"/>
    </row>
    <row r="84" spans="1:1" ht="14.25" customHeight="1" x14ac:dyDescent="0.25">
      <c r="A84" s="19"/>
    </row>
    <row r="85" spans="1:1" ht="14.25" customHeight="1" x14ac:dyDescent="0.25">
      <c r="A85" s="19"/>
    </row>
    <row r="86" spans="1:1" ht="14.25" customHeight="1" x14ac:dyDescent="0.25">
      <c r="A86" s="19"/>
    </row>
    <row r="87" spans="1:1" ht="14.25" customHeight="1" x14ac:dyDescent="0.25">
      <c r="A87" s="19"/>
    </row>
    <row r="88" spans="1:1" ht="14.25" customHeight="1" x14ac:dyDescent="0.25">
      <c r="A88" s="19"/>
    </row>
    <row r="89" spans="1:1" ht="14.25" customHeight="1" x14ac:dyDescent="0.25">
      <c r="A89" s="19"/>
    </row>
    <row r="90" spans="1:1" ht="14.25" customHeight="1" x14ac:dyDescent="0.25">
      <c r="A90" s="19"/>
    </row>
    <row r="91" spans="1:1" ht="14.25" customHeight="1" x14ac:dyDescent="0.25">
      <c r="A91" s="19"/>
    </row>
    <row r="92" spans="1:1" ht="14.25" customHeight="1" x14ac:dyDescent="0.25">
      <c r="A92" s="19"/>
    </row>
    <row r="93" spans="1:1" ht="14.25" customHeight="1" x14ac:dyDescent="0.25">
      <c r="A93" s="19"/>
    </row>
    <row r="94" spans="1:1" ht="14.25" customHeight="1" x14ac:dyDescent="0.25">
      <c r="A94" s="19"/>
    </row>
    <row r="95" spans="1:1" ht="14.25" customHeight="1" x14ac:dyDescent="0.25">
      <c r="A95" s="19"/>
    </row>
    <row r="96" spans="1:1" ht="14.25" customHeight="1" x14ac:dyDescent="0.25">
      <c r="A96" s="19"/>
    </row>
    <row r="97" spans="1:1" ht="14.25" customHeight="1" x14ac:dyDescent="0.25">
      <c r="A97" s="19"/>
    </row>
    <row r="98" spans="1:1" ht="14.25" customHeight="1" x14ac:dyDescent="0.25">
      <c r="A98" s="19"/>
    </row>
    <row r="99" spans="1:1" ht="14.25" customHeight="1" x14ac:dyDescent="0.25">
      <c r="A99" s="19"/>
    </row>
    <row r="100" spans="1:1" ht="14.25" customHeight="1" x14ac:dyDescent="0.25">
      <c r="A100" s="19"/>
    </row>
    <row r="101" spans="1:1" ht="14.25" customHeight="1" x14ac:dyDescent="0.25">
      <c r="A101" s="19"/>
    </row>
    <row r="102" spans="1:1" ht="14.25" customHeight="1" x14ac:dyDescent="0.25">
      <c r="A102" s="19"/>
    </row>
    <row r="103" spans="1:1" ht="14.25" customHeight="1" x14ac:dyDescent="0.25">
      <c r="A103" s="19"/>
    </row>
    <row r="104" spans="1:1" ht="14.25" customHeight="1" x14ac:dyDescent="0.25">
      <c r="A104" s="19"/>
    </row>
    <row r="105" spans="1:1" ht="14.25" customHeight="1" x14ac:dyDescent="0.25">
      <c r="A105" s="19"/>
    </row>
    <row r="106" spans="1:1" ht="14.25" customHeight="1" x14ac:dyDescent="0.25">
      <c r="A106" s="19"/>
    </row>
    <row r="107" spans="1:1" ht="14.25" customHeight="1" x14ac:dyDescent="0.25">
      <c r="A107" s="19"/>
    </row>
    <row r="108" spans="1:1" ht="14.25" customHeight="1" x14ac:dyDescent="0.25">
      <c r="A108" s="19"/>
    </row>
    <row r="109" spans="1:1" ht="14.25" customHeight="1" x14ac:dyDescent="0.25">
      <c r="A109" s="19"/>
    </row>
    <row r="110" spans="1:1" ht="14.25" customHeight="1" x14ac:dyDescent="0.25">
      <c r="A110" s="19"/>
    </row>
    <row r="111" spans="1:1" ht="14.25" customHeight="1" x14ac:dyDescent="0.25">
      <c r="A111" s="19"/>
    </row>
    <row r="112" spans="1:1" ht="14.25" customHeight="1" x14ac:dyDescent="0.25">
      <c r="A112" s="19"/>
    </row>
    <row r="113" spans="1:1" ht="14.25" customHeight="1" x14ac:dyDescent="0.25">
      <c r="A113" s="19"/>
    </row>
    <row r="114" spans="1:1" ht="14.25" customHeight="1" x14ac:dyDescent="0.25">
      <c r="A114" s="19"/>
    </row>
    <row r="115" spans="1:1" ht="14.25" customHeight="1" x14ac:dyDescent="0.25">
      <c r="A115" s="19"/>
    </row>
    <row r="116" spans="1:1" ht="14.25" customHeight="1" x14ac:dyDescent="0.25">
      <c r="A116" s="19"/>
    </row>
    <row r="117" spans="1:1" ht="14.25" customHeight="1" x14ac:dyDescent="0.25">
      <c r="A117" s="19"/>
    </row>
    <row r="118" spans="1:1" ht="14.25" customHeight="1" x14ac:dyDescent="0.25">
      <c r="A118" s="19"/>
    </row>
    <row r="119" spans="1:1" ht="14.25" customHeight="1" x14ac:dyDescent="0.25">
      <c r="A119" s="19"/>
    </row>
    <row r="120" spans="1:1" ht="14.25" customHeight="1" x14ac:dyDescent="0.25">
      <c r="A120" s="19"/>
    </row>
    <row r="121" spans="1:1" ht="14.25" customHeight="1" x14ac:dyDescent="0.25">
      <c r="A121" s="19"/>
    </row>
    <row r="122" spans="1:1" ht="14.25" customHeight="1" x14ac:dyDescent="0.25">
      <c r="A122" s="19"/>
    </row>
    <row r="123" spans="1:1" ht="14.25" customHeight="1" x14ac:dyDescent="0.25">
      <c r="A123" s="19"/>
    </row>
    <row r="124" spans="1:1" ht="14.25" customHeight="1" x14ac:dyDescent="0.25">
      <c r="A124" s="19"/>
    </row>
    <row r="125" spans="1:1" ht="14.25" customHeight="1" x14ac:dyDescent="0.25">
      <c r="A125" s="19"/>
    </row>
    <row r="126" spans="1:1" ht="14.25" customHeight="1" x14ac:dyDescent="0.25">
      <c r="A126" s="19"/>
    </row>
    <row r="127" spans="1:1" ht="14.25" customHeight="1" x14ac:dyDescent="0.25">
      <c r="A127" s="19"/>
    </row>
    <row r="128" spans="1:1" ht="14.25" customHeight="1" x14ac:dyDescent="0.25">
      <c r="A128" s="19"/>
    </row>
    <row r="129" spans="1:1" ht="14.25" customHeight="1" x14ac:dyDescent="0.25">
      <c r="A129" s="19"/>
    </row>
    <row r="130" spans="1:1" ht="14.25" customHeight="1" x14ac:dyDescent="0.25">
      <c r="A130" s="19"/>
    </row>
    <row r="131" spans="1:1" ht="14.25" customHeight="1" x14ac:dyDescent="0.25">
      <c r="A131" s="19"/>
    </row>
    <row r="132" spans="1:1" ht="14.25" customHeight="1" x14ac:dyDescent="0.25">
      <c r="A132" s="19"/>
    </row>
    <row r="133" spans="1:1" ht="14.25" customHeight="1" x14ac:dyDescent="0.25">
      <c r="A133" s="19"/>
    </row>
    <row r="134" spans="1:1" ht="14.25" customHeight="1" x14ac:dyDescent="0.25">
      <c r="A134" s="19"/>
    </row>
    <row r="135" spans="1:1" ht="14.25" customHeight="1" x14ac:dyDescent="0.25">
      <c r="A135" s="19"/>
    </row>
    <row r="136" spans="1:1" ht="14.25" customHeight="1" x14ac:dyDescent="0.25">
      <c r="A136" s="19"/>
    </row>
    <row r="137" spans="1:1" ht="14.25" customHeight="1" x14ac:dyDescent="0.25">
      <c r="A137" s="19"/>
    </row>
    <row r="138" spans="1:1" ht="14.25" customHeight="1" x14ac:dyDescent="0.25">
      <c r="A138" s="19"/>
    </row>
    <row r="139" spans="1:1" ht="14.25" customHeight="1" x14ac:dyDescent="0.25">
      <c r="A139" s="19"/>
    </row>
    <row r="140" spans="1:1" ht="14.25" customHeight="1" x14ac:dyDescent="0.25">
      <c r="A140" s="19"/>
    </row>
    <row r="141" spans="1:1" ht="14.25" customHeight="1" x14ac:dyDescent="0.25">
      <c r="A141" s="19"/>
    </row>
    <row r="142" spans="1:1" ht="14.25" customHeight="1" x14ac:dyDescent="0.25">
      <c r="A142" s="19"/>
    </row>
    <row r="143" spans="1:1" ht="14.25" customHeight="1" x14ac:dyDescent="0.25">
      <c r="A143" s="19"/>
    </row>
    <row r="144" spans="1:1" ht="14.25" customHeight="1" x14ac:dyDescent="0.25">
      <c r="A144" s="19"/>
    </row>
    <row r="145" spans="1:1" ht="14.25" customHeight="1" x14ac:dyDescent="0.25">
      <c r="A145" s="19"/>
    </row>
    <row r="146" spans="1:1" ht="14.25" customHeight="1" x14ac:dyDescent="0.25">
      <c r="A146" s="19"/>
    </row>
    <row r="147" spans="1:1" ht="14.25" customHeight="1" x14ac:dyDescent="0.25">
      <c r="A147" s="19"/>
    </row>
    <row r="148" spans="1:1" ht="14.25" customHeight="1" x14ac:dyDescent="0.25">
      <c r="A148" s="19"/>
    </row>
    <row r="149" spans="1:1" ht="14.25" customHeight="1" x14ac:dyDescent="0.25">
      <c r="A149" s="19"/>
    </row>
    <row r="150" spans="1:1" ht="14.25" customHeight="1" x14ac:dyDescent="0.25">
      <c r="A150" s="19"/>
    </row>
    <row r="151" spans="1:1" ht="14.25" customHeight="1" x14ac:dyDescent="0.25">
      <c r="A151" s="19"/>
    </row>
    <row r="152" spans="1:1" ht="14.25" customHeight="1" x14ac:dyDescent="0.25">
      <c r="A152" s="19"/>
    </row>
    <row r="153" spans="1:1" ht="14.25" customHeight="1" x14ac:dyDescent="0.25">
      <c r="A153" s="19"/>
    </row>
    <row r="154" spans="1:1" ht="14.25" customHeight="1" x14ac:dyDescent="0.25">
      <c r="A154" s="19"/>
    </row>
    <row r="155" spans="1:1" ht="14.25" customHeight="1" x14ac:dyDescent="0.25">
      <c r="A155" s="19"/>
    </row>
    <row r="156" spans="1:1" ht="14.25" customHeight="1" x14ac:dyDescent="0.25">
      <c r="A156" s="19"/>
    </row>
    <row r="157" spans="1:1" ht="14.25" customHeight="1" x14ac:dyDescent="0.25">
      <c r="A157" s="19"/>
    </row>
    <row r="158" spans="1:1" ht="14.25" customHeight="1" x14ac:dyDescent="0.25">
      <c r="A158" s="19"/>
    </row>
    <row r="159" spans="1:1" ht="14.25" customHeight="1" x14ac:dyDescent="0.25">
      <c r="A159" s="19"/>
    </row>
    <row r="160" spans="1:1" ht="14.25" customHeight="1" x14ac:dyDescent="0.25">
      <c r="A160" s="19"/>
    </row>
    <row r="161" spans="1:1" ht="14.25" customHeight="1" x14ac:dyDescent="0.25">
      <c r="A161" s="19"/>
    </row>
    <row r="162" spans="1:1" ht="14.25" customHeight="1" x14ac:dyDescent="0.25">
      <c r="A162" s="19"/>
    </row>
    <row r="163" spans="1:1" ht="14.25" customHeight="1" x14ac:dyDescent="0.25">
      <c r="A163" s="19"/>
    </row>
    <row r="164" spans="1:1" ht="14.25" customHeight="1" x14ac:dyDescent="0.25">
      <c r="A164" s="19"/>
    </row>
    <row r="165" spans="1:1" ht="14.25" customHeight="1" x14ac:dyDescent="0.25">
      <c r="A165" s="19"/>
    </row>
    <row r="166" spans="1:1" ht="14.25" customHeight="1" x14ac:dyDescent="0.25">
      <c r="A166" s="19"/>
    </row>
    <row r="167" spans="1:1" ht="14.25" customHeight="1" x14ac:dyDescent="0.25">
      <c r="A167" s="19"/>
    </row>
    <row r="168" spans="1:1" ht="14.25" customHeight="1" x14ac:dyDescent="0.25">
      <c r="A168" s="19"/>
    </row>
    <row r="169" spans="1:1" ht="14.25" customHeight="1" x14ac:dyDescent="0.25">
      <c r="A169" s="19"/>
    </row>
    <row r="170" spans="1:1" ht="14.25" customHeight="1" x14ac:dyDescent="0.25">
      <c r="A170" s="19"/>
    </row>
    <row r="171" spans="1:1" ht="14.25" customHeight="1" x14ac:dyDescent="0.25">
      <c r="A171" s="19"/>
    </row>
    <row r="172" spans="1:1" ht="14.25" customHeight="1" x14ac:dyDescent="0.25">
      <c r="A172" s="19"/>
    </row>
    <row r="173" spans="1:1" ht="14.25" customHeight="1" x14ac:dyDescent="0.25">
      <c r="A173" s="19"/>
    </row>
    <row r="174" spans="1:1" ht="14.25" customHeight="1" x14ac:dyDescent="0.25">
      <c r="A174" s="19"/>
    </row>
    <row r="175" spans="1:1" ht="14.25" customHeight="1" x14ac:dyDescent="0.25">
      <c r="A175" s="19"/>
    </row>
    <row r="176" spans="1:1" ht="14.25" customHeight="1" x14ac:dyDescent="0.25">
      <c r="A176" s="19"/>
    </row>
    <row r="177" spans="1:1" ht="14.25" customHeight="1" x14ac:dyDescent="0.25">
      <c r="A177" s="19"/>
    </row>
    <row r="178" spans="1:1" ht="14.25" customHeight="1" x14ac:dyDescent="0.25">
      <c r="A178" s="19"/>
    </row>
    <row r="179" spans="1:1" ht="14.25" customHeight="1" x14ac:dyDescent="0.25">
      <c r="A179" s="19"/>
    </row>
    <row r="180" spans="1:1" ht="14.25" customHeight="1" x14ac:dyDescent="0.25">
      <c r="A180" s="19"/>
    </row>
    <row r="181" spans="1:1" ht="14.25" customHeight="1" x14ac:dyDescent="0.25">
      <c r="A181" s="19"/>
    </row>
    <row r="182" spans="1:1" ht="14.25" customHeight="1" x14ac:dyDescent="0.25">
      <c r="A182" s="19"/>
    </row>
    <row r="183" spans="1:1" ht="14.25" customHeight="1" x14ac:dyDescent="0.25">
      <c r="A183" s="19"/>
    </row>
    <row r="184" spans="1:1" ht="14.25" customHeight="1" x14ac:dyDescent="0.25">
      <c r="A184" s="19"/>
    </row>
    <row r="185" spans="1:1" ht="14.25" customHeight="1" x14ac:dyDescent="0.25">
      <c r="A185" s="19"/>
    </row>
    <row r="186" spans="1:1" ht="14.25" customHeight="1" x14ac:dyDescent="0.25">
      <c r="A186" s="19"/>
    </row>
    <row r="187" spans="1:1" ht="14.25" customHeight="1" x14ac:dyDescent="0.25">
      <c r="A187" s="19"/>
    </row>
    <row r="188" spans="1:1" ht="14.25" customHeight="1" x14ac:dyDescent="0.25">
      <c r="A188" s="19"/>
    </row>
    <row r="189" spans="1:1" ht="14.25" customHeight="1" x14ac:dyDescent="0.25">
      <c r="A189" s="19"/>
    </row>
    <row r="190" spans="1:1" ht="14.25" customHeight="1" x14ac:dyDescent="0.25">
      <c r="A190" s="19"/>
    </row>
    <row r="191" spans="1:1" ht="14.25" customHeight="1" x14ac:dyDescent="0.25">
      <c r="A191" s="19"/>
    </row>
    <row r="192" spans="1:1" ht="14.25" customHeight="1" x14ac:dyDescent="0.25">
      <c r="A192" s="19"/>
    </row>
    <row r="193" spans="1:1" ht="14.25" customHeight="1" x14ac:dyDescent="0.25">
      <c r="A193" s="19"/>
    </row>
    <row r="194" spans="1:1" ht="14.25" customHeight="1" x14ac:dyDescent="0.25">
      <c r="A194" s="19"/>
    </row>
    <row r="195" spans="1:1" ht="14.25" customHeight="1" x14ac:dyDescent="0.25">
      <c r="A195" s="19"/>
    </row>
    <row r="196" spans="1:1" ht="14.25" customHeight="1" x14ac:dyDescent="0.25">
      <c r="A196" s="19"/>
    </row>
    <row r="197" spans="1:1" ht="14.25" customHeight="1" x14ac:dyDescent="0.25">
      <c r="A197" s="19"/>
    </row>
    <row r="198" spans="1:1" ht="14.25" customHeight="1" x14ac:dyDescent="0.25">
      <c r="A198" s="19"/>
    </row>
    <row r="199" spans="1:1" ht="14.25" customHeight="1" x14ac:dyDescent="0.25">
      <c r="A199" s="19"/>
    </row>
    <row r="200" spans="1:1" ht="14.25" customHeight="1" x14ac:dyDescent="0.25">
      <c r="A200" s="19"/>
    </row>
    <row r="201" spans="1:1" ht="14.25" customHeight="1" x14ac:dyDescent="0.25">
      <c r="A201" s="19"/>
    </row>
    <row r="202" spans="1:1" ht="14.25" customHeight="1" x14ac:dyDescent="0.25">
      <c r="A202" s="19"/>
    </row>
    <row r="203" spans="1:1" ht="14.25" customHeight="1" x14ac:dyDescent="0.25">
      <c r="A203" s="19"/>
    </row>
    <row r="204" spans="1:1" ht="14.25" customHeight="1" x14ac:dyDescent="0.25">
      <c r="A204" s="19"/>
    </row>
    <row r="205" spans="1:1" ht="14.25" customHeight="1" x14ac:dyDescent="0.25">
      <c r="A205" s="19"/>
    </row>
    <row r="206" spans="1:1" ht="14.25" customHeight="1" x14ac:dyDescent="0.25">
      <c r="A206" s="19"/>
    </row>
    <row r="207" spans="1:1" ht="14.25" customHeight="1" x14ac:dyDescent="0.25">
      <c r="A207" s="19"/>
    </row>
    <row r="208" spans="1:1" ht="14.25" customHeight="1" x14ac:dyDescent="0.25">
      <c r="A208" s="19"/>
    </row>
    <row r="209" spans="1:1" ht="14.25" customHeight="1" x14ac:dyDescent="0.25">
      <c r="A209" s="19"/>
    </row>
    <row r="210" spans="1:1" ht="14.25" customHeight="1" x14ac:dyDescent="0.25">
      <c r="A210" s="19"/>
    </row>
    <row r="211" spans="1:1" ht="14.25" customHeight="1" x14ac:dyDescent="0.25">
      <c r="A211" s="19"/>
    </row>
    <row r="212" spans="1:1" ht="14.25" customHeight="1" x14ac:dyDescent="0.25">
      <c r="A212" s="19"/>
    </row>
    <row r="213" spans="1:1" ht="14.25" customHeight="1" x14ac:dyDescent="0.25">
      <c r="A213" s="19"/>
    </row>
    <row r="214" spans="1:1" ht="14.25" customHeight="1" x14ac:dyDescent="0.25">
      <c r="A214" s="19"/>
    </row>
    <row r="215" spans="1:1" ht="14.25" customHeight="1" x14ac:dyDescent="0.25">
      <c r="A215" s="19"/>
    </row>
    <row r="216" spans="1:1" ht="14.25" customHeight="1" x14ac:dyDescent="0.25">
      <c r="A216" s="19"/>
    </row>
    <row r="217" spans="1:1" ht="14.25" customHeight="1" x14ac:dyDescent="0.25">
      <c r="A217" s="19"/>
    </row>
    <row r="218" spans="1:1" ht="14.25" customHeight="1" x14ac:dyDescent="0.25">
      <c r="A218" s="19"/>
    </row>
    <row r="219" spans="1:1" ht="14.25" customHeight="1" x14ac:dyDescent="0.25">
      <c r="A219" s="19"/>
    </row>
    <row r="220" spans="1:1" ht="14.25" customHeight="1" x14ac:dyDescent="0.25">
      <c r="A220" s="19"/>
    </row>
    <row r="221" spans="1:1" ht="14.25" customHeight="1" x14ac:dyDescent="0.25">
      <c r="A221" s="19"/>
    </row>
    <row r="222" spans="1:1" ht="14.25" customHeight="1" x14ac:dyDescent="0.25">
      <c r="A222" s="19"/>
    </row>
    <row r="223" spans="1:1" ht="14.25" customHeight="1" x14ac:dyDescent="0.25">
      <c r="A223" s="19"/>
    </row>
    <row r="224" spans="1:1" ht="14.25" customHeight="1" x14ac:dyDescent="0.25">
      <c r="A224" s="19"/>
    </row>
    <row r="225" spans="1:1" ht="14.25" customHeight="1" x14ac:dyDescent="0.25">
      <c r="A225" s="19"/>
    </row>
    <row r="226" spans="1:1" ht="14.25" customHeight="1" x14ac:dyDescent="0.25">
      <c r="A226" s="19"/>
    </row>
    <row r="227" spans="1:1" ht="14.25" customHeight="1" x14ac:dyDescent="0.25">
      <c r="A227" s="19"/>
    </row>
    <row r="228" spans="1:1" ht="14.25" customHeight="1" x14ac:dyDescent="0.25">
      <c r="A228" s="19"/>
    </row>
    <row r="229" spans="1:1" ht="14.25" customHeight="1" x14ac:dyDescent="0.25">
      <c r="A229" s="19"/>
    </row>
    <row r="230" spans="1:1" ht="14.25" customHeight="1" x14ac:dyDescent="0.25">
      <c r="A230" s="19"/>
    </row>
    <row r="231" spans="1:1" ht="14.25" customHeight="1" x14ac:dyDescent="0.25">
      <c r="A231" s="19"/>
    </row>
    <row r="232" spans="1:1" ht="14.25" customHeight="1" x14ac:dyDescent="0.25">
      <c r="A232" s="19"/>
    </row>
    <row r="233" spans="1:1" ht="14.25" customHeight="1" x14ac:dyDescent="0.25">
      <c r="A233" s="19"/>
    </row>
    <row r="234" spans="1:1" ht="14.25" customHeight="1" x14ac:dyDescent="0.25">
      <c r="A234" s="19"/>
    </row>
    <row r="235" spans="1:1" ht="14.25" customHeight="1" x14ac:dyDescent="0.25">
      <c r="A235" s="19"/>
    </row>
    <row r="236" spans="1:1" ht="14.25" customHeight="1" x14ac:dyDescent="0.25">
      <c r="A236" s="19"/>
    </row>
    <row r="237" spans="1:1" ht="14.25" customHeight="1" x14ac:dyDescent="0.25">
      <c r="A237" s="19"/>
    </row>
    <row r="238" spans="1:1" ht="14.25" customHeight="1" x14ac:dyDescent="0.25">
      <c r="A238" s="19"/>
    </row>
    <row r="239" spans="1:1" ht="14.25" customHeight="1" x14ac:dyDescent="0.25">
      <c r="A239" s="19"/>
    </row>
    <row r="240" spans="1:1" ht="14.25" customHeight="1" x14ac:dyDescent="0.25">
      <c r="A240" s="19"/>
    </row>
    <row r="241" spans="1:1" ht="14.25" customHeight="1" x14ac:dyDescent="0.25">
      <c r="A241" s="19"/>
    </row>
    <row r="242" spans="1:1" ht="14.25" customHeight="1" x14ac:dyDescent="0.25">
      <c r="A242" s="19"/>
    </row>
    <row r="243" spans="1:1" ht="14.25" customHeight="1" x14ac:dyDescent="0.25">
      <c r="A243" s="19"/>
    </row>
    <row r="244" spans="1:1" ht="14.25" customHeight="1" x14ac:dyDescent="0.25">
      <c r="A244" s="19"/>
    </row>
    <row r="245" spans="1:1" ht="14.25" customHeight="1" x14ac:dyDescent="0.25">
      <c r="A245" s="19"/>
    </row>
    <row r="246" spans="1:1" ht="14.25" customHeight="1" x14ac:dyDescent="0.25">
      <c r="A246" s="19"/>
    </row>
    <row r="247" spans="1:1" ht="14.25" customHeight="1" x14ac:dyDescent="0.25">
      <c r="A247" s="19"/>
    </row>
    <row r="248" spans="1:1" ht="14.25" customHeight="1" x14ac:dyDescent="0.25">
      <c r="A248" s="19"/>
    </row>
    <row r="249" spans="1:1" ht="14.25" customHeight="1" x14ac:dyDescent="0.25">
      <c r="A249" s="19"/>
    </row>
    <row r="250" spans="1:1" ht="14.25" customHeight="1" x14ac:dyDescent="0.25">
      <c r="A250" s="19"/>
    </row>
    <row r="251" spans="1:1" ht="14.25" customHeight="1" x14ac:dyDescent="0.25">
      <c r="A251" s="19"/>
    </row>
    <row r="252" spans="1:1" ht="14.25" customHeight="1" x14ac:dyDescent="0.25">
      <c r="A252" s="19"/>
    </row>
    <row r="253" spans="1:1" ht="14.25" customHeight="1" x14ac:dyDescent="0.25">
      <c r="A253" s="19"/>
    </row>
    <row r="254" spans="1:1" ht="14.25" customHeight="1" x14ac:dyDescent="0.25">
      <c r="A254" s="19"/>
    </row>
    <row r="255" spans="1:1" ht="14.25" customHeight="1" x14ac:dyDescent="0.25">
      <c r="A255" s="19"/>
    </row>
    <row r="256" spans="1:1" ht="14.25" customHeight="1" x14ac:dyDescent="0.25">
      <c r="A256" s="19"/>
    </row>
    <row r="257" spans="1:1" ht="14.25" customHeight="1" x14ac:dyDescent="0.25">
      <c r="A257" s="19"/>
    </row>
    <row r="258" spans="1:1" ht="14.25" customHeight="1" x14ac:dyDescent="0.25">
      <c r="A258" s="19"/>
    </row>
    <row r="259" spans="1:1" ht="14.25" customHeight="1" x14ac:dyDescent="0.25">
      <c r="A259" s="19"/>
    </row>
    <row r="260" spans="1:1" ht="14.25" customHeight="1" x14ac:dyDescent="0.25">
      <c r="A260" s="19"/>
    </row>
    <row r="261" spans="1:1" ht="14.25" customHeight="1" x14ac:dyDescent="0.25">
      <c r="A261" s="19"/>
    </row>
    <row r="262" spans="1:1" ht="14.25" customHeight="1" x14ac:dyDescent="0.25">
      <c r="A262" s="19"/>
    </row>
    <row r="263" spans="1:1" ht="14.25" customHeight="1" x14ac:dyDescent="0.25">
      <c r="A263" s="19"/>
    </row>
    <row r="264" spans="1:1" ht="14.25" customHeight="1" x14ac:dyDescent="0.25">
      <c r="A264" s="19"/>
    </row>
    <row r="265" spans="1:1" ht="14.25" customHeight="1" x14ac:dyDescent="0.25">
      <c r="A265" s="19"/>
    </row>
    <row r="266" spans="1:1" ht="14.25" customHeight="1" x14ac:dyDescent="0.25">
      <c r="A266" s="19"/>
    </row>
    <row r="267" spans="1:1" ht="14.25" customHeight="1" x14ac:dyDescent="0.25">
      <c r="A267" s="19"/>
    </row>
    <row r="268" spans="1:1" ht="14.25" customHeight="1" x14ac:dyDescent="0.25">
      <c r="A268" s="19"/>
    </row>
    <row r="269" spans="1:1" ht="14.25" customHeight="1" x14ac:dyDescent="0.25">
      <c r="A269" s="19"/>
    </row>
    <row r="270" spans="1:1" ht="14.25" customHeight="1" x14ac:dyDescent="0.25">
      <c r="A270" s="19"/>
    </row>
    <row r="271" spans="1:1" ht="14.25" customHeight="1" x14ac:dyDescent="0.25">
      <c r="A271" s="19"/>
    </row>
    <row r="272" spans="1:1" ht="14.25" customHeight="1" x14ac:dyDescent="0.25">
      <c r="A272" s="19"/>
    </row>
    <row r="273" spans="1:1" ht="14.25" customHeight="1" x14ac:dyDescent="0.25">
      <c r="A273" s="19"/>
    </row>
    <row r="274" spans="1:1" ht="14.25" customHeight="1" x14ac:dyDescent="0.25">
      <c r="A274" s="19"/>
    </row>
    <row r="275" spans="1:1" ht="14.25" customHeight="1" x14ac:dyDescent="0.25">
      <c r="A275" s="19"/>
    </row>
    <row r="276" spans="1:1" ht="14.25" customHeight="1" x14ac:dyDescent="0.25">
      <c r="A276" s="19"/>
    </row>
    <row r="277" spans="1:1" ht="14.25" customHeight="1" x14ac:dyDescent="0.25">
      <c r="A277" s="19"/>
    </row>
    <row r="278" spans="1:1" ht="14.25" customHeight="1" x14ac:dyDescent="0.25">
      <c r="A278" s="19"/>
    </row>
    <row r="279" spans="1:1" ht="14.25" customHeight="1" x14ac:dyDescent="0.25">
      <c r="A279" s="19"/>
    </row>
    <row r="280" spans="1:1" ht="14.25" customHeight="1" x14ac:dyDescent="0.25">
      <c r="A280" s="19"/>
    </row>
    <row r="281" spans="1:1" ht="14.25" customHeight="1" x14ac:dyDescent="0.25">
      <c r="A281" s="19"/>
    </row>
    <row r="282" spans="1:1" ht="14.25" customHeight="1" x14ac:dyDescent="0.25">
      <c r="A282" s="19"/>
    </row>
    <row r="283" spans="1:1" ht="14.25" customHeight="1" x14ac:dyDescent="0.25">
      <c r="A283" s="19"/>
    </row>
    <row r="284" spans="1:1" ht="14.25" customHeight="1" x14ac:dyDescent="0.25">
      <c r="A284" s="19"/>
    </row>
    <row r="285" spans="1:1" ht="14.25" customHeight="1" x14ac:dyDescent="0.25">
      <c r="A285" s="19"/>
    </row>
    <row r="286" spans="1:1" ht="14.25" customHeight="1" x14ac:dyDescent="0.25">
      <c r="A286" s="19"/>
    </row>
    <row r="287" spans="1:1" ht="14.25" customHeight="1" x14ac:dyDescent="0.25">
      <c r="A287" s="19"/>
    </row>
    <row r="288" spans="1:1" ht="14.25" customHeight="1" x14ac:dyDescent="0.25">
      <c r="A288" s="19"/>
    </row>
    <row r="289" spans="1:1" ht="14.25" customHeight="1" x14ac:dyDescent="0.25">
      <c r="A289" s="19"/>
    </row>
    <row r="290" spans="1:1" ht="14.25" customHeight="1" x14ac:dyDescent="0.25">
      <c r="A290" s="19"/>
    </row>
    <row r="291" spans="1:1" ht="14.25" customHeight="1" x14ac:dyDescent="0.25">
      <c r="A291" s="19"/>
    </row>
    <row r="292" spans="1:1" ht="14.25" customHeight="1" x14ac:dyDescent="0.25">
      <c r="A292" s="19"/>
    </row>
    <row r="293" spans="1:1" ht="14.25" customHeight="1" x14ac:dyDescent="0.25">
      <c r="A293" s="19"/>
    </row>
    <row r="294" spans="1:1" ht="14.25" customHeight="1" x14ac:dyDescent="0.25">
      <c r="A294" s="19"/>
    </row>
    <row r="295" spans="1:1" ht="14.25" customHeight="1" x14ac:dyDescent="0.25">
      <c r="A295" s="19"/>
    </row>
    <row r="296" spans="1:1" ht="14.25" customHeight="1" x14ac:dyDescent="0.25">
      <c r="A296" s="19"/>
    </row>
    <row r="297" spans="1:1" ht="14.25" customHeight="1" x14ac:dyDescent="0.25">
      <c r="A297" s="19"/>
    </row>
    <row r="298" spans="1:1" ht="14.25" customHeight="1" x14ac:dyDescent="0.25">
      <c r="A298" s="19"/>
    </row>
    <row r="299" spans="1:1" ht="14.25" customHeight="1" x14ac:dyDescent="0.25">
      <c r="A299" s="19"/>
    </row>
    <row r="300" spans="1:1" ht="14.25" customHeight="1" x14ac:dyDescent="0.25">
      <c r="A300" s="19"/>
    </row>
    <row r="301" spans="1:1" ht="14.25" customHeight="1" x14ac:dyDescent="0.25">
      <c r="A301" s="19"/>
    </row>
    <row r="302" spans="1:1" ht="14.25" customHeight="1" x14ac:dyDescent="0.25">
      <c r="A302" s="19"/>
    </row>
    <row r="303" spans="1:1" ht="14.25" customHeight="1" x14ac:dyDescent="0.25">
      <c r="A303" s="19"/>
    </row>
    <row r="304" spans="1:1" ht="14.25" customHeight="1" x14ac:dyDescent="0.25">
      <c r="A304" s="19"/>
    </row>
    <row r="305" spans="1:1" ht="14.25" customHeight="1" x14ac:dyDescent="0.25">
      <c r="A305" s="19"/>
    </row>
    <row r="306" spans="1:1" ht="14.25" customHeight="1" x14ac:dyDescent="0.25">
      <c r="A306" s="19"/>
    </row>
    <row r="307" spans="1:1" ht="14.25" customHeight="1" x14ac:dyDescent="0.25">
      <c r="A307" s="19"/>
    </row>
    <row r="308" spans="1:1" ht="14.25" customHeight="1" x14ac:dyDescent="0.25">
      <c r="A308" s="19"/>
    </row>
    <row r="309" spans="1:1" ht="14.25" customHeight="1" x14ac:dyDescent="0.25">
      <c r="A309" s="19"/>
    </row>
    <row r="310" spans="1:1" ht="14.25" customHeight="1" x14ac:dyDescent="0.25">
      <c r="A310" s="19"/>
    </row>
    <row r="311" spans="1:1" ht="14.25" customHeight="1" x14ac:dyDescent="0.25">
      <c r="A311" s="19"/>
    </row>
    <row r="312" spans="1:1" ht="14.25" customHeight="1" x14ac:dyDescent="0.25">
      <c r="A312" s="19"/>
    </row>
    <row r="313" spans="1:1" ht="14.25" customHeight="1" x14ac:dyDescent="0.25">
      <c r="A313" s="19"/>
    </row>
    <row r="314" spans="1:1" ht="14.25" customHeight="1" x14ac:dyDescent="0.25">
      <c r="A314" s="19"/>
    </row>
    <row r="315" spans="1:1" ht="14.25" customHeight="1" x14ac:dyDescent="0.25">
      <c r="A315" s="19"/>
    </row>
    <row r="316" spans="1:1" ht="14.25" customHeight="1" x14ac:dyDescent="0.25">
      <c r="A316" s="19"/>
    </row>
    <row r="317" spans="1:1" ht="14.25" customHeight="1" x14ac:dyDescent="0.25">
      <c r="A317" s="19"/>
    </row>
    <row r="318" spans="1:1" ht="14.25" customHeight="1" x14ac:dyDescent="0.25">
      <c r="A318" s="19"/>
    </row>
    <row r="319" spans="1:1" ht="14.25" customHeight="1" x14ac:dyDescent="0.25">
      <c r="A319" s="19"/>
    </row>
    <row r="320" spans="1:1" ht="14.25" customHeight="1" x14ac:dyDescent="0.25">
      <c r="A320" s="19"/>
    </row>
    <row r="321" spans="1:1" ht="14.25" customHeight="1" x14ac:dyDescent="0.25">
      <c r="A321" s="19"/>
    </row>
    <row r="322" spans="1:1" ht="14.25" customHeight="1" x14ac:dyDescent="0.25">
      <c r="A322" s="19"/>
    </row>
    <row r="323" spans="1:1" ht="14.25" customHeight="1" x14ac:dyDescent="0.25">
      <c r="A323" s="19"/>
    </row>
    <row r="324" spans="1:1" ht="14.25" customHeight="1" x14ac:dyDescent="0.25">
      <c r="A324" s="19"/>
    </row>
    <row r="325" spans="1:1" ht="14.25" customHeight="1" x14ac:dyDescent="0.25">
      <c r="A325" s="19"/>
    </row>
    <row r="326" spans="1:1" ht="14.25" customHeight="1" x14ac:dyDescent="0.25">
      <c r="A326" s="19"/>
    </row>
    <row r="327" spans="1:1" ht="14.25" customHeight="1" x14ac:dyDescent="0.25">
      <c r="A327" s="19"/>
    </row>
    <row r="328" spans="1:1" ht="14.25" customHeight="1" x14ac:dyDescent="0.25">
      <c r="A328" s="19"/>
    </row>
    <row r="329" spans="1:1" ht="14.25" customHeight="1" x14ac:dyDescent="0.25">
      <c r="A329" s="19"/>
    </row>
    <row r="330" spans="1:1" ht="14.25" customHeight="1" x14ac:dyDescent="0.25">
      <c r="A330" s="19"/>
    </row>
    <row r="331" spans="1:1" ht="14.25" customHeight="1" x14ac:dyDescent="0.25">
      <c r="A331" s="19"/>
    </row>
    <row r="332" spans="1:1" ht="14.25" customHeight="1" x14ac:dyDescent="0.25">
      <c r="A332" s="19"/>
    </row>
    <row r="333" spans="1:1" ht="14.25" customHeight="1" x14ac:dyDescent="0.25">
      <c r="A333" s="19"/>
    </row>
    <row r="334" spans="1:1" ht="14.25" customHeight="1" x14ac:dyDescent="0.25">
      <c r="A334" s="19"/>
    </row>
    <row r="335" spans="1:1" ht="14.25" customHeight="1" x14ac:dyDescent="0.25">
      <c r="A335" s="19"/>
    </row>
    <row r="336" spans="1:1" ht="14.25" customHeight="1" x14ac:dyDescent="0.25">
      <c r="A336" s="19"/>
    </row>
    <row r="337" spans="1:1" ht="14.25" customHeight="1" x14ac:dyDescent="0.25">
      <c r="A337" s="19"/>
    </row>
    <row r="338" spans="1:1" ht="14.25" customHeight="1" x14ac:dyDescent="0.25">
      <c r="A338" s="19"/>
    </row>
    <row r="339" spans="1:1" ht="14.25" customHeight="1" x14ac:dyDescent="0.25">
      <c r="A339" s="19"/>
    </row>
    <row r="340" spans="1:1" ht="14.25" customHeight="1" x14ac:dyDescent="0.25">
      <c r="A340" s="19"/>
    </row>
    <row r="341" spans="1:1" ht="14.25" customHeight="1" x14ac:dyDescent="0.25">
      <c r="A341" s="19"/>
    </row>
    <row r="342" spans="1:1" ht="14.25" customHeight="1" x14ac:dyDescent="0.25">
      <c r="A342" s="19"/>
    </row>
    <row r="343" spans="1:1" ht="14.25" customHeight="1" x14ac:dyDescent="0.25">
      <c r="A343" s="19"/>
    </row>
    <row r="344" spans="1:1" ht="14.25" customHeight="1" x14ac:dyDescent="0.25">
      <c r="A344" s="19"/>
    </row>
    <row r="345" spans="1:1" ht="14.25" customHeight="1" x14ac:dyDescent="0.25">
      <c r="A345" s="19"/>
    </row>
    <row r="346" spans="1:1" ht="14.25" customHeight="1" x14ac:dyDescent="0.25">
      <c r="A346" s="19"/>
    </row>
    <row r="347" spans="1:1" ht="14.25" customHeight="1" x14ac:dyDescent="0.25">
      <c r="A347" s="19"/>
    </row>
    <row r="348" spans="1:1" ht="14.25" customHeight="1" x14ac:dyDescent="0.25">
      <c r="A348" s="19"/>
    </row>
    <row r="349" spans="1:1" ht="14.25" customHeight="1" x14ac:dyDescent="0.25">
      <c r="A349" s="19"/>
    </row>
    <row r="350" spans="1:1" ht="14.25" customHeight="1" x14ac:dyDescent="0.25">
      <c r="A350" s="19"/>
    </row>
    <row r="351" spans="1:1" ht="14.25" customHeight="1" x14ac:dyDescent="0.25">
      <c r="A351" s="19"/>
    </row>
    <row r="352" spans="1:1" ht="14.25" customHeight="1" x14ac:dyDescent="0.25">
      <c r="A352" s="19"/>
    </row>
    <row r="353" spans="1:1" ht="14.25" customHeight="1" x14ac:dyDescent="0.25">
      <c r="A353" s="19"/>
    </row>
    <row r="354" spans="1:1" ht="14.25" customHeight="1" x14ac:dyDescent="0.25">
      <c r="A354" s="19"/>
    </row>
    <row r="355" spans="1:1" ht="14.25" customHeight="1" x14ac:dyDescent="0.25">
      <c r="A355" s="19"/>
    </row>
    <row r="356" spans="1:1" ht="14.25" customHeight="1" x14ac:dyDescent="0.25">
      <c r="A356" s="19"/>
    </row>
    <row r="357" spans="1:1" ht="14.25" customHeight="1" x14ac:dyDescent="0.25">
      <c r="A357" s="19"/>
    </row>
    <row r="358" spans="1:1" ht="14.25" customHeight="1" x14ac:dyDescent="0.25">
      <c r="A358" s="19"/>
    </row>
    <row r="359" spans="1:1" ht="14.25" customHeight="1" x14ac:dyDescent="0.25">
      <c r="A359" s="19"/>
    </row>
    <row r="360" spans="1:1" ht="14.25" customHeight="1" x14ac:dyDescent="0.25">
      <c r="A360" s="19"/>
    </row>
    <row r="361" spans="1:1" ht="14.25" customHeight="1" x14ac:dyDescent="0.25">
      <c r="A361" s="19"/>
    </row>
    <row r="362" spans="1:1" ht="14.25" customHeight="1" x14ac:dyDescent="0.25">
      <c r="A362" s="19"/>
    </row>
    <row r="363" spans="1:1" ht="14.25" customHeight="1" x14ac:dyDescent="0.25">
      <c r="A363" s="19"/>
    </row>
    <row r="364" spans="1:1" ht="14.25" customHeight="1" x14ac:dyDescent="0.25">
      <c r="A364" s="19"/>
    </row>
    <row r="365" spans="1:1" ht="14.25" customHeight="1" x14ac:dyDescent="0.25">
      <c r="A365" s="19"/>
    </row>
    <row r="366" spans="1:1" ht="14.25" customHeight="1" x14ac:dyDescent="0.25">
      <c r="A366" s="19"/>
    </row>
    <row r="367" spans="1:1" ht="14.25" customHeight="1" x14ac:dyDescent="0.25">
      <c r="A367" s="19"/>
    </row>
    <row r="368" spans="1:1" ht="14.25" customHeight="1" x14ac:dyDescent="0.25">
      <c r="A368" s="19"/>
    </row>
    <row r="369" spans="1:1" ht="14.25" customHeight="1" x14ac:dyDescent="0.25">
      <c r="A369" s="19"/>
    </row>
    <row r="370" spans="1:1" ht="14.25" customHeight="1" x14ac:dyDescent="0.25">
      <c r="A370" s="19"/>
    </row>
    <row r="371" spans="1:1" ht="14.25" customHeight="1" x14ac:dyDescent="0.25">
      <c r="A371" s="19"/>
    </row>
    <row r="372" spans="1:1" ht="14.25" customHeight="1" x14ac:dyDescent="0.25">
      <c r="A372" s="19"/>
    </row>
    <row r="373" spans="1:1" ht="14.25" customHeight="1" x14ac:dyDescent="0.25">
      <c r="A373" s="19"/>
    </row>
    <row r="374" spans="1:1" ht="14.25" customHeight="1" x14ac:dyDescent="0.25">
      <c r="A374" s="19"/>
    </row>
    <row r="375" spans="1:1" ht="14.25" customHeight="1" x14ac:dyDescent="0.25">
      <c r="A375" s="19"/>
    </row>
    <row r="376" spans="1:1" ht="14.25" customHeight="1" x14ac:dyDescent="0.25">
      <c r="A376" s="19"/>
    </row>
    <row r="377" spans="1:1" ht="14.25" customHeight="1" x14ac:dyDescent="0.25">
      <c r="A377" s="19"/>
    </row>
    <row r="378" spans="1:1" ht="14.25" customHeight="1" x14ac:dyDescent="0.25">
      <c r="A378" s="19"/>
    </row>
    <row r="379" spans="1:1" ht="14.25" customHeight="1" x14ac:dyDescent="0.25">
      <c r="A379" s="19"/>
    </row>
    <row r="380" spans="1:1" ht="14.25" customHeight="1" x14ac:dyDescent="0.25">
      <c r="A380" s="19"/>
    </row>
    <row r="381" spans="1:1" ht="14.25" customHeight="1" x14ac:dyDescent="0.25">
      <c r="A381" s="19"/>
    </row>
    <row r="382" spans="1:1" ht="14.25" customHeight="1" x14ac:dyDescent="0.25">
      <c r="A382" s="19"/>
    </row>
    <row r="383" spans="1:1" ht="14.25" customHeight="1" x14ac:dyDescent="0.25">
      <c r="A383" s="19"/>
    </row>
    <row r="384" spans="1:1" ht="14.25" customHeight="1" x14ac:dyDescent="0.25">
      <c r="A384" s="19"/>
    </row>
    <row r="385" spans="1:1" ht="14.25" customHeight="1" x14ac:dyDescent="0.25">
      <c r="A385" s="19"/>
    </row>
    <row r="386" spans="1:1" ht="14.25" customHeight="1" x14ac:dyDescent="0.25">
      <c r="A386" s="19"/>
    </row>
    <row r="387" spans="1:1" ht="14.25" customHeight="1" x14ac:dyDescent="0.25">
      <c r="A387" s="19"/>
    </row>
    <row r="388" spans="1:1" ht="14.25" customHeight="1" x14ac:dyDescent="0.25">
      <c r="A388" s="19"/>
    </row>
    <row r="389" spans="1:1" ht="14.25" customHeight="1" x14ac:dyDescent="0.25">
      <c r="A389" s="19"/>
    </row>
    <row r="390" spans="1:1" ht="14.25" customHeight="1" x14ac:dyDescent="0.25">
      <c r="A390" s="19"/>
    </row>
    <row r="391" spans="1:1" ht="14.25" customHeight="1" x14ac:dyDescent="0.25">
      <c r="A391" s="19"/>
    </row>
    <row r="392" spans="1:1" ht="14.25" customHeight="1" x14ac:dyDescent="0.25">
      <c r="A392" s="19"/>
    </row>
    <row r="393" spans="1:1" ht="14.25" customHeight="1" x14ac:dyDescent="0.25">
      <c r="A393" s="19"/>
    </row>
    <row r="394" spans="1:1" ht="14.25" customHeight="1" x14ac:dyDescent="0.25">
      <c r="A394" s="19"/>
    </row>
    <row r="395" spans="1:1" ht="14.25" customHeight="1" x14ac:dyDescent="0.25">
      <c r="A395" s="19"/>
    </row>
    <row r="396" spans="1:1" ht="14.25" customHeight="1" x14ac:dyDescent="0.25">
      <c r="A396" s="19"/>
    </row>
    <row r="397" spans="1:1" ht="14.25" customHeight="1" x14ac:dyDescent="0.25">
      <c r="A397" s="19"/>
    </row>
    <row r="398" spans="1:1" ht="14.25" customHeight="1" x14ac:dyDescent="0.25">
      <c r="A398" s="19"/>
    </row>
    <row r="399" spans="1:1" ht="14.25" customHeight="1" x14ac:dyDescent="0.25">
      <c r="A399" s="19"/>
    </row>
    <row r="400" spans="1:1" ht="14.25" customHeight="1" x14ac:dyDescent="0.25">
      <c r="A400" s="19"/>
    </row>
    <row r="401" spans="1:1" ht="14.25" customHeight="1" x14ac:dyDescent="0.25">
      <c r="A401" s="19"/>
    </row>
    <row r="402" spans="1:1" ht="14.25" customHeight="1" x14ac:dyDescent="0.25">
      <c r="A402" s="19"/>
    </row>
    <row r="403" spans="1:1" ht="14.25" customHeight="1" x14ac:dyDescent="0.25">
      <c r="A403" s="19"/>
    </row>
    <row r="404" spans="1:1" ht="14.25" customHeight="1" x14ac:dyDescent="0.25">
      <c r="A404" s="19"/>
    </row>
    <row r="405" spans="1:1" ht="14.25" customHeight="1" x14ac:dyDescent="0.25">
      <c r="A405" s="19"/>
    </row>
    <row r="406" spans="1:1" ht="14.25" customHeight="1" x14ac:dyDescent="0.25">
      <c r="A406" s="19"/>
    </row>
    <row r="407" spans="1:1" ht="14.25" customHeight="1" x14ac:dyDescent="0.25">
      <c r="A407" s="19"/>
    </row>
    <row r="408" spans="1:1" ht="14.25" customHeight="1" x14ac:dyDescent="0.25">
      <c r="A408" s="19"/>
    </row>
    <row r="409" spans="1:1" ht="14.25" customHeight="1" x14ac:dyDescent="0.25">
      <c r="A409" s="19"/>
    </row>
    <row r="410" spans="1:1" ht="14.25" customHeight="1" x14ac:dyDescent="0.25">
      <c r="A410" s="19"/>
    </row>
    <row r="411" spans="1:1" ht="14.25" customHeight="1" x14ac:dyDescent="0.25">
      <c r="A411" s="19"/>
    </row>
    <row r="412" spans="1:1" ht="14.25" customHeight="1" x14ac:dyDescent="0.25">
      <c r="A412" s="19"/>
    </row>
    <row r="413" spans="1:1" ht="14.25" customHeight="1" x14ac:dyDescent="0.25">
      <c r="A413" s="19"/>
    </row>
    <row r="414" spans="1:1" ht="14.25" customHeight="1" x14ac:dyDescent="0.25">
      <c r="A414" s="19"/>
    </row>
    <row r="415" spans="1:1" ht="14.25" customHeight="1" x14ac:dyDescent="0.25">
      <c r="A415" s="19"/>
    </row>
    <row r="416" spans="1:1" ht="14.25" customHeight="1" x14ac:dyDescent="0.25">
      <c r="A416" s="19"/>
    </row>
    <row r="417" spans="1:1" ht="14.25" customHeight="1" x14ac:dyDescent="0.25">
      <c r="A417" s="19"/>
    </row>
    <row r="418" spans="1:1" ht="14.25" customHeight="1" x14ac:dyDescent="0.25">
      <c r="A418" s="19"/>
    </row>
    <row r="419" spans="1:1" ht="14.25" customHeight="1" x14ac:dyDescent="0.25">
      <c r="A419" s="19"/>
    </row>
    <row r="420" spans="1:1" ht="14.25" customHeight="1" x14ac:dyDescent="0.25">
      <c r="A420" s="19"/>
    </row>
    <row r="421" spans="1:1" ht="14.25" customHeight="1" x14ac:dyDescent="0.25">
      <c r="A421" s="19"/>
    </row>
    <row r="422" spans="1:1" ht="14.25" customHeight="1" x14ac:dyDescent="0.25">
      <c r="A422" s="19"/>
    </row>
    <row r="423" spans="1:1" ht="14.25" customHeight="1" x14ac:dyDescent="0.25">
      <c r="A423" s="19"/>
    </row>
    <row r="424" spans="1:1" ht="14.25" customHeight="1" x14ac:dyDescent="0.25">
      <c r="A424" s="19"/>
    </row>
    <row r="425" spans="1:1" ht="14.25" customHeight="1" x14ac:dyDescent="0.25">
      <c r="A425" s="19"/>
    </row>
    <row r="426" spans="1:1" ht="14.25" customHeight="1" x14ac:dyDescent="0.25">
      <c r="A426" s="19"/>
    </row>
    <row r="427" spans="1:1" ht="14.25" customHeight="1" x14ac:dyDescent="0.25">
      <c r="A427" s="19"/>
    </row>
    <row r="428" spans="1:1" ht="14.25" customHeight="1" x14ac:dyDescent="0.25">
      <c r="A428" s="19"/>
    </row>
    <row r="429" spans="1:1" ht="14.25" customHeight="1" x14ac:dyDescent="0.25">
      <c r="A429" s="19"/>
    </row>
    <row r="430" spans="1:1" ht="14.25" customHeight="1" x14ac:dyDescent="0.25">
      <c r="A430" s="19"/>
    </row>
    <row r="431" spans="1:1" ht="14.25" customHeight="1" x14ac:dyDescent="0.25">
      <c r="A431" s="19"/>
    </row>
    <row r="432" spans="1:1" ht="14.25" customHeight="1" x14ac:dyDescent="0.25">
      <c r="A432" s="19"/>
    </row>
    <row r="433" spans="1:1" ht="14.25" customHeight="1" x14ac:dyDescent="0.25">
      <c r="A433" s="19"/>
    </row>
    <row r="434" spans="1:1" ht="14.25" customHeight="1" x14ac:dyDescent="0.25">
      <c r="A434" s="19"/>
    </row>
    <row r="435" spans="1:1" ht="14.25" customHeight="1" x14ac:dyDescent="0.25">
      <c r="A435" s="19"/>
    </row>
    <row r="436" spans="1:1" ht="14.25" customHeight="1" x14ac:dyDescent="0.25">
      <c r="A436" s="19"/>
    </row>
    <row r="437" spans="1:1" ht="14.25" customHeight="1" x14ac:dyDescent="0.25">
      <c r="A437" s="19"/>
    </row>
    <row r="438" spans="1:1" ht="14.25" customHeight="1" x14ac:dyDescent="0.25">
      <c r="A438" s="19"/>
    </row>
    <row r="439" spans="1:1" ht="14.25" customHeight="1" x14ac:dyDescent="0.25">
      <c r="A439" s="19"/>
    </row>
    <row r="440" spans="1:1" ht="14.25" customHeight="1" x14ac:dyDescent="0.25">
      <c r="A440" s="19"/>
    </row>
    <row r="441" spans="1:1" ht="14.25" customHeight="1" x14ac:dyDescent="0.25">
      <c r="A441" s="19"/>
    </row>
    <row r="442" spans="1:1" ht="14.25" customHeight="1" x14ac:dyDescent="0.25">
      <c r="A442" s="19"/>
    </row>
    <row r="443" spans="1:1" ht="14.25" customHeight="1" x14ac:dyDescent="0.25">
      <c r="A443" s="19"/>
    </row>
    <row r="444" spans="1:1" ht="14.25" customHeight="1" x14ac:dyDescent="0.25">
      <c r="A444" s="19"/>
    </row>
    <row r="445" spans="1:1" ht="14.25" customHeight="1" x14ac:dyDescent="0.25">
      <c r="A445" s="19"/>
    </row>
    <row r="446" spans="1:1" ht="14.25" customHeight="1" x14ac:dyDescent="0.25">
      <c r="A446" s="19"/>
    </row>
    <row r="447" spans="1:1" ht="14.25" customHeight="1" x14ac:dyDescent="0.25">
      <c r="A447" s="19"/>
    </row>
    <row r="448" spans="1:1" ht="14.25" customHeight="1" x14ac:dyDescent="0.25">
      <c r="A448" s="19"/>
    </row>
    <row r="449" spans="1:1" ht="14.25" customHeight="1" x14ac:dyDescent="0.25">
      <c r="A449" s="19"/>
    </row>
    <row r="450" spans="1:1" ht="14.25" customHeight="1" x14ac:dyDescent="0.25">
      <c r="A450" s="19"/>
    </row>
    <row r="451" spans="1:1" ht="14.25" customHeight="1" x14ac:dyDescent="0.25">
      <c r="A451" s="19"/>
    </row>
    <row r="452" spans="1:1" ht="14.25" customHeight="1" x14ac:dyDescent="0.25">
      <c r="A452" s="19"/>
    </row>
    <row r="453" spans="1:1" ht="14.25" customHeight="1" x14ac:dyDescent="0.25">
      <c r="A453" s="19"/>
    </row>
    <row r="454" spans="1:1" ht="14.25" customHeight="1" x14ac:dyDescent="0.25">
      <c r="A454" s="19"/>
    </row>
    <row r="455" spans="1:1" ht="14.25" customHeight="1" x14ac:dyDescent="0.25">
      <c r="A455" s="19"/>
    </row>
    <row r="456" spans="1:1" ht="14.25" customHeight="1" x14ac:dyDescent="0.25">
      <c r="A456" s="19"/>
    </row>
    <row r="457" spans="1:1" ht="14.25" customHeight="1" x14ac:dyDescent="0.25">
      <c r="A457" s="19"/>
    </row>
    <row r="458" spans="1:1" ht="14.25" customHeight="1" x14ac:dyDescent="0.25">
      <c r="A458" s="19"/>
    </row>
    <row r="459" spans="1:1" ht="14.25" customHeight="1" x14ac:dyDescent="0.25">
      <c r="A459" s="19"/>
    </row>
    <row r="460" spans="1:1" ht="14.25" customHeight="1" x14ac:dyDescent="0.25">
      <c r="A460" s="19"/>
    </row>
    <row r="461" spans="1:1" ht="14.25" customHeight="1" x14ac:dyDescent="0.25">
      <c r="A461" s="19"/>
    </row>
    <row r="462" spans="1:1" ht="14.25" customHeight="1" x14ac:dyDescent="0.25">
      <c r="A462" s="19"/>
    </row>
    <row r="463" spans="1:1" ht="14.25" customHeight="1" x14ac:dyDescent="0.25">
      <c r="A463" s="19"/>
    </row>
    <row r="464" spans="1:1" ht="14.25" customHeight="1" x14ac:dyDescent="0.25">
      <c r="A464" s="19"/>
    </row>
    <row r="465" spans="1:1" ht="14.25" customHeight="1" x14ac:dyDescent="0.25">
      <c r="A465" s="19"/>
    </row>
    <row r="466" spans="1:1" ht="14.25" customHeight="1" x14ac:dyDescent="0.25">
      <c r="A466" s="19"/>
    </row>
    <row r="467" spans="1:1" ht="14.25" customHeight="1" x14ac:dyDescent="0.25">
      <c r="A467" s="19"/>
    </row>
    <row r="468" spans="1:1" ht="14.25" customHeight="1" x14ac:dyDescent="0.25">
      <c r="A468" s="19"/>
    </row>
    <row r="469" spans="1:1" ht="14.25" customHeight="1" x14ac:dyDescent="0.25">
      <c r="A469" s="19"/>
    </row>
    <row r="470" spans="1:1" ht="14.25" customHeight="1" x14ac:dyDescent="0.25">
      <c r="A470" s="19"/>
    </row>
    <row r="471" spans="1:1" ht="14.25" customHeight="1" x14ac:dyDescent="0.25">
      <c r="A471" s="19"/>
    </row>
    <row r="472" spans="1:1" ht="14.25" customHeight="1" x14ac:dyDescent="0.25">
      <c r="A472" s="19"/>
    </row>
    <row r="473" spans="1:1" ht="14.25" customHeight="1" x14ac:dyDescent="0.25">
      <c r="A473" s="19"/>
    </row>
    <row r="474" spans="1:1" ht="14.25" customHeight="1" x14ac:dyDescent="0.25">
      <c r="A474" s="19"/>
    </row>
    <row r="475" spans="1:1" ht="14.25" customHeight="1" x14ac:dyDescent="0.25">
      <c r="A475" s="19"/>
    </row>
    <row r="476" spans="1:1" ht="14.25" customHeight="1" x14ac:dyDescent="0.25">
      <c r="A476" s="19"/>
    </row>
    <row r="477" spans="1:1" ht="14.25" customHeight="1" x14ac:dyDescent="0.25">
      <c r="A477" s="19"/>
    </row>
    <row r="478" spans="1:1" ht="14.25" customHeight="1" x14ac:dyDescent="0.25">
      <c r="A478" s="19"/>
    </row>
    <row r="479" spans="1:1" ht="14.25" customHeight="1" x14ac:dyDescent="0.25">
      <c r="A479" s="19"/>
    </row>
    <row r="480" spans="1:1" ht="14.25" customHeight="1" x14ac:dyDescent="0.25">
      <c r="A480" s="19"/>
    </row>
    <row r="481" spans="1:1" ht="14.25" customHeight="1" x14ac:dyDescent="0.25">
      <c r="A481" s="19"/>
    </row>
    <row r="482" spans="1:1" ht="14.25" customHeight="1" x14ac:dyDescent="0.25">
      <c r="A482" s="19"/>
    </row>
    <row r="483" spans="1:1" ht="14.25" customHeight="1" x14ac:dyDescent="0.25">
      <c r="A483" s="19"/>
    </row>
    <row r="484" spans="1:1" ht="14.25" customHeight="1" x14ac:dyDescent="0.25">
      <c r="A484" s="19"/>
    </row>
    <row r="485" spans="1:1" ht="14.25" customHeight="1" x14ac:dyDescent="0.25">
      <c r="A485" s="19"/>
    </row>
    <row r="486" spans="1:1" ht="14.25" customHeight="1" x14ac:dyDescent="0.25">
      <c r="A486" s="19"/>
    </row>
    <row r="487" spans="1:1" ht="14.25" customHeight="1" x14ac:dyDescent="0.25">
      <c r="A487" s="19"/>
    </row>
    <row r="488" spans="1:1" ht="14.25" customHeight="1" x14ac:dyDescent="0.25">
      <c r="A488" s="19"/>
    </row>
    <row r="489" spans="1:1" ht="14.25" customHeight="1" x14ac:dyDescent="0.25">
      <c r="A489" s="19"/>
    </row>
    <row r="490" spans="1:1" ht="14.25" customHeight="1" x14ac:dyDescent="0.25">
      <c r="A490" s="19"/>
    </row>
    <row r="491" spans="1:1" ht="14.25" customHeight="1" x14ac:dyDescent="0.25">
      <c r="A491" s="19"/>
    </row>
    <row r="492" spans="1:1" ht="14.25" customHeight="1" x14ac:dyDescent="0.25">
      <c r="A492" s="19"/>
    </row>
    <row r="493" spans="1:1" ht="14.25" customHeight="1" x14ac:dyDescent="0.25">
      <c r="A493" s="19"/>
    </row>
    <row r="494" spans="1:1" ht="14.25" customHeight="1" x14ac:dyDescent="0.25">
      <c r="A494" s="19"/>
    </row>
    <row r="495" spans="1:1" ht="14.25" customHeight="1" x14ac:dyDescent="0.25">
      <c r="A495" s="19"/>
    </row>
    <row r="496" spans="1:1" ht="14.25" customHeight="1" x14ac:dyDescent="0.25">
      <c r="A496" s="19"/>
    </row>
    <row r="497" spans="1:1" ht="14.25" customHeight="1" x14ac:dyDescent="0.25">
      <c r="A497" s="19"/>
    </row>
    <row r="498" spans="1:1" ht="14.25" customHeight="1" x14ac:dyDescent="0.25">
      <c r="A498" s="19"/>
    </row>
    <row r="499" spans="1:1" ht="14.25" customHeight="1" x14ac:dyDescent="0.25">
      <c r="A499" s="19"/>
    </row>
    <row r="500" spans="1:1" ht="14.25" customHeight="1" x14ac:dyDescent="0.25">
      <c r="A500" s="19"/>
    </row>
    <row r="501" spans="1:1" ht="14.25" customHeight="1" x14ac:dyDescent="0.25">
      <c r="A501" s="19"/>
    </row>
    <row r="502" spans="1:1" ht="14.25" customHeight="1" x14ac:dyDescent="0.25">
      <c r="A502" s="19"/>
    </row>
    <row r="503" spans="1:1" ht="14.25" customHeight="1" x14ac:dyDescent="0.25">
      <c r="A503" s="19"/>
    </row>
    <row r="504" spans="1:1" ht="14.25" customHeight="1" x14ac:dyDescent="0.25">
      <c r="A504" s="19"/>
    </row>
    <row r="505" spans="1:1" ht="14.25" customHeight="1" x14ac:dyDescent="0.25">
      <c r="A505" s="19"/>
    </row>
    <row r="506" spans="1:1" ht="14.25" customHeight="1" x14ac:dyDescent="0.25">
      <c r="A506" s="19"/>
    </row>
    <row r="507" spans="1:1" ht="14.25" customHeight="1" x14ac:dyDescent="0.25">
      <c r="A507" s="19"/>
    </row>
    <row r="508" spans="1:1" ht="14.25" customHeight="1" x14ac:dyDescent="0.25">
      <c r="A508" s="19"/>
    </row>
    <row r="509" spans="1:1" ht="14.25" customHeight="1" x14ac:dyDescent="0.25">
      <c r="A509" s="19"/>
    </row>
    <row r="510" spans="1:1" ht="14.25" customHeight="1" x14ac:dyDescent="0.25">
      <c r="A510" s="19"/>
    </row>
    <row r="511" spans="1:1" ht="14.25" customHeight="1" x14ac:dyDescent="0.25">
      <c r="A511" s="19"/>
    </row>
    <row r="512" spans="1:1" ht="14.25" customHeight="1" x14ac:dyDescent="0.25">
      <c r="A512" s="19"/>
    </row>
    <row r="513" spans="1:1" ht="14.25" customHeight="1" x14ac:dyDescent="0.25">
      <c r="A513" s="19"/>
    </row>
    <row r="514" spans="1:1" ht="14.25" customHeight="1" x14ac:dyDescent="0.25">
      <c r="A514" s="19"/>
    </row>
    <row r="515" spans="1:1" ht="14.25" customHeight="1" x14ac:dyDescent="0.25">
      <c r="A515" s="19"/>
    </row>
    <row r="516" spans="1:1" ht="14.25" customHeight="1" x14ac:dyDescent="0.25">
      <c r="A516" s="19"/>
    </row>
    <row r="517" spans="1:1" ht="14.25" customHeight="1" x14ac:dyDescent="0.25">
      <c r="A517" s="19"/>
    </row>
    <row r="518" spans="1:1" ht="14.25" customHeight="1" x14ac:dyDescent="0.25">
      <c r="A518" s="19"/>
    </row>
    <row r="519" spans="1:1" ht="14.25" customHeight="1" x14ac:dyDescent="0.25">
      <c r="A519" s="19"/>
    </row>
    <row r="520" spans="1:1" ht="14.25" customHeight="1" x14ac:dyDescent="0.25">
      <c r="A520" s="19"/>
    </row>
    <row r="521" spans="1:1" ht="14.25" customHeight="1" x14ac:dyDescent="0.25">
      <c r="A521" s="19"/>
    </row>
    <row r="522" spans="1:1" ht="14.25" customHeight="1" x14ac:dyDescent="0.25">
      <c r="A522" s="19"/>
    </row>
    <row r="523" spans="1:1" ht="14.25" customHeight="1" x14ac:dyDescent="0.25">
      <c r="A523" s="19"/>
    </row>
    <row r="524" spans="1:1" ht="14.25" customHeight="1" x14ac:dyDescent="0.25">
      <c r="A524" s="19"/>
    </row>
    <row r="525" spans="1:1" ht="14.25" customHeight="1" x14ac:dyDescent="0.25">
      <c r="A525" s="19"/>
    </row>
    <row r="526" spans="1:1" ht="14.25" customHeight="1" x14ac:dyDescent="0.25">
      <c r="A526" s="19"/>
    </row>
    <row r="527" spans="1:1" ht="14.25" customHeight="1" x14ac:dyDescent="0.25">
      <c r="A527" s="19"/>
    </row>
    <row r="528" spans="1:1" ht="14.25" customHeight="1" x14ac:dyDescent="0.25">
      <c r="A528" s="19"/>
    </row>
    <row r="529" spans="1:1" ht="14.25" customHeight="1" x14ac:dyDescent="0.25">
      <c r="A529" s="19"/>
    </row>
    <row r="530" spans="1:1" ht="14.25" customHeight="1" x14ac:dyDescent="0.25">
      <c r="A530" s="19"/>
    </row>
    <row r="531" spans="1:1" ht="14.25" customHeight="1" x14ac:dyDescent="0.25">
      <c r="A531" s="19"/>
    </row>
    <row r="532" spans="1:1" ht="14.25" customHeight="1" x14ac:dyDescent="0.25">
      <c r="A532" s="19"/>
    </row>
    <row r="533" spans="1:1" ht="14.25" customHeight="1" x14ac:dyDescent="0.25">
      <c r="A533" s="19"/>
    </row>
    <row r="534" spans="1:1" ht="14.25" customHeight="1" x14ac:dyDescent="0.25">
      <c r="A534" s="19"/>
    </row>
    <row r="535" spans="1:1" ht="14.25" customHeight="1" x14ac:dyDescent="0.25">
      <c r="A535" s="19"/>
    </row>
    <row r="536" spans="1:1" ht="14.25" customHeight="1" x14ac:dyDescent="0.25">
      <c r="A536" s="19"/>
    </row>
    <row r="537" spans="1:1" ht="14.25" customHeight="1" x14ac:dyDescent="0.25">
      <c r="A537" s="19"/>
    </row>
    <row r="538" spans="1:1" ht="14.25" customHeight="1" x14ac:dyDescent="0.25">
      <c r="A538" s="19"/>
    </row>
    <row r="539" spans="1:1" ht="14.25" customHeight="1" x14ac:dyDescent="0.25">
      <c r="A539" s="19"/>
    </row>
    <row r="540" spans="1:1" ht="14.25" customHeight="1" x14ac:dyDescent="0.25">
      <c r="A540" s="19"/>
    </row>
    <row r="541" spans="1:1" ht="14.25" customHeight="1" x14ac:dyDescent="0.25">
      <c r="A541" s="19"/>
    </row>
    <row r="542" spans="1:1" ht="14.25" customHeight="1" x14ac:dyDescent="0.25">
      <c r="A542" s="19"/>
    </row>
    <row r="543" spans="1:1" ht="14.25" customHeight="1" x14ac:dyDescent="0.25">
      <c r="A543" s="19"/>
    </row>
    <row r="544" spans="1:1" ht="14.25" customHeight="1" x14ac:dyDescent="0.25">
      <c r="A544" s="19"/>
    </row>
    <row r="545" spans="1:1" ht="14.25" customHeight="1" x14ac:dyDescent="0.25">
      <c r="A545" s="19"/>
    </row>
    <row r="546" spans="1:1" ht="14.25" customHeight="1" x14ac:dyDescent="0.25">
      <c r="A546" s="19"/>
    </row>
    <row r="547" spans="1:1" ht="14.25" customHeight="1" x14ac:dyDescent="0.25">
      <c r="A547" s="19"/>
    </row>
    <row r="548" spans="1:1" ht="14.25" customHeight="1" x14ac:dyDescent="0.25">
      <c r="A548" s="19"/>
    </row>
    <row r="549" spans="1:1" ht="14.25" customHeight="1" x14ac:dyDescent="0.25">
      <c r="A549" s="19"/>
    </row>
    <row r="550" spans="1:1" ht="14.25" customHeight="1" x14ac:dyDescent="0.25">
      <c r="A550" s="19"/>
    </row>
    <row r="551" spans="1:1" ht="14.25" customHeight="1" x14ac:dyDescent="0.25">
      <c r="A551" s="19"/>
    </row>
    <row r="552" spans="1:1" ht="14.25" customHeight="1" x14ac:dyDescent="0.25">
      <c r="A552" s="19"/>
    </row>
    <row r="553" spans="1:1" ht="14.25" customHeight="1" x14ac:dyDescent="0.25">
      <c r="A553" s="19"/>
    </row>
    <row r="554" spans="1:1" ht="14.25" customHeight="1" x14ac:dyDescent="0.25">
      <c r="A554" s="19"/>
    </row>
    <row r="555" spans="1:1" ht="14.25" customHeight="1" x14ac:dyDescent="0.25">
      <c r="A555" s="19"/>
    </row>
    <row r="556" spans="1:1" ht="14.25" customHeight="1" x14ac:dyDescent="0.25">
      <c r="A556" s="19"/>
    </row>
    <row r="557" spans="1:1" ht="14.25" customHeight="1" x14ac:dyDescent="0.25">
      <c r="A557" s="19"/>
    </row>
    <row r="558" spans="1:1" ht="14.25" customHeight="1" x14ac:dyDescent="0.25">
      <c r="A558" s="19"/>
    </row>
    <row r="559" spans="1:1" ht="14.25" customHeight="1" x14ac:dyDescent="0.25">
      <c r="A559" s="19"/>
    </row>
    <row r="560" spans="1:1" ht="14.25" customHeight="1" x14ac:dyDescent="0.25">
      <c r="A560" s="19"/>
    </row>
    <row r="561" spans="1:1" ht="14.25" customHeight="1" x14ac:dyDescent="0.25">
      <c r="A561" s="19"/>
    </row>
    <row r="562" spans="1:1" ht="14.25" customHeight="1" x14ac:dyDescent="0.25">
      <c r="A562" s="19"/>
    </row>
    <row r="563" spans="1:1" ht="14.25" customHeight="1" x14ac:dyDescent="0.25">
      <c r="A563" s="19"/>
    </row>
    <row r="564" spans="1:1" ht="14.25" customHeight="1" x14ac:dyDescent="0.25">
      <c r="A564" s="19"/>
    </row>
    <row r="565" spans="1:1" ht="14.25" customHeight="1" x14ac:dyDescent="0.25">
      <c r="A565" s="19"/>
    </row>
    <row r="566" spans="1:1" ht="14.25" customHeight="1" x14ac:dyDescent="0.25">
      <c r="A566" s="19"/>
    </row>
    <row r="567" spans="1:1" ht="14.25" customHeight="1" x14ac:dyDescent="0.25">
      <c r="A567" s="19"/>
    </row>
    <row r="568" spans="1:1" ht="14.25" customHeight="1" x14ac:dyDescent="0.25">
      <c r="A568" s="19"/>
    </row>
    <row r="569" spans="1:1" ht="14.25" customHeight="1" x14ac:dyDescent="0.25">
      <c r="A569" s="19"/>
    </row>
    <row r="570" spans="1:1" ht="14.25" customHeight="1" x14ac:dyDescent="0.25">
      <c r="A570" s="19"/>
    </row>
    <row r="571" spans="1:1" ht="14.25" customHeight="1" x14ac:dyDescent="0.25">
      <c r="A571" s="19"/>
    </row>
    <row r="572" spans="1:1" ht="14.25" customHeight="1" x14ac:dyDescent="0.25">
      <c r="A572" s="19"/>
    </row>
    <row r="573" spans="1:1" ht="14.25" customHeight="1" x14ac:dyDescent="0.25">
      <c r="A573" s="19"/>
    </row>
    <row r="574" spans="1:1" ht="14.25" customHeight="1" x14ac:dyDescent="0.25">
      <c r="A574" s="19"/>
    </row>
    <row r="575" spans="1:1" ht="14.25" customHeight="1" x14ac:dyDescent="0.25">
      <c r="A575" s="19"/>
    </row>
    <row r="576" spans="1:1" ht="14.25" customHeight="1" x14ac:dyDescent="0.25">
      <c r="A576" s="19"/>
    </row>
    <row r="577" spans="1:1" ht="14.25" customHeight="1" x14ac:dyDescent="0.25">
      <c r="A577" s="19"/>
    </row>
    <row r="578" spans="1:1" ht="14.25" customHeight="1" x14ac:dyDescent="0.25">
      <c r="A578" s="19"/>
    </row>
    <row r="579" spans="1:1" ht="14.25" customHeight="1" x14ac:dyDescent="0.25">
      <c r="A579" s="19"/>
    </row>
    <row r="580" spans="1:1" ht="14.25" customHeight="1" x14ac:dyDescent="0.25">
      <c r="A580" s="19"/>
    </row>
    <row r="581" spans="1:1" ht="14.25" customHeight="1" x14ac:dyDescent="0.25">
      <c r="A581" s="19"/>
    </row>
    <row r="582" spans="1:1" ht="14.25" customHeight="1" x14ac:dyDescent="0.25">
      <c r="A582" s="19"/>
    </row>
    <row r="583" spans="1:1" ht="14.25" customHeight="1" x14ac:dyDescent="0.25">
      <c r="A583" s="19"/>
    </row>
    <row r="584" spans="1:1" ht="14.25" customHeight="1" x14ac:dyDescent="0.25">
      <c r="A584" s="19"/>
    </row>
    <row r="585" spans="1:1" ht="14.25" customHeight="1" x14ac:dyDescent="0.25">
      <c r="A585" s="19"/>
    </row>
    <row r="586" spans="1:1" ht="14.25" customHeight="1" x14ac:dyDescent="0.25">
      <c r="A586" s="19"/>
    </row>
    <row r="587" spans="1:1" ht="14.25" customHeight="1" x14ac:dyDescent="0.25">
      <c r="A587" s="19"/>
    </row>
    <row r="588" spans="1:1" ht="14.25" customHeight="1" x14ac:dyDescent="0.25">
      <c r="A588" s="19"/>
    </row>
    <row r="589" spans="1:1" ht="14.25" customHeight="1" x14ac:dyDescent="0.25">
      <c r="A589" s="19"/>
    </row>
    <row r="590" spans="1:1" ht="14.25" customHeight="1" x14ac:dyDescent="0.25">
      <c r="A590" s="19"/>
    </row>
    <row r="591" spans="1:1" ht="14.25" customHeight="1" x14ac:dyDescent="0.25">
      <c r="A591" s="19"/>
    </row>
    <row r="592" spans="1:1" ht="14.25" customHeight="1" x14ac:dyDescent="0.25">
      <c r="A592" s="19"/>
    </row>
    <row r="593" spans="1:1" ht="14.25" customHeight="1" x14ac:dyDescent="0.25">
      <c r="A593" s="19"/>
    </row>
    <row r="594" spans="1:1" ht="14.25" customHeight="1" x14ac:dyDescent="0.25">
      <c r="A594" s="19"/>
    </row>
    <row r="595" spans="1:1" ht="14.25" customHeight="1" x14ac:dyDescent="0.25">
      <c r="A595" s="19"/>
    </row>
    <row r="596" spans="1:1" ht="14.25" customHeight="1" x14ac:dyDescent="0.25">
      <c r="A596" s="19"/>
    </row>
    <row r="597" spans="1:1" ht="14.25" customHeight="1" x14ac:dyDescent="0.25">
      <c r="A597" s="19"/>
    </row>
    <row r="598" spans="1:1" ht="14.25" customHeight="1" x14ac:dyDescent="0.25">
      <c r="A598" s="19"/>
    </row>
    <row r="599" spans="1:1" ht="14.25" customHeight="1" x14ac:dyDescent="0.25">
      <c r="A599" s="19"/>
    </row>
    <row r="600" spans="1:1" ht="14.25" customHeight="1" x14ac:dyDescent="0.25">
      <c r="A600" s="19"/>
    </row>
    <row r="601" spans="1:1" ht="14.25" customHeight="1" x14ac:dyDescent="0.25">
      <c r="A601" s="19"/>
    </row>
    <row r="602" spans="1:1" ht="14.25" customHeight="1" x14ac:dyDescent="0.25">
      <c r="A602" s="19"/>
    </row>
    <row r="603" spans="1:1" ht="14.25" customHeight="1" x14ac:dyDescent="0.25">
      <c r="A603" s="19"/>
    </row>
    <row r="604" spans="1:1" ht="14.25" customHeight="1" x14ac:dyDescent="0.25">
      <c r="A604" s="19"/>
    </row>
    <row r="605" spans="1:1" ht="14.25" customHeight="1" x14ac:dyDescent="0.25">
      <c r="A605" s="19"/>
    </row>
    <row r="606" spans="1:1" ht="14.25" customHeight="1" x14ac:dyDescent="0.25">
      <c r="A606" s="19"/>
    </row>
    <row r="607" spans="1:1" ht="14.25" customHeight="1" x14ac:dyDescent="0.25">
      <c r="A607" s="19"/>
    </row>
    <row r="608" spans="1:1" ht="14.25" customHeight="1" x14ac:dyDescent="0.25">
      <c r="A608" s="19"/>
    </row>
    <row r="609" spans="1:1" ht="14.25" customHeight="1" x14ac:dyDescent="0.25">
      <c r="A609" s="19"/>
    </row>
    <row r="610" spans="1:1" ht="14.25" customHeight="1" x14ac:dyDescent="0.25">
      <c r="A610" s="19"/>
    </row>
    <row r="611" spans="1:1" ht="14.25" customHeight="1" x14ac:dyDescent="0.25">
      <c r="A611" s="19"/>
    </row>
    <row r="612" spans="1:1" ht="14.25" customHeight="1" x14ac:dyDescent="0.25">
      <c r="A612" s="19"/>
    </row>
    <row r="613" spans="1:1" ht="14.25" customHeight="1" x14ac:dyDescent="0.25">
      <c r="A613" s="19"/>
    </row>
    <row r="614" spans="1:1" ht="14.25" customHeight="1" x14ac:dyDescent="0.25">
      <c r="A614" s="19"/>
    </row>
    <row r="615" spans="1:1" ht="14.25" customHeight="1" x14ac:dyDescent="0.25">
      <c r="A615" s="19"/>
    </row>
    <row r="616" spans="1:1" ht="14.25" customHeight="1" x14ac:dyDescent="0.25">
      <c r="A616" s="19"/>
    </row>
    <row r="617" spans="1:1" ht="14.25" customHeight="1" x14ac:dyDescent="0.25">
      <c r="A617" s="19"/>
    </row>
    <row r="618" spans="1:1" ht="14.25" customHeight="1" x14ac:dyDescent="0.25">
      <c r="A618" s="19"/>
    </row>
    <row r="619" spans="1:1" ht="14.25" customHeight="1" x14ac:dyDescent="0.25">
      <c r="A619" s="19"/>
    </row>
    <row r="620" spans="1:1" ht="14.25" customHeight="1" x14ac:dyDescent="0.25">
      <c r="A620" s="19"/>
    </row>
    <row r="621" spans="1:1" ht="14.25" customHeight="1" x14ac:dyDescent="0.25">
      <c r="A621" s="19"/>
    </row>
    <row r="622" spans="1:1" ht="14.25" customHeight="1" x14ac:dyDescent="0.25">
      <c r="A622" s="19"/>
    </row>
    <row r="623" spans="1:1" ht="14.25" customHeight="1" x14ac:dyDescent="0.25">
      <c r="A623" s="19"/>
    </row>
    <row r="624" spans="1:1" ht="14.25" customHeight="1" x14ac:dyDescent="0.25">
      <c r="A624" s="19"/>
    </row>
    <row r="625" spans="1:1" ht="14.25" customHeight="1" x14ac:dyDescent="0.25">
      <c r="A625" s="19"/>
    </row>
    <row r="626" spans="1:1" ht="14.25" customHeight="1" x14ac:dyDescent="0.25">
      <c r="A626" s="19"/>
    </row>
    <row r="627" spans="1:1" ht="14.25" customHeight="1" x14ac:dyDescent="0.25">
      <c r="A627" s="19"/>
    </row>
    <row r="628" spans="1:1" ht="14.25" customHeight="1" x14ac:dyDescent="0.25">
      <c r="A628" s="19"/>
    </row>
    <row r="629" spans="1:1" ht="14.25" customHeight="1" x14ac:dyDescent="0.25">
      <c r="A629" s="19"/>
    </row>
    <row r="630" spans="1:1" ht="14.25" customHeight="1" x14ac:dyDescent="0.25">
      <c r="A630" s="19"/>
    </row>
    <row r="631" spans="1:1" ht="14.25" customHeight="1" x14ac:dyDescent="0.25">
      <c r="A631" s="19"/>
    </row>
    <row r="632" spans="1:1" ht="14.25" customHeight="1" x14ac:dyDescent="0.25">
      <c r="A632" s="19"/>
    </row>
    <row r="633" spans="1:1" ht="14.25" customHeight="1" x14ac:dyDescent="0.25">
      <c r="A633" s="19"/>
    </row>
    <row r="634" spans="1:1" ht="14.25" customHeight="1" x14ac:dyDescent="0.25">
      <c r="A634" s="19"/>
    </row>
    <row r="635" spans="1:1" ht="14.25" customHeight="1" x14ac:dyDescent="0.25">
      <c r="A635" s="19"/>
    </row>
    <row r="636" spans="1:1" ht="14.25" customHeight="1" x14ac:dyDescent="0.25">
      <c r="A636" s="19"/>
    </row>
    <row r="637" spans="1:1" ht="14.25" customHeight="1" x14ac:dyDescent="0.25">
      <c r="A637" s="19"/>
    </row>
    <row r="638" spans="1:1" ht="14.25" customHeight="1" x14ac:dyDescent="0.25">
      <c r="A638" s="19"/>
    </row>
    <row r="639" spans="1:1" ht="14.25" customHeight="1" x14ac:dyDescent="0.25">
      <c r="A639" s="19"/>
    </row>
    <row r="640" spans="1:1" ht="14.25" customHeight="1" x14ac:dyDescent="0.25">
      <c r="A640" s="19"/>
    </row>
    <row r="641" spans="1:1" ht="14.25" customHeight="1" x14ac:dyDescent="0.25">
      <c r="A641" s="19"/>
    </row>
    <row r="642" spans="1:1" ht="14.25" customHeight="1" x14ac:dyDescent="0.25">
      <c r="A642" s="19"/>
    </row>
    <row r="643" spans="1:1" ht="14.25" customHeight="1" x14ac:dyDescent="0.25">
      <c r="A643" s="19"/>
    </row>
    <row r="644" spans="1:1" ht="14.25" customHeight="1" x14ac:dyDescent="0.25">
      <c r="A644" s="19"/>
    </row>
    <row r="645" spans="1:1" ht="14.25" customHeight="1" x14ac:dyDescent="0.25">
      <c r="A645" s="19"/>
    </row>
    <row r="646" spans="1:1" ht="14.25" customHeight="1" x14ac:dyDescent="0.25">
      <c r="A646" s="19"/>
    </row>
    <row r="647" spans="1:1" ht="14.25" customHeight="1" x14ac:dyDescent="0.25">
      <c r="A647" s="19"/>
    </row>
    <row r="648" spans="1:1" ht="14.25" customHeight="1" x14ac:dyDescent="0.25">
      <c r="A648" s="19"/>
    </row>
    <row r="649" spans="1:1" ht="14.25" customHeight="1" x14ac:dyDescent="0.25">
      <c r="A649" s="19"/>
    </row>
    <row r="650" spans="1:1" ht="14.25" customHeight="1" x14ac:dyDescent="0.25">
      <c r="A650" s="19"/>
    </row>
    <row r="651" spans="1:1" ht="14.25" customHeight="1" x14ac:dyDescent="0.25">
      <c r="A651" s="19"/>
    </row>
    <row r="652" spans="1:1" ht="14.25" customHeight="1" x14ac:dyDescent="0.25">
      <c r="A652" s="19"/>
    </row>
    <row r="653" spans="1:1" ht="14.25" customHeight="1" x14ac:dyDescent="0.25">
      <c r="A653" s="19"/>
    </row>
    <row r="654" spans="1:1" ht="14.25" customHeight="1" x14ac:dyDescent="0.25">
      <c r="A654" s="19"/>
    </row>
    <row r="655" spans="1:1" ht="14.25" customHeight="1" x14ac:dyDescent="0.25">
      <c r="A655" s="19"/>
    </row>
    <row r="656" spans="1:1" ht="14.25" customHeight="1" x14ac:dyDescent="0.25">
      <c r="A656" s="19"/>
    </row>
    <row r="657" spans="1:1" ht="14.25" customHeight="1" x14ac:dyDescent="0.25">
      <c r="A657" s="19"/>
    </row>
    <row r="658" spans="1:1" ht="14.25" customHeight="1" x14ac:dyDescent="0.25">
      <c r="A658" s="19"/>
    </row>
    <row r="659" spans="1:1" ht="14.25" customHeight="1" x14ac:dyDescent="0.25">
      <c r="A659" s="19"/>
    </row>
    <row r="660" spans="1:1" ht="14.25" customHeight="1" x14ac:dyDescent="0.25">
      <c r="A660" s="19"/>
    </row>
    <row r="661" spans="1:1" ht="14.25" customHeight="1" x14ac:dyDescent="0.25">
      <c r="A661" s="19"/>
    </row>
    <row r="662" spans="1:1" ht="14.25" customHeight="1" x14ac:dyDescent="0.25">
      <c r="A662" s="19"/>
    </row>
    <row r="663" spans="1:1" ht="14.25" customHeight="1" x14ac:dyDescent="0.25">
      <c r="A663" s="19"/>
    </row>
    <row r="664" spans="1:1" ht="14.25" customHeight="1" x14ac:dyDescent="0.25">
      <c r="A664" s="19"/>
    </row>
    <row r="665" spans="1:1" ht="14.25" customHeight="1" x14ac:dyDescent="0.25">
      <c r="A665" s="19"/>
    </row>
    <row r="666" spans="1:1" ht="14.25" customHeight="1" x14ac:dyDescent="0.25">
      <c r="A666" s="19"/>
    </row>
    <row r="667" spans="1:1" ht="14.25" customHeight="1" x14ac:dyDescent="0.25">
      <c r="A667" s="19"/>
    </row>
    <row r="668" spans="1:1" ht="14.25" customHeight="1" x14ac:dyDescent="0.25">
      <c r="A668" s="19"/>
    </row>
    <row r="669" spans="1:1" ht="14.25" customHeight="1" x14ac:dyDescent="0.25">
      <c r="A669" s="19"/>
    </row>
    <row r="670" spans="1:1" ht="14.25" customHeight="1" x14ac:dyDescent="0.25">
      <c r="A670" s="19"/>
    </row>
    <row r="671" spans="1:1" ht="14.25" customHeight="1" x14ac:dyDescent="0.25">
      <c r="A671" s="19"/>
    </row>
    <row r="672" spans="1:1" ht="14.25" customHeight="1" x14ac:dyDescent="0.25">
      <c r="A672" s="19"/>
    </row>
    <row r="673" spans="1:1" ht="14.25" customHeight="1" x14ac:dyDescent="0.25">
      <c r="A673" s="19"/>
    </row>
    <row r="674" spans="1:1" ht="14.25" customHeight="1" x14ac:dyDescent="0.25">
      <c r="A674" s="19"/>
    </row>
    <row r="675" spans="1:1" ht="14.25" customHeight="1" x14ac:dyDescent="0.25">
      <c r="A675" s="19"/>
    </row>
    <row r="676" spans="1:1" ht="14.25" customHeight="1" x14ac:dyDescent="0.25">
      <c r="A676" s="19"/>
    </row>
    <row r="677" spans="1:1" ht="14.25" customHeight="1" x14ac:dyDescent="0.25">
      <c r="A677" s="19"/>
    </row>
    <row r="678" spans="1:1" ht="14.25" customHeight="1" x14ac:dyDescent="0.25">
      <c r="A678" s="19"/>
    </row>
    <row r="679" spans="1:1" ht="14.25" customHeight="1" x14ac:dyDescent="0.25">
      <c r="A679" s="19"/>
    </row>
    <row r="680" spans="1:1" ht="14.25" customHeight="1" x14ac:dyDescent="0.25">
      <c r="A680" s="19"/>
    </row>
    <row r="681" spans="1:1" ht="14.25" customHeight="1" x14ac:dyDescent="0.25">
      <c r="A681" s="19"/>
    </row>
    <row r="682" spans="1:1" ht="14.25" customHeight="1" x14ac:dyDescent="0.25">
      <c r="A682" s="19"/>
    </row>
    <row r="683" spans="1:1" ht="14.25" customHeight="1" x14ac:dyDescent="0.25">
      <c r="A683" s="19"/>
    </row>
    <row r="684" spans="1:1" ht="14.25" customHeight="1" x14ac:dyDescent="0.25">
      <c r="A684" s="19"/>
    </row>
    <row r="685" spans="1:1" ht="14.25" customHeight="1" x14ac:dyDescent="0.25">
      <c r="A685" s="19"/>
    </row>
    <row r="686" spans="1:1" ht="14.25" customHeight="1" x14ac:dyDescent="0.25">
      <c r="A686" s="19"/>
    </row>
    <row r="687" spans="1:1" ht="14.25" customHeight="1" x14ac:dyDescent="0.25">
      <c r="A687" s="19"/>
    </row>
    <row r="688" spans="1:1" ht="14.25" customHeight="1" x14ac:dyDescent="0.25">
      <c r="A688" s="19"/>
    </row>
    <row r="689" spans="1:1" ht="14.25" customHeight="1" x14ac:dyDescent="0.25">
      <c r="A689" s="19"/>
    </row>
    <row r="690" spans="1:1" ht="14.25" customHeight="1" x14ac:dyDescent="0.25">
      <c r="A690" s="19"/>
    </row>
    <row r="691" spans="1:1" ht="14.25" customHeight="1" x14ac:dyDescent="0.25">
      <c r="A691" s="19"/>
    </row>
    <row r="692" spans="1:1" ht="14.25" customHeight="1" x14ac:dyDescent="0.25">
      <c r="A692" s="19"/>
    </row>
    <row r="693" spans="1:1" ht="14.25" customHeight="1" x14ac:dyDescent="0.25">
      <c r="A693" s="19"/>
    </row>
    <row r="694" spans="1:1" ht="14.25" customHeight="1" x14ac:dyDescent="0.25">
      <c r="A694" s="19"/>
    </row>
    <row r="695" spans="1:1" ht="14.25" customHeight="1" x14ac:dyDescent="0.25">
      <c r="A695" s="19"/>
    </row>
    <row r="696" spans="1:1" ht="14.25" customHeight="1" x14ac:dyDescent="0.25">
      <c r="A696" s="19"/>
    </row>
    <row r="697" spans="1:1" ht="14.25" customHeight="1" x14ac:dyDescent="0.25">
      <c r="A697" s="19"/>
    </row>
    <row r="698" spans="1:1" ht="14.25" customHeight="1" x14ac:dyDescent="0.25">
      <c r="A698" s="19"/>
    </row>
    <row r="699" spans="1:1" ht="14.25" customHeight="1" x14ac:dyDescent="0.25">
      <c r="A699" s="19"/>
    </row>
    <row r="700" spans="1:1" ht="14.25" customHeight="1" x14ac:dyDescent="0.25">
      <c r="A700" s="19"/>
    </row>
    <row r="701" spans="1:1" ht="14.25" customHeight="1" x14ac:dyDescent="0.25">
      <c r="A701" s="19"/>
    </row>
    <row r="702" spans="1:1" ht="14.25" customHeight="1" x14ac:dyDescent="0.25">
      <c r="A702" s="19"/>
    </row>
    <row r="703" spans="1:1" ht="14.25" customHeight="1" x14ac:dyDescent="0.25">
      <c r="A703" s="19"/>
    </row>
    <row r="704" spans="1:1" ht="14.25" customHeight="1" x14ac:dyDescent="0.25">
      <c r="A704" s="19"/>
    </row>
    <row r="705" spans="1:1" ht="14.25" customHeight="1" x14ac:dyDescent="0.25">
      <c r="A705" s="19"/>
    </row>
    <row r="706" spans="1:1" ht="14.25" customHeight="1" x14ac:dyDescent="0.25">
      <c r="A706" s="19"/>
    </row>
    <row r="707" spans="1:1" ht="14.25" customHeight="1" x14ac:dyDescent="0.25">
      <c r="A707" s="19"/>
    </row>
    <row r="708" spans="1:1" ht="14.25" customHeight="1" x14ac:dyDescent="0.25">
      <c r="A708" s="19"/>
    </row>
    <row r="709" spans="1:1" ht="14.25" customHeight="1" x14ac:dyDescent="0.25">
      <c r="A709" s="19"/>
    </row>
    <row r="710" spans="1:1" ht="14.25" customHeight="1" x14ac:dyDescent="0.25">
      <c r="A710" s="19"/>
    </row>
    <row r="711" spans="1:1" ht="14.25" customHeight="1" x14ac:dyDescent="0.25">
      <c r="A711" s="19"/>
    </row>
    <row r="712" spans="1:1" ht="14.25" customHeight="1" x14ac:dyDescent="0.25">
      <c r="A712" s="19"/>
    </row>
    <row r="713" spans="1:1" ht="14.25" customHeight="1" x14ac:dyDescent="0.25">
      <c r="A713" s="19"/>
    </row>
    <row r="714" spans="1:1" ht="14.25" customHeight="1" x14ac:dyDescent="0.25">
      <c r="A714" s="19"/>
    </row>
    <row r="715" spans="1:1" ht="14.25" customHeight="1" x14ac:dyDescent="0.25">
      <c r="A715" s="19"/>
    </row>
    <row r="716" spans="1:1" ht="14.25" customHeight="1" x14ac:dyDescent="0.25">
      <c r="A716" s="19"/>
    </row>
    <row r="717" spans="1:1" ht="14.25" customHeight="1" x14ac:dyDescent="0.25">
      <c r="A717" s="19"/>
    </row>
    <row r="718" spans="1:1" ht="14.25" customHeight="1" x14ac:dyDescent="0.25">
      <c r="A718" s="19"/>
    </row>
    <row r="719" spans="1:1" ht="14.25" customHeight="1" x14ac:dyDescent="0.25">
      <c r="A719" s="19"/>
    </row>
    <row r="720" spans="1:1" ht="14.25" customHeight="1" x14ac:dyDescent="0.25">
      <c r="A720" s="19"/>
    </row>
    <row r="721" spans="1:1" ht="14.25" customHeight="1" x14ac:dyDescent="0.25">
      <c r="A721" s="19"/>
    </row>
    <row r="722" spans="1:1" ht="14.25" customHeight="1" x14ac:dyDescent="0.25">
      <c r="A722" s="19"/>
    </row>
    <row r="723" spans="1:1" ht="14.25" customHeight="1" x14ac:dyDescent="0.25">
      <c r="A723" s="19"/>
    </row>
    <row r="724" spans="1:1" ht="14.25" customHeight="1" x14ac:dyDescent="0.25">
      <c r="A724" s="19"/>
    </row>
    <row r="725" spans="1:1" ht="14.25" customHeight="1" x14ac:dyDescent="0.25">
      <c r="A725" s="19"/>
    </row>
    <row r="726" spans="1:1" ht="14.25" customHeight="1" x14ac:dyDescent="0.25">
      <c r="A726" s="19"/>
    </row>
    <row r="727" spans="1:1" ht="14.25" customHeight="1" x14ac:dyDescent="0.25">
      <c r="A727" s="19"/>
    </row>
    <row r="728" spans="1:1" ht="14.25" customHeight="1" x14ac:dyDescent="0.25">
      <c r="A728" s="19"/>
    </row>
    <row r="729" spans="1:1" ht="14.25" customHeight="1" x14ac:dyDescent="0.25">
      <c r="A729" s="19"/>
    </row>
    <row r="730" spans="1:1" ht="14.25" customHeight="1" x14ac:dyDescent="0.25">
      <c r="A730" s="19"/>
    </row>
    <row r="731" spans="1:1" ht="14.25" customHeight="1" x14ac:dyDescent="0.25">
      <c r="A731" s="19"/>
    </row>
    <row r="732" spans="1:1" ht="14.25" customHeight="1" x14ac:dyDescent="0.25">
      <c r="A732" s="19"/>
    </row>
    <row r="733" spans="1:1" ht="14.25" customHeight="1" x14ac:dyDescent="0.25">
      <c r="A733" s="19"/>
    </row>
    <row r="734" spans="1:1" ht="14.25" customHeight="1" x14ac:dyDescent="0.25">
      <c r="A734" s="19"/>
    </row>
    <row r="735" spans="1:1" ht="14.25" customHeight="1" x14ac:dyDescent="0.25">
      <c r="A735" s="19"/>
    </row>
    <row r="736" spans="1:1" ht="14.25" customHeight="1" x14ac:dyDescent="0.25">
      <c r="A736" s="19"/>
    </row>
    <row r="737" spans="1:1" ht="14.25" customHeight="1" x14ac:dyDescent="0.25">
      <c r="A737" s="19"/>
    </row>
    <row r="738" spans="1:1" ht="14.25" customHeight="1" x14ac:dyDescent="0.25">
      <c r="A738" s="19"/>
    </row>
    <row r="739" spans="1:1" ht="14.25" customHeight="1" x14ac:dyDescent="0.25">
      <c r="A739" s="19"/>
    </row>
    <row r="740" spans="1:1" ht="14.25" customHeight="1" x14ac:dyDescent="0.25">
      <c r="A740" s="19"/>
    </row>
    <row r="741" spans="1:1" ht="14.25" customHeight="1" x14ac:dyDescent="0.25">
      <c r="A741" s="19"/>
    </row>
    <row r="742" spans="1:1" ht="14.25" customHeight="1" x14ac:dyDescent="0.25">
      <c r="A742" s="19"/>
    </row>
    <row r="743" spans="1:1" ht="14.25" customHeight="1" x14ac:dyDescent="0.25">
      <c r="A743" s="19"/>
    </row>
    <row r="744" spans="1:1" ht="14.25" customHeight="1" x14ac:dyDescent="0.25">
      <c r="A744" s="19"/>
    </row>
    <row r="745" spans="1:1" ht="14.25" customHeight="1" x14ac:dyDescent="0.25">
      <c r="A745" s="19"/>
    </row>
    <row r="746" spans="1:1" ht="14.25" customHeight="1" x14ac:dyDescent="0.25">
      <c r="A746" s="19"/>
    </row>
    <row r="747" spans="1:1" ht="14.25" customHeight="1" x14ac:dyDescent="0.25">
      <c r="A747" s="19"/>
    </row>
    <row r="748" spans="1:1" ht="14.25" customHeight="1" x14ac:dyDescent="0.25">
      <c r="A748" s="19"/>
    </row>
    <row r="749" spans="1:1" ht="14.25" customHeight="1" x14ac:dyDescent="0.25">
      <c r="A749" s="19"/>
    </row>
    <row r="750" spans="1:1" ht="14.25" customHeight="1" x14ac:dyDescent="0.25">
      <c r="A750" s="19"/>
    </row>
    <row r="751" spans="1:1" ht="14.25" customHeight="1" x14ac:dyDescent="0.25">
      <c r="A751" s="19"/>
    </row>
    <row r="752" spans="1:1" ht="14.25" customHeight="1" x14ac:dyDescent="0.25">
      <c r="A752" s="19"/>
    </row>
    <row r="753" spans="1:1" ht="14.25" customHeight="1" x14ac:dyDescent="0.25">
      <c r="A753" s="19"/>
    </row>
    <row r="754" spans="1:1" ht="14.25" customHeight="1" x14ac:dyDescent="0.25">
      <c r="A754" s="19"/>
    </row>
    <row r="755" spans="1:1" ht="14.25" customHeight="1" x14ac:dyDescent="0.25">
      <c r="A755" s="19"/>
    </row>
    <row r="756" spans="1:1" ht="14.25" customHeight="1" x14ac:dyDescent="0.25">
      <c r="A756" s="19"/>
    </row>
    <row r="757" spans="1:1" ht="14.25" customHeight="1" x14ac:dyDescent="0.25">
      <c r="A757" s="19"/>
    </row>
    <row r="758" spans="1:1" ht="14.25" customHeight="1" x14ac:dyDescent="0.25">
      <c r="A758" s="19"/>
    </row>
    <row r="759" spans="1:1" ht="14.25" customHeight="1" x14ac:dyDescent="0.25">
      <c r="A759" s="19"/>
    </row>
    <row r="760" spans="1:1" ht="14.25" customHeight="1" x14ac:dyDescent="0.25">
      <c r="A760" s="19"/>
    </row>
    <row r="761" spans="1:1" ht="14.25" customHeight="1" x14ac:dyDescent="0.25">
      <c r="A761" s="19"/>
    </row>
    <row r="762" spans="1:1" ht="14.25" customHeight="1" x14ac:dyDescent="0.25">
      <c r="A762" s="19"/>
    </row>
    <row r="763" spans="1:1" ht="14.25" customHeight="1" x14ac:dyDescent="0.25">
      <c r="A763" s="19"/>
    </row>
    <row r="764" spans="1:1" ht="14.25" customHeight="1" x14ac:dyDescent="0.25">
      <c r="A764" s="19"/>
    </row>
    <row r="765" spans="1:1" ht="14.25" customHeight="1" x14ac:dyDescent="0.25">
      <c r="A765" s="19"/>
    </row>
    <row r="766" spans="1:1" ht="14.25" customHeight="1" x14ac:dyDescent="0.25">
      <c r="A766" s="19"/>
    </row>
    <row r="767" spans="1:1" ht="14.25" customHeight="1" x14ac:dyDescent="0.25">
      <c r="A767" s="19"/>
    </row>
    <row r="768" spans="1:1" ht="14.25" customHeight="1" x14ac:dyDescent="0.25">
      <c r="A768" s="19"/>
    </row>
    <row r="769" spans="1:1" ht="14.25" customHeight="1" x14ac:dyDescent="0.25">
      <c r="A769" s="19"/>
    </row>
    <row r="770" spans="1:1" ht="14.25" customHeight="1" x14ac:dyDescent="0.25">
      <c r="A770" s="19"/>
    </row>
    <row r="771" spans="1:1" ht="14.25" customHeight="1" x14ac:dyDescent="0.25">
      <c r="A771" s="19"/>
    </row>
    <row r="772" spans="1:1" ht="14.25" customHeight="1" x14ac:dyDescent="0.25">
      <c r="A772" s="19"/>
    </row>
    <row r="773" spans="1:1" ht="14.25" customHeight="1" x14ac:dyDescent="0.25">
      <c r="A773" s="19"/>
    </row>
    <row r="774" spans="1:1" ht="14.25" customHeight="1" x14ac:dyDescent="0.25">
      <c r="A774" s="19"/>
    </row>
    <row r="775" spans="1:1" ht="14.25" customHeight="1" x14ac:dyDescent="0.25">
      <c r="A775" s="19"/>
    </row>
    <row r="776" spans="1:1" ht="14.25" customHeight="1" x14ac:dyDescent="0.25">
      <c r="A776" s="19"/>
    </row>
    <row r="777" spans="1:1" ht="14.25" customHeight="1" x14ac:dyDescent="0.25">
      <c r="A777" s="19"/>
    </row>
    <row r="778" spans="1:1" ht="14.25" customHeight="1" x14ac:dyDescent="0.25">
      <c r="A778" s="19"/>
    </row>
    <row r="779" spans="1:1" ht="14.25" customHeight="1" x14ac:dyDescent="0.25">
      <c r="A779" s="19"/>
    </row>
    <row r="780" spans="1:1" ht="14.25" customHeight="1" x14ac:dyDescent="0.25">
      <c r="A780" s="19"/>
    </row>
    <row r="781" spans="1:1" ht="14.25" customHeight="1" x14ac:dyDescent="0.25">
      <c r="A781" s="19"/>
    </row>
    <row r="782" spans="1:1" ht="14.25" customHeight="1" x14ac:dyDescent="0.25">
      <c r="A782" s="19"/>
    </row>
    <row r="783" spans="1:1" ht="14.25" customHeight="1" x14ac:dyDescent="0.25">
      <c r="A783" s="19"/>
    </row>
    <row r="784" spans="1:1" ht="14.25" customHeight="1" x14ac:dyDescent="0.25">
      <c r="A784" s="19"/>
    </row>
    <row r="785" spans="1:1" ht="14.25" customHeight="1" x14ac:dyDescent="0.25">
      <c r="A785" s="19"/>
    </row>
    <row r="786" spans="1:1" ht="14.25" customHeight="1" x14ac:dyDescent="0.25">
      <c r="A786" s="19"/>
    </row>
    <row r="787" spans="1:1" ht="14.25" customHeight="1" x14ac:dyDescent="0.25">
      <c r="A787" s="19"/>
    </row>
    <row r="788" spans="1:1" ht="14.25" customHeight="1" x14ac:dyDescent="0.25">
      <c r="A788" s="19"/>
    </row>
    <row r="789" spans="1:1" ht="14.25" customHeight="1" x14ac:dyDescent="0.25">
      <c r="A789" s="19"/>
    </row>
    <row r="790" spans="1:1" ht="14.25" customHeight="1" x14ac:dyDescent="0.25">
      <c r="A790" s="19"/>
    </row>
    <row r="791" spans="1:1" ht="14.25" customHeight="1" x14ac:dyDescent="0.25">
      <c r="A791" s="19"/>
    </row>
    <row r="792" spans="1:1" ht="14.25" customHeight="1" x14ac:dyDescent="0.25">
      <c r="A792" s="19"/>
    </row>
    <row r="793" spans="1:1" ht="14.25" customHeight="1" x14ac:dyDescent="0.25">
      <c r="A793" s="19"/>
    </row>
    <row r="794" spans="1:1" ht="14.25" customHeight="1" x14ac:dyDescent="0.25">
      <c r="A794" s="19"/>
    </row>
    <row r="795" spans="1:1" ht="14.25" customHeight="1" x14ac:dyDescent="0.25">
      <c r="A795" s="19"/>
    </row>
    <row r="796" spans="1:1" ht="14.25" customHeight="1" x14ac:dyDescent="0.25">
      <c r="A796" s="19"/>
    </row>
    <row r="797" spans="1:1" ht="14.25" customHeight="1" x14ac:dyDescent="0.25">
      <c r="A797" s="19"/>
    </row>
    <row r="798" spans="1:1" ht="14.25" customHeight="1" x14ac:dyDescent="0.25">
      <c r="A798" s="19"/>
    </row>
    <row r="799" spans="1:1" ht="14.25" customHeight="1" x14ac:dyDescent="0.25">
      <c r="A799" s="19"/>
    </row>
    <row r="800" spans="1:1" ht="14.25" customHeight="1" x14ac:dyDescent="0.25">
      <c r="A800" s="19"/>
    </row>
    <row r="801" spans="1:1" ht="14.25" customHeight="1" x14ac:dyDescent="0.25">
      <c r="A801" s="19"/>
    </row>
    <row r="802" spans="1:1" ht="14.25" customHeight="1" x14ac:dyDescent="0.25">
      <c r="A802" s="19"/>
    </row>
    <row r="803" spans="1:1" ht="14.25" customHeight="1" x14ac:dyDescent="0.25">
      <c r="A803" s="19"/>
    </row>
    <row r="804" spans="1:1" ht="14.25" customHeight="1" x14ac:dyDescent="0.25">
      <c r="A804" s="19"/>
    </row>
    <row r="805" spans="1:1" ht="14.25" customHeight="1" x14ac:dyDescent="0.25">
      <c r="A805" s="19"/>
    </row>
    <row r="806" spans="1:1" ht="14.25" customHeight="1" x14ac:dyDescent="0.25">
      <c r="A806" s="19"/>
    </row>
    <row r="807" spans="1:1" ht="14.25" customHeight="1" x14ac:dyDescent="0.25">
      <c r="A807" s="19"/>
    </row>
    <row r="808" spans="1:1" ht="14.25" customHeight="1" x14ac:dyDescent="0.25">
      <c r="A808" s="19"/>
    </row>
    <row r="809" spans="1:1" ht="14.25" customHeight="1" x14ac:dyDescent="0.25">
      <c r="A809" s="19"/>
    </row>
    <row r="810" spans="1:1" ht="14.25" customHeight="1" x14ac:dyDescent="0.25">
      <c r="A810" s="19"/>
    </row>
    <row r="811" spans="1:1" ht="14.25" customHeight="1" x14ac:dyDescent="0.25">
      <c r="A811" s="19"/>
    </row>
    <row r="812" spans="1:1" ht="14.25" customHeight="1" x14ac:dyDescent="0.25">
      <c r="A812" s="19"/>
    </row>
    <row r="813" spans="1:1" ht="14.25" customHeight="1" x14ac:dyDescent="0.25">
      <c r="A813" s="19"/>
    </row>
    <row r="814" spans="1:1" ht="14.25" customHeight="1" x14ac:dyDescent="0.25">
      <c r="A814" s="19"/>
    </row>
    <row r="815" spans="1:1" ht="14.25" customHeight="1" x14ac:dyDescent="0.25">
      <c r="A815" s="19"/>
    </row>
    <row r="816" spans="1:1" ht="14.25" customHeight="1" x14ac:dyDescent="0.25">
      <c r="A816" s="19"/>
    </row>
    <row r="817" spans="1:1" ht="14.25" customHeight="1" x14ac:dyDescent="0.25">
      <c r="A817" s="19"/>
    </row>
    <row r="818" spans="1:1" ht="14.25" customHeight="1" x14ac:dyDescent="0.25">
      <c r="A818" s="19"/>
    </row>
    <row r="819" spans="1:1" ht="14.25" customHeight="1" x14ac:dyDescent="0.25">
      <c r="A819" s="19"/>
    </row>
    <row r="820" spans="1:1" ht="14.25" customHeight="1" x14ac:dyDescent="0.25">
      <c r="A820" s="19"/>
    </row>
    <row r="821" spans="1:1" ht="14.25" customHeight="1" x14ac:dyDescent="0.25">
      <c r="A821" s="19"/>
    </row>
    <row r="822" spans="1:1" ht="14.25" customHeight="1" x14ac:dyDescent="0.25">
      <c r="A822" s="19"/>
    </row>
    <row r="823" spans="1:1" ht="14.25" customHeight="1" x14ac:dyDescent="0.25">
      <c r="A823" s="19"/>
    </row>
    <row r="824" spans="1:1" ht="14.25" customHeight="1" x14ac:dyDescent="0.25">
      <c r="A824" s="19"/>
    </row>
    <row r="825" spans="1:1" ht="14.25" customHeight="1" x14ac:dyDescent="0.25">
      <c r="A825" s="19"/>
    </row>
    <row r="826" spans="1:1" ht="14.25" customHeight="1" x14ac:dyDescent="0.25">
      <c r="A826" s="19"/>
    </row>
    <row r="827" spans="1:1" ht="14.25" customHeight="1" x14ac:dyDescent="0.25">
      <c r="A827" s="19"/>
    </row>
    <row r="828" spans="1:1" ht="14.25" customHeight="1" x14ac:dyDescent="0.25">
      <c r="A828" s="19"/>
    </row>
    <row r="829" spans="1:1" ht="14.25" customHeight="1" x14ac:dyDescent="0.25">
      <c r="A829" s="19"/>
    </row>
    <row r="830" spans="1:1" ht="14.25" customHeight="1" x14ac:dyDescent="0.25">
      <c r="A830" s="19"/>
    </row>
    <row r="831" spans="1:1" ht="14.25" customHeight="1" x14ac:dyDescent="0.25">
      <c r="A831" s="19"/>
    </row>
    <row r="832" spans="1:1" ht="14.25" customHeight="1" x14ac:dyDescent="0.25">
      <c r="A832" s="19"/>
    </row>
    <row r="833" spans="1:1" ht="14.25" customHeight="1" x14ac:dyDescent="0.25">
      <c r="A833" s="19"/>
    </row>
    <row r="834" spans="1:1" ht="14.25" customHeight="1" x14ac:dyDescent="0.25">
      <c r="A834" s="19"/>
    </row>
    <row r="835" spans="1:1" ht="14.25" customHeight="1" x14ac:dyDescent="0.25">
      <c r="A835" s="19"/>
    </row>
    <row r="836" spans="1:1" ht="14.25" customHeight="1" x14ac:dyDescent="0.25">
      <c r="A836" s="19"/>
    </row>
    <row r="837" spans="1:1" ht="14.25" customHeight="1" x14ac:dyDescent="0.25">
      <c r="A837" s="19"/>
    </row>
    <row r="838" spans="1:1" ht="14.25" customHeight="1" x14ac:dyDescent="0.25">
      <c r="A838" s="19"/>
    </row>
    <row r="839" spans="1:1" ht="14.25" customHeight="1" x14ac:dyDescent="0.25">
      <c r="A839" s="19"/>
    </row>
    <row r="840" spans="1:1" ht="14.25" customHeight="1" x14ac:dyDescent="0.25">
      <c r="A840" s="19"/>
    </row>
    <row r="841" spans="1:1" ht="14.25" customHeight="1" x14ac:dyDescent="0.25">
      <c r="A841" s="19"/>
    </row>
    <row r="842" spans="1:1" ht="14.25" customHeight="1" x14ac:dyDescent="0.25">
      <c r="A842" s="19"/>
    </row>
    <row r="843" spans="1:1" ht="14.25" customHeight="1" x14ac:dyDescent="0.25">
      <c r="A843" s="19"/>
    </row>
    <row r="844" spans="1:1" ht="14.25" customHeight="1" x14ac:dyDescent="0.25">
      <c r="A844" s="19"/>
    </row>
    <row r="845" spans="1:1" ht="14.25" customHeight="1" x14ac:dyDescent="0.25">
      <c r="A845" s="19"/>
    </row>
    <row r="846" spans="1:1" ht="14.25" customHeight="1" x14ac:dyDescent="0.25">
      <c r="A846" s="19"/>
    </row>
    <row r="847" spans="1:1" ht="14.25" customHeight="1" x14ac:dyDescent="0.25">
      <c r="A847" s="19"/>
    </row>
    <row r="848" spans="1:1" ht="14.25" customHeight="1" x14ac:dyDescent="0.25">
      <c r="A848" s="19"/>
    </row>
    <row r="849" spans="1:1" ht="14.25" customHeight="1" x14ac:dyDescent="0.25">
      <c r="A849" s="19"/>
    </row>
    <row r="850" spans="1:1" ht="14.25" customHeight="1" x14ac:dyDescent="0.25">
      <c r="A850" s="19"/>
    </row>
    <row r="851" spans="1:1" ht="14.25" customHeight="1" x14ac:dyDescent="0.25">
      <c r="A851" s="19"/>
    </row>
    <row r="852" spans="1:1" ht="14.25" customHeight="1" x14ac:dyDescent="0.25">
      <c r="A852" s="19"/>
    </row>
    <row r="853" spans="1:1" ht="14.25" customHeight="1" x14ac:dyDescent="0.25">
      <c r="A853" s="19"/>
    </row>
    <row r="854" spans="1:1" ht="14.25" customHeight="1" x14ac:dyDescent="0.25">
      <c r="A854" s="19"/>
    </row>
    <row r="855" spans="1:1" ht="14.25" customHeight="1" x14ac:dyDescent="0.25">
      <c r="A855" s="19"/>
    </row>
    <row r="856" spans="1:1" ht="14.25" customHeight="1" x14ac:dyDescent="0.25">
      <c r="A856" s="19"/>
    </row>
    <row r="857" spans="1:1" ht="14.25" customHeight="1" x14ac:dyDescent="0.25">
      <c r="A857" s="19"/>
    </row>
    <row r="858" spans="1:1" ht="14.25" customHeight="1" x14ac:dyDescent="0.25">
      <c r="A858" s="19"/>
    </row>
    <row r="859" spans="1:1" ht="14.25" customHeight="1" x14ac:dyDescent="0.25">
      <c r="A859" s="19"/>
    </row>
    <row r="860" spans="1:1" ht="14.25" customHeight="1" x14ac:dyDescent="0.25">
      <c r="A860" s="19"/>
    </row>
    <row r="861" spans="1:1" ht="14.25" customHeight="1" x14ac:dyDescent="0.25">
      <c r="A861" s="19"/>
    </row>
    <row r="862" spans="1:1" ht="14.25" customHeight="1" x14ac:dyDescent="0.25">
      <c r="A862" s="19"/>
    </row>
    <row r="863" spans="1:1" ht="14.25" customHeight="1" x14ac:dyDescent="0.25">
      <c r="A863" s="19"/>
    </row>
    <row r="864" spans="1:1" ht="14.25" customHeight="1" x14ac:dyDescent="0.25">
      <c r="A864" s="19"/>
    </row>
    <row r="865" spans="1:1" ht="14.25" customHeight="1" x14ac:dyDescent="0.25">
      <c r="A865" s="19"/>
    </row>
    <row r="866" spans="1:1" ht="14.25" customHeight="1" x14ac:dyDescent="0.25">
      <c r="A866" s="19"/>
    </row>
    <row r="867" spans="1:1" ht="14.25" customHeight="1" x14ac:dyDescent="0.25">
      <c r="A867" s="19"/>
    </row>
    <row r="868" spans="1:1" ht="14.25" customHeight="1" x14ac:dyDescent="0.25">
      <c r="A868" s="19"/>
    </row>
    <row r="869" spans="1:1" ht="14.25" customHeight="1" x14ac:dyDescent="0.25">
      <c r="A869" s="19"/>
    </row>
    <row r="870" spans="1:1" ht="14.25" customHeight="1" x14ac:dyDescent="0.25">
      <c r="A870" s="19"/>
    </row>
    <row r="871" spans="1:1" ht="14.25" customHeight="1" x14ac:dyDescent="0.25">
      <c r="A871" s="19"/>
    </row>
    <row r="872" spans="1:1" ht="14.25" customHeight="1" x14ac:dyDescent="0.25">
      <c r="A872" s="19"/>
    </row>
    <row r="873" spans="1:1" ht="14.25" customHeight="1" x14ac:dyDescent="0.25">
      <c r="A873" s="19"/>
    </row>
    <row r="874" spans="1:1" ht="14.25" customHeight="1" x14ac:dyDescent="0.25">
      <c r="A874" s="19"/>
    </row>
    <row r="875" spans="1:1" ht="14.25" customHeight="1" x14ac:dyDescent="0.25">
      <c r="A875" s="19"/>
    </row>
    <row r="876" spans="1:1" ht="14.25" customHeight="1" x14ac:dyDescent="0.25">
      <c r="A876" s="19"/>
    </row>
    <row r="877" spans="1:1" ht="14.25" customHeight="1" x14ac:dyDescent="0.25">
      <c r="A877" s="19"/>
    </row>
    <row r="878" spans="1:1" ht="14.25" customHeight="1" x14ac:dyDescent="0.25">
      <c r="A878" s="19"/>
    </row>
    <row r="879" spans="1:1" ht="14.25" customHeight="1" x14ac:dyDescent="0.25">
      <c r="A879" s="19"/>
    </row>
    <row r="880" spans="1:1" ht="14.25" customHeight="1" x14ac:dyDescent="0.25">
      <c r="A880" s="19"/>
    </row>
    <row r="881" spans="1:1" ht="14.25" customHeight="1" x14ac:dyDescent="0.25">
      <c r="A881" s="19"/>
    </row>
    <row r="882" spans="1:1" ht="14.25" customHeight="1" x14ac:dyDescent="0.25">
      <c r="A882" s="19"/>
    </row>
    <row r="883" spans="1:1" ht="14.25" customHeight="1" x14ac:dyDescent="0.25">
      <c r="A883" s="19"/>
    </row>
    <row r="884" spans="1:1" ht="14.25" customHeight="1" x14ac:dyDescent="0.25">
      <c r="A884" s="19"/>
    </row>
    <row r="885" spans="1:1" ht="14.25" customHeight="1" x14ac:dyDescent="0.25">
      <c r="A885" s="19"/>
    </row>
    <row r="886" spans="1:1" ht="14.25" customHeight="1" x14ac:dyDescent="0.25">
      <c r="A886" s="19"/>
    </row>
    <row r="887" spans="1:1" ht="14.25" customHeight="1" x14ac:dyDescent="0.25">
      <c r="A887" s="19"/>
    </row>
    <row r="888" spans="1:1" ht="14.25" customHeight="1" x14ac:dyDescent="0.25">
      <c r="A888" s="19"/>
    </row>
    <row r="889" spans="1:1" ht="14.25" customHeight="1" x14ac:dyDescent="0.25">
      <c r="A889" s="19"/>
    </row>
    <row r="890" spans="1:1" ht="14.25" customHeight="1" x14ac:dyDescent="0.25">
      <c r="A890" s="19"/>
    </row>
    <row r="891" spans="1:1" ht="14.25" customHeight="1" x14ac:dyDescent="0.25">
      <c r="A891" s="19"/>
    </row>
    <row r="892" spans="1:1" ht="14.25" customHeight="1" x14ac:dyDescent="0.25">
      <c r="A892" s="19"/>
    </row>
    <row r="893" spans="1:1" ht="14.25" customHeight="1" x14ac:dyDescent="0.25">
      <c r="A893" s="19"/>
    </row>
    <row r="894" spans="1:1" ht="14.25" customHeight="1" x14ac:dyDescent="0.25">
      <c r="A894" s="19"/>
    </row>
    <row r="895" spans="1:1" ht="14.25" customHeight="1" x14ac:dyDescent="0.25">
      <c r="A895" s="19"/>
    </row>
    <row r="896" spans="1:1" ht="14.25" customHeight="1" x14ac:dyDescent="0.25">
      <c r="A896" s="19"/>
    </row>
    <row r="897" spans="1:1" ht="14.25" customHeight="1" x14ac:dyDescent="0.25">
      <c r="A897" s="19"/>
    </row>
    <row r="898" spans="1:1" ht="14.25" customHeight="1" x14ac:dyDescent="0.25">
      <c r="A898" s="19"/>
    </row>
    <row r="899" spans="1:1" ht="14.25" customHeight="1" x14ac:dyDescent="0.25">
      <c r="A899" s="19"/>
    </row>
    <row r="900" spans="1:1" ht="14.25" customHeight="1" x14ac:dyDescent="0.25">
      <c r="A900" s="19"/>
    </row>
    <row r="901" spans="1:1" ht="14.25" customHeight="1" x14ac:dyDescent="0.25">
      <c r="A901" s="19"/>
    </row>
    <row r="902" spans="1:1" ht="14.25" customHeight="1" x14ac:dyDescent="0.25">
      <c r="A902" s="19"/>
    </row>
    <row r="903" spans="1:1" ht="14.25" customHeight="1" x14ac:dyDescent="0.25">
      <c r="A903" s="19"/>
    </row>
    <row r="904" spans="1:1" ht="14.25" customHeight="1" x14ac:dyDescent="0.25">
      <c r="A904" s="19"/>
    </row>
    <row r="905" spans="1:1" ht="14.25" customHeight="1" x14ac:dyDescent="0.25">
      <c r="A905" s="19"/>
    </row>
    <row r="906" spans="1:1" ht="14.25" customHeight="1" x14ac:dyDescent="0.25">
      <c r="A906" s="19"/>
    </row>
    <row r="907" spans="1:1" ht="14.25" customHeight="1" x14ac:dyDescent="0.25">
      <c r="A907" s="19"/>
    </row>
    <row r="908" spans="1:1" ht="14.25" customHeight="1" x14ac:dyDescent="0.25">
      <c r="A908" s="19"/>
    </row>
    <row r="909" spans="1:1" ht="14.25" customHeight="1" x14ac:dyDescent="0.25">
      <c r="A909" s="19"/>
    </row>
    <row r="910" spans="1:1" ht="14.25" customHeight="1" x14ac:dyDescent="0.25">
      <c r="A910" s="19"/>
    </row>
    <row r="911" spans="1:1" ht="14.25" customHeight="1" x14ac:dyDescent="0.25">
      <c r="A911" s="19"/>
    </row>
    <row r="912" spans="1:1" ht="14.25" customHeight="1" x14ac:dyDescent="0.25">
      <c r="A912" s="19"/>
    </row>
    <row r="913" spans="1:1" ht="14.25" customHeight="1" x14ac:dyDescent="0.25">
      <c r="A913" s="19"/>
    </row>
    <row r="914" spans="1:1" ht="14.25" customHeight="1" x14ac:dyDescent="0.25">
      <c r="A914" s="19"/>
    </row>
    <row r="915" spans="1:1" ht="14.25" customHeight="1" x14ac:dyDescent="0.25">
      <c r="A915" s="19"/>
    </row>
    <row r="916" spans="1:1" ht="14.25" customHeight="1" x14ac:dyDescent="0.25">
      <c r="A916" s="19"/>
    </row>
    <row r="917" spans="1:1" ht="14.25" customHeight="1" x14ac:dyDescent="0.25">
      <c r="A917" s="19"/>
    </row>
    <row r="918" spans="1:1" ht="14.25" customHeight="1" x14ac:dyDescent="0.25">
      <c r="A918" s="19"/>
    </row>
    <row r="919" spans="1:1" ht="14.25" customHeight="1" x14ac:dyDescent="0.25">
      <c r="A919" s="19"/>
    </row>
    <row r="920" spans="1:1" ht="14.25" customHeight="1" x14ac:dyDescent="0.25">
      <c r="A920" s="19"/>
    </row>
    <row r="921" spans="1:1" ht="14.25" customHeight="1" x14ac:dyDescent="0.25">
      <c r="A921" s="19"/>
    </row>
    <row r="922" spans="1:1" ht="14.25" customHeight="1" x14ac:dyDescent="0.25">
      <c r="A922" s="19"/>
    </row>
    <row r="923" spans="1:1" ht="14.25" customHeight="1" x14ac:dyDescent="0.25">
      <c r="A923" s="19"/>
    </row>
    <row r="924" spans="1:1" ht="14.25" customHeight="1" x14ac:dyDescent="0.25">
      <c r="A924" s="19"/>
    </row>
    <row r="925" spans="1:1" ht="14.25" customHeight="1" x14ac:dyDescent="0.25">
      <c r="A925" s="19"/>
    </row>
    <row r="926" spans="1:1" ht="14.25" customHeight="1" x14ac:dyDescent="0.25">
      <c r="A926" s="19"/>
    </row>
    <row r="927" spans="1:1" ht="14.25" customHeight="1" x14ac:dyDescent="0.25">
      <c r="A927" s="19"/>
    </row>
    <row r="928" spans="1:1" ht="14.25" customHeight="1" x14ac:dyDescent="0.25">
      <c r="A928" s="19"/>
    </row>
    <row r="929" spans="1:1" ht="14.25" customHeight="1" x14ac:dyDescent="0.25">
      <c r="A929" s="19"/>
    </row>
    <row r="930" spans="1:1" ht="14.25" customHeight="1" x14ac:dyDescent="0.25">
      <c r="A930" s="19"/>
    </row>
    <row r="931" spans="1:1" ht="14.25" customHeight="1" x14ac:dyDescent="0.25">
      <c r="A931" s="19"/>
    </row>
    <row r="932" spans="1:1" ht="14.25" customHeight="1" x14ac:dyDescent="0.25">
      <c r="A932" s="19"/>
    </row>
    <row r="933" spans="1:1" ht="14.25" customHeight="1" x14ac:dyDescent="0.25">
      <c r="A933" s="19"/>
    </row>
    <row r="934" spans="1:1" ht="14.25" customHeight="1" x14ac:dyDescent="0.25">
      <c r="A934" s="19"/>
    </row>
    <row r="935" spans="1:1" ht="14.25" customHeight="1" x14ac:dyDescent="0.25">
      <c r="A935" s="19"/>
    </row>
    <row r="936" spans="1:1" ht="14.25" customHeight="1" x14ac:dyDescent="0.25">
      <c r="A936" s="19"/>
    </row>
    <row r="937" spans="1:1" ht="14.25" customHeight="1" x14ac:dyDescent="0.25">
      <c r="A937" s="19"/>
    </row>
    <row r="938" spans="1:1" ht="14.25" customHeight="1" x14ac:dyDescent="0.25">
      <c r="A938" s="19"/>
    </row>
    <row r="939" spans="1:1" ht="14.25" customHeight="1" x14ac:dyDescent="0.25">
      <c r="A939" s="19"/>
    </row>
    <row r="940" spans="1:1" ht="14.25" customHeight="1" x14ac:dyDescent="0.25">
      <c r="A940" s="19"/>
    </row>
    <row r="941" spans="1:1" ht="14.25" customHeight="1" x14ac:dyDescent="0.25">
      <c r="A941" s="19"/>
    </row>
    <row r="942" spans="1:1" ht="14.25" customHeight="1" x14ac:dyDescent="0.25">
      <c r="A942" s="19"/>
    </row>
    <row r="943" spans="1:1" ht="14.25" customHeight="1" x14ac:dyDescent="0.25">
      <c r="A943" s="19"/>
    </row>
    <row r="944" spans="1:1" ht="14.25" customHeight="1" x14ac:dyDescent="0.25">
      <c r="A944" s="19"/>
    </row>
    <row r="945" spans="1:1" ht="14.25" customHeight="1" x14ac:dyDescent="0.25">
      <c r="A945" s="19"/>
    </row>
    <row r="946" spans="1:1" ht="14.25" customHeight="1" x14ac:dyDescent="0.25">
      <c r="A946" s="19"/>
    </row>
    <row r="947" spans="1:1" ht="14.25" customHeight="1" x14ac:dyDescent="0.25">
      <c r="A947" s="19"/>
    </row>
    <row r="948" spans="1:1" ht="14.25" customHeight="1" x14ac:dyDescent="0.25">
      <c r="A948" s="19"/>
    </row>
    <row r="949" spans="1:1" ht="14.25" customHeight="1" x14ac:dyDescent="0.25">
      <c r="A949" s="19"/>
    </row>
    <row r="950" spans="1:1" ht="14.25" customHeight="1" x14ac:dyDescent="0.25">
      <c r="A950" s="19"/>
    </row>
    <row r="951" spans="1:1" ht="14.25" customHeight="1" x14ac:dyDescent="0.25">
      <c r="A951" s="19"/>
    </row>
    <row r="952" spans="1:1" ht="14.25" customHeight="1" x14ac:dyDescent="0.25">
      <c r="A952" s="19"/>
    </row>
    <row r="953" spans="1:1" ht="14.25" customHeight="1" x14ac:dyDescent="0.25">
      <c r="A953" s="19"/>
    </row>
    <row r="954" spans="1:1" ht="14.25" customHeight="1" x14ac:dyDescent="0.25">
      <c r="A954" s="19"/>
    </row>
    <row r="955" spans="1:1" ht="14.25" customHeight="1" x14ac:dyDescent="0.25">
      <c r="A955" s="19"/>
    </row>
    <row r="956" spans="1:1" ht="14.25" customHeight="1" x14ac:dyDescent="0.25">
      <c r="A956" s="19"/>
    </row>
    <row r="957" spans="1:1" ht="14.25" customHeight="1" x14ac:dyDescent="0.25">
      <c r="A957" s="19"/>
    </row>
    <row r="958" spans="1:1" ht="14.25" customHeight="1" x14ac:dyDescent="0.25">
      <c r="A958" s="19"/>
    </row>
    <row r="959" spans="1:1" ht="14.25" customHeight="1" x14ac:dyDescent="0.25">
      <c r="A959" s="19"/>
    </row>
    <row r="960" spans="1:1" ht="14.25" customHeight="1" x14ac:dyDescent="0.25">
      <c r="A960" s="19"/>
    </row>
    <row r="961" spans="1:1" ht="14.25" customHeight="1" x14ac:dyDescent="0.25">
      <c r="A961" s="19"/>
    </row>
    <row r="962" spans="1:1" ht="14.25" customHeight="1" x14ac:dyDescent="0.25">
      <c r="A962" s="19"/>
    </row>
    <row r="963" spans="1:1" ht="14.25" customHeight="1" x14ac:dyDescent="0.25">
      <c r="A963" s="19"/>
    </row>
    <row r="964" spans="1:1" ht="14.25" customHeight="1" x14ac:dyDescent="0.25">
      <c r="A964" s="19"/>
    </row>
    <row r="965" spans="1:1" ht="14.25" customHeight="1" x14ac:dyDescent="0.25">
      <c r="A965" s="19"/>
    </row>
    <row r="966" spans="1:1" ht="14.25" customHeight="1" x14ac:dyDescent="0.25">
      <c r="A966" s="19"/>
    </row>
    <row r="967" spans="1:1" ht="14.25" customHeight="1" x14ac:dyDescent="0.25">
      <c r="A967" s="19"/>
    </row>
    <row r="968" spans="1:1" ht="14.25" customHeight="1" x14ac:dyDescent="0.25">
      <c r="A968" s="19"/>
    </row>
    <row r="969" spans="1:1" ht="14.25" customHeight="1" x14ac:dyDescent="0.25">
      <c r="A969" s="19"/>
    </row>
    <row r="970" spans="1:1" ht="14.25" customHeight="1" x14ac:dyDescent="0.25">
      <c r="A970" s="19"/>
    </row>
    <row r="971" spans="1:1" ht="14.25" customHeight="1" x14ac:dyDescent="0.25">
      <c r="A971" s="19"/>
    </row>
    <row r="972" spans="1:1" ht="14.25" customHeight="1" x14ac:dyDescent="0.25">
      <c r="A972" s="19"/>
    </row>
    <row r="973" spans="1:1" ht="14.25" customHeight="1" x14ac:dyDescent="0.25">
      <c r="A973" s="19"/>
    </row>
    <row r="974" spans="1:1" ht="14.25" customHeight="1" x14ac:dyDescent="0.25">
      <c r="A974" s="19"/>
    </row>
    <row r="975" spans="1:1" ht="14.25" customHeight="1" x14ac:dyDescent="0.25">
      <c r="A975" s="19"/>
    </row>
    <row r="976" spans="1:1" ht="14.25" customHeight="1" x14ac:dyDescent="0.25">
      <c r="A976" s="19"/>
    </row>
    <row r="977" spans="1:1" ht="14.25" customHeight="1" x14ac:dyDescent="0.25">
      <c r="A977" s="19"/>
    </row>
    <row r="978" spans="1:1" ht="14.25" customHeight="1" x14ac:dyDescent="0.25">
      <c r="A978" s="19"/>
    </row>
    <row r="979" spans="1:1" ht="14.25" customHeight="1" x14ac:dyDescent="0.25">
      <c r="A979" s="19"/>
    </row>
    <row r="980" spans="1:1" ht="14.25" customHeight="1" x14ac:dyDescent="0.25">
      <c r="A980" s="19"/>
    </row>
    <row r="981" spans="1:1" ht="14.25" customHeight="1" x14ac:dyDescent="0.25">
      <c r="A981" s="19"/>
    </row>
    <row r="982" spans="1:1" ht="14.25" customHeight="1" x14ac:dyDescent="0.25">
      <c r="A982" s="19"/>
    </row>
    <row r="983" spans="1:1" ht="14.25" customHeight="1" x14ac:dyDescent="0.25">
      <c r="A983" s="19"/>
    </row>
    <row r="984" spans="1:1" ht="14.25" customHeight="1" x14ac:dyDescent="0.25">
      <c r="A984" s="19"/>
    </row>
    <row r="985" spans="1:1" ht="14.25" customHeight="1" x14ac:dyDescent="0.25">
      <c r="A985" s="19"/>
    </row>
    <row r="986" spans="1:1" ht="14.25" customHeight="1" x14ac:dyDescent="0.25">
      <c r="A986" s="19"/>
    </row>
    <row r="987" spans="1:1" ht="14.25" customHeight="1" x14ac:dyDescent="0.25">
      <c r="A987" s="19"/>
    </row>
    <row r="988" spans="1:1" ht="14.25" customHeight="1" x14ac:dyDescent="0.25">
      <c r="A988" s="19"/>
    </row>
    <row r="989" spans="1:1" ht="14.25" customHeight="1" x14ac:dyDescent="0.25">
      <c r="A989" s="19"/>
    </row>
    <row r="990" spans="1:1" ht="14.25" customHeight="1" x14ac:dyDescent="0.25">
      <c r="A990" s="19"/>
    </row>
    <row r="991" spans="1:1" ht="14.25" customHeight="1" x14ac:dyDescent="0.25">
      <c r="A991" s="19"/>
    </row>
    <row r="992" spans="1:1" ht="14.25" customHeight="1" x14ac:dyDescent="0.25">
      <c r="A992" s="19"/>
    </row>
    <row r="993" spans="1:1" ht="14.25" customHeight="1" x14ac:dyDescent="0.25">
      <c r="A993" s="19"/>
    </row>
    <row r="994" spans="1:1" ht="14.25" customHeight="1" x14ac:dyDescent="0.25">
      <c r="A994" s="19"/>
    </row>
    <row r="995" spans="1:1" ht="14.25" customHeight="1" x14ac:dyDescent="0.25">
      <c r="A995" s="19"/>
    </row>
    <row r="996" spans="1:1" ht="14.25" customHeight="1" x14ac:dyDescent="0.25">
      <c r="A996" s="19"/>
    </row>
    <row r="997" spans="1:1" ht="14.25" customHeight="1" x14ac:dyDescent="0.25">
      <c r="A997" s="19"/>
    </row>
    <row r="998" spans="1:1" ht="14.25" customHeight="1" x14ac:dyDescent="0.25">
      <c r="A998" s="19"/>
    </row>
    <row r="999" spans="1:1" ht="14.25" customHeight="1" x14ac:dyDescent="0.25">
      <c r="A999" s="19"/>
    </row>
    <row r="1000" spans="1:1" ht="14.25" customHeight="1" x14ac:dyDescent="0.25">
      <c r="A1000" s="19"/>
    </row>
  </sheetData>
  <mergeCells count="11">
    <mergeCell ref="A29:A31"/>
    <mergeCell ref="A48:A51"/>
    <mergeCell ref="A53:A61"/>
    <mergeCell ref="A63:A73"/>
    <mergeCell ref="A1:F1"/>
    <mergeCell ref="A2:F2"/>
    <mergeCell ref="A3:F3"/>
    <mergeCell ref="A5:A10"/>
    <mergeCell ref="A12:A17"/>
    <mergeCell ref="A19:A22"/>
    <mergeCell ref="A25:A27"/>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S1000"/>
  <sheetViews>
    <sheetView workbookViewId="0">
      <pane xSplit="1" topLeftCell="AV1" activePane="topRight" state="frozen"/>
      <selection pane="topRight" activeCell="BA13" sqref="BA13"/>
    </sheetView>
  </sheetViews>
  <sheetFormatPr defaultColWidth="12.625" defaultRowHeight="15" customHeight="1" x14ac:dyDescent="0.2"/>
  <cols>
    <col min="1" max="2" width="13.875" customWidth="1"/>
    <col min="3" max="15" width="7.625" customWidth="1"/>
    <col min="16" max="16" width="9.375" customWidth="1"/>
    <col min="17" max="17" width="13.875" customWidth="1"/>
    <col min="18" max="31" width="7.625" customWidth="1"/>
    <col min="32" max="33" width="9.375" customWidth="1"/>
    <col min="34" max="48" width="7.625" customWidth="1"/>
    <col min="49" max="50" width="9.375" customWidth="1"/>
    <col min="51" max="51" width="14.875" customWidth="1"/>
    <col min="52" max="52" width="7.625" customWidth="1"/>
  </cols>
  <sheetData>
    <row r="1" spans="1:71" ht="14.25" customHeight="1" x14ac:dyDescent="0.25">
      <c r="A1" s="77" t="s">
        <v>206</v>
      </c>
      <c r="B1" s="78"/>
      <c r="C1" s="78"/>
      <c r="D1" s="78"/>
      <c r="E1" s="78"/>
      <c r="F1" s="78"/>
      <c r="G1" s="78"/>
      <c r="H1" s="78"/>
      <c r="I1" s="78"/>
      <c r="J1" s="78"/>
      <c r="K1" s="78"/>
      <c r="L1" s="78"/>
      <c r="M1" s="78"/>
      <c r="N1" s="78"/>
      <c r="O1" s="78"/>
      <c r="P1" s="78"/>
      <c r="Q1" s="78"/>
      <c r="R1" s="79"/>
    </row>
    <row r="2" spans="1:71" ht="14.25" customHeight="1" x14ac:dyDescent="0.25">
      <c r="A2" s="13" t="s">
        <v>51</v>
      </c>
      <c r="B2" s="13" t="s">
        <v>119</v>
      </c>
      <c r="C2" s="53">
        <v>43374</v>
      </c>
      <c r="D2" s="53">
        <v>43405</v>
      </c>
      <c r="E2" s="53">
        <v>43435</v>
      </c>
      <c r="F2" s="53">
        <v>43466</v>
      </c>
      <c r="G2" s="53">
        <v>43497</v>
      </c>
      <c r="H2" s="53">
        <v>43525</v>
      </c>
      <c r="I2" s="53">
        <v>43556</v>
      </c>
      <c r="J2" s="53">
        <v>43586</v>
      </c>
      <c r="K2" s="53">
        <v>43617</v>
      </c>
      <c r="L2" s="53">
        <v>43647</v>
      </c>
      <c r="M2" s="53">
        <v>43678</v>
      </c>
      <c r="N2" s="53">
        <v>43709</v>
      </c>
      <c r="O2" s="13" t="s">
        <v>23</v>
      </c>
      <c r="P2" s="13" t="s">
        <v>132</v>
      </c>
      <c r="Q2" s="13" t="s">
        <v>133</v>
      </c>
      <c r="R2" s="13" t="s">
        <v>52</v>
      </c>
      <c r="S2" s="53">
        <v>43739</v>
      </c>
      <c r="T2" s="53">
        <v>43770</v>
      </c>
      <c r="U2" s="53">
        <v>43800</v>
      </c>
      <c r="V2" s="53">
        <v>43831</v>
      </c>
      <c r="W2" s="53">
        <v>43862</v>
      </c>
      <c r="X2" s="53">
        <v>43891</v>
      </c>
      <c r="Y2" s="53">
        <v>43922</v>
      </c>
      <c r="Z2" s="53">
        <v>43952</v>
      </c>
      <c r="AA2" s="53">
        <v>43983</v>
      </c>
      <c r="AB2" s="53">
        <v>44013</v>
      </c>
      <c r="AC2" s="53">
        <v>44044</v>
      </c>
      <c r="AD2" s="53">
        <v>44075</v>
      </c>
      <c r="AE2" s="13" t="s">
        <v>23</v>
      </c>
      <c r="AF2" s="13" t="s">
        <v>134</v>
      </c>
      <c r="AG2" s="13" t="s">
        <v>132</v>
      </c>
      <c r="AH2" s="13" t="s">
        <v>133</v>
      </c>
      <c r="AI2" s="13" t="s">
        <v>52</v>
      </c>
      <c r="AJ2" s="53">
        <v>44105</v>
      </c>
      <c r="AK2" s="53">
        <v>44136</v>
      </c>
      <c r="AL2" s="53">
        <v>44166</v>
      </c>
      <c r="AM2" s="53">
        <v>44197</v>
      </c>
      <c r="AN2" s="53">
        <v>44228</v>
      </c>
      <c r="AO2" s="53">
        <v>44256</v>
      </c>
      <c r="AP2" s="53">
        <v>44287</v>
      </c>
      <c r="AQ2" s="53">
        <v>44317</v>
      </c>
      <c r="AR2" s="53">
        <v>44348</v>
      </c>
      <c r="AS2" s="53">
        <v>44378</v>
      </c>
      <c r="AT2" s="53">
        <v>44409</v>
      </c>
      <c r="AU2" s="53">
        <v>44440</v>
      </c>
      <c r="AV2" s="13" t="s">
        <v>23</v>
      </c>
      <c r="AW2" s="13" t="s">
        <v>134</v>
      </c>
      <c r="AX2" s="13" t="s">
        <v>132</v>
      </c>
      <c r="AY2" s="13" t="s">
        <v>133</v>
      </c>
      <c r="AZ2" s="13" t="s">
        <v>52</v>
      </c>
      <c r="BA2" s="58">
        <v>44470</v>
      </c>
      <c r="BB2" s="58">
        <v>44501</v>
      </c>
      <c r="BC2" s="58">
        <v>44531</v>
      </c>
      <c r="BD2" s="58">
        <v>44562</v>
      </c>
      <c r="BE2" s="58">
        <v>44593</v>
      </c>
      <c r="BF2" s="58">
        <v>44621</v>
      </c>
      <c r="BG2" s="58">
        <v>44652</v>
      </c>
      <c r="BH2" s="58">
        <v>44682</v>
      </c>
      <c r="BI2" s="58">
        <v>44713</v>
      </c>
      <c r="BJ2" s="58">
        <v>44743</v>
      </c>
      <c r="BK2" s="58">
        <v>44774</v>
      </c>
      <c r="BL2" s="58">
        <v>44805</v>
      </c>
      <c r="BM2" s="13" t="s">
        <v>23</v>
      </c>
      <c r="BN2" s="13" t="s">
        <v>134</v>
      </c>
      <c r="BO2" s="13" t="s">
        <v>132</v>
      </c>
      <c r="BP2" s="13" t="s">
        <v>133</v>
      </c>
      <c r="BQ2" s="13" t="s">
        <v>52</v>
      </c>
    </row>
    <row r="3" spans="1:71" ht="14.25" customHeight="1" x14ac:dyDescent="0.25">
      <c r="A3" s="13" t="s">
        <v>25</v>
      </c>
      <c r="B3" s="13">
        <v>6000</v>
      </c>
      <c r="C3" s="13"/>
      <c r="D3" s="13"/>
      <c r="E3" s="13"/>
      <c r="F3" s="13"/>
      <c r="G3" s="13"/>
      <c r="H3" s="13"/>
      <c r="I3" s="13"/>
      <c r="J3" s="13"/>
      <c r="K3" s="13"/>
      <c r="L3" s="13"/>
      <c r="M3" s="13"/>
      <c r="N3" s="13"/>
      <c r="O3" s="3">
        <f t="shared" ref="O3:O16" si="0">SUM(C3:N3)</f>
        <v>0</v>
      </c>
      <c r="P3" s="3">
        <f t="shared" ref="P3:P16" si="1">SUM(B3:N3)</f>
        <v>6000</v>
      </c>
      <c r="Q3" s="3">
        <f t="shared" ref="Q3:Q16" si="2">5500+6000</f>
        <v>11500</v>
      </c>
      <c r="R3" s="3">
        <f t="shared" ref="R3:R16" si="3">P3-Q3</f>
        <v>-5500</v>
      </c>
      <c r="S3" s="3"/>
      <c r="T3" s="3"/>
      <c r="U3" s="3"/>
      <c r="V3" s="3"/>
      <c r="W3" s="3"/>
      <c r="X3" s="3"/>
      <c r="Y3" s="3"/>
      <c r="Z3" s="3"/>
      <c r="AA3" s="3"/>
      <c r="AB3" s="3"/>
      <c r="AC3" s="3"/>
      <c r="AD3" s="3"/>
      <c r="AE3" s="3">
        <f t="shared" ref="AE3:AE16" si="4">SUM(S3:AD3)</f>
        <v>0</v>
      </c>
      <c r="AF3" s="3">
        <v>4000</v>
      </c>
      <c r="AG3" s="3">
        <f t="shared" ref="AG3:AG16" si="5">AE3+P3</f>
        <v>6000</v>
      </c>
      <c r="AH3" s="3">
        <f t="shared" ref="AH3:AH16" si="6">Q3+AF3</f>
        <v>15500</v>
      </c>
      <c r="AI3" s="3">
        <f t="shared" ref="AI3:AI16" si="7">AG3-AH3</f>
        <v>-9500</v>
      </c>
      <c r="AJ3" s="3"/>
      <c r="AK3" s="3"/>
      <c r="AL3" s="3"/>
      <c r="AM3" s="3"/>
      <c r="AN3" s="3"/>
      <c r="AO3" s="3"/>
      <c r="AP3" s="3"/>
      <c r="AQ3" s="3"/>
      <c r="AR3" s="3"/>
      <c r="AS3" s="3"/>
      <c r="AT3" s="3"/>
      <c r="AU3" s="3"/>
      <c r="AV3" s="3">
        <f t="shared" ref="AV3:AV16" si="8">SUM(AJ3:AU3)</f>
        <v>0</v>
      </c>
      <c r="AW3" s="3">
        <f t="shared" ref="AW3:AW11" si="9">500*12</f>
        <v>6000</v>
      </c>
      <c r="AX3" s="3">
        <f t="shared" ref="AX3:AX16" si="10">AV3+AG3</f>
        <v>6000</v>
      </c>
      <c r="AY3" s="3">
        <f t="shared" ref="AY3:AY16" si="11">AH3+AW3</f>
        <v>21500</v>
      </c>
      <c r="AZ3" s="72">
        <f t="shared" ref="AZ3:AZ16" si="12">AX3-AY3</f>
        <v>-15500</v>
      </c>
      <c r="BA3" s="61"/>
      <c r="BB3" s="61"/>
      <c r="BC3" s="61"/>
      <c r="BD3" s="61"/>
      <c r="BE3" s="61"/>
      <c r="BF3" s="61"/>
      <c r="BG3" s="61"/>
      <c r="BH3" s="61"/>
      <c r="BI3" s="61"/>
      <c r="BJ3" s="61"/>
      <c r="BK3" s="61"/>
      <c r="BL3" s="61"/>
      <c r="BM3" s="71">
        <f t="shared" ref="BM3:BM16" si="13">SUM(BA3:BL3)</f>
        <v>0</v>
      </c>
      <c r="BN3" s="3">
        <v>0</v>
      </c>
      <c r="BO3" s="3">
        <f t="shared" ref="BO3:BO16" si="14">BM3+AX3</f>
        <v>6000</v>
      </c>
      <c r="BP3" s="3">
        <f t="shared" ref="BP3:BP16" si="15">AY3+BN3</f>
        <v>21500</v>
      </c>
      <c r="BQ3" s="3">
        <f t="shared" ref="BQ3:BQ16" si="16">BO3-BP3</f>
        <v>-15500</v>
      </c>
    </row>
    <row r="4" spans="1:71" ht="14.25" customHeight="1" x14ac:dyDescent="0.25">
      <c r="A4" s="13" t="s">
        <v>116</v>
      </c>
      <c r="B4" s="13">
        <v>5500</v>
      </c>
      <c r="C4" s="3">
        <v>500</v>
      </c>
      <c r="D4" s="3">
        <v>500</v>
      </c>
      <c r="E4" s="3">
        <v>500</v>
      </c>
      <c r="F4" s="3">
        <v>500</v>
      </c>
      <c r="G4" s="3">
        <v>500</v>
      </c>
      <c r="H4" s="3">
        <v>500</v>
      </c>
      <c r="I4" s="3">
        <v>500</v>
      </c>
      <c r="J4" s="3">
        <v>500</v>
      </c>
      <c r="K4" s="3">
        <v>500</v>
      </c>
      <c r="L4" s="3">
        <v>500</v>
      </c>
      <c r="M4" s="3">
        <v>500</v>
      </c>
      <c r="N4" s="3">
        <v>500</v>
      </c>
      <c r="O4" s="3">
        <f t="shared" si="0"/>
        <v>6000</v>
      </c>
      <c r="P4" s="3">
        <f t="shared" si="1"/>
        <v>11500</v>
      </c>
      <c r="Q4" s="3">
        <f t="shared" si="2"/>
        <v>11500</v>
      </c>
      <c r="R4" s="3">
        <f t="shared" si="3"/>
        <v>0</v>
      </c>
      <c r="S4" s="3">
        <v>500</v>
      </c>
      <c r="T4" s="3">
        <v>500</v>
      </c>
      <c r="U4" s="3">
        <v>500</v>
      </c>
      <c r="V4" s="3"/>
      <c r="W4" s="3"/>
      <c r="X4" s="3">
        <v>500</v>
      </c>
      <c r="Y4" s="3">
        <v>500</v>
      </c>
      <c r="Z4" s="3">
        <v>500</v>
      </c>
      <c r="AA4" s="3">
        <v>500</v>
      </c>
      <c r="AB4" s="3"/>
      <c r="AC4" s="3"/>
      <c r="AD4" s="3"/>
      <c r="AE4" s="3">
        <f t="shared" si="4"/>
        <v>3500</v>
      </c>
      <c r="AF4" s="3">
        <v>4000</v>
      </c>
      <c r="AG4" s="3">
        <f t="shared" si="5"/>
        <v>15000</v>
      </c>
      <c r="AH4" s="3">
        <f t="shared" si="6"/>
        <v>15500</v>
      </c>
      <c r="AI4" s="3">
        <f t="shared" si="7"/>
        <v>-500</v>
      </c>
      <c r="AJ4" s="3">
        <v>500</v>
      </c>
      <c r="AK4" s="3">
        <v>500</v>
      </c>
      <c r="AL4" s="3">
        <v>500</v>
      </c>
      <c r="AM4" s="3">
        <v>500</v>
      </c>
      <c r="AN4" s="3">
        <v>500</v>
      </c>
      <c r="AO4" s="3">
        <v>1000</v>
      </c>
      <c r="AP4" s="3">
        <v>500</v>
      </c>
      <c r="AQ4" s="3"/>
      <c r="AR4" s="3"/>
      <c r="AS4" s="3">
        <v>1000</v>
      </c>
      <c r="AT4" s="3">
        <v>500</v>
      </c>
      <c r="AU4" s="3">
        <v>500</v>
      </c>
      <c r="AV4" s="3">
        <f t="shared" si="8"/>
        <v>6000</v>
      </c>
      <c r="AW4" s="3">
        <f t="shared" si="9"/>
        <v>6000</v>
      </c>
      <c r="AX4" s="3">
        <f t="shared" si="10"/>
        <v>21000</v>
      </c>
      <c r="AY4" s="3">
        <f t="shared" si="11"/>
        <v>21500</v>
      </c>
      <c r="AZ4" s="72">
        <f t="shared" si="12"/>
        <v>-500</v>
      </c>
      <c r="BA4" s="61"/>
      <c r="BB4" s="61"/>
      <c r="BC4" s="61"/>
      <c r="BD4" s="61"/>
      <c r="BE4" s="61"/>
      <c r="BF4" s="61"/>
      <c r="BG4" s="61"/>
      <c r="BH4" s="61"/>
      <c r="BI4" s="61"/>
      <c r="BJ4" s="61"/>
      <c r="BK4" s="61"/>
      <c r="BL4" s="61"/>
      <c r="BM4" s="71">
        <f t="shared" si="13"/>
        <v>0</v>
      </c>
      <c r="BN4" s="3">
        <v>0</v>
      </c>
      <c r="BO4" s="3">
        <f t="shared" si="14"/>
        <v>21000</v>
      </c>
      <c r="BP4" s="3">
        <f t="shared" si="15"/>
        <v>21500</v>
      </c>
      <c r="BQ4" s="3">
        <f t="shared" si="16"/>
        <v>-500</v>
      </c>
    </row>
    <row r="5" spans="1:71" ht="14.25" customHeight="1" x14ac:dyDescent="0.25">
      <c r="A5" s="13" t="s">
        <v>135</v>
      </c>
      <c r="B5" s="13">
        <v>5500</v>
      </c>
      <c r="C5" s="3"/>
      <c r="D5" s="3"/>
      <c r="E5" s="3"/>
      <c r="F5" s="3"/>
      <c r="G5" s="3"/>
      <c r="H5" s="3"/>
      <c r="I5" s="3"/>
      <c r="J5" s="3"/>
      <c r="K5" s="3"/>
      <c r="L5" s="3"/>
      <c r="M5" s="3">
        <v>1000</v>
      </c>
      <c r="N5" s="3">
        <v>5000</v>
      </c>
      <c r="O5" s="3">
        <f t="shared" si="0"/>
        <v>6000</v>
      </c>
      <c r="P5" s="3">
        <f t="shared" si="1"/>
        <v>11500</v>
      </c>
      <c r="Q5" s="3">
        <f t="shared" si="2"/>
        <v>11500</v>
      </c>
      <c r="R5" s="3">
        <f t="shared" si="3"/>
        <v>0</v>
      </c>
      <c r="S5" s="3"/>
      <c r="T5" s="3"/>
      <c r="U5" s="3"/>
      <c r="V5" s="3">
        <v>500</v>
      </c>
      <c r="W5" s="24"/>
      <c r="X5" s="24"/>
      <c r="Y5" s="3"/>
      <c r="Z5" s="3"/>
      <c r="AA5" s="24">
        <v>500</v>
      </c>
      <c r="AB5" s="24">
        <v>500</v>
      </c>
      <c r="AC5" s="3"/>
      <c r="AD5" s="24">
        <v>2500</v>
      </c>
      <c r="AE5" s="3">
        <f t="shared" si="4"/>
        <v>4000</v>
      </c>
      <c r="AF5" s="3">
        <v>4000</v>
      </c>
      <c r="AG5" s="3">
        <f t="shared" si="5"/>
        <v>15500</v>
      </c>
      <c r="AH5" s="3">
        <f t="shared" si="6"/>
        <v>15500</v>
      </c>
      <c r="AI5" s="3">
        <f t="shared" si="7"/>
        <v>0</v>
      </c>
      <c r="AJ5" s="24">
        <v>1000</v>
      </c>
      <c r="AK5" s="3">
        <v>500</v>
      </c>
      <c r="AL5" s="3">
        <v>500</v>
      </c>
      <c r="AM5" s="3"/>
      <c r="AN5" s="3"/>
      <c r="AO5" s="3"/>
      <c r="AP5" s="3"/>
      <c r="AQ5" s="24">
        <v>500</v>
      </c>
      <c r="AR5" s="3"/>
      <c r="AS5" s="3"/>
      <c r="AT5" s="3"/>
      <c r="AU5" s="3"/>
      <c r="AV5" s="3">
        <f t="shared" si="8"/>
        <v>2500</v>
      </c>
      <c r="AW5" s="3">
        <f t="shared" si="9"/>
        <v>6000</v>
      </c>
      <c r="AX5" s="3">
        <f t="shared" si="10"/>
        <v>18000</v>
      </c>
      <c r="AY5" s="3">
        <f t="shared" si="11"/>
        <v>21500</v>
      </c>
      <c r="AZ5" s="72">
        <f t="shared" si="12"/>
        <v>-3500</v>
      </c>
      <c r="BA5" s="61">
        <v>3500</v>
      </c>
      <c r="BB5" s="61">
        <v>1000</v>
      </c>
      <c r="BC5" s="61">
        <v>500</v>
      </c>
      <c r="BD5" s="61">
        <v>500</v>
      </c>
      <c r="BE5" s="61">
        <v>500</v>
      </c>
      <c r="BF5" s="61">
        <v>500</v>
      </c>
      <c r="BG5" s="61">
        <v>500</v>
      </c>
      <c r="BH5" s="61">
        <v>500</v>
      </c>
      <c r="BI5" s="61">
        <v>500</v>
      </c>
      <c r="BJ5" s="61">
        <v>500</v>
      </c>
      <c r="BK5" s="61">
        <v>500</v>
      </c>
      <c r="BL5" s="61">
        <v>500</v>
      </c>
      <c r="BM5" s="71">
        <f t="shared" si="13"/>
        <v>9500</v>
      </c>
      <c r="BN5" s="3">
        <f t="shared" ref="BN5:BN11" si="17">500*12</f>
        <v>6000</v>
      </c>
      <c r="BO5" s="3">
        <f t="shared" si="14"/>
        <v>27500</v>
      </c>
      <c r="BP5" s="3">
        <f t="shared" si="15"/>
        <v>27500</v>
      </c>
      <c r="BQ5" s="3">
        <f t="shared" si="16"/>
        <v>0</v>
      </c>
    </row>
    <row r="6" spans="1:71" ht="14.25" customHeight="1" x14ac:dyDescent="0.25">
      <c r="A6" s="13" t="s">
        <v>55</v>
      </c>
      <c r="B6" s="13">
        <v>5500</v>
      </c>
      <c r="C6" s="3"/>
      <c r="D6" s="3"/>
      <c r="E6" s="3"/>
      <c r="F6" s="3"/>
      <c r="G6" s="3"/>
      <c r="H6" s="3"/>
      <c r="I6" s="3"/>
      <c r="J6" s="3"/>
      <c r="K6" s="3"/>
      <c r="L6" s="3">
        <v>6000</v>
      </c>
      <c r="M6" s="3"/>
      <c r="N6" s="3"/>
      <c r="O6" s="3">
        <f t="shared" si="0"/>
        <v>6000</v>
      </c>
      <c r="P6" s="3">
        <f t="shared" si="1"/>
        <v>11500</v>
      </c>
      <c r="Q6" s="3">
        <f t="shared" si="2"/>
        <v>11500</v>
      </c>
      <c r="R6" s="3">
        <f t="shared" si="3"/>
        <v>0</v>
      </c>
      <c r="S6" s="3"/>
      <c r="T6" s="3"/>
      <c r="U6" s="3"/>
      <c r="V6" s="3"/>
      <c r="W6" s="3"/>
      <c r="X6" s="3"/>
      <c r="Y6" s="3"/>
      <c r="Z6" s="3"/>
      <c r="AA6" s="3"/>
      <c r="AB6" s="3"/>
      <c r="AC6" s="3"/>
      <c r="AD6" s="3"/>
      <c r="AE6" s="3">
        <f t="shared" si="4"/>
        <v>0</v>
      </c>
      <c r="AF6" s="3">
        <v>4000</v>
      </c>
      <c r="AG6" s="3">
        <f t="shared" si="5"/>
        <v>11500</v>
      </c>
      <c r="AH6" s="3">
        <f t="shared" si="6"/>
        <v>15500</v>
      </c>
      <c r="AI6" s="3">
        <f t="shared" si="7"/>
        <v>-4000</v>
      </c>
      <c r="AJ6" s="24">
        <v>4000</v>
      </c>
      <c r="AK6" s="3"/>
      <c r="AL6" s="3"/>
      <c r="AM6" s="3"/>
      <c r="AN6" s="3"/>
      <c r="AO6" s="3"/>
      <c r="AP6" s="3"/>
      <c r="AQ6" s="3"/>
      <c r="AR6" s="3"/>
      <c r="AS6" s="3"/>
      <c r="AT6" s="3"/>
      <c r="AU6" s="3">
        <v>6000</v>
      </c>
      <c r="AV6" s="3">
        <f t="shared" si="8"/>
        <v>10000</v>
      </c>
      <c r="AW6" s="3">
        <f t="shared" si="9"/>
        <v>6000</v>
      </c>
      <c r="AX6" s="3">
        <f t="shared" si="10"/>
        <v>21500</v>
      </c>
      <c r="AY6" s="3">
        <f t="shared" si="11"/>
        <v>21500</v>
      </c>
      <c r="AZ6" s="72">
        <f t="shared" si="12"/>
        <v>0</v>
      </c>
      <c r="BA6" s="61"/>
      <c r="BB6" s="61"/>
      <c r="BC6" s="61"/>
      <c r="BD6" s="61"/>
      <c r="BE6" s="61"/>
      <c r="BF6" s="61"/>
      <c r="BG6" s="61"/>
      <c r="BH6" s="61"/>
      <c r="BI6" s="61"/>
      <c r="BJ6" s="61"/>
      <c r="BK6" s="61"/>
      <c r="BL6" s="61"/>
      <c r="BM6" s="71">
        <f t="shared" si="13"/>
        <v>0</v>
      </c>
      <c r="BN6" s="3">
        <f t="shared" si="17"/>
        <v>6000</v>
      </c>
      <c r="BO6" s="3">
        <f t="shared" si="14"/>
        <v>21500</v>
      </c>
      <c r="BP6" s="3">
        <f t="shared" si="15"/>
        <v>27500</v>
      </c>
      <c r="BQ6" s="3">
        <f t="shared" si="16"/>
        <v>-6000</v>
      </c>
    </row>
    <row r="7" spans="1:71" ht="14.25" customHeight="1" x14ac:dyDescent="0.25">
      <c r="A7" s="13" t="s">
        <v>107</v>
      </c>
      <c r="B7" s="13">
        <v>4000</v>
      </c>
      <c r="C7" s="3">
        <v>1500</v>
      </c>
      <c r="D7" s="3">
        <v>1000</v>
      </c>
      <c r="E7" s="3">
        <v>500</v>
      </c>
      <c r="F7" s="3"/>
      <c r="G7" s="3">
        <v>1000</v>
      </c>
      <c r="H7" s="3"/>
      <c r="I7" s="3"/>
      <c r="J7" s="3"/>
      <c r="K7" s="3"/>
      <c r="L7" s="3"/>
      <c r="M7" s="3"/>
      <c r="N7" s="3">
        <v>3500</v>
      </c>
      <c r="O7" s="3">
        <f t="shared" si="0"/>
        <v>7500</v>
      </c>
      <c r="P7" s="3">
        <f t="shared" si="1"/>
        <v>11500</v>
      </c>
      <c r="Q7" s="3">
        <f t="shared" si="2"/>
        <v>11500</v>
      </c>
      <c r="R7" s="3">
        <f t="shared" si="3"/>
        <v>0</v>
      </c>
      <c r="S7" s="3"/>
      <c r="T7" s="3"/>
      <c r="U7" s="3">
        <v>1000</v>
      </c>
      <c r="V7" s="3">
        <v>1000</v>
      </c>
      <c r="W7" s="3"/>
      <c r="X7" s="3"/>
      <c r="Y7" s="3"/>
      <c r="Z7" s="3"/>
      <c r="AA7" s="3"/>
      <c r="AB7" s="3"/>
      <c r="AC7" s="3"/>
      <c r="AD7" s="3"/>
      <c r="AE7" s="3">
        <f t="shared" si="4"/>
        <v>2000</v>
      </c>
      <c r="AF7" s="3">
        <v>4000</v>
      </c>
      <c r="AG7" s="3">
        <f t="shared" si="5"/>
        <v>13500</v>
      </c>
      <c r="AH7" s="3">
        <f t="shared" si="6"/>
        <v>15500</v>
      </c>
      <c r="AI7" s="3">
        <f t="shared" si="7"/>
        <v>-2000</v>
      </c>
      <c r="AJ7" s="24"/>
      <c r="AK7" s="3"/>
      <c r="AL7" s="3"/>
      <c r="AM7" s="3"/>
      <c r="AN7" s="3"/>
      <c r="AO7" s="3"/>
      <c r="AP7" s="3"/>
      <c r="AQ7" s="3"/>
      <c r="AR7" s="3"/>
      <c r="AS7" s="3"/>
      <c r="AT7" s="3"/>
      <c r="AU7" s="3"/>
      <c r="AV7" s="3">
        <f t="shared" si="8"/>
        <v>0</v>
      </c>
      <c r="AW7" s="3">
        <f t="shared" si="9"/>
        <v>6000</v>
      </c>
      <c r="AX7" s="3">
        <f t="shared" si="10"/>
        <v>13500</v>
      </c>
      <c r="AY7" s="3">
        <f t="shared" si="11"/>
        <v>21500</v>
      </c>
      <c r="AZ7" s="72">
        <f t="shared" si="12"/>
        <v>-8000</v>
      </c>
      <c r="BA7" s="61"/>
      <c r="BB7" s="61"/>
      <c r="BC7" s="61"/>
      <c r="BD7" s="61"/>
      <c r="BE7" s="61"/>
      <c r="BF7" s="61"/>
      <c r="BG7" s="61"/>
      <c r="BH7" s="61"/>
      <c r="BI7" s="61"/>
      <c r="BJ7" s="61"/>
      <c r="BK7" s="61"/>
      <c r="BL7" s="61"/>
      <c r="BM7" s="71">
        <f t="shared" si="13"/>
        <v>0</v>
      </c>
      <c r="BN7" s="3">
        <f t="shared" si="17"/>
        <v>6000</v>
      </c>
      <c r="BO7" s="3">
        <f t="shared" si="14"/>
        <v>13500</v>
      </c>
      <c r="BP7" s="3">
        <f t="shared" si="15"/>
        <v>27500</v>
      </c>
      <c r="BQ7" s="3">
        <f t="shared" si="16"/>
        <v>-14000</v>
      </c>
    </row>
    <row r="8" spans="1:71" ht="14.25" customHeight="1" x14ac:dyDescent="0.25">
      <c r="A8" s="13" t="s">
        <v>27</v>
      </c>
      <c r="B8" s="13">
        <v>5500</v>
      </c>
      <c r="C8" s="3">
        <v>500</v>
      </c>
      <c r="D8" s="3">
        <v>500</v>
      </c>
      <c r="E8" s="3"/>
      <c r="F8" s="3"/>
      <c r="G8" s="3"/>
      <c r="H8" s="3"/>
      <c r="I8" s="3"/>
      <c r="J8" s="3"/>
      <c r="K8" s="3"/>
      <c r="L8" s="3"/>
      <c r="M8" s="3"/>
      <c r="N8" s="3">
        <v>3000</v>
      </c>
      <c r="O8" s="3">
        <f t="shared" si="0"/>
        <v>4000</v>
      </c>
      <c r="P8" s="3">
        <f t="shared" si="1"/>
        <v>9500</v>
      </c>
      <c r="Q8" s="3">
        <f t="shared" si="2"/>
        <v>11500</v>
      </c>
      <c r="R8" s="3">
        <f t="shared" si="3"/>
        <v>-2000</v>
      </c>
      <c r="S8" s="3"/>
      <c r="T8" s="3"/>
      <c r="U8" s="3"/>
      <c r="V8" s="3"/>
      <c r="W8" s="3"/>
      <c r="X8" s="3"/>
      <c r="Y8" s="3"/>
      <c r="Z8" s="3"/>
      <c r="AA8" s="3"/>
      <c r="AB8" s="3"/>
      <c r="AC8" s="3"/>
      <c r="AD8" s="3"/>
      <c r="AE8" s="3">
        <f t="shared" si="4"/>
        <v>0</v>
      </c>
      <c r="AF8" s="3">
        <v>4000</v>
      </c>
      <c r="AG8" s="3">
        <f t="shared" si="5"/>
        <v>9500</v>
      </c>
      <c r="AH8" s="3">
        <f t="shared" si="6"/>
        <v>15500</v>
      </c>
      <c r="AI8" s="3">
        <f t="shared" si="7"/>
        <v>-6000</v>
      </c>
      <c r="AJ8" s="24">
        <v>6000</v>
      </c>
      <c r="AK8" s="3"/>
      <c r="AL8" s="3"/>
      <c r="AM8" s="3"/>
      <c r="AN8" s="3"/>
      <c r="AO8" s="3"/>
      <c r="AP8" s="3"/>
      <c r="AQ8" s="3"/>
      <c r="AR8" s="3"/>
      <c r="AS8" s="3"/>
      <c r="AT8" s="3"/>
      <c r="AU8" s="3"/>
      <c r="AV8" s="3">
        <f t="shared" si="8"/>
        <v>6000</v>
      </c>
      <c r="AW8" s="3">
        <f t="shared" si="9"/>
        <v>6000</v>
      </c>
      <c r="AX8" s="3">
        <f t="shared" si="10"/>
        <v>15500</v>
      </c>
      <c r="AY8" s="3">
        <f t="shared" si="11"/>
        <v>21500</v>
      </c>
      <c r="AZ8" s="72">
        <f t="shared" si="12"/>
        <v>-6000</v>
      </c>
      <c r="BA8" s="61"/>
      <c r="BB8" s="61"/>
      <c r="BC8" s="61"/>
      <c r="BD8" s="61"/>
      <c r="BE8" s="61"/>
      <c r="BF8" s="61"/>
      <c r="BG8" s="61"/>
      <c r="BH8" s="61"/>
      <c r="BI8" s="61"/>
      <c r="BJ8" s="61" t="s">
        <v>244</v>
      </c>
      <c r="BK8" s="61"/>
      <c r="BL8" s="61"/>
      <c r="BM8" s="71">
        <f t="shared" si="13"/>
        <v>0</v>
      </c>
      <c r="BN8" s="3">
        <f t="shared" si="17"/>
        <v>6000</v>
      </c>
      <c r="BO8" s="3">
        <f t="shared" si="14"/>
        <v>15500</v>
      </c>
      <c r="BP8" s="3">
        <f t="shared" si="15"/>
        <v>27500</v>
      </c>
      <c r="BQ8" s="3">
        <f t="shared" si="16"/>
        <v>-12000</v>
      </c>
    </row>
    <row r="9" spans="1:71" ht="14.25" customHeight="1" x14ac:dyDescent="0.25">
      <c r="A9" s="13" t="s">
        <v>57</v>
      </c>
      <c r="B9" s="13">
        <v>5500</v>
      </c>
      <c r="C9" s="3">
        <v>500</v>
      </c>
      <c r="D9" s="3">
        <v>500</v>
      </c>
      <c r="E9" s="3">
        <v>500</v>
      </c>
      <c r="F9" s="3">
        <v>500</v>
      </c>
      <c r="G9" s="3">
        <v>500</v>
      </c>
      <c r="H9" s="3">
        <v>500</v>
      </c>
      <c r="I9" s="3">
        <v>500</v>
      </c>
      <c r="J9" s="3">
        <v>500</v>
      </c>
      <c r="K9" s="3">
        <v>2000</v>
      </c>
      <c r="L9" s="3"/>
      <c r="M9" s="3"/>
      <c r="N9" s="3"/>
      <c r="O9" s="3">
        <f t="shared" si="0"/>
        <v>6000</v>
      </c>
      <c r="P9" s="3">
        <f t="shared" si="1"/>
        <v>11500</v>
      </c>
      <c r="Q9" s="3">
        <f t="shared" si="2"/>
        <v>11500</v>
      </c>
      <c r="R9" s="3">
        <f t="shared" si="3"/>
        <v>0</v>
      </c>
      <c r="S9" s="3"/>
      <c r="T9" s="3"/>
      <c r="U9" s="3"/>
      <c r="V9" s="3"/>
      <c r="W9" s="3"/>
      <c r="X9" s="3"/>
      <c r="Y9" s="3"/>
      <c r="Z9" s="3"/>
      <c r="AA9" s="3"/>
      <c r="AB9" s="3"/>
      <c r="AC9" s="24">
        <v>2000</v>
      </c>
      <c r="AD9" s="24">
        <v>2000</v>
      </c>
      <c r="AE9" s="3">
        <f t="shared" si="4"/>
        <v>4000</v>
      </c>
      <c r="AF9" s="3">
        <v>4000</v>
      </c>
      <c r="AG9" s="3">
        <f t="shared" si="5"/>
        <v>15500</v>
      </c>
      <c r="AH9" s="3">
        <f t="shared" si="6"/>
        <v>15500</v>
      </c>
      <c r="AI9" s="3">
        <f t="shared" si="7"/>
        <v>0</v>
      </c>
      <c r="AJ9" s="3"/>
      <c r="AK9" s="3"/>
      <c r="AL9" s="3"/>
      <c r="AM9" s="3"/>
      <c r="AN9" s="3"/>
      <c r="AO9" s="3"/>
      <c r="AP9" s="3"/>
      <c r="AQ9" s="3"/>
      <c r="AR9" s="3"/>
      <c r="AS9" s="3">
        <v>6000</v>
      </c>
      <c r="AT9" s="3"/>
      <c r="AU9" s="3"/>
      <c r="AV9" s="3">
        <f t="shared" si="8"/>
        <v>6000</v>
      </c>
      <c r="AW9" s="3">
        <f t="shared" si="9"/>
        <v>6000</v>
      </c>
      <c r="AX9" s="3">
        <f t="shared" si="10"/>
        <v>21500</v>
      </c>
      <c r="AY9" s="3">
        <f t="shared" si="11"/>
        <v>21500</v>
      </c>
      <c r="AZ9" s="72">
        <f t="shared" si="12"/>
        <v>0</v>
      </c>
      <c r="BA9" s="61"/>
      <c r="BB9" s="61"/>
      <c r="BC9" s="61"/>
      <c r="BD9" s="61"/>
      <c r="BE9" s="61"/>
      <c r="BF9" s="61"/>
      <c r="BG9" s="61"/>
      <c r="BH9" s="61"/>
      <c r="BI9" s="61"/>
      <c r="BJ9" s="61"/>
      <c r="BK9" s="61">
        <v>500</v>
      </c>
      <c r="BL9" s="61">
        <v>5500</v>
      </c>
      <c r="BM9" s="71">
        <f t="shared" si="13"/>
        <v>6000</v>
      </c>
      <c r="BN9" s="3">
        <f t="shared" si="17"/>
        <v>6000</v>
      </c>
      <c r="BO9" s="3">
        <f t="shared" si="14"/>
        <v>27500</v>
      </c>
      <c r="BP9" s="3">
        <f t="shared" si="15"/>
        <v>27500</v>
      </c>
      <c r="BQ9" s="3">
        <f t="shared" si="16"/>
        <v>0</v>
      </c>
    </row>
    <row r="10" spans="1:71" ht="14.25" customHeight="1" x14ac:dyDescent="0.25">
      <c r="A10" s="13" t="s">
        <v>136</v>
      </c>
      <c r="B10" s="13">
        <v>7500</v>
      </c>
      <c r="C10" s="3">
        <v>500</v>
      </c>
      <c r="D10" s="3">
        <v>0</v>
      </c>
      <c r="E10" s="3">
        <v>500</v>
      </c>
      <c r="F10" s="3">
        <v>500</v>
      </c>
      <c r="G10" s="3">
        <v>500</v>
      </c>
      <c r="H10" s="3">
        <v>500</v>
      </c>
      <c r="I10" s="3">
        <v>500</v>
      </c>
      <c r="J10" s="3"/>
      <c r="K10" s="3">
        <v>500</v>
      </c>
      <c r="L10" s="3">
        <v>500</v>
      </c>
      <c r="M10" s="3"/>
      <c r="N10" s="3">
        <v>1000</v>
      </c>
      <c r="O10" s="3">
        <f t="shared" si="0"/>
        <v>5000</v>
      </c>
      <c r="P10" s="3">
        <f t="shared" si="1"/>
        <v>12500</v>
      </c>
      <c r="Q10" s="3">
        <f t="shared" si="2"/>
        <v>11500</v>
      </c>
      <c r="R10" s="3">
        <f t="shared" si="3"/>
        <v>1000</v>
      </c>
      <c r="S10" s="3"/>
      <c r="T10" s="3"/>
      <c r="U10" s="3"/>
      <c r="V10" s="3"/>
      <c r="W10" s="3"/>
      <c r="X10" s="3"/>
      <c r="Y10" s="3"/>
      <c r="Z10" s="3"/>
      <c r="AA10" s="3"/>
      <c r="AB10" s="3"/>
      <c r="AC10" s="3"/>
      <c r="AD10" s="3"/>
      <c r="AE10" s="3">
        <f t="shared" si="4"/>
        <v>0</v>
      </c>
      <c r="AF10" s="3">
        <v>4000</v>
      </c>
      <c r="AG10" s="3">
        <f t="shared" si="5"/>
        <v>12500</v>
      </c>
      <c r="AH10" s="3">
        <f t="shared" si="6"/>
        <v>15500</v>
      </c>
      <c r="AI10" s="3">
        <f t="shared" si="7"/>
        <v>-3000</v>
      </c>
      <c r="AJ10" s="24">
        <v>3000</v>
      </c>
      <c r="AK10" s="3"/>
      <c r="AL10" s="3"/>
      <c r="AM10" s="3"/>
      <c r="AN10" s="3"/>
      <c r="AO10" s="3"/>
      <c r="AP10" s="3"/>
      <c r="AQ10" s="3"/>
      <c r="AR10" s="3"/>
      <c r="AS10" s="3"/>
      <c r="AT10" s="3"/>
      <c r="AU10" s="3"/>
      <c r="AV10" s="3">
        <f t="shared" si="8"/>
        <v>3000</v>
      </c>
      <c r="AW10" s="3">
        <f t="shared" si="9"/>
        <v>6000</v>
      </c>
      <c r="AX10" s="3">
        <f t="shared" si="10"/>
        <v>15500</v>
      </c>
      <c r="AY10" s="3">
        <f t="shared" si="11"/>
        <v>21500</v>
      </c>
      <c r="AZ10" s="72">
        <f t="shared" si="12"/>
        <v>-6000</v>
      </c>
      <c r="BA10" s="61" t="s">
        <v>250</v>
      </c>
      <c r="BB10" s="61"/>
      <c r="BC10" s="61"/>
      <c r="BD10" s="61"/>
      <c r="BE10" s="61"/>
      <c r="BF10" s="61"/>
      <c r="BG10" s="61"/>
      <c r="BH10" s="61"/>
      <c r="BI10" s="61"/>
      <c r="BJ10" s="61"/>
      <c r="BK10" s="61"/>
      <c r="BL10" s="61"/>
      <c r="BM10" s="71">
        <f t="shared" si="13"/>
        <v>0</v>
      </c>
      <c r="BN10" s="3">
        <f t="shared" si="17"/>
        <v>6000</v>
      </c>
      <c r="BO10" s="3">
        <f t="shared" si="14"/>
        <v>15500</v>
      </c>
      <c r="BP10" s="3">
        <f t="shared" si="15"/>
        <v>27500</v>
      </c>
      <c r="BQ10" s="3">
        <f t="shared" si="16"/>
        <v>-12000</v>
      </c>
    </row>
    <row r="11" spans="1:71" ht="14.25" customHeight="1" x14ac:dyDescent="0.25">
      <c r="A11" s="13" t="s">
        <v>28</v>
      </c>
      <c r="B11" s="13">
        <v>5500</v>
      </c>
      <c r="C11" s="3"/>
      <c r="D11" s="3"/>
      <c r="E11" s="3"/>
      <c r="F11" s="3"/>
      <c r="G11" s="3"/>
      <c r="H11" s="3"/>
      <c r="I11" s="3"/>
      <c r="J11" s="3"/>
      <c r="K11" s="3"/>
      <c r="L11" s="3"/>
      <c r="M11" s="3"/>
      <c r="N11" s="3"/>
      <c r="O11" s="3">
        <f t="shared" si="0"/>
        <v>0</v>
      </c>
      <c r="P11" s="3">
        <f t="shared" si="1"/>
        <v>5500</v>
      </c>
      <c r="Q11" s="3">
        <f t="shared" si="2"/>
        <v>11500</v>
      </c>
      <c r="R11" s="3">
        <f t="shared" si="3"/>
        <v>-6000</v>
      </c>
      <c r="S11" s="3"/>
      <c r="T11" s="3"/>
      <c r="U11" s="3"/>
      <c r="V11" s="3"/>
      <c r="W11" s="3"/>
      <c r="X11" s="3"/>
      <c r="Y11" s="3"/>
      <c r="Z11" s="3"/>
      <c r="AA11" s="3"/>
      <c r="AB11" s="3"/>
      <c r="AC11" s="3"/>
      <c r="AD11" s="3"/>
      <c r="AE11" s="3">
        <f t="shared" si="4"/>
        <v>0</v>
      </c>
      <c r="AF11" s="3">
        <v>4000</v>
      </c>
      <c r="AG11" s="3">
        <f t="shared" si="5"/>
        <v>5500</v>
      </c>
      <c r="AH11" s="3">
        <f t="shared" si="6"/>
        <v>15500</v>
      </c>
      <c r="AI11" s="3">
        <f t="shared" si="7"/>
        <v>-10000</v>
      </c>
      <c r="AJ11" s="3"/>
      <c r="AK11" s="3"/>
      <c r="AL11" s="3"/>
      <c r="AM11" s="3"/>
      <c r="AN11" s="3"/>
      <c r="AO11" s="3"/>
      <c r="AP11" s="3"/>
      <c r="AQ11" s="3"/>
      <c r="AR11" s="3"/>
      <c r="AS11" s="3"/>
      <c r="AT11" s="3"/>
      <c r="AU11" s="3"/>
      <c r="AV11" s="3">
        <f t="shared" si="8"/>
        <v>0</v>
      </c>
      <c r="AW11" s="3">
        <f t="shared" si="9"/>
        <v>6000</v>
      </c>
      <c r="AX11" s="3">
        <f t="shared" si="10"/>
        <v>5500</v>
      </c>
      <c r="AY11" s="3">
        <f t="shared" si="11"/>
        <v>21500</v>
      </c>
      <c r="AZ11" s="72">
        <f t="shared" si="12"/>
        <v>-16000</v>
      </c>
      <c r="BA11" s="61"/>
      <c r="BB11" s="61"/>
      <c r="BC11" s="61"/>
      <c r="BD11" s="61"/>
      <c r="BE11" s="61"/>
      <c r="BF11" s="61"/>
      <c r="BG11" s="61"/>
      <c r="BH11" s="61"/>
      <c r="BI11" s="61"/>
      <c r="BJ11" s="61"/>
      <c r="BK11" s="61"/>
      <c r="BL11" s="61"/>
      <c r="BM11" s="71">
        <f t="shared" si="13"/>
        <v>0</v>
      </c>
      <c r="BN11" s="3">
        <f t="shared" si="17"/>
        <v>6000</v>
      </c>
      <c r="BO11" s="3">
        <f t="shared" si="14"/>
        <v>5500</v>
      </c>
      <c r="BP11" s="3">
        <f t="shared" si="15"/>
        <v>27500</v>
      </c>
      <c r="BQ11" s="3">
        <f t="shared" si="16"/>
        <v>-22000</v>
      </c>
    </row>
    <row r="12" spans="1:71" ht="14.25" customHeight="1" x14ac:dyDescent="0.25">
      <c r="A12" s="13" t="s">
        <v>29</v>
      </c>
      <c r="B12" s="13">
        <v>5500</v>
      </c>
      <c r="C12" s="3">
        <v>500</v>
      </c>
      <c r="D12" s="3"/>
      <c r="E12" s="3">
        <v>500</v>
      </c>
      <c r="F12" s="3"/>
      <c r="G12" s="3">
        <v>1000</v>
      </c>
      <c r="H12" s="3">
        <v>500</v>
      </c>
      <c r="I12" s="3">
        <v>500</v>
      </c>
      <c r="J12" s="3">
        <v>500</v>
      </c>
      <c r="K12" s="3">
        <v>500</v>
      </c>
      <c r="L12" s="3">
        <v>1000</v>
      </c>
      <c r="M12" s="3">
        <v>500</v>
      </c>
      <c r="N12" s="3">
        <v>500</v>
      </c>
      <c r="O12" s="3">
        <f t="shared" si="0"/>
        <v>6000</v>
      </c>
      <c r="P12" s="3">
        <f t="shared" si="1"/>
        <v>11500</v>
      </c>
      <c r="Q12" s="3">
        <f t="shared" si="2"/>
        <v>11500</v>
      </c>
      <c r="R12" s="3">
        <f t="shared" si="3"/>
        <v>0</v>
      </c>
      <c r="S12" s="3"/>
      <c r="T12" s="3">
        <v>500</v>
      </c>
      <c r="U12" s="3">
        <v>500</v>
      </c>
      <c r="V12" s="3">
        <v>500</v>
      </c>
      <c r="W12" s="3"/>
      <c r="X12" s="3"/>
      <c r="Y12" s="3"/>
      <c r="Z12" s="3"/>
      <c r="AA12" s="3">
        <v>500</v>
      </c>
      <c r="AB12" s="3">
        <v>500</v>
      </c>
      <c r="AC12" s="3"/>
      <c r="AD12" s="3"/>
      <c r="AE12" s="3">
        <f t="shared" si="4"/>
        <v>2500</v>
      </c>
      <c r="AF12" s="3">
        <v>4000</v>
      </c>
      <c r="AG12" s="3">
        <f t="shared" si="5"/>
        <v>14000</v>
      </c>
      <c r="AH12" s="3">
        <f t="shared" si="6"/>
        <v>15500</v>
      </c>
      <c r="AI12" s="3">
        <f t="shared" si="7"/>
        <v>-1500</v>
      </c>
      <c r="AJ12" s="3"/>
      <c r="AK12" s="3"/>
      <c r="AL12" s="3"/>
      <c r="AM12" s="3"/>
      <c r="AN12" s="3"/>
      <c r="AO12" s="3"/>
      <c r="AP12" s="3"/>
      <c r="AQ12" s="3"/>
      <c r="AR12" s="3"/>
      <c r="AS12" s="3"/>
      <c r="AT12" s="3"/>
      <c r="AU12" s="3"/>
      <c r="AV12" s="3">
        <f t="shared" si="8"/>
        <v>0</v>
      </c>
      <c r="AW12" s="3">
        <f>500*5</f>
        <v>2500</v>
      </c>
      <c r="AX12" s="3">
        <f t="shared" si="10"/>
        <v>14000</v>
      </c>
      <c r="AY12" s="3">
        <f t="shared" si="11"/>
        <v>18000</v>
      </c>
      <c r="AZ12" s="72">
        <f t="shared" si="12"/>
        <v>-4000</v>
      </c>
      <c r="BA12" s="61"/>
      <c r="BB12" s="61"/>
      <c r="BC12" s="61"/>
      <c r="BD12" s="61"/>
      <c r="BE12" s="61"/>
      <c r="BF12" s="61"/>
      <c r="BG12" s="61"/>
      <c r="BH12" s="61"/>
      <c r="BI12" s="61"/>
      <c r="BJ12" s="61"/>
      <c r="BK12" s="61"/>
      <c r="BL12" s="61"/>
      <c r="BM12" s="71">
        <f t="shared" si="13"/>
        <v>0</v>
      </c>
      <c r="BN12" s="3">
        <v>0</v>
      </c>
      <c r="BO12" s="3">
        <f t="shared" si="14"/>
        <v>14000</v>
      </c>
      <c r="BP12" s="3">
        <f t="shared" si="15"/>
        <v>18000</v>
      </c>
      <c r="BQ12" s="3">
        <f t="shared" si="16"/>
        <v>-4000</v>
      </c>
    </row>
    <row r="13" spans="1:71" ht="14.25" customHeight="1" x14ac:dyDescent="0.25">
      <c r="A13" s="13" t="s">
        <v>30</v>
      </c>
      <c r="B13" s="13">
        <v>0</v>
      </c>
      <c r="C13" s="3">
        <v>5000</v>
      </c>
      <c r="D13" s="3"/>
      <c r="E13" s="3"/>
      <c r="F13" s="3">
        <v>2500</v>
      </c>
      <c r="G13" s="3"/>
      <c r="H13" s="3"/>
      <c r="I13" s="3"/>
      <c r="J13" s="3"/>
      <c r="K13" s="3"/>
      <c r="L13" s="3"/>
      <c r="M13" s="3"/>
      <c r="N13" s="3"/>
      <c r="O13" s="3">
        <f t="shared" si="0"/>
        <v>7500</v>
      </c>
      <c r="P13" s="3">
        <f t="shared" si="1"/>
        <v>7500</v>
      </c>
      <c r="Q13" s="3">
        <f t="shared" si="2"/>
        <v>11500</v>
      </c>
      <c r="R13" s="3">
        <f t="shared" si="3"/>
        <v>-4000</v>
      </c>
      <c r="S13" s="3"/>
      <c r="T13" s="3"/>
      <c r="U13" s="3"/>
      <c r="V13" s="3"/>
      <c r="W13" s="3"/>
      <c r="X13" s="3"/>
      <c r="Y13" s="3"/>
      <c r="Z13" s="3"/>
      <c r="AA13" s="3">
        <v>4000</v>
      </c>
      <c r="AB13" s="3"/>
      <c r="AC13" s="3"/>
      <c r="AD13" s="3"/>
      <c r="AE13" s="3">
        <f t="shared" si="4"/>
        <v>4000</v>
      </c>
      <c r="AF13" s="3">
        <v>4000</v>
      </c>
      <c r="AG13" s="3">
        <f t="shared" si="5"/>
        <v>11500</v>
      </c>
      <c r="AH13" s="3">
        <f t="shared" si="6"/>
        <v>15500</v>
      </c>
      <c r="AI13" s="3">
        <f t="shared" si="7"/>
        <v>-4000</v>
      </c>
      <c r="AJ13" s="3"/>
      <c r="AK13" s="3"/>
      <c r="AL13" s="3"/>
      <c r="AM13" s="3"/>
      <c r="AN13" s="3"/>
      <c r="AO13" s="3"/>
      <c r="AP13" s="3"/>
      <c r="AQ13" s="3"/>
      <c r="AR13" s="3"/>
      <c r="AS13" s="3"/>
      <c r="AT13" s="3"/>
      <c r="AU13" s="3"/>
      <c r="AV13" s="3">
        <f t="shared" si="8"/>
        <v>0</v>
      </c>
      <c r="AW13" s="3">
        <f>500*12</f>
        <v>6000</v>
      </c>
      <c r="AX13" s="3">
        <f t="shared" si="10"/>
        <v>11500</v>
      </c>
      <c r="AY13" s="3">
        <f t="shared" si="11"/>
        <v>21500</v>
      </c>
      <c r="AZ13" s="72">
        <f t="shared" si="12"/>
        <v>-10000</v>
      </c>
      <c r="BA13" s="61"/>
      <c r="BB13" s="61"/>
      <c r="BC13" s="61"/>
      <c r="BD13" s="61"/>
      <c r="BE13" s="61"/>
      <c r="BF13" s="61"/>
      <c r="BG13" s="61"/>
      <c r="BH13" s="61"/>
      <c r="BI13" s="61"/>
      <c r="BJ13" s="61"/>
      <c r="BK13" s="61"/>
      <c r="BL13" s="61">
        <v>16000</v>
      </c>
      <c r="BM13" s="71">
        <f t="shared" si="13"/>
        <v>16000</v>
      </c>
      <c r="BN13" s="3">
        <f>500*12</f>
        <v>6000</v>
      </c>
      <c r="BO13" s="3">
        <f t="shared" si="14"/>
        <v>27500</v>
      </c>
      <c r="BP13" s="3">
        <f t="shared" si="15"/>
        <v>27500</v>
      </c>
      <c r="BQ13" s="3">
        <f t="shared" si="16"/>
        <v>0</v>
      </c>
    </row>
    <row r="14" spans="1:71" ht="14.25" customHeight="1" x14ac:dyDescent="0.25">
      <c r="A14" s="13" t="s">
        <v>137</v>
      </c>
      <c r="B14" s="13">
        <v>5500</v>
      </c>
      <c r="C14" s="3">
        <v>500</v>
      </c>
      <c r="D14" s="3">
        <v>500</v>
      </c>
      <c r="E14" s="3">
        <v>500</v>
      </c>
      <c r="F14" s="3">
        <v>500</v>
      </c>
      <c r="G14" s="3">
        <v>500</v>
      </c>
      <c r="H14" s="3">
        <v>500</v>
      </c>
      <c r="I14" s="3">
        <v>500</v>
      </c>
      <c r="J14" s="3">
        <v>500</v>
      </c>
      <c r="K14" s="3">
        <v>500</v>
      </c>
      <c r="L14" s="3">
        <v>500</v>
      </c>
      <c r="M14" s="3">
        <v>500</v>
      </c>
      <c r="N14" s="3">
        <v>500</v>
      </c>
      <c r="O14" s="3">
        <f t="shared" si="0"/>
        <v>6000</v>
      </c>
      <c r="P14" s="3">
        <f t="shared" si="1"/>
        <v>11500</v>
      </c>
      <c r="Q14" s="3">
        <f t="shared" si="2"/>
        <v>11500</v>
      </c>
      <c r="R14" s="3">
        <f t="shared" si="3"/>
        <v>0</v>
      </c>
      <c r="S14" s="3">
        <v>500</v>
      </c>
      <c r="T14" s="3"/>
      <c r="U14" s="3"/>
      <c r="V14" s="3"/>
      <c r="W14" s="3"/>
      <c r="X14" s="3"/>
      <c r="Y14" s="3"/>
      <c r="Z14" s="3"/>
      <c r="AA14" s="3"/>
      <c r="AB14" s="3"/>
      <c r="AC14" s="3"/>
      <c r="AD14" s="3"/>
      <c r="AE14" s="3">
        <f t="shared" si="4"/>
        <v>500</v>
      </c>
      <c r="AF14" s="3">
        <v>4000</v>
      </c>
      <c r="AG14" s="3">
        <f t="shared" si="5"/>
        <v>12000</v>
      </c>
      <c r="AH14" s="3">
        <f t="shared" si="6"/>
        <v>15500</v>
      </c>
      <c r="AI14" s="3">
        <f t="shared" si="7"/>
        <v>-3500</v>
      </c>
      <c r="AJ14" s="3"/>
      <c r="AK14" s="3"/>
      <c r="AL14" s="3"/>
      <c r="AM14" s="3"/>
      <c r="AN14" s="3"/>
      <c r="AO14" s="3"/>
      <c r="AP14" s="3"/>
      <c r="AQ14" s="3"/>
      <c r="AR14" s="3"/>
      <c r="AS14" s="3"/>
      <c r="AT14" s="3"/>
      <c r="AU14" s="3"/>
      <c r="AV14" s="3">
        <f t="shared" si="8"/>
        <v>0</v>
      </c>
      <c r="AW14" s="3">
        <f>500*12</f>
        <v>6000</v>
      </c>
      <c r="AX14" s="3">
        <f t="shared" si="10"/>
        <v>12000</v>
      </c>
      <c r="AY14" s="3">
        <f t="shared" si="11"/>
        <v>21500</v>
      </c>
      <c r="AZ14" s="72">
        <f t="shared" si="12"/>
        <v>-9500</v>
      </c>
      <c r="BA14" s="61"/>
      <c r="BB14" s="61"/>
      <c r="BC14" s="61"/>
      <c r="BD14" s="61"/>
      <c r="BE14" s="61">
        <v>12000</v>
      </c>
      <c r="BF14" s="61"/>
      <c r="BG14" s="61"/>
      <c r="BH14" s="61"/>
      <c r="BI14" s="61"/>
      <c r="BJ14" s="61"/>
      <c r="BK14" s="61"/>
      <c r="BL14" s="61"/>
      <c r="BM14" s="71">
        <f t="shared" si="13"/>
        <v>12000</v>
      </c>
      <c r="BN14" s="3">
        <f>500*12</f>
        <v>6000</v>
      </c>
      <c r="BO14" s="3">
        <f t="shared" si="14"/>
        <v>24000</v>
      </c>
      <c r="BP14" s="3">
        <f t="shared" si="15"/>
        <v>27500</v>
      </c>
      <c r="BQ14" s="3">
        <f t="shared" si="16"/>
        <v>-3500</v>
      </c>
    </row>
    <row r="15" spans="1:71" ht="14.25" customHeight="1" x14ac:dyDescent="0.25">
      <c r="A15" s="13" t="s">
        <v>31</v>
      </c>
      <c r="B15" s="13">
        <v>5500</v>
      </c>
      <c r="C15" s="3"/>
      <c r="D15" s="3"/>
      <c r="E15" s="3"/>
      <c r="F15" s="3"/>
      <c r="G15" s="3"/>
      <c r="H15" s="3"/>
      <c r="I15" s="3"/>
      <c r="J15" s="3"/>
      <c r="K15" s="3"/>
      <c r="L15" s="3"/>
      <c r="M15" s="3"/>
      <c r="N15" s="3"/>
      <c r="O15" s="3">
        <f t="shared" si="0"/>
        <v>0</v>
      </c>
      <c r="P15" s="3">
        <f t="shared" si="1"/>
        <v>5500</v>
      </c>
      <c r="Q15" s="3">
        <f t="shared" si="2"/>
        <v>11500</v>
      </c>
      <c r="R15" s="3">
        <f t="shared" si="3"/>
        <v>-6000</v>
      </c>
      <c r="S15" s="3"/>
      <c r="T15" s="3"/>
      <c r="U15" s="3"/>
      <c r="V15" s="3"/>
      <c r="W15" s="3"/>
      <c r="X15" s="3"/>
      <c r="Y15" s="3"/>
      <c r="Z15" s="3"/>
      <c r="AA15" s="3"/>
      <c r="AB15" s="3"/>
      <c r="AC15" s="3"/>
      <c r="AD15" s="3">
        <v>10000</v>
      </c>
      <c r="AE15" s="3">
        <f t="shared" si="4"/>
        <v>10000</v>
      </c>
      <c r="AF15" s="3">
        <v>4000</v>
      </c>
      <c r="AG15" s="3">
        <f t="shared" si="5"/>
        <v>15500</v>
      </c>
      <c r="AH15" s="3">
        <f t="shared" si="6"/>
        <v>15500</v>
      </c>
      <c r="AI15" s="3">
        <f t="shared" si="7"/>
        <v>0</v>
      </c>
      <c r="AJ15" s="24"/>
      <c r="AK15" s="3"/>
      <c r="AL15" s="3"/>
      <c r="AM15" s="3"/>
      <c r="AN15" s="3"/>
      <c r="AO15" s="3"/>
      <c r="AP15" s="3"/>
      <c r="AQ15" s="3"/>
      <c r="AR15" s="3"/>
      <c r="AS15" s="3"/>
      <c r="AT15" s="3"/>
      <c r="AU15" s="3"/>
      <c r="AV15" s="3">
        <f t="shared" si="8"/>
        <v>0</v>
      </c>
      <c r="AW15" s="3">
        <f>500*12</f>
        <v>6000</v>
      </c>
      <c r="AX15" s="3">
        <f t="shared" si="10"/>
        <v>15500</v>
      </c>
      <c r="AY15" s="3">
        <f t="shared" si="11"/>
        <v>21500</v>
      </c>
      <c r="AZ15" s="72">
        <f t="shared" si="12"/>
        <v>-6000</v>
      </c>
      <c r="BA15" s="61">
        <v>6000</v>
      </c>
      <c r="BB15" s="61"/>
      <c r="BC15" s="61"/>
      <c r="BD15" s="61"/>
      <c r="BE15" s="61"/>
      <c r="BF15" s="61"/>
      <c r="BG15" s="61"/>
      <c r="BH15" s="61"/>
      <c r="BI15" s="61"/>
      <c r="BJ15" s="61"/>
      <c r="BK15" s="61"/>
      <c r="BL15" s="61">
        <v>6000</v>
      </c>
      <c r="BM15" s="71">
        <f t="shared" si="13"/>
        <v>12000</v>
      </c>
      <c r="BN15" s="3">
        <f>500*12</f>
        <v>6000</v>
      </c>
      <c r="BO15" s="3">
        <f t="shared" si="14"/>
        <v>27500</v>
      </c>
      <c r="BP15" s="3">
        <f t="shared" si="15"/>
        <v>27500</v>
      </c>
      <c r="BQ15" s="3">
        <f t="shared" si="16"/>
        <v>0</v>
      </c>
    </row>
    <row r="16" spans="1:71" ht="14.25" customHeight="1" x14ac:dyDescent="0.25">
      <c r="A16" s="13" t="s">
        <v>138</v>
      </c>
      <c r="B16" s="13">
        <v>5500</v>
      </c>
      <c r="C16" s="3"/>
      <c r="D16" s="3">
        <v>1000</v>
      </c>
      <c r="E16" s="3"/>
      <c r="F16" s="3"/>
      <c r="G16" s="3">
        <v>1000</v>
      </c>
      <c r="H16" s="3">
        <v>1000</v>
      </c>
      <c r="I16" s="3"/>
      <c r="J16" s="3"/>
      <c r="K16" s="3">
        <v>2000</v>
      </c>
      <c r="L16" s="3"/>
      <c r="M16" s="3"/>
      <c r="N16" s="3">
        <v>1000</v>
      </c>
      <c r="O16" s="3">
        <f t="shared" si="0"/>
        <v>6000</v>
      </c>
      <c r="P16" s="3">
        <f t="shared" si="1"/>
        <v>11500</v>
      </c>
      <c r="Q16" s="3">
        <f t="shared" si="2"/>
        <v>11500</v>
      </c>
      <c r="R16" s="3">
        <f t="shared" si="3"/>
        <v>0</v>
      </c>
      <c r="S16" s="3"/>
      <c r="T16" s="3"/>
      <c r="U16" s="3"/>
      <c r="V16" s="3"/>
      <c r="W16" s="3"/>
      <c r="X16" s="3">
        <v>1000</v>
      </c>
      <c r="Y16" s="3"/>
      <c r="Z16" s="3"/>
      <c r="AA16" s="3">
        <v>1000</v>
      </c>
      <c r="AB16" s="3"/>
      <c r="AC16" s="3"/>
      <c r="AD16" s="3"/>
      <c r="AE16" s="3">
        <f t="shared" si="4"/>
        <v>2000</v>
      </c>
      <c r="AF16" s="3">
        <v>4000</v>
      </c>
      <c r="AG16" s="3">
        <f t="shared" si="5"/>
        <v>13500</v>
      </c>
      <c r="AH16" s="3">
        <f t="shared" si="6"/>
        <v>15500</v>
      </c>
      <c r="AI16" s="3">
        <f t="shared" si="7"/>
        <v>-2000</v>
      </c>
      <c r="AJ16" s="3"/>
      <c r="AK16" s="3"/>
      <c r="AL16" s="3"/>
      <c r="AM16" s="3"/>
      <c r="AN16" s="3"/>
      <c r="AO16" s="3"/>
      <c r="AP16" s="3"/>
      <c r="AQ16" s="3"/>
      <c r="AR16" s="3"/>
      <c r="AS16" s="3"/>
      <c r="AT16" s="3"/>
      <c r="AU16" s="3"/>
      <c r="AV16" s="3">
        <f t="shared" si="8"/>
        <v>0</v>
      </c>
      <c r="AW16" s="3">
        <f>500*12</f>
        <v>6000</v>
      </c>
      <c r="AX16" s="3">
        <f t="shared" si="10"/>
        <v>13500</v>
      </c>
      <c r="AY16" s="3">
        <f t="shared" si="11"/>
        <v>21500</v>
      </c>
      <c r="AZ16" s="72">
        <f t="shared" si="12"/>
        <v>-8000</v>
      </c>
      <c r="BA16" s="61"/>
      <c r="BB16" s="61"/>
      <c r="BC16" s="61"/>
      <c r="BD16" s="61"/>
      <c r="BE16" s="61"/>
      <c r="BF16" s="61"/>
      <c r="BG16" s="61"/>
      <c r="BH16" s="61"/>
      <c r="BI16" s="61"/>
      <c r="BJ16" s="61"/>
      <c r="BK16" s="61"/>
      <c r="BL16" s="61"/>
      <c r="BM16" s="71">
        <f t="shared" si="13"/>
        <v>0</v>
      </c>
      <c r="BN16" s="3">
        <f>500*12</f>
        <v>6000</v>
      </c>
      <c r="BO16" s="3">
        <f t="shared" si="14"/>
        <v>13500</v>
      </c>
      <c r="BP16" s="3">
        <f t="shared" si="15"/>
        <v>27500</v>
      </c>
      <c r="BQ16" s="3">
        <f t="shared" si="16"/>
        <v>-14000</v>
      </c>
      <c r="BR16">
        <v>9500</v>
      </c>
      <c r="BS16" t="s">
        <v>253</v>
      </c>
    </row>
    <row r="17" spans="1:69" ht="14.25" customHeight="1" x14ac:dyDescent="0.25">
      <c r="A17" s="13" t="s">
        <v>23</v>
      </c>
      <c r="B17" s="13">
        <f t="shared" ref="B17:S17" si="18">SUM(B2:B16)</f>
        <v>72500</v>
      </c>
      <c r="C17" s="13">
        <f t="shared" si="18"/>
        <v>52874</v>
      </c>
      <c r="D17" s="13">
        <f t="shared" si="18"/>
        <v>47405</v>
      </c>
      <c r="E17" s="13">
        <f t="shared" si="18"/>
        <v>46435</v>
      </c>
      <c r="F17" s="13">
        <f t="shared" si="18"/>
        <v>47966</v>
      </c>
      <c r="G17" s="13">
        <f t="shared" si="18"/>
        <v>48497</v>
      </c>
      <c r="H17" s="13">
        <f t="shared" si="18"/>
        <v>47025</v>
      </c>
      <c r="I17" s="13">
        <f t="shared" si="18"/>
        <v>46056</v>
      </c>
      <c r="J17" s="13">
        <f t="shared" si="18"/>
        <v>45586</v>
      </c>
      <c r="K17" s="13">
        <f t="shared" si="18"/>
        <v>49617</v>
      </c>
      <c r="L17" s="13">
        <f t="shared" si="18"/>
        <v>52147</v>
      </c>
      <c r="M17" s="13">
        <f t="shared" si="18"/>
        <v>46178</v>
      </c>
      <c r="N17" s="13">
        <f t="shared" si="18"/>
        <v>58709</v>
      </c>
      <c r="O17" s="13">
        <f t="shared" si="18"/>
        <v>66000</v>
      </c>
      <c r="P17" s="13">
        <f t="shared" si="18"/>
        <v>138500</v>
      </c>
      <c r="Q17" s="13">
        <f t="shared" si="18"/>
        <v>161000</v>
      </c>
      <c r="R17" s="13">
        <f t="shared" si="18"/>
        <v>-22500</v>
      </c>
      <c r="S17" s="13">
        <f t="shared" si="18"/>
        <v>44739</v>
      </c>
      <c r="T17" s="3"/>
      <c r="U17" s="3"/>
      <c r="V17" s="3"/>
      <c r="W17" s="3"/>
      <c r="X17" s="3"/>
      <c r="Y17" s="3"/>
      <c r="Z17" s="3"/>
      <c r="AA17" s="3"/>
      <c r="AB17" s="3"/>
      <c r="AC17" s="3"/>
      <c r="AD17" s="3"/>
      <c r="AE17" s="3"/>
      <c r="AF17" s="3"/>
      <c r="AG17" s="3"/>
      <c r="AH17" s="3"/>
      <c r="AI17" s="3">
        <f>AE17-AH17</f>
        <v>0</v>
      </c>
      <c r="AJ17" s="13"/>
      <c r="AK17" s="3"/>
      <c r="AL17" s="3"/>
      <c r="AM17" s="3"/>
      <c r="AN17" s="3"/>
      <c r="AO17" s="3"/>
      <c r="AP17" s="3"/>
      <c r="AQ17" s="3"/>
      <c r="AR17" s="3"/>
      <c r="AS17" s="3"/>
      <c r="AT17" s="3"/>
      <c r="AU17" s="3"/>
      <c r="AV17" s="3">
        <f>SUM(AV3:AV16)</f>
        <v>33500</v>
      </c>
      <c r="AW17" s="3">
        <f>SUM(AW3:AW16)</f>
        <v>80500</v>
      </c>
      <c r="AX17" s="3"/>
      <c r="AY17" s="3">
        <f>SUM(AY3:AY16)</f>
        <v>297500</v>
      </c>
      <c r="AZ17" s="72"/>
      <c r="BA17" s="61"/>
      <c r="BB17" s="61"/>
      <c r="BC17" s="61"/>
      <c r="BD17" s="61"/>
      <c r="BE17" s="61"/>
      <c r="BF17" s="61"/>
      <c r="BG17" s="61"/>
      <c r="BH17" s="61"/>
      <c r="BI17" s="61"/>
      <c r="BJ17" s="61"/>
      <c r="BK17" s="61"/>
      <c r="BL17" s="61"/>
      <c r="BM17" s="71">
        <f>SUM(BM3:BM16)</f>
        <v>55500</v>
      </c>
      <c r="BN17" s="3">
        <f>SUM(BN3:BN16)</f>
        <v>66000</v>
      </c>
      <c r="BO17" s="3"/>
      <c r="BP17" s="3">
        <f>SUM(BP3:BP16)</f>
        <v>363500</v>
      </c>
      <c r="BQ17" s="3"/>
    </row>
    <row r="18" spans="1:69" ht="14.25" customHeight="1" x14ac:dyDescent="0.2"/>
    <row r="19" spans="1:69" ht="14.25" customHeight="1" x14ac:dyDescent="0.2"/>
    <row r="20" spans="1:69" ht="14.25" customHeight="1" x14ac:dyDescent="0.25">
      <c r="AA20" s="16">
        <v>16500</v>
      </c>
      <c r="AR20" s="16"/>
    </row>
    <row r="21" spans="1:69" ht="14.25" customHeight="1" x14ac:dyDescent="0.2"/>
    <row r="22" spans="1:69" ht="14.25" customHeight="1" x14ac:dyDescent="0.2"/>
    <row r="23" spans="1:69" ht="14.25" customHeight="1" x14ac:dyDescent="0.2"/>
    <row r="24" spans="1:69" ht="14.25" customHeight="1" x14ac:dyDescent="0.2"/>
    <row r="25" spans="1:69" ht="14.25" customHeight="1" x14ac:dyDescent="0.2"/>
    <row r="26" spans="1:69" ht="14.25" customHeight="1" x14ac:dyDescent="0.2"/>
    <row r="27" spans="1:69" ht="14.25" customHeight="1" x14ac:dyDescent="0.2"/>
    <row r="28" spans="1:69" ht="14.25" customHeight="1" x14ac:dyDescent="0.2"/>
    <row r="29" spans="1:69" ht="14.25" customHeight="1" x14ac:dyDescent="0.2"/>
    <row r="30" spans="1:69" ht="14.25" customHeight="1" x14ac:dyDescent="0.2"/>
    <row r="31" spans="1:69" ht="14.25" customHeight="1" x14ac:dyDescent="0.2"/>
    <row r="32" spans="1:69"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A1:R1"/>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001"/>
  <sheetViews>
    <sheetView workbookViewId="0">
      <selection activeCell="J16" sqref="J16"/>
    </sheetView>
  </sheetViews>
  <sheetFormatPr defaultColWidth="12.625" defaultRowHeight="15" customHeight="1" x14ac:dyDescent="0.2"/>
  <cols>
    <col min="1" max="1" width="7.625" customWidth="1"/>
    <col min="2" max="2" width="13.875" customWidth="1"/>
    <col min="3" max="3" width="12.125" customWidth="1"/>
    <col min="4" max="4" width="10.75" customWidth="1"/>
    <col min="5" max="5" width="12.375" customWidth="1"/>
    <col min="6" max="6" width="13.5" customWidth="1"/>
    <col min="7" max="7" width="16.125" customWidth="1"/>
    <col min="8" max="8" width="10.25" customWidth="1"/>
    <col min="9" max="9" width="7.625" customWidth="1"/>
    <col min="10" max="10" width="9.75" customWidth="1"/>
    <col min="11" max="26" width="7.625" customWidth="1"/>
  </cols>
  <sheetData>
    <row r="1" spans="1:10" ht="14.25" customHeight="1" x14ac:dyDescent="0.25">
      <c r="A1" s="16" t="s">
        <v>112</v>
      </c>
      <c r="B1" s="16" t="s">
        <v>51</v>
      </c>
      <c r="C1" s="16" t="s">
        <v>139</v>
      </c>
      <c r="D1" s="16" t="s">
        <v>140</v>
      </c>
      <c r="E1" s="16" t="s">
        <v>141</v>
      </c>
      <c r="F1" s="16" t="s">
        <v>142</v>
      </c>
      <c r="G1" s="16" t="s">
        <v>143</v>
      </c>
      <c r="H1" s="16" t="s">
        <v>113</v>
      </c>
    </row>
    <row r="2" spans="1:10" ht="14.25" customHeight="1" x14ac:dyDescent="0.25">
      <c r="B2" s="2" t="s">
        <v>64</v>
      </c>
      <c r="C2" s="4">
        <v>60000</v>
      </c>
      <c r="D2" s="4">
        <v>6000</v>
      </c>
      <c r="E2" s="4">
        <f t="shared" ref="E2:E15" si="0">C2+D2</f>
        <v>66000</v>
      </c>
      <c r="F2" s="4">
        <v>66000</v>
      </c>
      <c r="G2" s="4">
        <f>F2-C2</f>
        <v>6000</v>
      </c>
      <c r="H2" s="4">
        <f t="shared" ref="H2:H15" si="1">E2-F2</f>
        <v>0</v>
      </c>
    </row>
    <row r="3" spans="1:10" ht="14.25" customHeight="1" x14ac:dyDescent="0.25">
      <c r="B3" s="2" t="s">
        <v>57</v>
      </c>
      <c r="C3" s="4">
        <v>60000</v>
      </c>
      <c r="D3" s="4">
        <v>6000</v>
      </c>
      <c r="E3" s="4">
        <f t="shared" si="0"/>
        <v>66000</v>
      </c>
      <c r="F3" s="4">
        <v>66000</v>
      </c>
      <c r="G3" s="4">
        <f>F3-C3</f>
        <v>6000</v>
      </c>
      <c r="H3" s="4">
        <f t="shared" si="1"/>
        <v>0</v>
      </c>
    </row>
    <row r="4" spans="1:10" ht="14.25" customHeight="1" x14ac:dyDescent="0.25">
      <c r="B4" s="2" t="s">
        <v>25</v>
      </c>
      <c r="C4" s="4">
        <v>100000</v>
      </c>
      <c r="D4" s="4">
        <v>5000</v>
      </c>
      <c r="E4" s="4">
        <f t="shared" si="0"/>
        <v>105000</v>
      </c>
      <c r="F4" s="4">
        <v>105000</v>
      </c>
      <c r="G4" s="4">
        <f>F4-C4</f>
        <v>5000</v>
      </c>
      <c r="H4" s="4">
        <f t="shared" si="1"/>
        <v>0</v>
      </c>
    </row>
    <row r="5" spans="1:10" ht="14.25" customHeight="1" x14ac:dyDescent="0.25">
      <c r="B5" s="2" t="s">
        <v>27</v>
      </c>
      <c r="C5" s="4">
        <v>60000</v>
      </c>
      <c r="D5" s="4">
        <v>6000</v>
      </c>
      <c r="E5" s="4">
        <f t="shared" si="0"/>
        <v>66000</v>
      </c>
      <c r="F5" s="4">
        <v>66000</v>
      </c>
      <c r="G5" s="4">
        <f>F5-C5</f>
        <v>6000</v>
      </c>
      <c r="H5" s="4">
        <f t="shared" si="1"/>
        <v>0</v>
      </c>
    </row>
    <row r="6" spans="1:10" ht="14.25" customHeight="1" x14ac:dyDescent="0.25">
      <c r="B6" s="2" t="s">
        <v>144</v>
      </c>
      <c r="C6" s="4">
        <v>100000</v>
      </c>
      <c r="D6" s="4">
        <f t="shared" ref="D6:D15" si="2">C6*10%</f>
        <v>10000</v>
      </c>
      <c r="E6" s="4">
        <f t="shared" si="0"/>
        <v>110000</v>
      </c>
      <c r="F6" s="25">
        <v>88000</v>
      </c>
      <c r="G6" s="4">
        <f>F6-C6</f>
        <v>-12000</v>
      </c>
      <c r="H6" s="4">
        <f t="shared" si="1"/>
        <v>22000</v>
      </c>
      <c r="I6" t="s">
        <v>209</v>
      </c>
    </row>
    <row r="7" spans="1:10" ht="14.25" customHeight="1" x14ac:dyDescent="0.25">
      <c r="B7" s="2" t="s">
        <v>115</v>
      </c>
      <c r="C7" s="4">
        <v>150000</v>
      </c>
      <c r="D7" s="4">
        <f t="shared" si="2"/>
        <v>15000</v>
      </c>
      <c r="E7" s="4">
        <f t="shared" si="0"/>
        <v>165000</v>
      </c>
      <c r="F7" s="4">
        <v>165000</v>
      </c>
      <c r="G7" s="4">
        <v>13500</v>
      </c>
      <c r="H7" s="4">
        <f t="shared" si="1"/>
        <v>0</v>
      </c>
      <c r="I7" t="s">
        <v>247</v>
      </c>
    </row>
    <row r="8" spans="1:10" ht="14.25" customHeight="1" x14ac:dyDescent="0.25">
      <c r="B8" s="2" t="s">
        <v>57</v>
      </c>
      <c r="C8" s="4">
        <v>120000</v>
      </c>
      <c r="D8" s="4">
        <f t="shared" si="2"/>
        <v>12000</v>
      </c>
      <c r="E8" s="4">
        <f t="shared" si="0"/>
        <v>132000</v>
      </c>
      <c r="F8" s="25">
        <v>132000</v>
      </c>
      <c r="G8" s="4">
        <f t="shared" ref="G8:G15" si="3">F8-C8</f>
        <v>12000</v>
      </c>
      <c r="H8" s="4">
        <f t="shared" si="1"/>
        <v>0</v>
      </c>
      <c r="J8" s="4"/>
    </row>
    <row r="9" spans="1:10" ht="14.25" customHeight="1" x14ac:dyDescent="0.25">
      <c r="B9" s="2" t="s">
        <v>145</v>
      </c>
      <c r="C9" s="4">
        <v>90000</v>
      </c>
      <c r="D9" s="4">
        <f t="shared" si="2"/>
        <v>9000</v>
      </c>
      <c r="E9" s="4">
        <f t="shared" si="0"/>
        <v>99000</v>
      </c>
      <c r="F9" s="4"/>
      <c r="G9" s="4">
        <f t="shared" si="3"/>
        <v>-90000</v>
      </c>
      <c r="H9" s="4">
        <f t="shared" si="1"/>
        <v>99000</v>
      </c>
    </row>
    <row r="10" spans="1:10" ht="14.25" customHeight="1" x14ac:dyDescent="0.25">
      <c r="B10" s="2" t="s">
        <v>29</v>
      </c>
      <c r="C10" s="4">
        <v>100000</v>
      </c>
      <c r="D10" s="4">
        <f t="shared" si="2"/>
        <v>10000</v>
      </c>
      <c r="E10" s="4">
        <f t="shared" si="0"/>
        <v>110000</v>
      </c>
      <c r="F10" s="4">
        <v>45000</v>
      </c>
      <c r="G10" s="4">
        <f t="shared" si="3"/>
        <v>-55000</v>
      </c>
      <c r="H10" s="4">
        <f t="shared" si="1"/>
        <v>65000</v>
      </c>
      <c r="I10" t="s">
        <v>210</v>
      </c>
    </row>
    <row r="11" spans="1:10" ht="14.25" customHeight="1" x14ac:dyDescent="0.25">
      <c r="B11" s="2" t="s">
        <v>64</v>
      </c>
      <c r="C11" s="4">
        <v>100000</v>
      </c>
      <c r="D11" s="4">
        <f t="shared" si="2"/>
        <v>10000</v>
      </c>
      <c r="E11" s="4">
        <f t="shared" si="0"/>
        <v>110000</v>
      </c>
      <c r="F11" s="25">
        <v>66000</v>
      </c>
      <c r="G11" s="4">
        <f t="shared" si="3"/>
        <v>-34000</v>
      </c>
      <c r="H11" s="4">
        <f t="shared" si="1"/>
        <v>44000</v>
      </c>
      <c r="I11" t="s">
        <v>208</v>
      </c>
    </row>
    <row r="12" spans="1:10" ht="14.25" customHeight="1" x14ac:dyDescent="0.25">
      <c r="B12" s="26" t="s">
        <v>27</v>
      </c>
      <c r="C12" s="54">
        <v>150000</v>
      </c>
      <c r="D12" s="4">
        <f t="shared" si="2"/>
        <v>15000</v>
      </c>
      <c r="E12" s="4">
        <f t="shared" si="0"/>
        <v>165000</v>
      </c>
      <c r="F12" s="25">
        <v>165000</v>
      </c>
      <c r="G12" s="4">
        <f t="shared" si="3"/>
        <v>15000</v>
      </c>
      <c r="H12" s="4">
        <v>85000</v>
      </c>
      <c r="I12" s="27" t="s">
        <v>211</v>
      </c>
    </row>
    <row r="13" spans="1:10" ht="14.25" customHeight="1" x14ac:dyDescent="0.25">
      <c r="A13" s="52" t="s">
        <v>205</v>
      </c>
      <c r="B13" s="2" t="s">
        <v>64</v>
      </c>
      <c r="C13" s="55">
        <v>100000</v>
      </c>
      <c r="D13" s="4">
        <f t="shared" si="2"/>
        <v>10000</v>
      </c>
      <c r="E13" s="4">
        <f t="shared" si="0"/>
        <v>110000</v>
      </c>
      <c r="F13" s="57">
        <v>30000</v>
      </c>
      <c r="G13" s="4">
        <f t="shared" si="3"/>
        <v>-70000</v>
      </c>
      <c r="H13" s="4">
        <f t="shared" si="1"/>
        <v>80000</v>
      </c>
      <c r="I13" s="27" t="s">
        <v>211</v>
      </c>
    </row>
    <row r="14" spans="1:10" ht="14.25" customHeight="1" x14ac:dyDescent="0.25">
      <c r="A14" s="52" t="s">
        <v>205</v>
      </c>
      <c r="B14" s="2" t="s">
        <v>55</v>
      </c>
      <c r="C14" s="56">
        <v>200000</v>
      </c>
      <c r="D14" s="4">
        <f t="shared" si="2"/>
        <v>20000</v>
      </c>
      <c r="E14" s="4">
        <f t="shared" si="0"/>
        <v>220000</v>
      </c>
      <c r="F14" s="57">
        <v>88000</v>
      </c>
      <c r="G14" s="4">
        <f t="shared" si="3"/>
        <v>-112000</v>
      </c>
      <c r="H14" s="4">
        <f t="shared" si="1"/>
        <v>132000</v>
      </c>
    </row>
    <row r="15" spans="1:10" ht="14.25" customHeight="1" x14ac:dyDescent="0.25">
      <c r="A15" s="52" t="s">
        <v>205</v>
      </c>
      <c r="B15" s="2" t="s">
        <v>27</v>
      </c>
      <c r="C15" s="56">
        <v>200000</v>
      </c>
      <c r="D15" s="4">
        <f t="shared" si="2"/>
        <v>20000</v>
      </c>
      <c r="E15" s="4">
        <f t="shared" si="0"/>
        <v>220000</v>
      </c>
      <c r="G15" s="4">
        <f t="shared" si="3"/>
        <v>-200000</v>
      </c>
      <c r="H15" s="4">
        <f t="shared" si="1"/>
        <v>220000</v>
      </c>
    </row>
    <row r="16" spans="1:10" ht="14.25" customHeight="1" x14ac:dyDescent="0.25">
      <c r="B16" s="2" t="s">
        <v>23</v>
      </c>
      <c r="C16" s="15">
        <f>SUM(C2:C15)</f>
        <v>1590000</v>
      </c>
      <c r="D16" s="15">
        <f>SUM(D2:D15)</f>
        <v>154000</v>
      </c>
      <c r="E16" s="15">
        <f>SUM(E2:E15)</f>
        <v>1744000</v>
      </c>
      <c r="F16" s="15">
        <f>SUM(F2:F15)</f>
        <v>1082000</v>
      </c>
      <c r="G16" s="15">
        <f>SUM(G2:G7)</f>
        <v>24500</v>
      </c>
      <c r="H16" s="15">
        <f>SUM(H6:H15)</f>
        <v>747000</v>
      </c>
    </row>
    <row r="17" spans="1:17" ht="14.25" customHeight="1" x14ac:dyDescent="0.2"/>
    <row r="18" spans="1:17" ht="14.25" customHeight="1" x14ac:dyDescent="0.2"/>
    <row r="19" spans="1:17" ht="14.25" customHeight="1" x14ac:dyDescent="0.2"/>
    <row r="20" spans="1:17" ht="14.25" customHeight="1" x14ac:dyDescent="0.2"/>
    <row r="21" spans="1:17" ht="14.25" customHeight="1" x14ac:dyDescent="0.2"/>
    <row r="22" spans="1:17" ht="14.25" customHeight="1" x14ac:dyDescent="0.2"/>
    <row r="23" spans="1:17" ht="14.25" customHeight="1" x14ac:dyDescent="0.25">
      <c r="B23" s="2" t="s">
        <v>145</v>
      </c>
      <c r="C23" s="4">
        <v>90000</v>
      </c>
      <c r="D23" s="4">
        <v>9000</v>
      </c>
      <c r="E23" s="4">
        <f>C23+D23</f>
        <v>99000</v>
      </c>
      <c r="F23" s="4">
        <v>99000</v>
      </c>
      <c r="G23" s="4">
        <f>F23-C23</f>
        <v>9000</v>
      </c>
      <c r="H23" s="4">
        <f>E23-F23</f>
        <v>0</v>
      </c>
      <c r="K23" t="s">
        <v>242</v>
      </c>
      <c r="P23" t="s">
        <v>249</v>
      </c>
    </row>
    <row r="24" spans="1:17" ht="14.25" customHeight="1" x14ac:dyDescent="0.25">
      <c r="B24" s="26" t="s">
        <v>27</v>
      </c>
      <c r="C24" s="54">
        <v>150000</v>
      </c>
      <c r="D24" s="4">
        <v>15000</v>
      </c>
      <c r="E24" s="4">
        <f>C24+D24</f>
        <v>165000</v>
      </c>
      <c r="F24" s="57">
        <v>165000</v>
      </c>
      <c r="G24" s="4">
        <v>15000</v>
      </c>
      <c r="H24" s="4"/>
      <c r="K24" t="s">
        <v>243</v>
      </c>
      <c r="P24" t="s">
        <v>249</v>
      </c>
    </row>
    <row r="25" spans="1:17" ht="14.25" customHeight="1" x14ac:dyDescent="0.25">
      <c r="A25" s="52" t="s">
        <v>205</v>
      </c>
      <c r="B25" s="2" t="s">
        <v>64</v>
      </c>
      <c r="C25" s="55">
        <v>100000</v>
      </c>
      <c r="D25" s="4">
        <f>C25*10%</f>
        <v>10000</v>
      </c>
      <c r="E25" s="4">
        <f>C25+D25</f>
        <v>110000</v>
      </c>
      <c r="F25" s="57">
        <v>110000</v>
      </c>
      <c r="G25" s="4">
        <f>F25-C25</f>
        <v>10000</v>
      </c>
      <c r="H25" s="4">
        <f>E25-F25</f>
        <v>0</v>
      </c>
      <c r="K25" t="s">
        <v>248</v>
      </c>
      <c r="P25" t="s">
        <v>249</v>
      </c>
      <c r="Q25" t="s">
        <v>252</v>
      </c>
    </row>
    <row r="26" spans="1:17" ht="14.25" customHeight="1" x14ac:dyDescent="0.25">
      <c r="A26" s="52" t="s">
        <v>205</v>
      </c>
      <c r="B26" s="2" t="s">
        <v>55</v>
      </c>
      <c r="C26" s="56">
        <v>200000</v>
      </c>
      <c r="D26" s="4">
        <f>C26*10%</f>
        <v>20000</v>
      </c>
      <c r="E26" s="4">
        <f>C26+D26</f>
        <v>220000</v>
      </c>
      <c r="F26" s="57">
        <v>220000</v>
      </c>
      <c r="G26" s="4">
        <f>F26-C26</f>
        <v>20000</v>
      </c>
      <c r="H26" s="4">
        <f>E26-F26</f>
        <v>0</v>
      </c>
      <c r="K26" t="s">
        <v>251</v>
      </c>
    </row>
    <row r="27" spans="1:17" ht="14.25" customHeight="1" x14ac:dyDescent="0.25">
      <c r="A27" s="52" t="s">
        <v>205</v>
      </c>
      <c r="B27" s="2" t="s">
        <v>27</v>
      </c>
      <c r="C27" s="56">
        <v>200000</v>
      </c>
      <c r="D27" s="4">
        <f>C27*10%</f>
        <v>20000</v>
      </c>
      <c r="E27" s="4">
        <f>C27+D27</f>
        <v>220000</v>
      </c>
      <c r="F27" s="57">
        <v>170000</v>
      </c>
      <c r="G27" s="4">
        <f>F27-C27</f>
        <v>-30000</v>
      </c>
      <c r="H27" s="4">
        <f>E27-F27</f>
        <v>50000</v>
      </c>
      <c r="K27" t="s">
        <v>254</v>
      </c>
    </row>
    <row r="28" spans="1:17" ht="14.25" customHeight="1" x14ac:dyDescent="0.25">
      <c r="B28" s="2" t="s">
        <v>23</v>
      </c>
      <c r="C28" s="15">
        <f>SUM(C23:C27)</f>
        <v>740000</v>
      </c>
      <c r="D28" s="15">
        <f>SUM(D23:D27)</f>
        <v>74000</v>
      </c>
      <c r="E28" s="15">
        <f>SUM(E23:E27)</f>
        <v>814000</v>
      </c>
      <c r="F28" s="15">
        <f>SUM(F24:F27)</f>
        <v>665000</v>
      </c>
      <c r="G28" s="15">
        <f>SUM(G14:G19)</f>
        <v>-287500</v>
      </c>
      <c r="H28" s="15">
        <f>SUM(H23:H27)</f>
        <v>50000</v>
      </c>
    </row>
    <row r="29" spans="1:17" ht="14.25" customHeight="1" x14ac:dyDescent="0.2"/>
    <row r="30" spans="1:17" ht="14.25" customHeight="1" x14ac:dyDescent="0.2"/>
    <row r="31" spans="1:17" ht="14.25" customHeight="1" x14ac:dyDescent="0.2"/>
    <row r="32" spans="1:17"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X1000"/>
  <sheetViews>
    <sheetView workbookViewId="0">
      <pane xSplit="1" topLeftCell="B1" activePane="topRight" state="frozen"/>
      <selection pane="topRight" activeCell="A13" sqref="A13"/>
    </sheetView>
  </sheetViews>
  <sheetFormatPr defaultColWidth="12.625" defaultRowHeight="15" customHeight="1" x14ac:dyDescent="0.2"/>
  <cols>
    <col min="1" max="1" width="13.5" customWidth="1"/>
    <col min="2" max="2" width="12" customWidth="1"/>
    <col min="3" max="3" width="13.875" customWidth="1"/>
    <col min="4" max="4" width="7.625" customWidth="1"/>
    <col min="5" max="5" width="9.625" customWidth="1"/>
    <col min="6" max="19" width="7.625" customWidth="1"/>
    <col min="20" max="20" width="13.625" customWidth="1"/>
    <col min="21" max="21" width="9.875" customWidth="1"/>
    <col min="22" max="57" width="7.625" customWidth="1"/>
    <col min="74" max="74" width="16.125" customWidth="1"/>
    <col min="75" max="75" width="13.375" customWidth="1"/>
  </cols>
  <sheetData>
    <row r="1" spans="1:76" ht="14.25" customHeight="1" x14ac:dyDescent="0.25">
      <c r="A1" s="80">
        <v>2019</v>
      </c>
      <c r="B1" s="78"/>
      <c r="C1" s="78"/>
      <c r="D1" s="78"/>
      <c r="E1" s="78"/>
      <c r="F1" s="78"/>
      <c r="G1" s="78"/>
      <c r="H1" s="78"/>
      <c r="I1" s="78"/>
      <c r="J1" s="78"/>
      <c r="K1" s="78"/>
      <c r="L1" s="78"/>
      <c r="M1" s="78"/>
      <c r="N1" s="78"/>
      <c r="O1" s="78"/>
      <c r="P1" s="78"/>
      <c r="Q1" s="78"/>
      <c r="R1" s="78"/>
      <c r="S1" s="78"/>
      <c r="T1" s="78"/>
      <c r="U1" s="78"/>
      <c r="V1" s="79"/>
      <c r="W1">
        <v>2019</v>
      </c>
      <c r="X1">
        <v>2019</v>
      </c>
      <c r="Y1">
        <v>2020</v>
      </c>
      <c r="Z1">
        <v>2020</v>
      </c>
      <c r="AA1">
        <v>2020</v>
      </c>
      <c r="AB1">
        <v>2020</v>
      </c>
      <c r="AC1">
        <v>2020</v>
      </c>
      <c r="AD1">
        <v>2020</v>
      </c>
      <c r="AE1">
        <v>2020</v>
      </c>
      <c r="AF1">
        <v>2020</v>
      </c>
      <c r="AG1">
        <v>2020</v>
      </c>
      <c r="AN1" s="52" t="s">
        <v>204</v>
      </c>
      <c r="AO1" s="52" t="s">
        <v>204</v>
      </c>
      <c r="AP1" s="52" t="s">
        <v>204</v>
      </c>
      <c r="AQ1" s="52" t="s">
        <v>205</v>
      </c>
      <c r="AR1" s="52" t="s">
        <v>205</v>
      </c>
      <c r="AS1" s="52" t="s">
        <v>205</v>
      </c>
      <c r="AT1" s="52" t="s">
        <v>205</v>
      </c>
      <c r="AU1" s="52" t="s">
        <v>205</v>
      </c>
      <c r="AV1" s="52" t="s">
        <v>205</v>
      </c>
      <c r="AW1" s="52" t="s">
        <v>205</v>
      </c>
      <c r="AX1" s="52" t="s">
        <v>205</v>
      </c>
      <c r="AY1" s="52" t="s">
        <v>205</v>
      </c>
      <c r="BF1" s="58">
        <v>44470</v>
      </c>
      <c r="BG1" s="58">
        <v>44501</v>
      </c>
      <c r="BH1" s="58">
        <v>44531</v>
      </c>
      <c r="BI1" s="58">
        <v>44562</v>
      </c>
      <c r="BJ1" s="58">
        <v>44593</v>
      </c>
      <c r="BK1" s="58">
        <v>44621</v>
      </c>
      <c r="BL1" s="58">
        <v>44652</v>
      </c>
      <c r="BM1" s="58">
        <v>44682</v>
      </c>
      <c r="BN1" s="58">
        <v>44713</v>
      </c>
      <c r="BO1" s="58">
        <v>44743</v>
      </c>
      <c r="BP1" s="58">
        <v>44774</v>
      </c>
      <c r="BQ1" s="58">
        <v>44805</v>
      </c>
      <c r="BS1" t="s">
        <v>147</v>
      </c>
      <c r="BU1" t="s">
        <v>246</v>
      </c>
    </row>
    <row r="2" spans="1:76" ht="14.25" customHeight="1" x14ac:dyDescent="0.25">
      <c r="A2" s="18" t="s">
        <v>51</v>
      </c>
      <c r="B2" s="18" t="s">
        <v>146</v>
      </c>
      <c r="C2" s="18" t="s">
        <v>119</v>
      </c>
      <c r="D2" s="18" t="s">
        <v>120</v>
      </c>
      <c r="E2" s="18" t="s">
        <v>121</v>
      </c>
      <c r="F2" s="18" t="s">
        <v>122</v>
      </c>
      <c r="G2" s="18" t="s">
        <v>123</v>
      </c>
      <c r="H2" s="18" t="s">
        <v>124</v>
      </c>
      <c r="I2" s="18" t="s">
        <v>125</v>
      </c>
      <c r="J2" s="18" t="s">
        <v>126</v>
      </c>
      <c r="K2" s="18" t="s">
        <v>127</v>
      </c>
      <c r="L2" s="18" t="s">
        <v>128</v>
      </c>
      <c r="M2" s="18" t="s">
        <v>129</v>
      </c>
      <c r="N2" s="18" t="s">
        <v>130</v>
      </c>
      <c r="O2" s="18" t="s">
        <v>131</v>
      </c>
      <c r="P2" s="18" t="s">
        <v>23</v>
      </c>
      <c r="Q2" s="18" t="s">
        <v>133</v>
      </c>
      <c r="R2" s="18" t="s">
        <v>52</v>
      </c>
      <c r="S2" s="18" t="s">
        <v>23</v>
      </c>
      <c r="T2" s="18" t="s">
        <v>147</v>
      </c>
      <c r="U2" s="18" t="s">
        <v>148</v>
      </c>
      <c r="V2" s="18" t="s">
        <v>120</v>
      </c>
      <c r="W2" s="18" t="s">
        <v>121</v>
      </c>
      <c r="X2" s="18" t="s">
        <v>122</v>
      </c>
      <c r="Y2" s="18" t="s">
        <v>123</v>
      </c>
      <c r="Z2" s="18" t="s">
        <v>124</v>
      </c>
      <c r="AA2" s="18" t="s">
        <v>125</v>
      </c>
      <c r="AB2" s="18" t="s">
        <v>126</v>
      </c>
      <c r="AC2" s="18" t="s">
        <v>127</v>
      </c>
      <c r="AD2" s="18" t="s">
        <v>128</v>
      </c>
      <c r="AE2" s="18" t="s">
        <v>129</v>
      </c>
      <c r="AF2" s="18" t="s">
        <v>130</v>
      </c>
      <c r="AG2" s="18" t="s">
        <v>131</v>
      </c>
      <c r="AH2" s="18" t="s">
        <v>23</v>
      </c>
      <c r="AI2" s="18" t="s">
        <v>149</v>
      </c>
      <c r="AJ2" s="18" t="s">
        <v>52</v>
      </c>
      <c r="AK2" s="28" t="s">
        <v>150</v>
      </c>
      <c r="AL2" s="28" t="s">
        <v>147</v>
      </c>
      <c r="AM2" s="28" t="s">
        <v>148</v>
      </c>
      <c r="AN2" s="28" t="s">
        <v>120</v>
      </c>
      <c r="AO2" s="28" t="s">
        <v>121</v>
      </c>
      <c r="AP2" s="28" t="s">
        <v>122</v>
      </c>
      <c r="AQ2" s="28" t="s">
        <v>123</v>
      </c>
      <c r="AR2" s="28" t="s">
        <v>124</v>
      </c>
      <c r="AS2" s="28" t="s">
        <v>125</v>
      </c>
      <c r="AT2" s="28" t="s">
        <v>126</v>
      </c>
      <c r="AU2" s="28" t="s">
        <v>127</v>
      </c>
      <c r="AV2" s="28" t="s">
        <v>128</v>
      </c>
      <c r="AW2" s="28" t="s">
        <v>129</v>
      </c>
      <c r="AX2" s="28" t="s">
        <v>130</v>
      </c>
      <c r="AY2" s="28" t="s">
        <v>131</v>
      </c>
      <c r="AZ2" s="28" t="s">
        <v>23</v>
      </c>
      <c r="BA2" s="28" t="s">
        <v>149</v>
      </c>
      <c r="BB2" s="28" t="s">
        <v>52</v>
      </c>
      <c r="BC2" s="28" t="s">
        <v>23</v>
      </c>
      <c r="BD2" s="28" t="s">
        <v>147</v>
      </c>
      <c r="BE2" s="66" t="s">
        <v>148</v>
      </c>
      <c r="BF2" s="61"/>
      <c r="BG2" s="61"/>
      <c r="BH2" s="61"/>
      <c r="BI2" s="61"/>
      <c r="BJ2" s="61"/>
      <c r="BK2" s="61"/>
      <c r="BL2" s="61"/>
      <c r="BM2" s="61"/>
      <c r="BN2" s="61"/>
      <c r="BO2" s="61"/>
      <c r="BP2" s="61"/>
      <c r="BQ2" s="61"/>
      <c r="BR2" s="69" t="s">
        <v>245</v>
      </c>
      <c r="BS2" s="28" t="s">
        <v>149</v>
      </c>
      <c r="BT2" s="28" t="s">
        <v>52</v>
      </c>
      <c r="BU2" s="28" t="s">
        <v>23</v>
      </c>
      <c r="BV2" s="28" t="s">
        <v>147</v>
      </c>
      <c r="BW2" s="28" t="s">
        <v>148</v>
      </c>
    </row>
    <row r="3" spans="1:76" ht="14.25" customHeight="1" x14ac:dyDescent="0.25">
      <c r="A3" s="13" t="s">
        <v>25</v>
      </c>
      <c r="B3" s="13">
        <v>1000</v>
      </c>
      <c r="C3" s="13">
        <v>110000</v>
      </c>
      <c r="D3" s="13"/>
      <c r="E3" s="13"/>
      <c r="F3" s="13"/>
      <c r="G3" s="13"/>
      <c r="H3" s="13"/>
      <c r="I3" s="13"/>
      <c r="J3" s="13"/>
      <c r="K3" s="13"/>
      <c r="L3" s="13"/>
      <c r="M3" s="13"/>
      <c r="N3" s="13"/>
      <c r="O3" s="13"/>
      <c r="P3" s="3">
        <f t="shared" ref="P3:P17" si="0">SUM(D3:O3)</f>
        <v>0</v>
      </c>
      <c r="Q3" s="3">
        <f t="shared" ref="Q3:Q16" si="1">12*5000</f>
        <v>60000</v>
      </c>
      <c r="R3" s="3">
        <f t="shared" ref="R3:R15" si="2">P3-Q3</f>
        <v>-60000</v>
      </c>
      <c r="S3" s="3">
        <f t="shared" ref="S3:S17" si="3">SUM(C3:O3)</f>
        <v>110000</v>
      </c>
      <c r="T3" s="3">
        <f t="shared" ref="T3:T16" si="4">105000+Q3</f>
        <v>165000</v>
      </c>
      <c r="U3" s="13">
        <f t="shared" ref="U3:U17" si="5">S3-T3</f>
        <v>-55000</v>
      </c>
      <c r="V3" s="13"/>
      <c r="W3" s="13"/>
      <c r="X3" s="13"/>
      <c r="Y3" s="13"/>
      <c r="Z3" s="13">
        <v>0</v>
      </c>
      <c r="AA3" s="13">
        <v>0</v>
      </c>
      <c r="AB3" s="29">
        <v>0</v>
      </c>
      <c r="AC3" s="29">
        <v>0</v>
      </c>
      <c r="AD3" s="13"/>
      <c r="AE3" s="13"/>
      <c r="AF3" s="13"/>
      <c r="AG3" s="13"/>
      <c r="AH3" s="13">
        <f t="shared" ref="AH3:AH17" si="6">SUM(V3:AG3)</f>
        <v>0</v>
      </c>
      <c r="AI3" s="13">
        <v>40000</v>
      </c>
      <c r="AJ3" s="13">
        <f t="shared" ref="AJ3:AJ17" si="7">AH3-AI3</f>
        <v>-40000</v>
      </c>
      <c r="AK3" s="13">
        <f t="shared" ref="AK3:AK17" si="8">S3+AH3</f>
        <v>110000</v>
      </c>
      <c r="AL3" s="13">
        <f t="shared" ref="AL3:AL17" si="9">T3+AI3</f>
        <v>205000</v>
      </c>
      <c r="AM3" s="13">
        <f t="shared" ref="AM3:AM17" si="10">AK3-AL3</f>
        <v>-95000</v>
      </c>
      <c r="AN3" s="29"/>
      <c r="AO3" s="29"/>
      <c r="AP3" s="29"/>
      <c r="AQ3" s="29"/>
      <c r="AR3" s="29"/>
      <c r="AS3" s="29"/>
      <c r="AT3" s="29"/>
      <c r="AU3" s="29"/>
      <c r="AV3" s="29"/>
      <c r="AW3" s="29"/>
      <c r="AX3" s="29"/>
      <c r="AY3" s="29"/>
      <c r="AZ3" s="13">
        <f t="shared" ref="AZ3:AZ17" si="11">SUM(AN3:AY3)</f>
        <v>0</v>
      </c>
      <c r="BA3" s="13">
        <v>60000</v>
      </c>
      <c r="BB3" s="13">
        <f t="shared" ref="BB3:BB16" si="12">AZ3-BA3</f>
        <v>-60000</v>
      </c>
      <c r="BC3" s="13">
        <f t="shared" ref="BC3:BC11" si="13">AK3+AZ3</f>
        <v>110000</v>
      </c>
      <c r="BD3" s="13">
        <f t="shared" ref="BD3:BD11" si="14">AL3+BA3</f>
        <v>265000</v>
      </c>
      <c r="BE3" s="67">
        <f t="shared" ref="BE3:BE16" si="15">BC3-BD3</f>
        <v>-155000</v>
      </c>
      <c r="BF3" s="61">
        <v>120000</v>
      </c>
      <c r="BG3" s="61"/>
      <c r="BH3" s="61"/>
      <c r="BI3" s="61"/>
      <c r="BJ3" s="61"/>
      <c r="BK3" s="61"/>
      <c r="BL3" s="61"/>
      <c r="BM3" s="61"/>
      <c r="BN3" s="61"/>
      <c r="BO3" s="61"/>
      <c r="BP3" s="61"/>
      <c r="BQ3" s="61"/>
      <c r="BR3" s="70">
        <f t="shared" ref="BR3:BR18" si="16">SUM(BF3:BQ3)</f>
        <v>120000</v>
      </c>
      <c r="BS3" s="13">
        <v>0</v>
      </c>
      <c r="BT3" s="13">
        <v>0</v>
      </c>
      <c r="BU3" s="13">
        <f t="shared" ref="BU3:BU17" si="17">BC3+BR3</f>
        <v>230000</v>
      </c>
      <c r="BV3" s="13">
        <f t="shared" ref="BV3:BV17" si="18">BD3+BS3</f>
        <v>265000</v>
      </c>
      <c r="BW3" s="13">
        <f t="shared" ref="BW3:BW17" si="19">BU3-BV3</f>
        <v>-35000</v>
      </c>
    </row>
    <row r="4" spans="1:76" ht="14.25" customHeight="1" x14ac:dyDescent="0.25">
      <c r="A4" s="13" t="s">
        <v>53</v>
      </c>
      <c r="B4" s="13">
        <v>1000</v>
      </c>
      <c r="C4" s="13">
        <v>105000</v>
      </c>
      <c r="D4" s="3">
        <v>5000</v>
      </c>
      <c r="E4" s="3">
        <v>5000</v>
      </c>
      <c r="F4" s="3">
        <v>5000</v>
      </c>
      <c r="G4" s="3">
        <v>5000</v>
      </c>
      <c r="H4" s="3">
        <v>5000</v>
      </c>
      <c r="I4" s="3">
        <v>5000</v>
      </c>
      <c r="J4" s="3">
        <v>5000</v>
      </c>
      <c r="K4" s="3">
        <v>5000</v>
      </c>
      <c r="L4" s="3">
        <v>5000</v>
      </c>
      <c r="M4" s="3">
        <v>5000</v>
      </c>
      <c r="N4" s="3">
        <v>5000</v>
      </c>
      <c r="O4" s="3">
        <v>5000</v>
      </c>
      <c r="P4" s="3">
        <f t="shared" si="0"/>
        <v>60000</v>
      </c>
      <c r="Q4" s="3">
        <f t="shared" si="1"/>
        <v>60000</v>
      </c>
      <c r="R4" s="3">
        <f t="shared" si="2"/>
        <v>0</v>
      </c>
      <c r="S4" s="3">
        <f t="shared" si="3"/>
        <v>165000</v>
      </c>
      <c r="T4" s="3">
        <f t="shared" si="4"/>
        <v>165000</v>
      </c>
      <c r="U4" s="13">
        <f t="shared" si="5"/>
        <v>0</v>
      </c>
      <c r="V4" s="24">
        <v>5000</v>
      </c>
      <c r="W4" s="3">
        <v>5000</v>
      </c>
      <c r="X4" s="3">
        <v>5000</v>
      </c>
      <c r="Y4" s="3">
        <v>5000</v>
      </c>
      <c r="Z4" s="13">
        <v>0</v>
      </c>
      <c r="AA4" s="13">
        <v>0</v>
      </c>
      <c r="AB4" s="13">
        <v>0</v>
      </c>
      <c r="AC4" s="13">
        <v>0</v>
      </c>
      <c r="AD4" s="24">
        <v>5000</v>
      </c>
      <c r="AE4" s="24">
        <v>5000</v>
      </c>
      <c r="AF4" s="24">
        <v>5000</v>
      </c>
      <c r="AG4" s="24">
        <v>5000</v>
      </c>
      <c r="AH4" s="13">
        <f t="shared" si="6"/>
        <v>40000</v>
      </c>
      <c r="AI4" s="13">
        <v>40000</v>
      </c>
      <c r="AJ4" s="13">
        <f t="shared" si="7"/>
        <v>0</v>
      </c>
      <c r="AK4" s="13">
        <f t="shared" si="8"/>
        <v>205000</v>
      </c>
      <c r="AL4" s="13">
        <f t="shared" si="9"/>
        <v>205000</v>
      </c>
      <c r="AM4" s="13">
        <f t="shared" si="10"/>
        <v>0</v>
      </c>
      <c r="AN4" s="24">
        <v>5000</v>
      </c>
      <c r="AO4" s="24">
        <v>5000</v>
      </c>
      <c r="AP4" s="24">
        <v>5000</v>
      </c>
      <c r="AQ4" s="24">
        <v>5000</v>
      </c>
      <c r="AR4" s="29">
        <v>5000</v>
      </c>
      <c r="AS4" s="29">
        <v>10000</v>
      </c>
      <c r="AT4" s="24">
        <v>5000</v>
      </c>
      <c r="AU4" s="24"/>
      <c r="AV4" s="24"/>
      <c r="AW4" s="24">
        <v>10000</v>
      </c>
      <c r="AX4" s="24">
        <v>5000</v>
      </c>
      <c r="AY4" s="24">
        <v>10000</v>
      </c>
      <c r="AZ4" s="13">
        <f t="shared" si="11"/>
        <v>65000</v>
      </c>
      <c r="BA4" s="13">
        <v>60000</v>
      </c>
      <c r="BB4" s="13">
        <f t="shared" si="12"/>
        <v>5000</v>
      </c>
      <c r="BC4" s="13">
        <f t="shared" si="13"/>
        <v>270000</v>
      </c>
      <c r="BD4" s="13">
        <f t="shared" si="14"/>
        <v>265000</v>
      </c>
      <c r="BE4" s="67">
        <f t="shared" si="15"/>
        <v>5000</v>
      </c>
      <c r="BF4" s="61"/>
      <c r="BG4" s="61"/>
      <c r="BH4" s="61"/>
      <c r="BI4" s="61"/>
      <c r="BJ4" s="61"/>
      <c r="BK4" s="61"/>
      <c r="BL4" s="61"/>
      <c r="BM4" s="61"/>
      <c r="BN4" s="61"/>
      <c r="BO4" s="61"/>
      <c r="BP4" s="61"/>
      <c r="BQ4" s="61"/>
      <c r="BR4" s="70">
        <v>0</v>
      </c>
      <c r="BS4" s="13">
        <v>0</v>
      </c>
      <c r="BT4" s="13">
        <f t="shared" ref="BT4:BT17" si="20">BR4-BS4</f>
        <v>0</v>
      </c>
      <c r="BU4" s="13">
        <v>270000</v>
      </c>
      <c r="BV4" s="13">
        <f t="shared" si="18"/>
        <v>265000</v>
      </c>
      <c r="BW4" s="13">
        <f t="shared" si="19"/>
        <v>5000</v>
      </c>
    </row>
    <row r="5" spans="1:76" ht="14.25" customHeight="1" x14ac:dyDescent="0.25">
      <c r="A5" s="13" t="s">
        <v>54</v>
      </c>
      <c r="B5" s="13">
        <v>1000</v>
      </c>
      <c r="C5" s="13">
        <v>105000</v>
      </c>
      <c r="D5" s="3"/>
      <c r="E5" s="3"/>
      <c r="F5" s="3"/>
      <c r="G5" s="3"/>
      <c r="H5" s="3"/>
      <c r="I5" s="3"/>
      <c r="J5" s="3"/>
      <c r="K5" s="3"/>
      <c r="L5" s="3"/>
      <c r="M5" s="3">
        <v>2000</v>
      </c>
      <c r="N5" s="3">
        <v>58000</v>
      </c>
      <c r="O5" s="3"/>
      <c r="P5" s="3">
        <f t="shared" si="0"/>
        <v>60000</v>
      </c>
      <c r="Q5" s="3">
        <f t="shared" si="1"/>
        <v>60000</v>
      </c>
      <c r="R5" s="3">
        <f t="shared" si="2"/>
        <v>0</v>
      </c>
      <c r="S5" s="3">
        <f t="shared" si="3"/>
        <v>165000</v>
      </c>
      <c r="T5" s="3">
        <f t="shared" si="4"/>
        <v>165000</v>
      </c>
      <c r="U5" s="13">
        <f t="shared" si="5"/>
        <v>0</v>
      </c>
      <c r="V5" s="3"/>
      <c r="W5" s="3"/>
      <c r="X5" s="3">
        <v>5000</v>
      </c>
      <c r="Y5" s="3">
        <v>5500</v>
      </c>
      <c r="Z5" s="13">
        <v>0</v>
      </c>
      <c r="AA5" s="13">
        <v>0</v>
      </c>
      <c r="AB5" s="13">
        <v>0</v>
      </c>
      <c r="AC5" s="13">
        <v>0</v>
      </c>
      <c r="AD5" s="24">
        <v>5500</v>
      </c>
      <c r="AE5" s="24">
        <v>5500</v>
      </c>
      <c r="AF5" s="24">
        <v>0</v>
      </c>
      <c r="AG5" s="24">
        <v>18500</v>
      </c>
      <c r="AH5" s="13">
        <f t="shared" si="6"/>
        <v>40000</v>
      </c>
      <c r="AI5" s="13">
        <v>40000</v>
      </c>
      <c r="AJ5" s="13">
        <f t="shared" si="7"/>
        <v>0</v>
      </c>
      <c r="AK5" s="13">
        <f t="shared" si="8"/>
        <v>205000</v>
      </c>
      <c r="AL5" s="13">
        <f t="shared" si="9"/>
        <v>205000</v>
      </c>
      <c r="AM5" s="13">
        <f t="shared" si="10"/>
        <v>0</v>
      </c>
      <c r="AN5" s="24">
        <v>10000</v>
      </c>
      <c r="AO5" s="24">
        <v>5000</v>
      </c>
      <c r="AP5" s="24">
        <v>5000</v>
      </c>
      <c r="AQ5" s="24"/>
      <c r="AR5" s="29"/>
      <c r="AS5" s="29"/>
      <c r="AT5" s="24"/>
      <c r="AU5" s="24">
        <v>5000</v>
      </c>
      <c r="AV5" s="24"/>
      <c r="AW5" s="24">
        <v>5000</v>
      </c>
      <c r="AX5" s="24"/>
      <c r="AY5" s="24"/>
      <c r="AZ5" s="13">
        <f t="shared" si="11"/>
        <v>30000</v>
      </c>
      <c r="BA5" s="13">
        <v>60000</v>
      </c>
      <c r="BB5" s="13">
        <f t="shared" si="12"/>
        <v>-30000</v>
      </c>
      <c r="BC5" s="13">
        <f t="shared" si="13"/>
        <v>235000</v>
      </c>
      <c r="BD5" s="13">
        <f t="shared" si="14"/>
        <v>265000</v>
      </c>
      <c r="BE5" s="67">
        <f t="shared" si="15"/>
        <v>-30000</v>
      </c>
      <c r="BF5" s="61">
        <v>30000</v>
      </c>
      <c r="BG5" s="61">
        <v>10000</v>
      </c>
      <c r="BH5" s="61">
        <v>5000</v>
      </c>
      <c r="BI5" s="61">
        <v>5000</v>
      </c>
      <c r="BJ5" s="61">
        <v>5000</v>
      </c>
      <c r="BK5" s="61">
        <v>5000</v>
      </c>
      <c r="BL5" s="61">
        <v>5000</v>
      </c>
      <c r="BM5" s="61">
        <v>5000</v>
      </c>
      <c r="BN5" s="61">
        <v>5000</v>
      </c>
      <c r="BO5" s="61">
        <v>5000</v>
      </c>
      <c r="BP5" s="61">
        <v>5000</v>
      </c>
      <c r="BQ5" s="61">
        <v>5000</v>
      </c>
      <c r="BR5" s="70">
        <f t="shared" si="16"/>
        <v>90000</v>
      </c>
      <c r="BS5" s="13">
        <v>60000</v>
      </c>
      <c r="BT5" s="13">
        <f t="shared" si="20"/>
        <v>30000</v>
      </c>
      <c r="BU5" s="13">
        <f t="shared" si="17"/>
        <v>325000</v>
      </c>
      <c r="BV5" s="13">
        <f t="shared" si="18"/>
        <v>325000</v>
      </c>
      <c r="BW5" s="13">
        <f t="shared" si="19"/>
        <v>0</v>
      </c>
    </row>
    <row r="6" spans="1:76" ht="14.25" customHeight="1" x14ac:dyDescent="0.25">
      <c r="A6" s="13" t="s">
        <v>55</v>
      </c>
      <c r="B6" s="13">
        <v>1000</v>
      </c>
      <c r="C6" s="13">
        <v>109500</v>
      </c>
      <c r="D6" s="3"/>
      <c r="E6" s="3"/>
      <c r="F6" s="3">
        <f>'Janet Dali'!C3</f>
        <v>15000</v>
      </c>
      <c r="G6" s="3"/>
      <c r="H6" s="3"/>
      <c r="I6" s="3"/>
      <c r="J6" s="3"/>
      <c r="K6" s="3"/>
      <c r="L6" s="3"/>
      <c r="M6" s="3">
        <v>54000</v>
      </c>
      <c r="N6" s="3"/>
      <c r="O6" s="3"/>
      <c r="P6" s="3">
        <f t="shared" si="0"/>
        <v>69000</v>
      </c>
      <c r="Q6" s="3">
        <f t="shared" si="1"/>
        <v>60000</v>
      </c>
      <c r="R6" s="3">
        <f t="shared" si="2"/>
        <v>9000</v>
      </c>
      <c r="S6" s="3">
        <f t="shared" si="3"/>
        <v>178500</v>
      </c>
      <c r="T6" s="3">
        <f t="shared" si="4"/>
        <v>165000</v>
      </c>
      <c r="U6" s="13">
        <f t="shared" si="5"/>
        <v>13500</v>
      </c>
      <c r="V6" s="3"/>
      <c r="W6" s="3"/>
      <c r="X6" s="3"/>
      <c r="Y6" s="3"/>
      <c r="Z6" s="13">
        <v>0</v>
      </c>
      <c r="AA6" s="13">
        <v>0</v>
      </c>
      <c r="AB6" s="29">
        <v>0</v>
      </c>
      <c r="AC6" s="29">
        <v>0</v>
      </c>
      <c r="AD6" s="3"/>
      <c r="AE6" s="3"/>
      <c r="AF6" s="3"/>
      <c r="AG6" s="3"/>
      <c r="AH6" s="13">
        <f t="shared" si="6"/>
        <v>0</v>
      </c>
      <c r="AI6" s="13">
        <v>40000</v>
      </c>
      <c r="AJ6" s="13">
        <f t="shared" si="7"/>
        <v>-40000</v>
      </c>
      <c r="AK6" s="13">
        <f t="shared" si="8"/>
        <v>178500</v>
      </c>
      <c r="AL6" s="13">
        <f t="shared" si="9"/>
        <v>205000</v>
      </c>
      <c r="AM6" s="13">
        <f t="shared" si="10"/>
        <v>-26500</v>
      </c>
      <c r="AN6" s="24">
        <v>26500</v>
      </c>
      <c r="AO6" s="24"/>
      <c r="AP6" s="24"/>
      <c r="AQ6" s="24"/>
      <c r="AR6" s="29"/>
      <c r="AS6" s="29"/>
      <c r="AT6" s="24"/>
      <c r="AU6" s="24"/>
      <c r="AV6" s="24"/>
      <c r="AW6" s="24"/>
      <c r="AX6" s="24"/>
      <c r="AY6" s="24">
        <v>60000</v>
      </c>
      <c r="AZ6" s="13">
        <f t="shared" si="11"/>
        <v>86500</v>
      </c>
      <c r="BA6" s="13">
        <v>60000</v>
      </c>
      <c r="BB6" s="13">
        <f t="shared" si="12"/>
        <v>26500</v>
      </c>
      <c r="BC6" s="13">
        <f t="shared" si="13"/>
        <v>265000</v>
      </c>
      <c r="BD6" s="13">
        <f t="shared" si="14"/>
        <v>265000</v>
      </c>
      <c r="BE6" s="67">
        <f t="shared" si="15"/>
        <v>0</v>
      </c>
      <c r="BF6" s="61"/>
      <c r="BG6" s="61"/>
      <c r="BH6" s="61"/>
      <c r="BI6" s="61"/>
      <c r="BJ6" s="61">
        <v>11000</v>
      </c>
      <c r="BK6" s="61"/>
      <c r="BL6" s="61"/>
      <c r="BM6" s="61"/>
      <c r="BN6" s="61">
        <v>38500</v>
      </c>
      <c r="BO6" s="61"/>
      <c r="BP6" s="61"/>
      <c r="BQ6" s="61"/>
      <c r="BR6" s="70">
        <f t="shared" si="16"/>
        <v>49500</v>
      </c>
      <c r="BS6" s="13">
        <v>60000</v>
      </c>
      <c r="BT6" s="13">
        <f t="shared" si="20"/>
        <v>-10500</v>
      </c>
      <c r="BU6" s="13">
        <f t="shared" si="17"/>
        <v>314500</v>
      </c>
      <c r="BV6" s="13">
        <f t="shared" si="18"/>
        <v>325000</v>
      </c>
      <c r="BW6" s="13">
        <f t="shared" si="19"/>
        <v>-10500</v>
      </c>
    </row>
    <row r="7" spans="1:76" ht="14.25" customHeight="1" x14ac:dyDescent="0.25">
      <c r="A7" s="13" t="s">
        <v>56</v>
      </c>
      <c r="B7" s="13">
        <v>1000</v>
      </c>
      <c r="C7" s="13">
        <v>105000</v>
      </c>
      <c r="D7" s="3"/>
      <c r="E7" s="3">
        <v>10000</v>
      </c>
      <c r="F7" s="3">
        <v>5000</v>
      </c>
      <c r="G7" s="3"/>
      <c r="H7" s="3">
        <v>10000</v>
      </c>
      <c r="I7" s="3"/>
      <c r="J7" s="3"/>
      <c r="K7" s="3"/>
      <c r="L7" s="3"/>
      <c r="M7" s="3"/>
      <c r="N7" s="3"/>
      <c r="O7" s="3">
        <v>35000</v>
      </c>
      <c r="P7" s="3">
        <f t="shared" si="0"/>
        <v>60000</v>
      </c>
      <c r="Q7" s="3">
        <f t="shared" si="1"/>
        <v>60000</v>
      </c>
      <c r="R7" s="3">
        <f t="shared" si="2"/>
        <v>0</v>
      </c>
      <c r="S7" s="3">
        <f t="shared" si="3"/>
        <v>165000</v>
      </c>
      <c r="T7" s="3">
        <f t="shared" si="4"/>
        <v>165000</v>
      </c>
      <c r="U7" s="13">
        <f t="shared" si="5"/>
        <v>0</v>
      </c>
      <c r="V7" s="3"/>
      <c r="W7" s="3">
        <v>5000</v>
      </c>
      <c r="X7" s="3"/>
      <c r="Y7" s="3"/>
      <c r="Z7" s="13">
        <v>0</v>
      </c>
      <c r="AA7" s="13">
        <v>0</v>
      </c>
      <c r="AB7" s="29">
        <v>0</v>
      </c>
      <c r="AC7" s="29">
        <v>0</v>
      </c>
      <c r="AD7" s="3"/>
      <c r="AE7" s="3"/>
      <c r="AF7" s="3"/>
      <c r="AG7" s="3"/>
      <c r="AH7" s="13">
        <f t="shared" si="6"/>
        <v>5000</v>
      </c>
      <c r="AI7" s="13">
        <v>40000</v>
      </c>
      <c r="AJ7" s="13">
        <f t="shared" si="7"/>
        <v>-35000</v>
      </c>
      <c r="AK7" s="13">
        <f t="shared" si="8"/>
        <v>170000</v>
      </c>
      <c r="AL7" s="13">
        <f t="shared" si="9"/>
        <v>205000</v>
      </c>
      <c r="AM7" s="13">
        <f t="shared" si="10"/>
        <v>-35000</v>
      </c>
      <c r="AN7" s="24"/>
      <c r="AO7" s="24"/>
      <c r="AP7" s="24"/>
      <c r="AQ7" s="24"/>
      <c r="AR7" s="29"/>
      <c r="AS7" s="29"/>
      <c r="AT7" s="24"/>
      <c r="AU7" s="24"/>
      <c r="AV7" s="24"/>
      <c r="AW7" s="24"/>
      <c r="AX7" s="24"/>
      <c r="AY7" s="24"/>
      <c r="AZ7" s="13">
        <f t="shared" si="11"/>
        <v>0</v>
      </c>
      <c r="BA7" s="13">
        <v>60000</v>
      </c>
      <c r="BB7" s="13">
        <f t="shared" si="12"/>
        <v>-60000</v>
      </c>
      <c r="BC7" s="13">
        <f t="shared" si="13"/>
        <v>170000</v>
      </c>
      <c r="BD7" s="13">
        <f t="shared" si="14"/>
        <v>265000</v>
      </c>
      <c r="BE7" s="67">
        <f t="shared" si="15"/>
        <v>-95000</v>
      </c>
      <c r="BF7" s="61">
        <v>55400</v>
      </c>
      <c r="BG7" s="73">
        <v>47600</v>
      </c>
      <c r="BH7" s="61"/>
      <c r="BI7" s="61"/>
      <c r="BJ7" s="61"/>
      <c r="BK7" s="61"/>
      <c r="BL7" s="61"/>
      <c r="BM7" s="61">
        <v>50000</v>
      </c>
      <c r="BN7" s="61"/>
      <c r="BO7" s="61"/>
      <c r="BP7" s="61"/>
      <c r="BQ7" s="61"/>
      <c r="BR7" s="70">
        <f t="shared" si="16"/>
        <v>153000</v>
      </c>
      <c r="BS7" s="13">
        <v>60000</v>
      </c>
      <c r="BT7" s="13">
        <f t="shared" si="20"/>
        <v>93000</v>
      </c>
      <c r="BU7" s="13">
        <f t="shared" si="17"/>
        <v>323000</v>
      </c>
      <c r="BV7" s="13">
        <f t="shared" si="18"/>
        <v>325000</v>
      </c>
      <c r="BW7" s="13">
        <f t="shared" si="19"/>
        <v>-2000</v>
      </c>
    </row>
    <row r="8" spans="1:76" ht="14.25" customHeight="1" x14ac:dyDescent="0.25">
      <c r="A8" s="13" t="s">
        <v>27</v>
      </c>
      <c r="B8" s="13">
        <v>1000</v>
      </c>
      <c r="C8" s="13">
        <v>105000</v>
      </c>
      <c r="D8" s="3">
        <v>5000</v>
      </c>
      <c r="E8" s="3">
        <v>5500</v>
      </c>
      <c r="F8" s="3"/>
      <c r="G8" s="3"/>
      <c r="H8" s="3"/>
      <c r="I8" s="3"/>
      <c r="J8" s="3"/>
      <c r="K8" s="3"/>
      <c r="L8" s="3"/>
      <c r="M8" s="3"/>
      <c r="N8" s="3"/>
      <c r="O8" s="3">
        <v>30000</v>
      </c>
      <c r="P8" s="3">
        <f t="shared" si="0"/>
        <v>40500</v>
      </c>
      <c r="Q8" s="3">
        <f t="shared" si="1"/>
        <v>60000</v>
      </c>
      <c r="R8" s="3">
        <f t="shared" si="2"/>
        <v>-19500</v>
      </c>
      <c r="S8" s="3">
        <f t="shared" si="3"/>
        <v>145500</v>
      </c>
      <c r="T8" s="3">
        <f t="shared" si="4"/>
        <v>165000</v>
      </c>
      <c r="U8" s="13">
        <f t="shared" si="5"/>
        <v>-19500</v>
      </c>
      <c r="V8" s="3"/>
      <c r="W8" s="3"/>
      <c r="X8" s="3"/>
      <c r="Y8" s="3"/>
      <c r="Z8" s="13">
        <v>0</v>
      </c>
      <c r="AA8" s="13">
        <v>0</v>
      </c>
      <c r="AB8" s="29">
        <v>0</v>
      </c>
      <c r="AC8" s="29">
        <v>0</v>
      </c>
      <c r="AD8" s="3"/>
      <c r="AE8" s="3"/>
      <c r="AF8" s="3"/>
      <c r="AG8" s="3"/>
      <c r="AH8" s="13">
        <f t="shared" si="6"/>
        <v>0</v>
      </c>
      <c r="AI8" s="13">
        <v>40000</v>
      </c>
      <c r="AJ8" s="13">
        <f t="shared" si="7"/>
        <v>-40000</v>
      </c>
      <c r="AK8" s="13">
        <f t="shared" si="8"/>
        <v>145500</v>
      </c>
      <c r="AL8" s="13">
        <f t="shared" si="9"/>
        <v>205000</v>
      </c>
      <c r="AM8" s="13">
        <f t="shared" si="10"/>
        <v>-59500</v>
      </c>
      <c r="AN8" s="24">
        <v>61500</v>
      </c>
      <c r="AO8" s="24"/>
      <c r="AP8" s="24"/>
      <c r="AQ8" s="24"/>
      <c r="AR8" s="29"/>
      <c r="AS8" s="29"/>
      <c r="AT8" s="24"/>
      <c r="AU8" s="24"/>
      <c r="AV8" s="24"/>
      <c r="AW8" s="24"/>
      <c r="AX8" s="24"/>
      <c r="AY8" s="24"/>
      <c r="AZ8" s="13">
        <f t="shared" si="11"/>
        <v>61500</v>
      </c>
      <c r="BA8" s="13">
        <v>60000</v>
      </c>
      <c r="BB8" s="13">
        <f t="shared" si="12"/>
        <v>1500</v>
      </c>
      <c r="BC8" s="13">
        <f t="shared" si="13"/>
        <v>207000</v>
      </c>
      <c r="BD8" s="13">
        <f t="shared" si="14"/>
        <v>265000</v>
      </c>
      <c r="BE8" s="67">
        <f t="shared" si="15"/>
        <v>-58000</v>
      </c>
      <c r="BF8" s="61"/>
      <c r="BG8" s="61"/>
      <c r="BH8" s="61"/>
      <c r="BI8" s="61"/>
      <c r="BJ8" s="61"/>
      <c r="BK8" s="61"/>
      <c r="BL8" s="61"/>
      <c r="BM8" s="61">
        <v>110500</v>
      </c>
      <c r="BN8" s="61"/>
      <c r="BO8" s="61"/>
      <c r="BP8" s="61"/>
      <c r="BQ8" s="61"/>
      <c r="BR8" s="70">
        <f t="shared" si="16"/>
        <v>110500</v>
      </c>
      <c r="BS8" s="13">
        <v>60000</v>
      </c>
      <c r="BT8" s="13">
        <f t="shared" si="20"/>
        <v>50500</v>
      </c>
      <c r="BU8" s="13">
        <f t="shared" si="17"/>
        <v>317500</v>
      </c>
      <c r="BV8" s="13">
        <f t="shared" si="18"/>
        <v>325000</v>
      </c>
      <c r="BW8" s="13">
        <f t="shared" si="19"/>
        <v>-7500</v>
      </c>
    </row>
    <row r="9" spans="1:76" ht="14.25" customHeight="1" x14ac:dyDescent="0.25">
      <c r="A9" s="13" t="s">
        <v>57</v>
      </c>
      <c r="B9" s="13">
        <v>1000</v>
      </c>
      <c r="C9" s="13">
        <v>105000</v>
      </c>
      <c r="D9" s="3">
        <v>5000</v>
      </c>
      <c r="E9" s="3">
        <v>5000</v>
      </c>
      <c r="F9" s="3">
        <v>5000</v>
      </c>
      <c r="G9" s="3">
        <v>7500</v>
      </c>
      <c r="H9" s="3">
        <v>5000</v>
      </c>
      <c r="I9" s="3">
        <v>5000</v>
      </c>
      <c r="J9" s="3">
        <v>5000</v>
      </c>
      <c r="K9" s="3">
        <v>25000</v>
      </c>
      <c r="L9" s="3">
        <v>7600</v>
      </c>
      <c r="M9" s="3">
        <f>'Nuru K'!G8</f>
        <v>0</v>
      </c>
      <c r="N9" s="3"/>
      <c r="O9" s="3"/>
      <c r="P9" s="3">
        <f t="shared" si="0"/>
        <v>70100</v>
      </c>
      <c r="Q9" s="3">
        <f t="shared" si="1"/>
        <v>60000</v>
      </c>
      <c r="R9" s="3">
        <f t="shared" si="2"/>
        <v>10100</v>
      </c>
      <c r="S9" s="3">
        <f t="shared" si="3"/>
        <v>175100</v>
      </c>
      <c r="T9" s="3">
        <f t="shared" si="4"/>
        <v>165000</v>
      </c>
      <c r="U9" s="13">
        <f t="shared" si="5"/>
        <v>10100</v>
      </c>
      <c r="V9" s="3"/>
      <c r="W9" s="3"/>
      <c r="X9" s="3"/>
      <c r="Y9" s="3"/>
      <c r="Z9" s="13">
        <v>0</v>
      </c>
      <c r="AA9" s="13">
        <v>0</v>
      </c>
      <c r="AB9" s="29">
        <v>0</v>
      </c>
      <c r="AC9" s="29">
        <v>0</v>
      </c>
      <c r="AD9" s="3"/>
      <c r="AE9" s="3"/>
      <c r="AF9" s="24">
        <v>23000</v>
      </c>
      <c r="AG9" s="24">
        <v>23000</v>
      </c>
      <c r="AH9" s="13">
        <f t="shared" si="6"/>
        <v>46000</v>
      </c>
      <c r="AI9" s="13">
        <v>40000</v>
      </c>
      <c r="AJ9" s="13">
        <f t="shared" si="7"/>
        <v>6000</v>
      </c>
      <c r="AK9" s="13">
        <f t="shared" si="8"/>
        <v>221100</v>
      </c>
      <c r="AL9" s="13">
        <f t="shared" si="9"/>
        <v>205000</v>
      </c>
      <c r="AM9" s="13">
        <f t="shared" si="10"/>
        <v>16100</v>
      </c>
      <c r="AN9" s="24"/>
      <c r="AO9" s="24"/>
      <c r="AP9" s="24"/>
      <c r="AQ9" s="24"/>
      <c r="AR9" s="29"/>
      <c r="AS9" s="29"/>
      <c r="AT9" s="24"/>
      <c r="AU9" s="24"/>
      <c r="AV9" s="24"/>
      <c r="AW9" s="24">
        <v>34000</v>
      </c>
      <c r="AX9" s="24">
        <v>20000</v>
      </c>
      <c r="AY9" s="24"/>
      <c r="AZ9" s="13">
        <f t="shared" si="11"/>
        <v>54000</v>
      </c>
      <c r="BA9" s="13">
        <v>60000</v>
      </c>
      <c r="BB9" s="13">
        <f t="shared" si="12"/>
        <v>-6000</v>
      </c>
      <c r="BC9" s="13">
        <f t="shared" si="13"/>
        <v>275100</v>
      </c>
      <c r="BD9" s="13">
        <f t="shared" si="14"/>
        <v>265000</v>
      </c>
      <c r="BE9" s="67">
        <f t="shared" si="15"/>
        <v>10100</v>
      </c>
      <c r="BF9" s="61">
        <v>5500</v>
      </c>
      <c r="BG9" s="61"/>
      <c r="BH9" s="61"/>
      <c r="BI9" s="61"/>
      <c r="BJ9" s="61">
        <v>17000</v>
      </c>
      <c r="BK9" s="61"/>
      <c r="BL9" s="61"/>
      <c r="BM9" s="61">
        <v>10000</v>
      </c>
      <c r="BN9" s="61">
        <v>12500</v>
      </c>
      <c r="BO9" s="61">
        <v>5500</v>
      </c>
      <c r="BP9" s="61">
        <v>5000</v>
      </c>
      <c r="BQ9" s="61"/>
      <c r="BR9" s="70">
        <f t="shared" si="16"/>
        <v>55500</v>
      </c>
      <c r="BS9" s="13">
        <v>60000</v>
      </c>
      <c r="BT9" s="13">
        <f t="shared" si="20"/>
        <v>-4500</v>
      </c>
      <c r="BU9" s="13">
        <f t="shared" si="17"/>
        <v>330600</v>
      </c>
      <c r="BV9" s="13">
        <f t="shared" si="18"/>
        <v>325000</v>
      </c>
      <c r="BW9" s="13">
        <f t="shared" si="19"/>
        <v>5600</v>
      </c>
    </row>
    <row r="10" spans="1:76" ht="14.25" customHeight="1" x14ac:dyDescent="0.25">
      <c r="A10" s="13" t="s">
        <v>58</v>
      </c>
      <c r="B10" s="13">
        <v>1000</v>
      </c>
      <c r="C10" s="13">
        <v>105000</v>
      </c>
      <c r="D10" s="3">
        <v>5000</v>
      </c>
      <c r="E10" s="3">
        <v>5000</v>
      </c>
      <c r="F10" s="3">
        <v>5000</v>
      </c>
      <c r="G10" s="3">
        <v>5000</v>
      </c>
      <c r="H10" s="3">
        <v>5000</v>
      </c>
      <c r="I10" s="3">
        <v>5000</v>
      </c>
      <c r="J10" s="3">
        <v>5000</v>
      </c>
      <c r="K10" s="3"/>
      <c r="L10" s="3">
        <v>5000</v>
      </c>
      <c r="M10" s="3">
        <v>5000</v>
      </c>
      <c r="N10" s="3">
        <v>5000</v>
      </c>
      <c r="O10" s="3">
        <v>10000</v>
      </c>
      <c r="P10" s="3">
        <f t="shared" si="0"/>
        <v>60000</v>
      </c>
      <c r="Q10" s="3">
        <f t="shared" si="1"/>
        <v>60000</v>
      </c>
      <c r="R10" s="3">
        <f t="shared" si="2"/>
        <v>0</v>
      </c>
      <c r="S10" s="3">
        <f t="shared" si="3"/>
        <v>165000</v>
      </c>
      <c r="T10" s="3">
        <f t="shared" si="4"/>
        <v>165000</v>
      </c>
      <c r="U10" s="13">
        <f t="shared" si="5"/>
        <v>0</v>
      </c>
      <c r="V10" s="3"/>
      <c r="W10" s="3"/>
      <c r="X10" s="3"/>
      <c r="Y10" s="3"/>
      <c r="Z10" s="13">
        <v>0</v>
      </c>
      <c r="AA10" s="13">
        <v>0</v>
      </c>
      <c r="AB10" s="29">
        <v>0</v>
      </c>
      <c r="AC10" s="29">
        <v>0</v>
      </c>
      <c r="AD10" s="3"/>
      <c r="AE10" s="3"/>
      <c r="AF10" s="3"/>
      <c r="AG10" s="24"/>
      <c r="AH10" s="13">
        <f t="shared" si="6"/>
        <v>0</v>
      </c>
      <c r="AI10" s="13">
        <v>40000</v>
      </c>
      <c r="AJ10" s="13">
        <f t="shared" si="7"/>
        <v>-40000</v>
      </c>
      <c r="AK10" s="13">
        <f t="shared" si="8"/>
        <v>165000</v>
      </c>
      <c r="AL10" s="13">
        <f t="shared" si="9"/>
        <v>205000</v>
      </c>
      <c r="AM10" s="13">
        <f t="shared" si="10"/>
        <v>-40000</v>
      </c>
      <c r="AN10" s="24">
        <v>40000</v>
      </c>
      <c r="AO10" s="24"/>
      <c r="AP10" s="24"/>
      <c r="AQ10" s="24"/>
      <c r="AR10" s="29"/>
      <c r="AS10" s="29"/>
      <c r="AT10" s="24"/>
      <c r="AU10" s="24"/>
      <c r="AV10" s="24"/>
      <c r="AW10" s="24"/>
      <c r="AX10" s="24"/>
      <c r="AY10" s="24"/>
      <c r="AZ10" s="13">
        <f t="shared" si="11"/>
        <v>40000</v>
      </c>
      <c r="BA10" s="13">
        <v>60000</v>
      </c>
      <c r="BB10" s="13">
        <f t="shared" si="12"/>
        <v>-20000</v>
      </c>
      <c r="BC10" s="13">
        <f t="shared" si="13"/>
        <v>205000</v>
      </c>
      <c r="BD10" s="13">
        <f t="shared" si="14"/>
        <v>265000</v>
      </c>
      <c r="BE10" s="67">
        <f t="shared" si="15"/>
        <v>-60000</v>
      </c>
      <c r="BF10" s="61">
        <v>60000</v>
      </c>
      <c r="BG10" s="61"/>
      <c r="BH10" s="61"/>
      <c r="BI10" s="61"/>
      <c r="BJ10" s="61"/>
      <c r="BK10" s="61"/>
      <c r="BL10" s="61"/>
      <c r="BM10" s="61"/>
      <c r="BN10" s="61"/>
      <c r="BO10" s="61"/>
      <c r="BP10" s="61"/>
      <c r="BQ10" s="61"/>
      <c r="BR10" s="70">
        <f t="shared" si="16"/>
        <v>60000</v>
      </c>
      <c r="BS10" s="13">
        <v>0</v>
      </c>
      <c r="BT10" s="13">
        <v>0</v>
      </c>
      <c r="BU10" s="13">
        <f t="shared" si="17"/>
        <v>265000</v>
      </c>
      <c r="BV10" s="13">
        <f t="shared" si="18"/>
        <v>265000</v>
      </c>
      <c r="BW10" s="13">
        <f t="shared" si="19"/>
        <v>0</v>
      </c>
    </row>
    <row r="11" spans="1:76" ht="14.25" customHeight="1" x14ac:dyDescent="0.25">
      <c r="A11" s="13" t="s">
        <v>28</v>
      </c>
      <c r="B11" s="13">
        <v>1000</v>
      </c>
      <c r="C11" s="13">
        <v>105000</v>
      </c>
      <c r="D11" s="3">
        <v>5000</v>
      </c>
      <c r="E11" s="3"/>
      <c r="F11" s="3"/>
      <c r="G11" s="3"/>
      <c r="H11" s="3"/>
      <c r="I11" s="3"/>
      <c r="J11" s="3"/>
      <c r="K11" s="3"/>
      <c r="L11" s="3"/>
      <c r="M11" s="3"/>
      <c r="N11" s="3"/>
      <c r="O11" s="3">
        <v>20000</v>
      </c>
      <c r="P11" s="3">
        <f t="shared" si="0"/>
        <v>25000</v>
      </c>
      <c r="Q11" s="3">
        <f t="shared" si="1"/>
        <v>60000</v>
      </c>
      <c r="R11" s="3">
        <f t="shared" si="2"/>
        <v>-35000</v>
      </c>
      <c r="S11" s="3">
        <f t="shared" si="3"/>
        <v>130000</v>
      </c>
      <c r="T11" s="3">
        <f t="shared" si="4"/>
        <v>165000</v>
      </c>
      <c r="U11" s="13">
        <f t="shared" si="5"/>
        <v>-35000</v>
      </c>
      <c r="V11" s="3"/>
      <c r="W11" s="3"/>
      <c r="X11" s="3"/>
      <c r="Y11" s="3"/>
      <c r="Z11" s="13">
        <v>0</v>
      </c>
      <c r="AA11" s="13">
        <v>0</v>
      </c>
      <c r="AB11" s="29">
        <v>0</v>
      </c>
      <c r="AC11" s="29">
        <v>0</v>
      </c>
      <c r="AD11" s="3">
        <v>10000</v>
      </c>
      <c r="AE11" s="3"/>
      <c r="AF11" s="3"/>
      <c r="AG11" s="3"/>
      <c r="AH11" s="13">
        <f t="shared" si="6"/>
        <v>10000</v>
      </c>
      <c r="AI11" s="13">
        <v>40000</v>
      </c>
      <c r="AJ11" s="13">
        <f t="shared" si="7"/>
        <v>-30000</v>
      </c>
      <c r="AK11" s="13">
        <f t="shared" si="8"/>
        <v>140000</v>
      </c>
      <c r="AL11" s="13">
        <f t="shared" si="9"/>
        <v>205000</v>
      </c>
      <c r="AM11" s="13">
        <f t="shared" si="10"/>
        <v>-65000</v>
      </c>
      <c r="AN11" s="24"/>
      <c r="AO11" s="24"/>
      <c r="AP11" s="24"/>
      <c r="AQ11" s="24"/>
      <c r="AR11" s="29"/>
      <c r="AS11" s="29"/>
      <c r="AT11" s="24"/>
      <c r="AU11" s="24"/>
      <c r="AV11" s="24"/>
      <c r="AW11" s="24"/>
      <c r="AX11" s="24"/>
      <c r="AY11" s="24"/>
      <c r="AZ11" s="13">
        <f t="shared" si="11"/>
        <v>0</v>
      </c>
      <c r="BA11" s="13">
        <v>60000</v>
      </c>
      <c r="BB11" s="13">
        <f t="shared" si="12"/>
        <v>-60000</v>
      </c>
      <c r="BC11" s="13">
        <f t="shared" si="13"/>
        <v>140000</v>
      </c>
      <c r="BD11" s="13">
        <f t="shared" si="14"/>
        <v>265000</v>
      </c>
      <c r="BE11" s="67">
        <f t="shared" si="15"/>
        <v>-125000</v>
      </c>
      <c r="BF11" s="61"/>
      <c r="BG11" s="61"/>
      <c r="BH11" s="61"/>
      <c r="BI11" s="61"/>
      <c r="BJ11" s="61"/>
      <c r="BK11" s="61"/>
      <c r="BL11" s="61"/>
      <c r="BM11" s="61"/>
      <c r="BN11" s="61">
        <v>87000</v>
      </c>
      <c r="BO11" s="61"/>
      <c r="BP11" s="61"/>
      <c r="BQ11" s="61">
        <v>74500</v>
      </c>
      <c r="BR11" s="70">
        <f t="shared" si="16"/>
        <v>161500</v>
      </c>
      <c r="BS11" s="13">
        <v>60000</v>
      </c>
      <c r="BT11" s="13">
        <f t="shared" si="20"/>
        <v>101500</v>
      </c>
      <c r="BU11" s="13">
        <f t="shared" si="17"/>
        <v>301500</v>
      </c>
      <c r="BV11" s="13">
        <f t="shared" si="18"/>
        <v>325000</v>
      </c>
      <c r="BW11" s="13">
        <f t="shared" si="19"/>
        <v>-23500</v>
      </c>
    </row>
    <row r="12" spans="1:76" ht="14.25" customHeight="1" x14ac:dyDescent="0.25">
      <c r="A12" s="13" t="s">
        <v>29</v>
      </c>
      <c r="B12" s="13">
        <v>1000</v>
      </c>
      <c r="C12" s="13">
        <v>105000</v>
      </c>
      <c r="D12" s="3">
        <v>5000</v>
      </c>
      <c r="E12" s="3"/>
      <c r="F12" s="3">
        <v>5000</v>
      </c>
      <c r="G12" s="3"/>
      <c r="H12" s="3">
        <v>10000</v>
      </c>
      <c r="I12" s="3">
        <v>5000</v>
      </c>
      <c r="J12" s="3">
        <v>5000</v>
      </c>
      <c r="K12" s="3">
        <v>5000</v>
      </c>
      <c r="L12" s="3">
        <v>5000</v>
      </c>
      <c r="M12" s="3">
        <v>10000</v>
      </c>
      <c r="N12" s="3">
        <v>5000</v>
      </c>
      <c r="O12" s="3">
        <v>5000</v>
      </c>
      <c r="P12" s="3">
        <f t="shared" si="0"/>
        <v>60000</v>
      </c>
      <c r="Q12" s="3">
        <f t="shared" si="1"/>
        <v>60000</v>
      </c>
      <c r="R12" s="3">
        <f t="shared" si="2"/>
        <v>0</v>
      </c>
      <c r="S12" s="3">
        <f t="shared" si="3"/>
        <v>165000</v>
      </c>
      <c r="T12" s="3">
        <f t="shared" si="4"/>
        <v>165000</v>
      </c>
      <c r="U12" s="13">
        <f t="shared" si="5"/>
        <v>0</v>
      </c>
      <c r="V12" s="3">
        <v>0</v>
      </c>
      <c r="W12" s="3">
        <v>5000</v>
      </c>
      <c r="X12" s="3">
        <v>5000</v>
      </c>
      <c r="Y12" s="14">
        <v>5000</v>
      </c>
      <c r="Z12" s="3">
        <v>0</v>
      </c>
      <c r="AA12" s="13">
        <v>0</v>
      </c>
      <c r="AB12" s="24">
        <v>0</v>
      </c>
      <c r="AC12" s="24">
        <v>0</v>
      </c>
      <c r="AD12" s="3">
        <v>5000</v>
      </c>
      <c r="AE12" s="3">
        <v>5000</v>
      </c>
      <c r="AF12" s="3"/>
      <c r="AG12" s="3"/>
      <c r="AH12" s="13">
        <f t="shared" si="6"/>
        <v>25000</v>
      </c>
      <c r="AI12" s="13">
        <v>40000</v>
      </c>
      <c r="AJ12" s="13">
        <f t="shared" si="7"/>
        <v>-15000</v>
      </c>
      <c r="AK12" s="13">
        <f t="shared" si="8"/>
        <v>190000</v>
      </c>
      <c r="AL12" s="13">
        <f t="shared" si="9"/>
        <v>205000</v>
      </c>
      <c r="AM12" s="13">
        <f t="shared" si="10"/>
        <v>-15000</v>
      </c>
      <c r="AN12" s="24"/>
      <c r="AO12" s="24"/>
      <c r="AP12" s="24"/>
      <c r="AQ12" s="30"/>
      <c r="AR12" s="24"/>
      <c r="AS12" s="29"/>
      <c r="AT12" s="24"/>
      <c r="AU12" s="24"/>
      <c r="AV12" s="24"/>
      <c r="AW12" s="24"/>
      <c r="AX12" s="24"/>
      <c r="AY12" s="24"/>
      <c r="AZ12" s="13">
        <f t="shared" si="11"/>
        <v>0</v>
      </c>
      <c r="BA12" s="13">
        <v>60000</v>
      </c>
      <c r="BB12" s="13">
        <f t="shared" si="12"/>
        <v>-60000</v>
      </c>
      <c r="BC12" s="13">
        <f>AK12+AZ12</f>
        <v>190000</v>
      </c>
      <c r="BD12" s="13">
        <v>0</v>
      </c>
      <c r="BE12" s="67">
        <f t="shared" si="15"/>
        <v>190000</v>
      </c>
      <c r="BF12" s="61"/>
      <c r="BG12" s="61"/>
      <c r="BH12" s="61"/>
      <c r="BI12" s="61"/>
      <c r="BJ12" s="61"/>
      <c r="BK12" s="61"/>
      <c r="BL12" s="61"/>
      <c r="BM12" s="61"/>
      <c r="BN12" s="61"/>
      <c r="BO12" s="61"/>
      <c r="BP12" s="61"/>
      <c r="BQ12" s="61"/>
      <c r="BR12" s="70">
        <f t="shared" si="16"/>
        <v>0</v>
      </c>
      <c r="BS12" s="13">
        <v>0</v>
      </c>
      <c r="BT12" s="13">
        <f t="shared" si="20"/>
        <v>0</v>
      </c>
      <c r="BU12" s="13">
        <f t="shared" si="17"/>
        <v>190000</v>
      </c>
      <c r="BV12" s="13">
        <f t="shared" si="18"/>
        <v>0</v>
      </c>
      <c r="BW12" s="13">
        <f t="shared" si="19"/>
        <v>190000</v>
      </c>
    </row>
    <row r="13" spans="1:76" ht="14.25" customHeight="1" x14ac:dyDescent="0.25">
      <c r="A13" s="13" t="s">
        <v>30</v>
      </c>
      <c r="B13" s="13">
        <v>1000</v>
      </c>
      <c r="C13" s="13">
        <v>105000</v>
      </c>
      <c r="D13" s="3">
        <v>5000</v>
      </c>
      <c r="E13" s="3">
        <v>5000</v>
      </c>
      <c r="F13" s="3">
        <v>5000</v>
      </c>
      <c r="G13" s="3">
        <v>5000</v>
      </c>
      <c r="H13" s="3"/>
      <c r="I13" s="3"/>
      <c r="J13" s="3"/>
      <c r="K13" s="3"/>
      <c r="L13" s="3"/>
      <c r="M13" s="3"/>
      <c r="N13" s="3"/>
      <c r="O13" s="3"/>
      <c r="P13" s="3">
        <f t="shared" si="0"/>
        <v>20000</v>
      </c>
      <c r="Q13" s="3">
        <f t="shared" si="1"/>
        <v>60000</v>
      </c>
      <c r="R13" s="3">
        <f t="shared" si="2"/>
        <v>-40000</v>
      </c>
      <c r="S13" s="3">
        <f t="shared" si="3"/>
        <v>125000</v>
      </c>
      <c r="T13" s="3">
        <f t="shared" si="4"/>
        <v>165000</v>
      </c>
      <c r="U13" s="13">
        <f t="shared" si="5"/>
        <v>-40000</v>
      </c>
      <c r="V13" s="3"/>
      <c r="W13" s="3"/>
      <c r="X13" s="3"/>
      <c r="Y13" s="3"/>
      <c r="Z13" s="13">
        <v>0</v>
      </c>
      <c r="AA13" s="13">
        <v>0</v>
      </c>
      <c r="AB13" s="29">
        <v>0</v>
      </c>
      <c r="AC13" s="29">
        <v>0</v>
      </c>
      <c r="AD13" s="24">
        <v>30000</v>
      </c>
      <c r="AE13" s="3"/>
      <c r="AF13" s="3"/>
      <c r="AG13" s="3"/>
      <c r="AH13" s="13">
        <f t="shared" si="6"/>
        <v>30000</v>
      </c>
      <c r="AI13" s="13">
        <v>40000</v>
      </c>
      <c r="AJ13" s="13">
        <f t="shared" si="7"/>
        <v>-10000</v>
      </c>
      <c r="AK13" s="13">
        <f t="shared" si="8"/>
        <v>155000</v>
      </c>
      <c r="AL13" s="13">
        <f t="shared" si="9"/>
        <v>205000</v>
      </c>
      <c r="AM13" s="13">
        <f t="shared" si="10"/>
        <v>-50000</v>
      </c>
      <c r="AN13" s="24">
        <v>30000</v>
      </c>
      <c r="AO13" s="24"/>
      <c r="AP13" s="24"/>
      <c r="AQ13" s="24"/>
      <c r="AR13" s="29"/>
      <c r="AS13" s="29"/>
      <c r="AT13" s="24"/>
      <c r="AU13" s="24"/>
      <c r="AV13" s="24"/>
      <c r="AW13" s="24"/>
      <c r="AX13" s="24"/>
      <c r="AY13" s="24"/>
      <c r="AZ13" s="13">
        <f t="shared" si="11"/>
        <v>30000</v>
      </c>
      <c r="BA13" s="13">
        <v>60000</v>
      </c>
      <c r="BB13" s="13">
        <f t="shared" si="12"/>
        <v>-30000</v>
      </c>
      <c r="BC13" s="13">
        <f>AK13+AZ13</f>
        <v>185000</v>
      </c>
      <c r="BD13" s="13">
        <f>AL13+BA13</f>
        <v>265000</v>
      </c>
      <c r="BE13" s="67">
        <f t="shared" si="15"/>
        <v>-80000</v>
      </c>
      <c r="BF13" s="61">
        <v>78000</v>
      </c>
      <c r="BG13" s="61"/>
      <c r="BH13" s="61"/>
      <c r="BI13" s="61"/>
      <c r="BJ13" s="61"/>
      <c r="BK13" s="61"/>
      <c r="BL13" s="61"/>
      <c r="BM13" s="61"/>
      <c r="BN13" s="61">
        <v>56000</v>
      </c>
      <c r="BO13" s="61"/>
      <c r="BP13" s="61"/>
      <c r="BQ13" s="61">
        <v>6000</v>
      </c>
      <c r="BR13" s="70">
        <f t="shared" si="16"/>
        <v>140000</v>
      </c>
      <c r="BS13" s="13">
        <v>60000</v>
      </c>
      <c r="BT13" s="13">
        <f t="shared" si="20"/>
        <v>80000</v>
      </c>
      <c r="BU13" s="13">
        <f t="shared" si="17"/>
        <v>325000</v>
      </c>
      <c r="BV13" s="13">
        <f t="shared" si="18"/>
        <v>325000</v>
      </c>
      <c r="BW13" s="13">
        <f t="shared" si="19"/>
        <v>0</v>
      </c>
    </row>
    <row r="14" spans="1:76" ht="14.25" customHeight="1" x14ac:dyDescent="0.25">
      <c r="A14" s="13" t="s">
        <v>59</v>
      </c>
      <c r="B14" s="13">
        <v>1000</v>
      </c>
      <c r="C14" s="13">
        <v>105000</v>
      </c>
      <c r="D14" s="3">
        <v>5000</v>
      </c>
      <c r="E14" s="3">
        <v>5000</v>
      </c>
      <c r="F14" s="3">
        <v>5000</v>
      </c>
      <c r="G14" s="3">
        <v>5000</v>
      </c>
      <c r="H14" s="3">
        <v>5000</v>
      </c>
      <c r="I14" s="3">
        <v>5000</v>
      </c>
      <c r="J14" s="3">
        <v>5000</v>
      </c>
      <c r="K14" s="3">
        <v>5000</v>
      </c>
      <c r="L14" s="3">
        <v>5000</v>
      </c>
      <c r="M14" s="3">
        <v>5000</v>
      </c>
      <c r="N14" s="3">
        <v>5000</v>
      </c>
      <c r="O14" s="3">
        <v>5000</v>
      </c>
      <c r="P14" s="3">
        <f t="shared" si="0"/>
        <v>60000</v>
      </c>
      <c r="Q14" s="3">
        <f t="shared" si="1"/>
        <v>60000</v>
      </c>
      <c r="R14" s="3">
        <f t="shared" si="2"/>
        <v>0</v>
      </c>
      <c r="S14" s="3">
        <f t="shared" si="3"/>
        <v>165000</v>
      </c>
      <c r="T14" s="3">
        <f t="shared" si="4"/>
        <v>165000</v>
      </c>
      <c r="U14" s="13">
        <f t="shared" si="5"/>
        <v>0</v>
      </c>
      <c r="V14" s="3">
        <v>5000</v>
      </c>
      <c r="W14" s="3"/>
      <c r="X14" s="3"/>
      <c r="Y14" s="3"/>
      <c r="Z14" s="13">
        <v>0</v>
      </c>
      <c r="AA14" s="13">
        <v>0</v>
      </c>
      <c r="AB14" s="29">
        <v>0</v>
      </c>
      <c r="AC14" s="29">
        <v>0</v>
      </c>
      <c r="AD14" s="3"/>
      <c r="AE14" s="3"/>
      <c r="AF14" s="3"/>
      <c r="AG14" s="3"/>
      <c r="AH14" s="13">
        <f t="shared" si="6"/>
        <v>5000</v>
      </c>
      <c r="AI14" s="13">
        <v>40000</v>
      </c>
      <c r="AJ14" s="13">
        <f t="shared" si="7"/>
        <v>-35000</v>
      </c>
      <c r="AK14" s="13">
        <f t="shared" si="8"/>
        <v>170000</v>
      </c>
      <c r="AL14" s="13">
        <f t="shared" si="9"/>
        <v>205000</v>
      </c>
      <c r="AM14" s="13">
        <f t="shared" si="10"/>
        <v>-35000</v>
      </c>
      <c r="AN14" s="24"/>
      <c r="AO14" s="24"/>
      <c r="AP14" s="24"/>
      <c r="AQ14" s="24"/>
      <c r="AR14" s="29"/>
      <c r="AS14" s="29"/>
      <c r="AT14" s="24"/>
      <c r="AU14" s="24"/>
      <c r="AV14" s="24"/>
      <c r="AW14" s="24"/>
      <c r="AX14" s="24"/>
      <c r="AY14" s="24"/>
      <c r="AZ14" s="13">
        <f t="shared" si="11"/>
        <v>0</v>
      </c>
      <c r="BA14" s="13">
        <v>60000</v>
      </c>
      <c r="BB14" s="13">
        <f t="shared" si="12"/>
        <v>-60000</v>
      </c>
      <c r="BC14" s="13">
        <f>AK14+AZ14</f>
        <v>170000</v>
      </c>
      <c r="BD14" s="13">
        <f>AL14+BA14</f>
        <v>265000</v>
      </c>
      <c r="BE14" s="67">
        <f t="shared" si="15"/>
        <v>-95000</v>
      </c>
      <c r="BF14" s="61"/>
      <c r="BG14" s="61"/>
      <c r="BH14" s="61"/>
      <c r="BI14" s="61"/>
      <c r="BJ14" s="61">
        <v>120000</v>
      </c>
      <c r="BK14" s="61"/>
      <c r="BL14" s="61"/>
      <c r="BM14" s="61"/>
      <c r="BN14" s="61"/>
      <c r="BO14" s="61"/>
      <c r="BP14" s="61"/>
      <c r="BQ14" s="61"/>
      <c r="BR14" s="70">
        <f t="shared" si="16"/>
        <v>120000</v>
      </c>
      <c r="BS14" s="13">
        <v>60000</v>
      </c>
      <c r="BT14" s="13">
        <f t="shared" si="20"/>
        <v>60000</v>
      </c>
      <c r="BU14" s="13">
        <f t="shared" si="17"/>
        <v>290000</v>
      </c>
      <c r="BV14" s="13">
        <f t="shared" si="18"/>
        <v>325000</v>
      </c>
      <c r="BW14" s="13">
        <f t="shared" si="19"/>
        <v>-35000</v>
      </c>
    </row>
    <row r="15" spans="1:76" ht="14.25" customHeight="1" x14ac:dyDescent="0.25">
      <c r="A15" s="13" t="s">
        <v>31</v>
      </c>
      <c r="B15" s="13">
        <v>1000</v>
      </c>
      <c r="C15" s="13">
        <v>105000</v>
      </c>
      <c r="D15" s="3"/>
      <c r="E15" s="3"/>
      <c r="F15" s="3"/>
      <c r="G15" s="3"/>
      <c r="H15" s="3"/>
      <c r="I15" s="3"/>
      <c r="J15" s="3">
        <v>50000</v>
      </c>
      <c r="K15" s="3"/>
      <c r="L15" s="3"/>
      <c r="M15" s="3"/>
      <c r="N15" s="3"/>
      <c r="O15" s="3"/>
      <c r="P15" s="3">
        <f t="shared" si="0"/>
        <v>50000</v>
      </c>
      <c r="Q15" s="3">
        <f t="shared" si="1"/>
        <v>60000</v>
      </c>
      <c r="R15" s="3">
        <f t="shared" si="2"/>
        <v>-10000</v>
      </c>
      <c r="S15" s="3">
        <f t="shared" si="3"/>
        <v>155000</v>
      </c>
      <c r="T15" s="3">
        <f t="shared" si="4"/>
        <v>165000</v>
      </c>
      <c r="U15" s="13">
        <f t="shared" si="5"/>
        <v>-10000</v>
      </c>
      <c r="V15" s="3"/>
      <c r="W15" s="3"/>
      <c r="X15" s="3"/>
      <c r="Y15" s="3"/>
      <c r="Z15" s="13">
        <v>0</v>
      </c>
      <c r="AA15" s="13">
        <v>0</v>
      </c>
      <c r="AB15" s="29">
        <v>0</v>
      </c>
      <c r="AC15" s="29">
        <v>0</v>
      </c>
      <c r="AD15" s="3"/>
      <c r="AE15" s="3"/>
      <c r="AF15" s="3"/>
      <c r="AG15" s="3">
        <v>50000</v>
      </c>
      <c r="AH15" s="13">
        <f t="shared" si="6"/>
        <v>50000</v>
      </c>
      <c r="AI15" s="13">
        <v>40000</v>
      </c>
      <c r="AJ15" s="13">
        <f t="shared" si="7"/>
        <v>10000</v>
      </c>
      <c r="AK15" s="13">
        <f t="shared" si="8"/>
        <v>205000</v>
      </c>
      <c r="AL15" s="13">
        <f t="shared" si="9"/>
        <v>205000</v>
      </c>
      <c r="AM15" s="13">
        <f t="shared" si="10"/>
        <v>0</v>
      </c>
      <c r="AN15" s="24"/>
      <c r="AO15" s="24"/>
      <c r="AP15" s="24"/>
      <c r="AQ15" s="24"/>
      <c r="AR15" s="29"/>
      <c r="AS15" s="29"/>
      <c r="AT15" s="24"/>
      <c r="AU15" s="24"/>
      <c r="AV15" s="24"/>
      <c r="AW15" s="24"/>
      <c r="AX15" s="24"/>
      <c r="AY15" s="24"/>
      <c r="AZ15" s="13">
        <f t="shared" si="11"/>
        <v>0</v>
      </c>
      <c r="BA15" s="13">
        <v>60000</v>
      </c>
      <c r="BB15" s="13">
        <f t="shared" si="12"/>
        <v>-60000</v>
      </c>
      <c r="BC15" s="13">
        <f>AK15+AZ15</f>
        <v>205000</v>
      </c>
      <c r="BD15" s="13">
        <f>AL15+BA15</f>
        <v>265000</v>
      </c>
      <c r="BE15" s="67">
        <f t="shared" si="15"/>
        <v>-60000</v>
      </c>
      <c r="BF15" s="61">
        <v>60000</v>
      </c>
      <c r="BG15" s="61"/>
      <c r="BH15" s="61"/>
      <c r="BI15" s="61"/>
      <c r="BJ15" s="61"/>
      <c r="BK15" s="61">
        <v>15000</v>
      </c>
      <c r="BL15" s="61">
        <v>29000</v>
      </c>
      <c r="BM15" s="61">
        <v>5500</v>
      </c>
      <c r="BN15" s="61"/>
      <c r="BO15" s="61"/>
      <c r="BP15" s="61">
        <v>5500</v>
      </c>
      <c r="BQ15" s="61">
        <v>5000</v>
      </c>
      <c r="BR15" s="70">
        <f t="shared" si="16"/>
        <v>120000</v>
      </c>
      <c r="BS15" s="13">
        <v>60000</v>
      </c>
      <c r="BT15" s="13">
        <f t="shared" si="20"/>
        <v>60000</v>
      </c>
      <c r="BU15" s="13">
        <f t="shared" si="17"/>
        <v>325000</v>
      </c>
      <c r="BV15" s="13">
        <f t="shared" si="18"/>
        <v>325000</v>
      </c>
      <c r="BW15" s="13">
        <f t="shared" si="19"/>
        <v>0</v>
      </c>
    </row>
    <row r="16" spans="1:76" ht="14.25" customHeight="1" x14ac:dyDescent="0.25">
      <c r="A16" s="13" t="s">
        <v>60</v>
      </c>
      <c r="B16" s="13">
        <v>1000</v>
      </c>
      <c r="C16" s="13">
        <v>105000</v>
      </c>
      <c r="D16" s="3"/>
      <c r="E16" s="3">
        <v>10000</v>
      </c>
      <c r="F16" s="3"/>
      <c r="G16" s="3"/>
      <c r="H16" s="3">
        <v>10000</v>
      </c>
      <c r="I16" s="3">
        <v>10000</v>
      </c>
      <c r="J16" s="3"/>
      <c r="K16" s="3"/>
      <c r="L16" s="3">
        <v>20000</v>
      </c>
      <c r="M16" s="3"/>
      <c r="N16" s="3"/>
      <c r="O16" s="3">
        <v>10000</v>
      </c>
      <c r="P16" s="3">
        <f t="shared" si="0"/>
        <v>60000</v>
      </c>
      <c r="Q16" s="3">
        <f t="shared" si="1"/>
        <v>60000</v>
      </c>
      <c r="R16" s="3">
        <f>Q16-P16</f>
        <v>0</v>
      </c>
      <c r="S16" s="3">
        <f t="shared" si="3"/>
        <v>165000</v>
      </c>
      <c r="T16" s="3">
        <f t="shared" si="4"/>
        <v>165000</v>
      </c>
      <c r="U16" s="13">
        <f t="shared" si="5"/>
        <v>0</v>
      </c>
      <c r="V16" s="3"/>
      <c r="W16" s="3"/>
      <c r="X16" s="3"/>
      <c r="Y16" s="3"/>
      <c r="Z16" s="13">
        <v>0</v>
      </c>
      <c r="AA16" s="13">
        <v>10000</v>
      </c>
      <c r="AB16" s="29">
        <v>0</v>
      </c>
      <c r="AC16" s="29">
        <v>0</v>
      </c>
      <c r="AD16" s="24">
        <v>10000</v>
      </c>
      <c r="AE16" s="3"/>
      <c r="AF16" s="3"/>
      <c r="AG16" s="3"/>
      <c r="AH16" s="13">
        <f t="shared" si="6"/>
        <v>20000</v>
      </c>
      <c r="AI16" s="13">
        <v>40000</v>
      </c>
      <c r="AJ16" s="13">
        <f t="shared" si="7"/>
        <v>-20000</v>
      </c>
      <c r="AK16" s="13">
        <f t="shared" si="8"/>
        <v>185000</v>
      </c>
      <c r="AL16" s="13">
        <f t="shared" si="9"/>
        <v>205000</v>
      </c>
      <c r="AM16" s="13">
        <f t="shared" si="10"/>
        <v>-20000</v>
      </c>
      <c r="AN16" s="24"/>
      <c r="AO16" s="24"/>
      <c r="AP16" s="24"/>
      <c r="AQ16" s="24"/>
      <c r="AR16" s="29"/>
      <c r="AS16" s="29">
        <v>30000</v>
      </c>
      <c r="AT16" s="24"/>
      <c r="AU16" s="24"/>
      <c r="AV16" s="24"/>
      <c r="AW16" s="24"/>
      <c r="AX16" s="24"/>
      <c r="AY16" s="24"/>
      <c r="AZ16" s="13">
        <f t="shared" si="11"/>
        <v>30000</v>
      </c>
      <c r="BA16" s="13">
        <v>60000</v>
      </c>
      <c r="BB16" s="13">
        <f t="shared" si="12"/>
        <v>-30000</v>
      </c>
      <c r="BC16" s="13">
        <f>AK16+AZ16</f>
        <v>215000</v>
      </c>
      <c r="BD16" s="13">
        <f>AL16+BA16</f>
        <v>265000</v>
      </c>
      <c r="BE16" s="67">
        <f t="shared" si="15"/>
        <v>-50000</v>
      </c>
      <c r="BF16" s="61">
        <v>50000</v>
      </c>
      <c r="BG16" s="61"/>
      <c r="BH16" s="61"/>
      <c r="BI16" s="61">
        <v>10000</v>
      </c>
      <c r="BJ16" s="61"/>
      <c r="BK16" s="61"/>
      <c r="BL16" s="61"/>
      <c r="BM16" s="61">
        <v>39500</v>
      </c>
      <c r="BN16" s="61"/>
      <c r="BO16" s="61"/>
      <c r="BP16" s="61"/>
      <c r="BQ16" s="61"/>
      <c r="BR16" s="70">
        <f t="shared" si="16"/>
        <v>99500</v>
      </c>
      <c r="BS16" s="13">
        <v>60000</v>
      </c>
      <c r="BT16" s="13">
        <f t="shared" si="20"/>
        <v>39500</v>
      </c>
      <c r="BU16" s="13">
        <f t="shared" si="17"/>
        <v>314500</v>
      </c>
      <c r="BV16" s="13">
        <f t="shared" si="18"/>
        <v>325000</v>
      </c>
      <c r="BW16" s="13">
        <f t="shared" si="19"/>
        <v>-10500</v>
      </c>
      <c r="BX16">
        <v>10500</v>
      </c>
    </row>
    <row r="17" spans="1:75" ht="14.25" customHeight="1" x14ac:dyDescent="0.25">
      <c r="A17" s="13" t="s">
        <v>61</v>
      </c>
      <c r="B17" s="13"/>
      <c r="C17" s="13">
        <v>5000</v>
      </c>
      <c r="D17" s="3"/>
      <c r="E17" s="3"/>
      <c r="F17" s="3"/>
      <c r="G17" s="3"/>
      <c r="H17" s="3"/>
      <c r="I17" s="3"/>
      <c r="J17" s="3"/>
      <c r="K17" s="3"/>
      <c r="L17" s="3"/>
      <c r="M17" s="3"/>
      <c r="N17" s="3"/>
      <c r="O17" s="3"/>
      <c r="P17" s="3">
        <f t="shared" si="0"/>
        <v>0</v>
      </c>
      <c r="Q17" s="3"/>
      <c r="R17" s="3"/>
      <c r="S17" s="3">
        <f t="shared" si="3"/>
        <v>5000</v>
      </c>
      <c r="T17" s="3"/>
      <c r="U17" s="13">
        <f t="shared" si="5"/>
        <v>5000</v>
      </c>
      <c r="V17" s="3"/>
      <c r="W17" s="3"/>
      <c r="X17" s="3"/>
      <c r="Y17" s="3"/>
      <c r="Z17" s="13">
        <v>0</v>
      </c>
      <c r="AA17" s="13">
        <v>0</v>
      </c>
      <c r="AB17" s="29">
        <v>0</v>
      </c>
      <c r="AC17" s="29">
        <v>0</v>
      </c>
      <c r="AD17" s="3"/>
      <c r="AE17" s="3"/>
      <c r="AF17" s="3"/>
      <c r="AG17" s="3"/>
      <c r="AH17" s="13">
        <f t="shared" si="6"/>
        <v>0</v>
      </c>
      <c r="AI17" s="13">
        <v>40000</v>
      </c>
      <c r="AJ17" s="13">
        <f t="shared" si="7"/>
        <v>-40000</v>
      </c>
      <c r="AK17" s="13">
        <f t="shared" si="8"/>
        <v>5000</v>
      </c>
      <c r="AL17" s="13">
        <f t="shared" si="9"/>
        <v>40000</v>
      </c>
      <c r="AM17" s="13">
        <f t="shared" si="10"/>
        <v>-35000</v>
      </c>
      <c r="AN17" s="24"/>
      <c r="AO17" s="24"/>
      <c r="AP17" s="24"/>
      <c r="AQ17" s="24"/>
      <c r="AR17" s="29"/>
      <c r="AS17" s="29"/>
      <c r="AT17" s="24"/>
      <c r="AU17" s="24"/>
      <c r="AV17" s="24"/>
      <c r="AW17" s="24"/>
      <c r="AX17" s="24"/>
      <c r="AY17" s="24"/>
      <c r="AZ17" s="13">
        <f t="shared" si="11"/>
        <v>0</v>
      </c>
      <c r="BA17" s="13"/>
      <c r="BB17" s="13"/>
      <c r="BC17" s="13"/>
      <c r="BD17" s="13"/>
      <c r="BE17" s="67"/>
      <c r="BF17" s="61"/>
      <c r="BG17" s="61"/>
      <c r="BH17" s="61"/>
      <c r="BI17" s="61"/>
      <c r="BJ17" s="61"/>
      <c r="BK17" s="61"/>
      <c r="BL17" s="61"/>
      <c r="BM17" s="61"/>
      <c r="BN17" s="61"/>
      <c r="BO17" s="61"/>
      <c r="BP17" s="61"/>
      <c r="BQ17" s="61"/>
      <c r="BR17" s="70">
        <f t="shared" si="16"/>
        <v>0</v>
      </c>
      <c r="BS17" s="13">
        <v>60000</v>
      </c>
      <c r="BT17" s="13">
        <f t="shared" si="20"/>
        <v>-60000</v>
      </c>
      <c r="BU17" s="13">
        <f t="shared" si="17"/>
        <v>0</v>
      </c>
      <c r="BV17" s="13">
        <f t="shared" si="18"/>
        <v>60000</v>
      </c>
      <c r="BW17" s="13">
        <f t="shared" si="19"/>
        <v>-60000</v>
      </c>
    </row>
    <row r="18" spans="1:75" ht="14.25" customHeight="1" x14ac:dyDescent="0.25">
      <c r="A18" s="13" t="s">
        <v>62</v>
      </c>
      <c r="B18" s="13">
        <f t="shared" ref="B18:V18" si="21">SUM(B3:B17)</f>
        <v>14000</v>
      </c>
      <c r="C18" s="13">
        <f t="shared" si="21"/>
        <v>1484500</v>
      </c>
      <c r="D18" s="13">
        <f t="shared" si="21"/>
        <v>40000</v>
      </c>
      <c r="E18" s="13">
        <f t="shared" si="21"/>
        <v>50500</v>
      </c>
      <c r="F18" s="13">
        <f t="shared" si="21"/>
        <v>50000</v>
      </c>
      <c r="G18" s="13">
        <f t="shared" si="21"/>
        <v>27500</v>
      </c>
      <c r="H18" s="13">
        <f t="shared" si="21"/>
        <v>50000</v>
      </c>
      <c r="I18" s="13">
        <f t="shared" si="21"/>
        <v>35000</v>
      </c>
      <c r="J18" s="13">
        <f t="shared" si="21"/>
        <v>75000</v>
      </c>
      <c r="K18" s="13">
        <f t="shared" si="21"/>
        <v>40000</v>
      </c>
      <c r="L18" s="13">
        <f t="shared" si="21"/>
        <v>47600</v>
      </c>
      <c r="M18" s="13">
        <f t="shared" si="21"/>
        <v>81000</v>
      </c>
      <c r="N18" s="13">
        <f t="shared" si="21"/>
        <v>78000</v>
      </c>
      <c r="O18" s="13">
        <f t="shared" si="21"/>
        <v>120000</v>
      </c>
      <c r="P18" s="13">
        <f t="shared" si="21"/>
        <v>694600</v>
      </c>
      <c r="Q18" s="13">
        <f t="shared" si="21"/>
        <v>840000</v>
      </c>
      <c r="R18" s="13">
        <f t="shared" si="21"/>
        <v>-145400</v>
      </c>
      <c r="S18" s="13">
        <f t="shared" si="21"/>
        <v>2179100</v>
      </c>
      <c r="T18" s="13">
        <f t="shared" si="21"/>
        <v>2310000</v>
      </c>
      <c r="U18" s="13">
        <f t="shared" si="21"/>
        <v>-130900</v>
      </c>
      <c r="V18" s="13">
        <f t="shared" si="21"/>
        <v>10000</v>
      </c>
      <c r="W18" s="3"/>
      <c r="X18" s="3"/>
      <c r="Y18" s="3"/>
      <c r="Z18" s="3"/>
      <c r="AA18" s="3"/>
      <c r="AB18" s="3"/>
      <c r="AC18" s="3"/>
      <c r="AD18" s="3"/>
      <c r="AE18" s="3"/>
      <c r="AF18" s="3"/>
      <c r="AG18" s="3"/>
      <c r="AH18" s="3"/>
      <c r="AI18" s="3"/>
      <c r="AJ18" s="3"/>
      <c r="AK18" s="3"/>
      <c r="AL18" s="3"/>
      <c r="AM18" s="3"/>
      <c r="AN18" s="29"/>
      <c r="AO18" s="24"/>
      <c r="AP18" s="24"/>
      <c r="AQ18" s="24"/>
      <c r="AR18" s="24"/>
      <c r="AS18" s="24"/>
      <c r="AT18" s="24"/>
      <c r="AU18" s="24"/>
      <c r="AV18" s="24"/>
      <c r="AW18" s="24"/>
      <c r="AX18" s="24"/>
      <c r="AY18" s="24"/>
      <c r="AZ18" s="13">
        <f>SUM(AZ3:AZ17)</f>
        <v>397000</v>
      </c>
      <c r="BA18" s="24">
        <f>SUM(BA3:BA17)</f>
        <v>840000</v>
      </c>
      <c r="BB18" s="24"/>
      <c r="BC18" s="13">
        <f>SUM(BC3:BC17)</f>
        <v>2842100</v>
      </c>
      <c r="BD18" s="14">
        <f>SUM(BD3:BD17)</f>
        <v>3445000</v>
      </c>
      <c r="BE18" s="68"/>
      <c r="BF18" s="61"/>
      <c r="BG18" s="61"/>
      <c r="BH18" s="61"/>
      <c r="BI18" s="61"/>
      <c r="BJ18" s="61"/>
      <c r="BK18" s="61"/>
      <c r="BL18" s="61"/>
      <c r="BM18" s="61"/>
      <c r="BN18" s="61"/>
      <c r="BO18" s="61"/>
      <c r="BP18" s="61"/>
      <c r="BQ18" s="61"/>
      <c r="BR18" s="70">
        <f t="shared" si="16"/>
        <v>0</v>
      </c>
      <c r="BS18" s="24"/>
      <c r="BT18" s="24"/>
      <c r="BU18" s="13">
        <f>BC18+BS18</f>
        <v>2842100</v>
      </c>
      <c r="BV18" s="14"/>
      <c r="BW18" s="14"/>
    </row>
    <row r="19" spans="1:75" ht="14.25" customHeight="1" x14ac:dyDescent="0.25">
      <c r="A19" s="2"/>
      <c r="B19" s="2"/>
      <c r="C19" s="2"/>
    </row>
    <row r="20" spans="1:75" ht="14.25" customHeight="1" x14ac:dyDescent="0.25">
      <c r="A20" s="2"/>
      <c r="B20" s="2"/>
      <c r="C20" s="2"/>
      <c r="U20" s="16">
        <f>U6+U9+V4+V14</f>
        <v>33600</v>
      </c>
    </row>
    <row r="21" spans="1:75" ht="14.25" customHeight="1" x14ac:dyDescent="0.25">
      <c r="A21" s="2" t="s">
        <v>63</v>
      </c>
      <c r="B21" s="2"/>
      <c r="C21" s="2"/>
    </row>
    <row r="22" spans="1:75" ht="14.25" customHeight="1" x14ac:dyDescent="0.25">
      <c r="A22" s="2"/>
      <c r="B22" s="2"/>
      <c r="C22" s="2"/>
    </row>
    <row r="23" spans="1:75" ht="14.25" customHeight="1" x14ac:dyDescent="0.25">
      <c r="A23" s="2" t="s">
        <v>51</v>
      </c>
      <c r="B23" s="2"/>
      <c r="C23" s="2"/>
      <c r="D23" s="2" t="s">
        <v>139</v>
      </c>
      <c r="E23" s="2" t="s">
        <v>45</v>
      </c>
      <c r="F23" s="2" t="s">
        <v>142</v>
      </c>
      <c r="G23" s="2" t="s">
        <v>113</v>
      </c>
    </row>
    <row r="24" spans="1:75" ht="14.25" customHeight="1" x14ac:dyDescent="0.25">
      <c r="A24" s="2" t="s">
        <v>64</v>
      </c>
      <c r="B24" s="2"/>
      <c r="C24" s="2"/>
      <c r="D24" s="16">
        <v>60000</v>
      </c>
      <c r="E24" s="16">
        <v>6000</v>
      </c>
      <c r="F24" s="16">
        <v>66000</v>
      </c>
      <c r="G24" s="16">
        <v>0</v>
      </c>
    </row>
    <row r="25" spans="1:75" ht="14.25" customHeight="1" x14ac:dyDescent="0.25">
      <c r="A25" s="2" t="s">
        <v>57</v>
      </c>
      <c r="B25" s="2"/>
      <c r="C25" s="2"/>
      <c r="D25" s="16">
        <v>60000</v>
      </c>
      <c r="E25" s="16">
        <v>6000</v>
      </c>
      <c r="F25" s="16">
        <v>66000</v>
      </c>
      <c r="G25" s="16">
        <v>0</v>
      </c>
    </row>
    <row r="26" spans="1:75" ht="14.25" customHeight="1" x14ac:dyDescent="0.25">
      <c r="A26" s="2" t="s">
        <v>25</v>
      </c>
      <c r="B26" s="2"/>
      <c r="C26" s="2"/>
      <c r="D26" s="16">
        <v>100000</v>
      </c>
      <c r="E26" s="16">
        <v>10000</v>
      </c>
      <c r="F26" s="16">
        <v>0</v>
      </c>
      <c r="G26" s="16">
        <v>100000</v>
      </c>
    </row>
    <row r="27" spans="1:75" ht="14.25" customHeight="1" x14ac:dyDescent="0.25">
      <c r="A27" s="2" t="s">
        <v>27</v>
      </c>
      <c r="B27" s="2"/>
      <c r="C27" s="2"/>
      <c r="D27" s="16">
        <v>60000</v>
      </c>
      <c r="E27" s="16">
        <v>6000</v>
      </c>
      <c r="F27" s="16">
        <v>63000</v>
      </c>
      <c r="G27" s="16">
        <v>60000</v>
      </c>
    </row>
    <row r="28" spans="1:75" ht="14.25" customHeight="1" x14ac:dyDescent="0.25">
      <c r="A28" s="2" t="s">
        <v>23</v>
      </c>
      <c r="B28" s="2"/>
      <c r="C28" s="2"/>
      <c r="D28" s="2">
        <f>SUM(D24:D27)</f>
        <v>280000</v>
      </c>
      <c r="E28" s="2">
        <f>SUM(E24:E27)</f>
        <v>28000</v>
      </c>
      <c r="G28" s="2">
        <f>SUM(G24:G27)</f>
        <v>160000</v>
      </c>
    </row>
    <row r="29" spans="1:75" ht="14.25" customHeight="1" x14ac:dyDescent="0.25">
      <c r="A29" s="2"/>
      <c r="B29" s="2"/>
      <c r="C29" s="2"/>
      <c r="F29" s="2"/>
    </row>
    <row r="30" spans="1:75" ht="14.25" customHeight="1" x14ac:dyDescent="0.25">
      <c r="A30" s="2"/>
      <c r="B30" s="2"/>
      <c r="C30" s="2"/>
    </row>
    <row r="31" spans="1:75" ht="14.25" customHeight="1" x14ac:dyDescent="0.25">
      <c r="A31" s="2"/>
      <c r="B31" s="2"/>
      <c r="C31" s="2"/>
    </row>
    <row r="32" spans="1:75" ht="14.25" customHeight="1" x14ac:dyDescent="0.25">
      <c r="A32" s="2"/>
      <c r="B32" s="2"/>
      <c r="C32" s="2"/>
    </row>
    <row r="33" spans="1:3" ht="14.25" customHeight="1" x14ac:dyDescent="0.25">
      <c r="A33" s="2"/>
      <c r="B33" s="2"/>
      <c r="C33" s="2"/>
    </row>
    <row r="34" spans="1:3" ht="14.25" customHeight="1" x14ac:dyDescent="0.25">
      <c r="A34" s="2"/>
      <c r="B34" s="2"/>
      <c r="C34" s="2"/>
    </row>
    <row r="35" spans="1:3" ht="14.25" customHeight="1" x14ac:dyDescent="0.25">
      <c r="A35" s="2"/>
      <c r="B35" s="2"/>
      <c r="C35" s="2"/>
    </row>
    <row r="36" spans="1:3" ht="14.25" customHeight="1" x14ac:dyDescent="0.25">
      <c r="A36" s="2"/>
      <c r="B36" s="2"/>
      <c r="C36" s="2"/>
    </row>
    <row r="37" spans="1:3" ht="14.25" customHeight="1" x14ac:dyDescent="0.25">
      <c r="A37" s="2"/>
      <c r="B37" s="2"/>
      <c r="C37" s="2"/>
    </row>
    <row r="38" spans="1:3" ht="14.25" customHeight="1" x14ac:dyDescent="0.25">
      <c r="A38" s="2"/>
      <c r="B38" s="2"/>
      <c r="C38" s="2"/>
    </row>
    <row r="39" spans="1:3" ht="14.25" customHeight="1" x14ac:dyDescent="0.25">
      <c r="A39" s="2"/>
      <c r="B39" s="2"/>
      <c r="C39" s="2"/>
    </row>
    <row r="40" spans="1:3" ht="14.25" customHeight="1" x14ac:dyDescent="0.25">
      <c r="A40" s="2"/>
      <c r="B40" s="2"/>
      <c r="C40" s="2"/>
    </row>
    <row r="41" spans="1:3" ht="14.25" customHeight="1" x14ac:dyDescent="0.25">
      <c r="A41" s="2"/>
      <c r="B41" s="2"/>
      <c r="C41" s="2"/>
    </row>
    <row r="42" spans="1:3" ht="14.25" customHeight="1" x14ac:dyDescent="0.25">
      <c r="A42" s="2"/>
      <c r="B42" s="2"/>
      <c r="C42" s="2"/>
    </row>
    <row r="43" spans="1:3" ht="14.25" customHeight="1" x14ac:dyDescent="0.25">
      <c r="A43" s="2"/>
      <c r="B43" s="2"/>
      <c r="C43" s="2"/>
    </row>
    <row r="44" spans="1:3" ht="14.25" customHeight="1" x14ac:dyDescent="0.25">
      <c r="A44" s="2"/>
      <c r="B44" s="2"/>
      <c r="C44" s="2"/>
    </row>
    <row r="45" spans="1:3" ht="14.25" customHeight="1" x14ac:dyDescent="0.25">
      <c r="A45" s="2"/>
      <c r="B45" s="2"/>
      <c r="C45" s="2"/>
    </row>
    <row r="46" spans="1:3" ht="14.25" customHeight="1" x14ac:dyDescent="0.25">
      <c r="A46" s="2"/>
      <c r="B46" s="2"/>
      <c r="C46" s="2"/>
    </row>
    <row r="47" spans="1:3" ht="14.25" customHeight="1" x14ac:dyDescent="0.25">
      <c r="A47" s="2"/>
      <c r="B47" s="2"/>
      <c r="C47" s="2"/>
    </row>
    <row r="48" spans="1:3" ht="14.25" customHeight="1" x14ac:dyDescent="0.25">
      <c r="A48" s="2"/>
      <c r="B48" s="2"/>
      <c r="C48" s="2"/>
    </row>
    <row r="49" spans="1:3" ht="14.25" customHeight="1" x14ac:dyDescent="0.25">
      <c r="A49" s="2"/>
      <c r="B49" s="2"/>
      <c r="C49" s="2"/>
    </row>
    <row r="50" spans="1:3" ht="14.25" customHeight="1" x14ac:dyDescent="0.25">
      <c r="A50" s="2"/>
      <c r="B50" s="2"/>
      <c r="C50" s="2"/>
    </row>
    <row r="51" spans="1:3" ht="14.25" customHeight="1" x14ac:dyDescent="0.25">
      <c r="A51" s="2"/>
      <c r="B51" s="2"/>
      <c r="C51" s="2"/>
    </row>
    <row r="52" spans="1:3" ht="14.25" customHeight="1" x14ac:dyDescent="0.25">
      <c r="A52" s="2"/>
      <c r="B52" s="2"/>
      <c r="C52" s="2"/>
    </row>
    <row r="53" spans="1:3" ht="14.25" customHeight="1" x14ac:dyDescent="0.25">
      <c r="A53" s="2"/>
      <c r="B53" s="2"/>
      <c r="C53" s="2"/>
    </row>
    <row r="54" spans="1:3" ht="14.25" customHeight="1" x14ac:dyDescent="0.25">
      <c r="A54" s="2"/>
      <c r="B54" s="2"/>
      <c r="C54" s="2"/>
    </row>
    <row r="55" spans="1:3" ht="14.25" customHeight="1" x14ac:dyDescent="0.25">
      <c r="A55" s="2"/>
      <c r="B55" s="2"/>
      <c r="C55" s="2"/>
    </row>
    <row r="56" spans="1:3" ht="14.25" customHeight="1" x14ac:dyDescent="0.25">
      <c r="A56" s="2"/>
      <c r="B56" s="2"/>
      <c r="C56" s="2"/>
    </row>
    <row r="57" spans="1:3" ht="14.25" customHeight="1" x14ac:dyDescent="0.25">
      <c r="A57" s="2"/>
      <c r="B57" s="2"/>
      <c r="C57" s="2"/>
    </row>
    <row r="58" spans="1:3" ht="14.25" customHeight="1" x14ac:dyDescent="0.25">
      <c r="A58" s="2"/>
      <c r="B58" s="2"/>
      <c r="C58" s="2"/>
    </row>
    <row r="59" spans="1:3" ht="14.25" customHeight="1" x14ac:dyDescent="0.25">
      <c r="A59" s="2"/>
      <c r="B59" s="2"/>
      <c r="C59" s="2"/>
    </row>
    <row r="60" spans="1:3" ht="14.25" customHeight="1" x14ac:dyDescent="0.25">
      <c r="A60" s="2"/>
      <c r="B60" s="2"/>
      <c r="C60" s="2"/>
    </row>
    <row r="61" spans="1:3" ht="14.25" customHeight="1" x14ac:dyDescent="0.25">
      <c r="A61" s="2"/>
      <c r="B61" s="2"/>
      <c r="C61" s="2"/>
    </row>
    <row r="62" spans="1:3" ht="14.25" customHeight="1" x14ac:dyDescent="0.25">
      <c r="A62" s="2"/>
      <c r="B62" s="2"/>
      <c r="C62" s="2"/>
    </row>
    <row r="63" spans="1:3" ht="14.25" customHeight="1" x14ac:dyDescent="0.25">
      <c r="A63" s="2"/>
      <c r="B63" s="2"/>
      <c r="C63" s="2"/>
    </row>
    <row r="64" spans="1:3" ht="14.25" customHeight="1" x14ac:dyDescent="0.25">
      <c r="A64" s="2"/>
      <c r="B64" s="2"/>
      <c r="C64" s="2"/>
    </row>
    <row r="65" spans="1:3" ht="14.25" customHeight="1" x14ac:dyDescent="0.25">
      <c r="A65" s="2"/>
      <c r="B65" s="2"/>
      <c r="C65" s="2"/>
    </row>
    <row r="66" spans="1:3" ht="14.25" customHeight="1" x14ac:dyDescent="0.25">
      <c r="A66" s="2"/>
      <c r="B66" s="2"/>
      <c r="C66" s="2"/>
    </row>
    <row r="67" spans="1:3" ht="14.25" customHeight="1" x14ac:dyDescent="0.25">
      <c r="A67" s="2"/>
      <c r="B67" s="2"/>
      <c r="C67" s="2"/>
    </row>
    <row r="68" spans="1:3" ht="14.25" customHeight="1" x14ac:dyDescent="0.25">
      <c r="A68" s="2"/>
      <c r="B68" s="2"/>
      <c r="C68" s="2"/>
    </row>
    <row r="69" spans="1:3" ht="14.25" customHeight="1" x14ac:dyDescent="0.25">
      <c r="A69" s="2"/>
      <c r="B69" s="2"/>
      <c r="C69" s="2"/>
    </row>
    <row r="70" spans="1:3" ht="14.25" customHeight="1" x14ac:dyDescent="0.25">
      <c r="A70" s="2"/>
      <c r="B70" s="2"/>
      <c r="C70" s="2"/>
    </row>
    <row r="71" spans="1:3" ht="14.25" customHeight="1" x14ac:dyDescent="0.25">
      <c r="A71" s="2"/>
      <c r="B71" s="2"/>
      <c r="C71" s="2"/>
    </row>
    <row r="72" spans="1:3" ht="14.25" customHeight="1" x14ac:dyDescent="0.25">
      <c r="A72" s="2"/>
      <c r="B72" s="2"/>
      <c r="C72" s="2"/>
    </row>
    <row r="73" spans="1:3" ht="14.25" customHeight="1" x14ac:dyDescent="0.25">
      <c r="A73" s="2"/>
      <c r="B73" s="2"/>
      <c r="C73" s="2"/>
    </row>
    <row r="74" spans="1:3" ht="14.25" customHeight="1" x14ac:dyDescent="0.25">
      <c r="A74" s="2"/>
      <c r="B74" s="2"/>
      <c r="C74" s="2"/>
    </row>
    <row r="75" spans="1:3" ht="14.25" customHeight="1" x14ac:dyDescent="0.25">
      <c r="A75" s="2"/>
      <c r="B75" s="2"/>
      <c r="C75" s="2"/>
    </row>
    <row r="76" spans="1:3" ht="14.25" customHeight="1" x14ac:dyDescent="0.25">
      <c r="A76" s="2"/>
      <c r="B76" s="2"/>
      <c r="C76" s="2"/>
    </row>
    <row r="77" spans="1:3" ht="14.25" customHeight="1" x14ac:dyDescent="0.25">
      <c r="A77" s="2"/>
      <c r="B77" s="2"/>
      <c r="C77" s="2"/>
    </row>
    <row r="78" spans="1:3" ht="14.25" customHeight="1" x14ac:dyDescent="0.25">
      <c r="A78" s="2"/>
      <c r="B78" s="2"/>
      <c r="C78" s="2"/>
    </row>
    <row r="79" spans="1:3" ht="14.25" customHeight="1" x14ac:dyDescent="0.25">
      <c r="A79" s="2"/>
      <c r="B79" s="2"/>
      <c r="C79" s="2"/>
    </row>
    <row r="80" spans="1:3" ht="14.25" customHeight="1" x14ac:dyDescent="0.25">
      <c r="A80" s="2"/>
      <c r="B80" s="2"/>
      <c r="C80" s="2"/>
    </row>
    <row r="81" spans="1:3" ht="14.25" customHeight="1" x14ac:dyDescent="0.25">
      <c r="A81" s="2"/>
      <c r="B81" s="2"/>
      <c r="C81" s="2"/>
    </row>
    <row r="82" spans="1:3" ht="14.25" customHeight="1" x14ac:dyDescent="0.25">
      <c r="A82" s="2"/>
      <c r="B82" s="2"/>
      <c r="C82" s="2"/>
    </row>
    <row r="83" spans="1:3" ht="14.25" customHeight="1" x14ac:dyDescent="0.25">
      <c r="A83" s="2"/>
      <c r="B83" s="2"/>
      <c r="C83" s="2"/>
    </row>
    <row r="84" spans="1:3" ht="14.25" customHeight="1" x14ac:dyDescent="0.25">
      <c r="A84" s="2"/>
      <c r="B84" s="2"/>
      <c r="C84" s="2"/>
    </row>
    <row r="85" spans="1:3" ht="14.25" customHeight="1" x14ac:dyDescent="0.25">
      <c r="A85" s="2"/>
      <c r="B85" s="2"/>
      <c r="C85" s="2"/>
    </row>
    <row r="86" spans="1:3" ht="14.25" customHeight="1" x14ac:dyDescent="0.25">
      <c r="A86" s="2"/>
      <c r="B86" s="2"/>
      <c r="C86" s="2"/>
    </row>
    <row r="87" spans="1:3" ht="14.25" customHeight="1" x14ac:dyDescent="0.25">
      <c r="A87" s="2"/>
      <c r="B87" s="2"/>
      <c r="C87" s="2"/>
    </row>
    <row r="88" spans="1:3" ht="14.25" customHeight="1" x14ac:dyDescent="0.25">
      <c r="A88" s="2"/>
      <c r="B88" s="2"/>
      <c r="C88" s="2"/>
    </row>
    <row r="89" spans="1:3" ht="14.25" customHeight="1" x14ac:dyDescent="0.25">
      <c r="A89" s="2"/>
      <c r="B89" s="2"/>
      <c r="C89" s="2"/>
    </row>
    <row r="90" spans="1:3" ht="14.25" customHeight="1" x14ac:dyDescent="0.25">
      <c r="A90" s="2"/>
      <c r="B90" s="2"/>
      <c r="C90" s="2"/>
    </row>
    <row r="91" spans="1:3" ht="14.25" customHeight="1" x14ac:dyDescent="0.25">
      <c r="A91" s="2"/>
      <c r="B91" s="2"/>
      <c r="C91" s="2"/>
    </row>
    <row r="92" spans="1:3" ht="14.25" customHeight="1" x14ac:dyDescent="0.25">
      <c r="A92" s="2"/>
      <c r="B92" s="2"/>
      <c r="C92" s="2"/>
    </row>
    <row r="93" spans="1:3" ht="14.25" customHeight="1" x14ac:dyDescent="0.25">
      <c r="A93" s="2"/>
      <c r="B93" s="2"/>
      <c r="C93" s="2"/>
    </row>
    <row r="94" spans="1:3" ht="14.25" customHeight="1" x14ac:dyDescent="0.25">
      <c r="A94" s="2"/>
      <c r="B94" s="2"/>
      <c r="C94" s="2"/>
    </row>
    <row r="95" spans="1:3" ht="14.25" customHeight="1" x14ac:dyDescent="0.25">
      <c r="A95" s="2"/>
      <c r="B95" s="2"/>
      <c r="C95" s="2"/>
    </row>
    <row r="96" spans="1:3" ht="14.25" customHeight="1" x14ac:dyDescent="0.25">
      <c r="A96" s="2"/>
      <c r="B96" s="2"/>
      <c r="C96" s="2"/>
    </row>
    <row r="97" spans="1:3" ht="14.25" customHeight="1" x14ac:dyDescent="0.25">
      <c r="A97" s="2"/>
      <c r="B97" s="2"/>
      <c r="C97" s="2"/>
    </row>
    <row r="98" spans="1:3" ht="14.25" customHeight="1" x14ac:dyDescent="0.25">
      <c r="A98" s="2"/>
      <c r="B98" s="2"/>
      <c r="C98" s="2"/>
    </row>
    <row r="99" spans="1:3" ht="14.25" customHeight="1" x14ac:dyDescent="0.25">
      <c r="A99" s="2"/>
      <c r="B99" s="2"/>
      <c r="C99" s="2"/>
    </row>
    <row r="100" spans="1:3" ht="14.25" customHeight="1" x14ac:dyDescent="0.25">
      <c r="A100" s="2"/>
      <c r="B100" s="2"/>
      <c r="C100" s="2"/>
    </row>
    <row r="101" spans="1:3" ht="14.25" customHeight="1" x14ac:dyDescent="0.25">
      <c r="A101" s="2"/>
      <c r="B101" s="2"/>
      <c r="C101" s="2"/>
    </row>
    <row r="102" spans="1:3" ht="14.25" customHeight="1" x14ac:dyDescent="0.25">
      <c r="A102" s="2"/>
      <c r="B102" s="2"/>
      <c r="C102" s="2"/>
    </row>
    <row r="103" spans="1:3" ht="14.25" customHeight="1" x14ac:dyDescent="0.25">
      <c r="A103" s="2"/>
      <c r="B103" s="2"/>
      <c r="C103" s="2"/>
    </row>
    <row r="104" spans="1:3" ht="14.25" customHeight="1" x14ac:dyDescent="0.25">
      <c r="A104" s="2"/>
      <c r="B104" s="2"/>
      <c r="C104" s="2"/>
    </row>
    <row r="105" spans="1:3" ht="14.25" customHeight="1" x14ac:dyDescent="0.25">
      <c r="A105" s="2"/>
      <c r="B105" s="2"/>
      <c r="C105" s="2"/>
    </row>
    <row r="106" spans="1:3" ht="14.25" customHeight="1" x14ac:dyDescent="0.25">
      <c r="A106" s="2"/>
      <c r="B106" s="2"/>
      <c r="C106" s="2"/>
    </row>
    <row r="107" spans="1:3" ht="14.25" customHeight="1" x14ac:dyDescent="0.25">
      <c r="A107" s="2"/>
      <c r="B107" s="2"/>
      <c r="C107" s="2"/>
    </row>
    <row r="108" spans="1:3" ht="14.25" customHeight="1" x14ac:dyDescent="0.25">
      <c r="A108" s="2"/>
      <c r="B108" s="2"/>
      <c r="C108" s="2"/>
    </row>
    <row r="109" spans="1:3" ht="14.25" customHeight="1" x14ac:dyDescent="0.25">
      <c r="A109" s="2"/>
      <c r="B109" s="2"/>
      <c r="C109" s="2"/>
    </row>
    <row r="110" spans="1:3" ht="14.25" customHeight="1" x14ac:dyDescent="0.25">
      <c r="A110" s="2"/>
      <c r="B110" s="2"/>
      <c r="C110" s="2"/>
    </row>
    <row r="111" spans="1:3" ht="14.25" customHeight="1" x14ac:dyDescent="0.25">
      <c r="A111" s="2"/>
      <c r="B111" s="2"/>
      <c r="C111" s="2"/>
    </row>
    <row r="112" spans="1:3" ht="14.25" customHeight="1" x14ac:dyDescent="0.25">
      <c r="A112" s="2"/>
      <c r="B112" s="2"/>
      <c r="C112" s="2"/>
    </row>
    <row r="113" spans="1:3" ht="14.25" customHeight="1" x14ac:dyDescent="0.25">
      <c r="A113" s="2"/>
      <c r="B113" s="2"/>
      <c r="C113" s="2"/>
    </row>
    <row r="114" spans="1:3" ht="14.25" customHeight="1" x14ac:dyDescent="0.25">
      <c r="A114" s="2"/>
      <c r="B114" s="2"/>
      <c r="C114" s="2"/>
    </row>
    <row r="115" spans="1:3" ht="14.25" customHeight="1" x14ac:dyDescent="0.25">
      <c r="A115" s="2"/>
      <c r="B115" s="2"/>
      <c r="C115" s="2"/>
    </row>
    <row r="116" spans="1:3" ht="14.25" customHeight="1" x14ac:dyDescent="0.25">
      <c r="A116" s="2"/>
      <c r="B116" s="2"/>
      <c r="C116" s="2"/>
    </row>
    <row r="117" spans="1:3" ht="14.25" customHeight="1" x14ac:dyDescent="0.25">
      <c r="A117" s="2"/>
      <c r="B117" s="2"/>
      <c r="C117" s="2"/>
    </row>
    <row r="118" spans="1:3" ht="14.25" customHeight="1" x14ac:dyDescent="0.25">
      <c r="A118" s="2"/>
      <c r="B118" s="2"/>
      <c r="C118" s="2"/>
    </row>
    <row r="119" spans="1:3" ht="14.25" customHeight="1" x14ac:dyDescent="0.25">
      <c r="A119" s="2"/>
      <c r="B119" s="2"/>
      <c r="C119" s="2"/>
    </row>
    <row r="120" spans="1:3" ht="14.25" customHeight="1" x14ac:dyDescent="0.25">
      <c r="A120" s="2"/>
      <c r="B120" s="2"/>
      <c r="C120" s="2"/>
    </row>
    <row r="121" spans="1:3" ht="14.25" customHeight="1" x14ac:dyDescent="0.25">
      <c r="A121" s="2"/>
      <c r="B121" s="2"/>
      <c r="C121" s="2"/>
    </row>
    <row r="122" spans="1:3" ht="14.25" customHeight="1" x14ac:dyDescent="0.25">
      <c r="A122" s="2"/>
      <c r="B122" s="2"/>
      <c r="C122" s="2"/>
    </row>
    <row r="123" spans="1:3" ht="14.25" customHeight="1" x14ac:dyDescent="0.25">
      <c r="A123" s="2"/>
      <c r="B123" s="2"/>
      <c r="C123" s="2"/>
    </row>
    <row r="124" spans="1:3" ht="14.25" customHeight="1" x14ac:dyDescent="0.25">
      <c r="A124" s="2"/>
      <c r="B124" s="2"/>
      <c r="C124" s="2"/>
    </row>
    <row r="125" spans="1:3" ht="14.25" customHeight="1" x14ac:dyDescent="0.25">
      <c r="A125" s="2"/>
      <c r="B125" s="2"/>
      <c r="C125" s="2"/>
    </row>
    <row r="126" spans="1:3" ht="14.25" customHeight="1" x14ac:dyDescent="0.25">
      <c r="A126" s="2"/>
      <c r="B126" s="2"/>
      <c r="C126" s="2"/>
    </row>
    <row r="127" spans="1:3" ht="14.25" customHeight="1" x14ac:dyDescent="0.25">
      <c r="A127" s="2"/>
      <c r="B127" s="2"/>
      <c r="C127" s="2"/>
    </row>
    <row r="128" spans="1:3" ht="14.25" customHeight="1" x14ac:dyDescent="0.25">
      <c r="A128" s="2"/>
      <c r="B128" s="2"/>
      <c r="C128" s="2"/>
    </row>
    <row r="129" spans="1:3" ht="14.25" customHeight="1" x14ac:dyDescent="0.25">
      <c r="A129" s="2"/>
      <c r="B129" s="2"/>
      <c r="C129" s="2"/>
    </row>
    <row r="130" spans="1:3" ht="14.25" customHeight="1" x14ac:dyDescent="0.25">
      <c r="A130" s="2"/>
      <c r="B130" s="2"/>
      <c r="C130" s="2"/>
    </row>
    <row r="131" spans="1:3" ht="14.25" customHeight="1" x14ac:dyDescent="0.25">
      <c r="A131" s="2"/>
      <c r="B131" s="2"/>
      <c r="C131" s="2"/>
    </row>
    <row r="132" spans="1:3" ht="14.25" customHeight="1" x14ac:dyDescent="0.25">
      <c r="A132" s="2"/>
      <c r="B132" s="2"/>
      <c r="C132" s="2"/>
    </row>
    <row r="133" spans="1:3" ht="14.25" customHeight="1" x14ac:dyDescent="0.25">
      <c r="A133" s="2"/>
      <c r="B133" s="2"/>
      <c r="C133" s="2"/>
    </row>
    <row r="134" spans="1:3" ht="14.25" customHeight="1" x14ac:dyDescent="0.25">
      <c r="A134" s="2"/>
      <c r="B134" s="2"/>
      <c r="C134" s="2"/>
    </row>
    <row r="135" spans="1:3" ht="14.25" customHeight="1" x14ac:dyDescent="0.25">
      <c r="A135" s="2"/>
      <c r="B135" s="2"/>
      <c r="C135" s="2"/>
    </row>
    <row r="136" spans="1:3" ht="14.25" customHeight="1" x14ac:dyDescent="0.25">
      <c r="A136" s="2"/>
      <c r="B136" s="2"/>
      <c r="C136" s="2"/>
    </row>
    <row r="137" spans="1:3" ht="14.25" customHeight="1" x14ac:dyDescent="0.25">
      <c r="A137" s="2"/>
      <c r="B137" s="2"/>
      <c r="C137" s="2"/>
    </row>
    <row r="138" spans="1:3" ht="14.25" customHeight="1" x14ac:dyDescent="0.25">
      <c r="A138" s="2"/>
      <c r="B138" s="2"/>
      <c r="C138" s="2"/>
    </row>
    <row r="139" spans="1:3" ht="14.25" customHeight="1" x14ac:dyDescent="0.25">
      <c r="A139" s="2"/>
      <c r="B139" s="2"/>
      <c r="C139" s="2"/>
    </row>
    <row r="140" spans="1:3" ht="14.25" customHeight="1" x14ac:dyDescent="0.25">
      <c r="A140" s="2"/>
      <c r="B140" s="2"/>
      <c r="C140" s="2"/>
    </row>
    <row r="141" spans="1:3" ht="14.25" customHeight="1" x14ac:dyDescent="0.25">
      <c r="A141" s="2"/>
      <c r="B141" s="2"/>
      <c r="C141" s="2"/>
    </row>
    <row r="142" spans="1:3" ht="14.25" customHeight="1" x14ac:dyDescent="0.25">
      <c r="A142" s="2"/>
      <c r="B142" s="2"/>
      <c r="C142" s="2"/>
    </row>
    <row r="143" spans="1:3" ht="14.25" customHeight="1" x14ac:dyDescent="0.25">
      <c r="A143" s="2"/>
      <c r="B143" s="2"/>
      <c r="C143" s="2"/>
    </row>
    <row r="144" spans="1:3" ht="14.25" customHeight="1" x14ac:dyDescent="0.25">
      <c r="A144" s="2"/>
      <c r="B144" s="2"/>
      <c r="C144" s="2"/>
    </row>
    <row r="145" spans="1:3" ht="14.25" customHeight="1" x14ac:dyDescent="0.25">
      <c r="A145" s="2"/>
      <c r="B145" s="2"/>
      <c r="C145" s="2"/>
    </row>
    <row r="146" spans="1:3" ht="14.25" customHeight="1" x14ac:dyDescent="0.25">
      <c r="A146" s="2"/>
      <c r="B146" s="2"/>
      <c r="C146" s="2"/>
    </row>
    <row r="147" spans="1:3" ht="14.25" customHeight="1" x14ac:dyDescent="0.25">
      <c r="A147" s="2"/>
      <c r="B147" s="2"/>
      <c r="C147" s="2"/>
    </row>
    <row r="148" spans="1:3" ht="14.25" customHeight="1" x14ac:dyDescent="0.25">
      <c r="A148" s="2"/>
      <c r="B148" s="2"/>
      <c r="C148" s="2"/>
    </row>
    <row r="149" spans="1:3" ht="14.25" customHeight="1" x14ac:dyDescent="0.25">
      <c r="A149" s="2"/>
      <c r="B149" s="2"/>
      <c r="C149" s="2"/>
    </row>
    <row r="150" spans="1:3" ht="14.25" customHeight="1" x14ac:dyDescent="0.25">
      <c r="A150" s="2"/>
      <c r="B150" s="2"/>
      <c r="C150" s="2"/>
    </row>
    <row r="151" spans="1:3" ht="14.25" customHeight="1" x14ac:dyDescent="0.25">
      <c r="A151" s="2"/>
      <c r="B151" s="2"/>
      <c r="C151" s="2"/>
    </row>
    <row r="152" spans="1:3" ht="14.25" customHeight="1" x14ac:dyDescent="0.25">
      <c r="A152" s="2"/>
      <c r="B152" s="2"/>
      <c r="C152" s="2"/>
    </row>
    <row r="153" spans="1:3" ht="14.25" customHeight="1" x14ac:dyDescent="0.25">
      <c r="A153" s="2"/>
      <c r="B153" s="2"/>
      <c r="C153" s="2"/>
    </row>
    <row r="154" spans="1:3" ht="14.25" customHeight="1" x14ac:dyDescent="0.25">
      <c r="A154" s="2"/>
      <c r="B154" s="2"/>
      <c r="C154" s="2"/>
    </row>
    <row r="155" spans="1:3" ht="14.25" customHeight="1" x14ac:dyDescent="0.25">
      <c r="A155" s="2"/>
      <c r="B155" s="2"/>
      <c r="C155" s="2"/>
    </row>
    <row r="156" spans="1:3" ht="14.25" customHeight="1" x14ac:dyDescent="0.25">
      <c r="A156" s="2"/>
      <c r="B156" s="2"/>
      <c r="C156" s="2"/>
    </row>
    <row r="157" spans="1:3" ht="14.25" customHeight="1" x14ac:dyDescent="0.25">
      <c r="A157" s="2"/>
      <c r="B157" s="2"/>
      <c r="C157" s="2"/>
    </row>
    <row r="158" spans="1:3" ht="14.25" customHeight="1" x14ac:dyDescent="0.25">
      <c r="A158" s="2"/>
      <c r="B158" s="2"/>
      <c r="C158" s="2"/>
    </row>
    <row r="159" spans="1:3" ht="14.25" customHeight="1" x14ac:dyDescent="0.25">
      <c r="A159" s="2"/>
      <c r="B159" s="2"/>
      <c r="C159" s="2"/>
    </row>
    <row r="160" spans="1:3" ht="14.25" customHeight="1" x14ac:dyDescent="0.25">
      <c r="A160" s="2"/>
      <c r="B160" s="2"/>
      <c r="C160" s="2"/>
    </row>
    <row r="161" spans="1:3" ht="14.25" customHeight="1" x14ac:dyDescent="0.25">
      <c r="A161" s="2"/>
      <c r="B161" s="2"/>
      <c r="C161" s="2"/>
    </row>
    <row r="162" spans="1:3" ht="14.25" customHeight="1" x14ac:dyDescent="0.25">
      <c r="A162" s="2"/>
      <c r="B162" s="2"/>
      <c r="C162" s="2"/>
    </row>
    <row r="163" spans="1:3" ht="14.25" customHeight="1" x14ac:dyDescent="0.25">
      <c r="A163" s="2"/>
      <c r="B163" s="2"/>
      <c r="C163" s="2"/>
    </row>
    <row r="164" spans="1:3" ht="14.25" customHeight="1" x14ac:dyDescent="0.25">
      <c r="A164" s="2"/>
      <c r="B164" s="2"/>
      <c r="C164" s="2"/>
    </row>
    <row r="165" spans="1:3" ht="14.25" customHeight="1" x14ac:dyDescent="0.25">
      <c r="A165" s="2"/>
      <c r="B165" s="2"/>
      <c r="C165" s="2"/>
    </row>
    <row r="166" spans="1:3" ht="14.25" customHeight="1" x14ac:dyDescent="0.25">
      <c r="A166" s="2"/>
      <c r="B166" s="2"/>
      <c r="C166" s="2"/>
    </row>
    <row r="167" spans="1:3" ht="14.25" customHeight="1" x14ac:dyDescent="0.25">
      <c r="A167" s="2"/>
      <c r="B167" s="2"/>
      <c r="C167" s="2"/>
    </row>
    <row r="168" spans="1:3" ht="14.25" customHeight="1" x14ac:dyDescent="0.25">
      <c r="A168" s="2"/>
      <c r="B168" s="2"/>
      <c r="C168" s="2"/>
    </row>
    <row r="169" spans="1:3" ht="14.25" customHeight="1" x14ac:dyDescent="0.25">
      <c r="A169" s="2"/>
      <c r="B169" s="2"/>
      <c r="C169" s="2"/>
    </row>
    <row r="170" spans="1:3" ht="14.25" customHeight="1" x14ac:dyDescent="0.25">
      <c r="A170" s="2"/>
      <c r="B170" s="2"/>
      <c r="C170" s="2"/>
    </row>
    <row r="171" spans="1:3" ht="14.25" customHeight="1" x14ac:dyDescent="0.25">
      <c r="A171" s="2"/>
      <c r="B171" s="2"/>
      <c r="C171" s="2"/>
    </row>
    <row r="172" spans="1:3" ht="14.25" customHeight="1" x14ac:dyDescent="0.25">
      <c r="A172" s="2"/>
      <c r="B172" s="2"/>
      <c r="C172" s="2"/>
    </row>
    <row r="173" spans="1:3" ht="14.25" customHeight="1" x14ac:dyDescent="0.25">
      <c r="A173" s="2"/>
      <c r="B173" s="2"/>
      <c r="C173" s="2"/>
    </row>
    <row r="174" spans="1:3" ht="14.25" customHeight="1" x14ac:dyDescent="0.25">
      <c r="A174" s="2"/>
      <c r="B174" s="2"/>
      <c r="C174" s="2"/>
    </row>
    <row r="175" spans="1:3" ht="14.25" customHeight="1" x14ac:dyDescent="0.25">
      <c r="A175" s="2"/>
      <c r="B175" s="2"/>
      <c r="C175" s="2"/>
    </row>
    <row r="176" spans="1:3" ht="14.25" customHeight="1" x14ac:dyDescent="0.25">
      <c r="A176" s="2"/>
      <c r="B176" s="2"/>
      <c r="C176" s="2"/>
    </row>
    <row r="177" spans="1:3" ht="14.25" customHeight="1" x14ac:dyDescent="0.25">
      <c r="A177" s="2"/>
      <c r="B177" s="2"/>
      <c r="C177" s="2"/>
    </row>
    <row r="178" spans="1:3" ht="14.25" customHeight="1" x14ac:dyDescent="0.25">
      <c r="A178" s="2"/>
      <c r="B178" s="2"/>
      <c r="C178" s="2"/>
    </row>
    <row r="179" spans="1:3" ht="14.25" customHeight="1" x14ac:dyDescent="0.25">
      <c r="A179" s="2"/>
      <c r="B179" s="2"/>
      <c r="C179" s="2"/>
    </row>
    <row r="180" spans="1:3" ht="14.25" customHeight="1" x14ac:dyDescent="0.25">
      <c r="A180" s="2"/>
      <c r="B180" s="2"/>
      <c r="C180" s="2"/>
    </row>
    <row r="181" spans="1:3" ht="14.25" customHeight="1" x14ac:dyDescent="0.25">
      <c r="A181" s="2"/>
      <c r="B181" s="2"/>
      <c r="C181" s="2"/>
    </row>
    <row r="182" spans="1:3" ht="14.25" customHeight="1" x14ac:dyDescent="0.25">
      <c r="A182" s="2"/>
      <c r="B182" s="2"/>
      <c r="C182" s="2"/>
    </row>
    <row r="183" spans="1:3" ht="14.25" customHeight="1" x14ac:dyDescent="0.25">
      <c r="A183" s="2"/>
      <c r="B183" s="2"/>
      <c r="C183" s="2"/>
    </row>
    <row r="184" spans="1:3" ht="14.25" customHeight="1" x14ac:dyDescent="0.25">
      <c r="A184" s="2"/>
      <c r="B184" s="2"/>
      <c r="C184" s="2"/>
    </row>
    <row r="185" spans="1:3" ht="14.25" customHeight="1" x14ac:dyDescent="0.25">
      <c r="A185" s="2"/>
      <c r="B185" s="2"/>
      <c r="C185" s="2"/>
    </row>
    <row r="186" spans="1:3" ht="14.25" customHeight="1" x14ac:dyDescent="0.25">
      <c r="A186" s="2"/>
      <c r="B186" s="2"/>
      <c r="C186" s="2"/>
    </row>
    <row r="187" spans="1:3" ht="14.25" customHeight="1" x14ac:dyDescent="0.25">
      <c r="A187" s="2"/>
      <c r="B187" s="2"/>
      <c r="C187" s="2"/>
    </row>
    <row r="188" spans="1:3" ht="14.25" customHeight="1" x14ac:dyDescent="0.25">
      <c r="A188" s="2"/>
      <c r="B188" s="2"/>
      <c r="C188" s="2"/>
    </row>
    <row r="189" spans="1:3" ht="14.25" customHeight="1" x14ac:dyDescent="0.25">
      <c r="A189" s="2"/>
      <c r="B189" s="2"/>
      <c r="C189" s="2"/>
    </row>
    <row r="190" spans="1:3" ht="14.25" customHeight="1" x14ac:dyDescent="0.25">
      <c r="A190" s="2"/>
      <c r="B190" s="2"/>
      <c r="C190" s="2"/>
    </row>
    <row r="191" spans="1:3" ht="14.25" customHeight="1" x14ac:dyDescent="0.25">
      <c r="A191" s="2"/>
      <c r="B191" s="2"/>
      <c r="C191" s="2"/>
    </row>
    <row r="192" spans="1:3" ht="14.25" customHeight="1" x14ac:dyDescent="0.25">
      <c r="A192" s="2"/>
      <c r="B192" s="2"/>
      <c r="C192" s="2"/>
    </row>
    <row r="193" spans="1:3" ht="14.25" customHeight="1" x14ac:dyDescent="0.25">
      <c r="A193" s="2"/>
      <c r="B193" s="2"/>
      <c r="C193" s="2"/>
    </row>
    <row r="194" spans="1:3" ht="14.25" customHeight="1" x14ac:dyDescent="0.25">
      <c r="A194" s="2"/>
      <c r="B194" s="2"/>
      <c r="C194" s="2"/>
    </row>
    <row r="195" spans="1:3" ht="14.25" customHeight="1" x14ac:dyDescent="0.25">
      <c r="A195" s="2"/>
      <c r="B195" s="2"/>
      <c r="C195" s="2"/>
    </row>
    <row r="196" spans="1:3" ht="14.25" customHeight="1" x14ac:dyDescent="0.25">
      <c r="A196" s="2"/>
      <c r="B196" s="2"/>
      <c r="C196" s="2"/>
    </row>
    <row r="197" spans="1:3" ht="14.25" customHeight="1" x14ac:dyDescent="0.25">
      <c r="A197" s="2"/>
      <c r="B197" s="2"/>
      <c r="C197" s="2"/>
    </row>
    <row r="198" spans="1:3" ht="14.25" customHeight="1" x14ac:dyDescent="0.25">
      <c r="A198" s="2"/>
      <c r="B198" s="2"/>
      <c r="C198" s="2"/>
    </row>
    <row r="199" spans="1:3" ht="14.25" customHeight="1" x14ac:dyDescent="0.25">
      <c r="A199" s="2"/>
      <c r="B199" s="2"/>
      <c r="C199" s="2"/>
    </row>
    <row r="200" spans="1:3" ht="14.25" customHeight="1" x14ac:dyDescent="0.25">
      <c r="A200" s="2"/>
      <c r="B200" s="2"/>
      <c r="C200" s="2"/>
    </row>
    <row r="201" spans="1:3" ht="14.25" customHeight="1" x14ac:dyDescent="0.25">
      <c r="A201" s="2"/>
      <c r="B201" s="2"/>
      <c r="C201" s="2"/>
    </row>
    <row r="202" spans="1:3" ht="14.25" customHeight="1" x14ac:dyDescent="0.25">
      <c r="A202" s="2"/>
      <c r="B202" s="2"/>
      <c r="C202" s="2"/>
    </row>
    <row r="203" spans="1:3" ht="14.25" customHeight="1" x14ac:dyDescent="0.25">
      <c r="A203" s="2"/>
      <c r="B203" s="2"/>
      <c r="C203" s="2"/>
    </row>
    <row r="204" spans="1:3" ht="14.25" customHeight="1" x14ac:dyDescent="0.25">
      <c r="A204" s="2"/>
      <c r="B204" s="2"/>
      <c r="C204" s="2"/>
    </row>
    <row r="205" spans="1:3" ht="14.25" customHeight="1" x14ac:dyDescent="0.25">
      <c r="A205" s="2"/>
      <c r="B205" s="2"/>
      <c r="C205" s="2"/>
    </row>
    <row r="206" spans="1:3" ht="14.25" customHeight="1" x14ac:dyDescent="0.25">
      <c r="A206" s="2"/>
      <c r="B206" s="2"/>
      <c r="C206" s="2"/>
    </row>
    <row r="207" spans="1:3" ht="14.25" customHeight="1" x14ac:dyDescent="0.25">
      <c r="A207" s="2"/>
      <c r="B207" s="2"/>
      <c r="C207" s="2"/>
    </row>
    <row r="208" spans="1:3" ht="14.25" customHeight="1" x14ac:dyDescent="0.25">
      <c r="A208" s="2"/>
      <c r="B208" s="2"/>
      <c r="C208" s="2"/>
    </row>
    <row r="209" spans="1:3" ht="14.25" customHeight="1" x14ac:dyDescent="0.25">
      <c r="A209" s="2"/>
      <c r="B209" s="2"/>
      <c r="C209" s="2"/>
    </row>
    <row r="210" spans="1:3" ht="14.25" customHeight="1" x14ac:dyDescent="0.25">
      <c r="A210" s="2"/>
      <c r="B210" s="2"/>
      <c r="C210" s="2"/>
    </row>
    <row r="211" spans="1:3" ht="14.25" customHeight="1" x14ac:dyDescent="0.25">
      <c r="A211" s="2"/>
      <c r="B211" s="2"/>
      <c r="C211" s="2"/>
    </row>
    <row r="212" spans="1:3" ht="14.25" customHeight="1" x14ac:dyDescent="0.25">
      <c r="A212" s="2"/>
      <c r="B212" s="2"/>
      <c r="C212" s="2"/>
    </row>
    <row r="213" spans="1:3" ht="14.25" customHeight="1" x14ac:dyDescent="0.25">
      <c r="A213" s="2"/>
      <c r="B213" s="2"/>
      <c r="C213" s="2"/>
    </row>
    <row r="214" spans="1:3" ht="14.25" customHeight="1" x14ac:dyDescent="0.25">
      <c r="A214" s="2"/>
      <c r="B214" s="2"/>
      <c r="C214" s="2"/>
    </row>
    <row r="215" spans="1:3" ht="14.25" customHeight="1" x14ac:dyDescent="0.25">
      <c r="A215" s="2"/>
      <c r="B215" s="2"/>
      <c r="C215" s="2"/>
    </row>
    <row r="216" spans="1:3" ht="14.25" customHeight="1" x14ac:dyDescent="0.25">
      <c r="A216" s="2"/>
      <c r="B216" s="2"/>
      <c r="C216" s="2"/>
    </row>
    <row r="217" spans="1:3" ht="14.25" customHeight="1" x14ac:dyDescent="0.25">
      <c r="A217" s="2"/>
      <c r="B217" s="2"/>
      <c r="C217" s="2"/>
    </row>
    <row r="218" spans="1:3" ht="14.25" customHeight="1" x14ac:dyDescent="0.25">
      <c r="A218" s="2"/>
      <c r="B218" s="2"/>
      <c r="C218" s="2"/>
    </row>
    <row r="219" spans="1:3" ht="14.25" customHeight="1" x14ac:dyDescent="0.25">
      <c r="A219" s="2"/>
      <c r="B219" s="2"/>
      <c r="C219" s="2"/>
    </row>
    <row r="220" spans="1:3" ht="14.25" customHeight="1" x14ac:dyDescent="0.25">
      <c r="A220" s="2"/>
      <c r="B220" s="2"/>
      <c r="C220" s="2"/>
    </row>
    <row r="221" spans="1:3" ht="14.25" customHeight="1" x14ac:dyDescent="0.25">
      <c r="A221" s="2"/>
      <c r="B221" s="2"/>
      <c r="C221" s="2"/>
    </row>
    <row r="222" spans="1:3" ht="14.25" customHeight="1" x14ac:dyDescent="0.25">
      <c r="A222" s="2"/>
      <c r="B222" s="2"/>
      <c r="C222" s="2"/>
    </row>
    <row r="223" spans="1:3" ht="14.25" customHeight="1" x14ac:dyDescent="0.25">
      <c r="A223" s="2"/>
      <c r="B223" s="2"/>
      <c r="C223" s="2"/>
    </row>
    <row r="224" spans="1:3" ht="14.25" customHeight="1" x14ac:dyDescent="0.25">
      <c r="A224" s="2"/>
      <c r="B224" s="2"/>
      <c r="C224" s="2"/>
    </row>
    <row r="225" spans="1:3" ht="14.25" customHeight="1" x14ac:dyDescent="0.25">
      <c r="A225" s="2"/>
      <c r="B225" s="2"/>
      <c r="C225" s="2"/>
    </row>
    <row r="226" spans="1:3" ht="14.25" customHeight="1" x14ac:dyDescent="0.25">
      <c r="A226" s="2"/>
      <c r="B226" s="2"/>
      <c r="C226" s="2"/>
    </row>
    <row r="227" spans="1:3" ht="14.25" customHeight="1" x14ac:dyDescent="0.25">
      <c r="A227" s="2"/>
      <c r="B227" s="2"/>
      <c r="C227" s="2"/>
    </row>
    <row r="228" spans="1:3" ht="14.25" customHeight="1" x14ac:dyDescent="0.25">
      <c r="A228" s="2"/>
      <c r="B228" s="2"/>
      <c r="C228" s="2"/>
    </row>
    <row r="229" spans="1:3" ht="14.25" customHeight="1" x14ac:dyDescent="0.25">
      <c r="A229" s="2"/>
      <c r="B229" s="2"/>
      <c r="C229" s="2"/>
    </row>
    <row r="230" spans="1:3" ht="14.25" customHeight="1" x14ac:dyDescent="0.25">
      <c r="A230" s="2"/>
      <c r="B230" s="2"/>
      <c r="C230" s="2"/>
    </row>
    <row r="231" spans="1:3" ht="14.25" customHeight="1" x14ac:dyDescent="0.25">
      <c r="A231" s="2"/>
      <c r="B231" s="2"/>
      <c r="C231" s="2"/>
    </row>
    <row r="232" spans="1:3" ht="14.25" customHeight="1" x14ac:dyDescent="0.25">
      <c r="A232" s="2"/>
      <c r="B232" s="2"/>
      <c r="C232" s="2"/>
    </row>
    <row r="233" spans="1:3" ht="14.25" customHeight="1" x14ac:dyDescent="0.25">
      <c r="A233" s="2"/>
      <c r="B233" s="2"/>
      <c r="C233" s="2"/>
    </row>
    <row r="234" spans="1:3" ht="14.25" customHeight="1" x14ac:dyDescent="0.25">
      <c r="A234" s="2"/>
      <c r="B234" s="2"/>
      <c r="C234" s="2"/>
    </row>
    <row r="235" spans="1:3" ht="14.25" customHeight="1" x14ac:dyDescent="0.25">
      <c r="A235" s="2"/>
      <c r="B235" s="2"/>
      <c r="C235" s="2"/>
    </row>
    <row r="236" spans="1:3" ht="14.25" customHeight="1" x14ac:dyDescent="0.25">
      <c r="A236" s="2"/>
      <c r="B236" s="2"/>
      <c r="C236" s="2"/>
    </row>
    <row r="237" spans="1:3" ht="14.25" customHeight="1" x14ac:dyDescent="0.25">
      <c r="A237" s="2"/>
      <c r="B237" s="2"/>
      <c r="C237" s="2"/>
    </row>
    <row r="238" spans="1:3" ht="14.25" customHeight="1" x14ac:dyDescent="0.25">
      <c r="A238" s="2"/>
      <c r="B238" s="2"/>
      <c r="C238" s="2"/>
    </row>
    <row r="239" spans="1:3" ht="14.25" customHeight="1" x14ac:dyDescent="0.25">
      <c r="A239" s="2"/>
      <c r="B239" s="2"/>
      <c r="C239" s="2"/>
    </row>
    <row r="240" spans="1:3" ht="14.25" customHeight="1" x14ac:dyDescent="0.25">
      <c r="A240" s="2"/>
      <c r="B240" s="2"/>
      <c r="C240" s="2"/>
    </row>
    <row r="241" spans="1:3" ht="14.25" customHeight="1" x14ac:dyDescent="0.25">
      <c r="A241" s="2"/>
      <c r="B241" s="2"/>
      <c r="C241" s="2"/>
    </row>
    <row r="242" spans="1:3" ht="14.25" customHeight="1" x14ac:dyDescent="0.25">
      <c r="A242" s="2"/>
      <c r="B242" s="2"/>
      <c r="C242" s="2"/>
    </row>
    <row r="243" spans="1:3" ht="14.25" customHeight="1" x14ac:dyDescent="0.25">
      <c r="A243" s="2"/>
      <c r="B243" s="2"/>
      <c r="C243" s="2"/>
    </row>
    <row r="244" spans="1:3" ht="14.25" customHeight="1" x14ac:dyDescent="0.25">
      <c r="A244" s="2"/>
      <c r="B244" s="2"/>
      <c r="C244" s="2"/>
    </row>
    <row r="245" spans="1:3" ht="14.25" customHeight="1" x14ac:dyDescent="0.25">
      <c r="A245" s="2"/>
      <c r="B245" s="2"/>
      <c r="C245" s="2"/>
    </row>
    <row r="246" spans="1:3" ht="14.25" customHeight="1" x14ac:dyDescent="0.25">
      <c r="A246" s="2"/>
      <c r="B246" s="2"/>
      <c r="C246" s="2"/>
    </row>
    <row r="247" spans="1:3" ht="14.25" customHeight="1" x14ac:dyDescent="0.25">
      <c r="A247" s="2"/>
      <c r="B247" s="2"/>
      <c r="C247" s="2"/>
    </row>
    <row r="248" spans="1:3" ht="14.25" customHeight="1" x14ac:dyDescent="0.25">
      <c r="A248" s="2"/>
      <c r="B248" s="2"/>
      <c r="C248" s="2"/>
    </row>
    <row r="249" spans="1:3" ht="14.25" customHeight="1" x14ac:dyDescent="0.25">
      <c r="A249" s="2"/>
      <c r="B249" s="2"/>
      <c r="C249" s="2"/>
    </row>
    <row r="250" spans="1:3" ht="14.25" customHeight="1" x14ac:dyDescent="0.25">
      <c r="A250" s="2"/>
      <c r="B250" s="2"/>
      <c r="C250" s="2"/>
    </row>
    <row r="251" spans="1:3" ht="14.25" customHeight="1" x14ac:dyDescent="0.25">
      <c r="A251" s="2"/>
      <c r="B251" s="2"/>
      <c r="C251" s="2"/>
    </row>
    <row r="252" spans="1:3" ht="14.25" customHeight="1" x14ac:dyDescent="0.25">
      <c r="A252" s="2"/>
      <c r="B252" s="2"/>
      <c r="C252" s="2"/>
    </row>
    <row r="253" spans="1:3" ht="14.25" customHeight="1" x14ac:dyDescent="0.25">
      <c r="A253" s="2"/>
      <c r="B253" s="2"/>
      <c r="C253" s="2"/>
    </row>
    <row r="254" spans="1:3" ht="14.25" customHeight="1" x14ac:dyDescent="0.25">
      <c r="A254" s="2"/>
      <c r="B254" s="2"/>
      <c r="C254" s="2"/>
    </row>
    <row r="255" spans="1:3" ht="14.25" customHeight="1" x14ac:dyDescent="0.25">
      <c r="A255" s="2"/>
      <c r="B255" s="2"/>
      <c r="C255" s="2"/>
    </row>
    <row r="256" spans="1:3" ht="14.25" customHeight="1" x14ac:dyDescent="0.25">
      <c r="A256" s="2"/>
      <c r="B256" s="2"/>
      <c r="C256" s="2"/>
    </row>
    <row r="257" spans="1:3" ht="14.25" customHeight="1" x14ac:dyDescent="0.25">
      <c r="A257" s="2"/>
      <c r="B257" s="2"/>
      <c r="C257" s="2"/>
    </row>
    <row r="258" spans="1:3" ht="14.25" customHeight="1" x14ac:dyDescent="0.25">
      <c r="A258" s="2"/>
      <c r="B258" s="2"/>
      <c r="C258" s="2"/>
    </row>
    <row r="259" spans="1:3" ht="14.25" customHeight="1" x14ac:dyDescent="0.25">
      <c r="A259" s="2"/>
      <c r="B259" s="2"/>
      <c r="C259" s="2"/>
    </row>
    <row r="260" spans="1:3" ht="14.25" customHeight="1" x14ac:dyDescent="0.25">
      <c r="A260" s="2"/>
      <c r="B260" s="2"/>
      <c r="C260" s="2"/>
    </row>
    <row r="261" spans="1:3" ht="14.25" customHeight="1" x14ac:dyDescent="0.25">
      <c r="A261" s="2"/>
      <c r="B261" s="2"/>
      <c r="C261" s="2"/>
    </row>
    <row r="262" spans="1:3" ht="14.25" customHeight="1" x14ac:dyDescent="0.25">
      <c r="A262" s="2"/>
      <c r="B262" s="2"/>
      <c r="C262" s="2"/>
    </row>
    <row r="263" spans="1:3" ht="14.25" customHeight="1" x14ac:dyDescent="0.25">
      <c r="A263" s="2"/>
      <c r="B263" s="2"/>
      <c r="C263" s="2"/>
    </row>
    <row r="264" spans="1:3" ht="14.25" customHeight="1" x14ac:dyDescent="0.25">
      <c r="A264" s="2"/>
      <c r="B264" s="2"/>
      <c r="C264" s="2"/>
    </row>
    <row r="265" spans="1:3" ht="14.25" customHeight="1" x14ac:dyDescent="0.25">
      <c r="A265" s="2"/>
      <c r="B265" s="2"/>
      <c r="C265" s="2"/>
    </row>
    <row r="266" spans="1:3" ht="14.25" customHeight="1" x14ac:dyDescent="0.25">
      <c r="A266" s="2"/>
      <c r="B266" s="2"/>
      <c r="C266" s="2"/>
    </row>
    <row r="267" spans="1:3" ht="14.25" customHeight="1" x14ac:dyDescent="0.25">
      <c r="A267" s="2"/>
      <c r="B267" s="2"/>
      <c r="C267" s="2"/>
    </row>
    <row r="268" spans="1:3" ht="14.25" customHeight="1" x14ac:dyDescent="0.25">
      <c r="A268" s="2"/>
      <c r="B268" s="2"/>
      <c r="C268" s="2"/>
    </row>
    <row r="269" spans="1:3" ht="14.25" customHeight="1" x14ac:dyDescent="0.25">
      <c r="A269" s="2"/>
      <c r="B269" s="2"/>
      <c r="C269" s="2"/>
    </row>
    <row r="270" spans="1:3" ht="14.25" customHeight="1" x14ac:dyDescent="0.25">
      <c r="A270" s="2"/>
      <c r="B270" s="2"/>
      <c r="C270" s="2"/>
    </row>
    <row r="271" spans="1:3" ht="14.25" customHeight="1" x14ac:dyDescent="0.25">
      <c r="A271" s="2"/>
      <c r="B271" s="2"/>
      <c r="C271" s="2"/>
    </row>
    <row r="272" spans="1:3" ht="14.25" customHeight="1" x14ac:dyDescent="0.25">
      <c r="A272" s="2"/>
      <c r="B272" s="2"/>
      <c r="C272" s="2"/>
    </row>
    <row r="273" spans="1:3" ht="14.25" customHeight="1" x14ac:dyDescent="0.25">
      <c r="A273" s="2"/>
      <c r="B273" s="2"/>
      <c r="C273" s="2"/>
    </row>
    <row r="274" spans="1:3" ht="14.25" customHeight="1" x14ac:dyDescent="0.25">
      <c r="A274" s="2"/>
      <c r="B274" s="2"/>
      <c r="C274" s="2"/>
    </row>
    <row r="275" spans="1:3" ht="14.25" customHeight="1" x14ac:dyDescent="0.25">
      <c r="A275" s="2"/>
      <c r="B275" s="2"/>
      <c r="C275" s="2"/>
    </row>
    <row r="276" spans="1:3" ht="14.25" customHeight="1" x14ac:dyDescent="0.25">
      <c r="A276" s="2"/>
      <c r="B276" s="2"/>
      <c r="C276" s="2"/>
    </row>
    <row r="277" spans="1:3" ht="14.25" customHeight="1" x14ac:dyDescent="0.25">
      <c r="A277" s="2"/>
      <c r="B277" s="2"/>
      <c r="C277" s="2"/>
    </row>
    <row r="278" spans="1:3" ht="14.25" customHeight="1" x14ac:dyDescent="0.25">
      <c r="A278" s="2"/>
      <c r="B278" s="2"/>
      <c r="C278" s="2"/>
    </row>
    <row r="279" spans="1:3" ht="14.25" customHeight="1" x14ac:dyDescent="0.25">
      <c r="A279" s="2"/>
      <c r="B279" s="2"/>
      <c r="C279" s="2"/>
    </row>
    <row r="280" spans="1:3" ht="14.25" customHeight="1" x14ac:dyDescent="0.25">
      <c r="A280" s="2"/>
      <c r="B280" s="2"/>
      <c r="C280" s="2"/>
    </row>
    <row r="281" spans="1:3" ht="14.25" customHeight="1" x14ac:dyDescent="0.25">
      <c r="A281" s="2"/>
      <c r="B281" s="2"/>
      <c r="C281" s="2"/>
    </row>
    <row r="282" spans="1:3" ht="14.25" customHeight="1" x14ac:dyDescent="0.25">
      <c r="A282" s="2"/>
      <c r="B282" s="2"/>
      <c r="C282" s="2"/>
    </row>
    <row r="283" spans="1:3" ht="14.25" customHeight="1" x14ac:dyDescent="0.25">
      <c r="A283" s="2"/>
      <c r="B283" s="2"/>
      <c r="C283" s="2"/>
    </row>
    <row r="284" spans="1:3" ht="14.25" customHeight="1" x14ac:dyDescent="0.25">
      <c r="A284" s="2"/>
      <c r="B284" s="2"/>
      <c r="C284" s="2"/>
    </row>
    <row r="285" spans="1:3" ht="14.25" customHeight="1" x14ac:dyDescent="0.25">
      <c r="A285" s="2"/>
      <c r="B285" s="2"/>
      <c r="C285" s="2"/>
    </row>
    <row r="286" spans="1:3" ht="14.25" customHeight="1" x14ac:dyDescent="0.25">
      <c r="A286" s="2"/>
      <c r="B286" s="2"/>
      <c r="C286" s="2"/>
    </row>
    <row r="287" spans="1:3" ht="14.25" customHeight="1" x14ac:dyDescent="0.25">
      <c r="A287" s="2"/>
      <c r="B287" s="2"/>
      <c r="C287" s="2"/>
    </row>
    <row r="288" spans="1:3" ht="14.25" customHeight="1" x14ac:dyDescent="0.25">
      <c r="A288" s="2"/>
      <c r="B288" s="2"/>
      <c r="C288" s="2"/>
    </row>
    <row r="289" spans="1:3" ht="14.25" customHeight="1" x14ac:dyDescent="0.25">
      <c r="A289" s="2"/>
      <c r="B289" s="2"/>
      <c r="C289" s="2"/>
    </row>
    <row r="290" spans="1:3" ht="14.25" customHeight="1" x14ac:dyDescent="0.25">
      <c r="A290" s="2"/>
      <c r="B290" s="2"/>
      <c r="C290" s="2"/>
    </row>
    <row r="291" spans="1:3" ht="14.25" customHeight="1" x14ac:dyDescent="0.25">
      <c r="A291" s="2"/>
      <c r="B291" s="2"/>
      <c r="C291" s="2"/>
    </row>
    <row r="292" spans="1:3" ht="14.25" customHeight="1" x14ac:dyDescent="0.25">
      <c r="A292" s="2"/>
      <c r="B292" s="2"/>
      <c r="C292" s="2"/>
    </row>
    <row r="293" spans="1:3" ht="14.25" customHeight="1" x14ac:dyDescent="0.25">
      <c r="A293" s="2"/>
      <c r="B293" s="2"/>
      <c r="C293" s="2"/>
    </row>
    <row r="294" spans="1:3" ht="14.25" customHeight="1" x14ac:dyDescent="0.25">
      <c r="A294" s="2"/>
      <c r="B294" s="2"/>
      <c r="C294" s="2"/>
    </row>
    <row r="295" spans="1:3" ht="14.25" customHeight="1" x14ac:dyDescent="0.25">
      <c r="A295" s="2"/>
      <c r="B295" s="2"/>
      <c r="C295" s="2"/>
    </row>
    <row r="296" spans="1:3" ht="14.25" customHeight="1" x14ac:dyDescent="0.25">
      <c r="A296" s="2"/>
      <c r="B296" s="2"/>
      <c r="C296" s="2"/>
    </row>
    <row r="297" spans="1:3" ht="14.25" customHeight="1" x14ac:dyDescent="0.25">
      <c r="A297" s="2"/>
      <c r="B297" s="2"/>
      <c r="C297" s="2"/>
    </row>
    <row r="298" spans="1:3" ht="14.25" customHeight="1" x14ac:dyDescent="0.25">
      <c r="A298" s="2"/>
      <c r="B298" s="2"/>
      <c r="C298" s="2"/>
    </row>
    <row r="299" spans="1:3" ht="14.25" customHeight="1" x14ac:dyDescent="0.25">
      <c r="A299" s="2"/>
      <c r="B299" s="2"/>
      <c r="C299" s="2"/>
    </row>
    <row r="300" spans="1:3" ht="14.25" customHeight="1" x14ac:dyDescent="0.25">
      <c r="A300" s="2"/>
      <c r="B300" s="2"/>
      <c r="C300" s="2"/>
    </row>
    <row r="301" spans="1:3" ht="14.25" customHeight="1" x14ac:dyDescent="0.25">
      <c r="A301" s="2"/>
      <c r="B301" s="2"/>
      <c r="C301" s="2"/>
    </row>
    <row r="302" spans="1:3" ht="14.25" customHeight="1" x14ac:dyDescent="0.25">
      <c r="A302" s="2"/>
      <c r="B302" s="2"/>
      <c r="C302" s="2"/>
    </row>
    <row r="303" spans="1:3" ht="14.25" customHeight="1" x14ac:dyDescent="0.25">
      <c r="A303" s="2"/>
      <c r="B303" s="2"/>
      <c r="C303" s="2"/>
    </row>
    <row r="304" spans="1:3" ht="14.25" customHeight="1" x14ac:dyDescent="0.25">
      <c r="A304" s="2"/>
      <c r="B304" s="2"/>
      <c r="C304" s="2"/>
    </row>
    <row r="305" spans="1:3" ht="14.25" customHeight="1" x14ac:dyDescent="0.25">
      <c r="A305" s="2"/>
      <c r="B305" s="2"/>
      <c r="C305" s="2"/>
    </row>
    <row r="306" spans="1:3" ht="14.25" customHeight="1" x14ac:dyDescent="0.25">
      <c r="A306" s="2"/>
      <c r="B306" s="2"/>
      <c r="C306" s="2"/>
    </row>
    <row r="307" spans="1:3" ht="14.25" customHeight="1" x14ac:dyDescent="0.25">
      <c r="A307" s="2"/>
      <c r="B307" s="2"/>
      <c r="C307" s="2"/>
    </row>
    <row r="308" spans="1:3" ht="14.25" customHeight="1" x14ac:dyDescent="0.25">
      <c r="A308" s="2"/>
      <c r="B308" s="2"/>
      <c r="C308" s="2"/>
    </row>
    <row r="309" spans="1:3" ht="14.25" customHeight="1" x14ac:dyDescent="0.25">
      <c r="A309" s="2"/>
      <c r="B309" s="2"/>
      <c r="C309" s="2"/>
    </row>
    <row r="310" spans="1:3" ht="14.25" customHeight="1" x14ac:dyDescent="0.25">
      <c r="A310" s="2"/>
      <c r="B310" s="2"/>
      <c r="C310" s="2"/>
    </row>
    <row r="311" spans="1:3" ht="14.25" customHeight="1" x14ac:dyDescent="0.25">
      <c r="A311" s="2"/>
      <c r="B311" s="2"/>
      <c r="C311" s="2"/>
    </row>
    <row r="312" spans="1:3" ht="14.25" customHeight="1" x14ac:dyDescent="0.25">
      <c r="A312" s="2"/>
      <c r="B312" s="2"/>
      <c r="C312" s="2"/>
    </row>
    <row r="313" spans="1:3" ht="14.25" customHeight="1" x14ac:dyDescent="0.25">
      <c r="A313" s="2"/>
      <c r="B313" s="2"/>
      <c r="C313" s="2"/>
    </row>
    <row r="314" spans="1:3" ht="14.25" customHeight="1" x14ac:dyDescent="0.25">
      <c r="A314" s="2"/>
      <c r="B314" s="2"/>
      <c r="C314" s="2"/>
    </row>
    <row r="315" spans="1:3" ht="14.25" customHeight="1" x14ac:dyDescent="0.25">
      <c r="A315" s="2"/>
      <c r="B315" s="2"/>
      <c r="C315" s="2"/>
    </row>
    <row r="316" spans="1:3" ht="14.25" customHeight="1" x14ac:dyDescent="0.25">
      <c r="A316" s="2"/>
      <c r="B316" s="2"/>
      <c r="C316" s="2"/>
    </row>
    <row r="317" spans="1:3" ht="14.25" customHeight="1" x14ac:dyDescent="0.25">
      <c r="A317" s="2"/>
      <c r="B317" s="2"/>
      <c r="C317" s="2"/>
    </row>
    <row r="318" spans="1:3" ht="14.25" customHeight="1" x14ac:dyDescent="0.25">
      <c r="A318" s="2"/>
      <c r="B318" s="2"/>
      <c r="C318" s="2"/>
    </row>
    <row r="319" spans="1:3" ht="14.25" customHeight="1" x14ac:dyDescent="0.25">
      <c r="A319" s="2"/>
      <c r="B319" s="2"/>
      <c r="C319" s="2"/>
    </row>
    <row r="320" spans="1:3" ht="14.25" customHeight="1" x14ac:dyDescent="0.25">
      <c r="A320" s="2"/>
      <c r="B320" s="2"/>
      <c r="C320" s="2"/>
    </row>
    <row r="321" spans="1:3" ht="14.25" customHeight="1" x14ac:dyDescent="0.25">
      <c r="A321" s="2"/>
      <c r="B321" s="2"/>
      <c r="C321" s="2"/>
    </row>
    <row r="322" spans="1:3" ht="14.25" customHeight="1" x14ac:dyDescent="0.25">
      <c r="A322" s="2"/>
      <c r="B322" s="2"/>
      <c r="C322" s="2"/>
    </row>
    <row r="323" spans="1:3" ht="14.25" customHeight="1" x14ac:dyDescent="0.25">
      <c r="A323" s="2"/>
      <c r="B323" s="2"/>
      <c r="C323" s="2"/>
    </row>
    <row r="324" spans="1:3" ht="14.25" customHeight="1" x14ac:dyDescent="0.25">
      <c r="A324" s="2"/>
      <c r="B324" s="2"/>
      <c r="C324" s="2"/>
    </row>
    <row r="325" spans="1:3" ht="14.25" customHeight="1" x14ac:dyDescent="0.25">
      <c r="A325" s="2"/>
      <c r="B325" s="2"/>
      <c r="C325" s="2"/>
    </row>
    <row r="326" spans="1:3" ht="14.25" customHeight="1" x14ac:dyDescent="0.25">
      <c r="A326" s="2"/>
      <c r="B326" s="2"/>
      <c r="C326" s="2"/>
    </row>
    <row r="327" spans="1:3" ht="14.25" customHeight="1" x14ac:dyDescent="0.25">
      <c r="A327" s="2"/>
      <c r="B327" s="2"/>
      <c r="C327" s="2"/>
    </row>
    <row r="328" spans="1:3" ht="14.25" customHeight="1" x14ac:dyDescent="0.25">
      <c r="A328" s="2"/>
      <c r="B328" s="2"/>
      <c r="C328" s="2"/>
    </row>
    <row r="329" spans="1:3" ht="14.25" customHeight="1" x14ac:dyDescent="0.25">
      <c r="A329" s="2"/>
      <c r="B329" s="2"/>
      <c r="C329" s="2"/>
    </row>
    <row r="330" spans="1:3" ht="14.25" customHeight="1" x14ac:dyDescent="0.25">
      <c r="A330" s="2"/>
      <c r="B330" s="2"/>
      <c r="C330" s="2"/>
    </row>
    <row r="331" spans="1:3" ht="14.25" customHeight="1" x14ac:dyDescent="0.25">
      <c r="A331" s="2"/>
      <c r="B331" s="2"/>
      <c r="C331" s="2"/>
    </row>
    <row r="332" spans="1:3" ht="14.25" customHeight="1" x14ac:dyDescent="0.25">
      <c r="A332" s="2"/>
      <c r="B332" s="2"/>
      <c r="C332" s="2"/>
    </row>
    <row r="333" spans="1:3" ht="14.25" customHeight="1" x14ac:dyDescent="0.25">
      <c r="A333" s="2"/>
      <c r="B333" s="2"/>
      <c r="C333" s="2"/>
    </row>
    <row r="334" spans="1:3" ht="14.25" customHeight="1" x14ac:dyDescent="0.25">
      <c r="A334" s="2"/>
      <c r="B334" s="2"/>
      <c r="C334" s="2"/>
    </row>
    <row r="335" spans="1:3" ht="14.25" customHeight="1" x14ac:dyDescent="0.25">
      <c r="A335" s="2"/>
      <c r="B335" s="2"/>
      <c r="C335" s="2"/>
    </row>
    <row r="336" spans="1:3" ht="14.25" customHeight="1" x14ac:dyDescent="0.25">
      <c r="A336" s="2"/>
      <c r="B336" s="2"/>
      <c r="C336" s="2"/>
    </row>
    <row r="337" spans="1:3" ht="14.25" customHeight="1" x14ac:dyDescent="0.25">
      <c r="A337" s="2"/>
      <c r="B337" s="2"/>
      <c r="C337" s="2"/>
    </row>
    <row r="338" spans="1:3" ht="14.25" customHeight="1" x14ac:dyDescent="0.25">
      <c r="A338" s="2"/>
      <c r="B338" s="2"/>
      <c r="C338" s="2"/>
    </row>
    <row r="339" spans="1:3" ht="14.25" customHeight="1" x14ac:dyDescent="0.25">
      <c r="A339" s="2"/>
      <c r="B339" s="2"/>
      <c r="C339" s="2"/>
    </row>
    <row r="340" spans="1:3" ht="14.25" customHeight="1" x14ac:dyDescent="0.25">
      <c r="A340" s="2"/>
      <c r="B340" s="2"/>
      <c r="C340" s="2"/>
    </row>
    <row r="341" spans="1:3" ht="14.25" customHeight="1" x14ac:dyDescent="0.25">
      <c r="A341" s="2"/>
      <c r="B341" s="2"/>
      <c r="C341" s="2"/>
    </row>
    <row r="342" spans="1:3" ht="14.25" customHeight="1" x14ac:dyDescent="0.25">
      <c r="A342" s="2"/>
      <c r="B342" s="2"/>
      <c r="C342" s="2"/>
    </row>
    <row r="343" spans="1:3" ht="14.25" customHeight="1" x14ac:dyDescent="0.25">
      <c r="A343" s="2"/>
      <c r="B343" s="2"/>
      <c r="C343" s="2"/>
    </row>
    <row r="344" spans="1:3" ht="14.25" customHeight="1" x14ac:dyDescent="0.25">
      <c r="A344" s="2"/>
      <c r="B344" s="2"/>
      <c r="C344" s="2"/>
    </row>
    <row r="345" spans="1:3" ht="14.25" customHeight="1" x14ac:dyDescent="0.25">
      <c r="A345" s="2"/>
      <c r="B345" s="2"/>
      <c r="C345" s="2"/>
    </row>
    <row r="346" spans="1:3" ht="14.25" customHeight="1" x14ac:dyDescent="0.25">
      <c r="A346" s="2"/>
      <c r="B346" s="2"/>
      <c r="C346" s="2"/>
    </row>
    <row r="347" spans="1:3" ht="14.25" customHeight="1" x14ac:dyDescent="0.25">
      <c r="A347" s="2"/>
      <c r="B347" s="2"/>
      <c r="C347" s="2"/>
    </row>
    <row r="348" spans="1:3" ht="14.25" customHeight="1" x14ac:dyDescent="0.25">
      <c r="A348" s="2"/>
      <c r="B348" s="2"/>
      <c r="C348" s="2"/>
    </row>
    <row r="349" spans="1:3" ht="14.25" customHeight="1" x14ac:dyDescent="0.25">
      <c r="A349" s="2"/>
      <c r="B349" s="2"/>
      <c r="C349" s="2"/>
    </row>
    <row r="350" spans="1:3" ht="14.25" customHeight="1" x14ac:dyDescent="0.25">
      <c r="A350" s="2"/>
      <c r="B350" s="2"/>
      <c r="C350" s="2"/>
    </row>
    <row r="351" spans="1:3" ht="14.25" customHeight="1" x14ac:dyDescent="0.25">
      <c r="A351" s="2"/>
      <c r="B351" s="2"/>
      <c r="C351" s="2"/>
    </row>
    <row r="352" spans="1:3" ht="14.25" customHeight="1" x14ac:dyDescent="0.25">
      <c r="A352" s="2"/>
      <c r="B352" s="2"/>
      <c r="C352" s="2"/>
    </row>
    <row r="353" spans="1:3" ht="14.25" customHeight="1" x14ac:dyDescent="0.25">
      <c r="A353" s="2"/>
      <c r="B353" s="2"/>
      <c r="C353" s="2"/>
    </row>
    <row r="354" spans="1:3" ht="14.25" customHeight="1" x14ac:dyDescent="0.25">
      <c r="A354" s="2"/>
      <c r="B354" s="2"/>
      <c r="C354" s="2"/>
    </row>
    <row r="355" spans="1:3" ht="14.25" customHeight="1" x14ac:dyDescent="0.25">
      <c r="A355" s="2"/>
      <c r="B355" s="2"/>
      <c r="C355" s="2"/>
    </row>
    <row r="356" spans="1:3" ht="14.25" customHeight="1" x14ac:dyDescent="0.25">
      <c r="A356" s="2"/>
      <c r="B356" s="2"/>
      <c r="C356" s="2"/>
    </row>
    <row r="357" spans="1:3" ht="14.25" customHeight="1" x14ac:dyDescent="0.25">
      <c r="A357" s="2"/>
      <c r="B357" s="2"/>
      <c r="C357" s="2"/>
    </row>
    <row r="358" spans="1:3" ht="14.25" customHeight="1" x14ac:dyDescent="0.25">
      <c r="A358" s="2"/>
      <c r="B358" s="2"/>
      <c r="C358" s="2"/>
    </row>
    <row r="359" spans="1:3" ht="14.25" customHeight="1" x14ac:dyDescent="0.25">
      <c r="A359" s="2"/>
      <c r="B359" s="2"/>
      <c r="C359" s="2"/>
    </row>
    <row r="360" spans="1:3" ht="14.25" customHeight="1" x14ac:dyDescent="0.25">
      <c r="A360" s="2"/>
      <c r="B360" s="2"/>
      <c r="C360" s="2"/>
    </row>
    <row r="361" spans="1:3" ht="14.25" customHeight="1" x14ac:dyDescent="0.25">
      <c r="A361" s="2"/>
      <c r="B361" s="2"/>
      <c r="C361" s="2"/>
    </row>
    <row r="362" spans="1:3" ht="14.25" customHeight="1" x14ac:dyDescent="0.25">
      <c r="A362" s="2"/>
      <c r="B362" s="2"/>
      <c r="C362" s="2"/>
    </row>
    <row r="363" spans="1:3" ht="14.25" customHeight="1" x14ac:dyDescent="0.25">
      <c r="A363" s="2"/>
      <c r="B363" s="2"/>
      <c r="C363" s="2"/>
    </row>
    <row r="364" spans="1:3" ht="14.25" customHeight="1" x14ac:dyDescent="0.25">
      <c r="A364" s="2"/>
      <c r="B364" s="2"/>
      <c r="C364" s="2"/>
    </row>
    <row r="365" spans="1:3" ht="14.25" customHeight="1" x14ac:dyDescent="0.25">
      <c r="A365" s="2"/>
      <c r="B365" s="2"/>
      <c r="C365" s="2"/>
    </row>
    <row r="366" spans="1:3" ht="14.25" customHeight="1" x14ac:dyDescent="0.25">
      <c r="A366" s="2"/>
      <c r="B366" s="2"/>
      <c r="C366" s="2"/>
    </row>
    <row r="367" spans="1:3" ht="14.25" customHeight="1" x14ac:dyDescent="0.25">
      <c r="A367" s="2"/>
      <c r="B367" s="2"/>
      <c r="C367" s="2"/>
    </row>
    <row r="368" spans="1:3" ht="14.25" customHeight="1" x14ac:dyDescent="0.25">
      <c r="A368" s="2"/>
      <c r="B368" s="2"/>
      <c r="C368" s="2"/>
    </row>
    <row r="369" spans="1:3" ht="14.25" customHeight="1" x14ac:dyDescent="0.25">
      <c r="A369" s="2"/>
      <c r="B369" s="2"/>
      <c r="C369" s="2"/>
    </row>
    <row r="370" spans="1:3" ht="14.25" customHeight="1" x14ac:dyDescent="0.25">
      <c r="A370" s="2"/>
      <c r="B370" s="2"/>
      <c r="C370" s="2"/>
    </row>
    <row r="371" spans="1:3" ht="14.25" customHeight="1" x14ac:dyDescent="0.25">
      <c r="A371" s="2"/>
      <c r="B371" s="2"/>
      <c r="C371" s="2"/>
    </row>
    <row r="372" spans="1:3" ht="14.25" customHeight="1" x14ac:dyDescent="0.25">
      <c r="A372" s="2"/>
      <c r="B372" s="2"/>
      <c r="C372" s="2"/>
    </row>
    <row r="373" spans="1:3" ht="14.25" customHeight="1" x14ac:dyDescent="0.25">
      <c r="A373" s="2"/>
      <c r="B373" s="2"/>
      <c r="C373" s="2"/>
    </row>
    <row r="374" spans="1:3" ht="14.25" customHeight="1" x14ac:dyDescent="0.25">
      <c r="A374" s="2"/>
      <c r="B374" s="2"/>
      <c r="C374" s="2"/>
    </row>
    <row r="375" spans="1:3" ht="14.25" customHeight="1" x14ac:dyDescent="0.25">
      <c r="A375" s="2"/>
      <c r="B375" s="2"/>
      <c r="C375" s="2"/>
    </row>
    <row r="376" spans="1:3" ht="14.25" customHeight="1" x14ac:dyDescent="0.25">
      <c r="A376" s="2"/>
      <c r="B376" s="2"/>
      <c r="C376" s="2"/>
    </row>
    <row r="377" spans="1:3" ht="14.25" customHeight="1" x14ac:dyDescent="0.25">
      <c r="A377" s="2"/>
      <c r="B377" s="2"/>
      <c r="C377" s="2"/>
    </row>
    <row r="378" spans="1:3" ht="14.25" customHeight="1" x14ac:dyDescent="0.25">
      <c r="A378" s="2"/>
      <c r="B378" s="2"/>
      <c r="C378" s="2"/>
    </row>
    <row r="379" spans="1:3" ht="14.25" customHeight="1" x14ac:dyDescent="0.25">
      <c r="A379" s="2"/>
      <c r="B379" s="2"/>
      <c r="C379" s="2"/>
    </row>
    <row r="380" spans="1:3" ht="14.25" customHeight="1" x14ac:dyDescent="0.25">
      <c r="A380" s="2"/>
      <c r="B380" s="2"/>
      <c r="C380" s="2"/>
    </row>
    <row r="381" spans="1:3" ht="14.25" customHeight="1" x14ac:dyDescent="0.25">
      <c r="A381" s="2"/>
      <c r="B381" s="2"/>
      <c r="C381" s="2"/>
    </row>
    <row r="382" spans="1:3" ht="14.25" customHeight="1" x14ac:dyDescent="0.25">
      <c r="A382" s="2"/>
      <c r="B382" s="2"/>
      <c r="C382" s="2"/>
    </row>
    <row r="383" spans="1:3" ht="14.25" customHeight="1" x14ac:dyDescent="0.25">
      <c r="A383" s="2"/>
      <c r="B383" s="2"/>
      <c r="C383" s="2"/>
    </row>
    <row r="384" spans="1:3" ht="14.25" customHeight="1" x14ac:dyDescent="0.25">
      <c r="A384" s="2"/>
      <c r="B384" s="2"/>
      <c r="C384" s="2"/>
    </row>
    <row r="385" spans="1:3" ht="14.25" customHeight="1" x14ac:dyDescent="0.25">
      <c r="A385" s="2"/>
      <c r="B385" s="2"/>
      <c r="C385" s="2"/>
    </row>
    <row r="386" spans="1:3" ht="14.25" customHeight="1" x14ac:dyDescent="0.25">
      <c r="A386" s="2"/>
      <c r="B386" s="2"/>
      <c r="C386" s="2"/>
    </row>
    <row r="387" spans="1:3" ht="14.25" customHeight="1" x14ac:dyDescent="0.25">
      <c r="A387" s="2"/>
      <c r="B387" s="2"/>
      <c r="C387" s="2"/>
    </row>
    <row r="388" spans="1:3" ht="14.25" customHeight="1" x14ac:dyDescent="0.25">
      <c r="A388" s="2"/>
      <c r="B388" s="2"/>
      <c r="C388" s="2"/>
    </row>
    <row r="389" spans="1:3" ht="14.25" customHeight="1" x14ac:dyDescent="0.25">
      <c r="A389" s="2"/>
      <c r="B389" s="2"/>
      <c r="C389" s="2"/>
    </row>
    <row r="390" spans="1:3" ht="14.25" customHeight="1" x14ac:dyDescent="0.25">
      <c r="A390" s="2"/>
      <c r="B390" s="2"/>
      <c r="C390" s="2"/>
    </row>
    <row r="391" spans="1:3" ht="14.25" customHeight="1" x14ac:dyDescent="0.25">
      <c r="A391" s="2"/>
      <c r="B391" s="2"/>
      <c r="C391" s="2"/>
    </row>
    <row r="392" spans="1:3" ht="14.25" customHeight="1" x14ac:dyDescent="0.25">
      <c r="A392" s="2"/>
      <c r="B392" s="2"/>
      <c r="C392" s="2"/>
    </row>
    <row r="393" spans="1:3" ht="14.25" customHeight="1" x14ac:dyDescent="0.25">
      <c r="A393" s="2"/>
      <c r="B393" s="2"/>
      <c r="C393" s="2"/>
    </row>
    <row r="394" spans="1:3" ht="14.25" customHeight="1" x14ac:dyDescent="0.25">
      <c r="A394" s="2"/>
      <c r="B394" s="2"/>
      <c r="C394" s="2"/>
    </row>
    <row r="395" spans="1:3" ht="14.25" customHeight="1" x14ac:dyDescent="0.25">
      <c r="A395" s="2"/>
      <c r="B395" s="2"/>
      <c r="C395" s="2"/>
    </row>
    <row r="396" spans="1:3" ht="14.25" customHeight="1" x14ac:dyDescent="0.25">
      <c r="A396" s="2"/>
      <c r="B396" s="2"/>
      <c r="C396" s="2"/>
    </row>
    <row r="397" spans="1:3" ht="14.25" customHeight="1" x14ac:dyDescent="0.25">
      <c r="A397" s="2"/>
      <c r="B397" s="2"/>
      <c r="C397" s="2"/>
    </row>
    <row r="398" spans="1:3" ht="14.25" customHeight="1" x14ac:dyDescent="0.25">
      <c r="A398" s="2"/>
      <c r="B398" s="2"/>
      <c r="C398" s="2"/>
    </row>
    <row r="399" spans="1:3" ht="14.25" customHeight="1" x14ac:dyDescent="0.25">
      <c r="A399" s="2"/>
      <c r="B399" s="2"/>
      <c r="C399" s="2"/>
    </row>
    <row r="400" spans="1:3" ht="14.25" customHeight="1" x14ac:dyDescent="0.25">
      <c r="A400" s="2"/>
      <c r="B400" s="2"/>
      <c r="C400" s="2"/>
    </row>
    <row r="401" spans="1:3" ht="14.25" customHeight="1" x14ac:dyDescent="0.25">
      <c r="A401" s="2"/>
      <c r="B401" s="2"/>
      <c r="C401" s="2"/>
    </row>
    <row r="402" spans="1:3" ht="14.25" customHeight="1" x14ac:dyDescent="0.25">
      <c r="A402" s="2"/>
      <c r="B402" s="2"/>
      <c r="C402" s="2"/>
    </row>
    <row r="403" spans="1:3" ht="14.25" customHeight="1" x14ac:dyDescent="0.25">
      <c r="A403" s="2"/>
      <c r="B403" s="2"/>
      <c r="C403" s="2"/>
    </row>
    <row r="404" spans="1:3" ht="14.25" customHeight="1" x14ac:dyDescent="0.25">
      <c r="A404" s="2"/>
      <c r="B404" s="2"/>
      <c r="C404" s="2"/>
    </row>
    <row r="405" spans="1:3" ht="14.25" customHeight="1" x14ac:dyDescent="0.25">
      <c r="A405" s="2"/>
      <c r="B405" s="2"/>
      <c r="C405" s="2"/>
    </row>
    <row r="406" spans="1:3" ht="14.25" customHeight="1" x14ac:dyDescent="0.25">
      <c r="A406" s="2"/>
      <c r="B406" s="2"/>
      <c r="C406" s="2"/>
    </row>
    <row r="407" spans="1:3" ht="14.25" customHeight="1" x14ac:dyDescent="0.25">
      <c r="A407" s="2"/>
      <c r="B407" s="2"/>
      <c r="C407" s="2"/>
    </row>
    <row r="408" spans="1:3" ht="14.25" customHeight="1" x14ac:dyDescent="0.25">
      <c r="A408" s="2"/>
      <c r="B408" s="2"/>
      <c r="C408" s="2"/>
    </row>
    <row r="409" spans="1:3" ht="14.25" customHeight="1" x14ac:dyDescent="0.25">
      <c r="A409" s="2"/>
      <c r="B409" s="2"/>
      <c r="C409" s="2"/>
    </row>
    <row r="410" spans="1:3" ht="14.25" customHeight="1" x14ac:dyDescent="0.25">
      <c r="A410" s="2"/>
      <c r="B410" s="2"/>
      <c r="C410" s="2"/>
    </row>
    <row r="411" spans="1:3" ht="14.25" customHeight="1" x14ac:dyDescent="0.25">
      <c r="A411" s="2"/>
      <c r="B411" s="2"/>
      <c r="C411" s="2"/>
    </row>
    <row r="412" spans="1:3" ht="14.25" customHeight="1" x14ac:dyDescent="0.25">
      <c r="A412" s="2"/>
      <c r="B412" s="2"/>
      <c r="C412" s="2"/>
    </row>
    <row r="413" spans="1:3" ht="14.25" customHeight="1" x14ac:dyDescent="0.25">
      <c r="A413" s="2"/>
      <c r="B413" s="2"/>
      <c r="C413" s="2"/>
    </row>
    <row r="414" spans="1:3" ht="14.25" customHeight="1" x14ac:dyDescent="0.25">
      <c r="A414" s="2"/>
      <c r="B414" s="2"/>
      <c r="C414" s="2"/>
    </row>
    <row r="415" spans="1:3" ht="14.25" customHeight="1" x14ac:dyDescent="0.25">
      <c r="A415" s="2"/>
      <c r="B415" s="2"/>
      <c r="C415" s="2"/>
    </row>
    <row r="416" spans="1:3" ht="14.25" customHeight="1" x14ac:dyDescent="0.25">
      <c r="A416" s="2"/>
      <c r="B416" s="2"/>
      <c r="C416" s="2"/>
    </row>
    <row r="417" spans="1:3" ht="14.25" customHeight="1" x14ac:dyDescent="0.25">
      <c r="A417" s="2"/>
      <c r="B417" s="2"/>
      <c r="C417" s="2"/>
    </row>
    <row r="418" spans="1:3" ht="14.25" customHeight="1" x14ac:dyDescent="0.25">
      <c r="A418" s="2"/>
      <c r="B418" s="2"/>
      <c r="C418" s="2"/>
    </row>
    <row r="419" spans="1:3" ht="14.25" customHeight="1" x14ac:dyDescent="0.25">
      <c r="A419" s="2"/>
      <c r="B419" s="2"/>
      <c r="C419" s="2"/>
    </row>
    <row r="420" spans="1:3" ht="14.25" customHeight="1" x14ac:dyDescent="0.25">
      <c r="A420" s="2"/>
      <c r="B420" s="2"/>
      <c r="C420" s="2"/>
    </row>
    <row r="421" spans="1:3" ht="14.25" customHeight="1" x14ac:dyDescent="0.25">
      <c r="A421" s="2"/>
      <c r="B421" s="2"/>
      <c r="C421" s="2"/>
    </row>
    <row r="422" spans="1:3" ht="14.25" customHeight="1" x14ac:dyDescent="0.25">
      <c r="A422" s="2"/>
      <c r="B422" s="2"/>
      <c r="C422" s="2"/>
    </row>
    <row r="423" spans="1:3" ht="14.25" customHeight="1" x14ac:dyDescent="0.25">
      <c r="A423" s="2"/>
      <c r="B423" s="2"/>
      <c r="C423" s="2"/>
    </row>
    <row r="424" spans="1:3" ht="14.25" customHeight="1" x14ac:dyDescent="0.25">
      <c r="A424" s="2"/>
      <c r="B424" s="2"/>
      <c r="C424" s="2"/>
    </row>
    <row r="425" spans="1:3" ht="14.25" customHeight="1" x14ac:dyDescent="0.25">
      <c r="A425" s="2"/>
      <c r="B425" s="2"/>
      <c r="C425" s="2"/>
    </row>
    <row r="426" spans="1:3" ht="14.25" customHeight="1" x14ac:dyDescent="0.25">
      <c r="A426" s="2"/>
      <c r="B426" s="2"/>
      <c r="C426" s="2"/>
    </row>
    <row r="427" spans="1:3" ht="14.25" customHeight="1" x14ac:dyDescent="0.25">
      <c r="A427" s="2"/>
      <c r="B427" s="2"/>
      <c r="C427" s="2"/>
    </row>
    <row r="428" spans="1:3" ht="14.25" customHeight="1" x14ac:dyDescent="0.25">
      <c r="A428" s="2"/>
      <c r="B428" s="2"/>
      <c r="C428" s="2"/>
    </row>
    <row r="429" spans="1:3" ht="14.25" customHeight="1" x14ac:dyDescent="0.25">
      <c r="A429" s="2"/>
      <c r="B429" s="2"/>
      <c r="C429" s="2"/>
    </row>
    <row r="430" spans="1:3" ht="14.25" customHeight="1" x14ac:dyDescent="0.25">
      <c r="A430" s="2"/>
      <c r="B430" s="2"/>
      <c r="C430" s="2"/>
    </row>
    <row r="431" spans="1:3" ht="14.25" customHeight="1" x14ac:dyDescent="0.25">
      <c r="A431" s="2"/>
      <c r="B431" s="2"/>
      <c r="C431" s="2"/>
    </row>
    <row r="432" spans="1:3" ht="14.25" customHeight="1" x14ac:dyDescent="0.25">
      <c r="A432" s="2"/>
      <c r="B432" s="2"/>
      <c r="C432" s="2"/>
    </row>
    <row r="433" spans="1:3" ht="14.25" customHeight="1" x14ac:dyDescent="0.25">
      <c r="A433" s="2"/>
      <c r="B433" s="2"/>
      <c r="C433" s="2"/>
    </row>
    <row r="434" spans="1:3" ht="14.25" customHeight="1" x14ac:dyDescent="0.25">
      <c r="A434" s="2"/>
      <c r="B434" s="2"/>
      <c r="C434" s="2"/>
    </row>
    <row r="435" spans="1:3" ht="14.25" customHeight="1" x14ac:dyDescent="0.25">
      <c r="A435" s="2"/>
      <c r="B435" s="2"/>
      <c r="C435" s="2"/>
    </row>
    <row r="436" spans="1:3" ht="14.25" customHeight="1" x14ac:dyDescent="0.25">
      <c r="A436" s="2"/>
      <c r="B436" s="2"/>
      <c r="C436" s="2"/>
    </row>
    <row r="437" spans="1:3" ht="14.25" customHeight="1" x14ac:dyDescent="0.25">
      <c r="A437" s="2"/>
      <c r="B437" s="2"/>
      <c r="C437" s="2"/>
    </row>
    <row r="438" spans="1:3" ht="14.25" customHeight="1" x14ac:dyDescent="0.25">
      <c r="A438" s="2"/>
      <c r="B438" s="2"/>
      <c r="C438" s="2"/>
    </row>
    <row r="439" spans="1:3" ht="14.25" customHeight="1" x14ac:dyDescent="0.25">
      <c r="A439" s="2"/>
      <c r="B439" s="2"/>
      <c r="C439" s="2"/>
    </row>
    <row r="440" spans="1:3" ht="14.25" customHeight="1" x14ac:dyDescent="0.25">
      <c r="A440" s="2"/>
      <c r="B440" s="2"/>
      <c r="C440" s="2"/>
    </row>
    <row r="441" spans="1:3" ht="14.25" customHeight="1" x14ac:dyDescent="0.25">
      <c r="A441" s="2"/>
      <c r="B441" s="2"/>
      <c r="C441" s="2"/>
    </row>
    <row r="442" spans="1:3" ht="14.25" customHeight="1" x14ac:dyDescent="0.25">
      <c r="A442" s="2"/>
      <c r="B442" s="2"/>
      <c r="C442" s="2"/>
    </row>
    <row r="443" spans="1:3" ht="14.25" customHeight="1" x14ac:dyDescent="0.25">
      <c r="A443" s="2"/>
      <c r="B443" s="2"/>
      <c r="C443" s="2"/>
    </row>
    <row r="444" spans="1:3" ht="14.25" customHeight="1" x14ac:dyDescent="0.25">
      <c r="A444" s="2"/>
      <c r="B444" s="2"/>
      <c r="C444" s="2"/>
    </row>
    <row r="445" spans="1:3" ht="14.25" customHeight="1" x14ac:dyDescent="0.25">
      <c r="A445" s="2"/>
      <c r="B445" s="2"/>
      <c r="C445" s="2"/>
    </row>
    <row r="446" spans="1:3" ht="14.25" customHeight="1" x14ac:dyDescent="0.25">
      <c r="A446" s="2"/>
      <c r="B446" s="2"/>
      <c r="C446" s="2"/>
    </row>
    <row r="447" spans="1:3" ht="14.25" customHeight="1" x14ac:dyDescent="0.25">
      <c r="A447" s="2"/>
      <c r="B447" s="2"/>
      <c r="C447" s="2"/>
    </row>
    <row r="448" spans="1:3" ht="14.25" customHeight="1" x14ac:dyDescent="0.25">
      <c r="A448" s="2"/>
      <c r="B448" s="2"/>
      <c r="C448" s="2"/>
    </row>
    <row r="449" spans="1:3" ht="14.25" customHeight="1" x14ac:dyDescent="0.25">
      <c r="A449" s="2"/>
      <c r="B449" s="2"/>
      <c r="C449" s="2"/>
    </row>
    <row r="450" spans="1:3" ht="14.25" customHeight="1" x14ac:dyDescent="0.25">
      <c r="A450" s="2"/>
      <c r="B450" s="2"/>
      <c r="C450" s="2"/>
    </row>
    <row r="451" spans="1:3" ht="14.25" customHeight="1" x14ac:dyDescent="0.25">
      <c r="A451" s="2"/>
      <c r="B451" s="2"/>
      <c r="C451" s="2"/>
    </row>
    <row r="452" spans="1:3" ht="14.25" customHeight="1" x14ac:dyDescent="0.25">
      <c r="A452" s="2"/>
      <c r="B452" s="2"/>
      <c r="C452" s="2"/>
    </row>
    <row r="453" spans="1:3" ht="14.25" customHeight="1" x14ac:dyDescent="0.25">
      <c r="A453" s="2"/>
      <c r="B453" s="2"/>
      <c r="C453" s="2"/>
    </row>
    <row r="454" spans="1:3" ht="14.25" customHeight="1" x14ac:dyDescent="0.25">
      <c r="A454" s="2"/>
      <c r="B454" s="2"/>
      <c r="C454" s="2"/>
    </row>
    <row r="455" spans="1:3" ht="14.25" customHeight="1" x14ac:dyDescent="0.25">
      <c r="A455" s="2"/>
      <c r="B455" s="2"/>
      <c r="C455" s="2"/>
    </row>
    <row r="456" spans="1:3" ht="14.25" customHeight="1" x14ac:dyDescent="0.25">
      <c r="A456" s="2"/>
      <c r="B456" s="2"/>
      <c r="C456" s="2"/>
    </row>
    <row r="457" spans="1:3" ht="14.25" customHeight="1" x14ac:dyDescent="0.25">
      <c r="A457" s="2"/>
      <c r="B457" s="2"/>
      <c r="C457" s="2"/>
    </row>
    <row r="458" spans="1:3" ht="14.25" customHeight="1" x14ac:dyDescent="0.25">
      <c r="A458" s="2"/>
      <c r="B458" s="2"/>
      <c r="C458" s="2"/>
    </row>
    <row r="459" spans="1:3" ht="14.25" customHeight="1" x14ac:dyDescent="0.25">
      <c r="A459" s="2"/>
      <c r="B459" s="2"/>
      <c r="C459" s="2"/>
    </row>
    <row r="460" spans="1:3" ht="14.25" customHeight="1" x14ac:dyDescent="0.25">
      <c r="A460" s="2"/>
      <c r="B460" s="2"/>
      <c r="C460" s="2"/>
    </row>
    <row r="461" spans="1:3" ht="14.25" customHeight="1" x14ac:dyDescent="0.25">
      <c r="A461" s="2"/>
      <c r="B461" s="2"/>
      <c r="C461" s="2"/>
    </row>
    <row r="462" spans="1:3" ht="14.25" customHeight="1" x14ac:dyDescent="0.25">
      <c r="A462" s="2"/>
      <c r="B462" s="2"/>
      <c r="C462" s="2"/>
    </row>
    <row r="463" spans="1:3" ht="14.25" customHeight="1" x14ac:dyDescent="0.25">
      <c r="A463" s="2"/>
      <c r="B463" s="2"/>
      <c r="C463" s="2"/>
    </row>
    <row r="464" spans="1:3" ht="14.25" customHeight="1" x14ac:dyDescent="0.25">
      <c r="A464" s="2"/>
      <c r="B464" s="2"/>
      <c r="C464" s="2"/>
    </row>
    <row r="465" spans="1:3" ht="14.25" customHeight="1" x14ac:dyDescent="0.25">
      <c r="A465" s="2"/>
      <c r="B465" s="2"/>
      <c r="C465" s="2"/>
    </row>
    <row r="466" spans="1:3" ht="14.25" customHeight="1" x14ac:dyDescent="0.25">
      <c r="A466" s="2"/>
      <c r="B466" s="2"/>
      <c r="C466" s="2"/>
    </row>
    <row r="467" spans="1:3" ht="14.25" customHeight="1" x14ac:dyDescent="0.25">
      <c r="A467" s="2"/>
      <c r="B467" s="2"/>
      <c r="C467" s="2"/>
    </row>
    <row r="468" spans="1:3" ht="14.25" customHeight="1" x14ac:dyDescent="0.25">
      <c r="A468" s="2"/>
      <c r="B468" s="2"/>
      <c r="C468" s="2"/>
    </row>
    <row r="469" spans="1:3" ht="14.25" customHeight="1" x14ac:dyDescent="0.25">
      <c r="A469" s="2"/>
      <c r="B469" s="2"/>
      <c r="C469" s="2"/>
    </row>
    <row r="470" spans="1:3" ht="14.25" customHeight="1" x14ac:dyDescent="0.25">
      <c r="A470" s="2"/>
      <c r="B470" s="2"/>
      <c r="C470" s="2"/>
    </row>
    <row r="471" spans="1:3" ht="14.25" customHeight="1" x14ac:dyDescent="0.25">
      <c r="A471" s="2"/>
      <c r="B471" s="2"/>
      <c r="C471" s="2"/>
    </row>
    <row r="472" spans="1:3" ht="14.25" customHeight="1" x14ac:dyDescent="0.25">
      <c r="A472" s="2"/>
      <c r="B472" s="2"/>
      <c r="C472" s="2"/>
    </row>
    <row r="473" spans="1:3" ht="14.25" customHeight="1" x14ac:dyDescent="0.25">
      <c r="A473" s="2"/>
      <c r="B473" s="2"/>
      <c r="C473" s="2"/>
    </row>
    <row r="474" spans="1:3" ht="14.25" customHeight="1" x14ac:dyDescent="0.25">
      <c r="A474" s="2"/>
      <c r="B474" s="2"/>
      <c r="C474" s="2"/>
    </row>
    <row r="475" spans="1:3" ht="14.25" customHeight="1" x14ac:dyDescent="0.25">
      <c r="A475" s="2"/>
      <c r="B475" s="2"/>
      <c r="C475" s="2"/>
    </row>
    <row r="476" spans="1:3" ht="14.25" customHeight="1" x14ac:dyDescent="0.25">
      <c r="A476" s="2"/>
      <c r="B476" s="2"/>
      <c r="C476" s="2"/>
    </row>
    <row r="477" spans="1:3" ht="14.25" customHeight="1" x14ac:dyDescent="0.25">
      <c r="A477" s="2"/>
      <c r="B477" s="2"/>
      <c r="C477" s="2"/>
    </row>
    <row r="478" spans="1:3" ht="14.25" customHeight="1" x14ac:dyDescent="0.25">
      <c r="A478" s="2"/>
      <c r="B478" s="2"/>
      <c r="C478" s="2"/>
    </row>
    <row r="479" spans="1:3" ht="14.25" customHeight="1" x14ac:dyDescent="0.25">
      <c r="A479" s="2"/>
      <c r="B479" s="2"/>
      <c r="C479" s="2"/>
    </row>
    <row r="480" spans="1:3" ht="14.25" customHeight="1" x14ac:dyDescent="0.25">
      <c r="A480" s="2"/>
      <c r="B480" s="2"/>
      <c r="C480" s="2"/>
    </row>
    <row r="481" spans="1:3" ht="14.25" customHeight="1" x14ac:dyDescent="0.25">
      <c r="A481" s="2"/>
      <c r="B481" s="2"/>
      <c r="C481" s="2"/>
    </row>
    <row r="482" spans="1:3" ht="14.25" customHeight="1" x14ac:dyDescent="0.25">
      <c r="A482" s="2"/>
      <c r="B482" s="2"/>
      <c r="C482" s="2"/>
    </row>
    <row r="483" spans="1:3" ht="14.25" customHeight="1" x14ac:dyDescent="0.25">
      <c r="A483" s="2"/>
      <c r="B483" s="2"/>
      <c r="C483" s="2"/>
    </row>
    <row r="484" spans="1:3" ht="14.25" customHeight="1" x14ac:dyDescent="0.25">
      <c r="A484" s="2"/>
      <c r="B484" s="2"/>
      <c r="C484" s="2"/>
    </row>
    <row r="485" spans="1:3" ht="14.25" customHeight="1" x14ac:dyDescent="0.25">
      <c r="A485" s="2"/>
      <c r="B485" s="2"/>
      <c r="C485" s="2"/>
    </row>
    <row r="486" spans="1:3" ht="14.25" customHeight="1" x14ac:dyDescent="0.25">
      <c r="A486" s="2"/>
      <c r="B486" s="2"/>
      <c r="C486" s="2"/>
    </row>
    <row r="487" spans="1:3" ht="14.25" customHeight="1" x14ac:dyDescent="0.25">
      <c r="A487" s="2"/>
      <c r="B487" s="2"/>
      <c r="C487" s="2"/>
    </row>
    <row r="488" spans="1:3" ht="14.25" customHeight="1" x14ac:dyDescent="0.25">
      <c r="A488" s="2"/>
      <c r="B488" s="2"/>
      <c r="C488" s="2"/>
    </row>
    <row r="489" spans="1:3" ht="14.25" customHeight="1" x14ac:dyDescent="0.25">
      <c r="A489" s="2"/>
      <c r="B489" s="2"/>
      <c r="C489" s="2"/>
    </row>
    <row r="490" spans="1:3" ht="14.25" customHeight="1" x14ac:dyDescent="0.25">
      <c r="A490" s="2"/>
      <c r="B490" s="2"/>
      <c r="C490" s="2"/>
    </row>
    <row r="491" spans="1:3" ht="14.25" customHeight="1" x14ac:dyDescent="0.25">
      <c r="A491" s="2"/>
      <c r="B491" s="2"/>
      <c r="C491" s="2"/>
    </row>
    <row r="492" spans="1:3" ht="14.25" customHeight="1" x14ac:dyDescent="0.25">
      <c r="A492" s="2"/>
      <c r="B492" s="2"/>
      <c r="C492" s="2"/>
    </row>
    <row r="493" spans="1:3" ht="14.25" customHeight="1" x14ac:dyDescent="0.25">
      <c r="A493" s="2"/>
      <c r="B493" s="2"/>
      <c r="C493" s="2"/>
    </row>
    <row r="494" spans="1:3" ht="14.25" customHeight="1" x14ac:dyDescent="0.25">
      <c r="A494" s="2"/>
      <c r="B494" s="2"/>
      <c r="C494" s="2"/>
    </row>
    <row r="495" spans="1:3" ht="14.25" customHeight="1" x14ac:dyDescent="0.25">
      <c r="A495" s="2"/>
      <c r="B495" s="2"/>
      <c r="C495" s="2"/>
    </row>
    <row r="496" spans="1:3" ht="14.25" customHeight="1" x14ac:dyDescent="0.25">
      <c r="A496" s="2"/>
      <c r="B496" s="2"/>
      <c r="C496" s="2"/>
    </row>
    <row r="497" spans="1:3" ht="14.25" customHeight="1" x14ac:dyDescent="0.25">
      <c r="A497" s="2"/>
      <c r="B497" s="2"/>
      <c r="C497" s="2"/>
    </row>
    <row r="498" spans="1:3" ht="14.25" customHeight="1" x14ac:dyDescent="0.25">
      <c r="A498" s="2"/>
      <c r="B498" s="2"/>
      <c r="C498" s="2"/>
    </row>
    <row r="499" spans="1:3" ht="14.25" customHeight="1" x14ac:dyDescent="0.25">
      <c r="A499" s="2"/>
      <c r="B499" s="2"/>
      <c r="C499" s="2"/>
    </row>
    <row r="500" spans="1:3" ht="14.25" customHeight="1" x14ac:dyDescent="0.25">
      <c r="A500" s="2"/>
      <c r="B500" s="2"/>
      <c r="C500" s="2"/>
    </row>
    <row r="501" spans="1:3" ht="14.25" customHeight="1" x14ac:dyDescent="0.25">
      <c r="A501" s="2"/>
      <c r="B501" s="2"/>
      <c r="C501" s="2"/>
    </row>
    <row r="502" spans="1:3" ht="14.25" customHeight="1" x14ac:dyDescent="0.25">
      <c r="A502" s="2"/>
      <c r="B502" s="2"/>
      <c r="C502" s="2"/>
    </row>
    <row r="503" spans="1:3" ht="14.25" customHeight="1" x14ac:dyDescent="0.25">
      <c r="A503" s="2"/>
      <c r="B503" s="2"/>
      <c r="C503" s="2"/>
    </row>
    <row r="504" spans="1:3" ht="14.25" customHeight="1" x14ac:dyDescent="0.25">
      <c r="A504" s="2"/>
      <c r="B504" s="2"/>
      <c r="C504" s="2"/>
    </row>
    <row r="505" spans="1:3" ht="14.25" customHeight="1" x14ac:dyDescent="0.25">
      <c r="A505" s="2"/>
      <c r="B505" s="2"/>
      <c r="C505" s="2"/>
    </row>
    <row r="506" spans="1:3" ht="14.25" customHeight="1" x14ac:dyDescent="0.25">
      <c r="A506" s="2"/>
      <c r="B506" s="2"/>
      <c r="C506" s="2"/>
    </row>
    <row r="507" spans="1:3" ht="14.25" customHeight="1" x14ac:dyDescent="0.25">
      <c r="A507" s="2"/>
      <c r="B507" s="2"/>
      <c r="C507" s="2"/>
    </row>
    <row r="508" spans="1:3" ht="14.25" customHeight="1" x14ac:dyDescent="0.25">
      <c r="A508" s="2"/>
      <c r="B508" s="2"/>
      <c r="C508" s="2"/>
    </row>
    <row r="509" spans="1:3" ht="14.25" customHeight="1" x14ac:dyDescent="0.25">
      <c r="A509" s="2"/>
      <c r="B509" s="2"/>
      <c r="C509" s="2"/>
    </row>
    <row r="510" spans="1:3" ht="14.25" customHeight="1" x14ac:dyDescent="0.25">
      <c r="A510" s="2"/>
      <c r="B510" s="2"/>
      <c r="C510" s="2"/>
    </row>
    <row r="511" spans="1:3" ht="14.25" customHeight="1" x14ac:dyDescent="0.25">
      <c r="A511" s="2"/>
      <c r="B511" s="2"/>
      <c r="C511" s="2"/>
    </row>
    <row r="512" spans="1:3" ht="14.25" customHeight="1" x14ac:dyDescent="0.25">
      <c r="A512" s="2"/>
      <c r="B512" s="2"/>
      <c r="C512" s="2"/>
    </row>
    <row r="513" spans="1:3" ht="14.25" customHeight="1" x14ac:dyDescent="0.25">
      <c r="A513" s="2"/>
      <c r="B513" s="2"/>
      <c r="C513" s="2"/>
    </row>
    <row r="514" spans="1:3" ht="14.25" customHeight="1" x14ac:dyDescent="0.25">
      <c r="A514" s="2"/>
      <c r="B514" s="2"/>
      <c r="C514" s="2"/>
    </row>
    <row r="515" spans="1:3" ht="14.25" customHeight="1" x14ac:dyDescent="0.25">
      <c r="A515" s="2"/>
      <c r="B515" s="2"/>
      <c r="C515" s="2"/>
    </row>
    <row r="516" spans="1:3" ht="14.25" customHeight="1" x14ac:dyDescent="0.25">
      <c r="A516" s="2"/>
      <c r="B516" s="2"/>
      <c r="C516" s="2"/>
    </row>
    <row r="517" spans="1:3" ht="14.25" customHeight="1" x14ac:dyDescent="0.25">
      <c r="A517" s="2"/>
      <c r="B517" s="2"/>
      <c r="C517" s="2"/>
    </row>
    <row r="518" spans="1:3" ht="14.25" customHeight="1" x14ac:dyDescent="0.25">
      <c r="A518" s="2"/>
      <c r="B518" s="2"/>
      <c r="C518" s="2"/>
    </row>
    <row r="519" spans="1:3" ht="14.25" customHeight="1" x14ac:dyDescent="0.25">
      <c r="A519" s="2"/>
      <c r="B519" s="2"/>
      <c r="C519" s="2"/>
    </row>
    <row r="520" spans="1:3" ht="14.25" customHeight="1" x14ac:dyDescent="0.25">
      <c r="A520" s="2"/>
      <c r="B520" s="2"/>
      <c r="C520" s="2"/>
    </row>
    <row r="521" spans="1:3" ht="14.25" customHeight="1" x14ac:dyDescent="0.25">
      <c r="A521" s="2"/>
      <c r="B521" s="2"/>
      <c r="C521" s="2"/>
    </row>
    <row r="522" spans="1:3" ht="14.25" customHeight="1" x14ac:dyDescent="0.25">
      <c r="A522" s="2"/>
      <c r="B522" s="2"/>
      <c r="C522" s="2"/>
    </row>
    <row r="523" spans="1:3" ht="14.25" customHeight="1" x14ac:dyDescent="0.25">
      <c r="A523" s="2"/>
      <c r="B523" s="2"/>
      <c r="C523" s="2"/>
    </row>
    <row r="524" spans="1:3" ht="14.25" customHeight="1" x14ac:dyDescent="0.25">
      <c r="A524" s="2"/>
      <c r="B524" s="2"/>
      <c r="C524" s="2"/>
    </row>
    <row r="525" spans="1:3" ht="14.25" customHeight="1" x14ac:dyDescent="0.25">
      <c r="A525" s="2"/>
      <c r="B525" s="2"/>
      <c r="C525" s="2"/>
    </row>
    <row r="526" spans="1:3" ht="14.25" customHeight="1" x14ac:dyDescent="0.25">
      <c r="A526" s="2"/>
      <c r="B526" s="2"/>
      <c r="C526" s="2"/>
    </row>
    <row r="527" spans="1:3" ht="14.25" customHeight="1" x14ac:dyDescent="0.25">
      <c r="A527" s="2"/>
      <c r="B527" s="2"/>
      <c r="C527" s="2"/>
    </row>
    <row r="528" spans="1:3" ht="14.25" customHeight="1" x14ac:dyDescent="0.25">
      <c r="A528" s="2"/>
      <c r="B528" s="2"/>
      <c r="C528" s="2"/>
    </row>
    <row r="529" spans="1:3" ht="14.25" customHeight="1" x14ac:dyDescent="0.25">
      <c r="A529" s="2"/>
      <c r="B529" s="2"/>
      <c r="C529" s="2"/>
    </row>
    <row r="530" spans="1:3" ht="14.25" customHeight="1" x14ac:dyDescent="0.25">
      <c r="A530" s="2"/>
      <c r="B530" s="2"/>
      <c r="C530" s="2"/>
    </row>
    <row r="531" spans="1:3" ht="14.25" customHeight="1" x14ac:dyDescent="0.25">
      <c r="A531" s="2"/>
      <c r="B531" s="2"/>
      <c r="C531" s="2"/>
    </row>
    <row r="532" spans="1:3" ht="14.25" customHeight="1" x14ac:dyDescent="0.25">
      <c r="A532" s="2"/>
      <c r="B532" s="2"/>
      <c r="C532" s="2"/>
    </row>
    <row r="533" spans="1:3" ht="14.25" customHeight="1" x14ac:dyDescent="0.25">
      <c r="A533" s="2"/>
      <c r="B533" s="2"/>
      <c r="C533" s="2"/>
    </row>
    <row r="534" spans="1:3" ht="14.25" customHeight="1" x14ac:dyDescent="0.25">
      <c r="A534" s="2"/>
      <c r="B534" s="2"/>
      <c r="C534" s="2"/>
    </row>
    <row r="535" spans="1:3" ht="14.25" customHeight="1" x14ac:dyDescent="0.25">
      <c r="A535" s="2"/>
      <c r="B535" s="2"/>
      <c r="C535" s="2"/>
    </row>
    <row r="536" spans="1:3" ht="14.25" customHeight="1" x14ac:dyDescent="0.25">
      <c r="A536" s="2"/>
      <c r="B536" s="2"/>
      <c r="C536" s="2"/>
    </row>
    <row r="537" spans="1:3" ht="14.25" customHeight="1" x14ac:dyDescent="0.25">
      <c r="A537" s="2"/>
      <c r="B537" s="2"/>
      <c r="C537" s="2"/>
    </row>
    <row r="538" spans="1:3" ht="14.25" customHeight="1" x14ac:dyDescent="0.25">
      <c r="A538" s="2"/>
      <c r="B538" s="2"/>
      <c r="C538" s="2"/>
    </row>
    <row r="539" spans="1:3" ht="14.25" customHeight="1" x14ac:dyDescent="0.25">
      <c r="A539" s="2"/>
      <c r="B539" s="2"/>
      <c r="C539" s="2"/>
    </row>
    <row r="540" spans="1:3" ht="14.25" customHeight="1" x14ac:dyDescent="0.25">
      <c r="A540" s="2"/>
      <c r="B540" s="2"/>
      <c r="C540" s="2"/>
    </row>
    <row r="541" spans="1:3" ht="14.25" customHeight="1" x14ac:dyDescent="0.25">
      <c r="A541" s="2"/>
      <c r="B541" s="2"/>
      <c r="C541" s="2"/>
    </row>
    <row r="542" spans="1:3" ht="14.25" customHeight="1" x14ac:dyDescent="0.25">
      <c r="A542" s="2"/>
      <c r="B542" s="2"/>
      <c r="C542" s="2"/>
    </row>
    <row r="543" spans="1:3" ht="14.25" customHeight="1" x14ac:dyDescent="0.25">
      <c r="A543" s="2"/>
      <c r="B543" s="2"/>
      <c r="C543" s="2"/>
    </row>
    <row r="544" spans="1:3" ht="14.25" customHeight="1" x14ac:dyDescent="0.25">
      <c r="A544" s="2"/>
      <c r="B544" s="2"/>
      <c r="C544" s="2"/>
    </row>
    <row r="545" spans="1:3" ht="14.25" customHeight="1" x14ac:dyDescent="0.25">
      <c r="A545" s="2"/>
      <c r="B545" s="2"/>
      <c r="C545" s="2"/>
    </row>
    <row r="546" spans="1:3" ht="14.25" customHeight="1" x14ac:dyDescent="0.25">
      <c r="A546" s="2"/>
      <c r="B546" s="2"/>
      <c r="C546" s="2"/>
    </row>
    <row r="547" spans="1:3" ht="14.25" customHeight="1" x14ac:dyDescent="0.25">
      <c r="A547" s="2"/>
      <c r="B547" s="2"/>
      <c r="C547" s="2"/>
    </row>
    <row r="548" spans="1:3" ht="14.25" customHeight="1" x14ac:dyDescent="0.25">
      <c r="A548" s="2"/>
      <c r="B548" s="2"/>
      <c r="C548" s="2"/>
    </row>
    <row r="549" spans="1:3" ht="14.25" customHeight="1" x14ac:dyDescent="0.25">
      <c r="A549" s="2"/>
      <c r="B549" s="2"/>
      <c r="C549" s="2"/>
    </row>
    <row r="550" spans="1:3" ht="14.25" customHeight="1" x14ac:dyDescent="0.25">
      <c r="A550" s="2"/>
      <c r="B550" s="2"/>
      <c r="C550" s="2"/>
    </row>
    <row r="551" spans="1:3" ht="14.25" customHeight="1" x14ac:dyDescent="0.25">
      <c r="A551" s="2"/>
      <c r="B551" s="2"/>
      <c r="C551" s="2"/>
    </row>
    <row r="552" spans="1:3" ht="14.25" customHeight="1" x14ac:dyDescent="0.25">
      <c r="A552" s="2"/>
      <c r="B552" s="2"/>
      <c r="C552" s="2"/>
    </row>
    <row r="553" spans="1:3" ht="14.25" customHeight="1" x14ac:dyDescent="0.25">
      <c r="A553" s="2"/>
      <c r="B553" s="2"/>
      <c r="C553" s="2"/>
    </row>
    <row r="554" spans="1:3" ht="14.25" customHeight="1" x14ac:dyDescent="0.25">
      <c r="A554" s="2"/>
      <c r="B554" s="2"/>
      <c r="C554" s="2"/>
    </row>
    <row r="555" spans="1:3" ht="14.25" customHeight="1" x14ac:dyDescent="0.25">
      <c r="A555" s="2"/>
      <c r="B555" s="2"/>
      <c r="C555" s="2"/>
    </row>
    <row r="556" spans="1:3" ht="14.25" customHeight="1" x14ac:dyDescent="0.25">
      <c r="A556" s="2"/>
      <c r="B556" s="2"/>
      <c r="C556" s="2"/>
    </row>
    <row r="557" spans="1:3" ht="14.25" customHeight="1" x14ac:dyDescent="0.25">
      <c r="A557" s="2"/>
      <c r="B557" s="2"/>
      <c r="C557" s="2"/>
    </row>
    <row r="558" spans="1:3" ht="14.25" customHeight="1" x14ac:dyDescent="0.25">
      <c r="A558" s="2"/>
      <c r="B558" s="2"/>
      <c r="C558" s="2"/>
    </row>
    <row r="559" spans="1:3" ht="14.25" customHeight="1" x14ac:dyDescent="0.25">
      <c r="A559" s="2"/>
      <c r="B559" s="2"/>
      <c r="C559" s="2"/>
    </row>
    <row r="560" spans="1:3" ht="14.25" customHeight="1" x14ac:dyDescent="0.25">
      <c r="A560" s="2"/>
      <c r="B560" s="2"/>
      <c r="C560" s="2"/>
    </row>
    <row r="561" spans="1:3" ht="14.25" customHeight="1" x14ac:dyDescent="0.25">
      <c r="A561" s="2"/>
      <c r="B561" s="2"/>
      <c r="C561" s="2"/>
    </row>
    <row r="562" spans="1:3" ht="14.25" customHeight="1" x14ac:dyDescent="0.25">
      <c r="A562" s="2"/>
      <c r="B562" s="2"/>
      <c r="C562" s="2"/>
    </row>
    <row r="563" spans="1:3" ht="14.25" customHeight="1" x14ac:dyDescent="0.25">
      <c r="A563" s="2"/>
      <c r="B563" s="2"/>
      <c r="C563" s="2"/>
    </row>
    <row r="564" spans="1:3" ht="14.25" customHeight="1" x14ac:dyDescent="0.25">
      <c r="A564" s="2"/>
      <c r="B564" s="2"/>
      <c r="C564" s="2"/>
    </row>
    <row r="565" spans="1:3" ht="14.25" customHeight="1" x14ac:dyDescent="0.25">
      <c r="A565" s="2"/>
      <c r="B565" s="2"/>
      <c r="C565" s="2"/>
    </row>
    <row r="566" spans="1:3" ht="14.25" customHeight="1" x14ac:dyDescent="0.25">
      <c r="A566" s="2"/>
      <c r="B566" s="2"/>
      <c r="C566" s="2"/>
    </row>
    <row r="567" spans="1:3" ht="14.25" customHeight="1" x14ac:dyDescent="0.25">
      <c r="A567" s="2"/>
      <c r="B567" s="2"/>
      <c r="C567" s="2"/>
    </row>
    <row r="568" spans="1:3" ht="14.25" customHeight="1" x14ac:dyDescent="0.25">
      <c r="A568" s="2"/>
      <c r="B568" s="2"/>
      <c r="C568" s="2"/>
    </row>
    <row r="569" spans="1:3" ht="14.25" customHeight="1" x14ac:dyDescent="0.25">
      <c r="A569" s="2"/>
      <c r="B569" s="2"/>
      <c r="C569" s="2"/>
    </row>
    <row r="570" spans="1:3" ht="14.25" customHeight="1" x14ac:dyDescent="0.25">
      <c r="A570" s="2"/>
      <c r="B570" s="2"/>
      <c r="C570" s="2"/>
    </row>
    <row r="571" spans="1:3" ht="14.25" customHeight="1" x14ac:dyDescent="0.25">
      <c r="A571" s="2"/>
      <c r="B571" s="2"/>
      <c r="C571" s="2"/>
    </row>
    <row r="572" spans="1:3" ht="14.25" customHeight="1" x14ac:dyDescent="0.25">
      <c r="A572" s="2"/>
      <c r="B572" s="2"/>
      <c r="C572" s="2"/>
    </row>
    <row r="573" spans="1:3" ht="14.25" customHeight="1" x14ac:dyDescent="0.25">
      <c r="A573" s="2"/>
      <c r="B573" s="2"/>
      <c r="C573" s="2"/>
    </row>
    <row r="574" spans="1:3" ht="14.25" customHeight="1" x14ac:dyDescent="0.25">
      <c r="A574" s="2"/>
      <c r="B574" s="2"/>
      <c r="C574" s="2"/>
    </row>
    <row r="575" spans="1:3" ht="14.25" customHeight="1" x14ac:dyDescent="0.25">
      <c r="A575" s="2"/>
      <c r="B575" s="2"/>
      <c r="C575" s="2"/>
    </row>
    <row r="576" spans="1:3" ht="14.25" customHeight="1" x14ac:dyDescent="0.25">
      <c r="A576" s="2"/>
      <c r="B576" s="2"/>
      <c r="C576" s="2"/>
    </row>
    <row r="577" spans="1:3" ht="14.25" customHeight="1" x14ac:dyDescent="0.25">
      <c r="A577" s="2"/>
      <c r="B577" s="2"/>
      <c r="C577" s="2"/>
    </row>
    <row r="578" spans="1:3" ht="14.25" customHeight="1" x14ac:dyDescent="0.25">
      <c r="A578" s="2"/>
      <c r="B578" s="2"/>
      <c r="C578" s="2"/>
    </row>
    <row r="579" spans="1:3" ht="14.25" customHeight="1" x14ac:dyDescent="0.25">
      <c r="A579" s="2"/>
      <c r="B579" s="2"/>
      <c r="C579" s="2"/>
    </row>
    <row r="580" spans="1:3" ht="14.25" customHeight="1" x14ac:dyDescent="0.25">
      <c r="A580" s="2"/>
      <c r="B580" s="2"/>
      <c r="C580" s="2"/>
    </row>
    <row r="581" spans="1:3" ht="14.25" customHeight="1" x14ac:dyDescent="0.25">
      <c r="A581" s="2"/>
      <c r="B581" s="2"/>
      <c r="C581" s="2"/>
    </row>
    <row r="582" spans="1:3" ht="14.25" customHeight="1" x14ac:dyDescent="0.25">
      <c r="A582" s="2"/>
      <c r="B582" s="2"/>
      <c r="C582" s="2"/>
    </row>
    <row r="583" spans="1:3" ht="14.25" customHeight="1" x14ac:dyDescent="0.25">
      <c r="A583" s="2"/>
      <c r="B583" s="2"/>
      <c r="C583" s="2"/>
    </row>
    <row r="584" spans="1:3" ht="14.25" customHeight="1" x14ac:dyDescent="0.25">
      <c r="A584" s="2"/>
      <c r="B584" s="2"/>
      <c r="C584" s="2"/>
    </row>
    <row r="585" spans="1:3" ht="14.25" customHeight="1" x14ac:dyDescent="0.25">
      <c r="A585" s="2"/>
      <c r="B585" s="2"/>
      <c r="C585" s="2"/>
    </row>
    <row r="586" spans="1:3" ht="14.25" customHeight="1" x14ac:dyDescent="0.25">
      <c r="A586" s="2"/>
      <c r="B586" s="2"/>
      <c r="C586" s="2"/>
    </row>
    <row r="587" spans="1:3" ht="14.25" customHeight="1" x14ac:dyDescent="0.25">
      <c r="A587" s="2"/>
      <c r="B587" s="2"/>
      <c r="C587" s="2"/>
    </row>
    <row r="588" spans="1:3" ht="14.25" customHeight="1" x14ac:dyDescent="0.25">
      <c r="A588" s="2"/>
      <c r="B588" s="2"/>
      <c r="C588" s="2"/>
    </row>
    <row r="589" spans="1:3" ht="14.25" customHeight="1" x14ac:dyDescent="0.25">
      <c r="A589" s="2"/>
      <c r="B589" s="2"/>
      <c r="C589" s="2"/>
    </row>
    <row r="590" spans="1:3" ht="14.25" customHeight="1" x14ac:dyDescent="0.25">
      <c r="A590" s="2"/>
      <c r="B590" s="2"/>
      <c r="C590" s="2"/>
    </row>
    <row r="591" spans="1:3" ht="14.25" customHeight="1" x14ac:dyDescent="0.25">
      <c r="A591" s="2"/>
      <c r="B591" s="2"/>
      <c r="C591" s="2"/>
    </row>
    <row r="592" spans="1:3" ht="14.25" customHeight="1" x14ac:dyDescent="0.25">
      <c r="A592" s="2"/>
      <c r="B592" s="2"/>
      <c r="C592" s="2"/>
    </row>
    <row r="593" spans="1:3" ht="14.25" customHeight="1" x14ac:dyDescent="0.25">
      <c r="A593" s="2"/>
      <c r="B593" s="2"/>
      <c r="C593" s="2"/>
    </row>
    <row r="594" spans="1:3" ht="14.25" customHeight="1" x14ac:dyDescent="0.25">
      <c r="A594" s="2"/>
      <c r="B594" s="2"/>
      <c r="C594" s="2"/>
    </row>
    <row r="595" spans="1:3" ht="14.25" customHeight="1" x14ac:dyDescent="0.25">
      <c r="A595" s="2"/>
      <c r="B595" s="2"/>
      <c r="C595" s="2"/>
    </row>
    <row r="596" spans="1:3" ht="14.25" customHeight="1" x14ac:dyDescent="0.25">
      <c r="A596" s="2"/>
      <c r="B596" s="2"/>
      <c r="C596" s="2"/>
    </row>
    <row r="597" spans="1:3" ht="14.25" customHeight="1" x14ac:dyDescent="0.25">
      <c r="A597" s="2"/>
      <c r="B597" s="2"/>
      <c r="C597" s="2"/>
    </row>
    <row r="598" spans="1:3" ht="14.25" customHeight="1" x14ac:dyDescent="0.25">
      <c r="A598" s="2"/>
      <c r="B598" s="2"/>
      <c r="C598" s="2"/>
    </row>
    <row r="599" spans="1:3" ht="14.25" customHeight="1" x14ac:dyDescent="0.25">
      <c r="A599" s="2"/>
      <c r="B599" s="2"/>
      <c r="C599" s="2"/>
    </row>
    <row r="600" spans="1:3" ht="14.25" customHeight="1" x14ac:dyDescent="0.25">
      <c r="A600" s="2"/>
      <c r="B600" s="2"/>
      <c r="C600" s="2"/>
    </row>
    <row r="601" spans="1:3" ht="14.25" customHeight="1" x14ac:dyDescent="0.25">
      <c r="A601" s="2"/>
      <c r="B601" s="2"/>
      <c r="C601" s="2"/>
    </row>
    <row r="602" spans="1:3" ht="14.25" customHeight="1" x14ac:dyDescent="0.25">
      <c r="A602" s="2"/>
      <c r="B602" s="2"/>
      <c r="C602" s="2"/>
    </row>
    <row r="603" spans="1:3" ht="14.25" customHeight="1" x14ac:dyDescent="0.25">
      <c r="A603" s="2"/>
      <c r="B603" s="2"/>
      <c r="C603" s="2"/>
    </row>
    <row r="604" spans="1:3" ht="14.25" customHeight="1" x14ac:dyDescent="0.25">
      <c r="A604" s="2"/>
      <c r="B604" s="2"/>
      <c r="C604" s="2"/>
    </row>
    <row r="605" spans="1:3" ht="14.25" customHeight="1" x14ac:dyDescent="0.25">
      <c r="A605" s="2"/>
      <c r="B605" s="2"/>
      <c r="C605" s="2"/>
    </row>
    <row r="606" spans="1:3" ht="14.25" customHeight="1" x14ac:dyDescent="0.25">
      <c r="A606" s="2"/>
      <c r="B606" s="2"/>
      <c r="C606" s="2"/>
    </row>
    <row r="607" spans="1:3" ht="14.25" customHeight="1" x14ac:dyDescent="0.25">
      <c r="A607" s="2"/>
      <c r="B607" s="2"/>
      <c r="C607" s="2"/>
    </row>
    <row r="608" spans="1:3" ht="14.25" customHeight="1" x14ac:dyDescent="0.25">
      <c r="A608" s="2"/>
      <c r="B608" s="2"/>
      <c r="C608" s="2"/>
    </row>
    <row r="609" spans="1:3" ht="14.25" customHeight="1" x14ac:dyDescent="0.25">
      <c r="A609" s="2"/>
      <c r="B609" s="2"/>
      <c r="C609" s="2"/>
    </row>
    <row r="610" spans="1:3" ht="14.25" customHeight="1" x14ac:dyDescent="0.25">
      <c r="A610" s="2"/>
      <c r="B610" s="2"/>
      <c r="C610" s="2"/>
    </row>
    <row r="611" spans="1:3" ht="14.25" customHeight="1" x14ac:dyDescent="0.25">
      <c r="A611" s="2"/>
      <c r="B611" s="2"/>
      <c r="C611" s="2"/>
    </row>
    <row r="612" spans="1:3" ht="14.25" customHeight="1" x14ac:dyDescent="0.25">
      <c r="A612" s="2"/>
      <c r="B612" s="2"/>
      <c r="C612" s="2"/>
    </row>
    <row r="613" spans="1:3" ht="14.25" customHeight="1" x14ac:dyDescent="0.25">
      <c r="A613" s="2"/>
      <c r="B613" s="2"/>
      <c r="C613" s="2"/>
    </row>
    <row r="614" spans="1:3" ht="14.25" customHeight="1" x14ac:dyDescent="0.25">
      <c r="A614" s="2"/>
      <c r="B614" s="2"/>
      <c r="C614" s="2"/>
    </row>
    <row r="615" spans="1:3" ht="14.25" customHeight="1" x14ac:dyDescent="0.25">
      <c r="A615" s="2"/>
      <c r="B615" s="2"/>
      <c r="C615" s="2"/>
    </row>
    <row r="616" spans="1:3" ht="14.25" customHeight="1" x14ac:dyDescent="0.25">
      <c r="A616" s="2"/>
      <c r="B616" s="2"/>
      <c r="C616" s="2"/>
    </row>
    <row r="617" spans="1:3" ht="14.25" customHeight="1" x14ac:dyDescent="0.25">
      <c r="A617" s="2"/>
      <c r="B617" s="2"/>
      <c r="C617" s="2"/>
    </row>
    <row r="618" spans="1:3" ht="14.25" customHeight="1" x14ac:dyDescent="0.25">
      <c r="A618" s="2"/>
      <c r="B618" s="2"/>
      <c r="C618" s="2"/>
    </row>
    <row r="619" spans="1:3" ht="14.25" customHeight="1" x14ac:dyDescent="0.25">
      <c r="A619" s="2"/>
      <c r="B619" s="2"/>
      <c r="C619" s="2"/>
    </row>
    <row r="620" spans="1:3" ht="14.25" customHeight="1" x14ac:dyDescent="0.25">
      <c r="A620" s="2"/>
      <c r="B620" s="2"/>
      <c r="C620" s="2"/>
    </row>
    <row r="621" spans="1:3" ht="14.25" customHeight="1" x14ac:dyDescent="0.25">
      <c r="A621" s="2"/>
      <c r="B621" s="2"/>
      <c r="C621" s="2"/>
    </row>
    <row r="622" spans="1:3" ht="14.25" customHeight="1" x14ac:dyDescent="0.25">
      <c r="A622" s="2"/>
      <c r="B622" s="2"/>
      <c r="C622" s="2"/>
    </row>
    <row r="623" spans="1:3" ht="14.25" customHeight="1" x14ac:dyDescent="0.25">
      <c r="A623" s="2"/>
      <c r="B623" s="2"/>
      <c r="C623" s="2"/>
    </row>
    <row r="624" spans="1:3" ht="14.25" customHeight="1" x14ac:dyDescent="0.25">
      <c r="A624" s="2"/>
      <c r="B624" s="2"/>
      <c r="C624" s="2"/>
    </row>
    <row r="625" spans="1:3" ht="14.25" customHeight="1" x14ac:dyDescent="0.25">
      <c r="A625" s="2"/>
      <c r="B625" s="2"/>
      <c r="C625" s="2"/>
    </row>
    <row r="626" spans="1:3" ht="14.25" customHeight="1" x14ac:dyDescent="0.25">
      <c r="A626" s="2"/>
      <c r="B626" s="2"/>
      <c r="C626" s="2"/>
    </row>
    <row r="627" spans="1:3" ht="14.25" customHeight="1" x14ac:dyDescent="0.25">
      <c r="A627" s="2"/>
      <c r="B627" s="2"/>
      <c r="C627" s="2"/>
    </row>
    <row r="628" spans="1:3" ht="14.25" customHeight="1" x14ac:dyDescent="0.25">
      <c r="A628" s="2"/>
      <c r="B628" s="2"/>
      <c r="C628" s="2"/>
    </row>
    <row r="629" spans="1:3" ht="14.25" customHeight="1" x14ac:dyDescent="0.25">
      <c r="A629" s="2"/>
      <c r="B629" s="2"/>
      <c r="C629" s="2"/>
    </row>
    <row r="630" spans="1:3" ht="14.25" customHeight="1" x14ac:dyDescent="0.25">
      <c r="A630" s="2"/>
      <c r="B630" s="2"/>
      <c r="C630" s="2"/>
    </row>
    <row r="631" spans="1:3" ht="14.25" customHeight="1" x14ac:dyDescent="0.25">
      <c r="A631" s="2"/>
      <c r="B631" s="2"/>
      <c r="C631" s="2"/>
    </row>
    <row r="632" spans="1:3" ht="14.25" customHeight="1" x14ac:dyDescent="0.25">
      <c r="A632" s="2"/>
      <c r="B632" s="2"/>
      <c r="C632" s="2"/>
    </row>
    <row r="633" spans="1:3" ht="14.25" customHeight="1" x14ac:dyDescent="0.25">
      <c r="A633" s="2"/>
      <c r="B633" s="2"/>
      <c r="C633" s="2"/>
    </row>
    <row r="634" spans="1:3" ht="14.25" customHeight="1" x14ac:dyDescent="0.25">
      <c r="A634" s="2"/>
      <c r="B634" s="2"/>
      <c r="C634" s="2"/>
    </row>
    <row r="635" spans="1:3" ht="14.25" customHeight="1" x14ac:dyDescent="0.25">
      <c r="A635" s="2"/>
      <c r="B635" s="2"/>
      <c r="C635" s="2"/>
    </row>
    <row r="636" spans="1:3" ht="14.25" customHeight="1" x14ac:dyDescent="0.25">
      <c r="A636" s="2"/>
      <c r="B636" s="2"/>
      <c r="C636" s="2"/>
    </row>
    <row r="637" spans="1:3" ht="14.25" customHeight="1" x14ac:dyDescent="0.25">
      <c r="A637" s="2"/>
      <c r="B637" s="2"/>
      <c r="C637" s="2"/>
    </row>
    <row r="638" spans="1:3" ht="14.25" customHeight="1" x14ac:dyDescent="0.25">
      <c r="A638" s="2"/>
      <c r="B638" s="2"/>
      <c r="C638" s="2"/>
    </row>
    <row r="639" spans="1:3" ht="14.25" customHeight="1" x14ac:dyDescent="0.25">
      <c r="A639" s="2"/>
      <c r="B639" s="2"/>
      <c r="C639" s="2"/>
    </row>
    <row r="640" spans="1:3" ht="14.25" customHeight="1" x14ac:dyDescent="0.25">
      <c r="A640" s="2"/>
      <c r="B640" s="2"/>
      <c r="C640" s="2"/>
    </row>
    <row r="641" spans="1:3" ht="14.25" customHeight="1" x14ac:dyDescent="0.25">
      <c r="A641" s="2"/>
      <c r="B641" s="2"/>
      <c r="C641" s="2"/>
    </row>
    <row r="642" spans="1:3" ht="14.25" customHeight="1" x14ac:dyDescent="0.25">
      <c r="A642" s="2"/>
      <c r="B642" s="2"/>
      <c r="C642" s="2"/>
    </row>
    <row r="643" spans="1:3" ht="14.25" customHeight="1" x14ac:dyDescent="0.25">
      <c r="A643" s="2"/>
      <c r="B643" s="2"/>
      <c r="C643" s="2"/>
    </row>
    <row r="644" spans="1:3" ht="14.25" customHeight="1" x14ac:dyDescent="0.25">
      <c r="A644" s="2"/>
      <c r="B644" s="2"/>
      <c r="C644" s="2"/>
    </row>
    <row r="645" spans="1:3" ht="14.25" customHeight="1" x14ac:dyDescent="0.25">
      <c r="A645" s="2"/>
      <c r="B645" s="2"/>
      <c r="C645" s="2"/>
    </row>
    <row r="646" spans="1:3" ht="14.25" customHeight="1" x14ac:dyDescent="0.25">
      <c r="A646" s="2"/>
      <c r="B646" s="2"/>
      <c r="C646" s="2"/>
    </row>
    <row r="647" spans="1:3" ht="14.25" customHeight="1" x14ac:dyDescent="0.25">
      <c r="A647" s="2"/>
      <c r="B647" s="2"/>
      <c r="C647" s="2"/>
    </row>
    <row r="648" spans="1:3" ht="14.25" customHeight="1" x14ac:dyDescent="0.25">
      <c r="A648" s="2"/>
      <c r="B648" s="2"/>
      <c r="C648" s="2"/>
    </row>
    <row r="649" spans="1:3" ht="14.25" customHeight="1" x14ac:dyDescent="0.25">
      <c r="A649" s="2"/>
      <c r="B649" s="2"/>
      <c r="C649" s="2"/>
    </row>
    <row r="650" spans="1:3" ht="14.25" customHeight="1" x14ac:dyDescent="0.25">
      <c r="A650" s="2"/>
      <c r="B650" s="2"/>
      <c r="C650" s="2"/>
    </row>
    <row r="651" spans="1:3" ht="14.25" customHeight="1" x14ac:dyDescent="0.25">
      <c r="A651" s="2"/>
      <c r="B651" s="2"/>
      <c r="C651" s="2"/>
    </row>
    <row r="652" spans="1:3" ht="14.25" customHeight="1" x14ac:dyDescent="0.25">
      <c r="A652" s="2"/>
      <c r="B652" s="2"/>
      <c r="C652" s="2"/>
    </row>
    <row r="653" spans="1:3" ht="14.25" customHeight="1" x14ac:dyDescent="0.25">
      <c r="A653" s="2"/>
      <c r="B653" s="2"/>
      <c r="C653" s="2"/>
    </row>
    <row r="654" spans="1:3" ht="14.25" customHeight="1" x14ac:dyDescent="0.25">
      <c r="A654" s="2"/>
      <c r="B654" s="2"/>
      <c r="C654" s="2"/>
    </row>
    <row r="655" spans="1:3" ht="14.25" customHeight="1" x14ac:dyDescent="0.25">
      <c r="A655" s="2"/>
      <c r="B655" s="2"/>
      <c r="C655" s="2"/>
    </row>
    <row r="656" spans="1:3" ht="14.25" customHeight="1" x14ac:dyDescent="0.25">
      <c r="A656" s="2"/>
      <c r="B656" s="2"/>
      <c r="C656" s="2"/>
    </row>
    <row r="657" spans="1:3" ht="14.25" customHeight="1" x14ac:dyDescent="0.25">
      <c r="A657" s="2"/>
      <c r="B657" s="2"/>
      <c r="C657" s="2"/>
    </row>
    <row r="658" spans="1:3" ht="14.25" customHeight="1" x14ac:dyDescent="0.25">
      <c r="A658" s="2"/>
      <c r="B658" s="2"/>
      <c r="C658" s="2"/>
    </row>
    <row r="659" spans="1:3" ht="14.25" customHeight="1" x14ac:dyDescent="0.25">
      <c r="A659" s="2"/>
      <c r="B659" s="2"/>
      <c r="C659" s="2"/>
    </row>
    <row r="660" spans="1:3" ht="14.25" customHeight="1" x14ac:dyDescent="0.25">
      <c r="A660" s="2"/>
      <c r="B660" s="2"/>
      <c r="C660" s="2"/>
    </row>
    <row r="661" spans="1:3" ht="14.25" customHeight="1" x14ac:dyDescent="0.25">
      <c r="A661" s="2"/>
      <c r="B661" s="2"/>
      <c r="C661" s="2"/>
    </row>
    <row r="662" spans="1:3" ht="14.25" customHeight="1" x14ac:dyDescent="0.25">
      <c r="A662" s="2"/>
      <c r="B662" s="2"/>
      <c r="C662" s="2"/>
    </row>
    <row r="663" spans="1:3" ht="14.25" customHeight="1" x14ac:dyDescent="0.25">
      <c r="A663" s="2"/>
      <c r="B663" s="2"/>
      <c r="C663" s="2"/>
    </row>
    <row r="664" spans="1:3" ht="14.25" customHeight="1" x14ac:dyDescent="0.25">
      <c r="A664" s="2"/>
      <c r="B664" s="2"/>
      <c r="C664" s="2"/>
    </row>
    <row r="665" spans="1:3" ht="14.25" customHeight="1" x14ac:dyDescent="0.25">
      <c r="A665" s="2"/>
      <c r="B665" s="2"/>
      <c r="C665" s="2"/>
    </row>
    <row r="666" spans="1:3" ht="14.25" customHeight="1" x14ac:dyDescent="0.25">
      <c r="A666" s="2"/>
      <c r="B666" s="2"/>
      <c r="C666" s="2"/>
    </row>
    <row r="667" spans="1:3" ht="14.25" customHeight="1" x14ac:dyDescent="0.25">
      <c r="A667" s="2"/>
      <c r="B667" s="2"/>
      <c r="C667" s="2"/>
    </row>
    <row r="668" spans="1:3" ht="14.25" customHeight="1" x14ac:dyDescent="0.25">
      <c r="A668" s="2"/>
      <c r="B668" s="2"/>
      <c r="C668" s="2"/>
    </row>
    <row r="669" spans="1:3" ht="14.25" customHeight="1" x14ac:dyDescent="0.25">
      <c r="A669" s="2"/>
      <c r="B669" s="2"/>
      <c r="C669" s="2"/>
    </row>
    <row r="670" spans="1:3" ht="14.25" customHeight="1" x14ac:dyDescent="0.25">
      <c r="A670" s="2"/>
      <c r="B670" s="2"/>
      <c r="C670" s="2"/>
    </row>
    <row r="671" spans="1:3" ht="14.25" customHeight="1" x14ac:dyDescent="0.25">
      <c r="A671" s="2"/>
      <c r="B671" s="2"/>
      <c r="C671" s="2"/>
    </row>
    <row r="672" spans="1:3" ht="14.25" customHeight="1" x14ac:dyDescent="0.25">
      <c r="A672" s="2"/>
      <c r="B672" s="2"/>
      <c r="C672" s="2"/>
    </row>
    <row r="673" spans="1:3" ht="14.25" customHeight="1" x14ac:dyDescent="0.25">
      <c r="A673" s="2"/>
      <c r="B673" s="2"/>
      <c r="C673" s="2"/>
    </row>
    <row r="674" spans="1:3" ht="14.25" customHeight="1" x14ac:dyDescent="0.25">
      <c r="A674" s="2"/>
      <c r="B674" s="2"/>
      <c r="C674" s="2"/>
    </row>
    <row r="675" spans="1:3" ht="14.25" customHeight="1" x14ac:dyDescent="0.25">
      <c r="A675" s="2"/>
      <c r="B675" s="2"/>
      <c r="C675" s="2"/>
    </row>
    <row r="676" spans="1:3" ht="14.25" customHeight="1" x14ac:dyDescent="0.25">
      <c r="A676" s="2"/>
      <c r="B676" s="2"/>
      <c r="C676" s="2"/>
    </row>
    <row r="677" spans="1:3" ht="14.25" customHeight="1" x14ac:dyDescent="0.25">
      <c r="A677" s="2"/>
      <c r="B677" s="2"/>
      <c r="C677" s="2"/>
    </row>
    <row r="678" spans="1:3" ht="14.25" customHeight="1" x14ac:dyDescent="0.25">
      <c r="A678" s="2"/>
      <c r="B678" s="2"/>
      <c r="C678" s="2"/>
    </row>
    <row r="679" spans="1:3" ht="14.25" customHeight="1" x14ac:dyDescent="0.25">
      <c r="A679" s="2"/>
      <c r="B679" s="2"/>
      <c r="C679" s="2"/>
    </row>
    <row r="680" spans="1:3" ht="14.25" customHeight="1" x14ac:dyDescent="0.25">
      <c r="A680" s="2"/>
      <c r="B680" s="2"/>
      <c r="C680" s="2"/>
    </row>
    <row r="681" spans="1:3" ht="14.25" customHeight="1" x14ac:dyDescent="0.25">
      <c r="A681" s="2"/>
      <c r="B681" s="2"/>
      <c r="C681" s="2"/>
    </row>
    <row r="682" spans="1:3" ht="14.25" customHeight="1" x14ac:dyDescent="0.25">
      <c r="A682" s="2"/>
      <c r="B682" s="2"/>
      <c r="C682" s="2"/>
    </row>
    <row r="683" spans="1:3" ht="14.25" customHeight="1" x14ac:dyDescent="0.25">
      <c r="A683" s="2"/>
      <c r="B683" s="2"/>
      <c r="C683" s="2"/>
    </row>
    <row r="684" spans="1:3" ht="14.25" customHeight="1" x14ac:dyDescent="0.25">
      <c r="A684" s="2"/>
      <c r="B684" s="2"/>
      <c r="C684" s="2"/>
    </row>
    <row r="685" spans="1:3" ht="14.25" customHeight="1" x14ac:dyDescent="0.25">
      <c r="A685" s="2"/>
      <c r="B685" s="2"/>
      <c r="C685" s="2"/>
    </row>
    <row r="686" spans="1:3" ht="14.25" customHeight="1" x14ac:dyDescent="0.25">
      <c r="A686" s="2"/>
      <c r="B686" s="2"/>
      <c r="C686" s="2"/>
    </row>
    <row r="687" spans="1:3" ht="14.25" customHeight="1" x14ac:dyDescent="0.25">
      <c r="A687" s="2"/>
      <c r="B687" s="2"/>
      <c r="C687" s="2"/>
    </row>
    <row r="688" spans="1:3" ht="14.25" customHeight="1" x14ac:dyDescent="0.25">
      <c r="A688" s="2"/>
      <c r="B688" s="2"/>
      <c r="C688" s="2"/>
    </row>
    <row r="689" spans="1:3" ht="14.25" customHeight="1" x14ac:dyDescent="0.25">
      <c r="A689" s="2"/>
      <c r="B689" s="2"/>
      <c r="C689" s="2"/>
    </row>
    <row r="690" spans="1:3" ht="14.25" customHeight="1" x14ac:dyDescent="0.25">
      <c r="A690" s="2"/>
      <c r="B690" s="2"/>
      <c r="C690" s="2"/>
    </row>
    <row r="691" spans="1:3" ht="14.25" customHeight="1" x14ac:dyDescent="0.25">
      <c r="A691" s="2"/>
      <c r="B691" s="2"/>
      <c r="C691" s="2"/>
    </row>
    <row r="692" spans="1:3" ht="14.25" customHeight="1" x14ac:dyDescent="0.25">
      <c r="A692" s="2"/>
      <c r="B692" s="2"/>
      <c r="C692" s="2"/>
    </row>
    <row r="693" spans="1:3" ht="14.25" customHeight="1" x14ac:dyDescent="0.25">
      <c r="A693" s="2"/>
      <c r="B693" s="2"/>
      <c r="C693" s="2"/>
    </row>
    <row r="694" spans="1:3" ht="14.25" customHeight="1" x14ac:dyDescent="0.25">
      <c r="A694" s="2"/>
      <c r="B694" s="2"/>
      <c r="C694" s="2"/>
    </row>
    <row r="695" spans="1:3" ht="14.25" customHeight="1" x14ac:dyDescent="0.25">
      <c r="A695" s="2"/>
      <c r="B695" s="2"/>
      <c r="C695" s="2"/>
    </row>
    <row r="696" spans="1:3" ht="14.25" customHeight="1" x14ac:dyDescent="0.25">
      <c r="A696" s="2"/>
      <c r="B696" s="2"/>
      <c r="C696" s="2"/>
    </row>
    <row r="697" spans="1:3" ht="14.25" customHeight="1" x14ac:dyDescent="0.25">
      <c r="A697" s="2"/>
      <c r="B697" s="2"/>
      <c r="C697" s="2"/>
    </row>
    <row r="698" spans="1:3" ht="14.25" customHeight="1" x14ac:dyDescent="0.25">
      <c r="A698" s="2"/>
      <c r="B698" s="2"/>
      <c r="C698" s="2"/>
    </row>
    <row r="699" spans="1:3" ht="14.25" customHeight="1" x14ac:dyDescent="0.25">
      <c r="A699" s="2"/>
      <c r="B699" s="2"/>
      <c r="C699" s="2"/>
    </row>
    <row r="700" spans="1:3" ht="14.25" customHeight="1" x14ac:dyDescent="0.25">
      <c r="A700" s="2"/>
      <c r="B700" s="2"/>
      <c r="C700" s="2"/>
    </row>
    <row r="701" spans="1:3" ht="14.25" customHeight="1" x14ac:dyDescent="0.25">
      <c r="A701" s="2"/>
      <c r="B701" s="2"/>
      <c r="C701" s="2"/>
    </row>
    <row r="702" spans="1:3" ht="14.25" customHeight="1" x14ac:dyDescent="0.25">
      <c r="A702" s="2"/>
      <c r="B702" s="2"/>
      <c r="C702" s="2"/>
    </row>
    <row r="703" spans="1:3" ht="14.25" customHeight="1" x14ac:dyDescent="0.25">
      <c r="A703" s="2"/>
      <c r="B703" s="2"/>
      <c r="C703" s="2"/>
    </row>
    <row r="704" spans="1:3" ht="14.25" customHeight="1" x14ac:dyDescent="0.25">
      <c r="A704" s="2"/>
      <c r="B704" s="2"/>
      <c r="C704" s="2"/>
    </row>
    <row r="705" spans="1:3" ht="14.25" customHeight="1" x14ac:dyDescent="0.25">
      <c r="A705" s="2"/>
      <c r="B705" s="2"/>
      <c r="C705" s="2"/>
    </row>
    <row r="706" spans="1:3" ht="14.25" customHeight="1" x14ac:dyDescent="0.25">
      <c r="A706" s="2"/>
      <c r="B706" s="2"/>
      <c r="C706" s="2"/>
    </row>
    <row r="707" spans="1:3" ht="14.25" customHeight="1" x14ac:dyDescent="0.25">
      <c r="A707" s="2"/>
      <c r="B707" s="2"/>
      <c r="C707" s="2"/>
    </row>
    <row r="708" spans="1:3" ht="14.25" customHeight="1" x14ac:dyDescent="0.25">
      <c r="A708" s="2"/>
      <c r="B708" s="2"/>
      <c r="C708" s="2"/>
    </row>
    <row r="709" spans="1:3" ht="14.25" customHeight="1" x14ac:dyDescent="0.25">
      <c r="A709" s="2"/>
      <c r="B709" s="2"/>
      <c r="C709" s="2"/>
    </row>
    <row r="710" spans="1:3" ht="14.25" customHeight="1" x14ac:dyDescent="0.25">
      <c r="A710" s="2"/>
      <c r="B710" s="2"/>
      <c r="C710" s="2"/>
    </row>
    <row r="711" spans="1:3" ht="14.25" customHeight="1" x14ac:dyDescent="0.25">
      <c r="A711" s="2"/>
      <c r="B711" s="2"/>
      <c r="C711" s="2"/>
    </row>
    <row r="712" spans="1:3" ht="14.25" customHeight="1" x14ac:dyDescent="0.25">
      <c r="A712" s="2"/>
      <c r="B712" s="2"/>
      <c r="C712" s="2"/>
    </row>
    <row r="713" spans="1:3" ht="14.25" customHeight="1" x14ac:dyDescent="0.25">
      <c r="A713" s="2"/>
      <c r="B713" s="2"/>
      <c r="C713" s="2"/>
    </row>
    <row r="714" spans="1:3" ht="14.25" customHeight="1" x14ac:dyDescent="0.25">
      <c r="A714" s="2"/>
      <c r="B714" s="2"/>
      <c r="C714" s="2"/>
    </row>
    <row r="715" spans="1:3" ht="14.25" customHeight="1" x14ac:dyDescent="0.25">
      <c r="A715" s="2"/>
      <c r="B715" s="2"/>
      <c r="C715" s="2"/>
    </row>
    <row r="716" spans="1:3" ht="14.25" customHeight="1" x14ac:dyDescent="0.25">
      <c r="A716" s="2"/>
      <c r="B716" s="2"/>
      <c r="C716" s="2"/>
    </row>
    <row r="717" spans="1:3" ht="14.25" customHeight="1" x14ac:dyDescent="0.25">
      <c r="A717" s="2"/>
      <c r="B717" s="2"/>
      <c r="C717" s="2"/>
    </row>
    <row r="718" spans="1:3" ht="14.25" customHeight="1" x14ac:dyDescent="0.25">
      <c r="A718" s="2"/>
      <c r="B718" s="2"/>
      <c r="C718" s="2"/>
    </row>
    <row r="719" spans="1:3" ht="14.25" customHeight="1" x14ac:dyDescent="0.25">
      <c r="A719" s="2"/>
      <c r="B719" s="2"/>
      <c r="C719" s="2"/>
    </row>
    <row r="720" spans="1:3" ht="14.25" customHeight="1" x14ac:dyDescent="0.25">
      <c r="A720" s="2"/>
      <c r="B720" s="2"/>
      <c r="C720" s="2"/>
    </row>
    <row r="721" spans="1:3" ht="14.25" customHeight="1" x14ac:dyDescent="0.25">
      <c r="A721" s="2"/>
      <c r="B721" s="2"/>
      <c r="C721" s="2"/>
    </row>
    <row r="722" spans="1:3" ht="14.25" customHeight="1" x14ac:dyDescent="0.25">
      <c r="A722" s="2"/>
      <c r="B722" s="2"/>
      <c r="C722" s="2"/>
    </row>
    <row r="723" spans="1:3" ht="14.25" customHeight="1" x14ac:dyDescent="0.25">
      <c r="A723" s="2"/>
      <c r="B723" s="2"/>
      <c r="C723" s="2"/>
    </row>
    <row r="724" spans="1:3" ht="14.25" customHeight="1" x14ac:dyDescent="0.25">
      <c r="A724" s="2"/>
      <c r="B724" s="2"/>
      <c r="C724" s="2"/>
    </row>
    <row r="725" spans="1:3" ht="14.25" customHeight="1" x14ac:dyDescent="0.25">
      <c r="A725" s="2"/>
      <c r="B725" s="2"/>
      <c r="C725" s="2"/>
    </row>
    <row r="726" spans="1:3" ht="14.25" customHeight="1" x14ac:dyDescent="0.25">
      <c r="A726" s="2"/>
      <c r="B726" s="2"/>
      <c r="C726" s="2"/>
    </row>
    <row r="727" spans="1:3" ht="14.25" customHeight="1" x14ac:dyDescent="0.25">
      <c r="A727" s="2"/>
      <c r="B727" s="2"/>
      <c r="C727" s="2"/>
    </row>
    <row r="728" spans="1:3" ht="14.25" customHeight="1" x14ac:dyDescent="0.25">
      <c r="A728" s="2"/>
      <c r="B728" s="2"/>
      <c r="C728" s="2"/>
    </row>
    <row r="729" spans="1:3" ht="14.25" customHeight="1" x14ac:dyDescent="0.25">
      <c r="A729" s="2"/>
      <c r="B729" s="2"/>
      <c r="C729" s="2"/>
    </row>
    <row r="730" spans="1:3" ht="14.25" customHeight="1" x14ac:dyDescent="0.25">
      <c r="A730" s="2"/>
      <c r="B730" s="2"/>
      <c r="C730" s="2"/>
    </row>
    <row r="731" spans="1:3" ht="14.25" customHeight="1" x14ac:dyDescent="0.25">
      <c r="A731" s="2"/>
      <c r="B731" s="2"/>
      <c r="C731" s="2"/>
    </row>
    <row r="732" spans="1:3" ht="14.25" customHeight="1" x14ac:dyDescent="0.25">
      <c r="A732" s="2"/>
      <c r="B732" s="2"/>
      <c r="C732" s="2"/>
    </row>
    <row r="733" spans="1:3" ht="14.25" customHeight="1" x14ac:dyDescent="0.25">
      <c r="A733" s="2"/>
      <c r="B733" s="2"/>
      <c r="C733" s="2"/>
    </row>
    <row r="734" spans="1:3" ht="14.25" customHeight="1" x14ac:dyDescent="0.25">
      <c r="A734" s="2"/>
      <c r="B734" s="2"/>
      <c r="C734" s="2"/>
    </row>
    <row r="735" spans="1:3" ht="14.25" customHeight="1" x14ac:dyDescent="0.25">
      <c r="A735" s="2"/>
      <c r="B735" s="2"/>
      <c r="C735" s="2"/>
    </row>
    <row r="736" spans="1:3" ht="14.25" customHeight="1" x14ac:dyDescent="0.25">
      <c r="A736" s="2"/>
      <c r="B736" s="2"/>
      <c r="C736" s="2"/>
    </row>
    <row r="737" spans="1:3" ht="14.25" customHeight="1" x14ac:dyDescent="0.25">
      <c r="A737" s="2"/>
      <c r="B737" s="2"/>
      <c r="C737" s="2"/>
    </row>
    <row r="738" spans="1:3" ht="14.25" customHeight="1" x14ac:dyDescent="0.25">
      <c r="A738" s="2"/>
      <c r="B738" s="2"/>
      <c r="C738" s="2"/>
    </row>
    <row r="739" spans="1:3" ht="14.25" customHeight="1" x14ac:dyDescent="0.25">
      <c r="A739" s="2"/>
      <c r="B739" s="2"/>
      <c r="C739" s="2"/>
    </row>
    <row r="740" spans="1:3" ht="14.25" customHeight="1" x14ac:dyDescent="0.25">
      <c r="A740" s="2"/>
      <c r="B740" s="2"/>
      <c r="C740" s="2"/>
    </row>
    <row r="741" spans="1:3" ht="14.25" customHeight="1" x14ac:dyDescent="0.25">
      <c r="A741" s="2"/>
      <c r="B741" s="2"/>
      <c r="C741" s="2"/>
    </row>
    <row r="742" spans="1:3" ht="14.25" customHeight="1" x14ac:dyDescent="0.25">
      <c r="A742" s="2"/>
      <c r="B742" s="2"/>
      <c r="C742" s="2"/>
    </row>
    <row r="743" spans="1:3" ht="14.25" customHeight="1" x14ac:dyDescent="0.25">
      <c r="A743" s="2"/>
      <c r="B743" s="2"/>
      <c r="C743" s="2"/>
    </row>
    <row r="744" spans="1:3" ht="14.25" customHeight="1" x14ac:dyDescent="0.25">
      <c r="A744" s="2"/>
      <c r="B744" s="2"/>
      <c r="C744" s="2"/>
    </row>
    <row r="745" spans="1:3" ht="14.25" customHeight="1" x14ac:dyDescent="0.25">
      <c r="A745" s="2"/>
      <c r="B745" s="2"/>
      <c r="C745" s="2"/>
    </row>
    <row r="746" spans="1:3" ht="14.25" customHeight="1" x14ac:dyDescent="0.25">
      <c r="A746" s="2"/>
      <c r="B746" s="2"/>
      <c r="C746" s="2"/>
    </row>
    <row r="747" spans="1:3" ht="14.25" customHeight="1" x14ac:dyDescent="0.25">
      <c r="A747" s="2"/>
      <c r="B747" s="2"/>
      <c r="C747" s="2"/>
    </row>
    <row r="748" spans="1:3" ht="14.25" customHeight="1" x14ac:dyDescent="0.25">
      <c r="A748" s="2"/>
      <c r="B748" s="2"/>
      <c r="C748" s="2"/>
    </row>
    <row r="749" spans="1:3" ht="14.25" customHeight="1" x14ac:dyDescent="0.25">
      <c r="A749" s="2"/>
      <c r="B749" s="2"/>
      <c r="C749" s="2"/>
    </row>
    <row r="750" spans="1:3" ht="14.25" customHeight="1" x14ac:dyDescent="0.25">
      <c r="A750" s="2"/>
      <c r="B750" s="2"/>
      <c r="C750" s="2"/>
    </row>
    <row r="751" spans="1:3" ht="14.25" customHeight="1" x14ac:dyDescent="0.25">
      <c r="A751" s="2"/>
      <c r="B751" s="2"/>
      <c r="C751" s="2"/>
    </row>
    <row r="752" spans="1:3" ht="14.25" customHeight="1" x14ac:dyDescent="0.25">
      <c r="A752" s="2"/>
      <c r="B752" s="2"/>
      <c r="C752" s="2"/>
    </row>
    <row r="753" spans="1:3" ht="14.25" customHeight="1" x14ac:dyDescent="0.25">
      <c r="A753" s="2"/>
      <c r="B753" s="2"/>
      <c r="C753" s="2"/>
    </row>
    <row r="754" spans="1:3" ht="14.25" customHeight="1" x14ac:dyDescent="0.25">
      <c r="A754" s="2"/>
      <c r="B754" s="2"/>
      <c r="C754" s="2"/>
    </row>
    <row r="755" spans="1:3" ht="14.25" customHeight="1" x14ac:dyDescent="0.25">
      <c r="A755" s="2"/>
      <c r="B755" s="2"/>
      <c r="C755" s="2"/>
    </row>
    <row r="756" spans="1:3" ht="14.25" customHeight="1" x14ac:dyDescent="0.25">
      <c r="A756" s="2"/>
      <c r="B756" s="2"/>
      <c r="C756" s="2"/>
    </row>
    <row r="757" spans="1:3" ht="14.25" customHeight="1" x14ac:dyDescent="0.25">
      <c r="A757" s="2"/>
      <c r="B757" s="2"/>
      <c r="C757" s="2"/>
    </row>
    <row r="758" spans="1:3" ht="14.25" customHeight="1" x14ac:dyDescent="0.25">
      <c r="A758" s="2"/>
      <c r="B758" s="2"/>
      <c r="C758" s="2"/>
    </row>
    <row r="759" spans="1:3" ht="14.25" customHeight="1" x14ac:dyDescent="0.25">
      <c r="A759" s="2"/>
      <c r="B759" s="2"/>
      <c r="C759" s="2"/>
    </row>
    <row r="760" spans="1:3" ht="14.25" customHeight="1" x14ac:dyDescent="0.25">
      <c r="A760" s="2"/>
      <c r="B760" s="2"/>
      <c r="C760" s="2"/>
    </row>
    <row r="761" spans="1:3" ht="14.25" customHeight="1" x14ac:dyDescent="0.25">
      <c r="A761" s="2"/>
      <c r="B761" s="2"/>
      <c r="C761" s="2"/>
    </row>
    <row r="762" spans="1:3" ht="14.25" customHeight="1" x14ac:dyDescent="0.25">
      <c r="A762" s="2"/>
      <c r="B762" s="2"/>
      <c r="C762" s="2"/>
    </row>
    <row r="763" spans="1:3" ht="14.25" customHeight="1" x14ac:dyDescent="0.25">
      <c r="A763" s="2"/>
      <c r="B763" s="2"/>
      <c r="C763" s="2"/>
    </row>
    <row r="764" spans="1:3" ht="14.25" customHeight="1" x14ac:dyDescent="0.25">
      <c r="A764" s="2"/>
      <c r="B764" s="2"/>
      <c r="C764" s="2"/>
    </row>
    <row r="765" spans="1:3" ht="14.25" customHeight="1" x14ac:dyDescent="0.25">
      <c r="A765" s="2"/>
      <c r="B765" s="2"/>
      <c r="C765" s="2"/>
    </row>
    <row r="766" spans="1:3" ht="14.25" customHeight="1" x14ac:dyDescent="0.25">
      <c r="A766" s="2"/>
      <c r="B766" s="2"/>
      <c r="C766" s="2"/>
    </row>
    <row r="767" spans="1:3" ht="14.25" customHeight="1" x14ac:dyDescent="0.25">
      <c r="A767" s="2"/>
      <c r="B767" s="2"/>
      <c r="C767" s="2"/>
    </row>
    <row r="768" spans="1:3" ht="14.25" customHeight="1" x14ac:dyDescent="0.25">
      <c r="A768" s="2"/>
      <c r="B768" s="2"/>
      <c r="C768" s="2"/>
    </row>
    <row r="769" spans="1:3" ht="14.25" customHeight="1" x14ac:dyDescent="0.25">
      <c r="A769" s="2"/>
      <c r="B769" s="2"/>
      <c r="C769" s="2"/>
    </row>
    <row r="770" spans="1:3" ht="14.25" customHeight="1" x14ac:dyDescent="0.25">
      <c r="A770" s="2"/>
      <c r="B770" s="2"/>
      <c r="C770" s="2"/>
    </row>
    <row r="771" spans="1:3" ht="14.25" customHeight="1" x14ac:dyDescent="0.25">
      <c r="A771" s="2"/>
      <c r="B771" s="2"/>
      <c r="C771" s="2"/>
    </row>
    <row r="772" spans="1:3" ht="14.25" customHeight="1" x14ac:dyDescent="0.25">
      <c r="A772" s="2"/>
      <c r="B772" s="2"/>
      <c r="C772" s="2"/>
    </row>
    <row r="773" spans="1:3" ht="14.25" customHeight="1" x14ac:dyDescent="0.25">
      <c r="A773" s="2"/>
      <c r="B773" s="2"/>
      <c r="C773" s="2"/>
    </row>
    <row r="774" spans="1:3" ht="14.25" customHeight="1" x14ac:dyDescent="0.25">
      <c r="A774" s="2"/>
      <c r="B774" s="2"/>
      <c r="C774" s="2"/>
    </row>
    <row r="775" spans="1:3" ht="14.25" customHeight="1" x14ac:dyDescent="0.25">
      <c r="A775" s="2"/>
      <c r="B775" s="2"/>
      <c r="C775" s="2"/>
    </row>
    <row r="776" spans="1:3" ht="14.25" customHeight="1" x14ac:dyDescent="0.25">
      <c r="A776" s="2"/>
      <c r="B776" s="2"/>
      <c r="C776" s="2"/>
    </row>
    <row r="777" spans="1:3" ht="14.25" customHeight="1" x14ac:dyDescent="0.25">
      <c r="A777" s="2"/>
      <c r="B777" s="2"/>
      <c r="C777" s="2"/>
    </row>
    <row r="778" spans="1:3" ht="14.25" customHeight="1" x14ac:dyDescent="0.25">
      <c r="A778" s="2"/>
      <c r="B778" s="2"/>
      <c r="C778" s="2"/>
    </row>
    <row r="779" spans="1:3" ht="14.25" customHeight="1" x14ac:dyDescent="0.25">
      <c r="A779" s="2"/>
      <c r="B779" s="2"/>
      <c r="C779" s="2"/>
    </row>
    <row r="780" spans="1:3" ht="14.25" customHeight="1" x14ac:dyDescent="0.25">
      <c r="A780" s="2"/>
      <c r="B780" s="2"/>
      <c r="C780" s="2"/>
    </row>
    <row r="781" spans="1:3" ht="14.25" customHeight="1" x14ac:dyDescent="0.25">
      <c r="A781" s="2"/>
      <c r="B781" s="2"/>
      <c r="C781" s="2"/>
    </row>
    <row r="782" spans="1:3" ht="14.25" customHeight="1" x14ac:dyDescent="0.25">
      <c r="A782" s="2"/>
      <c r="B782" s="2"/>
      <c r="C782" s="2"/>
    </row>
    <row r="783" spans="1:3" ht="14.25" customHeight="1" x14ac:dyDescent="0.25">
      <c r="A783" s="2"/>
      <c r="B783" s="2"/>
      <c r="C783" s="2"/>
    </row>
    <row r="784" spans="1:3" ht="14.25" customHeight="1" x14ac:dyDescent="0.25">
      <c r="A784" s="2"/>
      <c r="B784" s="2"/>
      <c r="C784" s="2"/>
    </row>
    <row r="785" spans="1:3" ht="14.25" customHeight="1" x14ac:dyDescent="0.25">
      <c r="A785" s="2"/>
      <c r="B785" s="2"/>
      <c r="C785" s="2"/>
    </row>
    <row r="786" spans="1:3" ht="14.25" customHeight="1" x14ac:dyDescent="0.25">
      <c r="A786" s="2"/>
      <c r="B786" s="2"/>
      <c r="C786" s="2"/>
    </row>
    <row r="787" spans="1:3" ht="14.25" customHeight="1" x14ac:dyDescent="0.25">
      <c r="A787" s="2"/>
      <c r="B787" s="2"/>
      <c r="C787" s="2"/>
    </row>
    <row r="788" spans="1:3" ht="14.25" customHeight="1" x14ac:dyDescent="0.25">
      <c r="A788" s="2"/>
      <c r="B788" s="2"/>
      <c r="C788" s="2"/>
    </row>
    <row r="789" spans="1:3" ht="14.25" customHeight="1" x14ac:dyDescent="0.25">
      <c r="A789" s="2"/>
      <c r="B789" s="2"/>
      <c r="C789" s="2"/>
    </row>
    <row r="790" spans="1:3" ht="14.25" customHeight="1" x14ac:dyDescent="0.25">
      <c r="A790" s="2"/>
      <c r="B790" s="2"/>
      <c r="C790" s="2"/>
    </row>
    <row r="791" spans="1:3" ht="14.25" customHeight="1" x14ac:dyDescent="0.25">
      <c r="A791" s="2"/>
      <c r="B791" s="2"/>
      <c r="C791" s="2"/>
    </row>
    <row r="792" spans="1:3" ht="14.25" customHeight="1" x14ac:dyDescent="0.25">
      <c r="A792" s="2"/>
      <c r="B792" s="2"/>
      <c r="C792" s="2"/>
    </row>
    <row r="793" spans="1:3" ht="14.25" customHeight="1" x14ac:dyDescent="0.25">
      <c r="A793" s="2"/>
      <c r="B793" s="2"/>
      <c r="C793" s="2"/>
    </row>
    <row r="794" spans="1:3" ht="14.25" customHeight="1" x14ac:dyDescent="0.25">
      <c r="A794" s="2"/>
      <c r="B794" s="2"/>
      <c r="C794" s="2"/>
    </row>
    <row r="795" spans="1:3" ht="14.25" customHeight="1" x14ac:dyDescent="0.25">
      <c r="A795" s="2"/>
      <c r="B795" s="2"/>
      <c r="C795" s="2"/>
    </row>
    <row r="796" spans="1:3" ht="14.25" customHeight="1" x14ac:dyDescent="0.25">
      <c r="A796" s="2"/>
      <c r="B796" s="2"/>
      <c r="C796" s="2"/>
    </row>
    <row r="797" spans="1:3" ht="14.25" customHeight="1" x14ac:dyDescent="0.25">
      <c r="A797" s="2"/>
      <c r="B797" s="2"/>
      <c r="C797" s="2"/>
    </row>
    <row r="798" spans="1:3" ht="14.25" customHeight="1" x14ac:dyDescent="0.25">
      <c r="A798" s="2"/>
      <c r="B798" s="2"/>
      <c r="C798" s="2"/>
    </row>
    <row r="799" spans="1:3" ht="14.25" customHeight="1" x14ac:dyDescent="0.25">
      <c r="A799" s="2"/>
      <c r="B799" s="2"/>
      <c r="C799" s="2"/>
    </row>
    <row r="800" spans="1:3" ht="14.25" customHeight="1" x14ac:dyDescent="0.25">
      <c r="A800" s="2"/>
      <c r="B800" s="2"/>
      <c r="C800" s="2"/>
    </row>
    <row r="801" spans="1:3" ht="14.25" customHeight="1" x14ac:dyDescent="0.25">
      <c r="A801" s="2"/>
      <c r="B801" s="2"/>
      <c r="C801" s="2"/>
    </row>
    <row r="802" spans="1:3" ht="14.25" customHeight="1" x14ac:dyDescent="0.25">
      <c r="A802" s="2"/>
      <c r="B802" s="2"/>
      <c r="C802" s="2"/>
    </row>
    <row r="803" spans="1:3" ht="14.25" customHeight="1" x14ac:dyDescent="0.25">
      <c r="A803" s="2"/>
      <c r="B803" s="2"/>
      <c r="C803" s="2"/>
    </row>
    <row r="804" spans="1:3" ht="14.25" customHeight="1" x14ac:dyDescent="0.25">
      <c r="A804" s="2"/>
      <c r="B804" s="2"/>
      <c r="C804" s="2"/>
    </row>
    <row r="805" spans="1:3" ht="14.25" customHeight="1" x14ac:dyDescent="0.25">
      <c r="A805" s="2"/>
      <c r="B805" s="2"/>
      <c r="C805" s="2"/>
    </row>
    <row r="806" spans="1:3" ht="14.25" customHeight="1" x14ac:dyDescent="0.25">
      <c r="A806" s="2"/>
      <c r="B806" s="2"/>
      <c r="C806" s="2"/>
    </row>
    <row r="807" spans="1:3" ht="14.25" customHeight="1" x14ac:dyDescent="0.25">
      <c r="A807" s="2"/>
      <c r="B807" s="2"/>
      <c r="C807" s="2"/>
    </row>
    <row r="808" spans="1:3" ht="14.25" customHeight="1" x14ac:dyDescent="0.25">
      <c r="A808" s="2"/>
      <c r="B808" s="2"/>
      <c r="C808" s="2"/>
    </row>
    <row r="809" spans="1:3" ht="14.25" customHeight="1" x14ac:dyDescent="0.25">
      <c r="A809" s="2"/>
      <c r="B809" s="2"/>
      <c r="C809" s="2"/>
    </row>
    <row r="810" spans="1:3" ht="14.25" customHeight="1" x14ac:dyDescent="0.25">
      <c r="A810" s="2"/>
      <c r="B810" s="2"/>
      <c r="C810" s="2"/>
    </row>
    <row r="811" spans="1:3" ht="14.25" customHeight="1" x14ac:dyDescent="0.25">
      <c r="A811" s="2"/>
      <c r="B811" s="2"/>
      <c r="C811" s="2"/>
    </row>
    <row r="812" spans="1:3" ht="14.25" customHeight="1" x14ac:dyDescent="0.25">
      <c r="A812" s="2"/>
      <c r="B812" s="2"/>
      <c r="C812" s="2"/>
    </row>
    <row r="813" spans="1:3" ht="14.25" customHeight="1" x14ac:dyDescent="0.25">
      <c r="A813" s="2"/>
      <c r="B813" s="2"/>
      <c r="C813" s="2"/>
    </row>
    <row r="814" spans="1:3" ht="14.25" customHeight="1" x14ac:dyDescent="0.25">
      <c r="A814" s="2"/>
      <c r="B814" s="2"/>
      <c r="C814" s="2"/>
    </row>
    <row r="815" spans="1:3" ht="14.25" customHeight="1" x14ac:dyDescent="0.25">
      <c r="A815" s="2"/>
      <c r="B815" s="2"/>
      <c r="C815" s="2"/>
    </row>
    <row r="816" spans="1:3" ht="14.25" customHeight="1" x14ac:dyDescent="0.25">
      <c r="A816" s="2"/>
      <c r="B816" s="2"/>
      <c r="C816" s="2"/>
    </row>
    <row r="817" spans="1:3" ht="14.25" customHeight="1" x14ac:dyDescent="0.25">
      <c r="A817" s="2"/>
      <c r="B817" s="2"/>
      <c r="C817" s="2"/>
    </row>
    <row r="818" spans="1:3" ht="14.25" customHeight="1" x14ac:dyDescent="0.25">
      <c r="A818" s="2"/>
      <c r="B818" s="2"/>
      <c r="C818" s="2"/>
    </row>
    <row r="819" spans="1:3" ht="14.25" customHeight="1" x14ac:dyDescent="0.25">
      <c r="A819" s="2"/>
      <c r="B819" s="2"/>
      <c r="C819" s="2"/>
    </row>
    <row r="820" spans="1:3" ht="14.25" customHeight="1" x14ac:dyDescent="0.25">
      <c r="A820" s="2"/>
      <c r="B820" s="2"/>
      <c r="C820" s="2"/>
    </row>
    <row r="821" spans="1:3" ht="14.25" customHeight="1" x14ac:dyDescent="0.25">
      <c r="A821" s="2"/>
      <c r="B821" s="2"/>
      <c r="C821" s="2"/>
    </row>
    <row r="822" spans="1:3" ht="14.25" customHeight="1" x14ac:dyDescent="0.25">
      <c r="A822" s="2"/>
      <c r="B822" s="2"/>
      <c r="C822" s="2"/>
    </row>
    <row r="823" spans="1:3" ht="14.25" customHeight="1" x14ac:dyDescent="0.25">
      <c r="A823" s="2"/>
      <c r="B823" s="2"/>
      <c r="C823" s="2"/>
    </row>
    <row r="824" spans="1:3" ht="14.25" customHeight="1" x14ac:dyDescent="0.25">
      <c r="A824" s="2"/>
      <c r="B824" s="2"/>
      <c r="C824" s="2"/>
    </row>
    <row r="825" spans="1:3" ht="14.25" customHeight="1" x14ac:dyDescent="0.25">
      <c r="A825" s="2"/>
      <c r="B825" s="2"/>
      <c r="C825" s="2"/>
    </row>
    <row r="826" spans="1:3" ht="14.25" customHeight="1" x14ac:dyDescent="0.25">
      <c r="A826" s="2"/>
      <c r="B826" s="2"/>
      <c r="C826" s="2"/>
    </row>
    <row r="827" spans="1:3" ht="14.25" customHeight="1" x14ac:dyDescent="0.25">
      <c r="A827" s="2"/>
      <c r="B827" s="2"/>
      <c r="C827" s="2"/>
    </row>
    <row r="828" spans="1:3" ht="14.25" customHeight="1" x14ac:dyDescent="0.25">
      <c r="A828" s="2"/>
      <c r="B828" s="2"/>
      <c r="C828" s="2"/>
    </row>
    <row r="829" spans="1:3" ht="14.25" customHeight="1" x14ac:dyDescent="0.25">
      <c r="A829" s="2"/>
      <c r="B829" s="2"/>
      <c r="C829" s="2"/>
    </row>
    <row r="830" spans="1:3" ht="14.25" customHeight="1" x14ac:dyDescent="0.25">
      <c r="A830" s="2"/>
      <c r="B830" s="2"/>
      <c r="C830" s="2"/>
    </row>
    <row r="831" spans="1:3" ht="14.25" customHeight="1" x14ac:dyDescent="0.25">
      <c r="A831" s="2"/>
      <c r="B831" s="2"/>
      <c r="C831" s="2"/>
    </row>
    <row r="832" spans="1:3" ht="14.25" customHeight="1" x14ac:dyDescent="0.25">
      <c r="A832" s="2"/>
      <c r="B832" s="2"/>
      <c r="C832" s="2"/>
    </row>
    <row r="833" spans="1:3" ht="14.25" customHeight="1" x14ac:dyDescent="0.25">
      <c r="A833" s="2"/>
      <c r="B833" s="2"/>
      <c r="C833" s="2"/>
    </row>
    <row r="834" spans="1:3" ht="14.25" customHeight="1" x14ac:dyDescent="0.25">
      <c r="A834" s="2"/>
      <c r="B834" s="2"/>
      <c r="C834" s="2"/>
    </row>
    <row r="835" spans="1:3" ht="14.25" customHeight="1" x14ac:dyDescent="0.25">
      <c r="A835" s="2"/>
      <c r="B835" s="2"/>
      <c r="C835" s="2"/>
    </row>
    <row r="836" spans="1:3" ht="14.25" customHeight="1" x14ac:dyDescent="0.25">
      <c r="A836" s="2"/>
      <c r="B836" s="2"/>
      <c r="C836" s="2"/>
    </row>
    <row r="837" spans="1:3" ht="14.25" customHeight="1" x14ac:dyDescent="0.25">
      <c r="A837" s="2"/>
      <c r="B837" s="2"/>
      <c r="C837" s="2"/>
    </row>
    <row r="838" spans="1:3" ht="14.25" customHeight="1" x14ac:dyDescent="0.25">
      <c r="A838" s="2"/>
      <c r="B838" s="2"/>
      <c r="C838" s="2"/>
    </row>
    <row r="839" spans="1:3" ht="14.25" customHeight="1" x14ac:dyDescent="0.25">
      <c r="A839" s="2"/>
      <c r="B839" s="2"/>
      <c r="C839" s="2"/>
    </row>
    <row r="840" spans="1:3" ht="14.25" customHeight="1" x14ac:dyDescent="0.25">
      <c r="A840" s="2"/>
      <c r="B840" s="2"/>
      <c r="C840" s="2"/>
    </row>
    <row r="841" spans="1:3" ht="14.25" customHeight="1" x14ac:dyDescent="0.25">
      <c r="A841" s="2"/>
      <c r="B841" s="2"/>
      <c r="C841" s="2"/>
    </row>
    <row r="842" spans="1:3" ht="14.25" customHeight="1" x14ac:dyDescent="0.25">
      <c r="A842" s="2"/>
      <c r="B842" s="2"/>
      <c r="C842" s="2"/>
    </row>
    <row r="843" spans="1:3" ht="14.25" customHeight="1" x14ac:dyDescent="0.25">
      <c r="A843" s="2"/>
      <c r="B843" s="2"/>
      <c r="C843" s="2"/>
    </row>
    <row r="844" spans="1:3" ht="14.25" customHeight="1" x14ac:dyDescent="0.25">
      <c r="A844" s="2"/>
      <c r="B844" s="2"/>
      <c r="C844" s="2"/>
    </row>
    <row r="845" spans="1:3" ht="14.25" customHeight="1" x14ac:dyDescent="0.25">
      <c r="A845" s="2"/>
      <c r="B845" s="2"/>
      <c r="C845" s="2"/>
    </row>
    <row r="846" spans="1:3" ht="14.25" customHeight="1" x14ac:dyDescent="0.25">
      <c r="A846" s="2"/>
      <c r="B846" s="2"/>
      <c r="C846" s="2"/>
    </row>
    <row r="847" spans="1:3" ht="14.25" customHeight="1" x14ac:dyDescent="0.25">
      <c r="A847" s="2"/>
      <c r="B847" s="2"/>
      <c r="C847" s="2"/>
    </row>
    <row r="848" spans="1:3" ht="14.25" customHeight="1" x14ac:dyDescent="0.25">
      <c r="A848" s="2"/>
      <c r="B848" s="2"/>
      <c r="C848" s="2"/>
    </row>
    <row r="849" spans="1:3" ht="14.25" customHeight="1" x14ac:dyDescent="0.25">
      <c r="A849" s="2"/>
      <c r="B849" s="2"/>
      <c r="C849" s="2"/>
    </row>
    <row r="850" spans="1:3" ht="14.25" customHeight="1" x14ac:dyDescent="0.25">
      <c r="A850" s="2"/>
      <c r="B850" s="2"/>
      <c r="C850" s="2"/>
    </row>
    <row r="851" spans="1:3" ht="14.25" customHeight="1" x14ac:dyDescent="0.25">
      <c r="A851" s="2"/>
      <c r="B851" s="2"/>
      <c r="C851" s="2"/>
    </row>
    <row r="852" spans="1:3" ht="14.25" customHeight="1" x14ac:dyDescent="0.25">
      <c r="A852" s="2"/>
      <c r="B852" s="2"/>
      <c r="C852" s="2"/>
    </row>
    <row r="853" spans="1:3" ht="14.25" customHeight="1" x14ac:dyDescent="0.25">
      <c r="A853" s="2"/>
      <c r="B853" s="2"/>
      <c r="C853" s="2"/>
    </row>
    <row r="854" spans="1:3" ht="14.25" customHeight="1" x14ac:dyDescent="0.25">
      <c r="A854" s="2"/>
      <c r="B854" s="2"/>
      <c r="C854" s="2"/>
    </row>
    <row r="855" spans="1:3" ht="14.25" customHeight="1" x14ac:dyDescent="0.25">
      <c r="A855" s="2"/>
      <c r="B855" s="2"/>
      <c r="C855" s="2"/>
    </row>
    <row r="856" spans="1:3" ht="14.25" customHeight="1" x14ac:dyDescent="0.25">
      <c r="A856" s="2"/>
      <c r="B856" s="2"/>
      <c r="C856" s="2"/>
    </row>
    <row r="857" spans="1:3" ht="14.25" customHeight="1" x14ac:dyDescent="0.25">
      <c r="A857" s="2"/>
      <c r="B857" s="2"/>
      <c r="C857" s="2"/>
    </row>
    <row r="858" spans="1:3" ht="14.25" customHeight="1" x14ac:dyDescent="0.25">
      <c r="A858" s="2"/>
      <c r="B858" s="2"/>
      <c r="C858" s="2"/>
    </row>
    <row r="859" spans="1:3" ht="14.25" customHeight="1" x14ac:dyDescent="0.25">
      <c r="A859" s="2"/>
      <c r="B859" s="2"/>
      <c r="C859" s="2"/>
    </row>
    <row r="860" spans="1:3" ht="14.25" customHeight="1" x14ac:dyDescent="0.25">
      <c r="A860" s="2"/>
      <c r="B860" s="2"/>
      <c r="C860" s="2"/>
    </row>
    <row r="861" spans="1:3" ht="14.25" customHeight="1" x14ac:dyDescent="0.25">
      <c r="A861" s="2"/>
      <c r="B861" s="2"/>
      <c r="C861" s="2"/>
    </row>
    <row r="862" spans="1:3" ht="14.25" customHeight="1" x14ac:dyDescent="0.25">
      <c r="A862" s="2"/>
      <c r="B862" s="2"/>
      <c r="C862" s="2"/>
    </row>
    <row r="863" spans="1:3" ht="14.25" customHeight="1" x14ac:dyDescent="0.25">
      <c r="A863" s="2"/>
      <c r="B863" s="2"/>
      <c r="C863" s="2"/>
    </row>
    <row r="864" spans="1:3" ht="14.25" customHeight="1" x14ac:dyDescent="0.25">
      <c r="A864" s="2"/>
      <c r="B864" s="2"/>
      <c r="C864" s="2"/>
    </row>
    <row r="865" spans="1:3" ht="14.25" customHeight="1" x14ac:dyDescent="0.25">
      <c r="A865" s="2"/>
      <c r="B865" s="2"/>
      <c r="C865" s="2"/>
    </row>
    <row r="866" spans="1:3" ht="14.25" customHeight="1" x14ac:dyDescent="0.25">
      <c r="A866" s="2"/>
      <c r="B866" s="2"/>
      <c r="C866" s="2"/>
    </row>
    <row r="867" spans="1:3" ht="14.25" customHeight="1" x14ac:dyDescent="0.25">
      <c r="A867" s="2"/>
      <c r="B867" s="2"/>
      <c r="C867" s="2"/>
    </row>
    <row r="868" spans="1:3" ht="14.25" customHeight="1" x14ac:dyDescent="0.25">
      <c r="A868" s="2"/>
      <c r="B868" s="2"/>
      <c r="C868" s="2"/>
    </row>
    <row r="869" spans="1:3" ht="14.25" customHeight="1" x14ac:dyDescent="0.25">
      <c r="A869" s="2"/>
      <c r="B869" s="2"/>
      <c r="C869" s="2"/>
    </row>
    <row r="870" spans="1:3" ht="14.25" customHeight="1" x14ac:dyDescent="0.25">
      <c r="A870" s="2"/>
      <c r="B870" s="2"/>
      <c r="C870" s="2"/>
    </row>
    <row r="871" spans="1:3" ht="14.25" customHeight="1" x14ac:dyDescent="0.25">
      <c r="A871" s="2"/>
      <c r="B871" s="2"/>
      <c r="C871" s="2"/>
    </row>
    <row r="872" spans="1:3" ht="14.25" customHeight="1" x14ac:dyDescent="0.25">
      <c r="A872" s="2"/>
      <c r="B872" s="2"/>
      <c r="C872" s="2"/>
    </row>
    <row r="873" spans="1:3" ht="14.25" customHeight="1" x14ac:dyDescent="0.25">
      <c r="A873" s="2"/>
      <c r="B873" s="2"/>
      <c r="C873" s="2"/>
    </row>
    <row r="874" spans="1:3" ht="14.25" customHeight="1" x14ac:dyDescent="0.25">
      <c r="A874" s="2"/>
      <c r="B874" s="2"/>
      <c r="C874" s="2"/>
    </row>
    <row r="875" spans="1:3" ht="14.25" customHeight="1" x14ac:dyDescent="0.25">
      <c r="A875" s="2"/>
      <c r="B875" s="2"/>
      <c r="C875" s="2"/>
    </row>
    <row r="876" spans="1:3" ht="14.25" customHeight="1" x14ac:dyDescent="0.25">
      <c r="A876" s="2"/>
      <c r="B876" s="2"/>
      <c r="C876" s="2"/>
    </row>
    <row r="877" spans="1:3" ht="14.25" customHeight="1" x14ac:dyDescent="0.25">
      <c r="A877" s="2"/>
      <c r="B877" s="2"/>
      <c r="C877" s="2"/>
    </row>
    <row r="878" spans="1:3" ht="14.25" customHeight="1" x14ac:dyDescent="0.25">
      <c r="A878" s="2"/>
      <c r="B878" s="2"/>
      <c r="C878" s="2"/>
    </row>
    <row r="879" spans="1:3" ht="14.25" customHeight="1" x14ac:dyDescent="0.25">
      <c r="A879" s="2"/>
      <c r="B879" s="2"/>
      <c r="C879" s="2"/>
    </row>
    <row r="880" spans="1:3" ht="14.25" customHeight="1" x14ac:dyDescent="0.25">
      <c r="A880" s="2"/>
      <c r="B880" s="2"/>
      <c r="C880" s="2"/>
    </row>
    <row r="881" spans="1:3" ht="14.25" customHeight="1" x14ac:dyDescent="0.25">
      <c r="A881" s="2"/>
      <c r="B881" s="2"/>
      <c r="C881" s="2"/>
    </row>
    <row r="882" spans="1:3" ht="14.25" customHeight="1" x14ac:dyDescent="0.25">
      <c r="A882" s="2"/>
      <c r="B882" s="2"/>
      <c r="C882" s="2"/>
    </row>
    <row r="883" spans="1:3" ht="14.25" customHeight="1" x14ac:dyDescent="0.25">
      <c r="A883" s="2"/>
      <c r="B883" s="2"/>
      <c r="C883" s="2"/>
    </row>
    <row r="884" spans="1:3" ht="14.25" customHeight="1" x14ac:dyDescent="0.25">
      <c r="A884" s="2"/>
      <c r="B884" s="2"/>
      <c r="C884" s="2"/>
    </row>
    <row r="885" spans="1:3" ht="14.25" customHeight="1" x14ac:dyDescent="0.25">
      <c r="A885" s="2"/>
      <c r="B885" s="2"/>
      <c r="C885" s="2"/>
    </row>
    <row r="886" spans="1:3" ht="14.25" customHeight="1" x14ac:dyDescent="0.25">
      <c r="A886" s="2"/>
      <c r="B886" s="2"/>
      <c r="C886" s="2"/>
    </row>
    <row r="887" spans="1:3" ht="14.25" customHeight="1" x14ac:dyDescent="0.25">
      <c r="A887" s="2"/>
      <c r="B887" s="2"/>
      <c r="C887" s="2"/>
    </row>
    <row r="888" spans="1:3" ht="14.25" customHeight="1" x14ac:dyDescent="0.25">
      <c r="A888" s="2"/>
      <c r="B888" s="2"/>
      <c r="C888" s="2"/>
    </row>
    <row r="889" spans="1:3" ht="14.25" customHeight="1" x14ac:dyDescent="0.25">
      <c r="A889" s="2"/>
      <c r="B889" s="2"/>
      <c r="C889" s="2"/>
    </row>
    <row r="890" spans="1:3" ht="14.25" customHeight="1" x14ac:dyDescent="0.25">
      <c r="A890" s="2"/>
      <c r="B890" s="2"/>
      <c r="C890" s="2"/>
    </row>
    <row r="891" spans="1:3" ht="14.25" customHeight="1" x14ac:dyDescent="0.25">
      <c r="A891" s="2"/>
      <c r="B891" s="2"/>
      <c r="C891" s="2"/>
    </row>
    <row r="892" spans="1:3" ht="14.25" customHeight="1" x14ac:dyDescent="0.25">
      <c r="A892" s="2"/>
      <c r="B892" s="2"/>
      <c r="C892" s="2"/>
    </row>
    <row r="893" spans="1:3" ht="14.25" customHeight="1" x14ac:dyDescent="0.25">
      <c r="A893" s="2"/>
      <c r="B893" s="2"/>
      <c r="C893" s="2"/>
    </row>
    <row r="894" spans="1:3" ht="14.25" customHeight="1" x14ac:dyDescent="0.25">
      <c r="A894" s="2"/>
      <c r="B894" s="2"/>
      <c r="C894" s="2"/>
    </row>
    <row r="895" spans="1:3" ht="14.25" customHeight="1" x14ac:dyDescent="0.25">
      <c r="A895" s="2"/>
      <c r="B895" s="2"/>
      <c r="C895" s="2"/>
    </row>
    <row r="896" spans="1:3" ht="14.25" customHeight="1" x14ac:dyDescent="0.25">
      <c r="A896" s="2"/>
      <c r="B896" s="2"/>
      <c r="C896" s="2"/>
    </row>
    <row r="897" spans="1:3" ht="14.25" customHeight="1" x14ac:dyDescent="0.25">
      <c r="A897" s="2"/>
      <c r="B897" s="2"/>
      <c r="C897" s="2"/>
    </row>
    <row r="898" spans="1:3" ht="14.25" customHeight="1" x14ac:dyDescent="0.25">
      <c r="A898" s="2"/>
      <c r="B898" s="2"/>
      <c r="C898" s="2"/>
    </row>
    <row r="899" spans="1:3" ht="14.25" customHeight="1" x14ac:dyDescent="0.25">
      <c r="A899" s="2"/>
      <c r="B899" s="2"/>
      <c r="C899" s="2"/>
    </row>
    <row r="900" spans="1:3" ht="14.25" customHeight="1" x14ac:dyDescent="0.25">
      <c r="A900" s="2"/>
      <c r="B900" s="2"/>
      <c r="C900" s="2"/>
    </row>
    <row r="901" spans="1:3" ht="14.25" customHeight="1" x14ac:dyDescent="0.25">
      <c r="A901" s="2"/>
      <c r="B901" s="2"/>
      <c r="C901" s="2"/>
    </row>
    <row r="902" spans="1:3" ht="14.25" customHeight="1" x14ac:dyDescent="0.25">
      <c r="A902" s="2"/>
      <c r="B902" s="2"/>
      <c r="C902" s="2"/>
    </row>
    <row r="903" spans="1:3" ht="14.25" customHeight="1" x14ac:dyDescent="0.25">
      <c r="A903" s="2"/>
      <c r="B903" s="2"/>
      <c r="C903" s="2"/>
    </row>
    <row r="904" spans="1:3" ht="14.25" customHeight="1" x14ac:dyDescent="0.25">
      <c r="A904" s="2"/>
      <c r="B904" s="2"/>
      <c r="C904" s="2"/>
    </row>
    <row r="905" spans="1:3" ht="14.25" customHeight="1" x14ac:dyDescent="0.25">
      <c r="A905" s="2"/>
      <c r="B905" s="2"/>
      <c r="C905" s="2"/>
    </row>
    <row r="906" spans="1:3" ht="14.25" customHeight="1" x14ac:dyDescent="0.25">
      <c r="A906" s="2"/>
      <c r="B906" s="2"/>
      <c r="C906" s="2"/>
    </row>
    <row r="907" spans="1:3" ht="14.25" customHeight="1" x14ac:dyDescent="0.25">
      <c r="A907" s="2"/>
      <c r="B907" s="2"/>
      <c r="C907" s="2"/>
    </row>
    <row r="908" spans="1:3" ht="14.25" customHeight="1" x14ac:dyDescent="0.25">
      <c r="A908" s="2"/>
      <c r="B908" s="2"/>
      <c r="C908" s="2"/>
    </row>
    <row r="909" spans="1:3" ht="14.25" customHeight="1" x14ac:dyDescent="0.25">
      <c r="A909" s="2"/>
      <c r="B909" s="2"/>
      <c r="C909" s="2"/>
    </row>
    <row r="910" spans="1:3" ht="14.25" customHeight="1" x14ac:dyDescent="0.25">
      <c r="A910" s="2"/>
      <c r="B910" s="2"/>
      <c r="C910" s="2"/>
    </row>
    <row r="911" spans="1:3" ht="14.25" customHeight="1" x14ac:dyDescent="0.25">
      <c r="A911" s="2"/>
      <c r="B911" s="2"/>
      <c r="C911" s="2"/>
    </row>
    <row r="912" spans="1:3" ht="14.25" customHeight="1" x14ac:dyDescent="0.25">
      <c r="A912" s="2"/>
      <c r="B912" s="2"/>
      <c r="C912" s="2"/>
    </row>
    <row r="913" spans="1:3" ht="14.25" customHeight="1" x14ac:dyDescent="0.25">
      <c r="A913" s="2"/>
      <c r="B913" s="2"/>
      <c r="C913" s="2"/>
    </row>
    <row r="914" spans="1:3" ht="14.25" customHeight="1" x14ac:dyDescent="0.25">
      <c r="A914" s="2"/>
      <c r="B914" s="2"/>
      <c r="C914" s="2"/>
    </row>
    <row r="915" spans="1:3" ht="14.25" customHeight="1" x14ac:dyDescent="0.25">
      <c r="A915" s="2"/>
      <c r="B915" s="2"/>
      <c r="C915" s="2"/>
    </row>
    <row r="916" spans="1:3" ht="14.25" customHeight="1" x14ac:dyDescent="0.25">
      <c r="A916" s="2"/>
      <c r="B916" s="2"/>
      <c r="C916" s="2"/>
    </row>
    <row r="917" spans="1:3" ht="14.25" customHeight="1" x14ac:dyDescent="0.25">
      <c r="A917" s="2"/>
      <c r="B917" s="2"/>
      <c r="C917" s="2"/>
    </row>
    <row r="918" spans="1:3" ht="14.25" customHeight="1" x14ac:dyDescent="0.25">
      <c r="A918" s="2"/>
      <c r="B918" s="2"/>
      <c r="C918" s="2"/>
    </row>
    <row r="919" spans="1:3" ht="14.25" customHeight="1" x14ac:dyDescent="0.25">
      <c r="A919" s="2"/>
      <c r="B919" s="2"/>
      <c r="C919" s="2"/>
    </row>
    <row r="920" spans="1:3" ht="14.25" customHeight="1" x14ac:dyDescent="0.25">
      <c r="A920" s="2"/>
      <c r="B920" s="2"/>
      <c r="C920" s="2"/>
    </row>
    <row r="921" spans="1:3" ht="14.25" customHeight="1" x14ac:dyDescent="0.25">
      <c r="A921" s="2"/>
      <c r="B921" s="2"/>
      <c r="C921" s="2"/>
    </row>
    <row r="922" spans="1:3" ht="14.25" customHeight="1" x14ac:dyDescent="0.25">
      <c r="A922" s="2"/>
      <c r="B922" s="2"/>
      <c r="C922" s="2"/>
    </row>
    <row r="923" spans="1:3" ht="14.25" customHeight="1" x14ac:dyDescent="0.25">
      <c r="A923" s="2"/>
      <c r="B923" s="2"/>
      <c r="C923" s="2"/>
    </row>
    <row r="924" spans="1:3" ht="14.25" customHeight="1" x14ac:dyDescent="0.25">
      <c r="A924" s="2"/>
      <c r="B924" s="2"/>
      <c r="C924" s="2"/>
    </row>
    <row r="925" spans="1:3" ht="14.25" customHeight="1" x14ac:dyDescent="0.25">
      <c r="A925" s="2"/>
      <c r="B925" s="2"/>
      <c r="C925" s="2"/>
    </row>
    <row r="926" spans="1:3" ht="14.25" customHeight="1" x14ac:dyDescent="0.25">
      <c r="A926" s="2"/>
      <c r="B926" s="2"/>
      <c r="C926" s="2"/>
    </row>
    <row r="927" spans="1:3" ht="14.25" customHeight="1" x14ac:dyDescent="0.25">
      <c r="A927" s="2"/>
      <c r="B927" s="2"/>
      <c r="C927" s="2"/>
    </row>
    <row r="928" spans="1:3" ht="14.25" customHeight="1" x14ac:dyDescent="0.25">
      <c r="A928" s="2"/>
      <c r="B928" s="2"/>
      <c r="C928" s="2"/>
    </row>
    <row r="929" spans="1:3" ht="14.25" customHeight="1" x14ac:dyDescent="0.25">
      <c r="A929" s="2"/>
      <c r="B929" s="2"/>
      <c r="C929" s="2"/>
    </row>
    <row r="930" spans="1:3" ht="14.25" customHeight="1" x14ac:dyDescent="0.25">
      <c r="A930" s="2"/>
      <c r="B930" s="2"/>
      <c r="C930" s="2"/>
    </row>
    <row r="931" spans="1:3" ht="14.25" customHeight="1" x14ac:dyDescent="0.25">
      <c r="A931" s="2"/>
      <c r="B931" s="2"/>
      <c r="C931" s="2"/>
    </row>
    <row r="932" spans="1:3" ht="14.25" customHeight="1" x14ac:dyDescent="0.25">
      <c r="A932" s="2"/>
      <c r="B932" s="2"/>
      <c r="C932" s="2"/>
    </row>
    <row r="933" spans="1:3" ht="14.25" customHeight="1" x14ac:dyDescent="0.25">
      <c r="A933" s="2"/>
      <c r="B933" s="2"/>
      <c r="C933" s="2"/>
    </row>
    <row r="934" spans="1:3" ht="14.25" customHeight="1" x14ac:dyDescent="0.25">
      <c r="A934" s="2"/>
      <c r="B934" s="2"/>
      <c r="C934" s="2"/>
    </row>
    <row r="935" spans="1:3" ht="14.25" customHeight="1" x14ac:dyDescent="0.25">
      <c r="A935" s="2"/>
      <c r="B935" s="2"/>
      <c r="C935" s="2"/>
    </row>
    <row r="936" spans="1:3" ht="14.25" customHeight="1" x14ac:dyDescent="0.25">
      <c r="A936" s="2"/>
      <c r="B936" s="2"/>
      <c r="C936" s="2"/>
    </row>
    <row r="937" spans="1:3" ht="14.25" customHeight="1" x14ac:dyDescent="0.25">
      <c r="A937" s="2"/>
      <c r="B937" s="2"/>
      <c r="C937" s="2"/>
    </row>
    <row r="938" spans="1:3" ht="14.25" customHeight="1" x14ac:dyDescent="0.25">
      <c r="A938" s="2"/>
      <c r="B938" s="2"/>
      <c r="C938" s="2"/>
    </row>
    <row r="939" spans="1:3" ht="14.25" customHeight="1" x14ac:dyDescent="0.25">
      <c r="A939" s="2"/>
      <c r="B939" s="2"/>
      <c r="C939" s="2"/>
    </row>
    <row r="940" spans="1:3" ht="14.25" customHeight="1" x14ac:dyDescent="0.25">
      <c r="A940" s="2"/>
      <c r="B940" s="2"/>
      <c r="C940" s="2"/>
    </row>
    <row r="941" spans="1:3" ht="14.25" customHeight="1" x14ac:dyDescent="0.25">
      <c r="A941" s="2"/>
      <c r="B941" s="2"/>
      <c r="C941" s="2"/>
    </row>
    <row r="942" spans="1:3" ht="14.25" customHeight="1" x14ac:dyDescent="0.25">
      <c r="A942" s="2"/>
      <c r="B942" s="2"/>
      <c r="C942" s="2"/>
    </row>
    <row r="943" spans="1:3" ht="14.25" customHeight="1" x14ac:dyDescent="0.25">
      <c r="A943" s="2"/>
      <c r="B943" s="2"/>
      <c r="C943" s="2"/>
    </row>
    <row r="944" spans="1:3" ht="14.25" customHeight="1" x14ac:dyDescent="0.25">
      <c r="A944" s="2"/>
      <c r="B944" s="2"/>
      <c r="C944" s="2"/>
    </row>
    <row r="945" spans="1:3" ht="14.25" customHeight="1" x14ac:dyDescent="0.25">
      <c r="A945" s="2"/>
      <c r="B945" s="2"/>
      <c r="C945" s="2"/>
    </row>
    <row r="946" spans="1:3" ht="14.25" customHeight="1" x14ac:dyDescent="0.25">
      <c r="A946" s="2"/>
      <c r="B946" s="2"/>
      <c r="C946" s="2"/>
    </row>
    <row r="947" spans="1:3" ht="14.25" customHeight="1" x14ac:dyDescent="0.25">
      <c r="A947" s="2"/>
      <c r="B947" s="2"/>
      <c r="C947" s="2"/>
    </row>
    <row r="948" spans="1:3" ht="14.25" customHeight="1" x14ac:dyDescent="0.25">
      <c r="A948" s="2"/>
      <c r="B948" s="2"/>
      <c r="C948" s="2"/>
    </row>
    <row r="949" spans="1:3" ht="14.25" customHeight="1" x14ac:dyDescent="0.25">
      <c r="A949" s="2"/>
      <c r="B949" s="2"/>
      <c r="C949" s="2"/>
    </row>
    <row r="950" spans="1:3" ht="14.25" customHeight="1" x14ac:dyDescent="0.25">
      <c r="A950" s="2"/>
      <c r="B950" s="2"/>
      <c r="C950" s="2"/>
    </row>
    <row r="951" spans="1:3" ht="14.25" customHeight="1" x14ac:dyDescent="0.25">
      <c r="A951" s="2"/>
      <c r="B951" s="2"/>
      <c r="C951" s="2"/>
    </row>
    <row r="952" spans="1:3" ht="14.25" customHeight="1" x14ac:dyDescent="0.25">
      <c r="A952" s="2"/>
      <c r="B952" s="2"/>
      <c r="C952" s="2"/>
    </row>
    <row r="953" spans="1:3" ht="14.25" customHeight="1" x14ac:dyDescent="0.25">
      <c r="A953" s="2"/>
      <c r="B953" s="2"/>
      <c r="C953" s="2"/>
    </row>
    <row r="954" spans="1:3" ht="14.25" customHeight="1" x14ac:dyDescent="0.25">
      <c r="A954" s="2"/>
      <c r="B954" s="2"/>
      <c r="C954" s="2"/>
    </row>
    <row r="955" spans="1:3" ht="14.25" customHeight="1" x14ac:dyDescent="0.25">
      <c r="A955" s="2"/>
      <c r="B955" s="2"/>
      <c r="C955" s="2"/>
    </row>
    <row r="956" spans="1:3" ht="14.25" customHeight="1" x14ac:dyDescent="0.25">
      <c r="A956" s="2"/>
      <c r="B956" s="2"/>
      <c r="C956" s="2"/>
    </row>
    <row r="957" spans="1:3" ht="14.25" customHeight="1" x14ac:dyDescent="0.25">
      <c r="A957" s="2"/>
      <c r="B957" s="2"/>
      <c r="C957" s="2"/>
    </row>
    <row r="958" spans="1:3" ht="14.25" customHeight="1" x14ac:dyDescent="0.25">
      <c r="A958" s="2"/>
      <c r="B958" s="2"/>
      <c r="C958" s="2"/>
    </row>
    <row r="959" spans="1:3" ht="14.25" customHeight="1" x14ac:dyDescent="0.25">
      <c r="A959" s="2"/>
      <c r="B959" s="2"/>
      <c r="C959" s="2"/>
    </row>
    <row r="960" spans="1:3" ht="14.25" customHeight="1" x14ac:dyDescent="0.25">
      <c r="A960" s="2"/>
      <c r="B960" s="2"/>
      <c r="C960" s="2"/>
    </row>
    <row r="961" spans="1:3" ht="14.25" customHeight="1" x14ac:dyDescent="0.25">
      <c r="A961" s="2"/>
      <c r="B961" s="2"/>
      <c r="C961" s="2"/>
    </row>
    <row r="962" spans="1:3" ht="14.25" customHeight="1" x14ac:dyDescent="0.25">
      <c r="A962" s="2"/>
      <c r="B962" s="2"/>
      <c r="C962" s="2"/>
    </row>
    <row r="963" spans="1:3" ht="14.25" customHeight="1" x14ac:dyDescent="0.25">
      <c r="A963" s="2"/>
      <c r="B963" s="2"/>
      <c r="C963" s="2"/>
    </row>
    <row r="964" spans="1:3" ht="14.25" customHeight="1" x14ac:dyDescent="0.25">
      <c r="A964" s="2"/>
      <c r="B964" s="2"/>
      <c r="C964" s="2"/>
    </row>
    <row r="965" spans="1:3" ht="14.25" customHeight="1" x14ac:dyDescent="0.25">
      <c r="A965" s="2"/>
      <c r="B965" s="2"/>
      <c r="C965" s="2"/>
    </row>
    <row r="966" spans="1:3" ht="14.25" customHeight="1" x14ac:dyDescent="0.25">
      <c r="A966" s="2"/>
      <c r="B966" s="2"/>
      <c r="C966" s="2"/>
    </row>
    <row r="967" spans="1:3" ht="14.25" customHeight="1" x14ac:dyDescent="0.25">
      <c r="A967" s="2"/>
      <c r="B967" s="2"/>
      <c r="C967" s="2"/>
    </row>
    <row r="968" spans="1:3" ht="14.25" customHeight="1" x14ac:dyDescent="0.25">
      <c r="A968" s="2"/>
      <c r="B968" s="2"/>
      <c r="C968" s="2"/>
    </row>
    <row r="969" spans="1:3" ht="14.25" customHeight="1" x14ac:dyDescent="0.25">
      <c r="A969" s="2"/>
      <c r="B969" s="2"/>
      <c r="C969" s="2"/>
    </row>
    <row r="970" spans="1:3" ht="14.25" customHeight="1" x14ac:dyDescent="0.25">
      <c r="A970" s="2"/>
      <c r="B970" s="2"/>
      <c r="C970" s="2"/>
    </row>
    <row r="971" spans="1:3" ht="14.25" customHeight="1" x14ac:dyDescent="0.25">
      <c r="A971" s="2"/>
      <c r="B971" s="2"/>
      <c r="C971" s="2"/>
    </row>
    <row r="972" spans="1:3" ht="14.25" customHeight="1" x14ac:dyDescent="0.25">
      <c r="A972" s="2"/>
      <c r="B972" s="2"/>
      <c r="C972" s="2"/>
    </row>
    <row r="973" spans="1:3" ht="14.25" customHeight="1" x14ac:dyDescent="0.25">
      <c r="A973" s="2"/>
      <c r="B973" s="2"/>
      <c r="C973" s="2"/>
    </row>
    <row r="974" spans="1:3" ht="14.25" customHeight="1" x14ac:dyDescent="0.25">
      <c r="A974" s="2"/>
      <c r="B974" s="2"/>
      <c r="C974" s="2"/>
    </row>
    <row r="975" spans="1:3" ht="14.25" customHeight="1" x14ac:dyDescent="0.25">
      <c r="A975" s="2"/>
      <c r="B975" s="2"/>
      <c r="C975" s="2"/>
    </row>
    <row r="976" spans="1:3" ht="14.25" customHeight="1" x14ac:dyDescent="0.25">
      <c r="A976" s="2"/>
      <c r="B976" s="2"/>
      <c r="C976" s="2"/>
    </row>
    <row r="977" spans="1:3" ht="14.25" customHeight="1" x14ac:dyDescent="0.25">
      <c r="A977" s="2"/>
      <c r="B977" s="2"/>
      <c r="C977" s="2"/>
    </row>
    <row r="978" spans="1:3" ht="14.25" customHeight="1" x14ac:dyDescent="0.25">
      <c r="A978" s="2"/>
      <c r="B978" s="2"/>
      <c r="C978" s="2"/>
    </row>
    <row r="979" spans="1:3" ht="14.25" customHeight="1" x14ac:dyDescent="0.25">
      <c r="A979" s="2"/>
      <c r="B979" s="2"/>
      <c r="C979" s="2"/>
    </row>
    <row r="980" spans="1:3" ht="14.25" customHeight="1" x14ac:dyDescent="0.25">
      <c r="A980" s="2"/>
      <c r="B980" s="2"/>
      <c r="C980" s="2"/>
    </row>
    <row r="981" spans="1:3" ht="14.25" customHeight="1" x14ac:dyDescent="0.25">
      <c r="A981" s="2"/>
      <c r="B981" s="2"/>
      <c r="C981" s="2"/>
    </row>
    <row r="982" spans="1:3" ht="14.25" customHeight="1" x14ac:dyDescent="0.25">
      <c r="A982" s="2"/>
      <c r="B982" s="2"/>
      <c r="C982" s="2"/>
    </row>
    <row r="983" spans="1:3" ht="14.25" customHeight="1" x14ac:dyDescent="0.25">
      <c r="A983" s="2"/>
      <c r="B983" s="2"/>
      <c r="C983" s="2"/>
    </row>
    <row r="984" spans="1:3" ht="14.25" customHeight="1" x14ac:dyDescent="0.25">
      <c r="A984" s="2"/>
      <c r="B984" s="2"/>
      <c r="C984" s="2"/>
    </row>
    <row r="985" spans="1:3" ht="14.25" customHeight="1" x14ac:dyDescent="0.25">
      <c r="A985" s="2"/>
      <c r="B985" s="2"/>
      <c r="C985" s="2"/>
    </row>
    <row r="986" spans="1:3" ht="14.25" customHeight="1" x14ac:dyDescent="0.25">
      <c r="A986" s="2"/>
      <c r="B986" s="2"/>
      <c r="C986" s="2"/>
    </row>
    <row r="987" spans="1:3" ht="14.25" customHeight="1" x14ac:dyDescent="0.25">
      <c r="A987" s="2"/>
      <c r="B987" s="2"/>
      <c r="C987" s="2"/>
    </row>
    <row r="988" spans="1:3" ht="14.25" customHeight="1" x14ac:dyDescent="0.25">
      <c r="A988" s="2"/>
      <c r="B988" s="2"/>
      <c r="C988" s="2"/>
    </row>
    <row r="989" spans="1:3" ht="14.25" customHeight="1" x14ac:dyDescent="0.25">
      <c r="A989" s="2"/>
      <c r="B989" s="2"/>
      <c r="C989" s="2"/>
    </row>
    <row r="990" spans="1:3" ht="14.25" customHeight="1" x14ac:dyDescent="0.25">
      <c r="A990" s="2"/>
      <c r="B990" s="2"/>
      <c r="C990" s="2"/>
    </row>
    <row r="991" spans="1:3" ht="14.25" customHeight="1" x14ac:dyDescent="0.25">
      <c r="A991" s="2"/>
      <c r="B991" s="2"/>
      <c r="C991" s="2"/>
    </row>
    <row r="992" spans="1:3" ht="14.25" customHeight="1" x14ac:dyDescent="0.25">
      <c r="A992" s="2"/>
      <c r="B992" s="2"/>
      <c r="C992" s="2"/>
    </row>
    <row r="993" spans="1:3" ht="14.25" customHeight="1" x14ac:dyDescent="0.25">
      <c r="A993" s="2"/>
      <c r="B993" s="2"/>
      <c r="C993" s="2"/>
    </row>
    <row r="994" spans="1:3" ht="14.25" customHeight="1" x14ac:dyDescent="0.25">
      <c r="A994" s="2"/>
      <c r="B994" s="2"/>
      <c r="C994" s="2"/>
    </row>
    <row r="995" spans="1:3" ht="14.25" customHeight="1" x14ac:dyDescent="0.25">
      <c r="A995" s="2"/>
      <c r="B995" s="2"/>
      <c r="C995" s="2"/>
    </row>
    <row r="996" spans="1:3" ht="14.25" customHeight="1" x14ac:dyDescent="0.25">
      <c r="A996" s="2"/>
      <c r="B996" s="2"/>
      <c r="C996" s="2"/>
    </row>
    <row r="997" spans="1:3" ht="14.25" customHeight="1" x14ac:dyDescent="0.25">
      <c r="A997" s="2"/>
      <c r="B997" s="2"/>
      <c r="C997" s="2"/>
    </row>
    <row r="998" spans="1:3" ht="14.25" customHeight="1" x14ac:dyDescent="0.25">
      <c r="A998" s="2"/>
      <c r="B998" s="2"/>
      <c r="C998" s="2"/>
    </row>
    <row r="999" spans="1:3" ht="14.25" customHeight="1" x14ac:dyDescent="0.25">
      <c r="A999" s="2"/>
      <c r="B999" s="2"/>
      <c r="C999" s="2"/>
    </row>
    <row r="1000" spans="1:3" ht="14.25" customHeight="1" x14ac:dyDescent="0.25">
      <c r="A1000" s="2"/>
      <c r="B1000" s="2"/>
      <c r="C1000" s="2"/>
    </row>
  </sheetData>
  <autoFilter ref="A2:V18" xr:uid="{00000000-0009-0000-0000-000005000000}"/>
  <mergeCells count="1">
    <mergeCell ref="A1:V1"/>
  </mergeCells>
  <pageMargins left="0.7" right="0.7" top="0.75" bottom="0.75" header="0" footer="0"/>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activeCell="O41" sqref="O40:O41"/>
    </sheetView>
  </sheetViews>
  <sheetFormatPr defaultColWidth="12.625" defaultRowHeight="15" customHeight="1" x14ac:dyDescent="0.2"/>
  <cols>
    <col min="1" max="1" width="10.5" customWidth="1"/>
    <col min="2" max="2" width="8.75" customWidth="1"/>
    <col min="3" max="3" width="9.625" customWidth="1"/>
    <col min="4" max="4" width="8.875" customWidth="1"/>
    <col min="5" max="5" width="8" customWidth="1"/>
    <col min="6" max="26" width="7.625" customWidth="1"/>
  </cols>
  <sheetData>
    <row r="1" spans="1:26" ht="14.25" customHeight="1" x14ac:dyDescent="0.25">
      <c r="A1" s="31" t="s">
        <v>151</v>
      </c>
      <c r="B1" s="31"/>
      <c r="C1" s="32"/>
      <c r="D1" s="32"/>
      <c r="E1" s="32"/>
      <c r="F1" s="32"/>
      <c r="G1" s="32"/>
      <c r="H1" s="32"/>
      <c r="I1" s="32"/>
      <c r="J1" s="32"/>
      <c r="K1" s="32"/>
      <c r="L1" s="32"/>
      <c r="M1" s="32"/>
      <c r="N1" s="32"/>
      <c r="O1" s="32"/>
      <c r="P1" s="32"/>
      <c r="Q1" s="32"/>
      <c r="R1" s="32"/>
      <c r="S1" s="32"/>
      <c r="T1" s="32"/>
      <c r="U1" s="32"/>
      <c r="V1" s="32"/>
      <c r="W1" s="32"/>
      <c r="X1" s="32"/>
      <c r="Y1" s="32"/>
      <c r="Z1" s="32"/>
    </row>
    <row r="2" spans="1:26" ht="14.25" customHeight="1" x14ac:dyDescent="0.25">
      <c r="A2" s="33" t="s">
        <v>112</v>
      </c>
      <c r="B2" s="33" t="s">
        <v>152</v>
      </c>
      <c r="C2" s="33" t="s">
        <v>51</v>
      </c>
      <c r="D2" s="32"/>
      <c r="E2" s="32"/>
      <c r="F2" s="32"/>
      <c r="G2" s="32"/>
      <c r="H2" s="32"/>
      <c r="I2" s="32"/>
      <c r="J2" s="32"/>
      <c r="K2" s="32"/>
      <c r="L2" s="32"/>
      <c r="M2" s="32"/>
      <c r="N2" s="32"/>
      <c r="O2" s="32"/>
      <c r="P2" s="32"/>
      <c r="Q2" s="32"/>
      <c r="R2" s="32"/>
      <c r="S2" s="32"/>
      <c r="T2" s="32"/>
      <c r="U2" s="32"/>
      <c r="V2" s="32"/>
      <c r="W2" s="32"/>
      <c r="X2" s="32"/>
      <c r="Y2" s="32"/>
      <c r="Z2" s="32"/>
    </row>
    <row r="3" spans="1:26" ht="14.25" customHeight="1" x14ac:dyDescent="0.25">
      <c r="A3" s="32">
        <v>22062020</v>
      </c>
      <c r="B3" s="33">
        <v>105000</v>
      </c>
      <c r="C3" s="33" t="s">
        <v>117</v>
      </c>
      <c r="D3" s="32"/>
      <c r="E3" s="32"/>
      <c r="F3" s="32"/>
      <c r="G3" s="32"/>
      <c r="H3" s="32"/>
      <c r="I3" s="32"/>
      <c r="J3" s="32"/>
      <c r="K3" s="32"/>
      <c r="L3" s="32"/>
      <c r="M3" s="32"/>
      <c r="N3" s="32"/>
      <c r="O3" s="32"/>
      <c r="P3" s="32"/>
      <c r="Q3" s="32"/>
      <c r="R3" s="32"/>
      <c r="S3" s="32"/>
      <c r="T3" s="32"/>
      <c r="U3" s="32"/>
      <c r="V3" s="32"/>
      <c r="W3" s="32"/>
      <c r="X3" s="32"/>
      <c r="Y3" s="32"/>
      <c r="Z3" s="32"/>
    </row>
    <row r="4" spans="1:26" ht="14.25" customHeight="1" x14ac:dyDescent="0.25">
      <c r="A4" s="33"/>
      <c r="B4" s="33"/>
      <c r="C4" s="33"/>
      <c r="D4" s="32"/>
      <c r="E4" s="32"/>
      <c r="F4" s="32"/>
      <c r="G4" s="32"/>
      <c r="H4" s="32"/>
      <c r="I4" s="32"/>
      <c r="J4" s="32"/>
      <c r="K4" s="32"/>
      <c r="L4" s="32"/>
      <c r="M4" s="32"/>
      <c r="N4" s="32"/>
      <c r="O4" s="32"/>
      <c r="P4" s="32"/>
      <c r="Q4" s="32"/>
      <c r="R4" s="32"/>
      <c r="S4" s="32"/>
      <c r="T4" s="32"/>
      <c r="U4" s="32"/>
      <c r="V4" s="32"/>
      <c r="W4" s="32"/>
      <c r="X4" s="32"/>
      <c r="Y4" s="32"/>
      <c r="Z4" s="32"/>
    </row>
    <row r="5" spans="1:26" ht="14.25" customHeight="1" x14ac:dyDescent="0.25">
      <c r="A5" s="33"/>
      <c r="B5" s="33"/>
      <c r="C5" s="33"/>
      <c r="D5" s="32"/>
      <c r="E5" s="32"/>
      <c r="F5" s="32"/>
      <c r="G5" s="32"/>
      <c r="H5" s="32"/>
      <c r="I5" s="32"/>
      <c r="J5" s="32"/>
      <c r="K5" s="32"/>
      <c r="L5" s="32"/>
      <c r="M5" s="32"/>
      <c r="N5" s="32"/>
      <c r="O5" s="32"/>
      <c r="P5" s="32"/>
      <c r="Q5" s="32"/>
      <c r="R5" s="32"/>
      <c r="S5" s="32"/>
      <c r="T5" s="32"/>
      <c r="U5" s="32"/>
      <c r="V5" s="32"/>
      <c r="W5" s="32"/>
      <c r="X5" s="32"/>
      <c r="Y5" s="32"/>
      <c r="Z5" s="32"/>
    </row>
    <row r="6" spans="1:26" ht="14.25" customHeight="1" x14ac:dyDescent="0.25">
      <c r="A6" s="33"/>
      <c r="B6" s="33"/>
      <c r="C6" s="33"/>
      <c r="D6" s="32"/>
      <c r="E6" s="32"/>
      <c r="F6" s="32"/>
      <c r="G6" s="32"/>
      <c r="H6" s="32"/>
      <c r="I6" s="32"/>
      <c r="J6" s="32"/>
      <c r="K6" s="32"/>
      <c r="L6" s="32"/>
      <c r="M6" s="32"/>
      <c r="N6" s="32"/>
      <c r="O6" s="32"/>
      <c r="P6" s="32"/>
      <c r="Q6" s="32"/>
      <c r="R6" s="32"/>
      <c r="S6" s="32"/>
      <c r="T6" s="32"/>
      <c r="U6" s="32"/>
      <c r="V6" s="32"/>
      <c r="W6" s="32"/>
      <c r="X6" s="32"/>
      <c r="Y6" s="32"/>
      <c r="Z6" s="32"/>
    </row>
    <row r="7" spans="1:26" ht="14.25" customHeight="1" x14ac:dyDescent="0.25">
      <c r="A7" s="33"/>
      <c r="B7" s="33"/>
      <c r="C7" s="33"/>
      <c r="D7" s="32"/>
      <c r="E7" s="32"/>
      <c r="F7" s="32"/>
      <c r="G7" s="32"/>
      <c r="H7" s="32"/>
      <c r="I7" s="32"/>
      <c r="J7" s="32"/>
      <c r="K7" s="32"/>
      <c r="L7" s="32"/>
      <c r="M7" s="32"/>
      <c r="N7" s="32"/>
      <c r="O7" s="32"/>
      <c r="P7" s="32"/>
      <c r="Q7" s="32"/>
      <c r="R7" s="32"/>
      <c r="S7" s="32"/>
      <c r="T7" s="32"/>
      <c r="U7" s="32"/>
      <c r="V7" s="32"/>
      <c r="W7" s="32"/>
      <c r="X7" s="32"/>
      <c r="Y7" s="32"/>
      <c r="Z7" s="32"/>
    </row>
    <row r="8" spans="1:26" ht="14.25" customHeight="1" x14ac:dyDescent="0.25">
      <c r="A8" s="33"/>
      <c r="B8" s="33"/>
      <c r="C8" s="33"/>
      <c r="D8" s="32"/>
      <c r="E8" s="32"/>
      <c r="F8" s="32"/>
      <c r="G8" s="32"/>
      <c r="H8" s="32"/>
      <c r="I8" s="32"/>
      <c r="J8" s="32"/>
      <c r="K8" s="32"/>
      <c r="L8" s="32"/>
      <c r="M8" s="32"/>
      <c r="N8" s="32"/>
      <c r="O8" s="32"/>
      <c r="P8" s="32"/>
      <c r="Q8" s="32"/>
      <c r="R8" s="32"/>
      <c r="S8" s="32"/>
      <c r="T8" s="32"/>
      <c r="U8" s="32"/>
      <c r="V8" s="32"/>
      <c r="W8" s="32"/>
      <c r="X8" s="32"/>
      <c r="Y8" s="32"/>
      <c r="Z8" s="32"/>
    </row>
    <row r="9" spans="1:26" ht="14.25" customHeight="1" x14ac:dyDescent="0.25">
      <c r="A9" s="33"/>
      <c r="B9" s="33"/>
      <c r="C9" s="33"/>
      <c r="D9" s="32"/>
      <c r="E9" s="32"/>
      <c r="F9" s="32"/>
      <c r="G9" s="32"/>
      <c r="H9" s="32"/>
      <c r="I9" s="32"/>
      <c r="J9" s="32"/>
      <c r="K9" s="32"/>
      <c r="L9" s="32"/>
      <c r="M9" s="32"/>
      <c r="N9" s="32"/>
      <c r="O9" s="32"/>
      <c r="P9" s="32"/>
      <c r="Q9" s="32"/>
      <c r="R9" s="32"/>
      <c r="S9" s="32"/>
      <c r="T9" s="32"/>
      <c r="U9" s="32"/>
      <c r="V9" s="32"/>
      <c r="W9" s="32"/>
      <c r="X9" s="32"/>
      <c r="Y9" s="32"/>
      <c r="Z9" s="32"/>
    </row>
    <row r="10" spans="1:26" ht="14.25" customHeight="1" x14ac:dyDescent="0.25">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row>
    <row r="11" spans="1:26" ht="14.25" customHeight="1" x14ac:dyDescent="0.25">
      <c r="A11" s="31" t="s">
        <v>70</v>
      </c>
      <c r="B11" s="31"/>
      <c r="C11" s="32"/>
      <c r="D11" s="32"/>
      <c r="E11" s="32"/>
      <c r="F11" s="32"/>
      <c r="G11" s="32"/>
      <c r="H11" s="32"/>
      <c r="I11" s="32"/>
      <c r="J11" s="32"/>
      <c r="K11" s="32"/>
      <c r="L11" s="32"/>
      <c r="M11" s="32"/>
      <c r="N11" s="32"/>
      <c r="O11" s="32"/>
      <c r="P11" s="32"/>
      <c r="Q11" s="32"/>
      <c r="R11" s="32"/>
      <c r="S11" s="32"/>
      <c r="T11" s="32"/>
      <c r="U11" s="32"/>
      <c r="V11" s="32"/>
      <c r="W11" s="32"/>
      <c r="X11" s="32"/>
      <c r="Y11" s="32"/>
      <c r="Z11" s="32"/>
    </row>
    <row r="12" spans="1:26" ht="14.25" customHeight="1" x14ac:dyDescent="0.25">
      <c r="A12" s="33" t="s">
        <v>153</v>
      </c>
      <c r="B12" s="33" t="s">
        <v>63</v>
      </c>
      <c r="C12" s="33" t="s">
        <v>154</v>
      </c>
      <c r="D12" s="33" t="s">
        <v>70</v>
      </c>
      <c r="E12" s="33" t="s">
        <v>155</v>
      </c>
      <c r="F12" s="32"/>
      <c r="G12" s="32"/>
      <c r="H12" s="32"/>
      <c r="I12" s="32"/>
      <c r="J12" s="32"/>
      <c r="K12" s="32"/>
      <c r="L12" s="32"/>
      <c r="M12" s="32"/>
      <c r="N12" s="32"/>
      <c r="O12" s="32"/>
      <c r="P12" s="32"/>
      <c r="Q12" s="32"/>
      <c r="R12" s="32"/>
      <c r="S12" s="32"/>
      <c r="T12" s="32"/>
      <c r="U12" s="32"/>
      <c r="V12" s="32"/>
      <c r="W12" s="32"/>
      <c r="X12" s="32"/>
      <c r="Y12" s="32"/>
      <c r="Z12" s="32"/>
    </row>
    <row r="13" spans="1:26" ht="14.25" customHeight="1" x14ac:dyDescent="0.25">
      <c r="A13" s="33" t="s">
        <v>156</v>
      </c>
      <c r="B13" s="33"/>
      <c r="C13" s="33">
        <v>-105000</v>
      </c>
      <c r="D13" s="33">
        <v>-55000</v>
      </c>
      <c r="E13" s="33">
        <v>-5500</v>
      </c>
      <c r="F13" s="32"/>
      <c r="G13" s="32"/>
      <c r="H13" s="32"/>
      <c r="I13" s="32"/>
      <c r="J13" s="32"/>
      <c r="K13" s="32"/>
      <c r="L13" s="32"/>
      <c r="M13" s="32"/>
      <c r="N13" s="32"/>
      <c r="O13" s="32"/>
      <c r="P13" s="32"/>
      <c r="Q13" s="32"/>
      <c r="R13" s="32"/>
      <c r="S13" s="32"/>
      <c r="T13" s="32"/>
      <c r="U13" s="32"/>
      <c r="V13" s="32"/>
      <c r="W13" s="32"/>
      <c r="X13" s="32"/>
      <c r="Y13" s="32"/>
      <c r="Z13" s="32"/>
    </row>
    <row r="14" spans="1:26" ht="14.25" customHeight="1" x14ac:dyDescent="0.25">
      <c r="A14" s="33" t="s">
        <v>157</v>
      </c>
      <c r="B14" s="33"/>
      <c r="C14" s="33">
        <v>0</v>
      </c>
      <c r="D14" s="33">
        <v>0</v>
      </c>
      <c r="E14" s="33">
        <v>0</v>
      </c>
      <c r="F14" s="32"/>
      <c r="G14" s="32"/>
      <c r="H14" s="32"/>
      <c r="I14" s="32"/>
      <c r="J14" s="32"/>
      <c r="K14" s="32"/>
      <c r="L14" s="32"/>
      <c r="M14" s="32"/>
      <c r="N14" s="32"/>
      <c r="O14" s="32"/>
      <c r="P14" s="32"/>
      <c r="Q14" s="32"/>
      <c r="R14" s="32"/>
      <c r="S14" s="32"/>
      <c r="T14" s="32"/>
      <c r="U14" s="32"/>
      <c r="V14" s="32"/>
      <c r="W14" s="32"/>
      <c r="X14" s="32"/>
      <c r="Y14" s="32"/>
      <c r="Z14" s="32"/>
    </row>
    <row r="15" spans="1:26" ht="14.25" customHeight="1" x14ac:dyDescent="0.25">
      <c r="A15" s="33" t="s">
        <v>158</v>
      </c>
      <c r="B15" s="33"/>
      <c r="C15" s="33">
        <v>0</v>
      </c>
      <c r="D15" s="33">
        <v>0</v>
      </c>
      <c r="E15" s="33">
        <v>0</v>
      </c>
      <c r="F15" s="32"/>
      <c r="G15" s="32"/>
      <c r="H15" s="32"/>
      <c r="I15" s="32"/>
      <c r="J15" s="32"/>
      <c r="K15" s="32"/>
      <c r="L15" s="32"/>
      <c r="M15" s="32"/>
      <c r="N15" s="32"/>
      <c r="O15" s="32"/>
      <c r="P15" s="32"/>
      <c r="Q15" s="32"/>
      <c r="R15" s="32"/>
      <c r="S15" s="32"/>
      <c r="T15" s="32"/>
      <c r="U15" s="32"/>
      <c r="V15" s="32"/>
      <c r="W15" s="32"/>
      <c r="X15" s="32"/>
      <c r="Y15" s="32"/>
      <c r="Z15" s="32"/>
    </row>
    <row r="16" spans="1:26" ht="14.25" customHeight="1" x14ac:dyDescent="0.25">
      <c r="A16" s="33" t="s">
        <v>159</v>
      </c>
      <c r="B16" s="33"/>
      <c r="C16" s="33">
        <v>0</v>
      </c>
      <c r="D16" s="33">
        <v>0</v>
      </c>
      <c r="E16" s="33">
        <v>0</v>
      </c>
      <c r="F16" s="32"/>
      <c r="G16" s="32"/>
      <c r="H16" s="32"/>
      <c r="I16" s="32"/>
      <c r="J16" s="32"/>
      <c r="K16" s="32"/>
      <c r="L16" s="32"/>
      <c r="M16" s="32"/>
      <c r="N16" s="32"/>
      <c r="O16" s="32"/>
      <c r="P16" s="32"/>
      <c r="Q16" s="32"/>
      <c r="R16" s="32"/>
      <c r="S16" s="32"/>
      <c r="T16" s="32"/>
      <c r="U16" s="32"/>
      <c r="V16" s="32"/>
      <c r="W16" s="32"/>
      <c r="X16" s="32"/>
      <c r="Y16" s="32"/>
      <c r="Z16" s="32"/>
    </row>
    <row r="17" spans="1:26" ht="14.25" customHeight="1" x14ac:dyDescent="0.25">
      <c r="A17" s="33" t="s">
        <v>160</v>
      </c>
      <c r="B17" s="33"/>
      <c r="C17" s="33">
        <v>0</v>
      </c>
      <c r="D17" s="33">
        <v>0</v>
      </c>
      <c r="E17" s="33">
        <v>0</v>
      </c>
      <c r="F17" s="32"/>
      <c r="G17" s="32"/>
      <c r="H17" s="32"/>
      <c r="I17" s="32"/>
      <c r="J17" s="32"/>
      <c r="K17" s="32"/>
      <c r="L17" s="32"/>
      <c r="M17" s="32"/>
      <c r="N17" s="32"/>
      <c r="O17" s="32"/>
      <c r="P17" s="32"/>
      <c r="Q17" s="32"/>
      <c r="R17" s="32"/>
      <c r="S17" s="32"/>
      <c r="T17" s="32"/>
      <c r="U17" s="32"/>
      <c r="V17" s="32"/>
      <c r="W17" s="32"/>
      <c r="X17" s="32"/>
      <c r="Y17" s="32"/>
      <c r="Z17" s="32"/>
    </row>
    <row r="18" spans="1:26" ht="14.25" customHeight="1" x14ac:dyDescent="0.25">
      <c r="A18" s="33" t="s">
        <v>161</v>
      </c>
      <c r="B18" s="33"/>
      <c r="C18" s="33">
        <v>0</v>
      </c>
      <c r="D18" s="33">
        <v>0</v>
      </c>
      <c r="E18" s="33">
        <v>0</v>
      </c>
      <c r="F18" s="32"/>
      <c r="G18" s="32"/>
      <c r="H18" s="32"/>
      <c r="I18" s="32"/>
      <c r="J18" s="32"/>
      <c r="K18" s="32"/>
      <c r="L18" s="32"/>
      <c r="M18" s="32"/>
      <c r="N18" s="32"/>
      <c r="O18" s="32"/>
      <c r="P18" s="32"/>
      <c r="Q18" s="32"/>
      <c r="R18" s="32"/>
      <c r="S18" s="32"/>
      <c r="T18" s="32"/>
      <c r="U18" s="32"/>
      <c r="V18" s="32"/>
      <c r="W18" s="32"/>
      <c r="X18" s="32"/>
      <c r="Y18" s="32"/>
      <c r="Z18" s="32"/>
    </row>
    <row r="19" spans="1:26" ht="14.25" customHeight="1" x14ac:dyDescent="0.25">
      <c r="A19" s="33" t="s">
        <v>162</v>
      </c>
      <c r="B19" s="33"/>
      <c r="C19" s="33">
        <v>0</v>
      </c>
      <c r="D19" s="33">
        <v>0</v>
      </c>
      <c r="E19" s="33">
        <v>0</v>
      </c>
      <c r="F19" s="32"/>
      <c r="G19" s="32"/>
      <c r="H19" s="32"/>
      <c r="I19" s="32"/>
      <c r="J19" s="32"/>
      <c r="K19" s="32"/>
      <c r="L19" s="32"/>
      <c r="M19" s="32"/>
      <c r="N19" s="32"/>
      <c r="O19" s="32"/>
      <c r="P19" s="32"/>
      <c r="Q19" s="32"/>
      <c r="R19" s="32"/>
      <c r="S19" s="32"/>
      <c r="T19" s="32"/>
      <c r="U19" s="32"/>
      <c r="V19" s="32"/>
      <c r="W19" s="32"/>
      <c r="X19" s="32"/>
      <c r="Y19" s="32"/>
      <c r="Z19" s="32"/>
    </row>
    <row r="20" spans="1:26" ht="14.25" customHeight="1" x14ac:dyDescent="0.25">
      <c r="A20" s="33" t="s">
        <v>163</v>
      </c>
      <c r="B20" s="33"/>
      <c r="C20" s="33">
        <v>0</v>
      </c>
      <c r="D20" s="33">
        <v>0</v>
      </c>
      <c r="E20" s="33">
        <v>0</v>
      </c>
      <c r="F20" s="32"/>
      <c r="G20" s="32"/>
      <c r="H20" s="32"/>
      <c r="I20" s="32"/>
      <c r="J20" s="32"/>
      <c r="K20" s="32"/>
      <c r="L20" s="32"/>
      <c r="M20" s="32"/>
      <c r="N20" s="32"/>
      <c r="O20" s="32"/>
      <c r="P20" s="32"/>
      <c r="Q20" s="32"/>
      <c r="R20" s="32"/>
      <c r="S20" s="32"/>
      <c r="T20" s="32"/>
      <c r="U20" s="32"/>
      <c r="V20" s="32"/>
      <c r="W20" s="32"/>
      <c r="X20" s="32"/>
      <c r="Y20" s="32"/>
      <c r="Z20" s="32"/>
    </row>
    <row r="21" spans="1:26" ht="14.25" customHeight="1" x14ac:dyDescent="0.25">
      <c r="A21" s="33" t="s">
        <v>164</v>
      </c>
      <c r="B21" s="33"/>
      <c r="C21" s="33">
        <v>0</v>
      </c>
      <c r="D21" s="33">
        <v>0</v>
      </c>
      <c r="E21" s="33">
        <v>0</v>
      </c>
      <c r="F21" s="32"/>
      <c r="G21" s="32"/>
      <c r="H21" s="32"/>
      <c r="I21" s="32"/>
      <c r="J21" s="32"/>
      <c r="K21" s="32"/>
      <c r="L21" s="32"/>
      <c r="M21" s="32"/>
      <c r="N21" s="32"/>
      <c r="O21" s="32"/>
      <c r="P21" s="32"/>
      <c r="Q21" s="32"/>
      <c r="R21" s="32"/>
      <c r="S21" s="32"/>
      <c r="T21" s="32"/>
      <c r="U21" s="32"/>
      <c r="V21" s="32"/>
      <c r="W21" s="32"/>
      <c r="X21" s="32"/>
      <c r="Y21" s="32"/>
      <c r="Z21" s="32"/>
    </row>
    <row r="22" spans="1:26" ht="14.25" customHeight="1" x14ac:dyDescent="0.25">
      <c r="A22" s="33" t="s">
        <v>165</v>
      </c>
      <c r="B22" s="33"/>
      <c r="C22" s="33">
        <v>105000</v>
      </c>
      <c r="D22" s="33">
        <v>0</v>
      </c>
      <c r="E22" s="33">
        <v>0</v>
      </c>
      <c r="F22" s="32"/>
      <c r="G22" s="32"/>
      <c r="H22" s="32"/>
      <c r="I22" s="32"/>
      <c r="J22" s="32"/>
      <c r="K22" s="32"/>
      <c r="L22" s="32"/>
      <c r="M22" s="32"/>
      <c r="N22" s="32"/>
      <c r="O22" s="32"/>
      <c r="P22" s="32"/>
      <c r="Q22" s="32"/>
      <c r="R22" s="32"/>
      <c r="S22" s="32"/>
      <c r="T22" s="32"/>
      <c r="U22" s="32"/>
      <c r="V22" s="32"/>
      <c r="W22" s="32"/>
      <c r="X22" s="32"/>
      <c r="Y22" s="32"/>
      <c r="Z22" s="32"/>
    </row>
    <row r="23" spans="1:26" ht="14.25" customHeight="1" x14ac:dyDescent="0.25">
      <c r="A23" s="33" t="s">
        <v>166</v>
      </c>
      <c r="B23" s="33"/>
      <c r="C23" s="33">
        <v>0</v>
      </c>
      <c r="D23" s="33">
        <v>0</v>
      </c>
      <c r="E23" s="33">
        <v>0</v>
      </c>
      <c r="F23" s="32"/>
      <c r="G23" s="32"/>
      <c r="H23" s="32"/>
      <c r="I23" s="32"/>
      <c r="J23" s="32"/>
      <c r="K23" s="32"/>
      <c r="L23" s="32"/>
      <c r="M23" s="32"/>
      <c r="N23" s="32"/>
      <c r="O23" s="32"/>
      <c r="P23" s="32"/>
      <c r="Q23" s="32"/>
      <c r="R23" s="32"/>
      <c r="S23" s="32"/>
      <c r="T23" s="32"/>
      <c r="U23" s="32"/>
      <c r="V23" s="32"/>
      <c r="W23" s="32"/>
      <c r="X23" s="32"/>
      <c r="Y23" s="32"/>
      <c r="Z23" s="32"/>
    </row>
    <row r="24" spans="1:26" ht="14.25" customHeight="1" x14ac:dyDescent="0.25">
      <c r="A24" s="33" t="s">
        <v>167</v>
      </c>
      <c r="B24" s="33"/>
      <c r="C24" s="33">
        <v>0</v>
      </c>
      <c r="D24" s="33">
        <v>0</v>
      </c>
      <c r="E24" s="33">
        <v>0</v>
      </c>
      <c r="F24" s="32"/>
      <c r="G24" s="32"/>
      <c r="H24" s="32"/>
      <c r="I24" s="32"/>
      <c r="J24" s="32"/>
      <c r="K24" s="32"/>
      <c r="L24" s="32"/>
      <c r="M24" s="32"/>
      <c r="N24" s="32"/>
      <c r="O24" s="32"/>
      <c r="P24" s="32"/>
      <c r="Q24" s="32"/>
      <c r="R24" s="32"/>
      <c r="S24" s="32"/>
      <c r="T24" s="32"/>
      <c r="U24" s="32"/>
      <c r="V24" s="32"/>
      <c r="W24" s="32"/>
      <c r="X24" s="32"/>
      <c r="Y24" s="32"/>
      <c r="Z24" s="32"/>
    </row>
    <row r="25" spans="1:26" ht="14.25" customHeight="1" x14ac:dyDescent="0.25">
      <c r="A25" s="33" t="s">
        <v>168</v>
      </c>
      <c r="B25" s="33"/>
      <c r="C25" s="33">
        <v>0</v>
      </c>
      <c r="D25" s="33">
        <v>0</v>
      </c>
      <c r="E25" s="33">
        <v>0</v>
      </c>
      <c r="F25" s="32"/>
      <c r="G25" s="32"/>
      <c r="H25" s="32"/>
      <c r="I25" s="32"/>
      <c r="J25" s="32"/>
      <c r="K25" s="32"/>
      <c r="L25" s="32"/>
      <c r="M25" s="32"/>
      <c r="N25" s="32"/>
      <c r="O25" s="32"/>
      <c r="P25" s="32"/>
      <c r="Q25" s="32"/>
      <c r="R25" s="32"/>
      <c r="S25" s="32"/>
      <c r="T25" s="32"/>
      <c r="U25" s="32"/>
      <c r="V25" s="32"/>
      <c r="W25" s="32"/>
      <c r="X25" s="32"/>
      <c r="Y25" s="32"/>
      <c r="Z25" s="32"/>
    </row>
    <row r="26" spans="1:26" ht="14.25" customHeight="1" x14ac:dyDescent="0.25">
      <c r="A26" s="33" t="s">
        <v>169</v>
      </c>
      <c r="B26" s="33"/>
      <c r="C26" s="33">
        <f>SUM(C14:C25)</f>
        <v>105000</v>
      </c>
      <c r="D26" s="33">
        <f>SUM(D13:D25)</f>
        <v>-55000</v>
      </c>
      <c r="E26" s="33">
        <f>SUM(E13:E25)</f>
        <v>-5500</v>
      </c>
      <c r="F26" s="32"/>
      <c r="G26" s="32"/>
      <c r="H26" s="32"/>
      <c r="I26" s="32"/>
      <c r="J26" s="32"/>
      <c r="K26" s="32"/>
      <c r="L26" s="32"/>
      <c r="M26" s="32"/>
      <c r="N26" s="32"/>
      <c r="O26" s="32"/>
      <c r="P26" s="32"/>
      <c r="Q26" s="32"/>
      <c r="R26" s="32"/>
      <c r="S26" s="32"/>
      <c r="T26" s="32"/>
      <c r="U26" s="32"/>
      <c r="V26" s="32"/>
      <c r="W26" s="32"/>
      <c r="X26" s="32"/>
      <c r="Y26" s="32"/>
      <c r="Z26" s="32"/>
    </row>
    <row r="27" spans="1:26" ht="14.25" customHeight="1" x14ac:dyDescent="0.25">
      <c r="A27" s="33" t="s">
        <v>133</v>
      </c>
      <c r="B27" s="33"/>
      <c r="C27" s="33">
        <v>105000</v>
      </c>
      <c r="D27" s="33">
        <f>5000*(COUNT(D14:D25)-4)</f>
        <v>40000</v>
      </c>
      <c r="E27" s="33">
        <f>500*(COUNT(E14:E25)-4)</f>
        <v>4000</v>
      </c>
      <c r="F27" s="32"/>
      <c r="G27" s="32"/>
      <c r="H27" s="32"/>
      <c r="I27" s="32"/>
      <c r="J27" s="32"/>
      <c r="K27" s="32"/>
      <c r="L27" s="32"/>
      <c r="M27" s="32"/>
      <c r="N27" s="32"/>
      <c r="O27" s="32"/>
      <c r="P27" s="32"/>
      <c r="Q27" s="32"/>
      <c r="R27" s="32"/>
      <c r="S27" s="32"/>
      <c r="T27" s="32"/>
      <c r="U27" s="32"/>
      <c r="V27" s="32"/>
      <c r="W27" s="32"/>
      <c r="X27" s="32"/>
      <c r="Y27" s="32"/>
      <c r="Z27" s="32"/>
    </row>
    <row r="28" spans="1:26" ht="14.25" customHeight="1" x14ac:dyDescent="0.25">
      <c r="A28" s="33" t="s">
        <v>170</v>
      </c>
      <c r="B28" s="33"/>
      <c r="C28" s="33">
        <f>C27-C26</f>
        <v>0</v>
      </c>
      <c r="D28" s="33">
        <f>D27-D26</f>
        <v>95000</v>
      </c>
      <c r="E28" s="33">
        <f>E27-E26-F13</f>
        <v>9500</v>
      </c>
      <c r="F28" s="32"/>
      <c r="G28" s="32"/>
      <c r="H28" s="32"/>
      <c r="I28" s="32"/>
      <c r="J28" s="32"/>
      <c r="K28" s="32"/>
      <c r="L28" s="32"/>
      <c r="M28" s="32"/>
      <c r="N28" s="32"/>
      <c r="O28" s="32"/>
      <c r="P28" s="32"/>
      <c r="Q28" s="32"/>
      <c r="R28" s="32"/>
      <c r="S28" s="32"/>
      <c r="T28" s="32"/>
      <c r="U28" s="32"/>
      <c r="V28" s="32"/>
      <c r="W28" s="32"/>
      <c r="X28" s="32"/>
      <c r="Y28" s="32"/>
      <c r="Z28" s="32"/>
    </row>
    <row r="29" spans="1:26" ht="14.25" customHeight="1" x14ac:dyDescent="0.25">
      <c r="A29" s="33" t="s">
        <v>171</v>
      </c>
      <c r="B29" s="33"/>
      <c r="C29" s="34">
        <f>C28+D28+E28</f>
        <v>104500</v>
      </c>
      <c r="D29" s="33"/>
      <c r="E29" s="33"/>
      <c r="F29" s="32"/>
      <c r="G29" s="32"/>
      <c r="H29" s="32"/>
      <c r="I29" s="32"/>
      <c r="J29" s="32"/>
      <c r="K29" s="32"/>
      <c r="L29" s="32"/>
      <c r="M29" s="32"/>
      <c r="N29" s="32"/>
      <c r="O29" s="32"/>
      <c r="P29" s="32"/>
      <c r="Q29" s="32"/>
      <c r="R29" s="32"/>
      <c r="S29" s="32"/>
      <c r="T29" s="32"/>
      <c r="U29" s="32"/>
      <c r="V29" s="32"/>
      <c r="W29" s="32"/>
      <c r="X29" s="32"/>
      <c r="Y29" s="32"/>
      <c r="Z29" s="32"/>
    </row>
    <row r="30" spans="1:26" ht="14.25" customHeight="1" x14ac:dyDescent="0.25">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spans="1:26" ht="14.25" customHeight="1" x14ac:dyDescent="0.25">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spans="1:26" ht="14.25" customHeight="1" x14ac:dyDescent="0.25">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spans="1:26" ht="14.25" customHeight="1" x14ac:dyDescent="0.25">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spans="1:26" ht="14.25" customHeight="1" x14ac:dyDescent="0.25">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14.25" customHeight="1" x14ac:dyDescent="0.2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spans="1:26" ht="14.25" customHeight="1" x14ac:dyDescent="0.25">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1:26" ht="14.25" customHeight="1" x14ac:dyDescent="0.25">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spans="1:26" ht="14.25" customHeight="1" x14ac:dyDescent="0.25">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spans="1:26" ht="14.25" customHeight="1" x14ac:dyDescent="0.25">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spans="1:26" ht="14.25" customHeight="1" x14ac:dyDescent="0.25">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spans="1:26" ht="14.25" customHeight="1" x14ac:dyDescent="0.25">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spans="1:26" ht="14.25" customHeight="1" x14ac:dyDescent="0.25">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spans="1:26" ht="14.25" customHeight="1" x14ac:dyDescent="0.25">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ht="14.25" customHeight="1" x14ac:dyDescent="0.25">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spans="1:26" ht="14.25" customHeight="1" x14ac:dyDescent="0.2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ht="14.25" customHeight="1" x14ac:dyDescent="0.25">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spans="1:26" ht="14.25" customHeight="1" x14ac:dyDescent="0.25">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spans="1:26" ht="14.25" customHeight="1" x14ac:dyDescent="0.25">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spans="1:26" ht="14.25" customHeight="1" x14ac:dyDescent="0.25">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ht="14.25" customHeight="1" x14ac:dyDescent="0.25">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spans="1:26" ht="14.25" customHeight="1" x14ac:dyDescent="0.25">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t="14.25" customHeight="1" x14ac:dyDescent="0.25">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t="14.25" customHeight="1" x14ac:dyDescent="0.25">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spans="1:26" ht="14.25" customHeight="1" x14ac:dyDescent="0.25">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ht="14.25" customHeight="1" x14ac:dyDescent="0.2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14.25" customHeight="1" x14ac:dyDescent="0.25">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14.25" customHeight="1" x14ac:dyDescent="0.25">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14.25" customHeight="1" x14ac:dyDescent="0.25">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14.25" customHeight="1" x14ac:dyDescent="0.25">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14.25" customHeight="1" x14ac:dyDescent="0.25">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14.25" customHeight="1" x14ac:dyDescent="0.25">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14.25" customHeight="1" x14ac:dyDescent="0.25">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14.25" customHeight="1" x14ac:dyDescent="0.25">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14.25" customHeight="1" x14ac:dyDescent="0.25">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14.25" customHeight="1" x14ac:dyDescent="0.2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14.25" customHeight="1" x14ac:dyDescent="0.25">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14.25" customHeight="1" x14ac:dyDescent="0.25">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14.25" customHeight="1" x14ac:dyDescent="0.25">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14.25" customHeight="1" x14ac:dyDescent="0.25">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14.25" customHeight="1" x14ac:dyDescent="0.25">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14.25" customHeight="1" x14ac:dyDescent="0.25">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14.25" customHeight="1" x14ac:dyDescent="0.25">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14.25" customHeight="1" x14ac:dyDescent="0.25">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14.25" customHeight="1" x14ac:dyDescent="0.25">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14.25" customHeight="1" x14ac:dyDescent="0.2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14.25" customHeight="1" x14ac:dyDescent="0.25">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14.25" customHeight="1" x14ac:dyDescent="0.25">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14.25" customHeight="1" x14ac:dyDescent="0.25">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14.25" customHeight="1" x14ac:dyDescent="0.25">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14.25" customHeight="1" x14ac:dyDescent="0.25">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14.25" customHeight="1" x14ac:dyDescent="0.25">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14.25" customHeight="1" x14ac:dyDescent="0.25">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14.25" customHeight="1" x14ac:dyDescent="0.25">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14.25" customHeight="1" x14ac:dyDescent="0.25">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14.25" customHeight="1" x14ac:dyDescent="0.2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14.25" customHeight="1" x14ac:dyDescent="0.25">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14.25" customHeight="1" x14ac:dyDescent="0.25">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14.25" customHeight="1" x14ac:dyDescent="0.25">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14.25" customHeight="1" x14ac:dyDescent="0.25">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14.25" customHeight="1" x14ac:dyDescent="0.25">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14.25" customHeight="1" x14ac:dyDescent="0.25">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14.25" customHeight="1" x14ac:dyDescent="0.25">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14.25" customHeight="1" x14ac:dyDescent="0.25">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14.25" customHeight="1" x14ac:dyDescent="0.25">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14.25" customHeight="1" x14ac:dyDescent="0.2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14.25" customHeight="1" x14ac:dyDescent="0.25">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14.25" customHeight="1" x14ac:dyDescent="0.25">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14.25" customHeight="1" x14ac:dyDescent="0.25">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14.25" customHeight="1" x14ac:dyDescent="0.25">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14.25" customHeight="1" x14ac:dyDescent="0.25">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14.25" customHeight="1" x14ac:dyDescent="0.25">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14.25" customHeight="1" x14ac:dyDescent="0.25">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14.25" customHeight="1" x14ac:dyDescent="0.25">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14.25" customHeight="1" x14ac:dyDescent="0.25">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14.25" customHeight="1" x14ac:dyDescent="0.2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14.25" customHeight="1" x14ac:dyDescent="0.25">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14.25" customHeight="1" x14ac:dyDescent="0.25">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14.25" customHeight="1" x14ac:dyDescent="0.25">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14.25" customHeight="1" x14ac:dyDescent="0.25">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14.25" customHeight="1" x14ac:dyDescent="0.25">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14.25" customHeight="1" x14ac:dyDescent="0.25">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14.25" customHeight="1" x14ac:dyDescent="0.25">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14.25" customHeight="1" x14ac:dyDescent="0.25">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14.25" customHeight="1" x14ac:dyDescent="0.25">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14.25" customHeight="1" x14ac:dyDescent="0.2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14.25" customHeight="1" x14ac:dyDescent="0.25">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14.25" customHeight="1" x14ac:dyDescent="0.25">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14.25" customHeight="1" x14ac:dyDescent="0.25">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14.25" customHeight="1" x14ac:dyDescent="0.25">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14.25" customHeight="1" x14ac:dyDescent="0.25">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14.25" customHeight="1" x14ac:dyDescent="0.25">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14.25" customHeight="1" x14ac:dyDescent="0.25">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14.25" customHeight="1" x14ac:dyDescent="0.25">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14.25" customHeight="1" x14ac:dyDescent="0.25">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14.25" customHeight="1" x14ac:dyDescent="0.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14.25" customHeight="1" x14ac:dyDescent="0.25">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14.25" customHeight="1" x14ac:dyDescent="0.25">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14.25" customHeight="1" x14ac:dyDescent="0.25">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14.25" customHeight="1" x14ac:dyDescent="0.25">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14.25" customHeight="1" x14ac:dyDescent="0.25">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14.25" customHeight="1" x14ac:dyDescent="0.25">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14.25" customHeight="1" x14ac:dyDescent="0.25">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14.25" customHeight="1" x14ac:dyDescent="0.25">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14.25" customHeight="1" x14ac:dyDescent="0.25">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14.25" customHeight="1" x14ac:dyDescent="0.2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14.25" customHeight="1" x14ac:dyDescent="0.25">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14.25" customHeight="1" x14ac:dyDescent="0.25">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14.25" customHeight="1" x14ac:dyDescent="0.25">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14.25" customHeight="1" x14ac:dyDescent="0.25">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14.25" customHeight="1" x14ac:dyDescent="0.25">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14.25" customHeight="1" x14ac:dyDescent="0.25">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14.25" customHeight="1" x14ac:dyDescent="0.25">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14.25" customHeight="1" x14ac:dyDescent="0.25">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14.25" customHeight="1" x14ac:dyDescent="0.25">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14.25" customHeight="1" x14ac:dyDescent="0.2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14.25" customHeight="1" x14ac:dyDescent="0.25">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14.25" customHeight="1" x14ac:dyDescent="0.25">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14.25" customHeight="1" x14ac:dyDescent="0.25">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14.25" customHeight="1" x14ac:dyDescent="0.25">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14.25" customHeight="1" x14ac:dyDescent="0.25">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14.25" customHeight="1" x14ac:dyDescent="0.25">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14.25" customHeight="1" x14ac:dyDescent="0.25">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14.25" customHeight="1" x14ac:dyDescent="0.25">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14.25" customHeight="1" x14ac:dyDescent="0.25">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14.25" customHeight="1" x14ac:dyDescent="0.2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14.25" customHeight="1" x14ac:dyDescent="0.25">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14.25" customHeight="1" x14ac:dyDescent="0.25">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14.25" customHeight="1" x14ac:dyDescent="0.25">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14.25" customHeight="1" x14ac:dyDescent="0.25">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14.25" customHeight="1" x14ac:dyDescent="0.25">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14.25" customHeight="1" x14ac:dyDescent="0.25">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14.25" customHeight="1" x14ac:dyDescent="0.25">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14.25" customHeight="1" x14ac:dyDescent="0.25">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14.25" customHeight="1" x14ac:dyDescent="0.25">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14.25" customHeight="1" x14ac:dyDescent="0.2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14.25" customHeight="1" x14ac:dyDescent="0.25">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14.25" customHeight="1" x14ac:dyDescent="0.25">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14.25" customHeight="1" x14ac:dyDescent="0.25">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14.25" customHeight="1" x14ac:dyDescent="0.25">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14.25" customHeight="1" x14ac:dyDescent="0.25">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14.25" customHeight="1" x14ac:dyDescent="0.25">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14.25" customHeight="1" x14ac:dyDescent="0.25">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14.25" customHeight="1" x14ac:dyDescent="0.25">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14.25" customHeight="1" x14ac:dyDescent="0.25">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14.25" customHeight="1" x14ac:dyDescent="0.2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14.25" customHeight="1" x14ac:dyDescent="0.25">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14.25" customHeight="1" x14ac:dyDescent="0.25">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14.25" customHeight="1" x14ac:dyDescent="0.25">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14.25" customHeight="1" x14ac:dyDescent="0.25">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14.25" customHeight="1" x14ac:dyDescent="0.25">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14.25" customHeight="1" x14ac:dyDescent="0.25">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14.25" customHeight="1" x14ac:dyDescent="0.25">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14.25" customHeight="1" x14ac:dyDescent="0.25">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14.25" customHeight="1" x14ac:dyDescent="0.25">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14.25" customHeight="1" x14ac:dyDescent="0.2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14.25" customHeight="1" x14ac:dyDescent="0.25">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14.25" customHeight="1" x14ac:dyDescent="0.25">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14.25" customHeight="1" x14ac:dyDescent="0.25">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14.25" customHeight="1" x14ac:dyDescent="0.25">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14.25" customHeight="1" x14ac:dyDescent="0.25">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14.25" customHeight="1" x14ac:dyDescent="0.25">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14.25" customHeight="1" x14ac:dyDescent="0.25">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14.25" customHeight="1" x14ac:dyDescent="0.25">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14.25" customHeight="1" x14ac:dyDescent="0.25">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14.25" customHeight="1" x14ac:dyDescent="0.2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14.25" customHeight="1" x14ac:dyDescent="0.25">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14.25" customHeight="1" x14ac:dyDescent="0.25">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14.25" customHeight="1" x14ac:dyDescent="0.25">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14.25" customHeight="1" x14ac:dyDescent="0.25">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14.25" customHeight="1" x14ac:dyDescent="0.25">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14.25" customHeight="1" x14ac:dyDescent="0.25">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14.25" customHeight="1" x14ac:dyDescent="0.25">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14.25" customHeight="1" x14ac:dyDescent="0.25">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14.25" customHeight="1" x14ac:dyDescent="0.25">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14.25" customHeight="1" x14ac:dyDescent="0.2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14.25" customHeight="1" x14ac:dyDescent="0.25">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14.25" customHeight="1" x14ac:dyDescent="0.25">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14.25" customHeight="1" x14ac:dyDescent="0.25">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14.25" customHeight="1" x14ac:dyDescent="0.25">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14.25" customHeight="1" x14ac:dyDescent="0.25">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14.25" customHeight="1" x14ac:dyDescent="0.25">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14.25" customHeight="1" x14ac:dyDescent="0.25">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14.25" customHeight="1" x14ac:dyDescent="0.25">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14.25" customHeight="1" x14ac:dyDescent="0.25">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14.25" customHeight="1" x14ac:dyDescent="0.2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14.25" customHeight="1" x14ac:dyDescent="0.25">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14.25" customHeight="1" x14ac:dyDescent="0.25">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14.25" customHeight="1" x14ac:dyDescent="0.25">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14.25" customHeight="1" x14ac:dyDescent="0.25">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14.25" customHeight="1" x14ac:dyDescent="0.25">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14.25" customHeight="1" x14ac:dyDescent="0.25">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ht="14.25" customHeight="1" x14ac:dyDescent="0.25">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ht="14.25" customHeight="1" x14ac:dyDescent="0.25">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ht="14.25" customHeight="1" x14ac:dyDescent="0.25">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ht="14.25" customHeight="1" x14ac:dyDescent="0.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ht="14.25" customHeight="1" x14ac:dyDescent="0.25">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ht="14.25" customHeight="1" x14ac:dyDescent="0.25">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ht="14.25" customHeight="1" x14ac:dyDescent="0.25">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ht="14.25" customHeight="1" x14ac:dyDescent="0.25">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ht="14.25" customHeight="1" x14ac:dyDescent="0.25">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ht="14.25" customHeight="1" x14ac:dyDescent="0.25">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ht="14.25" customHeight="1" x14ac:dyDescent="0.25">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ht="14.25" customHeight="1" x14ac:dyDescent="0.25">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ht="14.25" customHeight="1" x14ac:dyDescent="0.25">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ht="14.25" customHeight="1" x14ac:dyDescent="0.2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ht="14.25" customHeight="1" x14ac:dyDescent="0.25">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ht="14.25" customHeight="1" x14ac:dyDescent="0.25">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ht="14.25" customHeight="1" x14ac:dyDescent="0.25">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ht="14.25" customHeight="1" x14ac:dyDescent="0.25">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ht="14.25" customHeight="1" x14ac:dyDescent="0.25">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ht="14.25" customHeight="1" x14ac:dyDescent="0.25">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ht="14.25" customHeight="1" x14ac:dyDescent="0.25">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ht="14.25" customHeight="1" x14ac:dyDescent="0.25">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spans="1:26" ht="14.25" customHeight="1" x14ac:dyDescent="0.25">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spans="1:26" ht="14.25" customHeight="1" x14ac:dyDescent="0.2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spans="1:26" ht="14.25" customHeight="1" x14ac:dyDescent="0.25">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spans="1:26" ht="14.25" customHeight="1" x14ac:dyDescent="0.25">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spans="1:26" ht="14.25" customHeight="1" x14ac:dyDescent="0.25">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spans="1:26" ht="14.25" customHeight="1" x14ac:dyDescent="0.25">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spans="1:26" ht="14.25" customHeight="1" x14ac:dyDescent="0.25">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spans="1:26" ht="14.25" customHeight="1" x14ac:dyDescent="0.25">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spans="1:26" ht="14.25" customHeight="1" x14ac:dyDescent="0.25">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spans="1:26" ht="14.25" customHeight="1" x14ac:dyDescent="0.25">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spans="1:26" ht="14.25" customHeight="1" x14ac:dyDescent="0.25">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spans="1:26" ht="14.25" customHeight="1" x14ac:dyDescent="0.2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spans="1:26" ht="14.25" customHeight="1" x14ac:dyDescent="0.25">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spans="1:26" ht="14.25" customHeight="1" x14ac:dyDescent="0.25">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spans="1:26" ht="14.25" customHeight="1" x14ac:dyDescent="0.25">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spans="1:26" ht="14.25" customHeight="1" x14ac:dyDescent="0.25">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spans="1:26" ht="14.25" customHeight="1" x14ac:dyDescent="0.25">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spans="1:26" ht="14.25" customHeight="1" x14ac:dyDescent="0.25">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spans="1:26" ht="14.25" customHeight="1" x14ac:dyDescent="0.25">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spans="1:26" ht="14.25" customHeight="1" x14ac:dyDescent="0.25">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spans="1:26" ht="14.25" customHeight="1" x14ac:dyDescent="0.25">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spans="1:26" ht="14.25" customHeight="1" x14ac:dyDescent="0.2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spans="1:26" ht="14.25" customHeight="1" x14ac:dyDescent="0.25">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spans="1:26" ht="14.25" customHeight="1" x14ac:dyDescent="0.25">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spans="1:26" ht="14.25" customHeight="1" x14ac:dyDescent="0.25">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spans="1:26" ht="14.25" customHeight="1" x14ac:dyDescent="0.25">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spans="1:26" ht="14.25" customHeight="1" x14ac:dyDescent="0.25">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spans="1:26" ht="14.25" customHeight="1" x14ac:dyDescent="0.25">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spans="1:26" ht="14.25" customHeight="1" x14ac:dyDescent="0.25">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spans="1:26" ht="14.25" customHeight="1" x14ac:dyDescent="0.25">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spans="1:26" ht="14.25" customHeight="1" x14ac:dyDescent="0.25">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spans="1:26" ht="14.25" customHeight="1" x14ac:dyDescent="0.2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spans="1:26" ht="14.25" customHeight="1" x14ac:dyDescent="0.25">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spans="1:26" ht="14.25" customHeight="1" x14ac:dyDescent="0.25">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spans="1:26" ht="14.25" customHeight="1" x14ac:dyDescent="0.25">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spans="1:26" ht="14.25" customHeight="1" x14ac:dyDescent="0.25">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spans="1:26" ht="14.25" customHeight="1" x14ac:dyDescent="0.25">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spans="1:26" ht="14.25" customHeight="1" x14ac:dyDescent="0.25">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spans="1:26" ht="14.25" customHeight="1" x14ac:dyDescent="0.25">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spans="1:26" ht="14.25" customHeight="1" x14ac:dyDescent="0.25">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spans="1:26" ht="14.25" customHeight="1" x14ac:dyDescent="0.25">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spans="1:26" ht="14.25" customHeight="1" x14ac:dyDescent="0.2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spans="1:26" ht="14.25" customHeight="1" x14ac:dyDescent="0.25">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spans="1:26" ht="14.25" customHeight="1" x14ac:dyDescent="0.25">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spans="1:26" ht="14.25" customHeight="1" x14ac:dyDescent="0.25">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spans="1:26" ht="14.25" customHeight="1" x14ac:dyDescent="0.25">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spans="1:26" ht="14.25" customHeight="1" x14ac:dyDescent="0.25">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spans="1:26" ht="14.25" customHeight="1" x14ac:dyDescent="0.25">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spans="1:26" ht="14.25" customHeight="1" x14ac:dyDescent="0.25">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spans="1:26" ht="14.25" customHeight="1" x14ac:dyDescent="0.25">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spans="1:26" ht="14.25" customHeight="1" x14ac:dyDescent="0.25">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spans="1:26" ht="14.25" customHeight="1" x14ac:dyDescent="0.2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spans="1:26" ht="14.25" customHeight="1" x14ac:dyDescent="0.25">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spans="1:26" ht="14.25" customHeight="1" x14ac:dyDescent="0.25">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spans="1:26" ht="14.25" customHeight="1" x14ac:dyDescent="0.25">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spans="1:26" ht="14.25" customHeight="1" x14ac:dyDescent="0.25">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spans="1:26" ht="14.25" customHeight="1" x14ac:dyDescent="0.25">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spans="1:26" ht="14.25" customHeight="1" x14ac:dyDescent="0.25">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spans="1:26" ht="14.25" customHeight="1" x14ac:dyDescent="0.25">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spans="1:26" ht="14.25" customHeight="1" x14ac:dyDescent="0.25">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spans="1:26" ht="14.25" customHeight="1" x14ac:dyDescent="0.25">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spans="1:26" ht="14.25" customHeight="1" x14ac:dyDescent="0.2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spans="1:26" ht="14.25" customHeight="1" x14ac:dyDescent="0.25">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spans="1:26" ht="14.25" customHeight="1" x14ac:dyDescent="0.25">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spans="1:26" ht="14.25" customHeight="1" x14ac:dyDescent="0.25">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spans="1:26" ht="14.25" customHeight="1" x14ac:dyDescent="0.25">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spans="1:26" ht="14.25" customHeight="1" x14ac:dyDescent="0.25">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spans="1:26" ht="14.25" customHeight="1" x14ac:dyDescent="0.25">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spans="1:26" ht="14.25" customHeight="1" x14ac:dyDescent="0.25">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spans="1:26" ht="14.25" customHeight="1" x14ac:dyDescent="0.25">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spans="1:26" ht="14.25" customHeight="1" x14ac:dyDescent="0.25">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spans="1:26" ht="14.25" customHeight="1" x14ac:dyDescent="0.2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spans="1:26" ht="14.25" customHeight="1" x14ac:dyDescent="0.25">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spans="1:26" ht="14.25" customHeight="1" x14ac:dyDescent="0.25">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spans="1:26" ht="14.25" customHeight="1" x14ac:dyDescent="0.25">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spans="1:26" ht="14.25" customHeight="1" x14ac:dyDescent="0.25">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spans="1:26" ht="14.25" customHeight="1" x14ac:dyDescent="0.25">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spans="1:26" ht="14.25" customHeight="1" x14ac:dyDescent="0.25">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spans="1:26" ht="14.25" customHeight="1" x14ac:dyDescent="0.25">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spans="1:26" ht="14.25" customHeight="1" x14ac:dyDescent="0.25">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spans="1:26" ht="14.25" customHeight="1" x14ac:dyDescent="0.25">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spans="1:26" ht="14.25" customHeight="1" x14ac:dyDescent="0.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spans="1:26" ht="14.25" customHeight="1" x14ac:dyDescent="0.25">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spans="1:26" ht="14.25" customHeight="1" x14ac:dyDescent="0.25">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spans="1:26" ht="14.25" customHeight="1" x14ac:dyDescent="0.25">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spans="1:26" ht="14.25" customHeight="1" x14ac:dyDescent="0.25">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spans="1:26" ht="14.25" customHeight="1" x14ac:dyDescent="0.25">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spans="1:26" ht="14.25" customHeight="1" x14ac:dyDescent="0.25">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spans="1:26" ht="14.25" customHeight="1" x14ac:dyDescent="0.25">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spans="1:26" ht="14.25" customHeight="1" x14ac:dyDescent="0.25">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spans="1:26" ht="14.25" customHeight="1" x14ac:dyDescent="0.25">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spans="1:26" ht="14.25" customHeight="1" x14ac:dyDescent="0.2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spans="1:26" ht="14.25" customHeight="1" x14ac:dyDescent="0.25">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spans="1:26" ht="14.25" customHeight="1" x14ac:dyDescent="0.25">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spans="1:26" ht="14.25" customHeight="1" x14ac:dyDescent="0.25">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spans="1:26" ht="14.25" customHeight="1" x14ac:dyDescent="0.25">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spans="1:26" ht="14.25" customHeight="1" x14ac:dyDescent="0.25">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spans="1:26" ht="14.25" customHeight="1" x14ac:dyDescent="0.25">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spans="1:26" ht="14.25" customHeight="1" x14ac:dyDescent="0.25">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spans="1:26" ht="14.25" customHeight="1" x14ac:dyDescent="0.25">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spans="1:26" ht="14.25" customHeight="1" x14ac:dyDescent="0.25">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spans="1:26" ht="14.25" customHeight="1" x14ac:dyDescent="0.2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spans="1:26" ht="14.25" customHeight="1" x14ac:dyDescent="0.25">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spans="1:26" ht="14.25" customHeight="1" x14ac:dyDescent="0.25">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spans="1:26" ht="14.25" customHeight="1" x14ac:dyDescent="0.25">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spans="1:26" ht="14.25" customHeight="1" x14ac:dyDescent="0.25">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spans="1:26" ht="14.25" customHeight="1" x14ac:dyDescent="0.25">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spans="1:26" ht="14.25" customHeight="1" x14ac:dyDescent="0.25">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spans="1:26" ht="14.25" customHeight="1" x14ac:dyDescent="0.25">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spans="1:26" ht="14.25" customHeight="1" x14ac:dyDescent="0.25">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spans="1:26" ht="14.25" customHeight="1" x14ac:dyDescent="0.25">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spans="1:26" ht="14.25" customHeight="1" x14ac:dyDescent="0.2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spans="1:26" ht="14.25" customHeight="1" x14ac:dyDescent="0.25">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spans="1:26" ht="14.25" customHeight="1" x14ac:dyDescent="0.25">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spans="1:26" ht="14.25" customHeight="1" x14ac:dyDescent="0.25">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spans="1:26" ht="14.25" customHeight="1" x14ac:dyDescent="0.25">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spans="1:26" ht="14.25" customHeight="1" x14ac:dyDescent="0.25">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spans="1:26" ht="14.25" customHeight="1" x14ac:dyDescent="0.25">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spans="1:26" ht="14.25" customHeight="1" x14ac:dyDescent="0.25">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spans="1:26" ht="14.25" customHeight="1" x14ac:dyDescent="0.25">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spans="1:26" ht="14.25" customHeight="1" x14ac:dyDescent="0.25">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spans="1:26" ht="14.25" customHeight="1" x14ac:dyDescent="0.2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spans="1:26" ht="14.25" customHeight="1" x14ac:dyDescent="0.25">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spans="1:26" ht="14.25" customHeight="1" x14ac:dyDescent="0.25">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spans="1:26" ht="14.25" customHeight="1" x14ac:dyDescent="0.25">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spans="1:26" ht="14.25" customHeight="1" x14ac:dyDescent="0.25">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spans="1:26" ht="14.25" customHeight="1" x14ac:dyDescent="0.25">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spans="1:26" ht="14.25" customHeight="1" x14ac:dyDescent="0.25">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spans="1:26" ht="14.25" customHeight="1" x14ac:dyDescent="0.25">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spans="1:26" ht="14.25" customHeight="1" x14ac:dyDescent="0.25">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spans="1:26" ht="14.25" customHeight="1" x14ac:dyDescent="0.25">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spans="1:26" ht="14.25" customHeight="1" x14ac:dyDescent="0.2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spans="1:26" ht="14.25" customHeight="1" x14ac:dyDescent="0.25">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spans="1:26" ht="14.25" customHeight="1" x14ac:dyDescent="0.25">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spans="1:26" ht="14.25" customHeight="1" x14ac:dyDescent="0.25">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spans="1:26" ht="14.25" customHeight="1" x14ac:dyDescent="0.25">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spans="1:26" ht="14.25" customHeight="1" x14ac:dyDescent="0.25">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spans="1:26" ht="14.25" customHeight="1" x14ac:dyDescent="0.25">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spans="1:26" ht="14.25" customHeight="1" x14ac:dyDescent="0.25">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spans="1:26" ht="14.25" customHeight="1" x14ac:dyDescent="0.25">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spans="1:26" ht="14.25" customHeight="1" x14ac:dyDescent="0.25">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spans="1:26" ht="14.25" customHeight="1" x14ac:dyDescent="0.2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spans="1:26" ht="14.25" customHeight="1" x14ac:dyDescent="0.25">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spans="1:26" ht="14.25" customHeight="1" x14ac:dyDescent="0.25">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spans="1:26" ht="14.25" customHeight="1" x14ac:dyDescent="0.25">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spans="1:26" ht="14.25" customHeight="1" x14ac:dyDescent="0.25">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spans="1:26" ht="14.25" customHeight="1" x14ac:dyDescent="0.25">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spans="1:26" ht="14.25" customHeight="1" x14ac:dyDescent="0.25">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spans="1:26" ht="14.25" customHeight="1" x14ac:dyDescent="0.25">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spans="1:26" ht="14.25" customHeight="1" x14ac:dyDescent="0.25">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spans="1:26" ht="14.25" customHeight="1" x14ac:dyDescent="0.25">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spans="1:26" ht="14.25" customHeight="1" x14ac:dyDescent="0.2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spans="1:26" ht="14.25" customHeight="1" x14ac:dyDescent="0.25">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spans="1:26" ht="14.25" customHeight="1" x14ac:dyDescent="0.25">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spans="1:26" ht="14.25" customHeight="1" x14ac:dyDescent="0.25">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spans="1:26" ht="14.25" customHeight="1" x14ac:dyDescent="0.25">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spans="1:26" ht="14.25" customHeight="1" x14ac:dyDescent="0.25">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spans="1:26" ht="14.25" customHeight="1" x14ac:dyDescent="0.25">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spans="1:26" ht="14.25" customHeight="1" x14ac:dyDescent="0.25">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spans="1:26" ht="14.25" customHeight="1" x14ac:dyDescent="0.25">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spans="1:26" ht="14.25" customHeight="1" x14ac:dyDescent="0.25">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spans="1:26" ht="14.25" customHeight="1" x14ac:dyDescent="0.2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spans="1:26" ht="14.25" customHeight="1" x14ac:dyDescent="0.25">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spans="1:26" ht="14.25" customHeight="1" x14ac:dyDescent="0.25">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spans="1:26" ht="14.25" customHeight="1" x14ac:dyDescent="0.25">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spans="1:26" ht="14.25" customHeight="1" x14ac:dyDescent="0.25">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spans="1:26" ht="14.25" customHeight="1" x14ac:dyDescent="0.25">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spans="1:26" ht="14.25" customHeight="1" x14ac:dyDescent="0.25">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spans="1:26" ht="14.25" customHeight="1" x14ac:dyDescent="0.25">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spans="1:26" ht="14.25" customHeight="1" x14ac:dyDescent="0.25">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spans="1:26" ht="14.25" customHeight="1" x14ac:dyDescent="0.25">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spans="1:26" ht="14.25" customHeight="1" x14ac:dyDescent="0.2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spans="1:26" ht="14.25" customHeight="1" x14ac:dyDescent="0.25">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spans="1:26" ht="14.25" customHeight="1" x14ac:dyDescent="0.25">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spans="1:26" ht="14.25" customHeight="1" x14ac:dyDescent="0.25">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spans="1:26" ht="14.25" customHeight="1" x14ac:dyDescent="0.25">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spans="1:26" ht="14.25" customHeight="1" x14ac:dyDescent="0.25">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spans="1:26" ht="14.25" customHeight="1" x14ac:dyDescent="0.25">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spans="1:26" ht="14.25" customHeight="1" x14ac:dyDescent="0.25">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spans="1:26" ht="14.25" customHeight="1" x14ac:dyDescent="0.25">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spans="1:26" ht="14.25" customHeight="1" x14ac:dyDescent="0.25">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spans="1:26" ht="14.25" customHeight="1" x14ac:dyDescent="0.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spans="1:26" ht="14.25" customHeight="1" x14ac:dyDescent="0.25">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spans="1:26" ht="14.25" customHeight="1" x14ac:dyDescent="0.25">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spans="1:26" ht="14.25" customHeight="1" x14ac:dyDescent="0.25">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spans="1:26" ht="14.25" customHeight="1" x14ac:dyDescent="0.25">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spans="1:26" ht="14.25" customHeight="1" x14ac:dyDescent="0.25">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spans="1:26" ht="14.25" customHeight="1" x14ac:dyDescent="0.25">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spans="1:26" ht="14.25" customHeight="1" x14ac:dyDescent="0.25">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spans="1:26" ht="14.25" customHeight="1" x14ac:dyDescent="0.25">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spans="1:26" ht="14.25" customHeight="1" x14ac:dyDescent="0.25">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spans="1:26" ht="14.25" customHeight="1" x14ac:dyDescent="0.2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spans="1:26" ht="14.25" customHeight="1" x14ac:dyDescent="0.25">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spans="1:26" ht="14.25" customHeight="1" x14ac:dyDescent="0.25">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spans="1:26" ht="14.25" customHeight="1" x14ac:dyDescent="0.25">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spans="1:26" ht="14.25" customHeight="1" x14ac:dyDescent="0.25">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spans="1:26" ht="14.25" customHeight="1" x14ac:dyDescent="0.25">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spans="1:26" ht="14.25" customHeight="1" x14ac:dyDescent="0.25">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spans="1:26" ht="14.25" customHeight="1" x14ac:dyDescent="0.25">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spans="1:26" ht="14.25" customHeight="1" x14ac:dyDescent="0.25">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spans="1:26" ht="14.25" customHeight="1" x14ac:dyDescent="0.25">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spans="1:26" ht="14.25" customHeight="1" x14ac:dyDescent="0.2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spans="1:26" ht="14.25" customHeight="1" x14ac:dyDescent="0.25">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spans="1:26" ht="14.25" customHeight="1" x14ac:dyDescent="0.25">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spans="1:26" ht="14.25" customHeight="1" x14ac:dyDescent="0.25">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spans="1:26" ht="14.25" customHeight="1" x14ac:dyDescent="0.25">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spans="1:26" ht="14.25" customHeight="1" x14ac:dyDescent="0.25">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spans="1:26" ht="14.25" customHeight="1" x14ac:dyDescent="0.25">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spans="1:26" ht="14.25" customHeight="1" x14ac:dyDescent="0.25">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spans="1:26" ht="14.25" customHeight="1" x14ac:dyDescent="0.25">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spans="1:26" ht="14.25" customHeight="1" x14ac:dyDescent="0.25">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spans="1:26" ht="14.25" customHeight="1" x14ac:dyDescent="0.2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spans="1:26" ht="14.25" customHeight="1" x14ac:dyDescent="0.25">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spans="1:26" ht="14.25" customHeight="1" x14ac:dyDescent="0.25">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spans="1:26" ht="14.25" customHeight="1" x14ac:dyDescent="0.25">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spans="1:26" ht="14.25" customHeight="1" x14ac:dyDescent="0.25">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spans="1:26" ht="14.25" customHeight="1" x14ac:dyDescent="0.25">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spans="1:26" ht="14.25" customHeight="1" x14ac:dyDescent="0.25">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spans="1:26" ht="14.25" customHeight="1" x14ac:dyDescent="0.25">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spans="1:26" ht="14.25" customHeight="1" x14ac:dyDescent="0.25">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spans="1:26" ht="14.25" customHeight="1" x14ac:dyDescent="0.25">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spans="1:26" ht="14.25" customHeight="1" x14ac:dyDescent="0.2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spans="1:26" ht="14.25" customHeight="1" x14ac:dyDescent="0.25">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spans="1:26" ht="14.25" customHeight="1" x14ac:dyDescent="0.25">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spans="1:26" ht="14.25" customHeight="1" x14ac:dyDescent="0.25">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spans="1:26" ht="14.25" customHeight="1" x14ac:dyDescent="0.25">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spans="1:26" ht="14.25" customHeight="1" x14ac:dyDescent="0.25">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spans="1:26" ht="14.25" customHeight="1" x14ac:dyDescent="0.25">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spans="1:26" ht="14.25" customHeight="1" x14ac:dyDescent="0.25">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spans="1:26" ht="14.25" customHeight="1" x14ac:dyDescent="0.25">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spans="1:26" ht="14.25" customHeight="1" x14ac:dyDescent="0.25">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spans="1:26" ht="14.25" customHeight="1" x14ac:dyDescent="0.2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spans="1:26" ht="14.25" customHeight="1" x14ac:dyDescent="0.25">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spans="1:26" ht="14.25" customHeight="1" x14ac:dyDescent="0.25">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spans="1:26" ht="14.25" customHeight="1" x14ac:dyDescent="0.25">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spans="1:26" ht="14.25" customHeight="1" x14ac:dyDescent="0.25">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spans="1:26" ht="14.25" customHeight="1" x14ac:dyDescent="0.25">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spans="1:26" ht="14.25" customHeight="1" x14ac:dyDescent="0.25">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spans="1:26" ht="14.25" customHeight="1" x14ac:dyDescent="0.25">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spans="1:26" ht="14.25" customHeight="1" x14ac:dyDescent="0.25">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spans="1:26" ht="14.25" customHeight="1" x14ac:dyDescent="0.25">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spans="1:26" ht="14.25" customHeight="1" x14ac:dyDescent="0.2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spans="1:26" ht="14.25" customHeight="1" x14ac:dyDescent="0.25">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spans="1:26" ht="14.25" customHeight="1" x14ac:dyDescent="0.25">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spans="1:26" ht="14.25" customHeight="1" x14ac:dyDescent="0.25">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spans="1:26" ht="14.25" customHeight="1" x14ac:dyDescent="0.25">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spans="1:26" ht="14.25" customHeight="1" x14ac:dyDescent="0.25">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spans="1:26" ht="14.25" customHeight="1" x14ac:dyDescent="0.25">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spans="1:26" ht="14.25" customHeight="1" x14ac:dyDescent="0.25">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spans="1:26" ht="14.25" customHeight="1" x14ac:dyDescent="0.25">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spans="1:26" ht="14.25" customHeight="1" x14ac:dyDescent="0.25">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spans="1:26" ht="14.25" customHeight="1" x14ac:dyDescent="0.2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spans="1:26" ht="14.25" customHeight="1" x14ac:dyDescent="0.25">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spans="1:26" ht="14.25" customHeight="1" x14ac:dyDescent="0.25">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spans="1:26" ht="14.25" customHeight="1" x14ac:dyDescent="0.25">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spans="1:26" ht="14.25" customHeight="1" x14ac:dyDescent="0.25">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spans="1:26" ht="14.25" customHeight="1" x14ac:dyDescent="0.25">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spans="1:26" ht="14.25" customHeight="1" x14ac:dyDescent="0.25">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spans="1:26" ht="14.25" customHeight="1" x14ac:dyDescent="0.25">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spans="1:26" ht="14.25" customHeight="1" x14ac:dyDescent="0.25">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spans="1:26" ht="14.25" customHeight="1" x14ac:dyDescent="0.25">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spans="1:26" ht="14.25" customHeight="1" x14ac:dyDescent="0.2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spans="1:26" ht="14.25" customHeight="1" x14ac:dyDescent="0.25">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spans="1:26" ht="14.25" customHeight="1" x14ac:dyDescent="0.25">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spans="1:26" ht="14.25" customHeight="1" x14ac:dyDescent="0.25">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spans="1:26" ht="14.25" customHeight="1" x14ac:dyDescent="0.25">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spans="1:26" ht="14.25" customHeight="1" x14ac:dyDescent="0.25">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spans="1:26" ht="14.25" customHeight="1" x14ac:dyDescent="0.25">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spans="1:26" ht="14.25" customHeight="1" x14ac:dyDescent="0.25">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spans="1:26" ht="14.25" customHeight="1" x14ac:dyDescent="0.25">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spans="1:26" ht="14.25" customHeight="1" x14ac:dyDescent="0.25">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spans="1:26" ht="14.25" customHeight="1" x14ac:dyDescent="0.2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spans="1:26" ht="14.25" customHeight="1" x14ac:dyDescent="0.25">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spans="1:26" ht="14.25" customHeight="1" x14ac:dyDescent="0.25">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spans="1:26" ht="14.25" customHeight="1" x14ac:dyDescent="0.25">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spans="1:26" ht="14.25" customHeight="1" x14ac:dyDescent="0.25">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spans="1:26" ht="14.25" customHeight="1" x14ac:dyDescent="0.25">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ht="14.25" customHeight="1" x14ac:dyDescent="0.25">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ht="14.25" customHeight="1" x14ac:dyDescent="0.25">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ht="14.25" customHeight="1" x14ac:dyDescent="0.25">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ht="14.25" customHeight="1" x14ac:dyDescent="0.25">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ht="14.25" customHeight="1" x14ac:dyDescent="0.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ht="14.25" customHeight="1" x14ac:dyDescent="0.25">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ht="14.25" customHeight="1" x14ac:dyDescent="0.25">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ht="14.25" customHeight="1" x14ac:dyDescent="0.25">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ht="14.25" customHeight="1" x14ac:dyDescent="0.25">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ht="14.25" customHeight="1" x14ac:dyDescent="0.25">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ht="14.25" customHeight="1" x14ac:dyDescent="0.25">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ht="14.25" customHeight="1" x14ac:dyDescent="0.25">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ht="14.25" customHeight="1" x14ac:dyDescent="0.25">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ht="14.25" customHeight="1" x14ac:dyDescent="0.25">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ht="14.25" customHeight="1" x14ac:dyDescent="0.2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ht="14.25" customHeight="1" x14ac:dyDescent="0.25">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ht="14.25" customHeight="1" x14ac:dyDescent="0.25">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ht="14.25" customHeight="1" x14ac:dyDescent="0.25">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ht="14.25" customHeight="1" x14ac:dyDescent="0.25">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ht="14.25" customHeight="1" x14ac:dyDescent="0.25">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ht="14.25" customHeight="1" x14ac:dyDescent="0.25">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ht="14.25" customHeight="1" x14ac:dyDescent="0.25">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ht="14.25" customHeight="1" x14ac:dyDescent="0.25">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ht="14.25" customHeight="1" x14ac:dyDescent="0.25">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ht="14.25" customHeight="1" x14ac:dyDescent="0.2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ht="14.25" customHeight="1" x14ac:dyDescent="0.25">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ht="14.25" customHeight="1" x14ac:dyDescent="0.25">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ht="14.25" customHeight="1" x14ac:dyDescent="0.25">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ht="14.25" customHeight="1" x14ac:dyDescent="0.25">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ht="14.25" customHeight="1" x14ac:dyDescent="0.25">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ht="14.25" customHeight="1" x14ac:dyDescent="0.25">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ht="14.25" customHeight="1" x14ac:dyDescent="0.25">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ht="14.25" customHeight="1" x14ac:dyDescent="0.25">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ht="14.25" customHeight="1" x14ac:dyDescent="0.25">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ht="14.25" customHeight="1" x14ac:dyDescent="0.2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ht="14.25" customHeight="1" x14ac:dyDescent="0.25">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ht="14.25" customHeight="1" x14ac:dyDescent="0.25">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ht="14.25" customHeight="1" x14ac:dyDescent="0.25">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ht="14.25" customHeight="1" x14ac:dyDescent="0.25">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ht="14.25" customHeight="1" x14ac:dyDescent="0.25">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ht="14.25" customHeight="1" x14ac:dyDescent="0.25">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ht="14.25" customHeight="1" x14ac:dyDescent="0.25">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ht="14.25" customHeight="1" x14ac:dyDescent="0.25">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ht="14.25" customHeight="1" x14ac:dyDescent="0.25">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ht="14.25" customHeight="1" x14ac:dyDescent="0.2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ht="14.25" customHeight="1" x14ac:dyDescent="0.25">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ht="14.25" customHeight="1" x14ac:dyDescent="0.25">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ht="14.25" customHeight="1" x14ac:dyDescent="0.25">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ht="14.25" customHeight="1" x14ac:dyDescent="0.25">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ht="14.25" customHeight="1" x14ac:dyDescent="0.25">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ht="14.25" customHeight="1" x14ac:dyDescent="0.25">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ht="14.25" customHeight="1" x14ac:dyDescent="0.25">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ht="14.25" customHeight="1" x14ac:dyDescent="0.25">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ht="14.25" customHeight="1" x14ac:dyDescent="0.25">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ht="14.25" customHeight="1" x14ac:dyDescent="0.2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ht="14.25" customHeight="1" x14ac:dyDescent="0.25">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ht="14.25" customHeight="1" x14ac:dyDescent="0.25">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ht="14.25" customHeight="1" x14ac:dyDescent="0.25">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ht="14.25" customHeight="1" x14ac:dyDescent="0.25">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ht="14.25" customHeight="1" x14ac:dyDescent="0.25">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ht="14.25" customHeight="1" x14ac:dyDescent="0.25">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ht="14.25" customHeight="1" x14ac:dyDescent="0.25">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ht="14.25" customHeight="1" x14ac:dyDescent="0.25">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ht="14.25" customHeight="1" x14ac:dyDescent="0.25">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ht="14.25" customHeight="1" x14ac:dyDescent="0.2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ht="14.25" customHeight="1" x14ac:dyDescent="0.25">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ht="14.25" customHeight="1" x14ac:dyDescent="0.25">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ht="14.25" customHeight="1" x14ac:dyDescent="0.25">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ht="14.25" customHeight="1" x14ac:dyDescent="0.25">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ht="14.25" customHeight="1" x14ac:dyDescent="0.25">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ht="14.25" customHeight="1" x14ac:dyDescent="0.25">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ht="14.25" customHeight="1" x14ac:dyDescent="0.25">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ht="14.25" customHeight="1" x14ac:dyDescent="0.25">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ht="14.25" customHeight="1" x14ac:dyDescent="0.25">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ht="14.25" customHeight="1" x14ac:dyDescent="0.2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ht="14.25" customHeight="1" x14ac:dyDescent="0.25">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ht="14.25" customHeight="1" x14ac:dyDescent="0.25">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ht="14.25" customHeight="1" x14ac:dyDescent="0.25">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ht="14.25" customHeight="1" x14ac:dyDescent="0.25">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ht="14.25" customHeight="1" x14ac:dyDescent="0.25">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ht="14.25" customHeight="1" x14ac:dyDescent="0.25">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ht="14.25" customHeight="1" x14ac:dyDescent="0.25">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ht="14.25" customHeight="1" x14ac:dyDescent="0.25">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ht="14.25" customHeight="1" x14ac:dyDescent="0.25">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ht="14.25" customHeight="1" x14ac:dyDescent="0.2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ht="14.25" customHeight="1" x14ac:dyDescent="0.25">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ht="14.25" customHeight="1" x14ac:dyDescent="0.25">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ht="14.25" customHeight="1" x14ac:dyDescent="0.25">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ht="14.25" customHeight="1" x14ac:dyDescent="0.25">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ht="14.25" customHeight="1" x14ac:dyDescent="0.25">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ht="14.25" customHeight="1" x14ac:dyDescent="0.25">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ht="14.25" customHeight="1" x14ac:dyDescent="0.25">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ht="14.25" customHeight="1" x14ac:dyDescent="0.25">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ht="14.25" customHeight="1" x14ac:dyDescent="0.25">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ht="14.25" customHeight="1" x14ac:dyDescent="0.2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ht="14.25" customHeight="1" x14ac:dyDescent="0.25">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ht="14.25" customHeight="1" x14ac:dyDescent="0.25">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ht="14.25" customHeight="1" x14ac:dyDescent="0.25">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ht="14.25" customHeight="1" x14ac:dyDescent="0.25">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ht="14.25" customHeight="1" x14ac:dyDescent="0.25">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ht="14.25" customHeight="1" x14ac:dyDescent="0.25">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ht="14.25" customHeight="1" x14ac:dyDescent="0.25">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ht="14.25" customHeight="1" x14ac:dyDescent="0.25">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ht="14.25" customHeight="1" x14ac:dyDescent="0.25">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ht="14.25" customHeight="1" x14ac:dyDescent="0.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ht="14.25" customHeight="1" x14ac:dyDescent="0.25">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ht="14.25" customHeight="1" x14ac:dyDescent="0.25">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ht="14.25" customHeight="1" x14ac:dyDescent="0.25">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ht="14.25" customHeight="1" x14ac:dyDescent="0.25">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ht="14.25" customHeight="1" x14ac:dyDescent="0.25">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ht="14.25" customHeight="1" x14ac:dyDescent="0.25">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ht="14.25" customHeight="1" x14ac:dyDescent="0.25">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ht="14.25" customHeight="1" x14ac:dyDescent="0.25">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ht="14.25" customHeight="1" x14ac:dyDescent="0.25">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ht="14.25" customHeight="1" x14ac:dyDescent="0.2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ht="14.25" customHeight="1" x14ac:dyDescent="0.25">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ht="14.25" customHeight="1" x14ac:dyDescent="0.25">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ht="14.25" customHeight="1" x14ac:dyDescent="0.25">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ht="14.25" customHeight="1" x14ac:dyDescent="0.25">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ht="14.25" customHeight="1" x14ac:dyDescent="0.25">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ht="14.25" customHeight="1" x14ac:dyDescent="0.25">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ht="14.25" customHeight="1" x14ac:dyDescent="0.25">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ht="14.25" customHeight="1" x14ac:dyDescent="0.25">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ht="14.25" customHeight="1" x14ac:dyDescent="0.25">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ht="14.25" customHeight="1" x14ac:dyDescent="0.2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ht="14.25" customHeight="1" x14ac:dyDescent="0.25">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ht="14.25" customHeight="1" x14ac:dyDescent="0.25">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ht="14.25" customHeight="1" x14ac:dyDescent="0.25">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ht="14.25" customHeight="1" x14ac:dyDescent="0.25">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ht="14.25" customHeight="1" x14ac:dyDescent="0.25">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ht="14.25" customHeight="1" x14ac:dyDescent="0.25">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ht="14.25" customHeight="1" x14ac:dyDescent="0.25">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ht="14.25" customHeight="1" x14ac:dyDescent="0.25">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ht="14.25" customHeight="1" x14ac:dyDescent="0.25">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ht="14.25" customHeight="1" x14ac:dyDescent="0.2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ht="14.25" customHeight="1" x14ac:dyDescent="0.25">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ht="14.25" customHeight="1" x14ac:dyDescent="0.25">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ht="14.25" customHeight="1" x14ac:dyDescent="0.25">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ht="14.25" customHeight="1" x14ac:dyDescent="0.25">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ht="14.25" customHeight="1" x14ac:dyDescent="0.25">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ht="14.25" customHeight="1" x14ac:dyDescent="0.25">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ht="14.25" customHeight="1" x14ac:dyDescent="0.25">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ht="14.25" customHeight="1" x14ac:dyDescent="0.25">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ht="14.25" customHeight="1" x14ac:dyDescent="0.25">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ht="14.25" customHeight="1" x14ac:dyDescent="0.2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ht="14.25" customHeight="1" x14ac:dyDescent="0.25">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ht="14.25" customHeight="1" x14ac:dyDescent="0.25">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ht="14.25" customHeight="1" x14ac:dyDescent="0.25">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ht="14.25" customHeight="1" x14ac:dyDescent="0.25">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ht="14.25" customHeight="1" x14ac:dyDescent="0.25">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ht="14.25" customHeight="1" x14ac:dyDescent="0.25">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ht="14.25" customHeight="1" x14ac:dyDescent="0.25">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ht="14.25" customHeight="1" x14ac:dyDescent="0.25">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ht="14.25" customHeight="1" x14ac:dyDescent="0.25">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ht="14.25" customHeight="1" x14ac:dyDescent="0.2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ht="14.25" customHeight="1" x14ac:dyDescent="0.25">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ht="14.25" customHeight="1" x14ac:dyDescent="0.25">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ht="14.25" customHeight="1" x14ac:dyDescent="0.25">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ht="14.25" customHeight="1" x14ac:dyDescent="0.25">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ht="14.25" customHeight="1" x14ac:dyDescent="0.25">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ht="14.25" customHeight="1" x14ac:dyDescent="0.25">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ht="14.25" customHeight="1" x14ac:dyDescent="0.25">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ht="14.25" customHeight="1" x14ac:dyDescent="0.25">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ht="14.25" customHeight="1" x14ac:dyDescent="0.25">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ht="14.25" customHeight="1" x14ac:dyDescent="0.2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ht="14.25" customHeight="1" x14ac:dyDescent="0.25">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ht="14.25" customHeight="1" x14ac:dyDescent="0.25">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ht="14.25" customHeight="1" x14ac:dyDescent="0.25">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ht="14.25" customHeight="1" x14ac:dyDescent="0.25">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ht="14.25" customHeight="1" x14ac:dyDescent="0.25">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ht="14.25" customHeight="1" x14ac:dyDescent="0.25">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ht="14.25" customHeight="1" x14ac:dyDescent="0.25">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ht="14.25" customHeight="1" x14ac:dyDescent="0.25">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ht="14.25" customHeight="1" x14ac:dyDescent="0.25">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ht="14.25" customHeight="1" x14ac:dyDescent="0.2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ht="14.25" customHeight="1" x14ac:dyDescent="0.25">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ht="14.25" customHeight="1" x14ac:dyDescent="0.25">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ht="14.25" customHeight="1" x14ac:dyDescent="0.25">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ht="14.25" customHeight="1" x14ac:dyDescent="0.25">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ht="14.25" customHeight="1" x14ac:dyDescent="0.25">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ht="14.25" customHeight="1" x14ac:dyDescent="0.25">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ht="14.25" customHeight="1" x14ac:dyDescent="0.25">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ht="14.25" customHeight="1" x14ac:dyDescent="0.25">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ht="14.25" customHeight="1" x14ac:dyDescent="0.25">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ht="14.25" customHeight="1" x14ac:dyDescent="0.2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ht="14.25" customHeight="1" x14ac:dyDescent="0.25">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ht="14.25" customHeight="1" x14ac:dyDescent="0.25">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ht="14.25" customHeight="1" x14ac:dyDescent="0.25">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ht="14.25" customHeight="1" x14ac:dyDescent="0.25">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ht="14.25" customHeight="1" x14ac:dyDescent="0.25">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ht="14.25" customHeight="1" x14ac:dyDescent="0.25">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ht="14.25" customHeight="1" x14ac:dyDescent="0.25">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ht="14.25" customHeight="1" x14ac:dyDescent="0.25">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ht="14.25" customHeight="1" x14ac:dyDescent="0.25">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ht="14.25" customHeight="1" x14ac:dyDescent="0.2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ht="14.25" customHeight="1" x14ac:dyDescent="0.25">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ht="14.25" customHeight="1" x14ac:dyDescent="0.25">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ht="14.25" customHeight="1" x14ac:dyDescent="0.25">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ht="14.25" customHeight="1" x14ac:dyDescent="0.25">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ht="14.25" customHeight="1" x14ac:dyDescent="0.25">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ht="14.25" customHeight="1" x14ac:dyDescent="0.25">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ht="14.25" customHeight="1" x14ac:dyDescent="0.25">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ht="14.25" customHeight="1" x14ac:dyDescent="0.25">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ht="14.25" customHeight="1" x14ac:dyDescent="0.25">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ht="14.25" customHeight="1" x14ac:dyDescent="0.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ht="14.25" customHeight="1" x14ac:dyDescent="0.25">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ht="14.25" customHeight="1" x14ac:dyDescent="0.25">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ht="14.25" customHeight="1" x14ac:dyDescent="0.25">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ht="14.25" customHeight="1" x14ac:dyDescent="0.25">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ht="14.25" customHeight="1" x14ac:dyDescent="0.25">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ht="14.25" customHeight="1" x14ac:dyDescent="0.25">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ht="14.25" customHeight="1" x14ac:dyDescent="0.25">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ht="14.25" customHeight="1" x14ac:dyDescent="0.25">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ht="14.25" customHeight="1" x14ac:dyDescent="0.25">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ht="14.25" customHeight="1" x14ac:dyDescent="0.2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ht="14.25" customHeight="1" x14ac:dyDescent="0.25">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ht="14.25" customHeight="1" x14ac:dyDescent="0.25">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ht="14.25" customHeight="1" x14ac:dyDescent="0.25">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ht="14.25" customHeight="1" x14ac:dyDescent="0.25">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ht="14.25" customHeight="1" x14ac:dyDescent="0.25">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ht="14.25" customHeight="1" x14ac:dyDescent="0.25">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ht="14.25" customHeight="1" x14ac:dyDescent="0.25">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ht="14.25" customHeight="1" x14ac:dyDescent="0.25">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ht="14.25" customHeight="1" x14ac:dyDescent="0.25">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ht="14.25" customHeight="1" x14ac:dyDescent="0.2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ht="14.25" customHeight="1" x14ac:dyDescent="0.25">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ht="14.25" customHeight="1" x14ac:dyDescent="0.25">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ht="14.25" customHeight="1" x14ac:dyDescent="0.25">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ht="14.25" customHeight="1" x14ac:dyDescent="0.25">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ht="14.25" customHeight="1" x14ac:dyDescent="0.25">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ht="14.25" customHeight="1" x14ac:dyDescent="0.25">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ht="14.25" customHeight="1" x14ac:dyDescent="0.25">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ht="14.25" customHeight="1" x14ac:dyDescent="0.25">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ht="14.25" customHeight="1" x14ac:dyDescent="0.25">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ht="14.25" customHeight="1" x14ac:dyDescent="0.2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ht="14.25" customHeight="1" x14ac:dyDescent="0.25">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ht="14.25" customHeight="1" x14ac:dyDescent="0.25">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ht="14.25" customHeight="1" x14ac:dyDescent="0.25">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ht="14.25" customHeight="1" x14ac:dyDescent="0.25">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ht="14.25" customHeight="1" x14ac:dyDescent="0.25">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ht="14.25" customHeight="1" x14ac:dyDescent="0.25">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ht="14.25" customHeight="1" x14ac:dyDescent="0.25">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ht="14.25" customHeight="1" x14ac:dyDescent="0.25">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ht="14.25" customHeight="1" x14ac:dyDescent="0.25">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ht="14.25" customHeight="1" x14ac:dyDescent="0.2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ht="14.25" customHeight="1" x14ac:dyDescent="0.25">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ht="14.25" customHeight="1" x14ac:dyDescent="0.25">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ht="14.25" customHeight="1" x14ac:dyDescent="0.25">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ht="14.25" customHeight="1" x14ac:dyDescent="0.25">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ht="14.25" customHeight="1" x14ac:dyDescent="0.25">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ht="14.25" customHeight="1" x14ac:dyDescent="0.25">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ht="14.25" customHeight="1" x14ac:dyDescent="0.25">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ht="14.25" customHeight="1" x14ac:dyDescent="0.25">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ht="14.25" customHeight="1" x14ac:dyDescent="0.25">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ht="14.25" customHeight="1" x14ac:dyDescent="0.2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ht="14.25" customHeight="1" x14ac:dyDescent="0.25">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ht="14.25" customHeight="1" x14ac:dyDescent="0.25">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ht="14.25" customHeight="1" x14ac:dyDescent="0.25">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ht="14.25" customHeight="1" x14ac:dyDescent="0.25">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ht="14.25" customHeight="1" x14ac:dyDescent="0.25">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ht="14.25" customHeight="1" x14ac:dyDescent="0.25">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ht="14.25" customHeight="1" x14ac:dyDescent="0.25">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ht="14.25" customHeight="1" x14ac:dyDescent="0.25">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ht="14.25" customHeight="1" x14ac:dyDescent="0.25">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ht="14.25" customHeight="1" x14ac:dyDescent="0.2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ht="14.25" customHeight="1" x14ac:dyDescent="0.25">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ht="14.25" customHeight="1" x14ac:dyDescent="0.25">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ht="14.25" customHeight="1" x14ac:dyDescent="0.25">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ht="14.25" customHeight="1" x14ac:dyDescent="0.25">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ht="14.25" customHeight="1" x14ac:dyDescent="0.25">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ht="14.25" customHeight="1" x14ac:dyDescent="0.25">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ht="14.25" customHeight="1" x14ac:dyDescent="0.25">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ht="14.25" customHeight="1" x14ac:dyDescent="0.25">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ht="14.25" customHeight="1" x14ac:dyDescent="0.25">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ht="14.25" customHeight="1" x14ac:dyDescent="0.2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ht="14.25" customHeight="1" x14ac:dyDescent="0.25">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ht="14.25" customHeight="1" x14ac:dyDescent="0.25">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ht="14.25" customHeight="1" x14ac:dyDescent="0.25">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ht="14.25" customHeight="1" x14ac:dyDescent="0.25">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ht="14.25" customHeight="1" x14ac:dyDescent="0.25">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ht="14.25" customHeight="1" x14ac:dyDescent="0.25">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ht="14.25" customHeight="1" x14ac:dyDescent="0.25">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ht="14.25" customHeight="1" x14ac:dyDescent="0.25">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ht="14.25" customHeight="1" x14ac:dyDescent="0.25">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ht="14.25" customHeight="1" x14ac:dyDescent="0.2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ht="14.25" customHeight="1" x14ac:dyDescent="0.25">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ht="14.25" customHeight="1" x14ac:dyDescent="0.25">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ht="14.25" customHeight="1" x14ac:dyDescent="0.25">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ht="14.25" customHeight="1" x14ac:dyDescent="0.25">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ht="14.25" customHeight="1" x14ac:dyDescent="0.25">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ht="14.25" customHeight="1" x14ac:dyDescent="0.25">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ht="14.25" customHeight="1" x14ac:dyDescent="0.25">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ht="14.25" customHeight="1" x14ac:dyDescent="0.25">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ht="14.25" customHeight="1" x14ac:dyDescent="0.25">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ht="14.25" customHeight="1" x14ac:dyDescent="0.2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ht="14.25" customHeight="1" x14ac:dyDescent="0.25">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ht="14.25" customHeight="1" x14ac:dyDescent="0.25">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ht="14.25" customHeight="1" x14ac:dyDescent="0.25">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ht="14.25" customHeight="1" x14ac:dyDescent="0.25">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ht="14.25" customHeight="1" x14ac:dyDescent="0.25">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ht="14.25" customHeight="1" x14ac:dyDescent="0.25">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ht="14.25" customHeight="1" x14ac:dyDescent="0.25">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ht="14.25" customHeight="1" x14ac:dyDescent="0.25">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ht="14.25" customHeight="1" x14ac:dyDescent="0.25">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ht="14.25" customHeight="1" x14ac:dyDescent="0.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ht="14.25" customHeight="1" x14ac:dyDescent="0.25">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ht="14.25" customHeight="1" x14ac:dyDescent="0.25">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ht="14.25" customHeight="1" x14ac:dyDescent="0.25">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ht="14.25" customHeight="1" x14ac:dyDescent="0.25">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ht="14.25" customHeight="1" x14ac:dyDescent="0.25">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ht="14.25" customHeight="1" x14ac:dyDescent="0.25">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ht="14.25" customHeight="1" x14ac:dyDescent="0.25">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ht="14.25" customHeight="1" x14ac:dyDescent="0.25">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ht="14.25" customHeight="1" x14ac:dyDescent="0.25">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ht="14.25" customHeight="1" x14ac:dyDescent="0.2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ht="14.25" customHeight="1" x14ac:dyDescent="0.25">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ht="14.25" customHeight="1" x14ac:dyDescent="0.25">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ht="14.25" customHeight="1" x14ac:dyDescent="0.25">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ht="14.25" customHeight="1" x14ac:dyDescent="0.25">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ht="14.25" customHeight="1" x14ac:dyDescent="0.25">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ht="14.25" customHeight="1" x14ac:dyDescent="0.25">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ht="14.25" customHeight="1" x14ac:dyDescent="0.25">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ht="14.25" customHeight="1" x14ac:dyDescent="0.25">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ht="14.25" customHeight="1" x14ac:dyDescent="0.25">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ht="14.25" customHeight="1" x14ac:dyDescent="0.2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ht="14.25" customHeight="1" x14ac:dyDescent="0.25">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ht="14.25" customHeight="1" x14ac:dyDescent="0.25">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ht="14.25" customHeight="1" x14ac:dyDescent="0.25">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ht="14.25" customHeight="1" x14ac:dyDescent="0.25">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ht="14.25" customHeight="1" x14ac:dyDescent="0.25">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ht="14.25" customHeight="1" x14ac:dyDescent="0.25">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ht="14.25" customHeight="1" x14ac:dyDescent="0.25">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ht="14.25" customHeight="1" x14ac:dyDescent="0.25">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ht="14.25" customHeight="1" x14ac:dyDescent="0.25">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ht="14.25" customHeight="1" x14ac:dyDescent="0.2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ht="14.25" customHeight="1" x14ac:dyDescent="0.25">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ht="14.25" customHeight="1" x14ac:dyDescent="0.25">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ht="14.25" customHeight="1" x14ac:dyDescent="0.25">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ht="14.25" customHeight="1" x14ac:dyDescent="0.25">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ht="14.25" customHeight="1" x14ac:dyDescent="0.25">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ht="14.25" customHeight="1" x14ac:dyDescent="0.25">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ht="14.25" customHeight="1" x14ac:dyDescent="0.25">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ht="14.25" customHeight="1" x14ac:dyDescent="0.25">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ht="14.25" customHeight="1" x14ac:dyDescent="0.25">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ht="14.25" customHeight="1" x14ac:dyDescent="0.2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ht="14.25" customHeight="1" x14ac:dyDescent="0.25">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ht="14.25" customHeight="1" x14ac:dyDescent="0.25">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ht="14.25" customHeight="1" x14ac:dyDescent="0.25">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ht="14.25" customHeight="1" x14ac:dyDescent="0.25">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ht="14.25" customHeight="1" x14ac:dyDescent="0.25">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ht="14.25" customHeight="1" x14ac:dyDescent="0.25">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ht="14.25" customHeight="1" x14ac:dyDescent="0.25">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ht="14.25" customHeight="1" x14ac:dyDescent="0.25">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ht="14.25" customHeight="1" x14ac:dyDescent="0.25">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ht="14.25" customHeight="1" x14ac:dyDescent="0.2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ht="14.25" customHeight="1" x14ac:dyDescent="0.25">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ht="14.25" customHeight="1" x14ac:dyDescent="0.25">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ht="14.25" customHeight="1" x14ac:dyDescent="0.25">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ht="14.25" customHeight="1" x14ac:dyDescent="0.25">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ht="14.25" customHeight="1" x14ac:dyDescent="0.25">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ht="14.25" customHeight="1" x14ac:dyDescent="0.25">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ht="14.25" customHeight="1" x14ac:dyDescent="0.25">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ht="14.25" customHeight="1" x14ac:dyDescent="0.25">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ht="14.25" customHeight="1" x14ac:dyDescent="0.25">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ht="14.25" customHeight="1" x14ac:dyDescent="0.2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ht="14.25" customHeight="1" x14ac:dyDescent="0.25">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ht="14.25" customHeight="1" x14ac:dyDescent="0.25">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ht="14.25" customHeight="1" x14ac:dyDescent="0.25">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ht="14.25" customHeight="1" x14ac:dyDescent="0.25">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ht="14.25" customHeight="1" x14ac:dyDescent="0.25">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ht="14.25" customHeight="1" x14ac:dyDescent="0.25">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ht="14.25" customHeight="1" x14ac:dyDescent="0.25">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ht="14.25" customHeight="1" x14ac:dyDescent="0.25">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ht="14.25" customHeight="1" x14ac:dyDescent="0.25">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ht="14.25" customHeight="1" x14ac:dyDescent="0.2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ht="14.25" customHeight="1" x14ac:dyDescent="0.25">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ht="14.25" customHeight="1" x14ac:dyDescent="0.25">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ht="14.25" customHeight="1" x14ac:dyDescent="0.25">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ht="14.25" customHeight="1" x14ac:dyDescent="0.25">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ht="14.25" customHeight="1" x14ac:dyDescent="0.25">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ht="14.25" customHeight="1" x14ac:dyDescent="0.25">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ht="14.25" customHeight="1" x14ac:dyDescent="0.25">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ht="14.25" customHeight="1" x14ac:dyDescent="0.25">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ht="14.25" customHeight="1" x14ac:dyDescent="0.25">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ht="14.25" customHeight="1" x14ac:dyDescent="0.2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ht="14.25" customHeight="1" x14ac:dyDescent="0.25">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ht="14.25" customHeight="1" x14ac:dyDescent="0.25">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ht="14.25" customHeight="1" x14ac:dyDescent="0.25">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ht="14.25" customHeight="1" x14ac:dyDescent="0.25">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ht="14.25" customHeight="1" x14ac:dyDescent="0.25">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ht="14.25" customHeight="1" x14ac:dyDescent="0.25">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ht="14.25" customHeight="1" x14ac:dyDescent="0.25">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ht="14.25" customHeight="1" x14ac:dyDescent="0.25">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ht="14.25" customHeight="1" x14ac:dyDescent="0.25">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ht="14.25" customHeight="1" x14ac:dyDescent="0.2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ht="14.25" customHeight="1" x14ac:dyDescent="0.25">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ht="14.25" customHeight="1" x14ac:dyDescent="0.25">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ht="14.25" customHeight="1" x14ac:dyDescent="0.25">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ht="14.25" customHeight="1" x14ac:dyDescent="0.25">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spans="1:26" ht="14.25" customHeight="1" x14ac:dyDescent="0.25">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spans="1:26" ht="14.25" customHeight="1" x14ac:dyDescent="0.25">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spans="1:26" ht="14.25" customHeight="1" x14ac:dyDescent="0.25">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spans="1:26" ht="14.25" customHeight="1" x14ac:dyDescent="0.25">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spans="1:26" ht="14.25" customHeight="1" x14ac:dyDescent="0.25">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spans="1:26" ht="14.25" customHeight="1" x14ac:dyDescent="0.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spans="1:26" ht="14.25" customHeight="1" x14ac:dyDescent="0.25">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spans="1:26" ht="14.25" customHeight="1" x14ac:dyDescent="0.25">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spans="1:26" ht="14.25" customHeight="1" x14ac:dyDescent="0.25">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spans="1:26" ht="14.25" customHeight="1" x14ac:dyDescent="0.25">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spans="1:26" ht="14.25" customHeight="1" x14ac:dyDescent="0.25">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spans="1:26" ht="14.25" customHeight="1" x14ac:dyDescent="0.25">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spans="1:26" ht="14.25" customHeight="1" x14ac:dyDescent="0.25">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spans="1:26" ht="14.25" customHeight="1" x14ac:dyDescent="0.25">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spans="1:26" ht="14.25" customHeight="1" x14ac:dyDescent="0.25">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spans="1:26" ht="14.25" customHeight="1" x14ac:dyDescent="0.2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spans="1:26" ht="14.25" customHeight="1" x14ac:dyDescent="0.25">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spans="1:26" ht="14.25" customHeight="1" x14ac:dyDescent="0.25">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spans="1:26" ht="14.25" customHeight="1" x14ac:dyDescent="0.25">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spans="1:26" ht="14.25" customHeight="1" x14ac:dyDescent="0.25">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spans="1:26" ht="14.25" customHeight="1" x14ac:dyDescent="0.25">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spans="1:26" ht="14.25" customHeight="1" x14ac:dyDescent="0.25">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spans="1:26" ht="14.25" customHeight="1" x14ac:dyDescent="0.25">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spans="1:26" ht="14.25" customHeight="1" x14ac:dyDescent="0.25">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spans="1:26" ht="14.25" customHeight="1" x14ac:dyDescent="0.25">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spans="1:26" ht="14.25" customHeight="1" x14ac:dyDescent="0.2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spans="1:26" ht="14.25" customHeight="1" x14ac:dyDescent="0.25">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spans="1:26" ht="14.25" customHeight="1" x14ac:dyDescent="0.25">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spans="1:26" ht="14.25" customHeight="1" x14ac:dyDescent="0.25">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spans="1:26" ht="14.25" customHeight="1" x14ac:dyDescent="0.25">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spans="1:26" ht="14.25" customHeight="1" x14ac:dyDescent="0.25">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spans="1:26" ht="14.25" customHeight="1" x14ac:dyDescent="0.25">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spans="1:26" ht="14.25" customHeight="1" x14ac:dyDescent="0.25">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spans="1:26" ht="14.25" customHeight="1" x14ac:dyDescent="0.25">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spans="1:26" ht="14.25" customHeight="1" x14ac:dyDescent="0.25">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spans="1:26" ht="14.25" customHeight="1" x14ac:dyDescent="0.2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spans="1:26" ht="14.25" customHeight="1" x14ac:dyDescent="0.25">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spans="1:26" ht="14.25" customHeight="1" x14ac:dyDescent="0.25">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spans="1:26" ht="14.25" customHeight="1" x14ac:dyDescent="0.25">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spans="1:26" ht="14.25" customHeight="1" x14ac:dyDescent="0.25">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spans="1:26" ht="14.25" customHeight="1" x14ac:dyDescent="0.25">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spans="1:26" ht="14.25" customHeight="1" x14ac:dyDescent="0.25">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spans="1:26" ht="14.25" customHeight="1" x14ac:dyDescent="0.25">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spans="1:26" ht="14.25" customHeight="1" x14ac:dyDescent="0.25">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spans="1:26" ht="14.25" customHeight="1" x14ac:dyDescent="0.25">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spans="1:26" ht="14.25" customHeight="1" x14ac:dyDescent="0.2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spans="1:26" ht="14.25" customHeight="1" x14ac:dyDescent="0.25">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spans="1:26" ht="14.25" customHeight="1" x14ac:dyDescent="0.25">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spans="1:26" ht="14.25" customHeight="1" x14ac:dyDescent="0.25">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spans="1:26" ht="14.25" customHeight="1" x14ac:dyDescent="0.25">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spans="1:26" ht="14.25" customHeight="1" x14ac:dyDescent="0.25">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spans="1:26" ht="14.25" customHeight="1" x14ac:dyDescent="0.25">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spans="1:26" ht="14.25" customHeight="1" x14ac:dyDescent="0.25">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spans="1:26" ht="14.25" customHeight="1" x14ac:dyDescent="0.25">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spans="1:26" ht="14.25" customHeight="1" x14ac:dyDescent="0.25">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spans="1:26" ht="14.25" customHeight="1" x14ac:dyDescent="0.2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spans="1:26" ht="14.25" customHeight="1" x14ac:dyDescent="0.25">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spans="1:26" ht="14.25" customHeight="1" x14ac:dyDescent="0.25">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spans="1:26" ht="14.25" customHeight="1" x14ac:dyDescent="0.25">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spans="1:26" ht="14.25" customHeight="1" x14ac:dyDescent="0.25">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spans="1:26" ht="14.25" customHeight="1" x14ac:dyDescent="0.25">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spans="1:26" ht="14.25" customHeight="1" x14ac:dyDescent="0.25">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spans="1:26" ht="14.25" customHeight="1" x14ac:dyDescent="0.25">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spans="1:26" ht="14.25" customHeight="1" x14ac:dyDescent="0.25">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spans="1:26" ht="14.25" customHeight="1" x14ac:dyDescent="0.25">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spans="1:26" ht="14.25" customHeight="1" x14ac:dyDescent="0.2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spans="1:26" ht="14.25" customHeight="1" x14ac:dyDescent="0.25">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spans="1:26" ht="14.25" customHeight="1" x14ac:dyDescent="0.25">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spans="1:26" ht="14.25" customHeight="1" x14ac:dyDescent="0.25">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spans="1:26" ht="14.25" customHeight="1" x14ac:dyDescent="0.25">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spans="1:26" ht="14.25" customHeight="1" x14ac:dyDescent="0.25">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spans="1:26" ht="14.25" customHeight="1" x14ac:dyDescent="0.25">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spans="1:26" ht="14.25" customHeight="1" x14ac:dyDescent="0.25">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spans="1:26" ht="14.25" customHeight="1" x14ac:dyDescent="0.25">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spans="1:26" ht="14.25" customHeight="1" x14ac:dyDescent="0.25">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spans="1:26" ht="14.25" customHeight="1" x14ac:dyDescent="0.2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spans="1:26" ht="14.25" customHeight="1" x14ac:dyDescent="0.25">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spans="1:26" ht="14.25" customHeight="1" x14ac:dyDescent="0.25">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spans="1:26" ht="14.25" customHeight="1" x14ac:dyDescent="0.25">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spans="1:26" ht="14.25" customHeight="1" x14ac:dyDescent="0.25">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spans="1:26" ht="14.25" customHeight="1" x14ac:dyDescent="0.25">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00"/>
  <sheetViews>
    <sheetView workbookViewId="0"/>
  </sheetViews>
  <sheetFormatPr defaultColWidth="12.625" defaultRowHeight="15" customHeight="1" x14ac:dyDescent="0.2"/>
  <cols>
    <col min="1" max="2" width="15.375" customWidth="1"/>
    <col min="3" max="3" width="10.375" customWidth="1"/>
    <col min="4" max="4" width="10.625" customWidth="1"/>
    <col min="5" max="5" width="8" customWidth="1"/>
    <col min="6" max="26" width="7.625" customWidth="1"/>
  </cols>
  <sheetData>
    <row r="1" spans="1:5" ht="14.25" customHeight="1" x14ac:dyDescent="0.25">
      <c r="A1" s="2" t="s">
        <v>151</v>
      </c>
      <c r="B1" s="2"/>
    </row>
    <row r="2" spans="1:5" ht="14.25" customHeight="1" x14ac:dyDescent="0.25">
      <c r="A2" s="3" t="s">
        <v>112</v>
      </c>
      <c r="B2" s="3" t="s">
        <v>152</v>
      </c>
      <c r="C2" s="3" t="s">
        <v>51</v>
      </c>
    </row>
    <row r="3" spans="1:5" ht="14.25" customHeight="1" x14ac:dyDescent="0.25">
      <c r="A3" s="3">
        <v>16102019</v>
      </c>
      <c r="B3" s="35">
        <v>10960</v>
      </c>
      <c r="C3" s="3" t="s">
        <v>116</v>
      </c>
    </row>
    <row r="4" spans="1:5" ht="14.25" customHeight="1" x14ac:dyDescent="0.25">
      <c r="A4" s="3">
        <v>4112019</v>
      </c>
      <c r="B4" s="35">
        <v>10960</v>
      </c>
      <c r="C4" s="3" t="s">
        <v>172</v>
      </c>
    </row>
    <row r="5" spans="1:5" ht="14.25" customHeight="1" x14ac:dyDescent="0.25">
      <c r="A5" s="3">
        <v>3122019</v>
      </c>
      <c r="B5" s="35">
        <v>5500</v>
      </c>
      <c r="C5" s="3" t="s">
        <v>118</v>
      </c>
    </row>
    <row r="6" spans="1:5" ht="14.25" customHeight="1" x14ac:dyDescent="0.25">
      <c r="A6" s="3">
        <v>13122019</v>
      </c>
      <c r="B6" s="35">
        <v>5500</v>
      </c>
      <c r="C6" s="3" t="s">
        <v>116</v>
      </c>
    </row>
    <row r="7" spans="1:5" ht="14.25" customHeight="1" x14ac:dyDescent="0.25">
      <c r="A7" s="3">
        <v>2012020</v>
      </c>
      <c r="B7" s="35">
        <v>5500</v>
      </c>
      <c r="C7" s="3" t="s">
        <v>173</v>
      </c>
    </row>
    <row r="8" spans="1:5" ht="14.25" customHeight="1" x14ac:dyDescent="0.25">
      <c r="A8" s="3">
        <v>3022020</v>
      </c>
      <c r="B8" s="35">
        <v>5500</v>
      </c>
      <c r="C8" s="3" t="s">
        <v>173</v>
      </c>
    </row>
    <row r="9" spans="1:5" ht="14.25" customHeight="1" x14ac:dyDescent="0.25">
      <c r="A9" s="3">
        <v>2032020</v>
      </c>
      <c r="B9" s="35">
        <v>5500</v>
      </c>
      <c r="C9" s="3" t="s">
        <v>173</v>
      </c>
    </row>
    <row r="10" spans="1:5" ht="14.25" customHeight="1" x14ac:dyDescent="0.2"/>
    <row r="11" spans="1:5" ht="14.25" customHeight="1" x14ac:dyDescent="0.25">
      <c r="A11" s="2" t="s">
        <v>70</v>
      </c>
      <c r="B11" s="2"/>
    </row>
    <row r="12" spans="1:5" ht="14.25" customHeight="1" x14ac:dyDescent="0.25">
      <c r="A12" s="3" t="s">
        <v>153</v>
      </c>
      <c r="B12" s="3" t="s">
        <v>63</v>
      </c>
      <c r="C12" s="3" t="s">
        <v>154</v>
      </c>
      <c r="D12" s="3" t="s">
        <v>70</v>
      </c>
      <c r="E12" s="3" t="s">
        <v>155</v>
      </c>
    </row>
    <row r="13" spans="1:5" ht="14.25" customHeight="1" x14ac:dyDescent="0.25">
      <c r="A13" s="3" t="s">
        <v>156</v>
      </c>
      <c r="B13" s="3"/>
      <c r="C13" s="3">
        <v>0</v>
      </c>
      <c r="D13" s="3">
        <v>0</v>
      </c>
      <c r="E13" s="3">
        <v>0</v>
      </c>
    </row>
    <row r="14" spans="1:5" ht="14.25" customHeight="1" x14ac:dyDescent="0.25">
      <c r="A14" s="3" t="s">
        <v>157</v>
      </c>
      <c r="B14" s="3"/>
      <c r="C14" s="3">
        <v>0</v>
      </c>
      <c r="D14" s="3">
        <v>5000</v>
      </c>
      <c r="E14" s="3">
        <v>500</v>
      </c>
    </row>
    <row r="15" spans="1:5" ht="14.25" customHeight="1" x14ac:dyDescent="0.25">
      <c r="A15" s="3" t="s">
        <v>158</v>
      </c>
      <c r="B15" s="3"/>
      <c r="C15" s="3">
        <v>0</v>
      </c>
      <c r="D15" s="3">
        <v>5000</v>
      </c>
      <c r="E15" s="3">
        <v>500</v>
      </c>
    </row>
    <row r="16" spans="1:5" ht="14.25" customHeight="1" x14ac:dyDescent="0.25">
      <c r="A16" s="3" t="s">
        <v>159</v>
      </c>
      <c r="B16" s="3"/>
      <c r="C16" s="3">
        <v>0</v>
      </c>
      <c r="D16" s="3">
        <v>5000</v>
      </c>
      <c r="E16" s="3">
        <v>500</v>
      </c>
    </row>
    <row r="17" spans="1:5" ht="14.25" customHeight="1" x14ac:dyDescent="0.25">
      <c r="A17" s="3" t="s">
        <v>160</v>
      </c>
      <c r="B17" s="3"/>
      <c r="C17" s="3">
        <v>0</v>
      </c>
      <c r="D17" s="3">
        <v>5000</v>
      </c>
      <c r="E17" s="3">
        <v>500</v>
      </c>
    </row>
    <row r="18" spans="1:5" ht="14.25" customHeight="1" x14ac:dyDescent="0.25">
      <c r="A18" s="3" t="s">
        <v>161</v>
      </c>
      <c r="B18" s="3"/>
      <c r="C18" s="3">
        <v>0</v>
      </c>
      <c r="D18" s="3">
        <v>0</v>
      </c>
      <c r="E18" s="3">
        <v>0</v>
      </c>
    </row>
    <row r="19" spans="1:5" ht="14.25" customHeight="1" x14ac:dyDescent="0.25">
      <c r="A19" s="3" t="s">
        <v>162</v>
      </c>
      <c r="B19" s="3"/>
      <c r="C19" s="3">
        <v>0</v>
      </c>
      <c r="D19" s="3">
        <v>0</v>
      </c>
      <c r="E19" s="3">
        <v>0</v>
      </c>
    </row>
    <row r="20" spans="1:5" ht="14.25" customHeight="1" x14ac:dyDescent="0.25">
      <c r="A20" s="3" t="s">
        <v>163</v>
      </c>
      <c r="B20" s="3"/>
      <c r="C20" s="3">
        <v>0</v>
      </c>
      <c r="D20" s="3">
        <v>0</v>
      </c>
      <c r="E20" s="3">
        <v>0</v>
      </c>
    </row>
    <row r="21" spans="1:5" ht="14.25" customHeight="1" x14ac:dyDescent="0.25">
      <c r="A21" s="3" t="s">
        <v>164</v>
      </c>
      <c r="B21" s="3"/>
      <c r="C21" s="3">
        <v>0</v>
      </c>
      <c r="D21" s="3">
        <v>0</v>
      </c>
      <c r="E21" s="3">
        <v>0</v>
      </c>
    </row>
    <row r="22" spans="1:5" ht="14.25" customHeight="1" x14ac:dyDescent="0.25">
      <c r="A22" s="3" t="s">
        <v>165</v>
      </c>
      <c r="B22" s="3"/>
      <c r="C22" s="3">
        <v>0</v>
      </c>
      <c r="D22" s="3">
        <v>5000</v>
      </c>
      <c r="E22" s="3">
        <v>500</v>
      </c>
    </row>
    <row r="23" spans="1:5" ht="14.25" customHeight="1" x14ac:dyDescent="0.25">
      <c r="A23" s="3" t="s">
        <v>166</v>
      </c>
      <c r="B23" s="3"/>
      <c r="C23" s="3">
        <v>0</v>
      </c>
      <c r="D23" s="3">
        <v>5000</v>
      </c>
      <c r="E23" s="3">
        <v>500</v>
      </c>
    </row>
    <row r="24" spans="1:5" ht="14.25" customHeight="1" x14ac:dyDescent="0.25">
      <c r="A24" s="3" t="s">
        <v>167</v>
      </c>
      <c r="B24" s="3"/>
      <c r="C24" s="3">
        <v>0</v>
      </c>
      <c r="D24" s="3">
        <v>0</v>
      </c>
      <c r="E24" s="3">
        <v>0</v>
      </c>
    </row>
    <row r="25" spans="1:5" ht="14.25" customHeight="1" x14ac:dyDescent="0.25">
      <c r="A25" s="3" t="s">
        <v>168</v>
      </c>
      <c r="B25" s="3"/>
      <c r="C25" s="3">
        <v>0</v>
      </c>
      <c r="D25" s="3">
        <v>0</v>
      </c>
      <c r="E25" s="3">
        <v>0</v>
      </c>
    </row>
    <row r="26" spans="1:5" ht="14.25" customHeight="1" x14ac:dyDescent="0.25">
      <c r="A26" s="3" t="s">
        <v>169</v>
      </c>
      <c r="B26" s="3"/>
      <c r="C26" s="36">
        <f>SUM(C13:C25)</f>
        <v>0</v>
      </c>
      <c r="D26" s="36">
        <f>SUM(D13:D25)</f>
        <v>30000</v>
      </c>
      <c r="E26" s="36">
        <f>SUM(E13:E25)</f>
        <v>3000</v>
      </c>
    </row>
    <row r="27" spans="1:5" ht="14.25" customHeight="1" x14ac:dyDescent="0.25">
      <c r="A27" s="3" t="s">
        <v>133</v>
      </c>
      <c r="B27" s="3"/>
      <c r="C27" s="36">
        <v>0</v>
      </c>
      <c r="D27" s="36">
        <f>5000*(COUNT(D14:D25)-4)</f>
        <v>40000</v>
      </c>
      <c r="E27" s="36">
        <f>500*(COUNT(E14:E25)-4)</f>
        <v>4000</v>
      </c>
    </row>
    <row r="28" spans="1:5" ht="14.25" customHeight="1" x14ac:dyDescent="0.25">
      <c r="A28" s="3" t="s">
        <v>170</v>
      </c>
      <c r="B28" s="3"/>
      <c r="C28" s="36">
        <f>C27-C26</f>
        <v>0</v>
      </c>
      <c r="D28" s="36">
        <f>D27-D26-E13</f>
        <v>10000</v>
      </c>
      <c r="E28" s="36">
        <f>E27-E26-F13</f>
        <v>1000</v>
      </c>
    </row>
    <row r="29" spans="1:5" ht="14.25" customHeight="1" x14ac:dyDescent="0.25">
      <c r="A29" s="3" t="s">
        <v>171</v>
      </c>
      <c r="B29" s="3"/>
      <c r="C29" s="37">
        <f>C28+D28+E28</f>
        <v>11000</v>
      </c>
      <c r="D29" s="36"/>
      <c r="E29" s="36"/>
    </row>
    <row r="30" spans="1:5" ht="14.25" customHeight="1" x14ac:dyDescent="0.2"/>
    <row r="31" spans="1:5" ht="14.25" customHeight="1" x14ac:dyDescent="0.2"/>
    <row r="32" spans="1:5"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1"/>
  <sheetViews>
    <sheetView topLeftCell="A19" workbookViewId="0">
      <selection activeCell="H32" sqref="H32"/>
    </sheetView>
  </sheetViews>
  <sheetFormatPr defaultColWidth="12.625" defaultRowHeight="15" customHeight="1" x14ac:dyDescent="0.2"/>
  <cols>
    <col min="1" max="1" width="20" customWidth="1"/>
    <col min="2" max="2" width="13.875" customWidth="1"/>
    <col min="3" max="4" width="8.875" customWidth="1"/>
    <col min="5" max="5" width="8" customWidth="1"/>
    <col min="6" max="6" width="10.5" customWidth="1"/>
    <col min="7" max="26" width="7.625" customWidth="1"/>
  </cols>
  <sheetData>
    <row r="1" spans="1:26" ht="14.25" customHeight="1" x14ac:dyDescent="0.25">
      <c r="A1" s="38" t="s">
        <v>151</v>
      </c>
      <c r="B1" s="38"/>
      <c r="C1" s="39"/>
      <c r="D1" s="39"/>
      <c r="E1" s="39"/>
      <c r="F1" s="39"/>
      <c r="G1" s="39"/>
      <c r="H1" s="39"/>
      <c r="I1" s="39"/>
      <c r="J1" s="39"/>
      <c r="K1" s="39"/>
      <c r="L1" s="39"/>
      <c r="M1" s="39"/>
      <c r="N1" s="39"/>
      <c r="O1" s="39"/>
      <c r="P1" s="39"/>
      <c r="Q1" s="39"/>
      <c r="R1" s="39"/>
      <c r="S1" s="39"/>
      <c r="T1" s="39"/>
      <c r="U1" s="39"/>
      <c r="V1" s="39"/>
      <c r="W1" s="39"/>
      <c r="X1" s="39"/>
      <c r="Y1" s="39"/>
      <c r="Z1" s="39"/>
    </row>
    <row r="2" spans="1:26" ht="14.25" customHeight="1" x14ac:dyDescent="0.25">
      <c r="A2" s="36" t="s">
        <v>112</v>
      </c>
      <c r="B2" s="36" t="s">
        <v>152</v>
      </c>
      <c r="C2" s="36"/>
      <c r="D2" s="39"/>
      <c r="E2" s="39"/>
      <c r="F2" s="39"/>
      <c r="G2" s="39"/>
      <c r="H2" s="39"/>
      <c r="I2" s="39"/>
      <c r="J2" s="39"/>
      <c r="K2" s="39"/>
      <c r="L2" s="39"/>
      <c r="M2" s="39"/>
      <c r="N2" s="39"/>
      <c r="O2" s="39"/>
      <c r="P2" s="39"/>
      <c r="Q2" s="39"/>
      <c r="R2" s="39"/>
      <c r="S2" s="39"/>
      <c r="T2" s="39"/>
      <c r="U2" s="39"/>
      <c r="V2" s="39"/>
      <c r="W2" s="39"/>
      <c r="X2" s="39"/>
      <c r="Y2" s="39"/>
      <c r="Z2" s="39"/>
    </row>
    <row r="3" spans="1:26" ht="14.25" customHeight="1" x14ac:dyDescent="0.25">
      <c r="A3" s="40">
        <v>3122019</v>
      </c>
      <c r="B3" s="39">
        <v>5000</v>
      </c>
      <c r="C3" s="36"/>
      <c r="D3" s="39"/>
      <c r="E3" s="39"/>
      <c r="F3" s="39"/>
      <c r="G3" s="39"/>
      <c r="H3" s="39"/>
      <c r="I3" s="39"/>
      <c r="J3" s="39"/>
      <c r="K3" s="39"/>
      <c r="L3" s="39"/>
      <c r="M3" s="39"/>
      <c r="N3" s="39"/>
      <c r="O3" s="39"/>
      <c r="P3" s="39"/>
      <c r="Q3" s="39"/>
      <c r="R3" s="39"/>
      <c r="S3" s="39"/>
      <c r="T3" s="39"/>
      <c r="U3" s="39"/>
      <c r="V3" s="39"/>
      <c r="W3" s="39"/>
      <c r="X3" s="39"/>
      <c r="Y3" s="39"/>
      <c r="Z3" s="39"/>
    </row>
    <row r="4" spans="1:26" ht="14.25" customHeight="1" x14ac:dyDescent="0.25">
      <c r="A4" s="40">
        <v>20122019</v>
      </c>
      <c r="B4" s="39">
        <v>6000</v>
      </c>
      <c r="C4" s="36"/>
      <c r="D4" s="39"/>
      <c r="E4" s="39"/>
      <c r="F4" s="39"/>
      <c r="G4" s="39"/>
      <c r="H4" s="39"/>
      <c r="I4" s="39"/>
      <c r="J4" s="39"/>
      <c r="K4" s="39"/>
      <c r="L4" s="39"/>
      <c r="M4" s="39"/>
      <c r="N4" s="39"/>
      <c r="O4" s="39"/>
      <c r="P4" s="39"/>
      <c r="Q4" s="39"/>
      <c r="R4" s="39"/>
      <c r="S4" s="39"/>
      <c r="T4" s="39"/>
      <c r="U4" s="39"/>
      <c r="V4" s="39"/>
      <c r="W4" s="39"/>
      <c r="X4" s="39"/>
      <c r="Y4" s="39"/>
      <c r="Z4" s="39"/>
    </row>
    <row r="5" spans="1:26" ht="14.25" customHeight="1" x14ac:dyDescent="0.25">
      <c r="A5" s="40">
        <v>31012020</v>
      </c>
      <c r="B5" s="39">
        <v>6000</v>
      </c>
      <c r="C5" s="36"/>
      <c r="D5" s="39"/>
      <c r="E5" s="39"/>
      <c r="F5" s="39"/>
      <c r="G5" s="39"/>
      <c r="H5" s="39"/>
      <c r="I5" s="39"/>
      <c r="J5" s="39"/>
      <c r="K5" s="39"/>
      <c r="L5" s="39"/>
      <c r="M5" s="39"/>
      <c r="N5" s="39"/>
      <c r="O5" s="39"/>
      <c r="P5" s="39"/>
      <c r="Q5" s="39"/>
      <c r="R5" s="39"/>
      <c r="S5" s="39"/>
      <c r="T5" s="39"/>
      <c r="U5" s="39"/>
      <c r="V5" s="39"/>
      <c r="W5" s="39"/>
      <c r="X5" s="39"/>
      <c r="Y5" s="39"/>
      <c r="Z5" s="39"/>
    </row>
    <row r="6" spans="1:26" ht="14.25" customHeight="1" x14ac:dyDescent="0.25">
      <c r="A6" s="40">
        <v>11032020</v>
      </c>
      <c r="B6" s="39">
        <v>6000</v>
      </c>
      <c r="C6" s="36"/>
      <c r="D6" s="39"/>
      <c r="E6" s="39"/>
      <c r="F6" s="39"/>
      <c r="G6" s="39"/>
      <c r="H6" s="39"/>
      <c r="I6" s="39"/>
      <c r="J6" s="39"/>
      <c r="K6" s="39"/>
      <c r="L6" s="39"/>
      <c r="M6" s="39"/>
      <c r="N6" s="39"/>
      <c r="O6" s="39"/>
      <c r="P6" s="39"/>
      <c r="Q6" s="39"/>
      <c r="R6" s="39"/>
      <c r="S6" s="39"/>
      <c r="T6" s="39"/>
      <c r="U6" s="39"/>
      <c r="V6" s="39"/>
      <c r="W6" s="39"/>
      <c r="X6" s="39"/>
      <c r="Y6" s="39"/>
      <c r="Z6" s="39"/>
    </row>
    <row r="7" spans="1:26" ht="14.25" customHeight="1" x14ac:dyDescent="0.25">
      <c r="A7" s="36"/>
      <c r="B7" s="41">
        <v>80000</v>
      </c>
      <c r="C7" s="36"/>
      <c r="D7" s="39"/>
      <c r="E7" s="39"/>
      <c r="F7" s="39"/>
      <c r="G7" s="39"/>
      <c r="H7" s="39"/>
      <c r="I7" s="39"/>
      <c r="J7" s="39"/>
      <c r="K7" s="39"/>
      <c r="L7" s="39"/>
      <c r="M7" s="39"/>
      <c r="N7" s="39"/>
      <c r="O7" s="39"/>
      <c r="P7" s="39"/>
      <c r="Q7" s="39"/>
      <c r="R7" s="39"/>
      <c r="S7" s="39"/>
      <c r="T7" s="39"/>
      <c r="U7" s="39"/>
      <c r="V7" s="39"/>
      <c r="W7" s="39"/>
      <c r="X7" s="39"/>
      <c r="Y7" s="39"/>
      <c r="Z7" s="39"/>
    </row>
    <row r="8" spans="1:26" ht="14.25" customHeight="1" x14ac:dyDescent="0.25">
      <c r="A8" s="36"/>
      <c r="B8" s="41">
        <v>7000</v>
      </c>
      <c r="C8" s="36"/>
      <c r="D8" s="39"/>
      <c r="E8" s="39"/>
      <c r="F8" s="39"/>
      <c r="G8" s="39"/>
      <c r="H8" s="39"/>
      <c r="I8" s="39"/>
      <c r="J8" s="39"/>
      <c r="K8" s="39"/>
      <c r="L8" s="39"/>
      <c r="M8" s="39"/>
      <c r="N8" s="39"/>
      <c r="O8" s="39"/>
      <c r="P8" s="39"/>
      <c r="Q8" s="39"/>
      <c r="R8" s="39"/>
      <c r="S8" s="39"/>
      <c r="T8" s="39"/>
      <c r="U8" s="39"/>
      <c r="V8" s="39"/>
      <c r="W8" s="39"/>
      <c r="X8" s="39"/>
      <c r="Y8" s="39"/>
      <c r="Z8" s="39"/>
    </row>
    <row r="9" spans="1:26" ht="14.25" customHeight="1" x14ac:dyDescent="0.25">
      <c r="A9" s="36"/>
      <c r="B9" s="41">
        <v>5500</v>
      </c>
      <c r="C9" s="36"/>
      <c r="D9" s="39"/>
      <c r="E9" s="39"/>
      <c r="F9" s="39"/>
      <c r="G9" s="39"/>
      <c r="H9" s="39"/>
      <c r="I9" s="39"/>
      <c r="J9" s="39"/>
      <c r="K9" s="39"/>
      <c r="L9" s="39"/>
      <c r="M9" s="39"/>
      <c r="N9" s="39"/>
      <c r="O9" s="39"/>
      <c r="P9" s="39"/>
      <c r="Q9" s="39"/>
      <c r="R9" s="39"/>
      <c r="S9" s="39"/>
      <c r="T9" s="39"/>
      <c r="U9" s="39"/>
      <c r="V9" s="39"/>
      <c r="W9" s="39"/>
      <c r="X9" s="39"/>
      <c r="Y9" s="39"/>
      <c r="Z9" s="39"/>
    </row>
    <row r="10" spans="1:26" ht="14.25" customHeight="1" x14ac:dyDescent="0.25">
      <c r="A10" s="39"/>
      <c r="B10" s="40">
        <v>5500</v>
      </c>
      <c r="C10" s="39"/>
      <c r="D10" s="39"/>
      <c r="E10" s="39" t="s">
        <v>207</v>
      </c>
      <c r="F10" s="39"/>
      <c r="G10" s="39"/>
      <c r="H10" s="39"/>
      <c r="I10" s="39"/>
      <c r="J10" s="39"/>
      <c r="K10" s="39"/>
      <c r="L10" s="39"/>
      <c r="M10" s="39"/>
      <c r="N10" s="39"/>
      <c r="O10" s="39"/>
      <c r="P10" s="39"/>
      <c r="Q10" s="39"/>
      <c r="R10" s="39"/>
      <c r="S10" s="39"/>
      <c r="T10" s="39"/>
      <c r="U10" s="39"/>
      <c r="V10" s="39"/>
      <c r="W10" s="39"/>
      <c r="X10" s="39"/>
      <c r="Y10" s="39"/>
      <c r="Z10" s="39"/>
    </row>
    <row r="11" spans="1:26" ht="14.25" customHeight="1" x14ac:dyDescent="0.25">
      <c r="A11" s="38" t="s">
        <v>70</v>
      </c>
      <c r="B11" s="38"/>
      <c r="C11" s="39"/>
      <c r="D11" s="39"/>
      <c r="E11" s="39"/>
      <c r="F11" s="39"/>
      <c r="G11" s="39"/>
      <c r="H11" s="39"/>
      <c r="I11" s="39"/>
      <c r="J11" s="39"/>
      <c r="K11" s="39"/>
      <c r="L11" s="39"/>
      <c r="M11" s="39"/>
      <c r="N11" s="39"/>
      <c r="O11" s="39"/>
      <c r="P11" s="39"/>
      <c r="Q11" s="39"/>
      <c r="R11" s="39"/>
      <c r="S11" s="39"/>
      <c r="T11" s="39"/>
      <c r="U11" s="39"/>
      <c r="V11" s="39"/>
      <c r="W11" s="39"/>
      <c r="X11" s="39"/>
      <c r="Y11" s="39"/>
      <c r="Z11" s="39"/>
    </row>
    <row r="12" spans="1:26" ht="14.25" customHeight="1" x14ac:dyDescent="0.25">
      <c r="A12" s="36" t="s">
        <v>153</v>
      </c>
      <c r="B12" s="36" t="s">
        <v>63</v>
      </c>
      <c r="C12" s="36" t="s">
        <v>154</v>
      </c>
      <c r="D12" s="36" t="s">
        <v>70</v>
      </c>
      <c r="E12" s="36" t="s">
        <v>155</v>
      </c>
      <c r="F12" s="39"/>
      <c r="G12" s="39"/>
      <c r="H12" s="39"/>
      <c r="I12" s="39"/>
      <c r="J12" s="39"/>
      <c r="K12" s="39"/>
      <c r="L12" s="39"/>
      <c r="M12" s="39"/>
      <c r="N12" s="39"/>
      <c r="O12" s="39"/>
      <c r="P12" s="39"/>
      <c r="Q12" s="39"/>
      <c r="R12" s="39"/>
      <c r="S12" s="39"/>
      <c r="T12" s="39"/>
      <c r="U12" s="39"/>
      <c r="V12" s="39"/>
      <c r="W12" s="39"/>
      <c r="X12" s="39"/>
      <c r="Y12" s="39"/>
      <c r="Z12" s="39"/>
    </row>
    <row r="13" spans="1:26" ht="14.25" customHeight="1" x14ac:dyDescent="0.25">
      <c r="A13" s="36" t="s">
        <v>156</v>
      </c>
      <c r="B13" s="36"/>
      <c r="C13" s="36">
        <v>0</v>
      </c>
      <c r="D13" s="36">
        <v>0</v>
      </c>
      <c r="E13" s="36">
        <v>0</v>
      </c>
      <c r="F13" s="39"/>
      <c r="G13" s="39"/>
      <c r="H13" s="39"/>
      <c r="I13" s="39"/>
      <c r="J13" s="39"/>
      <c r="K13" s="39"/>
      <c r="L13" s="39"/>
      <c r="M13" s="39"/>
      <c r="N13" s="39"/>
      <c r="O13" s="39"/>
      <c r="P13" s="39"/>
      <c r="Q13" s="39"/>
      <c r="R13" s="39"/>
      <c r="S13" s="39"/>
      <c r="T13" s="39"/>
      <c r="U13" s="39"/>
      <c r="V13" s="39"/>
      <c r="W13" s="39"/>
      <c r="X13" s="39"/>
      <c r="Y13" s="39"/>
      <c r="Z13" s="39"/>
    </row>
    <row r="14" spans="1:26" ht="14.25" customHeight="1" x14ac:dyDescent="0.25">
      <c r="A14" s="36" t="s">
        <v>157</v>
      </c>
      <c r="B14" s="36"/>
      <c r="C14" s="36">
        <v>0</v>
      </c>
      <c r="D14" s="36">
        <v>0</v>
      </c>
      <c r="E14" s="36">
        <v>0</v>
      </c>
      <c r="F14" s="39"/>
      <c r="G14" s="39"/>
      <c r="H14" s="39"/>
      <c r="I14" s="39"/>
      <c r="J14" s="39"/>
      <c r="K14" s="39"/>
      <c r="L14" s="39"/>
      <c r="M14" s="39"/>
      <c r="N14" s="39"/>
      <c r="O14" s="39"/>
      <c r="P14" s="39"/>
      <c r="Q14" s="39"/>
      <c r="R14" s="39"/>
      <c r="S14" s="39"/>
      <c r="T14" s="39"/>
      <c r="U14" s="39"/>
      <c r="V14" s="39"/>
      <c r="W14" s="39"/>
      <c r="X14" s="39"/>
      <c r="Y14" s="39"/>
      <c r="Z14" s="39"/>
    </row>
    <row r="15" spans="1:26" ht="14.25" customHeight="1" x14ac:dyDescent="0.25">
      <c r="A15" s="36" t="s">
        <v>158</v>
      </c>
      <c r="B15" s="36"/>
      <c r="C15" s="36">
        <v>0</v>
      </c>
      <c r="D15" s="36">
        <v>0</v>
      </c>
      <c r="E15" s="36">
        <v>0</v>
      </c>
      <c r="F15" s="39"/>
      <c r="G15" s="39"/>
      <c r="H15" s="39"/>
      <c r="I15" s="39"/>
      <c r="J15" s="39"/>
      <c r="K15" s="39"/>
      <c r="L15" s="39"/>
      <c r="M15" s="39"/>
      <c r="N15" s="39"/>
      <c r="O15" s="39"/>
      <c r="P15" s="39"/>
      <c r="Q15" s="39"/>
      <c r="R15" s="39"/>
      <c r="S15" s="39"/>
      <c r="T15" s="39"/>
      <c r="U15" s="39"/>
      <c r="V15" s="39"/>
      <c r="W15" s="39"/>
      <c r="X15" s="39"/>
      <c r="Y15" s="39"/>
      <c r="Z15" s="39"/>
    </row>
    <row r="16" spans="1:26" ht="14.25" customHeight="1" x14ac:dyDescent="0.25">
      <c r="A16" s="36" t="s">
        <v>159</v>
      </c>
      <c r="B16" s="36"/>
      <c r="C16" s="36">
        <v>0</v>
      </c>
      <c r="D16" s="36">
        <v>5000</v>
      </c>
      <c r="E16" s="36">
        <v>0</v>
      </c>
      <c r="F16" s="39"/>
      <c r="G16" s="39"/>
      <c r="H16" s="39"/>
      <c r="I16" s="39"/>
      <c r="J16" s="39"/>
      <c r="K16" s="39"/>
      <c r="L16" s="39"/>
      <c r="M16" s="39"/>
      <c r="N16" s="39"/>
      <c r="O16" s="39"/>
      <c r="P16" s="39"/>
      <c r="Q16" s="39"/>
      <c r="R16" s="39"/>
      <c r="S16" s="39"/>
      <c r="T16" s="39"/>
      <c r="U16" s="39"/>
      <c r="V16" s="39"/>
      <c r="W16" s="39"/>
      <c r="X16" s="39"/>
      <c r="Y16" s="39"/>
      <c r="Z16" s="39"/>
    </row>
    <row r="17" spans="1:26" ht="14.25" customHeight="1" x14ac:dyDescent="0.25">
      <c r="A17" s="36" t="s">
        <v>160</v>
      </c>
      <c r="B17" s="36"/>
      <c r="C17" s="36">
        <v>0</v>
      </c>
      <c r="D17" s="36">
        <v>5500</v>
      </c>
      <c r="E17" s="36">
        <v>500</v>
      </c>
      <c r="F17" s="39"/>
      <c r="G17" s="39"/>
      <c r="H17" s="39"/>
      <c r="I17" s="39"/>
      <c r="J17" s="39"/>
      <c r="K17" s="39"/>
      <c r="L17" s="39"/>
      <c r="M17" s="39"/>
      <c r="N17" s="39"/>
      <c r="O17" s="39"/>
      <c r="P17" s="39"/>
      <c r="Q17" s="39"/>
      <c r="R17" s="39"/>
      <c r="S17" s="39"/>
      <c r="T17" s="39"/>
      <c r="U17" s="39"/>
      <c r="V17" s="39"/>
      <c r="W17" s="39"/>
      <c r="X17" s="39"/>
      <c r="Y17" s="39"/>
      <c r="Z17" s="39"/>
    </row>
    <row r="18" spans="1:26" ht="14.25" customHeight="1" x14ac:dyDescent="0.25">
      <c r="A18" s="36" t="s">
        <v>161</v>
      </c>
      <c r="B18" s="36"/>
      <c r="C18" s="36">
        <v>0</v>
      </c>
      <c r="D18" s="36">
        <v>0</v>
      </c>
      <c r="E18" s="36">
        <v>0</v>
      </c>
      <c r="F18" s="39"/>
      <c r="G18" s="39"/>
      <c r="H18" s="39"/>
      <c r="I18" s="39"/>
      <c r="J18" s="39"/>
      <c r="K18" s="39"/>
      <c r="L18" s="39"/>
      <c r="M18" s="39"/>
      <c r="N18" s="39"/>
      <c r="O18" s="39"/>
      <c r="P18" s="39"/>
      <c r="Q18" s="39"/>
      <c r="R18" s="39"/>
      <c r="S18" s="39"/>
      <c r="T18" s="39"/>
      <c r="U18" s="39"/>
      <c r="V18" s="39"/>
      <c r="W18" s="39"/>
      <c r="X18" s="39"/>
      <c r="Y18" s="39"/>
      <c r="Z18" s="39"/>
    </row>
    <row r="19" spans="1:26" ht="14.25" customHeight="1" x14ac:dyDescent="0.25">
      <c r="A19" s="36" t="s">
        <v>162</v>
      </c>
      <c r="B19" s="36">
        <v>110000</v>
      </c>
      <c r="C19" s="36">
        <v>0</v>
      </c>
      <c r="D19" s="36">
        <v>0</v>
      </c>
      <c r="E19" s="36">
        <v>0</v>
      </c>
      <c r="F19" s="39"/>
      <c r="G19" s="39"/>
      <c r="H19" s="39"/>
      <c r="I19" s="39"/>
      <c r="J19" s="39"/>
      <c r="K19" s="39"/>
      <c r="L19" s="39"/>
      <c r="M19" s="39"/>
      <c r="N19" s="39"/>
      <c r="O19" s="39"/>
      <c r="P19" s="39"/>
      <c r="Q19" s="39"/>
      <c r="R19" s="39"/>
      <c r="S19" s="39"/>
      <c r="T19" s="39"/>
      <c r="U19" s="39"/>
      <c r="V19" s="39"/>
      <c r="W19" s="39"/>
      <c r="X19" s="39"/>
      <c r="Y19" s="39"/>
      <c r="Z19" s="39"/>
    </row>
    <row r="20" spans="1:26" ht="14.25" customHeight="1" x14ac:dyDescent="0.25">
      <c r="A20" s="36" t="s">
        <v>163</v>
      </c>
      <c r="B20" s="36"/>
      <c r="C20" s="36">
        <v>0</v>
      </c>
      <c r="D20" s="36">
        <v>0</v>
      </c>
      <c r="E20" s="36">
        <v>0</v>
      </c>
      <c r="F20" s="39"/>
      <c r="G20" s="39"/>
      <c r="H20" s="39"/>
      <c r="I20" s="39"/>
      <c r="J20" s="39"/>
      <c r="K20" s="39"/>
      <c r="L20" s="39"/>
      <c r="M20" s="39"/>
      <c r="N20" s="39"/>
      <c r="O20" s="39"/>
      <c r="P20" s="39"/>
      <c r="Q20" s="39"/>
      <c r="R20" s="39"/>
      <c r="S20" s="39"/>
      <c r="T20" s="39"/>
      <c r="U20" s="39"/>
      <c r="V20" s="39"/>
      <c r="W20" s="39"/>
      <c r="X20" s="39"/>
      <c r="Y20" s="39"/>
      <c r="Z20" s="39"/>
    </row>
    <row r="21" spans="1:26" ht="14.25" customHeight="1" x14ac:dyDescent="0.25">
      <c r="A21" s="36" t="s">
        <v>164</v>
      </c>
      <c r="B21" s="36"/>
      <c r="C21" s="36">
        <v>0</v>
      </c>
      <c r="D21" s="36">
        <v>0</v>
      </c>
      <c r="E21" s="36">
        <v>0</v>
      </c>
      <c r="F21" s="39"/>
      <c r="G21" s="39"/>
      <c r="H21" s="39"/>
      <c r="I21" s="41">
        <v>66000</v>
      </c>
      <c r="J21" s="41">
        <v>18500</v>
      </c>
      <c r="K21" s="41">
        <v>2500</v>
      </c>
      <c r="L21" s="39"/>
      <c r="M21" s="39"/>
      <c r="N21" s="39"/>
      <c r="O21" s="39"/>
      <c r="P21" s="39"/>
      <c r="Q21" s="39"/>
      <c r="R21" s="39"/>
      <c r="S21" s="39"/>
      <c r="T21" s="39"/>
      <c r="U21" s="39"/>
      <c r="V21" s="39"/>
      <c r="W21" s="39"/>
      <c r="X21" s="39"/>
      <c r="Y21" s="39"/>
      <c r="Z21" s="39"/>
    </row>
    <row r="22" spans="1:26" ht="14.25" customHeight="1" x14ac:dyDescent="0.25">
      <c r="A22" s="36" t="s">
        <v>165</v>
      </c>
      <c r="B22" s="36"/>
      <c r="C22" s="36">
        <v>0</v>
      </c>
      <c r="D22" s="36">
        <v>5500</v>
      </c>
      <c r="E22" s="36">
        <v>500</v>
      </c>
      <c r="F22" s="39"/>
      <c r="G22" s="39"/>
      <c r="H22" s="39"/>
      <c r="I22" s="39"/>
      <c r="J22" s="39"/>
      <c r="K22" s="39"/>
      <c r="L22" s="39"/>
      <c r="M22" s="39"/>
      <c r="N22" s="39"/>
      <c r="O22" s="39"/>
      <c r="P22" s="39"/>
      <c r="Q22" s="39"/>
      <c r="R22" s="39"/>
      <c r="S22" s="39"/>
      <c r="T22" s="39"/>
      <c r="U22" s="39"/>
      <c r="V22" s="39"/>
      <c r="W22" s="39"/>
      <c r="X22" s="39"/>
      <c r="Y22" s="39"/>
      <c r="Z22" s="39"/>
    </row>
    <row r="23" spans="1:26" ht="14.25" customHeight="1" x14ac:dyDescent="0.25">
      <c r="A23" s="36" t="s">
        <v>166</v>
      </c>
      <c r="B23" s="36"/>
      <c r="C23" s="36">
        <v>0</v>
      </c>
      <c r="D23" s="36">
        <v>5500</v>
      </c>
      <c r="E23" s="36">
        <v>500</v>
      </c>
      <c r="F23" s="39"/>
      <c r="G23" s="39"/>
      <c r="H23" s="39"/>
      <c r="I23" s="39"/>
      <c r="J23" s="39"/>
      <c r="K23" s="39"/>
      <c r="L23" s="39"/>
      <c r="M23" s="39"/>
      <c r="N23" s="39"/>
      <c r="O23" s="39"/>
      <c r="P23" s="39"/>
      <c r="Q23" s="39"/>
      <c r="R23" s="39"/>
      <c r="S23" s="39"/>
      <c r="T23" s="39"/>
      <c r="U23" s="39"/>
      <c r="V23" s="39"/>
      <c r="W23" s="39"/>
      <c r="X23" s="39"/>
      <c r="Y23" s="39"/>
      <c r="Z23" s="39"/>
    </row>
    <row r="24" spans="1:26" ht="14.25" customHeight="1" x14ac:dyDescent="0.25">
      <c r="A24" s="36" t="s">
        <v>167</v>
      </c>
      <c r="B24" s="36"/>
      <c r="C24" s="36">
        <v>0</v>
      </c>
      <c r="D24" s="36">
        <v>0</v>
      </c>
      <c r="E24" s="36">
        <v>0</v>
      </c>
      <c r="F24" s="39"/>
      <c r="G24" s="39"/>
      <c r="H24" s="39"/>
      <c r="I24" s="39"/>
      <c r="J24" s="39"/>
      <c r="K24" s="39"/>
      <c r="L24" s="39"/>
      <c r="M24" s="39"/>
      <c r="N24" s="39"/>
      <c r="O24" s="39"/>
      <c r="P24" s="39"/>
      <c r="Q24" s="39"/>
      <c r="R24" s="39"/>
      <c r="S24" s="39"/>
      <c r="T24" s="39"/>
      <c r="U24" s="39"/>
      <c r="V24" s="39"/>
      <c r="W24" s="39"/>
      <c r="X24" s="39"/>
      <c r="Y24" s="39"/>
      <c r="Z24" s="39"/>
    </row>
    <row r="25" spans="1:26" ht="14.25" customHeight="1" x14ac:dyDescent="0.25">
      <c r="A25" s="36" t="s">
        <v>168</v>
      </c>
      <c r="B25" s="36"/>
      <c r="C25" s="27">
        <v>66000</v>
      </c>
      <c r="D25" s="27">
        <v>18500</v>
      </c>
      <c r="E25" s="27">
        <v>2500</v>
      </c>
      <c r="F25" s="39"/>
      <c r="G25" s="39"/>
      <c r="H25" s="39"/>
      <c r="I25" s="39"/>
      <c r="J25" s="39"/>
      <c r="K25" s="39"/>
      <c r="L25" s="39"/>
      <c r="M25" s="39"/>
      <c r="N25" s="39"/>
      <c r="O25" s="39"/>
      <c r="P25" s="39"/>
      <c r="Q25" s="39"/>
      <c r="R25" s="39"/>
      <c r="S25" s="39"/>
      <c r="T25" s="39"/>
      <c r="U25" s="39"/>
      <c r="V25" s="39"/>
      <c r="W25" s="39"/>
      <c r="X25" s="39"/>
      <c r="Y25" s="39"/>
      <c r="Z25" s="39"/>
    </row>
    <row r="26" spans="1:26" ht="14.25" customHeight="1" x14ac:dyDescent="0.25">
      <c r="A26" s="36"/>
      <c r="B26" s="36"/>
      <c r="C26" s="36"/>
      <c r="D26" s="36"/>
      <c r="E26" s="36"/>
      <c r="F26" s="39"/>
      <c r="G26" s="39"/>
      <c r="H26" s="39"/>
      <c r="I26" s="39"/>
      <c r="J26" s="39"/>
      <c r="K26" s="39"/>
      <c r="L26" s="39"/>
      <c r="M26" s="39"/>
      <c r="N26" s="39"/>
      <c r="O26" s="39"/>
      <c r="P26" s="39"/>
      <c r="Q26" s="39"/>
      <c r="R26" s="39"/>
      <c r="S26" s="39"/>
      <c r="T26" s="39"/>
      <c r="U26" s="39"/>
      <c r="V26" s="39"/>
      <c r="W26" s="39"/>
      <c r="X26" s="39"/>
      <c r="Y26" s="39"/>
      <c r="Z26" s="39"/>
    </row>
    <row r="27" spans="1:26" ht="14.25" customHeight="1" x14ac:dyDescent="0.25">
      <c r="A27" s="36" t="s">
        <v>169</v>
      </c>
      <c r="B27" s="36"/>
      <c r="C27" s="36">
        <f>SUM(C13:C25)</f>
        <v>66000</v>
      </c>
      <c r="D27" s="36">
        <f>SUM(D13:D25)</f>
        <v>40000</v>
      </c>
      <c r="E27" s="36">
        <f>SUM(E13:E25)</f>
        <v>4000</v>
      </c>
      <c r="F27" s="39"/>
      <c r="G27" s="39"/>
      <c r="H27" s="39"/>
      <c r="I27" s="39"/>
      <c r="J27" s="40">
        <v>80000</v>
      </c>
      <c r="K27" s="39"/>
      <c r="L27" s="39"/>
      <c r="M27" s="39"/>
      <c r="N27" s="39"/>
      <c r="O27" s="39"/>
      <c r="P27" s="39"/>
      <c r="Q27" s="39"/>
      <c r="R27" s="39"/>
      <c r="S27" s="39"/>
      <c r="T27" s="39"/>
      <c r="U27" s="39"/>
      <c r="V27" s="39"/>
      <c r="W27" s="39"/>
      <c r="X27" s="39"/>
      <c r="Y27" s="39"/>
      <c r="Z27" s="39"/>
    </row>
    <row r="28" spans="1:26" ht="14.25" customHeight="1" x14ac:dyDescent="0.25">
      <c r="A28" s="36" t="s">
        <v>133</v>
      </c>
      <c r="B28" s="36"/>
      <c r="C28" s="36">
        <f>11000*(COUNT(C20:C25))</f>
        <v>66000</v>
      </c>
      <c r="D28" s="36">
        <f>5000*(COUNT(D14:D25)-4)</f>
        <v>40000</v>
      </c>
      <c r="E28" s="36">
        <f>500*(COUNT(E14:E25)-4)</f>
        <v>4000</v>
      </c>
      <c r="F28" s="39"/>
      <c r="G28" s="39"/>
      <c r="H28" s="39"/>
      <c r="I28" s="39"/>
      <c r="J28" s="40"/>
      <c r="K28" s="39"/>
      <c r="L28" s="39"/>
      <c r="M28" s="39"/>
      <c r="N28" s="39"/>
      <c r="O28" s="39"/>
      <c r="P28" s="39"/>
      <c r="Q28" s="39"/>
      <c r="R28" s="39"/>
      <c r="S28" s="39"/>
      <c r="T28" s="39"/>
      <c r="U28" s="39"/>
      <c r="V28" s="39"/>
      <c r="W28" s="39"/>
      <c r="X28" s="39"/>
      <c r="Y28" s="39"/>
      <c r="Z28" s="39"/>
    </row>
    <row r="29" spans="1:26" ht="60" customHeight="1" x14ac:dyDescent="0.25">
      <c r="A29" s="36" t="s">
        <v>170</v>
      </c>
      <c r="B29" s="36"/>
      <c r="C29" s="36">
        <f>C28-C27</f>
        <v>0</v>
      </c>
      <c r="D29" s="36">
        <f>D28-D27-E13</f>
        <v>0</v>
      </c>
      <c r="E29" s="36">
        <f>E28-E27-F13</f>
        <v>0</v>
      </c>
      <c r="F29" s="39"/>
      <c r="G29" s="39"/>
      <c r="H29" s="39"/>
      <c r="I29" s="39"/>
      <c r="J29" s="39"/>
      <c r="K29" s="39"/>
      <c r="L29" s="39"/>
      <c r="M29" s="39"/>
      <c r="N29" s="39"/>
      <c r="O29" s="39"/>
      <c r="P29" s="39"/>
      <c r="Q29" s="39"/>
      <c r="R29" s="39"/>
      <c r="S29" s="39"/>
      <c r="T29" s="39"/>
      <c r="U29" s="39"/>
      <c r="V29" s="39"/>
      <c r="W29" s="39"/>
      <c r="X29" s="39"/>
      <c r="Y29" s="39"/>
      <c r="Z29" s="39"/>
    </row>
    <row r="30" spans="1:26" ht="14.25" customHeight="1" x14ac:dyDescent="0.25">
      <c r="A30" s="36" t="s">
        <v>171</v>
      </c>
      <c r="B30" s="36"/>
      <c r="C30" s="37">
        <f>C29+D29+E29</f>
        <v>0</v>
      </c>
      <c r="D30" s="36"/>
      <c r="E30" s="36"/>
      <c r="F30" s="39"/>
      <c r="G30" s="39"/>
      <c r="H30" s="39"/>
      <c r="I30" s="39"/>
      <c r="J30" s="39"/>
      <c r="K30" s="39"/>
      <c r="L30" s="39"/>
      <c r="M30" s="39"/>
      <c r="N30" s="39"/>
      <c r="O30" s="39"/>
      <c r="P30" s="39"/>
      <c r="Q30" s="39"/>
      <c r="R30" s="39"/>
      <c r="S30" s="39"/>
      <c r="T30" s="39"/>
      <c r="U30" s="39"/>
      <c r="V30" s="39"/>
      <c r="W30" s="39"/>
      <c r="X30" s="39"/>
      <c r="Y30" s="39"/>
      <c r="Z30" s="39"/>
    </row>
    <row r="31" spans="1:26" ht="14.25" customHeight="1" x14ac:dyDescent="0.25">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spans="1:26" ht="75" customHeight="1" x14ac:dyDescent="0.25">
      <c r="A32" s="81" t="s">
        <v>174</v>
      </c>
      <c r="B32" s="75"/>
      <c r="C32" s="75"/>
      <c r="D32" s="75"/>
      <c r="E32" s="39"/>
      <c r="F32" s="39">
        <f>80000-C29</f>
        <v>80000</v>
      </c>
      <c r="G32" s="39"/>
      <c r="H32" s="39"/>
      <c r="I32" s="39"/>
      <c r="J32" s="39"/>
      <c r="K32" s="39"/>
      <c r="L32" s="39"/>
      <c r="M32" s="39"/>
      <c r="N32" s="39"/>
      <c r="O32" s="39"/>
      <c r="P32" s="39"/>
      <c r="Q32" s="39"/>
      <c r="R32" s="39"/>
      <c r="S32" s="39"/>
      <c r="T32" s="39"/>
      <c r="U32" s="39"/>
      <c r="V32" s="39"/>
      <c r="W32" s="39"/>
      <c r="X32" s="39"/>
      <c r="Y32" s="39"/>
      <c r="Z32" s="39"/>
    </row>
    <row r="33" spans="1:26" ht="14.25" customHeight="1" x14ac:dyDescent="0.25">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spans="1:26" ht="14.25" customHeight="1" x14ac:dyDescent="0.25">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spans="1:26" ht="14.25" customHeight="1" x14ac:dyDescent="0.25">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spans="1:26" ht="14.25" customHeight="1" x14ac:dyDescent="0.25">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spans="1:26" ht="14.25" customHeight="1" x14ac:dyDescent="0.25">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spans="1:26" ht="14.25" customHeight="1" x14ac:dyDescent="0.25">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spans="1:26" ht="14.25" customHeight="1" x14ac:dyDescent="0.25">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spans="1:26" ht="14.25" customHeight="1" x14ac:dyDescent="0.25">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spans="1:26" ht="14.25" customHeight="1" x14ac:dyDescent="0.25">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spans="1:26" ht="14.25" customHeight="1" x14ac:dyDescent="0.25">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spans="1:26" ht="14.25" customHeight="1" x14ac:dyDescent="0.25">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spans="1:26" ht="14.25" customHeight="1" x14ac:dyDescent="0.25">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spans="1:26" ht="14.25" customHeight="1" x14ac:dyDescent="0.2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spans="1:26" ht="14.25" customHeight="1" x14ac:dyDescent="0.25">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spans="1:26" ht="14.25" customHeight="1" x14ac:dyDescent="0.25">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spans="1:26" ht="14.25" customHeight="1" x14ac:dyDescent="0.25">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spans="1:26" ht="14.25" customHeight="1" x14ac:dyDescent="0.25">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spans="1:26" ht="14.25" customHeight="1" x14ac:dyDescent="0.25">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spans="1:26" ht="14.25" customHeight="1" x14ac:dyDescent="0.25">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spans="1:26" ht="14.25" customHeight="1" x14ac:dyDescent="0.25">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spans="1:26" ht="14.25" customHeight="1" x14ac:dyDescent="0.25">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spans="1:26" ht="14.25" customHeight="1" x14ac:dyDescent="0.25">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spans="1:26" ht="14.25" customHeight="1" x14ac:dyDescent="0.2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spans="1:26" ht="14.25" customHeight="1" x14ac:dyDescent="0.25">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spans="1:26" ht="14.25" customHeight="1" x14ac:dyDescent="0.25">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spans="1:26" ht="14.25" customHeight="1" x14ac:dyDescent="0.25">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spans="1:26" ht="14.25" customHeight="1" x14ac:dyDescent="0.25">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spans="1:26" ht="14.25" customHeight="1" x14ac:dyDescent="0.25">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spans="1:26" ht="14.25" customHeight="1" x14ac:dyDescent="0.25">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spans="1:26" ht="14.25" customHeight="1" x14ac:dyDescent="0.25">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spans="1:26" ht="14.25" customHeight="1" x14ac:dyDescent="0.25">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spans="1:26" ht="14.25" customHeight="1" x14ac:dyDescent="0.25">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spans="1:26" ht="14.25" customHeight="1" x14ac:dyDescent="0.2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spans="1:26" ht="14.25" customHeight="1" x14ac:dyDescent="0.25">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spans="1:26" ht="14.25" customHeight="1" x14ac:dyDescent="0.25">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spans="1:26" ht="14.25" customHeight="1" x14ac:dyDescent="0.25">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spans="1:26" ht="14.25" customHeight="1" x14ac:dyDescent="0.25">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spans="1:26" ht="14.25" customHeight="1" x14ac:dyDescent="0.25">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spans="1:26" ht="14.25" customHeight="1" x14ac:dyDescent="0.25">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spans="1:26" ht="14.25" customHeight="1" x14ac:dyDescent="0.25">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spans="1:26" ht="14.25" customHeight="1" x14ac:dyDescent="0.25">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spans="1:26" ht="14.25" customHeight="1" x14ac:dyDescent="0.25">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spans="1:26" ht="14.25" customHeight="1" x14ac:dyDescent="0.2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spans="1:26" ht="14.25" customHeight="1" x14ac:dyDescent="0.25">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spans="1:26" ht="14.25" customHeight="1" x14ac:dyDescent="0.25">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spans="1:26" ht="14.25" customHeight="1" x14ac:dyDescent="0.25">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spans="1:26" ht="14.25" customHeight="1" x14ac:dyDescent="0.25">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spans="1:26" ht="14.25" customHeight="1" x14ac:dyDescent="0.25">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spans="1:26" ht="14.25" customHeight="1" x14ac:dyDescent="0.25">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spans="1:26" ht="14.25" customHeight="1" x14ac:dyDescent="0.25">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spans="1:26" ht="14.25" customHeight="1" x14ac:dyDescent="0.25">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spans="1:26" ht="14.25" customHeight="1" x14ac:dyDescent="0.25">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spans="1:26" ht="14.25" customHeight="1" x14ac:dyDescent="0.2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spans="1:26" ht="14.25" customHeight="1" x14ac:dyDescent="0.25">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spans="1:26" ht="14.25" customHeight="1" x14ac:dyDescent="0.25">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spans="1:26" ht="14.25" customHeight="1" x14ac:dyDescent="0.25">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spans="1:26" ht="14.25" customHeight="1" x14ac:dyDescent="0.25">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spans="1:26" ht="14.25" customHeight="1" x14ac:dyDescent="0.25">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spans="1:26" ht="14.25" customHeight="1" x14ac:dyDescent="0.25">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spans="1:26" ht="14.25" customHeight="1" x14ac:dyDescent="0.25">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spans="1:26" ht="14.25" customHeight="1" x14ac:dyDescent="0.25">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spans="1:26" ht="14.25" customHeight="1" x14ac:dyDescent="0.25">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spans="1:26" ht="14.25" customHeight="1" x14ac:dyDescent="0.2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spans="1:26" ht="14.25" customHeight="1" x14ac:dyDescent="0.25">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spans="1:26" ht="14.25" customHeight="1" x14ac:dyDescent="0.25">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spans="1:26" ht="14.25" customHeight="1" x14ac:dyDescent="0.25">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spans="1:26" ht="14.25" customHeight="1" x14ac:dyDescent="0.25">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spans="1:26" ht="14.25" customHeight="1" x14ac:dyDescent="0.25">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spans="1:26" ht="14.25" customHeight="1" x14ac:dyDescent="0.25">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spans="1:26" ht="14.25" customHeight="1" x14ac:dyDescent="0.25">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spans="1:26" ht="14.25" customHeight="1" x14ac:dyDescent="0.25">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spans="1:26" ht="14.25" customHeight="1" x14ac:dyDescent="0.25">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spans="1:26" ht="14.25" customHeight="1" x14ac:dyDescent="0.2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spans="1:26" ht="14.25" customHeight="1" x14ac:dyDescent="0.25">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spans="1:26" ht="14.25" customHeight="1" x14ac:dyDescent="0.25">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spans="1:26" ht="14.25" customHeight="1" x14ac:dyDescent="0.25">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spans="1:26" ht="14.25" customHeight="1" x14ac:dyDescent="0.25">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spans="1:26" ht="14.25" customHeight="1" x14ac:dyDescent="0.25">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spans="1:26" ht="14.25" customHeight="1" x14ac:dyDescent="0.25">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spans="1:26" ht="14.25" customHeight="1" x14ac:dyDescent="0.25">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spans="1:26" ht="14.25" customHeight="1" x14ac:dyDescent="0.25">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spans="1:26" ht="14.25" customHeight="1" x14ac:dyDescent="0.25">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spans="1:26" ht="14.25" customHeight="1" x14ac:dyDescent="0.2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spans="1:26" ht="14.25" customHeight="1" x14ac:dyDescent="0.25">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spans="1:26" ht="14.25" customHeight="1" x14ac:dyDescent="0.25">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spans="1:26" ht="14.25" customHeight="1" x14ac:dyDescent="0.25">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spans="1:26" ht="14.25" customHeight="1" x14ac:dyDescent="0.25">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spans="1:26" ht="14.25" customHeight="1" x14ac:dyDescent="0.25">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spans="1:26" ht="14.25" customHeight="1" x14ac:dyDescent="0.25">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spans="1:26" ht="14.25" customHeight="1" x14ac:dyDescent="0.25">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spans="1:26" ht="14.25" customHeight="1" x14ac:dyDescent="0.25">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spans="1:26" ht="14.25" customHeight="1" x14ac:dyDescent="0.25">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spans="1:26" ht="14.25" customHeight="1" x14ac:dyDescent="0.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spans="1:26" ht="14.25" customHeight="1" x14ac:dyDescent="0.25">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spans="1:26" ht="14.25" customHeight="1" x14ac:dyDescent="0.25">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spans="1:26" ht="14.25" customHeight="1" x14ac:dyDescent="0.25">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spans="1:26" ht="14.25" customHeight="1" x14ac:dyDescent="0.25">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spans="1:26" ht="14.25" customHeight="1" x14ac:dyDescent="0.25">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spans="1:26" ht="14.25" customHeight="1" x14ac:dyDescent="0.25">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spans="1:26" ht="14.25" customHeight="1" x14ac:dyDescent="0.25">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spans="1:26" ht="14.25" customHeight="1" x14ac:dyDescent="0.25">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spans="1:26" ht="14.25" customHeight="1" x14ac:dyDescent="0.25">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spans="1:26" ht="14.25" customHeight="1" x14ac:dyDescent="0.2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spans="1:26" ht="14.25" customHeight="1" x14ac:dyDescent="0.25">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spans="1:26" ht="14.25" customHeight="1" x14ac:dyDescent="0.25">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spans="1:26" ht="14.25" customHeight="1" x14ac:dyDescent="0.25">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spans="1:26" ht="14.25" customHeight="1" x14ac:dyDescent="0.25">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spans="1:26" ht="14.25" customHeight="1" x14ac:dyDescent="0.25">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spans="1:26" ht="14.25" customHeight="1" x14ac:dyDescent="0.25">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spans="1:26" ht="14.25" customHeight="1" x14ac:dyDescent="0.25">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spans="1:26" ht="14.25" customHeight="1" x14ac:dyDescent="0.25">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spans="1:26" ht="14.25" customHeight="1" x14ac:dyDescent="0.25">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ht="14.25" customHeight="1" x14ac:dyDescent="0.2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ht="14.25" customHeight="1" x14ac:dyDescent="0.25">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ht="14.25" customHeight="1" x14ac:dyDescent="0.25">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ht="14.25" customHeight="1" x14ac:dyDescent="0.25">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ht="14.25" customHeight="1" x14ac:dyDescent="0.25">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ht="14.25" customHeight="1" x14ac:dyDescent="0.25">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ht="14.25" customHeight="1" x14ac:dyDescent="0.25">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ht="14.25" customHeight="1" x14ac:dyDescent="0.25">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ht="14.25" customHeight="1" x14ac:dyDescent="0.25">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ht="14.25" customHeight="1" x14ac:dyDescent="0.25">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ht="14.25" customHeight="1" x14ac:dyDescent="0.2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ht="14.25" customHeight="1" x14ac:dyDescent="0.25">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ht="14.25" customHeight="1" x14ac:dyDescent="0.25">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ht="14.25" customHeight="1" x14ac:dyDescent="0.25">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ht="14.25" customHeight="1" x14ac:dyDescent="0.25">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ht="14.25" customHeight="1" x14ac:dyDescent="0.25">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ht="14.25" customHeight="1" x14ac:dyDescent="0.25">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ht="14.25" customHeight="1" x14ac:dyDescent="0.25">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ht="14.25" customHeight="1" x14ac:dyDescent="0.25">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ht="14.25" customHeight="1" x14ac:dyDescent="0.25">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ht="14.25" customHeight="1" x14ac:dyDescent="0.2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ht="14.25" customHeight="1" x14ac:dyDescent="0.25">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ht="14.25" customHeight="1" x14ac:dyDescent="0.25">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ht="14.25" customHeight="1" x14ac:dyDescent="0.25">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ht="14.25" customHeight="1" x14ac:dyDescent="0.25">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ht="14.25" customHeight="1" x14ac:dyDescent="0.25">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ht="14.25" customHeight="1" x14ac:dyDescent="0.25">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ht="14.25" customHeight="1" x14ac:dyDescent="0.25">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ht="14.25" customHeight="1" x14ac:dyDescent="0.25">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ht="14.25" customHeight="1" x14ac:dyDescent="0.25">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ht="14.25" customHeight="1" x14ac:dyDescent="0.2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ht="14.25" customHeight="1" x14ac:dyDescent="0.25">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ht="14.25" customHeight="1" x14ac:dyDescent="0.25">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ht="14.25" customHeight="1" x14ac:dyDescent="0.25">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ht="14.25" customHeight="1" x14ac:dyDescent="0.25">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ht="14.25" customHeight="1" x14ac:dyDescent="0.25">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ht="14.25" customHeight="1" x14ac:dyDescent="0.25">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ht="14.25" customHeight="1" x14ac:dyDescent="0.25">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ht="14.25" customHeight="1" x14ac:dyDescent="0.25">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ht="14.25" customHeight="1" x14ac:dyDescent="0.25">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ht="14.25" customHeight="1" x14ac:dyDescent="0.2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ht="14.25" customHeight="1" x14ac:dyDescent="0.25">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ht="14.25" customHeight="1" x14ac:dyDescent="0.25">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ht="14.25" customHeight="1" x14ac:dyDescent="0.25">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ht="14.25" customHeight="1" x14ac:dyDescent="0.25">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ht="14.25" customHeight="1" x14ac:dyDescent="0.25">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ht="14.25" customHeight="1" x14ac:dyDescent="0.25">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ht="14.25" customHeight="1" x14ac:dyDescent="0.25">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ht="14.25" customHeight="1" x14ac:dyDescent="0.25">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ht="14.25" customHeight="1" x14ac:dyDescent="0.25">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ht="14.25" customHeight="1" x14ac:dyDescent="0.2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ht="14.25" customHeight="1" x14ac:dyDescent="0.25">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ht="14.25" customHeight="1" x14ac:dyDescent="0.25">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ht="14.25" customHeight="1" x14ac:dyDescent="0.25">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ht="14.25" customHeight="1" x14ac:dyDescent="0.25">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ht="14.25" customHeight="1" x14ac:dyDescent="0.25">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ht="14.25" customHeight="1" x14ac:dyDescent="0.25">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ht="14.25" customHeight="1" x14ac:dyDescent="0.25">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ht="14.25" customHeight="1" x14ac:dyDescent="0.25">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ht="14.25" customHeight="1" x14ac:dyDescent="0.25">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ht="14.25" customHeight="1" x14ac:dyDescent="0.2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ht="14.25" customHeight="1" x14ac:dyDescent="0.25">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ht="14.25" customHeight="1" x14ac:dyDescent="0.25">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ht="14.25" customHeight="1" x14ac:dyDescent="0.25">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ht="14.25" customHeight="1" x14ac:dyDescent="0.25">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14.25" customHeight="1" x14ac:dyDescent="0.25">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14.25" customHeight="1" x14ac:dyDescent="0.25">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14.25" customHeight="1" x14ac:dyDescent="0.25">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14.25" customHeight="1" x14ac:dyDescent="0.25">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14.25" customHeight="1" x14ac:dyDescent="0.25">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14.25" customHeight="1" x14ac:dyDescent="0.2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14.25" customHeight="1" x14ac:dyDescent="0.25">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14.25" customHeight="1" x14ac:dyDescent="0.25">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14.25" customHeight="1" x14ac:dyDescent="0.25">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14.25" customHeight="1" x14ac:dyDescent="0.25">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14.25" customHeight="1" x14ac:dyDescent="0.25">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14.25" customHeight="1" x14ac:dyDescent="0.25">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ht="14.25" customHeight="1" x14ac:dyDescent="0.25">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14.25" customHeight="1" x14ac:dyDescent="0.25">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ht="14.25" customHeight="1" x14ac:dyDescent="0.25">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14.25" customHeight="1" x14ac:dyDescent="0.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14.25" customHeight="1" x14ac:dyDescent="0.25">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14.25" customHeight="1" x14ac:dyDescent="0.25">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14.25" customHeight="1" x14ac:dyDescent="0.25">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14.25" customHeight="1" x14ac:dyDescent="0.25">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ht="14.25" customHeight="1" x14ac:dyDescent="0.25">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14.25" customHeight="1" x14ac:dyDescent="0.25">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ht="14.25" customHeight="1" x14ac:dyDescent="0.25">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ht="14.25" customHeight="1" x14ac:dyDescent="0.25">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14.25" customHeight="1" x14ac:dyDescent="0.25">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14.25" customHeight="1" x14ac:dyDescent="0.2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14.25" customHeight="1" x14ac:dyDescent="0.25">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14.25" customHeight="1" x14ac:dyDescent="0.25">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14.25" customHeight="1" x14ac:dyDescent="0.25">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14.25" customHeight="1" x14ac:dyDescent="0.25">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ht="14.25" customHeight="1" x14ac:dyDescent="0.25">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14.25" customHeight="1" x14ac:dyDescent="0.25">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14.25" customHeight="1" x14ac:dyDescent="0.25">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14.25" customHeight="1" x14ac:dyDescent="0.25">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14.25" customHeight="1" x14ac:dyDescent="0.25">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14.25" customHeight="1" x14ac:dyDescent="0.2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14.25" customHeight="1" x14ac:dyDescent="0.25">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14.25" customHeight="1" x14ac:dyDescent="0.25">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ht="14.25" customHeight="1" x14ac:dyDescent="0.25">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14.25" customHeight="1" x14ac:dyDescent="0.25">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14.25" customHeight="1" x14ac:dyDescent="0.25">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14.25" customHeight="1" x14ac:dyDescent="0.25">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14.25" customHeight="1" x14ac:dyDescent="0.25">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14.25" customHeight="1" x14ac:dyDescent="0.25">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14.25" customHeight="1" x14ac:dyDescent="0.25">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14.25" customHeight="1" x14ac:dyDescent="0.2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ht="14.25" customHeight="1" x14ac:dyDescent="0.25">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14.25" customHeight="1" x14ac:dyDescent="0.25">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14.25" customHeight="1" x14ac:dyDescent="0.25">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14.25" customHeight="1" x14ac:dyDescent="0.25">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14.25" customHeight="1" x14ac:dyDescent="0.25">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14.25" customHeight="1" x14ac:dyDescent="0.25">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14.25" customHeight="1" x14ac:dyDescent="0.25">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14.25" customHeight="1" x14ac:dyDescent="0.25">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ht="14.25" customHeight="1" x14ac:dyDescent="0.25">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14.25" customHeight="1" x14ac:dyDescent="0.2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14.25" customHeight="1" x14ac:dyDescent="0.25">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14.25" customHeight="1" x14ac:dyDescent="0.25">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14.25" customHeight="1" x14ac:dyDescent="0.25">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14.25" customHeight="1" x14ac:dyDescent="0.25">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14.25" customHeight="1" x14ac:dyDescent="0.25">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14.25" customHeight="1" x14ac:dyDescent="0.25">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ht="14.25" customHeight="1" x14ac:dyDescent="0.25">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14.25" customHeight="1" x14ac:dyDescent="0.25">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14.25" customHeight="1" x14ac:dyDescent="0.25">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14.25" customHeight="1" x14ac:dyDescent="0.2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14.25" customHeight="1" x14ac:dyDescent="0.25">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14.25" customHeight="1" x14ac:dyDescent="0.25">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14.25" customHeight="1" x14ac:dyDescent="0.25">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14.25" customHeight="1" x14ac:dyDescent="0.25">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ht="14.25" customHeight="1" x14ac:dyDescent="0.25">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14.25" customHeight="1" x14ac:dyDescent="0.25">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14.25" customHeight="1" x14ac:dyDescent="0.25">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14.25" customHeight="1" x14ac:dyDescent="0.25">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14.25" customHeight="1" x14ac:dyDescent="0.25">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14.25" customHeight="1" x14ac:dyDescent="0.2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14.25" customHeight="1" x14ac:dyDescent="0.25">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14.25" customHeight="1" x14ac:dyDescent="0.25">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ht="14.25" customHeight="1" x14ac:dyDescent="0.25">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14.25" customHeight="1" x14ac:dyDescent="0.25">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14.25" customHeight="1" x14ac:dyDescent="0.25">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14.25" customHeight="1" x14ac:dyDescent="0.25">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14.25" customHeight="1" x14ac:dyDescent="0.25">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14.25" customHeight="1" x14ac:dyDescent="0.25">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14.25" customHeight="1" x14ac:dyDescent="0.25">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14.25" customHeight="1" x14ac:dyDescent="0.2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ht="14.25" customHeight="1" x14ac:dyDescent="0.25">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14.25" customHeight="1" x14ac:dyDescent="0.25">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14.25" customHeight="1" x14ac:dyDescent="0.25">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14.25" customHeight="1" x14ac:dyDescent="0.25">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14.25" customHeight="1" x14ac:dyDescent="0.25">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14.25" customHeight="1" x14ac:dyDescent="0.25">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14.25" customHeight="1" x14ac:dyDescent="0.25">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14.25" customHeight="1" x14ac:dyDescent="0.25">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ht="14.25" customHeight="1" x14ac:dyDescent="0.25">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14.25" customHeight="1" x14ac:dyDescent="0.2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14.25" customHeight="1" x14ac:dyDescent="0.25">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14.25" customHeight="1" x14ac:dyDescent="0.25">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14.25" customHeight="1" x14ac:dyDescent="0.25">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14.25" customHeight="1" x14ac:dyDescent="0.25">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14.25" customHeight="1" x14ac:dyDescent="0.25">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14.25" customHeight="1" x14ac:dyDescent="0.25">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ht="14.25" customHeight="1" x14ac:dyDescent="0.25">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ht="14.25" customHeight="1" x14ac:dyDescent="0.25">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ht="14.25" customHeight="1" x14ac:dyDescent="0.25">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14.25" customHeight="1" x14ac:dyDescent="0.2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14.25" customHeight="1" x14ac:dyDescent="0.25">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14.25" customHeight="1" x14ac:dyDescent="0.25">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14.25" customHeight="1" x14ac:dyDescent="0.25">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14.25" customHeight="1" x14ac:dyDescent="0.25">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14.25" customHeight="1" x14ac:dyDescent="0.25">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14.25" customHeight="1" x14ac:dyDescent="0.25">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ht="14.25" customHeight="1" x14ac:dyDescent="0.25">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ht="14.25" customHeight="1" x14ac:dyDescent="0.25">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14.25" customHeight="1" x14ac:dyDescent="0.25">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14.25" customHeight="1" x14ac:dyDescent="0.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14.25" customHeight="1" x14ac:dyDescent="0.25">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14.25" customHeight="1" x14ac:dyDescent="0.25">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14.25" customHeight="1" x14ac:dyDescent="0.25">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14.25" customHeight="1" x14ac:dyDescent="0.25">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ht="14.25" customHeight="1" x14ac:dyDescent="0.25">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ht="14.25" customHeight="1" x14ac:dyDescent="0.25">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14.25" customHeight="1" x14ac:dyDescent="0.25">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14.25" customHeight="1" x14ac:dyDescent="0.25">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14.25" customHeight="1" x14ac:dyDescent="0.25">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14.25" customHeight="1" x14ac:dyDescent="0.2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14.25" customHeight="1" x14ac:dyDescent="0.25">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14.25" customHeight="1" x14ac:dyDescent="0.25">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ht="14.25" customHeight="1" x14ac:dyDescent="0.25">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ht="14.25" customHeight="1" x14ac:dyDescent="0.25">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14.25" customHeight="1" x14ac:dyDescent="0.25">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14.25" customHeight="1" x14ac:dyDescent="0.25">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14.25" customHeight="1" x14ac:dyDescent="0.25">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14.25" customHeight="1" x14ac:dyDescent="0.25">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14.25" customHeight="1" x14ac:dyDescent="0.25">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14.25" customHeight="1" x14ac:dyDescent="0.2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ht="14.25" customHeight="1" x14ac:dyDescent="0.25">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ht="14.25" customHeight="1" x14ac:dyDescent="0.25">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14.25" customHeight="1" x14ac:dyDescent="0.25">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14.25" customHeight="1" x14ac:dyDescent="0.25">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14.25" customHeight="1" x14ac:dyDescent="0.25">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14.25" customHeight="1" x14ac:dyDescent="0.25">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14.25" customHeight="1" x14ac:dyDescent="0.25">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14.25" customHeight="1" x14ac:dyDescent="0.25">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ht="14.25" customHeight="1" x14ac:dyDescent="0.25">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ht="14.25" customHeight="1" x14ac:dyDescent="0.2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14.25" customHeight="1" x14ac:dyDescent="0.25">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14.25" customHeight="1" x14ac:dyDescent="0.25">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14.25" customHeight="1" x14ac:dyDescent="0.25">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14.25" customHeight="1" x14ac:dyDescent="0.25">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14.25" customHeight="1" x14ac:dyDescent="0.25">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14.25" customHeight="1" x14ac:dyDescent="0.25">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ht="14.25" customHeight="1" x14ac:dyDescent="0.25">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ht="14.25" customHeight="1" x14ac:dyDescent="0.25">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14.25" customHeight="1" x14ac:dyDescent="0.25">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14.25" customHeight="1" x14ac:dyDescent="0.2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14.25" customHeight="1" x14ac:dyDescent="0.25">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14.25" customHeight="1" x14ac:dyDescent="0.25">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14.25" customHeight="1" x14ac:dyDescent="0.25">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14.25" customHeight="1" x14ac:dyDescent="0.25">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ht="14.25" customHeight="1" x14ac:dyDescent="0.25">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14.25" customHeight="1" x14ac:dyDescent="0.25">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ht="14.25" customHeight="1" x14ac:dyDescent="0.25">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14.25" customHeight="1" x14ac:dyDescent="0.25">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14.25" customHeight="1" x14ac:dyDescent="0.25">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14.25" customHeight="1" x14ac:dyDescent="0.2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14.25" customHeight="1" x14ac:dyDescent="0.25">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14.25" customHeight="1" x14ac:dyDescent="0.25">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14.25" customHeight="1" x14ac:dyDescent="0.25">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14.25" customHeight="1" x14ac:dyDescent="0.25">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ht="14.25" customHeight="1" x14ac:dyDescent="0.25">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ht="14.25" customHeight="1" x14ac:dyDescent="0.25">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14.25" customHeight="1" x14ac:dyDescent="0.25">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14.25" customHeight="1" x14ac:dyDescent="0.25">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14.25" customHeight="1" x14ac:dyDescent="0.25">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14.25" customHeight="1" x14ac:dyDescent="0.2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14.25" customHeight="1" x14ac:dyDescent="0.25">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14.25" customHeight="1" x14ac:dyDescent="0.25">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ht="14.25" customHeight="1" x14ac:dyDescent="0.25">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14.25" customHeight="1" x14ac:dyDescent="0.25">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14.25" customHeight="1" x14ac:dyDescent="0.25">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14.25" customHeight="1" x14ac:dyDescent="0.25">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14.25" customHeight="1" x14ac:dyDescent="0.25">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14.25" customHeight="1" x14ac:dyDescent="0.25">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14.25" customHeight="1" x14ac:dyDescent="0.25">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14.25" customHeight="1" x14ac:dyDescent="0.2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ht="14.25" customHeight="1" x14ac:dyDescent="0.25">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14.25" customHeight="1" x14ac:dyDescent="0.25">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14.25" customHeight="1" x14ac:dyDescent="0.25">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14.25" customHeight="1" x14ac:dyDescent="0.25">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14.25" customHeight="1" x14ac:dyDescent="0.25">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14.25" customHeight="1" x14ac:dyDescent="0.25">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14.25" customHeight="1" x14ac:dyDescent="0.25">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14.25" customHeight="1" x14ac:dyDescent="0.25">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ht="14.25" customHeight="1" x14ac:dyDescent="0.25">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ht="14.25" customHeight="1" x14ac:dyDescent="0.2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14.25" customHeight="1" x14ac:dyDescent="0.25">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14.25" customHeight="1" x14ac:dyDescent="0.25">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14.25" customHeight="1" x14ac:dyDescent="0.25">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14.25" customHeight="1" x14ac:dyDescent="0.25">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14.25" customHeight="1" x14ac:dyDescent="0.25">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14.25" customHeight="1" x14ac:dyDescent="0.25">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ht="14.25" customHeight="1" x14ac:dyDescent="0.25">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14.25" customHeight="1" x14ac:dyDescent="0.25">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14.25" customHeight="1" x14ac:dyDescent="0.25">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14.25" customHeight="1" x14ac:dyDescent="0.2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14.25" customHeight="1" x14ac:dyDescent="0.25">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14.25" customHeight="1" x14ac:dyDescent="0.25">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14.25" customHeight="1" x14ac:dyDescent="0.25">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14.25" customHeight="1" x14ac:dyDescent="0.25">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14.25" customHeight="1" x14ac:dyDescent="0.25">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14.25" customHeight="1" x14ac:dyDescent="0.25">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14.25" customHeight="1" x14ac:dyDescent="0.25">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14.25" customHeight="1" x14ac:dyDescent="0.25">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14.25" customHeight="1" x14ac:dyDescent="0.25">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14.25" customHeight="1" x14ac:dyDescent="0.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14.25" customHeight="1" x14ac:dyDescent="0.25">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14.25" customHeight="1" x14ac:dyDescent="0.25">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14.25" customHeight="1" x14ac:dyDescent="0.25">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14.25" customHeight="1" x14ac:dyDescent="0.25">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ht="14.25" customHeight="1" x14ac:dyDescent="0.25">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14.25" customHeight="1" x14ac:dyDescent="0.25">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14.25" customHeight="1" x14ac:dyDescent="0.25">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14.25" customHeight="1" x14ac:dyDescent="0.25">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14.25" customHeight="1" x14ac:dyDescent="0.25">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14.25" customHeight="1" x14ac:dyDescent="0.2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14.25" customHeight="1" x14ac:dyDescent="0.25">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14.25" customHeight="1" x14ac:dyDescent="0.25">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ht="14.25" customHeight="1" x14ac:dyDescent="0.25">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14.25" customHeight="1" x14ac:dyDescent="0.25">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ht="14.25" customHeight="1" x14ac:dyDescent="0.25">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14.25" customHeight="1" x14ac:dyDescent="0.25">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14.25" customHeight="1" x14ac:dyDescent="0.25">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14.25" customHeight="1" x14ac:dyDescent="0.25">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14.25" customHeight="1" x14ac:dyDescent="0.25">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14.25" customHeight="1" x14ac:dyDescent="0.2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14.25" customHeight="1" x14ac:dyDescent="0.25">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14.25" customHeight="1" x14ac:dyDescent="0.25">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ht="14.25" customHeight="1" x14ac:dyDescent="0.25">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14.25" customHeight="1" x14ac:dyDescent="0.25">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14.25" customHeight="1" x14ac:dyDescent="0.25">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14.25" customHeight="1" x14ac:dyDescent="0.25">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14.25" customHeight="1" x14ac:dyDescent="0.25">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14.25" customHeight="1" x14ac:dyDescent="0.25">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14.25" customHeight="1" x14ac:dyDescent="0.25">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14.25" customHeight="1" x14ac:dyDescent="0.2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14.25" customHeight="1" x14ac:dyDescent="0.25">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14.25" customHeight="1" x14ac:dyDescent="0.25">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14.25" customHeight="1" x14ac:dyDescent="0.25">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14.25" customHeight="1" x14ac:dyDescent="0.25">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14.25" customHeight="1" x14ac:dyDescent="0.25">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14.25" customHeight="1" x14ac:dyDescent="0.25">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14.25" customHeight="1" x14ac:dyDescent="0.25">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14.25" customHeight="1" x14ac:dyDescent="0.25">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ht="14.25" customHeight="1" x14ac:dyDescent="0.25">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14.25" customHeight="1" x14ac:dyDescent="0.2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14.25" customHeight="1" x14ac:dyDescent="0.25">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14.25" customHeight="1" x14ac:dyDescent="0.25">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14.25" customHeight="1" x14ac:dyDescent="0.25">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14.25" customHeight="1" x14ac:dyDescent="0.25">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14.25" customHeight="1" x14ac:dyDescent="0.25">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14.25" customHeight="1" x14ac:dyDescent="0.25">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ht="14.25" customHeight="1" x14ac:dyDescent="0.25">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14.25" customHeight="1" x14ac:dyDescent="0.25">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ht="14.25" customHeight="1" x14ac:dyDescent="0.25">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14.25" customHeight="1" x14ac:dyDescent="0.2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14.25" customHeight="1" x14ac:dyDescent="0.25">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14.25" customHeight="1" x14ac:dyDescent="0.25">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14.25" customHeight="1" x14ac:dyDescent="0.25">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14.25" customHeight="1" x14ac:dyDescent="0.25">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ht="14.25" customHeight="1" x14ac:dyDescent="0.25">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ht="14.25" customHeight="1" x14ac:dyDescent="0.25">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14.25" customHeight="1" x14ac:dyDescent="0.25">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14.25" customHeight="1" x14ac:dyDescent="0.25">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14.25" customHeight="1" x14ac:dyDescent="0.25">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14.25" customHeight="1" x14ac:dyDescent="0.2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14.25" customHeight="1" x14ac:dyDescent="0.25">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14.25" customHeight="1" x14ac:dyDescent="0.25">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ht="14.25" customHeight="1" x14ac:dyDescent="0.25">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ht="14.25" customHeight="1" x14ac:dyDescent="0.25">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14.25" customHeight="1" x14ac:dyDescent="0.25">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14.25" customHeight="1" x14ac:dyDescent="0.25">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14.25" customHeight="1" x14ac:dyDescent="0.25">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14.25" customHeight="1" x14ac:dyDescent="0.25">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14.25" customHeight="1" x14ac:dyDescent="0.25">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14.25" customHeight="1" x14ac:dyDescent="0.2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ht="14.25" customHeight="1" x14ac:dyDescent="0.25">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14.25" customHeight="1" x14ac:dyDescent="0.25">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ht="14.25" customHeight="1" x14ac:dyDescent="0.25">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14.25" customHeight="1" x14ac:dyDescent="0.25">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14.25" customHeight="1" x14ac:dyDescent="0.25">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14.25" customHeight="1" x14ac:dyDescent="0.25">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14.25" customHeight="1" x14ac:dyDescent="0.25">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14.25" customHeight="1" x14ac:dyDescent="0.25">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14.25" customHeight="1" x14ac:dyDescent="0.25">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14.25" customHeight="1" x14ac:dyDescent="0.2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14.25" customHeight="1" x14ac:dyDescent="0.25">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14.25" customHeight="1" x14ac:dyDescent="0.25">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14.25" customHeight="1" x14ac:dyDescent="0.25">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14.25" customHeight="1" x14ac:dyDescent="0.25">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14.25" customHeight="1" x14ac:dyDescent="0.25">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14.25" customHeight="1" x14ac:dyDescent="0.25">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14.25" customHeight="1" x14ac:dyDescent="0.25">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14.25" customHeight="1" x14ac:dyDescent="0.25">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14.25" customHeight="1" x14ac:dyDescent="0.25">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14.25" customHeight="1" x14ac:dyDescent="0.2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14.25" customHeight="1" x14ac:dyDescent="0.25">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14.25" customHeight="1" x14ac:dyDescent="0.25">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14.25" customHeight="1" x14ac:dyDescent="0.25">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14.25" customHeight="1" x14ac:dyDescent="0.25">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14.25" customHeight="1" x14ac:dyDescent="0.25">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14.25" customHeight="1" x14ac:dyDescent="0.25">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14.25" customHeight="1" x14ac:dyDescent="0.25">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14.25" customHeight="1" x14ac:dyDescent="0.25">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14.25" customHeight="1" x14ac:dyDescent="0.25">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14.25" customHeight="1" x14ac:dyDescent="0.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14.25" customHeight="1" x14ac:dyDescent="0.25">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14.25" customHeight="1" x14ac:dyDescent="0.25">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14.25" customHeight="1" x14ac:dyDescent="0.25">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14.25" customHeight="1" x14ac:dyDescent="0.25">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14.25" customHeight="1" x14ac:dyDescent="0.25">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14.25" customHeight="1" x14ac:dyDescent="0.25">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14.25" customHeight="1" x14ac:dyDescent="0.25">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14.25" customHeight="1" x14ac:dyDescent="0.25">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14.25" customHeight="1" x14ac:dyDescent="0.25">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14.25" customHeight="1" x14ac:dyDescent="0.2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14.25" customHeight="1" x14ac:dyDescent="0.25">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14.25" customHeight="1" x14ac:dyDescent="0.25">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ht="14.25" customHeight="1" x14ac:dyDescent="0.25">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ht="14.25" customHeight="1" x14ac:dyDescent="0.25">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14.25" customHeight="1" x14ac:dyDescent="0.25">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14.25" customHeight="1" x14ac:dyDescent="0.25">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14.25" customHeight="1" x14ac:dyDescent="0.25">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14.25" customHeight="1" x14ac:dyDescent="0.25">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14.25" customHeight="1" x14ac:dyDescent="0.25">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14.25" customHeight="1" x14ac:dyDescent="0.2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14.25" customHeight="1" x14ac:dyDescent="0.25">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14.25" customHeight="1" x14ac:dyDescent="0.25">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14.25" customHeight="1" x14ac:dyDescent="0.25">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14.25" customHeight="1" x14ac:dyDescent="0.25">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14.25" customHeight="1" x14ac:dyDescent="0.25">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14.25" customHeight="1" x14ac:dyDescent="0.25">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14.25" customHeight="1" x14ac:dyDescent="0.25">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14.25" customHeight="1" x14ac:dyDescent="0.25">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14.25" customHeight="1" x14ac:dyDescent="0.25">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14.25" customHeight="1" x14ac:dyDescent="0.2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14.25" customHeight="1" x14ac:dyDescent="0.25">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14.25" customHeight="1" x14ac:dyDescent="0.25">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14.25" customHeight="1" x14ac:dyDescent="0.25">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14.25" customHeight="1" x14ac:dyDescent="0.25">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14.25" customHeight="1" x14ac:dyDescent="0.25">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14.25" customHeight="1" x14ac:dyDescent="0.25">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14.25" customHeight="1" x14ac:dyDescent="0.25">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14.25" customHeight="1" x14ac:dyDescent="0.25">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ht="14.25" customHeight="1" x14ac:dyDescent="0.25">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ht="14.25" customHeight="1" x14ac:dyDescent="0.2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14.25" customHeight="1" x14ac:dyDescent="0.25">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14.25" customHeight="1" x14ac:dyDescent="0.25">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14.25" customHeight="1" x14ac:dyDescent="0.25">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14.25" customHeight="1" x14ac:dyDescent="0.25">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14.25" customHeight="1" x14ac:dyDescent="0.25">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14.25" customHeight="1" x14ac:dyDescent="0.25">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ht="14.25" customHeight="1" x14ac:dyDescent="0.25">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ht="14.25" customHeight="1" x14ac:dyDescent="0.25">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14.25" customHeight="1" x14ac:dyDescent="0.25">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14.25" customHeight="1" x14ac:dyDescent="0.2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14.25" customHeight="1" x14ac:dyDescent="0.25">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14.25" customHeight="1" x14ac:dyDescent="0.25">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14.25" customHeight="1" x14ac:dyDescent="0.25">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14.25" customHeight="1" x14ac:dyDescent="0.25">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ht="14.25" customHeight="1" x14ac:dyDescent="0.25">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ht="14.25" customHeight="1" x14ac:dyDescent="0.25">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14.25" customHeight="1" x14ac:dyDescent="0.25">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14.25" customHeight="1" x14ac:dyDescent="0.25">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14.25" customHeight="1" x14ac:dyDescent="0.25">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14.25" customHeight="1" x14ac:dyDescent="0.2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14.25" customHeight="1" x14ac:dyDescent="0.25">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14.25" customHeight="1" x14ac:dyDescent="0.25">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ht="14.25" customHeight="1" x14ac:dyDescent="0.25">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ht="14.25" customHeight="1" x14ac:dyDescent="0.25">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14.25" customHeight="1" x14ac:dyDescent="0.25">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14.25" customHeight="1" x14ac:dyDescent="0.25">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14.25" customHeight="1" x14ac:dyDescent="0.25">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14.25" customHeight="1" x14ac:dyDescent="0.25">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14.25" customHeight="1" x14ac:dyDescent="0.25">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14.25" customHeight="1" x14ac:dyDescent="0.2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ht="14.25" customHeight="1" x14ac:dyDescent="0.25">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ht="14.25" customHeight="1" x14ac:dyDescent="0.25">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14.25" customHeight="1" x14ac:dyDescent="0.25">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14.25" customHeight="1" x14ac:dyDescent="0.25">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14.25" customHeight="1" x14ac:dyDescent="0.25">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14.25" customHeight="1" x14ac:dyDescent="0.25">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14.25" customHeight="1" x14ac:dyDescent="0.25">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14.25" customHeight="1" x14ac:dyDescent="0.25">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ht="14.25" customHeight="1" x14ac:dyDescent="0.25">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ht="14.25" customHeight="1" x14ac:dyDescent="0.2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ht="14.25" customHeight="1" x14ac:dyDescent="0.25">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ht="14.25" customHeight="1" x14ac:dyDescent="0.25">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ht="14.25" customHeight="1" x14ac:dyDescent="0.25">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ht="14.25" customHeight="1" x14ac:dyDescent="0.25">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ht="14.25" customHeight="1" x14ac:dyDescent="0.25">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ht="14.25" customHeight="1" x14ac:dyDescent="0.25">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ht="14.25" customHeight="1" x14ac:dyDescent="0.25">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ht="14.25" customHeight="1" x14ac:dyDescent="0.25">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ht="14.25" customHeight="1" x14ac:dyDescent="0.25">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ht="14.25" customHeight="1" x14ac:dyDescent="0.2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ht="14.25" customHeight="1" x14ac:dyDescent="0.25">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ht="14.25" customHeight="1" x14ac:dyDescent="0.25">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14.25" customHeight="1" x14ac:dyDescent="0.25">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14.25" customHeight="1" x14ac:dyDescent="0.25">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14.25" customHeight="1" x14ac:dyDescent="0.25">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14.25" customHeight="1" x14ac:dyDescent="0.25">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14.25" customHeight="1" x14ac:dyDescent="0.25">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14.25" customHeight="1" x14ac:dyDescent="0.25">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14.25" customHeight="1" x14ac:dyDescent="0.25">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14.25" customHeight="1" x14ac:dyDescent="0.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ht="14.25" customHeight="1" x14ac:dyDescent="0.25">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ht="14.25" customHeight="1" x14ac:dyDescent="0.25">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ht="14.25" customHeight="1" x14ac:dyDescent="0.25">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ht="14.25" customHeight="1" x14ac:dyDescent="0.25">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ht="14.25" customHeight="1" x14ac:dyDescent="0.25">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ht="14.25" customHeight="1" x14ac:dyDescent="0.25">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ht="14.25" customHeight="1" x14ac:dyDescent="0.25">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ht="14.25" customHeight="1" x14ac:dyDescent="0.25">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ht="14.25" customHeight="1" x14ac:dyDescent="0.25">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ht="14.25" customHeight="1" x14ac:dyDescent="0.2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ht="14.25" customHeight="1" x14ac:dyDescent="0.25">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14.25" customHeight="1" x14ac:dyDescent="0.25">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14.25" customHeight="1" x14ac:dyDescent="0.25">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ht="14.25" customHeight="1" x14ac:dyDescent="0.25">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ht="14.25" customHeight="1" x14ac:dyDescent="0.25">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ht="14.25" customHeight="1" x14ac:dyDescent="0.25">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ht="14.25" customHeight="1" x14ac:dyDescent="0.25">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ht="14.25" customHeight="1" x14ac:dyDescent="0.25">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ht="14.25" customHeight="1" x14ac:dyDescent="0.25">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ht="14.25" customHeight="1" x14ac:dyDescent="0.2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ht="14.25" customHeight="1" x14ac:dyDescent="0.25">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ht="14.25" customHeight="1" x14ac:dyDescent="0.25">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ht="14.25" customHeight="1" x14ac:dyDescent="0.25">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ht="14.25" customHeight="1" x14ac:dyDescent="0.25">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ht="14.25" customHeight="1" x14ac:dyDescent="0.25">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ht="14.25" customHeight="1" x14ac:dyDescent="0.25">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ht="14.25" customHeight="1" x14ac:dyDescent="0.25">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ht="14.25" customHeight="1" x14ac:dyDescent="0.25">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ht="14.25" customHeight="1" x14ac:dyDescent="0.25">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ht="14.25" customHeight="1" x14ac:dyDescent="0.2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ht="14.25" customHeight="1" x14ac:dyDescent="0.25">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ht="14.25" customHeight="1" x14ac:dyDescent="0.25">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ht="14.25" customHeight="1" x14ac:dyDescent="0.25">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ht="14.25" customHeight="1" x14ac:dyDescent="0.25">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ht="14.25" customHeight="1" x14ac:dyDescent="0.25">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ht="14.25" customHeight="1" x14ac:dyDescent="0.25">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ht="14.25" customHeight="1" x14ac:dyDescent="0.25">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ht="14.25" customHeight="1" x14ac:dyDescent="0.25">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ht="14.25" customHeight="1" x14ac:dyDescent="0.25">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ht="14.25" customHeight="1" x14ac:dyDescent="0.2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ht="14.25" customHeight="1" x14ac:dyDescent="0.25">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ht="14.25" customHeight="1" x14ac:dyDescent="0.25">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ht="14.25" customHeight="1" x14ac:dyDescent="0.25">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ht="14.25" customHeight="1" x14ac:dyDescent="0.25">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ht="14.25" customHeight="1" x14ac:dyDescent="0.25">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ht="14.25" customHeight="1" x14ac:dyDescent="0.25">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ht="14.25" customHeight="1" x14ac:dyDescent="0.25">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ht="14.25" customHeight="1" x14ac:dyDescent="0.25">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ht="14.25" customHeight="1" x14ac:dyDescent="0.25">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ht="14.25" customHeight="1" x14ac:dyDescent="0.2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ht="14.25" customHeight="1" x14ac:dyDescent="0.25">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ht="14.25" customHeight="1" x14ac:dyDescent="0.25">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ht="14.25" customHeight="1" x14ac:dyDescent="0.25">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ht="14.25" customHeight="1" x14ac:dyDescent="0.25">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ht="14.25" customHeight="1" x14ac:dyDescent="0.25">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ht="14.25" customHeight="1" x14ac:dyDescent="0.25">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ht="14.25" customHeight="1" x14ac:dyDescent="0.25">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ht="14.25" customHeight="1" x14ac:dyDescent="0.25">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ht="14.25" customHeight="1" x14ac:dyDescent="0.25">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ht="14.25" customHeight="1" x14ac:dyDescent="0.2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ht="14.25" customHeight="1" x14ac:dyDescent="0.25">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ht="14.25" customHeight="1" x14ac:dyDescent="0.25">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ht="14.25" customHeight="1" x14ac:dyDescent="0.25">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ht="14.25" customHeight="1" x14ac:dyDescent="0.25">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ht="14.25" customHeight="1" x14ac:dyDescent="0.25">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ht="14.25" customHeight="1" x14ac:dyDescent="0.25">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ht="14.25" customHeight="1" x14ac:dyDescent="0.25">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ht="14.25" customHeight="1" x14ac:dyDescent="0.25">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ht="14.25" customHeight="1" x14ac:dyDescent="0.25">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ht="14.25" customHeight="1" x14ac:dyDescent="0.2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ht="14.25" customHeight="1" x14ac:dyDescent="0.25">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ht="14.25" customHeight="1" x14ac:dyDescent="0.25">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14.25" customHeight="1" x14ac:dyDescent="0.25">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14.25" customHeight="1" x14ac:dyDescent="0.25">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14.25" customHeight="1" x14ac:dyDescent="0.25">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14.25" customHeight="1" x14ac:dyDescent="0.25">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14.25" customHeight="1" x14ac:dyDescent="0.25">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14.25" customHeight="1" x14ac:dyDescent="0.25">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14.25" customHeight="1" x14ac:dyDescent="0.25">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14.25" customHeight="1" x14ac:dyDescent="0.2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14.25" customHeight="1" x14ac:dyDescent="0.25">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14.25" customHeight="1" x14ac:dyDescent="0.25">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14.25" customHeight="1" x14ac:dyDescent="0.25">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14.25" customHeight="1" x14ac:dyDescent="0.25">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14.25" customHeight="1" x14ac:dyDescent="0.25">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14.25" customHeight="1" x14ac:dyDescent="0.25">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14.25" customHeight="1" x14ac:dyDescent="0.25">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14.25" customHeight="1" x14ac:dyDescent="0.25">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14.25" customHeight="1" x14ac:dyDescent="0.25">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14.25" customHeight="1" x14ac:dyDescent="0.2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14.25" customHeight="1" x14ac:dyDescent="0.25">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14.25" customHeight="1" x14ac:dyDescent="0.25">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14.25" customHeight="1" x14ac:dyDescent="0.25">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14.25" customHeight="1" x14ac:dyDescent="0.25">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14.25" customHeight="1" x14ac:dyDescent="0.25">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14.25" customHeight="1" x14ac:dyDescent="0.25">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14.25" customHeight="1" x14ac:dyDescent="0.25">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14.25" customHeight="1" x14ac:dyDescent="0.25">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14.25" customHeight="1" x14ac:dyDescent="0.25">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14.25" customHeight="1" x14ac:dyDescent="0.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14.25" customHeight="1" x14ac:dyDescent="0.25">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14.25" customHeight="1" x14ac:dyDescent="0.25">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14.25" customHeight="1" x14ac:dyDescent="0.25">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14.25" customHeight="1" x14ac:dyDescent="0.25">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14.25" customHeight="1" x14ac:dyDescent="0.25">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14.25" customHeight="1" x14ac:dyDescent="0.25">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14.25" customHeight="1" x14ac:dyDescent="0.25">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14.25" customHeight="1" x14ac:dyDescent="0.25">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14.25" customHeight="1" x14ac:dyDescent="0.25">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14.25" customHeight="1" x14ac:dyDescent="0.2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14.25" customHeight="1" x14ac:dyDescent="0.25">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14.25" customHeight="1" x14ac:dyDescent="0.25">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14.25" customHeight="1" x14ac:dyDescent="0.25">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14.25" customHeight="1" x14ac:dyDescent="0.25">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14.25" customHeight="1" x14ac:dyDescent="0.25">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14.25" customHeight="1" x14ac:dyDescent="0.25">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14.25" customHeight="1" x14ac:dyDescent="0.25">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14.25" customHeight="1" x14ac:dyDescent="0.25">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14.25" customHeight="1" x14ac:dyDescent="0.25">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14.25" customHeight="1" x14ac:dyDescent="0.2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14.25" customHeight="1" x14ac:dyDescent="0.25">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14.25" customHeight="1" x14ac:dyDescent="0.25">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14.25" customHeight="1" x14ac:dyDescent="0.25">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14.25" customHeight="1" x14ac:dyDescent="0.25">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14.25" customHeight="1" x14ac:dyDescent="0.25">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14.25" customHeight="1" x14ac:dyDescent="0.25">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14.25" customHeight="1" x14ac:dyDescent="0.25">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14.25" customHeight="1" x14ac:dyDescent="0.25">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14.25" customHeight="1" x14ac:dyDescent="0.25">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14.25" customHeight="1" x14ac:dyDescent="0.2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14.25" customHeight="1" x14ac:dyDescent="0.25">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14.25" customHeight="1" x14ac:dyDescent="0.25">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14.25" customHeight="1" x14ac:dyDescent="0.25">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14.25" customHeight="1" x14ac:dyDescent="0.25">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14.25" customHeight="1" x14ac:dyDescent="0.25">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14.25" customHeight="1" x14ac:dyDescent="0.25">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14.25" customHeight="1" x14ac:dyDescent="0.25">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14.25" customHeight="1" x14ac:dyDescent="0.25">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14.25" customHeight="1" x14ac:dyDescent="0.25">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14.25" customHeight="1" x14ac:dyDescent="0.2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14.25" customHeight="1" x14ac:dyDescent="0.25">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14.25" customHeight="1" x14ac:dyDescent="0.25">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14.25" customHeight="1" x14ac:dyDescent="0.25">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14.25" customHeight="1" x14ac:dyDescent="0.25">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14.25" customHeight="1" x14ac:dyDescent="0.25">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14.25" customHeight="1" x14ac:dyDescent="0.25">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14.25" customHeight="1" x14ac:dyDescent="0.25">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14.25" customHeight="1" x14ac:dyDescent="0.25">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14.25" customHeight="1" x14ac:dyDescent="0.25">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14.25" customHeight="1" x14ac:dyDescent="0.2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14.25" customHeight="1" x14ac:dyDescent="0.25">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14.25" customHeight="1" x14ac:dyDescent="0.25">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14.25" customHeight="1" x14ac:dyDescent="0.25">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14.25" customHeight="1" x14ac:dyDescent="0.25">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14.25" customHeight="1" x14ac:dyDescent="0.25">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14.25" customHeight="1" x14ac:dyDescent="0.25">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14.25" customHeight="1" x14ac:dyDescent="0.25">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14.25" customHeight="1" x14ac:dyDescent="0.25">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14.25" customHeight="1" x14ac:dyDescent="0.25">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14.25" customHeight="1" x14ac:dyDescent="0.2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14.25" customHeight="1" x14ac:dyDescent="0.25">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14.25" customHeight="1" x14ac:dyDescent="0.25">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14.25" customHeight="1" x14ac:dyDescent="0.25">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14.25" customHeight="1" x14ac:dyDescent="0.25">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14.25" customHeight="1" x14ac:dyDescent="0.25">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14.25" customHeight="1" x14ac:dyDescent="0.25">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14.25" customHeight="1" x14ac:dyDescent="0.25">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14.25" customHeight="1" x14ac:dyDescent="0.25">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14.25" customHeight="1" x14ac:dyDescent="0.25">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14.25" customHeight="1" x14ac:dyDescent="0.2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14.25" customHeight="1" x14ac:dyDescent="0.25">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14.25" customHeight="1" x14ac:dyDescent="0.25">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14.25" customHeight="1" x14ac:dyDescent="0.25">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14.25" customHeight="1" x14ac:dyDescent="0.25">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14.25" customHeight="1" x14ac:dyDescent="0.25">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14.25" customHeight="1" x14ac:dyDescent="0.25">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14.25" customHeight="1" x14ac:dyDescent="0.25">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14.25" customHeight="1" x14ac:dyDescent="0.25">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14.25" customHeight="1" x14ac:dyDescent="0.25">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14.25" customHeight="1" x14ac:dyDescent="0.2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14.25" customHeight="1" x14ac:dyDescent="0.25">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14.25" customHeight="1" x14ac:dyDescent="0.25">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14.25" customHeight="1" x14ac:dyDescent="0.25">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14.25" customHeight="1" x14ac:dyDescent="0.25">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14.25" customHeight="1" x14ac:dyDescent="0.25">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14.25" customHeight="1" x14ac:dyDescent="0.25">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14.25" customHeight="1" x14ac:dyDescent="0.25">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14.25" customHeight="1" x14ac:dyDescent="0.25">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14.25" customHeight="1" x14ac:dyDescent="0.25">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14.25" customHeight="1" x14ac:dyDescent="0.2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14.25" customHeight="1" x14ac:dyDescent="0.25">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14.25" customHeight="1" x14ac:dyDescent="0.25">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14.25" customHeight="1" x14ac:dyDescent="0.25">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14.25" customHeight="1" x14ac:dyDescent="0.25">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14.25" customHeight="1" x14ac:dyDescent="0.25">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14.25" customHeight="1" x14ac:dyDescent="0.25">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14.25" customHeight="1" x14ac:dyDescent="0.25">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14.25" customHeight="1" x14ac:dyDescent="0.25">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14.25" customHeight="1" x14ac:dyDescent="0.25">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14.25" customHeight="1" x14ac:dyDescent="0.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14.25" customHeight="1" x14ac:dyDescent="0.25">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14.25" customHeight="1" x14ac:dyDescent="0.25">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14.25" customHeight="1" x14ac:dyDescent="0.25">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14.25" customHeight="1" x14ac:dyDescent="0.25">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14.25" customHeight="1" x14ac:dyDescent="0.25">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14.25" customHeight="1" x14ac:dyDescent="0.25">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14.25" customHeight="1" x14ac:dyDescent="0.25">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14.25" customHeight="1" x14ac:dyDescent="0.25">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14.25" customHeight="1" x14ac:dyDescent="0.25">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14.25" customHeight="1" x14ac:dyDescent="0.2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14.25" customHeight="1" x14ac:dyDescent="0.25">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14.25" customHeight="1" x14ac:dyDescent="0.25">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14.25" customHeight="1" x14ac:dyDescent="0.25">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14.25" customHeight="1" x14ac:dyDescent="0.25">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14.25" customHeight="1" x14ac:dyDescent="0.25">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14.25" customHeight="1" x14ac:dyDescent="0.25">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14.25" customHeight="1" x14ac:dyDescent="0.25">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14.25" customHeight="1" x14ac:dyDescent="0.25">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14.25" customHeight="1" x14ac:dyDescent="0.25">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14.25" customHeight="1" x14ac:dyDescent="0.2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14.25" customHeight="1" x14ac:dyDescent="0.25">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14.25" customHeight="1" x14ac:dyDescent="0.25">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14.25" customHeight="1" x14ac:dyDescent="0.25">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14.25" customHeight="1" x14ac:dyDescent="0.25">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14.25" customHeight="1" x14ac:dyDescent="0.25">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14.25" customHeight="1" x14ac:dyDescent="0.25">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14.25" customHeight="1" x14ac:dyDescent="0.25">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14.25" customHeight="1" x14ac:dyDescent="0.25">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14.25" customHeight="1" x14ac:dyDescent="0.25">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14.25" customHeight="1" x14ac:dyDescent="0.2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14.25" customHeight="1" x14ac:dyDescent="0.25">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14.25" customHeight="1" x14ac:dyDescent="0.25">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14.25" customHeight="1" x14ac:dyDescent="0.25">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14.25" customHeight="1" x14ac:dyDescent="0.25">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14.25" customHeight="1" x14ac:dyDescent="0.25">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14.25" customHeight="1" x14ac:dyDescent="0.25">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14.25" customHeight="1" x14ac:dyDescent="0.25">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14.25" customHeight="1" x14ac:dyDescent="0.25">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14.25" customHeight="1" x14ac:dyDescent="0.25">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14.25" customHeight="1" x14ac:dyDescent="0.2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14.25" customHeight="1" x14ac:dyDescent="0.25">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14.25" customHeight="1" x14ac:dyDescent="0.25">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14.25" customHeight="1" x14ac:dyDescent="0.25">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14.25" customHeight="1" x14ac:dyDescent="0.25">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14.25" customHeight="1" x14ac:dyDescent="0.25">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14.25" customHeight="1" x14ac:dyDescent="0.25">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14.25" customHeight="1" x14ac:dyDescent="0.25">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14.25" customHeight="1" x14ac:dyDescent="0.25">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14.25" customHeight="1" x14ac:dyDescent="0.25">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14.25" customHeight="1" x14ac:dyDescent="0.2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14.25" customHeight="1" x14ac:dyDescent="0.25">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14.25" customHeight="1" x14ac:dyDescent="0.25">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14.25" customHeight="1" x14ac:dyDescent="0.25">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14.25" customHeight="1" x14ac:dyDescent="0.25">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14.25" customHeight="1" x14ac:dyDescent="0.25">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14.25" customHeight="1" x14ac:dyDescent="0.25">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14.25" customHeight="1" x14ac:dyDescent="0.25">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14.25" customHeight="1" x14ac:dyDescent="0.25">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14.25" customHeight="1" x14ac:dyDescent="0.25">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14.25" customHeight="1" x14ac:dyDescent="0.2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14.25" customHeight="1" x14ac:dyDescent="0.25">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14.25" customHeight="1" x14ac:dyDescent="0.25">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14.25" customHeight="1" x14ac:dyDescent="0.25">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14.25" customHeight="1" x14ac:dyDescent="0.25">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14.25" customHeight="1" x14ac:dyDescent="0.25">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14.25" customHeight="1" x14ac:dyDescent="0.25">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14.25" customHeight="1" x14ac:dyDescent="0.25">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14.25" customHeight="1" x14ac:dyDescent="0.25">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14.25" customHeight="1" x14ac:dyDescent="0.25">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14.25" customHeight="1" x14ac:dyDescent="0.2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14.25" customHeight="1" x14ac:dyDescent="0.25">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14.25" customHeight="1" x14ac:dyDescent="0.25">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14.25" customHeight="1" x14ac:dyDescent="0.25">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14.25" customHeight="1" x14ac:dyDescent="0.25">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14.25" customHeight="1" x14ac:dyDescent="0.25">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14.25" customHeight="1" x14ac:dyDescent="0.25">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14.25" customHeight="1" x14ac:dyDescent="0.25">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14.25" customHeight="1" x14ac:dyDescent="0.25">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14.25" customHeight="1" x14ac:dyDescent="0.25">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14.25" customHeight="1" x14ac:dyDescent="0.2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14.25" customHeight="1" x14ac:dyDescent="0.25">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14.25" customHeight="1" x14ac:dyDescent="0.25">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14.25" customHeight="1" x14ac:dyDescent="0.25">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14.25" customHeight="1" x14ac:dyDescent="0.25">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14.25" customHeight="1" x14ac:dyDescent="0.25">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14.25" customHeight="1" x14ac:dyDescent="0.25">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14.25" customHeight="1" x14ac:dyDescent="0.25">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14.25" customHeight="1" x14ac:dyDescent="0.25">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14.25" customHeight="1" x14ac:dyDescent="0.25">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14.25" customHeight="1" x14ac:dyDescent="0.2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14.25" customHeight="1" x14ac:dyDescent="0.25">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14.25" customHeight="1" x14ac:dyDescent="0.25">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14.25" customHeight="1" x14ac:dyDescent="0.25">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14.25" customHeight="1" x14ac:dyDescent="0.25">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14.25" customHeight="1" x14ac:dyDescent="0.25">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14.25" customHeight="1" x14ac:dyDescent="0.25">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14.25" customHeight="1" x14ac:dyDescent="0.25">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14.25" customHeight="1" x14ac:dyDescent="0.25">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14.25" customHeight="1" x14ac:dyDescent="0.25">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14.25" customHeight="1" x14ac:dyDescent="0.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14.25" customHeight="1" x14ac:dyDescent="0.25">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14.25" customHeight="1" x14ac:dyDescent="0.25">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14.25" customHeight="1" x14ac:dyDescent="0.25">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14.25" customHeight="1" x14ac:dyDescent="0.25">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14.25" customHeight="1" x14ac:dyDescent="0.25">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14.25" customHeight="1" x14ac:dyDescent="0.25">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14.25" customHeight="1" x14ac:dyDescent="0.25">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14.25" customHeight="1" x14ac:dyDescent="0.25">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14.25" customHeight="1" x14ac:dyDescent="0.25">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14.25" customHeight="1" x14ac:dyDescent="0.2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14.25" customHeight="1" x14ac:dyDescent="0.25">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14.25" customHeight="1" x14ac:dyDescent="0.25">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14.25" customHeight="1" x14ac:dyDescent="0.25">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14.25" customHeight="1" x14ac:dyDescent="0.25">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14.25" customHeight="1" x14ac:dyDescent="0.25">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14.25" customHeight="1" x14ac:dyDescent="0.25">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14.25" customHeight="1" x14ac:dyDescent="0.25">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14.25" customHeight="1" x14ac:dyDescent="0.25">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14.25" customHeight="1" x14ac:dyDescent="0.25">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14.25" customHeight="1" x14ac:dyDescent="0.2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14.25" customHeight="1" x14ac:dyDescent="0.25">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14.25" customHeight="1" x14ac:dyDescent="0.25">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14.25" customHeight="1" x14ac:dyDescent="0.25">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14.25" customHeight="1" x14ac:dyDescent="0.25">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14.25" customHeight="1" x14ac:dyDescent="0.25">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14.25" customHeight="1" x14ac:dyDescent="0.25">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14.25" customHeight="1" x14ac:dyDescent="0.25">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14.25" customHeight="1" x14ac:dyDescent="0.25">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14.25" customHeight="1" x14ac:dyDescent="0.25">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14.25" customHeight="1" x14ac:dyDescent="0.2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14.25" customHeight="1" x14ac:dyDescent="0.25">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14.25" customHeight="1" x14ac:dyDescent="0.25">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14.25" customHeight="1" x14ac:dyDescent="0.25">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14.25" customHeight="1" x14ac:dyDescent="0.25">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14.25" customHeight="1" x14ac:dyDescent="0.25">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14.25" customHeight="1" x14ac:dyDescent="0.25">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ht="14.25" customHeight="1" x14ac:dyDescent="0.25">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ht="14.25" customHeight="1" x14ac:dyDescent="0.25">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ht="14.25" customHeight="1" x14ac:dyDescent="0.25">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ht="14.25" customHeight="1" x14ac:dyDescent="0.2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ht="14.25" customHeight="1" x14ac:dyDescent="0.25">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ht="14.25" customHeight="1" x14ac:dyDescent="0.25">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ht="14.25" customHeight="1" x14ac:dyDescent="0.25">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ht="14.25" customHeight="1" x14ac:dyDescent="0.25">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ht="14.25" customHeight="1" x14ac:dyDescent="0.25">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ht="14.25" customHeight="1" x14ac:dyDescent="0.25">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ht="14.25" customHeight="1" x14ac:dyDescent="0.25">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ht="14.25" customHeight="1" x14ac:dyDescent="0.25">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ht="14.25" customHeight="1" x14ac:dyDescent="0.25">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ht="14.25" customHeight="1" x14ac:dyDescent="0.2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ht="14.25" customHeight="1" x14ac:dyDescent="0.25">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ht="14.25" customHeight="1" x14ac:dyDescent="0.25">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ht="14.25" customHeight="1" x14ac:dyDescent="0.25">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ht="14.25" customHeight="1" x14ac:dyDescent="0.25">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ht="14.25" customHeight="1" x14ac:dyDescent="0.25">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ht="14.25" customHeight="1" x14ac:dyDescent="0.25">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ht="14.25" customHeight="1" x14ac:dyDescent="0.25">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ht="14.25" customHeight="1" x14ac:dyDescent="0.25">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ht="14.25" customHeight="1" x14ac:dyDescent="0.25">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ht="14.25" customHeight="1" x14ac:dyDescent="0.2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ht="14.25" customHeight="1" x14ac:dyDescent="0.25">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ht="14.25" customHeight="1" x14ac:dyDescent="0.25">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ht="14.25" customHeight="1" x14ac:dyDescent="0.25">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ht="14.25" customHeight="1" x14ac:dyDescent="0.25">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ht="14.25" customHeight="1" x14ac:dyDescent="0.25">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ht="14.25" customHeight="1" x14ac:dyDescent="0.25">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ht="14.25" customHeight="1" x14ac:dyDescent="0.25">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ht="14.25" customHeight="1" x14ac:dyDescent="0.25">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ht="14.25" customHeight="1" x14ac:dyDescent="0.25">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ht="14.25" customHeight="1" x14ac:dyDescent="0.2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ht="14.25" customHeight="1" x14ac:dyDescent="0.25">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ht="14.25" customHeight="1" x14ac:dyDescent="0.25">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ht="14.25" customHeight="1" x14ac:dyDescent="0.25">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ht="14.25" customHeight="1" x14ac:dyDescent="0.25">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ht="14.25" customHeight="1" x14ac:dyDescent="0.25">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spans="1:26" ht="14.25" customHeight="1" x14ac:dyDescent="0.25">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row>
  </sheetData>
  <mergeCells count="1">
    <mergeCell ref="A32:D32"/>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00"/>
  <sheetViews>
    <sheetView workbookViewId="0"/>
  </sheetViews>
  <sheetFormatPr defaultColWidth="12.625" defaultRowHeight="15" customHeight="1" x14ac:dyDescent="0.2"/>
  <cols>
    <col min="1" max="1" width="13.875" customWidth="1"/>
    <col min="2" max="26" width="7.625" customWidth="1"/>
  </cols>
  <sheetData>
    <row r="1" spans="1:4" ht="14.25" customHeight="1" x14ac:dyDescent="0.25">
      <c r="A1" s="2" t="s">
        <v>151</v>
      </c>
    </row>
    <row r="2" spans="1:4" ht="14.25" customHeight="1" x14ac:dyDescent="0.25">
      <c r="A2" s="3" t="s">
        <v>112</v>
      </c>
      <c r="B2" s="3" t="s">
        <v>152</v>
      </c>
      <c r="C2" s="3" t="s">
        <v>51</v>
      </c>
    </row>
    <row r="3" spans="1:4" ht="14.25" customHeight="1" x14ac:dyDescent="0.25">
      <c r="A3" s="3"/>
      <c r="B3" s="35"/>
      <c r="C3" s="3"/>
    </row>
    <row r="4" spans="1:4" ht="14.25" customHeight="1" x14ac:dyDescent="0.25">
      <c r="A4" s="3"/>
      <c r="B4" s="35"/>
      <c r="C4" s="3"/>
    </row>
    <row r="5" spans="1:4" ht="14.25" customHeight="1" x14ac:dyDescent="0.25">
      <c r="A5" s="3"/>
      <c r="B5" s="35"/>
      <c r="C5" s="3"/>
    </row>
    <row r="6" spans="1:4" ht="14.25" customHeight="1" x14ac:dyDescent="0.25">
      <c r="A6" s="3"/>
      <c r="B6" s="35"/>
      <c r="C6" s="3"/>
    </row>
    <row r="7" spans="1:4" ht="14.25" customHeight="1" x14ac:dyDescent="0.2"/>
    <row r="8" spans="1:4" ht="14.25" customHeight="1" x14ac:dyDescent="0.25">
      <c r="A8" s="2" t="s">
        <v>70</v>
      </c>
    </row>
    <row r="9" spans="1:4" ht="14.25" customHeight="1" x14ac:dyDescent="0.25">
      <c r="A9" s="3" t="s">
        <v>153</v>
      </c>
      <c r="B9" s="3" t="s">
        <v>154</v>
      </c>
      <c r="C9" s="3" t="s">
        <v>70</v>
      </c>
      <c r="D9" s="3" t="s">
        <v>155</v>
      </c>
    </row>
    <row r="10" spans="1:4" ht="14.25" customHeight="1" x14ac:dyDescent="0.25">
      <c r="A10" s="3" t="s">
        <v>156</v>
      </c>
      <c r="B10" s="3">
        <v>0</v>
      </c>
      <c r="C10" s="3">
        <v>13500</v>
      </c>
      <c r="D10" s="3">
        <v>0</v>
      </c>
    </row>
    <row r="11" spans="1:4" ht="14.25" customHeight="1" x14ac:dyDescent="0.25">
      <c r="A11" s="3" t="s">
        <v>157</v>
      </c>
      <c r="B11" s="3">
        <v>0</v>
      </c>
      <c r="C11" s="3">
        <v>0</v>
      </c>
      <c r="D11" s="3">
        <v>0</v>
      </c>
    </row>
    <row r="12" spans="1:4" ht="14.25" customHeight="1" x14ac:dyDescent="0.25">
      <c r="A12" s="3" t="s">
        <v>158</v>
      </c>
      <c r="B12" s="3">
        <v>0</v>
      </c>
      <c r="C12" s="3">
        <v>0</v>
      </c>
      <c r="D12" s="3">
        <v>0</v>
      </c>
    </row>
    <row r="13" spans="1:4" ht="14.25" customHeight="1" x14ac:dyDescent="0.25">
      <c r="A13" s="3" t="s">
        <v>159</v>
      </c>
      <c r="B13" s="3">
        <v>0</v>
      </c>
      <c r="C13" s="3">
        <v>0</v>
      </c>
      <c r="D13" s="3">
        <v>0</v>
      </c>
    </row>
    <row r="14" spans="1:4" ht="14.25" customHeight="1" x14ac:dyDescent="0.25">
      <c r="A14" s="3" t="s">
        <v>160</v>
      </c>
      <c r="B14" s="3">
        <v>0</v>
      </c>
      <c r="C14" s="3">
        <v>0</v>
      </c>
      <c r="D14" s="3">
        <v>0</v>
      </c>
    </row>
    <row r="15" spans="1:4" ht="14.25" customHeight="1" x14ac:dyDescent="0.25">
      <c r="A15" s="3" t="s">
        <v>161</v>
      </c>
      <c r="B15" s="3">
        <v>0</v>
      </c>
      <c r="C15" s="3">
        <v>0</v>
      </c>
      <c r="D15" s="3">
        <v>0</v>
      </c>
    </row>
    <row r="16" spans="1:4" ht="14.25" customHeight="1" x14ac:dyDescent="0.25">
      <c r="A16" s="3" t="s">
        <v>162</v>
      </c>
      <c r="B16" s="3">
        <v>0</v>
      </c>
      <c r="C16" s="3">
        <v>0</v>
      </c>
      <c r="D16" s="3">
        <v>0</v>
      </c>
    </row>
    <row r="17" spans="1:4" ht="14.25" customHeight="1" x14ac:dyDescent="0.25">
      <c r="A17" s="3" t="s">
        <v>163</v>
      </c>
      <c r="B17" s="3">
        <v>0</v>
      </c>
      <c r="C17" s="3">
        <v>0</v>
      </c>
      <c r="D17" s="3">
        <v>0</v>
      </c>
    </row>
    <row r="18" spans="1:4" ht="14.25" customHeight="1" x14ac:dyDescent="0.25">
      <c r="A18" s="3" t="s">
        <v>164</v>
      </c>
      <c r="B18" s="3">
        <v>0</v>
      </c>
      <c r="C18" s="3">
        <v>0</v>
      </c>
      <c r="D18" s="3">
        <v>0</v>
      </c>
    </row>
    <row r="19" spans="1:4" ht="14.25" customHeight="1" x14ac:dyDescent="0.25">
      <c r="A19" s="3" t="s">
        <v>165</v>
      </c>
      <c r="B19" s="3">
        <v>0</v>
      </c>
      <c r="C19" s="3">
        <v>0</v>
      </c>
      <c r="D19" s="3">
        <v>0</v>
      </c>
    </row>
    <row r="20" spans="1:4" ht="14.25" customHeight="1" x14ac:dyDescent="0.25">
      <c r="A20" s="3" t="s">
        <v>166</v>
      </c>
      <c r="B20" s="3">
        <v>0</v>
      </c>
      <c r="C20" s="3">
        <v>0</v>
      </c>
      <c r="D20" s="3">
        <v>0</v>
      </c>
    </row>
    <row r="21" spans="1:4" ht="14.25" customHeight="1" x14ac:dyDescent="0.25">
      <c r="A21" s="3" t="s">
        <v>167</v>
      </c>
      <c r="B21" s="3">
        <v>0</v>
      </c>
      <c r="C21" s="3">
        <v>0</v>
      </c>
      <c r="D21" s="3">
        <v>0</v>
      </c>
    </row>
    <row r="22" spans="1:4" ht="14.25" customHeight="1" x14ac:dyDescent="0.25">
      <c r="A22" s="3" t="s">
        <v>168</v>
      </c>
      <c r="B22" s="3">
        <v>0</v>
      </c>
      <c r="C22" s="3">
        <v>0</v>
      </c>
      <c r="D22" s="3">
        <v>0</v>
      </c>
    </row>
    <row r="23" spans="1:4" ht="14.25" customHeight="1" x14ac:dyDescent="0.25">
      <c r="A23" s="3" t="s">
        <v>23</v>
      </c>
      <c r="B23" s="3">
        <v>0</v>
      </c>
      <c r="C23" s="3">
        <f>SUM(C11:C22)</f>
        <v>0</v>
      </c>
      <c r="D23" s="3">
        <f>SUM(D11:D22)</f>
        <v>0</v>
      </c>
    </row>
    <row r="24" spans="1:4" ht="14.25" customHeight="1" x14ac:dyDescent="0.25">
      <c r="A24" s="3" t="s">
        <v>134</v>
      </c>
      <c r="B24" s="3">
        <v>0</v>
      </c>
      <c r="C24" s="3">
        <f>40000</f>
        <v>40000</v>
      </c>
      <c r="D24" s="3">
        <f>4000</f>
        <v>4000</v>
      </c>
    </row>
    <row r="25" spans="1:4" ht="14.25" customHeight="1" x14ac:dyDescent="0.25">
      <c r="A25" s="3" t="s">
        <v>175</v>
      </c>
      <c r="B25" s="3">
        <v>0</v>
      </c>
      <c r="C25" s="3">
        <f>(C24-C10)-C23</f>
        <v>26500</v>
      </c>
      <c r="D25" s="3">
        <f>(D24-D10)-D23</f>
        <v>4000</v>
      </c>
    </row>
    <row r="26" spans="1:4" ht="14.25" customHeight="1" x14ac:dyDescent="0.25">
      <c r="A26" s="3" t="s">
        <v>171</v>
      </c>
      <c r="B26" s="13">
        <f>B25+C25+D25</f>
        <v>30500</v>
      </c>
    </row>
    <row r="27" spans="1:4" ht="14.25" customHeight="1" x14ac:dyDescent="0.25">
      <c r="A27" s="16" t="s">
        <v>176</v>
      </c>
    </row>
    <row r="28" spans="1:4" ht="14.25" customHeight="1" x14ac:dyDescent="0.25">
      <c r="A28" s="82"/>
      <c r="B28" s="75"/>
      <c r="C28" s="75"/>
      <c r="D28" s="75"/>
    </row>
    <row r="29" spans="1:4" ht="14.25" customHeight="1" x14ac:dyDescent="0.2"/>
    <row r="30" spans="1:4" ht="14.25" customHeight="1" x14ac:dyDescent="0.2"/>
    <row r="31" spans="1:4" ht="14.25" customHeight="1" x14ac:dyDescent="0.2"/>
    <row r="32" spans="1:4"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A28:D28"/>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000"/>
  <sheetViews>
    <sheetView workbookViewId="0"/>
  </sheetViews>
  <sheetFormatPr defaultColWidth="12.625" defaultRowHeight="15" customHeight="1" x14ac:dyDescent="0.2"/>
  <cols>
    <col min="1" max="1" width="13.875" customWidth="1"/>
    <col min="2" max="2" width="10.125" customWidth="1"/>
    <col min="3" max="3" width="9.25" customWidth="1"/>
    <col min="4" max="4" width="8.875" customWidth="1"/>
    <col min="5" max="5" width="8" customWidth="1"/>
    <col min="6" max="7" width="7.625" customWidth="1"/>
    <col min="8" max="8" width="8.25" customWidth="1"/>
    <col min="9" max="9" width="9.125" customWidth="1"/>
    <col min="10" max="26" width="7.625" customWidth="1"/>
  </cols>
  <sheetData>
    <row r="1" spans="1:9" ht="14.25" customHeight="1" x14ac:dyDescent="0.25">
      <c r="A1" s="2" t="s">
        <v>151</v>
      </c>
    </row>
    <row r="2" spans="1:9" ht="14.25" customHeight="1" x14ac:dyDescent="0.25">
      <c r="A2" s="3" t="s">
        <v>112</v>
      </c>
      <c r="B2" s="3" t="s">
        <v>152</v>
      </c>
      <c r="C2" s="3" t="s">
        <v>51</v>
      </c>
    </row>
    <row r="3" spans="1:9" ht="14.25" customHeight="1" x14ac:dyDescent="0.25">
      <c r="A3" s="14"/>
      <c r="B3" s="14">
        <v>38500</v>
      </c>
      <c r="C3" s="3"/>
    </row>
    <row r="4" spans="1:9" ht="14.25" customHeight="1" x14ac:dyDescent="0.25">
      <c r="A4" s="16">
        <v>13112019</v>
      </c>
      <c r="B4" s="42">
        <v>5000</v>
      </c>
      <c r="C4" s="3"/>
    </row>
    <row r="5" spans="1:9" ht="14.25" customHeight="1" x14ac:dyDescent="0.25">
      <c r="A5" s="16">
        <v>9122019</v>
      </c>
      <c r="B5" s="42">
        <v>11000</v>
      </c>
      <c r="C5" s="3"/>
    </row>
    <row r="6" spans="1:9" ht="14.25" customHeight="1" x14ac:dyDescent="0.25">
      <c r="A6" s="16">
        <v>9012020</v>
      </c>
      <c r="B6" s="42">
        <v>11000</v>
      </c>
      <c r="C6" s="3"/>
    </row>
    <row r="7" spans="1:9" ht="14.25" customHeight="1" x14ac:dyDescent="0.25">
      <c r="A7" s="3"/>
      <c r="B7" s="35"/>
      <c r="C7" s="3"/>
    </row>
    <row r="8" spans="1:9" ht="14.25" customHeight="1" x14ac:dyDescent="0.2"/>
    <row r="9" spans="1:9" ht="14.25" customHeight="1" x14ac:dyDescent="0.25">
      <c r="A9" s="2" t="s">
        <v>70</v>
      </c>
    </row>
    <row r="10" spans="1:9" ht="14.25" customHeight="1" x14ac:dyDescent="0.25">
      <c r="A10" s="43" t="s">
        <v>153</v>
      </c>
      <c r="B10" s="3" t="s">
        <v>63</v>
      </c>
      <c r="C10" s="43" t="s">
        <v>154</v>
      </c>
      <c r="D10" s="43" t="s">
        <v>70</v>
      </c>
      <c r="E10" s="43" t="s">
        <v>155</v>
      </c>
    </row>
    <row r="11" spans="1:9" ht="14.25" customHeight="1" x14ac:dyDescent="0.25">
      <c r="A11" s="3" t="s">
        <v>156</v>
      </c>
      <c r="B11" s="36"/>
      <c r="C11" s="36">
        <v>0</v>
      </c>
      <c r="D11" s="36">
        <v>0</v>
      </c>
      <c r="E11" s="36">
        <v>0</v>
      </c>
    </row>
    <row r="12" spans="1:9" ht="14.25" customHeight="1" x14ac:dyDescent="0.25">
      <c r="A12" s="3" t="s">
        <v>157</v>
      </c>
      <c r="B12" s="36"/>
      <c r="C12" s="36">
        <v>0</v>
      </c>
      <c r="D12" s="36">
        <v>0</v>
      </c>
      <c r="E12" s="36">
        <v>0</v>
      </c>
    </row>
    <row r="13" spans="1:9" ht="14.25" customHeight="1" x14ac:dyDescent="0.25">
      <c r="A13" s="3" t="s">
        <v>158</v>
      </c>
      <c r="B13" s="36">
        <v>110000</v>
      </c>
      <c r="C13" s="36">
        <v>0</v>
      </c>
      <c r="D13" s="36">
        <v>5000</v>
      </c>
      <c r="E13" s="36">
        <v>0</v>
      </c>
    </row>
    <row r="14" spans="1:9" ht="14.25" customHeight="1" x14ac:dyDescent="0.25">
      <c r="A14" s="3" t="s">
        <v>159</v>
      </c>
      <c r="B14" s="36"/>
      <c r="C14" s="36">
        <v>11000</v>
      </c>
      <c r="D14" s="36">
        <v>0</v>
      </c>
      <c r="E14" s="36">
        <v>0</v>
      </c>
    </row>
    <row r="15" spans="1:9" ht="14.25" customHeight="1" x14ac:dyDescent="0.25">
      <c r="A15" s="3" t="s">
        <v>160</v>
      </c>
      <c r="B15" s="36"/>
      <c r="C15" s="36">
        <v>11000</v>
      </c>
      <c r="D15" s="36">
        <v>0</v>
      </c>
      <c r="E15" s="36">
        <v>0</v>
      </c>
    </row>
    <row r="16" spans="1:9" ht="14.25" customHeight="1" x14ac:dyDescent="0.25">
      <c r="A16" s="3" t="s">
        <v>161</v>
      </c>
      <c r="B16" s="36"/>
      <c r="C16" s="36">
        <v>0</v>
      </c>
      <c r="D16" s="36">
        <v>0</v>
      </c>
      <c r="E16" s="36">
        <v>0</v>
      </c>
      <c r="I16" s="16">
        <f>133300</f>
        <v>133300</v>
      </c>
    </row>
    <row r="17" spans="1:14" ht="14.25" customHeight="1" x14ac:dyDescent="0.25">
      <c r="A17" s="3" t="s">
        <v>162</v>
      </c>
      <c r="B17" s="36"/>
      <c r="C17" s="36">
        <v>0</v>
      </c>
      <c r="D17" s="36">
        <v>0</v>
      </c>
      <c r="E17" s="36">
        <v>0</v>
      </c>
      <c r="I17" s="16">
        <v>1000</v>
      </c>
    </row>
    <row r="18" spans="1:14" ht="14.25" customHeight="1" x14ac:dyDescent="0.25">
      <c r="A18" s="3" t="s">
        <v>163</v>
      </c>
      <c r="B18" s="36"/>
      <c r="C18" s="36">
        <v>0</v>
      </c>
      <c r="D18" s="36">
        <v>0</v>
      </c>
      <c r="E18" s="36">
        <v>0</v>
      </c>
      <c r="I18" s="16">
        <v>3300</v>
      </c>
      <c r="L18" s="36">
        <v>88000</v>
      </c>
      <c r="M18" s="36">
        <v>35000</v>
      </c>
      <c r="N18" s="36">
        <v>4000</v>
      </c>
    </row>
    <row r="19" spans="1:14" ht="14.25" customHeight="1" x14ac:dyDescent="0.25">
      <c r="A19" s="3" t="s">
        <v>164</v>
      </c>
      <c r="B19" s="36"/>
      <c r="C19" s="36">
        <v>0</v>
      </c>
      <c r="D19" s="36">
        <v>0</v>
      </c>
      <c r="E19" s="36">
        <v>0</v>
      </c>
      <c r="I19" s="16">
        <f>I16+I17+I18</f>
        <v>137600</v>
      </c>
    </row>
    <row r="20" spans="1:14" ht="14.25" customHeight="1" x14ac:dyDescent="0.25">
      <c r="A20" s="3" t="s">
        <v>165</v>
      </c>
      <c r="B20" s="36"/>
      <c r="C20" s="36">
        <v>0</v>
      </c>
      <c r="D20" s="36">
        <v>0</v>
      </c>
      <c r="E20" s="36">
        <v>0</v>
      </c>
    </row>
    <row r="21" spans="1:14" ht="14.25" customHeight="1" x14ac:dyDescent="0.25">
      <c r="A21" s="3" t="s">
        <v>166</v>
      </c>
      <c r="B21" s="36"/>
      <c r="C21" s="36">
        <v>0</v>
      </c>
      <c r="D21" s="36">
        <v>0</v>
      </c>
      <c r="E21" s="36">
        <v>0</v>
      </c>
      <c r="I21" s="39">
        <f>I19-D24+E24</f>
        <v>137600</v>
      </c>
    </row>
    <row r="22" spans="1:14" ht="14.25" customHeight="1" x14ac:dyDescent="0.25">
      <c r="A22" s="3" t="s">
        <v>167</v>
      </c>
      <c r="B22" s="36"/>
      <c r="C22" s="36">
        <v>0</v>
      </c>
      <c r="D22" s="36">
        <v>0</v>
      </c>
      <c r="E22" s="36">
        <v>0</v>
      </c>
    </row>
    <row r="23" spans="1:14" ht="14.25" customHeight="1" x14ac:dyDescent="0.25">
      <c r="A23" s="3" t="s">
        <v>168</v>
      </c>
      <c r="B23" s="36"/>
      <c r="C23" s="36">
        <v>0</v>
      </c>
      <c r="D23" s="36">
        <v>0</v>
      </c>
      <c r="E23" s="36">
        <v>0</v>
      </c>
      <c r="H23" s="39">
        <f>B13-(C14+C15)</f>
        <v>88000</v>
      </c>
      <c r="I23" s="39">
        <f>C24+D24+E24</f>
        <v>0</v>
      </c>
    </row>
    <row r="24" spans="1:14" ht="14.25" customHeight="1" x14ac:dyDescent="0.25">
      <c r="A24" s="3"/>
      <c r="B24" s="36"/>
      <c r="C24" s="41">
        <v>0</v>
      </c>
      <c r="D24" s="41">
        <v>0</v>
      </c>
      <c r="E24" s="41">
        <v>0</v>
      </c>
      <c r="I24" s="39">
        <f>I19-I23</f>
        <v>137600</v>
      </c>
    </row>
    <row r="25" spans="1:14" ht="14.25" customHeight="1" x14ac:dyDescent="0.25">
      <c r="A25" s="3" t="s">
        <v>23</v>
      </c>
      <c r="B25" s="36"/>
      <c r="C25" s="36">
        <f>SUM(C12:C24)</f>
        <v>22000</v>
      </c>
      <c r="D25" s="36">
        <f>SUM(D12:D24)</f>
        <v>5000</v>
      </c>
      <c r="E25" s="36">
        <f>SUM(E12:E24)</f>
        <v>0</v>
      </c>
    </row>
    <row r="26" spans="1:14" ht="14.25" customHeight="1" x14ac:dyDescent="0.25">
      <c r="A26" s="3" t="s">
        <v>134</v>
      </c>
      <c r="B26" s="36"/>
      <c r="C26" s="36">
        <v>110000</v>
      </c>
      <c r="D26" s="36">
        <f>40000</f>
        <v>40000</v>
      </c>
      <c r="E26" s="36">
        <f>4000</f>
        <v>4000</v>
      </c>
    </row>
    <row r="27" spans="1:14" ht="14.25" customHeight="1" x14ac:dyDescent="0.25">
      <c r="A27" s="3" t="s">
        <v>175</v>
      </c>
      <c r="B27" s="36"/>
      <c r="C27" s="36">
        <f>C26-C25</f>
        <v>88000</v>
      </c>
      <c r="D27" s="36">
        <f>(D26-D11)-D25</f>
        <v>35000</v>
      </c>
      <c r="E27" s="36">
        <f>(E26-E11)-E25</f>
        <v>4000</v>
      </c>
    </row>
    <row r="28" spans="1:14" ht="14.25" customHeight="1" x14ac:dyDescent="0.25">
      <c r="A28" s="3" t="s">
        <v>171</v>
      </c>
      <c r="B28" s="36"/>
      <c r="C28" s="37">
        <f>C27+D27+E27</f>
        <v>127000</v>
      </c>
      <c r="D28" s="36"/>
      <c r="E28" s="36"/>
      <c r="H28" s="16">
        <v>133000</v>
      </c>
    </row>
    <row r="29" spans="1:14" ht="14.25" customHeight="1" x14ac:dyDescent="0.25">
      <c r="H29" s="16">
        <v>1000</v>
      </c>
    </row>
    <row r="30" spans="1:14" ht="14.25" customHeight="1" x14ac:dyDescent="0.25">
      <c r="H30" s="16">
        <v>3300</v>
      </c>
    </row>
    <row r="31" spans="1:14" ht="14.25" customHeight="1" x14ac:dyDescent="0.25">
      <c r="H31" s="16">
        <f>H28+H29+H30</f>
        <v>137300</v>
      </c>
    </row>
    <row r="32" spans="1:14"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000"/>
  <sheetViews>
    <sheetView workbookViewId="0"/>
  </sheetViews>
  <sheetFormatPr defaultColWidth="12.625" defaultRowHeight="15" customHeight="1" x14ac:dyDescent="0.2"/>
  <cols>
    <col min="1" max="1" width="15.375" customWidth="1"/>
    <col min="2" max="2" width="10" customWidth="1"/>
    <col min="3" max="3" width="9.125" customWidth="1"/>
    <col min="4" max="4" width="10.625" customWidth="1"/>
    <col min="5" max="5" width="8.25" customWidth="1"/>
    <col min="6" max="26" width="7.625" customWidth="1"/>
  </cols>
  <sheetData>
    <row r="1" spans="1:5" ht="14.25" customHeight="1" x14ac:dyDescent="0.25">
      <c r="A1" s="2" t="s">
        <v>151</v>
      </c>
    </row>
    <row r="2" spans="1:5" ht="14.25" customHeight="1" x14ac:dyDescent="0.25">
      <c r="A2" s="3" t="s">
        <v>112</v>
      </c>
      <c r="B2" s="3" t="s">
        <v>152</v>
      </c>
      <c r="C2" s="3" t="s">
        <v>51</v>
      </c>
    </row>
    <row r="3" spans="1:5" ht="14.25" customHeight="1" x14ac:dyDescent="0.25">
      <c r="B3" s="42"/>
      <c r="C3" s="3"/>
    </row>
    <row r="4" spans="1:5" ht="14.25" customHeight="1" x14ac:dyDescent="0.25">
      <c r="B4" s="42"/>
      <c r="C4" s="3"/>
    </row>
    <row r="5" spans="1:5" ht="14.25" customHeight="1" x14ac:dyDescent="0.25">
      <c r="B5" s="42"/>
      <c r="C5" s="3"/>
    </row>
    <row r="6" spans="1:5" ht="14.25" customHeight="1" x14ac:dyDescent="0.25">
      <c r="A6" s="3"/>
      <c r="B6" s="35"/>
      <c r="C6" s="3"/>
    </row>
    <row r="7" spans="1:5" ht="14.25" customHeight="1" x14ac:dyDescent="0.2"/>
    <row r="8" spans="1:5" ht="14.25" customHeight="1" x14ac:dyDescent="0.25">
      <c r="A8" s="2" t="s">
        <v>70</v>
      </c>
    </row>
    <row r="9" spans="1:5" ht="14.25" customHeight="1" x14ac:dyDescent="0.25">
      <c r="A9" s="43" t="s">
        <v>153</v>
      </c>
      <c r="B9" s="3" t="s">
        <v>63</v>
      </c>
      <c r="C9" s="43" t="s">
        <v>154</v>
      </c>
      <c r="D9" s="43" t="s">
        <v>70</v>
      </c>
      <c r="E9" s="43" t="s">
        <v>155</v>
      </c>
    </row>
    <row r="10" spans="1:5" ht="14.25" customHeight="1" x14ac:dyDescent="0.25">
      <c r="A10" s="3" t="s">
        <v>156</v>
      </c>
      <c r="B10" s="36"/>
      <c r="C10" s="36">
        <v>0</v>
      </c>
      <c r="D10" s="36">
        <v>-19500</v>
      </c>
      <c r="E10" s="36">
        <v>-2000</v>
      </c>
    </row>
    <row r="11" spans="1:5" ht="14.25" customHeight="1" x14ac:dyDescent="0.25">
      <c r="A11" s="3" t="s">
        <v>157</v>
      </c>
      <c r="B11" s="36">
        <f>150000*1.1</f>
        <v>165000</v>
      </c>
      <c r="C11" s="36">
        <v>0</v>
      </c>
      <c r="D11" s="36">
        <v>0</v>
      </c>
      <c r="E11" s="36">
        <v>0</v>
      </c>
    </row>
    <row r="12" spans="1:5" ht="14.25" customHeight="1" x14ac:dyDescent="0.25">
      <c r="A12" s="3" t="s">
        <v>158</v>
      </c>
      <c r="B12" s="36"/>
      <c r="C12" s="36">
        <v>0</v>
      </c>
      <c r="D12" s="36">
        <v>0</v>
      </c>
      <c r="E12" s="36">
        <v>0</v>
      </c>
    </row>
    <row r="13" spans="1:5" ht="14.25" customHeight="1" x14ac:dyDescent="0.25">
      <c r="A13" s="3" t="s">
        <v>159</v>
      </c>
      <c r="B13" s="36"/>
      <c r="C13" s="36">
        <v>0</v>
      </c>
      <c r="D13" s="36">
        <v>0</v>
      </c>
      <c r="E13" s="36">
        <v>0</v>
      </c>
    </row>
    <row r="14" spans="1:5" ht="14.25" customHeight="1" x14ac:dyDescent="0.25">
      <c r="A14" s="3" t="s">
        <v>160</v>
      </c>
      <c r="B14" s="36"/>
      <c r="C14" s="36">
        <v>0</v>
      </c>
      <c r="D14" s="36">
        <v>0</v>
      </c>
      <c r="E14" s="36">
        <v>0</v>
      </c>
    </row>
    <row r="15" spans="1:5" ht="14.25" customHeight="1" x14ac:dyDescent="0.25">
      <c r="A15" s="3" t="s">
        <v>161</v>
      </c>
      <c r="B15" s="36"/>
      <c r="C15" s="36">
        <v>0</v>
      </c>
      <c r="D15" s="36">
        <v>0</v>
      </c>
      <c r="E15" s="36">
        <v>0</v>
      </c>
    </row>
    <row r="16" spans="1:5" ht="14.25" customHeight="1" x14ac:dyDescent="0.25">
      <c r="A16" s="3" t="s">
        <v>162</v>
      </c>
      <c r="B16" s="36"/>
      <c r="C16" s="36">
        <v>0</v>
      </c>
      <c r="D16" s="36">
        <v>0</v>
      </c>
      <c r="E16" s="36">
        <v>0</v>
      </c>
    </row>
    <row r="17" spans="1:8" ht="14.25" customHeight="1" x14ac:dyDescent="0.25">
      <c r="A17" s="3" t="s">
        <v>163</v>
      </c>
      <c r="B17" s="36"/>
      <c r="C17" s="36">
        <v>0</v>
      </c>
      <c r="D17" s="36">
        <v>0</v>
      </c>
      <c r="E17" s="36">
        <v>0</v>
      </c>
    </row>
    <row r="18" spans="1:8" ht="14.25" customHeight="1" x14ac:dyDescent="0.25">
      <c r="A18" s="3" t="s">
        <v>164</v>
      </c>
      <c r="B18" s="36"/>
      <c r="C18" s="36">
        <v>0</v>
      </c>
      <c r="D18" s="36">
        <v>0</v>
      </c>
      <c r="E18" s="36">
        <v>0</v>
      </c>
    </row>
    <row r="19" spans="1:8" ht="14.25" customHeight="1" x14ac:dyDescent="0.25">
      <c r="A19" s="3" t="s">
        <v>165</v>
      </c>
      <c r="B19" s="36"/>
      <c r="C19" s="36">
        <v>0</v>
      </c>
      <c r="D19" s="36">
        <v>0</v>
      </c>
      <c r="E19" s="36">
        <v>0</v>
      </c>
    </row>
    <row r="20" spans="1:8" ht="14.25" customHeight="1" x14ac:dyDescent="0.25">
      <c r="A20" s="3" t="s">
        <v>166</v>
      </c>
      <c r="B20" s="36"/>
      <c r="C20" s="36">
        <v>0</v>
      </c>
      <c r="D20" s="36">
        <v>0</v>
      </c>
      <c r="E20" s="36">
        <v>0</v>
      </c>
    </row>
    <row r="21" spans="1:8" ht="14.25" customHeight="1" x14ac:dyDescent="0.25">
      <c r="A21" s="3" t="s">
        <v>167</v>
      </c>
      <c r="B21" s="36"/>
      <c r="C21" s="36">
        <v>0</v>
      </c>
      <c r="D21" s="36">
        <v>0</v>
      </c>
      <c r="E21" s="36">
        <v>0</v>
      </c>
    </row>
    <row r="22" spans="1:8" ht="14.25" customHeight="1" x14ac:dyDescent="0.25">
      <c r="A22" s="3" t="s">
        <v>168</v>
      </c>
      <c r="B22" s="36"/>
      <c r="C22" s="36">
        <v>0</v>
      </c>
      <c r="D22" s="36">
        <v>0</v>
      </c>
      <c r="E22" s="36">
        <v>0</v>
      </c>
    </row>
    <row r="23" spans="1:8" ht="14.25" customHeight="1" x14ac:dyDescent="0.25">
      <c r="A23" s="3" t="s">
        <v>169</v>
      </c>
      <c r="B23" s="36"/>
      <c r="C23" s="36">
        <v>0</v>
      </c>
      <c r="D23" s="36">
        <f>SUM(D11:D22)</f>
        <v>0</v>
      </c>
      <c r="E23" s="36">
        <f>SUM(E11:E22)</f>
        <v>0</v>
      </c>
    </row>
    <row r="24" spans="1:8" ht="14.25" customHeight="1" x14ac:dyDescent="0.25">
      <c r="A24" s="3" t="s">
        <v>133</v>
      </c>
      <c r="B24" s="36"/>
      <c r="C24" s="36">
        <f>16500*((COUNT(C12:C21)))</f>
        <v>165000</v>
      </c>
      <c r="D24" s="36">
        <f>5000*(COUNT(D11:D22)-4)</f>
        <v>40000</v>
      </c>
      <c r="E24" s="36">
        <f>500*(COUNT(E11:E22)-4)</f>
        <v>4000</v>
      </c>
      <c r="H24" s="16">
        <v>44000</v>
      </c>
    </row>
    <row r="25" spans="1:8" ht="14.25" customHeight="1" x14ac:dyDescent="0.25">
      <c r="A25" s="3" t="s">
        <v>170</v>
      </c>
      <c r="B25" s="36"/>
      <c r="C25" s="36">
        <f>C24-C23</f>
        <v>165000</v>
      </c>
      <c r="D25" s="36">
        <f>D24-D23-D10</f>
        <v>59500</v>
      </c>
      <c r="E25" s="36">
        <f>E24-E23-E10</f>
        <v>6000</v>
      </c>
      <c r="H25" s="16">
        <v>23500</v>
      </c>
    </row>
    <row r="26" spans="1:8" ht="14.25" customHeight="1" x14ac:dyDescent="0.25">
      <c r="A26" s="3" t="s">
        <v>171</v>
      </c>
      <c r="B26" s="36"/>
      <c r="C26" s="37">
        <f>C25+D25+E25</f>
        <v>230500</v>
      </c>
      <c r="D26" s="36"/>
      <c r="E26" s="36"/>
    </row>
    <row r="27" spans="1:8" ht="14.25" customHeight="1" x14ac:dyDescent="0.2"/>
    <row r="28" spans="1:8" ht="14.25" customHeight="1" x14ac:dyDescent="0.2"/>
    <row r="29" spans="1:8" ht="14.25" customHeight="1" x14ac:dyDescent="0.2"/>
    <row r="30" spans="1:8" ht="14.25" customHeight="1" x14ac:dyDescent="0.2"/>
    <row r="31" spans="1:8" ht="14.25" customHeight="1" x14ac:dyDescent="0.2"/>
    <row r="32" spans="1:8"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000"/>
  <sheetViews>
    <sheetView workbookViewId="0"/>
  </sheetViews>
  <sheetFormatPr defaultColWidth="12.625" defaultRowHeight="15" customHeight="1" x14ac:dyDescent="0.2"/>
  <cols>
    <col min="1" max="1" width="7.625" customWidth="1"/>
    <col min="2" max="2" width="10" customWidth="1"/>
    <col min="3" max="3" width="10.125" customWidth="1"/>
    <col min="4" max="4" width="10.625" customWidth="1"/>
    <col min="5" max="5" width="8.25" customWidth="1"/>
    <col min="6" max="26" width="7.625" customWidth="1"/>
  </cols>
  <sheetData>
    <row r="1" spans="1:5" ht="14.25" customHeight="1" x14ac:dyDescent="0.25">
      <c r="A1" s="2" t="s">
        <v>151</v>
      </c>
    </row>
    <row r="2" spans="1:5" ht="14.25" customHeight="1" x14ac:dyDescent="0.25">
      <c r="A2" s="3" t="s">
        <v>112</v>
      </c>
      <c r="B2" s="3" t="s">
        <v>152</v>
      </c>
      <c r="C2" s="3" t="s">
        <v>51</v>
      </c>
    </row>
    <row r="3" spans="1:5" ht="14.25" customHeight="1" x14ac:dyDescent="0.25">
      <c r="A3" s="16">
        <v>21082020</v>
      </c>
      <c r="B3" s="35">
        <v>25000</v>
      </c>
      <c r="C3" s="3"/>
    </row>
    <row r="4" spans="1:5" ht="14.25" customHeight="1" x14ac:dyDescent="0.25">
      <c r="A4" s="16">
        <v>3092020</v>
      </c>
      <c r="B4" s="35">
        <v>25000</v>
      </c>
      <c r="C4" s="3"/>
    </row>
    <row r="5" spans="1:5" ht="14.25" customHeight="1" x14ac:dyDescent="0.25">
      <c r="A5" s="3"/>
      <c r="B5" s="35"/>
      <c r="C5" s="3"/>
    </row>
    <row r="6" spans="1:5" ht="14.25" customHeight="1" x14ac:dyDescent="0.2"/>
    <row r="7" spans="1:5" ht="14.25" customHeight="1" x14ac:dyDescent="0.25">
      <c r="A7" s="2" t="s">
        <v>70</v>
      </c>
    </row>
    <row r="8" spans="1:5" ht="14.25" customHeight="1" x14ac:dyDescent="0.25">
      <c r="A8" s="43" t="s">
        <v>153</v>
      </c>
      <c r="B8" s="3" t="s">
        <v>63</v>
      </c>
      <c r="C8" s="43" t="s">
        <v>154</v>
      </c>
      <c r="D8" s="43" t="s">
        <v>70</v>
      </c>
      <c r="E8" s="43" t="s">
        <v>155</v>
      </c>
    </row>
    <row r="9" spans="1:5" ht="14.25" customHeight="1" x14ac:dyDescent="0.25">
      <c r="A9" s="3" t="s">
        <v>156</v>
      </c>
      <c r="B9" s="36"/>
      <c r="C9" s="36">
        <v>0</v>
      </c>
      <c r="D9" s="36">
        <v>10100</v>
      </c>
      <c r="E9" s="36">
        <v>0</v>
      </c>
    </row>
    <row r="10" spans="1:5" ht="14.25" customHeight="1" x14ac:dyDescent="0.25">
      <c r="A10" s="3" t="s">
        <v>157</v>
      </c>
      <c r="B10" s="36">
        <v>132000</v>
      </c>
      <c r="C10" s="36">
        <v>0</v>
      </c>
      <c r="D10" s="36">
        <v>0</v>
      </c>
      <c r="E10" s="36">
        <v>0</v>
      </c>
    </row>
    <row r="11" spans="1:5" ht="14.25" customHeight="1" x14ac:dyDescent="0.25">
      <c r="A11" s="3" t="s">
        <v>158</v>
      </c>
      <c r="B11" s="36"/>
      <c r="C11" s="36">
        <v>0</v>
      </c>
      <c r="D11" s="36">
        <v>0</v>
      </c>
      <c r="E11" s="36">
        <v>0</v>
      </c>
    </row>
    <row r="12" spans="1:5" ht="14.25" customHeight="1" x14ac:dyDescent="0.25">
      <c r="A12" s="3" t="s">
        <v>159</v>
      </c>
      <c r="B12" s="36"/>
      <c r="C12" s="36">
        <v>0</v>
      </c>
      <c r="D12" s="36">
        <v>0</v>
      </c>
      <c r="E12" s="36">
        <v>0</v>
      </c>
    </row>
    <row r="13" spans="1:5" ht="14.25" customHeight="1" x14ac:dyDescent="0.25">
      <c r="A13" s="3" t="s">
        <v>160</v>
      </c>
      <c r="B13" s="36"/>
      <c r="C13" s="36">
        <v>0</v>
      </c>
      <c r="D13" s="36">
        <v>0</v>
      </c>
      <c r="E13" s="36">
        <v>0</v>
      </c>
    </row>
    <row r="14" spans="1:5" ht="14.25" customHeight="1" x14ac:dyDescent="0.25">
      <c r="A14" s="3" t="s">
        <v>161</v>
      </c>
      <c r="C14" s="36">
        <v>0</v>
      </c>
      <c r="D14" s="36">
        <v>0</v>
      </c>
      <c r="E14" s="36">
        <v>0</v>
      </c>
    </row>
    <row r="15" spans="1:5" ht="14.25" customHeight="1" x14ac:dyDescent="0.25">
      <c r="A15" s="3" t="s">
        <v>162</v>
      </c>
      <c r="B15" s="36"/>
      <c r="C15" s="36">
        <v>0</v>
      </c>
      <c r="D15" s="36">
        <v>0</v>
      </c>
      <c r="E15" s="36">
        <v>0</v>
      </c>
    </row>
    <row r="16" spans="1:5" ht="14.25" customHeight="1" x14ac:dyDescent="0.25">
      <c r="A16" s="3" t="s">
        <v>163</v>
      </c>
      <c r="B16" s="36"/>
      <c r="C16" s="36">
        <v>0</v>
      </c>
      <c r="D16" s="36">
        <v>0</v>
      </c>
      <c r="E16" s="36">
        <v>0</v>
      </c>
    </row>
    <row r="17" spans="1:5" ht="14.25" customHeight="1" x14ac:dyDescent="0.25">
      <c r="A17" s="3" t="s">
        <v>164</v>
      </c>
      <c r="B17" s="36"/>
      <c r="C17" s="36">
        <v>0</v>
      </c>
      <c r="D17" s="36">
        <v>0</v>
      </c>
      <c r="E17" s="36">
        <v>0</v>
      </c>
    </row>
    <row r="18" spans="1:5" ht="14.25" customHeight="1" x14ac:dyDescent="0.25">
      <c r="A18" s="3" t="s">
        <v>165</v>
      </c>
      <c r="B18" s="36"/>
      <c r="C18" s="36">
        <v>0</v>
      </c>
      <c r="D18" s="36">
        <v>0</v>
      </c>
      <c r="E18" s="36">
        <v>0</v>
      </c>
    </row>
    <row r="19" spans="1:5" ht="14.25" customHeight="1" x14ac:dyDescent="0.25">
      <c r="A19" s="3" t="s">
        <v>166</v>
      </c>
      <c r="B19" s="36"/>
      <c r="C19" s="36">
        <v>0</v>
      </c>
      <c r="D19" s="36">
        <v>0</v>
      </c>
      <c r="E19" s="36">
        <v>0</v>
      </c>
    </row>
    <row r="20" spans="1:5" ht="14.25" customHeight="1" x14ac:dyDescent="0.25">
      <c r="A20" s="3" t="s">
        <v>167</v>
      </c>
      <c r="B20" s="36"/>
      <c r="C20" s="41">
        <v>0</v>
      </c>
      <c r="D20" s="41">
        <v>23000</v>
      </c>
      <c r="E20" s="41">
        <v>2000</v>
      </c>
    </row>
    <row r="21" spans="1:5" ht="14.25" customHeight="1" x14ac:dyDescent="0.25">
      <c r="A21" s="3" t="s">
        <v>168</v>
      </c>
      <c r="B21" s="36"/>
      <c r="C21" s="41">
        <v>0</v>
      </c>
      <c r="D21" s="41">
        <v>23000</v>
      </c>
      <c r="E21" s="41">
        <v>2000</v>
      </c>
    </row>
    <row r="22" spans="1:5" ht="14.25" customHeight="1" x14ac:dyDescent="0.25">
      <c r="A22" s="3" t="s">
        <v>169</v>
      </c>
      <c r="B22" s="36"/>
      <c r="C22" s="36">
        <f>SUM(C11:C21)</f>
        <v>0</v>
      </c>
      <c r="D22" s="36">
        <f>SUM(D10:D21)</f>
        <v>46000</v>
      </c>
      <c r="E22" s="36">
        <f>SUM(E10:E21)</f>
        <v>4000</v>
      </c>
    </row>
    <row r="23" spans="1:5" ht="14.25" customHeight="1" x14ac:dyDescent="0.25">
      <c r="A23" s="3" t="s">
        <v>133</v>
      </c>
      <c r="B23" s="36"/>
      <c r="C23" s="36">
        <f>132000</f>
        <v>132000</v>
      </c>
      <c r="D23" s="36">
        <f>5000*(COUNT(D10:D21)-4)</f>
        <v>40000</v>
      </c>
      <c r="E23" s="36">
        <f>500*(COUNT(E10:E21)-4)</f>
        <v>4000</v>
      </c>
    </row>
    <row r="24" spans="1:5" ht="14.25" customHeight="1" x14ac:dyDescent="0.25">
      <c r="A24" s="3" t="s">
        <v>170</v>
      </c>
      <c r="B24" s="36"/>
      <c r="C24" s="36">
        <f>C23-C22</f>
        <v>132000</v>
      </c>
      <c r="D24" s="36">
        <f>D23-D22-D9</f>
        <v>-16100</v>
      </c>
      <c r="E24" s="36">
        <f>E23-E22-E9</f>
        <v>0</v>
      </c>
    </row>
    <row r="25" spans="1:5" ht="14.25" customHeight="1" x14ac:dyDescent="0.25">
      <c r="A25" s="3" t="s">
        <v>171</v>
      </c>
      <c r="B25" s="36"/>
      <c r="C25" s="37">
        <f>C24+D24+E24</f>
        <v>115900</v>
      </c>
      <c r="D25" s="36"/>
      <c r="E25" s="36"/>
    </row>
    <row r="26" spans="1:5" ht="14.25" customHeight="1" x14ac:dyDescent="0.2"/>
    <row r="27" spans="1:5" ht="14.25" customHeight="1" x14ac:dyDescent="0.2"/>
    <row r="28" spans="1:5" ht="14.25" customHeight="1" x14ac:dyDescent="0.2"/>
    <row r="29" spans="1:5" ht="14.25" customHeight="1" x14ac:dyDescent="0.2"/>
    <row r="30" spans="1:5" ht="14.25" customHeight="1" x14ac:dyDescent="0.2"/>
    <row r="31" spans="1:5" ht="14.25" customHeight="1" x14ac:dyDescent="0.2"/>
    <row r="32" spans="1:5"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000"/>
  <sheetViews>
    <sheetView workbookViewId="0"/>
  </sheetViews>
  <sheetFormatPr defaultColWidth="12.625" defaultRowHeight="15" customHeight="1" x14ac:dyDescent="0.2"/>
  <cols>
    <col min="1" max="1" width="7.625" customWidth="1"/>
    <col min="2" max="2" width="10" customWidth="1"/>
    <col min="3" max="3" width="9.125" customWidth="1"/>
    <col min="4" max="4" width="10.625" customWidth="1"/>
    <col min="5" max="5" width="8.25" customWidth="1"/>
    <col min="6" max="7" width="7.625" customWidth="1"/>
    <col min="8" max="8" width="8.25" customWidth="1"/>
    <col min="9" max="26" width="7.625" customWidth="1"/>
  </cols>
  <sheetData>
    <row r="1" spans="1:5" ht="14.25" customHeight="1" x14ac:dyDescent="0.25">
      <c r="A1" s="2" t="s">
        <v>151</v>
      </c>
    </row>
    <row r="2" spans="1:5" ht="14.25" customHeight="1" x14ac:dyDescent="0.25">
      <c r="A2" s="3" t="s">
        <v>112</v>
      </c>
      <c r="B2" s="3" t="s">
        <v>152</v>
      </c>
      <c r="C2" s="3" t="s">
        <v>51</v>
      </c>
    </row>
    <row r="3" spans="1:5" ht="14.25" customHeight="1" x14ac:dyDescent="0.25">
      <c r="A3" s="3">
        <v>4112019</v>
      </c>
      <c r="B3" s="42">
        <v>16460</v>
      </c>
      <c r="C3" s="3"/>
    </row>
    <row r="4" spans="1:5" ht="14.25" customHeight="1" x14ac:dyDescent="0.25">
      <c r="A4" s="3">
        <v>13112019</v>
      </c>
      <c r="B4" s="42">
        <v>16500</v>
      </c>
      <c r="C4" s="3"/>
    </row>
    <row r="5" spans="1:5" ht="14.25" customHeight="1" x14ac:dyDescent="0.25">
      <c r="A5" s="3">
        <v>3012020</v>
      </c>
      <c r="B5" s="42">
        <v>16500</v>
      </c>
      <c r="C5" s="3"/>
    </row>
    <row r="6" spans="1:5" ht="14.25" customHeight="1" x14ac:dyDescent="0.25">
      <c r="A6" s="3">
        <v>2032020</v>
      </c>
      <c r="B6" s="42">
        <v>33000</v>
      </c>
      <c r="C6" s="3"/>
    </row>
    <row r="7" spans="1:5" ht="14.25" customHeight="1" x14ac:dyDescent="0.2"/>
    <row r="8" spans="1:5" ht="14.25" customHeight="1" x14ac:dyDescent="0.25">
      <c r="A8" s="2" t="s">
        <v>70</v>
      </c>
    </row>
    <row r="9" spans="1:5" ht="14.25" customHeight="1" x14ac:dyDescent="0.25">
      <c r="A9" s="43" t="s">
        <v>153</v>
      </c>
      <c r="B9" s="3" t="s">
        <v>63</v>
      </c>
      <c r="C9" s="43" t="s">
        <v>154</v>
      </c>
      <c r="D9" s="43" t="s">
        <v>70</v>
      </c>
      <c r="E9" s="43" t="s">
        <v>155</v>
      </c>
    </row>
    <row r="10" spans="1:5" ht="14.25" customHeight="1" x14ac:dyDescent="0.25">
      <c r="A10" s="3" t="s">
        <v>156</v>
      </c>
      <c r="B10" s="36"/>
      <c r="C10" s="36">
        <v>0</v>
      </c>
      <c r="D10" s="36">
        <v>0</v>
      </c>
      <c r="E10" s="36">
        <v>1000</v>
      </c>
    </row>
    <row r="11" spans="1:5" ht="14.25" customHeight="1" x14ac:dyDescent="0.25">
      <c r="A11" s="3" t="s">
        <v>157</v>
      </c>
      <c r="B11" s="36">
        <v>165000</v>
      </c>
      <c r="C11" s="36">
        <v>0</v>
      </c>
      <c r="D11" s="36">
        <v>0</v>
      </c>
      <c r="E11" s="36">
        <v>0</v>
      </c>
    </row>
    <row r="12" spans="1:5" ht="14.25" customHeight="1" x14ac:dyDescent="0.25">
      <c r="A12" s="3" t="s">
        <v>158</v>
      </c>
      <c r="B12" s="36"/>
      <c r="C12" s="36">
        <v>16500</v>
      </c>
      <c r="D12" s="36">
        <v>0</v>
      </c>
      <c r="E12" s="36">
        <v>0</v>
      </c>
    </row>
    <row r="13" spans="1:5" ht="14.25" customHeight="1" x14ac:dyDescent="0.25">
      <c r="A13" s="3" t="s">
        <v>159</v>
      </c>
      <c r="B13" s="36"/>
      <c r="C13" s="36">
        <v>16500</v>
      </c>
      <c r="D13" s="36">
        <v>0</v>
      </c>
      <c r="E13" s="36">
        <v>0</v>
      </c>
    </row>
    <row r="14" spans="1:5" ht="14.25" customHeight="1" x14ac:dyDescent="0.25">
      <c r="A14" s="3" t="s">
        <v>160</v>
      </c>
      <c r="B14" s="36"/>
      <c r="C14" s="36">
        <v>16500</v>
      </c>
      <c r="D14" s="36">
        <v>0</v>
      </c>
      <c r="E14" s="36">
        <v>0</v>
      </c>
    </row>
    <row r="15" spans="1:5" ht="14.25" customHeight="1" x14ac:dyDescent="0.25">
      <c r="A15" s="3" t="s">
        <v>161</v>
      </c>
      <c r="C15" s="36">
        <f>C14*2</f>
        <v>33000</v>
      </c>
      <c r="D15" s="36">
        <v>0</v>
      </c>
      <c r="E15" s="36">
        <v>0</v>
      </c>
    </row>
    <row r="16" spans="1:5" ht="14.25" customHeight="1" x14ac:dyDescent="0.25">
      <c r="A16" s="3" t="s">
        <v>162</v>
      </c>
      <c r="B16" s="36"/>
      <c r="C16" s="36">
        <v>0</v>
      </c>
      <c r="D16" s="36">
        <v>0</v>
      </c>
      <c r="E16" s="36">
        <v>0</v>
      </c>
    </row>
    <row r="17" spans="1:8" ht="14.25" customHeight="1" x14ac:dyDescent="0.25">
      <c r="A17" s="3" t="s">
        <v>163</v>
      </c>
      <c r="B17" s="36"/>
      <c r="C17" s="36">
        <v>0</v>
      </c>
      <c r="D17" s="36">
        <v>0</v>
      </c>
      <c r="E17" s="36">
        <v>0</v>
      </c>
    </row>
    <row r="18" spans="1:8" ht="14.25" customHeight="1" x14ac:dyDescent="0.25">
      <c r="A18" s="3" t="s">
        <v>164</v>
      </c>
      <c r="B18" s="36"/>
      <c r="C18" s="36">
        <v>0</v>
      </c>
      <c r="D18" s="36">
        <v>0</v>
      </c>
      <c r="E18" s="36">
        <v>0</v>
      </c>
    </row>
    <row r="19" spans="1:8" ht="14.25" customHeight="1" x14ac:dyDescent="0.25">
      <c r="A19" s="3" t="s">
        <v>165</v>
      </c>
      <c r="B19" s="36"/>
      <c r="C19" s="36">
        <v>0</v>
      </c>
      <c r="D19" s="36">
        <v>0</v>
      </c>
      <c r="E19" s="36">
        <v>0</v>
      </c>
    </row>
    <row r="20" spans="1:8" ht="14.25" customHeight="1" x14ac:dyDescent="0.25">
      <c r="A20" s="3" t="s">
        <v>166</v>
      </c>
      <c r="B20" s="36"/>
      <c r="C20" s="36">
        <v>0</v>
      </c>
      <c r="D20" s="36">
        <v>0</v>
      </c>
      <c r="E20" s="36">
        <v>0</v>
      </c>
      <c r="H20" s="39">
        <f>B11-C24</f>
        <v>16500</v>
      </c>
    </row>
    <row r="21" spans="1:8" ht="14.25" customHeight="1" x14ac:dyDescent="0.25">
      <c r="A21" s="3" t="s">
        <v>167</v>
      </c>
      <c r="B21" s="36"/>
      <c r="C21" s="36">
        <v>0</v>
      </c>
      <c r="D21" s="36">
        <v>0</v>
      </c>
      <c r="E21" s="36">
        <v>0</v>
      </c>
      <c r="H21" s="44">
        <f>C12+C13+C14+C15+C23</f>
        <v>148500</v>
      </c>
    </row>
    <row r="22" spans="1:8" ht="14.25" customHeight="1" x14ac:dyDescent="0.25">
      <c r="A22" s="3" t="s">
        <v>168</v>
      </c>
      <c r="B22" s="36"/>
      <c r="C22" s="36">
        <v>0</v>
      </c>
      <c r="D22" s="36">
        <v>0</v>
      </c>
      <c r="E22" s="36">
        <v>0</v>
      </c>
      <c r="H22" s="44">
        <f>B11-C24</f>
        <v>16500</v>
      </c>
    </row>
    <row r="23" spans="1:8" ht="14.25" customHeight="1" x14ac:dyDescent="0.25">
      <c r="A23" s="3" t="s">
        <v>157</v>
      </c>
      <c r="B23" s="36"/>
      <c r="C23" s="36">
        <v>66000</v>
      </c>
      <c r="D23" s="36">
        <v>40000</v>
      </c>
      <c r="E23" s="36">
        <v>3000</v>
      </c>
    </row>
    <row r="24" spans="1:8" ht="14.25" customHeight="1" x14ac:dyDescent="0.25">
      <c r="A24" s="3" t="s">
        <v>169</v>
      </c>
      <c r="B24" s="36"/>
      <c r="C24" s="36">
        <f>SUM(C12:C23)</f>
        <v>148500</v>
      </c>
      <c r="D24" s="36">
        <f>SUM(D11:D23)</f>
        <v>40000</v>
      </c>
      <c r="E24" s="36">
        <f>SUM(E11:E23)</f>
        <v>3000</v>
      </c>
    </row>
    <row r="25" spans="1:8" ht="14.25" customHeight="1" x14ac:dyDescent="0.25">
      <c r="A25" s="3" t="s">
        <v>133</v>
      </c>
      <c r="B25" s="36"/>
      <c r="C25" s="36">
        <f>16500*((COUNT(C12:C22)-2))</f>
        <v>148500</v>
      </c>
      <c r="D25" s="36">
        <f>5000*(COUNT(D11:D22)-4)</f>
        <v>40000</v>
      </c>
      <c r="E25" s="36">
        <f>500*(COUNT(E11:E22)-4)</f>
        <v>4000</v>
      </c>
    </row>
    <row r="26" spans="1:8" ht="14.25" customHeight="1" x14ac:dyDescent="0.25">
      <c r="A26" s="3" t="s">
        <v>170</v>
      </c>
      <c r="B26" s="36"/>
      <c r="C26" s="36">
        <f>C25-C24</f>
        <v>0</v>
      </c>
      <c r="D26" s="36">
        <f>D25-D24-D10</f>
        <v>0</v>
      </c>
      <c r="E26" s="36">
        <f>E25-E24-E10</f>
        <v>0</v>
      </c>
    </row>
    <row r="27" spans="1:8" ht="14.25" customHeight="1" x14ac:dyDescent="0.25">
      <c r="A27" s="3" t="s">
        <v>171</v>
      </c>
      <c r="B27" s="36"/>
      <c r="C27" s="37">
        <f>C26+D26+E26</f>
        <v>0</v>
      </c>
      <c r="D27" s="36"/>
      <c r="E27" s="36"/>
    </row>
    <row r="28" spans="1:8" ht="14.25" customHeight="1" x14ac:dyDescent="0.2"/>
    <row r="29" spans="1:8" ht="14.25" customHeight="1" x14ac:dyDescent="0.2"/>
    <row r="30" spans="1:8" ht="14.25" customHeight="1" x14ac:dyDescent="0.2"/>
    <row r="31" spans="1:8" ht="14.25" customHeight="1" x14ac:dyDescent="0.2"/>
    <row r="32" spans="1:8"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000"/>
  <sheetViews>
    <sheetView workbookViewId="0"/>
  </sheetViews>
  <sheetFormatPr defaultColWidth="12.625" defaultRowHeight="15" customHeight="1" x14ac:dyDescent="0.2"/>
  <cols>
    <col min="1" max="1" width="13.875" customWidth="1"/>
    <col min="2" max="2" width="10" customWidth="1"/>
    <col min="3" max="3" width="9.25" customWidth="1"/>
    <col min="4" max="4" width="10.625" customWidth="1"/>
    <col min="5" max="5" width="8.25" customWidth="1"/>
    <col min="6" max="26" width="7.625" customWidth="1"/>
  </cols>
  <sheetData>
    <row r="1" spans="1:5" ht="14.25" customHeight="1" x14ac:dyDescent="0.25">
      <c r="A1" s="2" t="s">
        <v>151</v>
      </c>
    </row>
    <row r="2" spans="1:5" ht="14.25" customHeight="1" x14ac:dyDescent="0.25">
      <c r="A2" s="3" t="s">
        <v>112</v>
      </c>
      <c r="B2" s="3" t="s">
        <v>152</v>
      </c>
      <c r="C2" s="3" t="s">
        <v>51</v>
      </c>
    </row>
    <row r="3" spans="1:5" ht="14.25" customHeight="1" x14ac:dyDescent="0.25">
      <c r="A3" s="3">
        <v>30062020</v>
      </c>
      <c r="B3" s="35">
        <v>10000</v>
      </c>
      <c r="C3" s="3"/>
    </row>
    <row r="4" spans="1:5" ht="14.25" customHeight="1" x14ac:dyDescent="0.25">
      <c r="A4" s="3"/>
      <c r="B4" s="35"/>
      <c r="C4" s="3"/>
    </row>
    <row r="5" spans="1:5" ht="14.25" customHeight="1" x14ac:dyDescent="0.25">
      <c r="A5" s="3"/>
      <c r="B5" s="35"/>
      <c r="C5" s="3"/>
    </row>
    <row r="6" spans="1:5" ht="14.25" customHeight="1" x14ac:dyDescent="0.25">
      <c r="A6" s="3"/>
      <c r="B6" s="35"/>
      <c r="C6" s="3"/>
    </row>
    <row r="7" spans="1:5" ht="14.25" customHeight="1" x14ac:dyDescent="0.2"/>
    <row r="8" spans="1:5" ht="14.25" customHeight="1" x14ac:dyDescent="0.25">
      <c r="A8" s="2" t="s">
        <v>70</v>
      </c>
    </row>
    <row r="9" spans="1:5" ht="14.25" customHeight="1" x14ac:dyDescent="0.25">
      <c r="A9" s="43" t="s">
        <v>153</v>
      </c>
      <c r="B9" s="3" t="s">
        <v>63</v>
      </c>
      <c r="C9" s="43" t="s">
        <v>154</v>
      </c>
      <c r="D9" s="43" t="s">
        <v>70</v>
      </c>
      <c r="E9" s="43" t="s">
        <v>155</v>
      </c>
    </row>
    <row r="10" spans="1:5" ht="14.25" customHeight="1" x14ac:dyDescent="0.25">
      <c r="A10" s="3" t="s">
        <v>156</v>
      </c>
      <c r="B10" s="36"/>
      <c r="C10" s="36">
        <v>0</v>
      </c>
      <c r="D10" s="36">
        <v>-35000</v>
      </c>
      <c r="E10" s="36">
        <v>-6000</v>
      </c>
    </row>
    <row r="11" spans="1:5" ht="14.25" customHeight="1" x14ac:dyDescent="0.25">
      <c r="A11" s="3" t="s">
        <v>157</v>
      </c>
      <c r="B11" s="36"/>
      <c r="C11" s="36">
        <v>0</v>
      </c>
      <c r="D11" s="36">
        <v>0</v>
      </c>
      <c r="E11" s="36">
        <v>0</v>
      </c>
    </row>
    <row r="12" spans="1:5" ht="14.25" customHeight="1" x14ac:dyDescent="0.25">
      <c r="A12" s="3" t="s">
        <v>158</v>
      </c>
      <c r="B12" s="36"/>
      <c r="C12" s="36">
        <v>0</v>
      </c>
      <c r="D12" s="36">
        <v>0</v>
      </c>
      <c r="E12" s="36">
        <v>0</v>
      </c>
    </row>
    <row r="13" spans="1:5" ht="14.25" customHeight="1" x14ac:dyDescent="0.25">
      <c r="A13" s="3" t="s">
        <v>159</v>
      </c>
      <c r="B13" s="36"/>
      <c r="C13" s="36">
        <v>0</v>
      </c>
      <c r="D13" s="36">
        <v>0</v>
      </c>
      <c r="E13" s="36">
        <v>0</v>
      </c>
    </row>
    <row r="14" spans="1:5" ht="14.25" customHeight="1" x14ac:dyDescent="0.25">
      <c r="A14" s="3" t="s">
        <v>160</v>
      </c>
      <c r="B14" s="36"/>
      <c r="C14" s="36">
        <v>0</v>
      </c>
      <c r="D14" s="36">
        <v>0</v>
      </c>
      <c r="E14" s="36">
        <v>0</v>
      </c>
    </row>
    <row r="15" spans="1:5" ht="14.25" customHeight="1" x14ac:dyDescent="0.25">
      <c r="A15" s="3" t="s">
        <v>161</v>
      </c>
      <c r="C15" s="36">
        <v>0</v>
      </c>
      <c r="D15" s="36">
        <v>0</v>
      </c>
      <c r="E15" s="36">
        <v>0</v>
      </c>
    </row>
    <row r="16" spans="1:5" ht="14.25" customHeight="1" x14ac:dyDescent="0.25">
      <c r="A16" s="3" t="s">
        <v>162</v>
      </c>
      <c r="B16" s="36"/>
      <c r="C16" s="36">
        <v>0</v>
      </c>
      <c r="D16" s="36">
        <v>0</v>
      </c>
      <c r="E16" s="36">
        <v>0</v>
      </c>
    </row>
    <row r="17" spans="1:5" ht="14.25" customHeight="1" x14ac:dyDescent="0.25">
      <c r="A17" s="3" t="s">
        <v>163</v>
      </c>
      <c r="B17" s="36"/>
      <c r="C17" s="36">
        <v>0</v>
      </c>
      <c r="D17" s="36">
        <v>0</v>
      </c>
      <c r="E17" s="36">
        <v>0</v>
      </c>
    </row>
    <row r="18" spans="1:5" ht="14.25" customHeight="1" x14ac:dyDescent="0.25">
      <c r="A18" s="3" t="s">
        <v>164</v>
      </c>
      <c r="B18" s="36"/>
      <c r="C18" s="36">
        <v>0</v>
      </c>
      <c r="D18" s="36">
        <v>0</v>
      </c>
      <c r="E18" s="36">
        <v>0</v>
      </c>
    </row>
    <row r="19" spans="1:5" ht="14.25" customHeight="1" x14ac:dyDescent="0.25">
      <c r="A19" s="3" t="s">
        <v>165</v>
      </c>
      <c r="B19" s="36"/>
      <c r="C19" s="36">
        <v>0</v>
      </c>
      <c r="D19" s="36">
        <v>10000</v>
      </c>
      <c r="E19" s="36">
        <v>0</v>
      </c>
    </row>
    <row r="20" spans="1:5" ht="14.25" customHeight="1" x14ac:dyDescent="0.25">
      <c r="A20" s="3" t="s">
        <v>166</v>
      </c>
      <c r="B20" s="36"/>
      <c r="C20" s="36">
        <v>0</v>
      </c>
      <c r="D20" s="36">
        <v>0</v>
      </c>
      <c r="E20" s="36">
        <v>0</v>
      </c>
    </row>
    <row r="21" spans="1:5" ht="14.25" customHeight="1" x14ac:dyDescent="0.25">
      <c r="A21" s="3" t="s">
        <v>167</v>
      </c>
      <c r="B21" s="36"/>
      <c r="C21" s="36">
        <v>0</v>
      </c>
      <c r="D21" s="36">
        <v>0</v>
      </c>
      <c r="E21" s="36">
        <v>0</v>
      </c>
    </row>
    <row r="22" spans="1:5" ht="14.25" customHeight="1" x14ac:dyDescent="0.25">
      <c r="A22" s="3" t="s">
        <v>168</v>
      </c>
      <c r="B22" s="36"/>
      <c r="C22" s="36">
        <v>0</v>
      </c>
      <c r="D22" s="36">
        <v>0</v>
      </c>
      <c r="E22" s="36">
        <v>0</v>
      </c>
    </row>
    <row r="23" spans="1:5" ht="14.25" customHeight="1" x14ac:dyDescent="0.25">
      <c r="A23" s="3" t="s">
        <v>169</v>
      </c>
      <c r="B23" s="36"/>
      <c r="C23" s="36">
        <f>SUM(C12:C22)</f>
        <v>0</v>
      </c>
      <c r="D23" s="36">
        <f>SUM(D11:D22)</f>
        <v>10000</v>
      </c>
      <c r="E23" s="36">
        <f>SUM(E11:E22)</f>
        <v>0</v>
      </c>
    </row>
    <row r="24" spans="1:5" ht="14.25" customHeight="1" x14ac:dyDescent="0.25">
      <c r="A24" s="3" t="s">
        <v>133</v>
      </c>
      <c r="B24" s="36"/>
      <c r="C24" s="36">
        <v>0</v>
      </c>
      <c r="D24" s="36">
        <f>5000*(COUNT(D11:D22)-4)</f>
        <v>40000</v>
      </c>
      <c r="E24" s="36">
        <f>500*(COUNT(E11:E22)-4)</f>
        <v>4000</v>
      </c>
    </row>
    <row r="25" spans="1:5" ht="14.25" customHeight="1" x14ac:dyDescent="0.25">
      <c r="A25" s="3" t="s">
        <v>170</v>
      </c>
      <c r="B25" s="36"/>
      <c r="C25" s="36">
        <f>C24-C23</f>
        <v>0</v>
      </c>
      <c r="D25" s="36">
        <f>D24-D23-D10</f>
        <v>65000</v>
      </c>
      <c r="E25" s="36">
        <f>E24-E23-E10</f>
        <v>10000</v>
      </c>
    </row>
    <row r="26" spans="1:5" ht="14.25" customHeight="1" x14ac:dyDescent="0.25">
      <c r="A26" s="3" t="s">
        <v>171</v>
      </c>
      <c r="B26" s="36"/>
      <c r="C26" s="37">
        <f>C25+D25+E25</f>
        <v>75000</v>
      </c>
      <c r="D26" s="36"/>
      <c r="E26" s="36"/>
    </row>
    <row r="27" spans="1:5" ht="14.25" customHeight="1" x14ac:dyDescent="0.2"/>
    <row r="28" spans="1:5" ht="14.25" customHeight="1" x14ac:dyDescent="0.2"/>
    <row r="29" spans="1:5" ht="14.25" customHeight="1" x14ac:dyDescent="0.2"/>
    <row r="30" spans="1:5" ht="14.25" customHeight="1" x14ac:dyDescent="0.2"/>
    <row r="31" spans="1:5" ht="14.25" customHeight="1" x14ac:dyDescent="0.2"/>
    <row r="32" spans="1:5"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000"/>
  <sheetViews>
    <sheetView workbookViewId="0"/>
  </sheetViews>
  <sheetFormatPr defaultColWidth="12.625" defaultRowHeight="15" customHeight="1" x14ac:dyDescent="0.2"/>
  <cols>
    <col min="1" max="1" width="7.625" customWidth="1"/>
    <col min="2" max="2" width="9.75" customWidth="1"/>
    <col min="3" max="26" width="7.625" customWidth="1"/>
  </cols>
  <sheetData>
    <row r="1" spans="1:5" ht="14.25" customHeight="1" x14ac:dyDescent="0.25">
      <c r="A1" s="2" t="s">
        <v>112</v>
      </c>
      <c r="B1" s="2" t="s">
        <v>153</v>
      </c>
      <c r="C1" s="2" t="s">
        <v>152</v>
      </c>
      <c r="D1" s="2" t="s">
        <v>177</v>
      </c>
      <c r="E1" s="2" t="s">
        <v>114</v>
      </c>
    </row>
    <row r="2" spans="1:5" ht="14.25" customHeight="1" x14ac:dyDescent="0.25">
      <c r="A2" s="22">
        <v>43375</v>
      </c>
      <c r="B2" s="14" t="s">
        <v>116</v>
      </c>
      <c r="C2" s="14">
        <v>5500</v>
      </c>
    </row>
    <row r="3" spans="1:5" ht="14.25" customHeight="1" x14ac:dyDescent="0.25">
      <c r="A3" s="22">
        <v>43404</v>
      </c>
      <c r="B3" s="14" t="s">
        <v>116</v>
      </c>
      <c r="C3" s="14">
        <v>5500</v>
      </c>
    </row>
    <row r="4" spans="1:5" ht="14.25" customHeight="1" x14ac:dyDescent="0.25">
      <c r="A4" s="22">
        <v>43435</v>
      </c>
      <c r="B4" s="14" t="s">
        <v>116</v>
      </c>
      <c r="C4" s="14">
        <v>5500</v>
      </c>
    </row>
    <row r="5" spans="1:5" ht="14.25" customHeight="1" x14ac:dyDescent="0.25">
      <c r="A5" s="22">
        <v>43467</v>
      </c>
      <c r="B5" s="14" t="s">
        <v>116</v>
      </c>
      <c r="C5" s="14">
        <v>5500</v>
      </c>
    </row>
    <row r="6" spans="1:5" ht="14.25" customHeight="1" x14ac:dyDescent="0.25">
      <c r="A6" s="22">
        <v>43491</v>
      </c>
      <c r="B6" s="14" t="s">
        <v>116</v>
      </c>
      <c r="C6" s="14">
        <v>5500</v>
      </c>
    </row>
    <row r="7" spans="1:5" ht="14.25" customHeight="1" x14ac:dyDescent="0.25">
      <c r="A7" s="22">
        <v>43528</v>
      </c>
      <c r="B7" s="14" t="s">
        <v>116</v>
      </c>
      <c r="C7" s="14">
        <v>5500</v>
      </c>
    </row>
    <row r="8" spans="1:5" ht="14.25" customHeight="1" x14ac:dyDescent="0.25">
      <c r="A8" s="22">
        <v>43554</v>
      </c>
      <c r="B8" s="14" t="s">
        <v>116</v>
      </c>
      <c r="C8" s="14">
        <v>5500</v>
      </c>
    </row>
    <row r="9" spans="1:5" ht="14.25" customHeight="1" x14ac:dyDescent="0.25">
      <c r="A9" s="22">
        <v>43582</v>
      </c>
      <c r="B9" s="14" t="s">
        <v>116</v>
      </c>
      <c r="C9" s="14">
        <v>5500</v>
      </c>
    </row>
    <row r="10" spans="1:5" ht="14.25" customHeight="1" x14ac:dyDescent="0.25">
      <c r="A10" s="22">
        <v>43619</v>
      </c>
      <c r="B10" s="14" t="s">
        <v>116</v>
      </c>
      <c r="C10" s="14">
        <v>5500</v>
      </c>
    </row>
    <row r="11" spans="1:5" ht="14.25" customHeight="1" x14ac:dyDescent="0.25">
      <c r="A11" s="22">
        <v>43649</v>
      </c>
      <c r="B11" s="14" t="s">
        <v>116</v>
      </c>
      <c r="C11" s="14">
        <v>5500</v>
      </c>
    </row>
    <row r="12" spans="1:5" ht="14.25" customHeight="1" x14ac:dyDescent="0.2"/>
    <row r="13" spans="1:5" ht="14.25" customHeight="1" x14ac:dyDescent="0.2"/>
    <row r="14" spans="1:5" ht="14.25" customHeight="1" x14ac:dyDescent="0.25">
      <c r="A14" s="16" t="s">
        <v>23</v>
      </c>
      <c r="C14" s="16">
        <f>SUM(C2:C13)</f>
        <v>55000</v>
      </c>
      <c r="D14" s="16">
        <f>SUM(D2:D13)</f>
        <v>0</v>
      </c>
      <c r="E14" s="16">
        <f>SUM(E2:E13)</f>
        <v>0</v>
      </c>
    </row>
    <row r="15" spans="1:5" ht="14.25" customHeight="1" x14ac:dyDescent="0.2"/>
    <row r="16" spans="1:5"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workbookViewId="0"/>
  </sheetViews>
  <sheetFormatPr defaultColWidth="12.625" defaultRowHeight="15" customHeight="1" x14ac:dyDescent="0.2"/>
  <cols>
    <col min="1" max="1" width="9.125" customWidth="1"/>
    <col min="2" max="2" width="14.375" customWidth="1"/>
    <col min="3" max="3" width="13" customWidth="1"/>
    <col min="4" max="4" width="12.375" customWidth="1"/>
    <col min="5" max="26" width="7.625" customWidth="1"/>
  </cols>
  <sheetData>
    <row r="1" spans="1:26" ht="14.25" customHeight="1" x14ac:dyDescent="0.25">
      <c r="A1" s="16" t="s">
        <v>112</v>
      </c>
      <c r="B1" s="16" t="s">
        <v>153</v>
      </c>
      <c r="C1" s="16" t="s">
        <v>152</v>
      </c>
      <c r="D1" s="16" t="s">
        <v>177</v>
      </c>
      <c r="E1" s="16" t="s">
        <v>178</v>
      </c>
    </row>
    <row r="2" spans="1:26" ht="14.25" customHeight="1" x14ac:dyDescent="0.25">
      <c r="A2" s="22">
        <v>43390</v>
      </c>
      <c r="B2" s="16" t="s">
        <v>179</v>
      </c>
      <c r="D2" s="16">
        <v>60000</v>
      </c>
      <c r="E2" s="16">
        <v>6000</v>
      </c>
    </row>
    <row r="3" spans="1:26" ht="14.25" customHeight="1" x14ac:dyDescent="0.25">
      <c r="A3" s="22">
        <v>43405</v>
      </c>
      <c r="B3" s="16" t="s">
        <v>64</v>
      </c>
      <c r="C3" s="16">
        <v>11000</v>
      </c>
    </row>
    <row r="4" spans="1:26" ht="14.25" customHeight="1" x14ac:dyDescent="0.25">
      <c r="A4" s="22">
        <v>43469</v>
      </c>
      <c r="B4" s="16" t="s">
        <v>64</v>
      </c>
      <c r="C4" s="16">
        <v>20000</v>
      </c>
    </row>
    <row r="5" spans="1:26" ht="14.25" customHeight="1" x14ac:dyDescent="0.25">
      <c r="A5" s="22">
        <v>43565</v>
      </c>
      <c r="B5" s="16" t="s">
        <v>64</v>
      </c>
      <c r="C5" s="16">
        <v>20500</v>
      </c>
    </row>
    <row r="6" spans="1:26" ht="14.25" customHeight="1" x14ac:dyDescent="0.25">
      <c r="A6" s="22">
        <v>43631</v>
      </c>
      <c r="B6" s="16" t="s">
        <v>64</v>
      </c>
      <c r="C6" s="16">
        <v>11000</v>
      </c>
    </row>
    <row r="7" spans="1:26" ht="14.25" customHeight="1" x14ac:dyDescent="0.25">
      <c r="A7" s="22">
        <v>43645</v>
      </c>
      <c r="B7" s="16" t="s">
        <v>64</v>
      </c>
      <c r="C7" s="16">
        <v>5500</v>
      </c>
    </row>
    <row r="8" spans="1:26" ht="14.25" customHeight="1" x14ac:dyDescent="0.2"/>
    <row r="9" spans="1:26" ht="14.25" customHeight="1" x14ac:dyDescent="0.25">
      <c r="A9" s="2" t="s">
        <v>23</v>
      </c>
      <c r="B9" s="2"/>
      <c r="C9" s="2">
        <f>SUM(C3:C8)</f>
        <v>68000</v>
      </c>
      <c r="D9" s="2">
        <f>SUM(D2:D8)</f>
        <v>60000</v>
      </c>
      <c r="E9" s="2">
        <f>SUM(E2:E8)</f>
        <v>6000</v>
      </c>
      <c r="F9" s="2"/>
      <c r="G9" s="2"/>
      <c r="H9" s="2"/>
      <c r="I9" s="2"/>
      <c r="J9" s="2"/>
      <c r="K9" s="2"/>
      <c r="L9" s="2"/>
      <c r="M9" s="2"/>
      <c r="N9" s="2"/>
      <c r="O9" s="2"/>
      <c r="P9" s="2"/>
      <c r="Q9" s="2"/>
      <c r="R9" s="2"/>
      <c r="S9" s="2"/>
      <c r="T9" s="2"/>
      <c r="U9" s="2"/>
      <c r="V9" s="2"/>
      <c r="W9" s="2"/>
      <c r="X9" s="2"/>
      <c r="Y9" s="2"/>
      <c r="Z9" s="2"/>
    </row>
    <row r="10" spans="1:26" ht="14.25" customHeight="1" x14ac:dyDescent="0.25">
      <c r="A10" s="2" t="s">
        <v>76</v>
      </c>
      <c r="B10" s="2"/>
      <c r="C10" s="2">
        <f>(C9-(D9+E9))</f>
        <v>2000</v>
      </c>
      <c r="D10" s="2" t="s">
        <v>180</v>
      </c>
      <c r="E10" s="2"/>
      <c r="F10" s="2"/>
      <c r="G10" s="2"/>
      <c r="H10" s="2"/>
      <c r="I10" s="2"/>
      <c r="J10" s="2"/>
      <c r="K10" s="2"/>
      <c r="L10" s="2"/>
      <c r="M10" s="2"/>
      <c r="N10" s="2"/>
      <c r="O10" s="2"/>
      <c r="P10" s="2"/>
      <c r="Q10" s="2"/>
      <c r="R10" s="2"/>
      <c r="S10" s="2"/>
      <c r="T10" s="2"/>
      <c r="U10" s="2"/>
      <c r="V10" s="2"/>
      <c r="W10" s="2"/>
      <c r="X10" s="2"/>
      <c r="Y10" s="2"/>
      <c r="Z10" s="2"/>
    </row>
    <row r="11" spans="1:26" ht="14.25" customHeight="1" x14ac:dyDescent="0.2"/>
    <row r="12" spans="1:26" ht="14.25" customHeight="1" x14ac:dyDescent="0.25">
      <c r="A12" s="16" t="s">
        <v>112</v>
      </c>
      <c r="B12" s="16" t="s">
        <v>181</v>
      </c>
      <c r="C12" s="16" t="s">
        <v>182</v>
      </c>
      <c r="D12" s="16" t="s">
        <v>183</v>
      </c>
    </row>
    <row r="13" spans="1:26" ht="14.25" customHeight="1" x14ac:dyDescent="0.25">
      <c r="A13" s="45">
        <v>43755</v>
      </c>
      <c r="B13" s="16">
        <v>60000</v>
      </c>
      <c r="C13" s="46">
        <v>43405</v>
      </c>
      <c r="D13" s="46">
        <v>43678</v>
      </c>
    </row>
    <row r="14" spans="1:26" ht="14.25" customHeight="1" x14ac:dyDescent="0.25">
      <c r="A14" s="16" t="s">
        <v>184</v>
      </c>
    </row>
    <row r="15" spans="1:26" ht="14.25" customHeight="1" x14ac:dyDescent="0.25">
      <c r="A15" s="16" t="s">
        <v>112</v>
      </c>
      <c r="B15" s="16" t="s">
        <v>185</v>
      </c>
      <c r="C15" s="16" t="s">
        <v>186</v>
      </c>
      <c r="D15" s="16" t="s">
        <v>150</v>
      </c>
      <c r="E15" s="16" t="s">
        <v>142</v>
      </c>
      <c r="F15" s="16" t="s">
        <v>113</v>
      </c>
    </row>
    <row r="16" spans="1:26" ht="14.25" customHeight="1" x14ac:dyDescent="0.25">
      <c r="A16" s="46">
        <v>43770</v>
      </c>
      <c r="B16" s="16">
        <v>6000</v>
      </c>
      <c r="C16" s="16">
        <v>600</v>
      </c>
      <c r="D16" s="16">
        <f t="shared" ref="D16:D25" si="0">B16+C16</f>
        <v>6600</v>
      </c>
      <c r="E16" s="16">
        <v>11000</v>
      </c>
    </row>
    <row r="17" spans="1:5" ht="14.25" customHeight="1" x14ac:dyDescent="0.25">
      <c r="A17" s="46">
        <v>43800</v>
      </c>
      <c r="B17" s="16">
        <v>6000</v>
      </c>
      <c r="C17" s="16">
        <v>600</v>
      </c>
      <c r="D17" s="16">
        <f t="shared" si="0"/>
        <v>6600</v>
      </c>
    </row>
    <row r="18" spans="1:5" ht="14.25" customHeight="1" x14ac:dyDescent="0.25">
      <c r="A18" s="46">
        <v>43831</v>
      </c>
      <c r="B18" s="16">
        <v>6000</v>
      </c>
      <c r="C18" s="16">
        <v>600</v>
      </c>
      <c r="D18" s="16">
        <f t="shared" si="0"/>
        <v>6600</v>
      </c>
      <c r="E18" s="16">
        <v>20000</v>
      </c>
    </row>
    <row r="19" spans="1:5" ht="14.25" customHeight="1" x14ac:dyDescent="0.25">
      <c r="A19" s="46">
        <v>43862</v>
      </c>
      <c r="B19" s="16">
        <v>6000</v>
      </c>
      <c r="C19" s="16">
        <v>600</v>
      </c>
      <c r="D19" s="16">
        <f t="shared" si="0"/>
        <v>6600</v>
      </c>
    </row>
    <row r="20" spans="1:5" ht="14.25" customHeight="1" x14ac:dyDescent="0.25">
      <c r="A20" s="46">
        <v>43891</v>
      </c>
      <c r="B20" s="16">
        <v>6000</v>
      </c>
      <c r="C20" s="16">
        <v>600</v>
      </c>
      <c r="D20" s="16">
        <f t="shared" si="0"/>
        <v>6600</v>
      </c>
    </row>
    <row r="21" spans="1:5" ht="14.25" customHeight="1" x14ac:dyDescent="0.25">
      <c r="A21" s="46">
        <v>43922</v>
      </c>
      <c r="B21" s="16">
        <v>6000</v>
      </c>
      <c r="C21" s="16">
        <v>600</v>
      </c>
      <c r="D21" s="16">
        <f t="shared" si="0"/>
        <v>6600</v>
      </c>
      <c r="E21" s="16">
        <v>20500</v>
      </c>
    </row>
    <row r="22" spans="1:5" ht="14.25" customHeight="1" x14ac:dyDescent="0.25">
      <c r="A22" s="46">
        <v>43952</v>
      </c>
      <c r="B22" s="16">
        <v>6000</v>
      </c>
      <c r="C22" s="16">
        <v>600</v>
      </c>
      <c r="D22" s="16">
        <f t="shared" si="0"/>
        <v>6600</v>
      </c>
    </row>
    <row r="23" spans="1:5" ht="14.25" customHeight="1" x14ac:dyDescent="0.25">
      <c r="A23" s="46">
        <v>43983</v>
      </c>
      <c r="B23" s="16">
        <v>6000</v>
      </c>
      <c r="C23" s="16">
        <v>600</v>
      </c>
      <c r="D23" s="16">
        <f t="shared" si="0"/>
        <v>6600</v>
      </c>
      <c r="E23" s="16">
        <v>15000</v>
      </c>
    </row>
    <row r="24" spans="1:5" ht="14.25" customHeight="1" x14ac:dyDescent="0.25">
      <c r="A24" s="46">
        <v>44013</v>
      </c>
      <c r="B24" s="16">
        <v>6000</v>
      </c>
      <c r="C24" s="16">
        <v>600</v>
      </c>
      <c r="D24" s="16">
        <f t="shared" si="0"/>
        <v>6600</v>
      </c>
    </row>
    <row r="25" spans="1:5" ht="14.25" customHeight="1" x14ac:dyDescent="0.25">
      <c r="A25" s="46">
        <v>44044</v>
      </c>
      <c r="B25" s="16">
        <v>6000</v>
      </c>
      <c r="C25" s="16">
        <v>600</v>
      </c>
      <c r="D25" s="16">
        <f t="shared" si="0"/>
        <v>6600</v>
      </c>
    </row>
    <row r="26" spans="1:5" ht="14.25" customHeight="1" x14ac:dyDescent="0.25">
      <c r="A26" s="46"/>
    </row>
    <row r="27" spans="1:5" ht="14.25" customHeight="1" x14ac:dyDescent="0.25">
      <c r="A27" s="46"/>
    </row>
    <row r="28" spans="1:5" ht="14.25" customHeight="1" x14ac:dyDescent="0.25">
      <c r="A28" s="46"/>
    </row>
    <row r="29" spans="1:5" ht="14.25" customHeight="1" x14ac:dyDescent="0.2"/>
    <row r="30" spans="1:5" ht="14.25" customHeight="1" x14ac:dyDescent="0.2"/>
    <row r="31" spans="1:5" ht="14.25" customHeight="1" x14ac:dyDescent="0.2"/>
    <row r="32" spans="1:5"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defaultColWidth="12.625" defaultRowHeight="15" customHeight="1" x14ac:dyDescent="0.2"/>
  <cols>
    <col min="1" max="4" width="7.625" customWidth="1"/>
    <col min="5" max="5" width="17.5" customWidth="1"/>
    <col min="6" max="26" width="7.625" customWidth="1"/>
  </cols>
  <sheetData>
    <row r="1" spans="1:8" ht="14.25" customHeight="1" x14ac:dyDescent="0.25">
      <c r="A1" s="16" t="s">
        <v>112</v>
      </c>
      <c r="B1" s="16" t="s">
        <v>153</v>
      </c>
      <c r="C1" s="16" t="s">
        <v>152</v>
      </c>
      <c r="D1" s="16" t="s">
        <v>177</v>
      </c>
      <c r="E1" s="16" t="s">
        <v>178</v>
      </c>
      <c r="H1" s="16" t="s">
        <v>114</v>
      </c>
    </row>
    <row r="2" spans="1:8" ht="14.25" customHeight="1" x14ac:dyDescent="0.25">
      <c r="A2" s="22">
        <v>43447</v>
      </c>
      <c r="B2" s="16" t="s">
        <v>55</v>
      </c>
      <c r="C2" s="16">
        <v>11636</v>
      </c>
      <c r="D2" s="16">
        <v>0</v>
      </c>
      <c r="E2" s="16">
        <v>0</v>
      </c>
      <c r="H2" s="16" t="s">
        <v>187</v>
      </c>
    </row>
    <row r="3" spans="1:8" ht="14.25" customHeight="1" x14ac:dyDescent="0.25">
      <c r="A3" s="22">
        <v>43447</v>
      </c>
      <c r="B3" s="16" t="s">
        <v>55</v>
      </c>
      <c r="C3" s="16">
        <v>15000</v>
      </c>
      <c r="D3" s="16">
        <v>0</v>
      </c>
      <c r="E3" s="16">
        <v>0</v>
      </c>
      <c r="F3" s="16">
        <f>5500*3</f>
        <v>16500</v>
      </c>
      <c r="H3" s="16" t="s">
        <v>188</v>
      </c>
    </row>
    <row r="4" spans="1:8" ht="14.25" customHeight="1" x14ac:dyDescent="0.2"/>
    <row r="5" spans="1:8" ht="14.25" customHeight="1" x14ac:dyDescent="0.25">
      <c r="A5" s="16" t="s">
        <v>23</v>
      </c>
      <c r="C5" s="16">
        <f>SUM(C3:C4)</f>
        <v>15000</v>
      </c>
      <c r="D5" s="16">
        <f>SUM(D2:D3)</f>
        <v>0</v>
      </c>
      <c r="E5" s="16">
        <f>SUM(H2:H3)</f>
        <v>0</v>
      </c>
    </row>
    <row r="6" spans="1:8" ht="14.25" customHeight="1" x14ac:dyDescent="0.2"/>
    <row r="7" spans="1:8" ht="14.25" customHeight="1" x14ac:dyDescent="0.2"/>
    <row r="8" spans="1:8" ht="14.25" customHeight="1" x14ac:dyDescent="0.2"/>
    <row r="9" spans="1:8" ht="14.25" customHeight="1" x14ac:dyDescent="0.2"/>
    <row r="10" spans="1:8" ht="14.25" customHeight="1" x14ac:dyDescent="0.2"/>
    <row r="11" spans="1:8" ht="14.25" customHeight="1" x14ac:dyDescent="0.2"/>
    <row r="12" spans="1:8" ht="14.25" customHeight="1" x14ac:dyDescent="0.2"/>
    <row r="13" spans="1:8" ht="14.25" customHeight="1" x14ac:dyDescent="0.2"/>
    <row r="14" spans="1:8" ht="14.25" customHeight="1" x14ac:dyDescent="0.2"/>
    <row r="15" spans="1:8" ht="14.25" customHeight="1" x14ac:dyDescent="0.2"/>
    <row r="16" spans="1:8"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000"/>
  <sheetViews>
    <sheetView workbookViewId="0"/>
  </sheetViews>
  <sheetFormatPr defaultColWidth="12.625" defaultRowHeight="15" customHeight="1" x14ac:dyDescent="0.2"/>
  <cols>
    <col min="1" max="1" width="7.625" customWidth="1"/>
    <col min="2" max="2" width="10.375" customWidth="1"/>
    <col min="3" max="26" width="7.625" customWidth="1"/>
  </cols>
  <sheetData>
    <row r="1" spans="1:5" ht="14.25" customHeight="1" x14ac:dyDescent="0.25">
      <c r="A1" s="16" t="s">
        <v>112</v>
      </c>
      <c r="B1" s="16" t="s">
        <v>153</v>
      </c>
      <c r="C1" s="16" t="s">
        <v>152</v>
      </c>
      <c r="D1" s="16" t="s">
        <v>177</v>
      </c>
      <c r="E1" s="16" t="s">
        <v>178</v>
      </c>
    </row>
    <row r="2" spans="1:5" ht="14.25" customHeight="1" x14ac:dyDescent="0.25">
      <c r="A2" s="22">
        <v>43350</v>
      </c>
      <c r="B2" s="16" t="s">
        <v>107</v>
      </c>
      <c r="C2" s="16">
        <v>12000</v>
      </c>
    </row>
    <row r="3" spans="1:5" ht="14.25" customHeight="1" x14ac:dyDescent="0.25">
      <c r="A3" s="22">
        <v>43389</v>
      </c>
      <c r="B3" s="16" t="s">
        <v>107</v>
      </c>
      <c r="C3" s="16">
        <v>1500</v>
      </c>
    </row>
    <row r="4" spans="1:5" ht="14.25" customHeight="1" x14ac:dyDescent="0.25">
      <c r="A4" s="22">
        <v>43413</v>
      </c>
      <c r="B4" s="16" t="s">
        <v>107</v>
      </c>
      <c r="C4" s="16">
        <v>11000</v>
      </c>
    </row>
    <row r="5" spans="1:5" ht="14.25" customHeight="1" x14ac:dyDescent="0.25">
      <c r="A5" s="22">
        <v>43437</v>
      </c>
      <c r="B5" s="16" t="s">
        <v>107</v>
      </c>
      <c r="C5" s="16">
        <v>5500</v>
      </c>
    </row>
    <row r="6" spans="1:5" ht="14.25" customHeight="1" x14ac:dyDescent="0.25">
      <c r="A6" s="22">
        <v>43505</v>
      </c>
      <c r="B6" s="16" t="s">
        <v>107</v>
      </c>
      <c r="C6" s="16">
        <v>11000</v>
      </c>
    </row>
    <row r="7" spans="1:5" ht="14.25" customHeight="1" x14ac:dyDescent="0.2"/>
    <row r="8" spans="1:5" ht="14.25" customHeight="1" x14ac:dyDescent="0.2"/>
    <row r="9" spans="1:5" ht="14.25" customHeight="1" x14ac:dyDescent="0.25">
      <c r="A9" s="16" t="s">
        <v>23</v>
      </c>
      <c r="C9" s="16">
        <f>SUM(C3:C8)</f>
        <v>29000</v>
      </c>
      <c r="D9" s="16">
        <f>SUM(D2:D8)</f>
        <v>0</v>
      </c>
      <c r="E9" s="16">
        <f>SUM(E2:E8)</f>
        <v>0</v>
      </c>
    </row>
    <row r="10" spans="1:5" ht="14.25" customHeight="1" x14ac:dyDescent="0.25">
      <c r="A10" s="16" t="s">
        <v>76</v>
      </c>
      <c r="C10" s="16">
        <f>(C9-(D9+E9))</f>
        <v>29000</v>
      </c>
    </row>
    <row r="11" spans="1:5" ht="14.25" customHeight="1" x14ac:dyDescent="0.2"/>
    <row r="12" spans="1:5" ht="14.25" customHeight="1" x14ac:dyDescent="0.2"/>
    <row r="13" spans="1:5" ht="14.25" customHeight="1" x14ac:dyDescent="0.2"/>
    <row r="14" spans="1:5" ht="14.25" customHeight="1" x14ac:dyDescent="0.2"/>
    <row r="15" spans="1:5" ht="14.25" customHeight="1" x14ac:dyDescent="0.2"/>
    <row r="16" spans="1:5"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R1002"/>
  <sheetViews>
    <sheetView workbookViewId="0"/>
  </sheetViews>
  <sheetFormatPr defaultColWidth="12.625" defaultRowHeight="15" customHeight="1" x14ac:dyDescent="0.2"/>
  <cols>
    <col min="1" max="1" width="15.375" customWidth="1"/>
    <col min="2" max="2" width="10" customWidth="1"/>
    <col min="3" max="3" width="16.875" customWidth="1"/>
    <col min="4" max="4" width="10.625" customWidth="1"/>
    <col min="5" max="5" width="8.25" customWidth="1"/>
    <col min="6" max="8" width="7.625" customWidth="1"/>
    <col min="9" max="9" width="9.5" customWidth="1"/>
    <col min="10" max="10" width="12.25" customWidth="1"/>
    <col min="11" max="12" width="7.625" customWidth="1"/>
    <col min="13" max="13" width="12.125" customWidth="1"/>
    <col min="14" max="15" width="7.625" customWidth="1"/>
    <col min="16" max="16" width="16.875" customWidth="1"/>
    <col min="17" max="17" width="27.25" customWidth="1"/>
    <col min="18" max="26" width="7.625" customWidth="1"/>
  </cols>
  <sheetData>
    <row r="1" spans="1:18" ht="14.25" customHeight="1" x14ac:dyDescent="0.25">
      <c r="A1" s="2" t="s">
        <v>151</v>
      </c>
    </row>
    <row r="2" spans="1:18" ht="14.25" customHeight="1" x14ac:dyDescent="0.25">
      <c r="A2" s="3" t="s">
        <v>112</v>
      </c>
      <c r="B2" s="3" t="s">
        <v>152</v>
      </c>
      <c r="C2" s="3" t="s">
        <v>51</v>
      </c>
    </row>
    <row r="3" spans="1:18" ht="14.25" customHeight="1" x14ac:dyDescent="0.25">
      <c r="A3" s="23">
        <v>4112019</v>
      </c>
      <c r="B3" s="47">
        <v>10960</v>
      </c>
      <c r="C3" s="23" t="s">
        <v>189</v>
      </c>
    </row>
    <row r="4" spans="1:18" ht="14.25" customHeight="1" x14ac:dyDescent="0.25">
      <c r="A4" s="23">
        <v>3122019</v>
      </c>
      <c r="B4" s="47">
        <v>5500</v>
      </c>
      <c r="C4" s="23" t="s">
        <v>190</v>
      </c>
    </row>
    <row r="5" spans="1:18" ht="14.25" customHeight="1" x14ac:dyDescent="0.25">
      <c r="A5" s="16">
        <v>31122019</v>
      </c>
      <c r="B5" s="42">
        <v>5500</v>
      </c>
      <c r="C5" s="16" t="s">
        <v>29</v>
      </c>
    </row>
    <row r="6" spans="1:18" ht="14.25" customHeight="1" x14ac:dyDescent="0.25">
      <c r="A6" s="16">
        <v>24022020</v>
      </c>
      <c r="B6" s="42">
        <v>5500</v>
      </c>
      <c r="C6" s="16" t="s">
        <v>118</v>
      </c>
    </row>
    <row r="7" spans="1:18" ht="14.25" customHeight="1" x14ac:dyDescent="0.25">
      <c r="A7" s="16">
        <v>19032020</v>
      </c>
      <c r="B7" s="42">
        <v>5500</v>
      </c>
      <c r="C7" s="16" t="s">
        <v>118</v>
      </c>
    </row>
    <row r="8" spans="1:18" ht="14.25" customHeight="1" x14ac:dyDescent="0.25">
      <c r="A8" s="3"/>
      <c r="B8" s="35"/>
      <c r="C8" s="3"/>
    </row>
    <row r="9" spans="1:18" ht="14.25" customHeight="1" x14ac:dyDescent="0.25">
      <c r="A9" s="3"/>
      <c r="B9" s="35"/>
      <c r="C9" s="3"/>
    </row>
    <row r="10" spans="1:18" ht="14.25" customHeight="1" x14ac:dyDescent="0.2"/>
    <row r="11" spans="1:18" ht="14.25" customHeight="1" x14ac:dyDescent="0.25">
      <c r="A11" s="2" t="s">
        <v>70</v>
      </c>
    </row>
    <row r="12" spans="1:18" ht="14.25" customHeight="1" x14ac:dyDescent="0.25">
      <c r="A12" s="43" t="s">
        <v>153</v>
      </c>
      <c r="B12" s="3" t="s">
        <v>63</v>
      </c>
      <c r="C12" s="43" t="s">
        <v>154</v>
      </c>
      <c r="D12" s="43" t="s">
        <v>70</v>
      </c>
      <c r="E12" s="43" t="s">
        <v>155</v>
      </c>
      <c r="G12" s="43" t="s">
        <v>153</v>
      </c>
      <c r="H12" s="3" t="s">
        <v>63</v>
      </c>
      <c r="I12" s="43" t="s">
        <v>154</v>
      </c>
      <c r="J12" s="43" t="s">
        <v>70</v>
      </c>
      <c r="K12" s="43" t="s">
        <v>155</v>
      </c>
    </row>
    <row r="13" spans="1:18" ht="14.25" customHeight="1" x14ac:dyDescent="0.25">
      <c r="A13" s="3" t="s">
        <v>156</v>
      </c>
      <c r="B13" s="36"/>
      <c r="C13" s="36">
        <v>0</v>
      </c>
      <c r="D13" s="36">
        <v>0</v>
      </c>
      <c r="E13" s="36">
        <v>0</v>
      </c>
      <c r="G13" s="3" t="s">
        <v>156</v>
      </c>
      <c r="H13" s="36"/>
      <c r="I13" s="36">
        <v>0</v>
      </c>
      <c r="J13" s="36">
        <v>0</v>
      </c>
      <c r="K13" s="36">
        <v>0</v>
      </c>
      <c r="M13" s="16">
        <v>185000</v>
      </c>
      <c r="N13" s="16">
        <f>205000+(5000*5)</f>
        <v>230000</v>
      </c>
      <c r="Q13" s="26" t="s">
        <v>191</v>
      </c>
    </row>
    <row r="14" spans="1:18" ht="14.25" customHeight="1" x14ac:dyDescent="0.25">
      <c r="A14" s="3" t="s">
        <v>157</v>
      </c>
      <c r="B14" s="36"/>
      <c r="C14" s="36">
        <v>0</v>
      </c>
      <c r="D14" s="36">
        <v>0</v>
      </c>
      <c r="E14" s="36">
        <v>0</v>
      </c>
      <c r="G14" s="3" t="s">
        <v>157</v>
      </c>
      <c r="H14" s="36"/>
      <c r="I14" s="36">
        <v>0</v>
      </c>
      <c r="J14" s="36">
        <v>0</v>
      </c>
      <c r="K14" s="36">
        <v>0</v>
      </c>
      <c r="M14" s="16">
        <f>N14</f>
        <v>11500</v>
      </c>
      <c r="N14" s="16">
        <f>N13*5%</f>
        <v>11500</v>
      </c>
      <c r="P14" s="16" t="s">
        <v>70</v>
      </c>
      <c r="Q14" s="26" t="s">
        <v>192</v>
      </c>
      <c r="R14" s="26">
        <v>185000</v>
      </c>
    </row>
    <row r="15" spans="1:18" ht="14.25" customHeight="1" x14ac:dyDescent="0.25">
      <c r="A15" s="3" t="s">
        <v>158</v>
      </c>
      <c r="B15" s="36"/>
      <c r="C15" s="36">
        <v>0</v>
      </c>
      <c r="D15" s="36">
        <v>5000</v>
      </c>
      <c r="E15" s="36">
        <v>500</v>
      </c>
      <c r="G15" s="3" t="s">
        <v>158</v>
      </c>
      <c r="H15" s="36"/>
      <c r="I15" s="36">
        <v>0</v>
      </c>
      <c r="J15" s="36">
        <v>0</v>
      </c>
      <c r="K15" s="36">
        <v>0</v>
      </c>
      <c r="M15" s="44">
        <f>(K30+E30)</f>
        <v>4000</v>
      </c>
      <c r="Q15" s="16" t="s">
        <v>193</v>
      </c>
      <c r="R15" s="16">
        <v>230000</v>
      </c>
    </row>
    <row r="16" spans="1:18" ht="14.25" customHeight="1" x14ac:dyDescent="0.25">
      <c r="A16" s="3" t="s">
        <v>159</v>
      </c>
      <c r="B16" s="36"/>
      <c r="C16" s="36">
        <v>0</v>
      </c>
      <c r="D16" s="36">
        <v>5000</v>
      </c>
      <c r="E16" s="36">
        <v>500</v>
      </c>
      <c r="G16" s="3" t="s">
        <v>159</v>
      </c>
      <c r="H16" s="36"/>
      <c r="I16" s="36">
        <v>45000</v>
      </c>
      <c r="J16" s="36">
        <v>0</v>
      </c>
      <c r="K16" s="36">
        <v>0</v>
      </c>
      <c r="M16" s="44">
        <f>I30</f>
        <v>65000</v>
      </c>
      <c r="Q16" s="16" t="s">
        <v>194</v>
      </c>
      <c r="R16" s="48">
        <v>-11500</v>
      </c>
    </row>
    <row r="17" spans="1:18" ht="14.25" customHeight="1" x14ac:dyDescent="0.25">
      <c r="A17" s="3" t="s">
        <v>160</v>
      </c>
      <c r="B17" s="36"/>
      <c r="C17" s="36">
        <v>0</v>
      </c>
      <c r="D17" s="36">
        <v>5000</v>
      </c>
      <c r="E17" s="36">
        <v>500</v>
      </c>
      <c r="G17" s="3" t="s">
        <v>160</v>
      </c>
      <c r="H17" s="36"/>
      <c r="I17" s="36">
        <v>0</v>
      </c>
      <c r="J17" s="36">
        <v>0</v>
      </c>
      <c r="K17" s="36">
        <v>0</v>
      </c>
      <c r="M17" s="44">
        <f>M13-(M14+M15+M16)</f>
        <v>104500</v>
      </c>
      <c r="P17" s="16" t="s">
        <v>155</v>
      </c>
      <c r="Q17" s="26" t="s">
        <v>192</v>
      </c>
      <c r="R17" s="16">
        <v>14000</v>
      </c>
    </row>
    <row r="18" spans="1:18" ht="14.25" customHeight="1" x14ac:dyDescent="0.25">
      <c r="A18" s="3" t="s">
        <v>161</v>
      </c>
      <c r="C18" s="36">
        <v>0</v>
      </c>
      <c r="D18" s="36">
        <v>0</v>
      </c>
      <c r="E18" s="36">
        <v>0</v>
      </c>
      <c r="G18" s="3" t="s">
        <v>161</v>
      </c>
      <c r="I18" s="36">
        <v>0</v>
      </c>
      <c r="J18" s="36">
        <v>0</v>
      </c>
      <c r="K18" s="36">
        <v>0</v>
      </c>
      <c r="Q18" s="16" t="s">
        <v>193</v>
      </c>
      <c r="R18" s="16">
        <v>18000</v>
      </c>
    </row>
    <row r="19" spans="1:18" ht="14.25" customHeight="1" x14ac:dyDescent="0.25">
      <c r="A19" s="3" t="s">
        <v>162</v>
      </c>
      <c r="B19" s="36"/>
      <c r="C19" s="36">
        <v>0</v>
      </c>
      <c r="D19" s="36">
        <v>0</v>
      </c>
      <c r="E19" s="36">
        <v>0</v>
      </c>
      <c r="G19" s="3" t="s">
        <v>162</v>
      </c>
      <c r="H19" s="36"/>
      <c r="I19" s="36">
        <v>0</v>
      </c>
      <c r="J19" s="36">
        <v>0</v>
      </c>
      <c r="K19" s="36">
        <v>0</v>
      </c>
      <c r="Q19" s="16" t="s">
        <v>52</v>
      </c>
      <c r="R19" s="49">
        <f>R17-R18</f>
        <v>-4000</v>
      </c>
    </row>
    <row r="20" spans="1:18" ht="14.25" customHeight="1" x14ac:dyDescent="0.25">
      <c r="A20" s="3" t="s">
        <v>163</v>
      </c>
      <c r="B20" s="36"/>
      <c r="C20" s="36">
        <v>0</v>
      </c>
      <c r="D20" s="36">
        <v>0</v>
      </c>
      <c r="E20" s="36">
        <v>0</v>
      </c>
      <c r="G20" s="3" t="s">
        <v>163</v>
      </c>
      <c r="H20" s="36"/>
      <c r="I20" s="36">
        <v>0</v>
      </c>
      <c r="J20" s="36">
        <v>0</v>
      </c>
      <c r="K20" s="36">
        <v>0</v>
      </c>
      <c r="P20" s="16" t="s">
        <v>179</v>
      </c>
      <c r="Q20" s="26" t="s">
        <v>195</v>
      </c>
      <c r="R20" s="16">
        <v>100000</v>
      </c>
    </row>
    <row r="21" spans="1:18" ht="14.25" customHeight="1" x14ac:dyDescent="0.25">
      <c r="A21" s="3" t="s">
        <v>164</v>
      </c>
      <c r="B21" s="36"/>
      <c r="C21" s="36">
        <v>0</v>
      </c>
      <c r="D21" s="36">
        <v>0</v>
      </c>
      <c r="E21" s="36">
        <v>0</v>
      </c>
      <c r="G21" s="3" t="s">
        <v>164</v>
      </c>
      <c r="H21" s="36"/>
      <c r="I21" s="36">
        <v>0</v>
      </c>
      <c r="J21" s="36">
        <v>0</v>
      </c>
      <c r="K21" s="36">
        <v>0</v>
      </c>
      <c r="Q21" s="16" t="s">
        <v>196</v>
      </c>
      <c r="R21" s="16">
        <v>10000</v>
      </c>
    </row>
    <row r="22" spans="1:18" ht="14.25" customHeight="1" x14ac:dyDescent="0.25">
      <c r="A22" s="3" t="s">
        <v>165</v>
      </c>
      <c r="B22" s="36">
        <v>110000</v>
      </c>
      <c r="C22" s="36">
        <v>0</v>
      </c>
      <c r="D22" s="36">
        <v>5000</v>
      </c>
      <c r="E22" s="36">
        <v>500</v>
      </c>
      <c r="G22" s="3" t="s">
        <v>165</v>
      </c>
      <c r="H22" s="36"/>
      <c r="I22" s="36">
        <v>0</v>
      </c>
      <c r="J22" s="36">
        <v>0</v>
      </c>
      <c r="K22" s="36">
        <v>0</v>
      </c>
      <c r="Q22" s="16" t="s">
        <v>197</v>
      </c>
      <c r="R22" s="16">
        <v>45000</v>
      </c>
    </row>
    <row r="23" spans="1:18" ht="14.25" customHeight="1" x14ac:dyDescent="0.25">
      <c r="A23" s="3" t="s">
        <v>166</v>
      </c>
      <c r="B23" s="36"/>
      <c r="C23" s="36">
        <v>0</v>
      </c>
      <c r="D23" s="36">
        <v>5000</v>
      </c>
      <c r="E23" s="36">
        <v>500</v>
      </c>
      <c r="G23" s="3" t="s">
        <v>166</v>
      </c>
      <c r="H23" s="36"/>
      <c r="I23" s="36">
        <v>0</v>
      </c>
      <c r="J23" s="36">
        <v>0</v>
      </c>
      <c r="K23" s="36">
        <v>0</v>
      </c>
      <c r="Q23" s="16" t="s">
        <v>198</v>
      </c>
      <c r="R23" s="49">
        <f>R22-(R20+R21)</f>
        <v>-65000</v>
      </c>
    </row>
    <row r="24" spans="1:18" ht="14.25" customHeight="1" x14ac:dyDescent="0.25">
      <c r="A24" s="3" t="s">
        <v>167</v>
      </c>
      <c r="B24" s="36"/>
      <c r="C24" s="36">
        <v>0</v>
      </c>
      <c r="D24" s="50">
        <v>0</v>
      </c>
      <c r="E24" s="50">
        <v>0</v>
      </c>
      <c r="G24" s="3" t="s">
        <v>167</v>
      </c>
      <c r="H24" s="36"/>
      <c r="I24" s="36">
        <v>0</v>
      </c>
      <c r="J24" s="50">
        <v>0</v>
      </c>
      <c r="K24" s="50">
        <v>0</v>
      </c>
    </row>
    <row r="25" spans="1:18" ht="14.25" customHeight="1" x14ac:dyDescent="0.25">
      <c r="A25" s="3" t="s">
        <v>168</v>
      </c>
      <c r="B25" s="36"/>
      <c r="C25" s="36">
        <v>0</v>
      </c>
      <c r="D25" s="36">
        <v>0</v>
      </c>
      <c r="E25" s="36">
        <v>0</v>
      </c>
      <c r="G25" s="3" t="s">
        <v>168</v>
      </c>
      <c r="H25" s="36"/>
      <c r="I25" s="36">
        <v>0</v>
      </c>
      <c r="J25" s="36">
        <v>0</v>
      </c>
      <c r="K25" s="36">
        <v>0</v>
      </c>
      <c r="Q25" s="26" t="s">
        <v>199</v>
      </c>
      <c r="R25" s="49">
        <f>R23+R19+R16</f>
        <v>-80500</v>
      </c>
    </row>
    <row r="26" spans="1:18" ht="14.25" customHeight="1" x14ac:dyDescent="0.25">
      <c r="A26" s="3"/>
      <c r="B26" s="36"/>
      <c r="C26" s="36"/>
      <c r="D26" s="36"/>
      <c r="E26" s="36"/>
      <c r="G26" s="3"/>
      <c r="H26" s="36"/>
      <c r="I26" s="36"/>
      <c r="J26" s="36"/>
      <c r="K26" s="36"/>
      <c r="Q26" s="26" t="s">
        <v>200</v>
      </c>
      <c r="R26" s="51">
        <f>R14+R25</f>
        <v>104500</v>
      </c>
    </row>
    <row r="27" spans="1:18" ht="14.25" customHeight="1" x14ac:dyDescent="0.25">
      <c r="A27" s="3"/>
      <c r="B27" s="36"/>
      <c r="C27" s="36"/>
      <c r="D27" s="36"/>
      <c r="E27" s="36"/>
      <c r="G27" s="3"/>
      <c r="H27" s="36"/>
      <c r="I27" s="36"/>
      <c r="J27" s="36"/>
      <c r="K27" s="36"/>
    </row>
    <row r="28" spans="1:18" ht="14.25" customHeight="1" x14ac:dyDescent="0.25">
      <c r="A28" s="3" t="s">
        <v>169</v>
      </c>
      <c r="B28" s="36"/>
      <c r="C28" s="36">
        <f>SUM(C15:C25)</f>
        <v>0</v>
      </c>
      <c r="D28" s="36">
        <f>SUM(D14:D25)</f>
        <v>25000</v>
      </c>
      <c r="E28" s="36">
        <f>SUM(E14:E25)</f>
        <v>2500</v>
      </c>
      <c r="G28" s="3" t="s">
        <v>169</v>
      </c>
      <c r="H28" s="36"/>
      <c r="I28" s="36">
        <f>SUM(I15:I25)</f>
        <v>45000</v>
      </c>
      <c r="J28" s="36">
        <f>SUM(J14:J25)</f>
        <v>0</v>
      </c>
      <c r="K28" s="36">
        <v>0</v>
      </c>
    </row>
    <row r="29" spans="1:18" ht="14.25" customHeight="1" x14ac:dyDescent="0.25">
      <c r="A29" s="3" t="s">
        <v>133</v>
      </c>
      <c r="B29" s="36"/>
      <c r="C29" s="36">
        <f>11000*(COUNT(C23:C25))</f>
        <v>33000</v>
      </c>
      <c r="D29" s="36">
        <f>5000*(COUNT(D14:D25)-4)</f>
        <v>40000</v>
      </c>
      <c r="E29" s="36">
        <f>500*(COUNT(E14:E25)-4)</f>
        <v>4000</v>
      </c>
      <c r="G29" s="3" t="s">
        <v>133</v>
      </c>
      <c r="H29" s="36"/>
      <c r="I29" s="36">
        <v>110000</v>
      </c>
      <c r="J29" s="36">
        <f>5000*(COUNT(J14:J25)-4)</f>
        <v>40000</v>
      </c>
      <c r="K29" s="36">
        <f>500*5</f>
        <v>2500</v>
      </c>
    </row>
    <row r="30" spans="1:18" ht="14.25" customHeight="1" x14ac:dyDescent="0.25">
      <c r="A30" s="3" t="s">
        <v>170</v>
      </c>
      <c r="B30" s="36"/>
      <c r="C30" s="36">
        <f>C29-C28</f>
        <v>33000</v>
      </c>
      <c r="D30" s="36">
        <f>D29-D28-D13</f>
        <v>15000</v>
      </c>
      <c r="E30" s="36">
        <f>E29-E28-E13</f>
        <v>1500</v>
      </c>
      <c r="G30" s="3" t="s">
        <v>170</v>
      </c>
      <c r="H30" s="36"/>
      <c r="I30" s="36">
        <f>I29-I28</f>
        <v>65000</v>
      </c>
      <c r="J30" s="36">
        <f>J29-J28-J13</f>
        <v>40000</v>
      </c>
      <c r="K30" s="36">
        <f>K29-K28-K13</f>
        <v>2500</v>
      </c>
    </row>
    <row r="31" spans="1:18" ht="14.25" customHeight="1" x14ac:dyDescent="0.25">
      <c r="A31" s="3" t="s">
        <v>171</v>
      </c>
      <c r="B31" s="36"/>
      <c r="C31" s="37">
        <f>C30+D30+E30</f>
        <v>49500</v>
      </c>
      <c r="D31" s="36"/>
      <c r="E31" s="36"/>
      <c r="G31" s="3" t="s">
        <v>171</v>
      </c>
      <c r="H31" s="36"/>
      <c r="I31" s="37">
        <f>I30+J30+K30</f>
        <v>107500</v>
      </c>
      <c r="J31" s="36"/>
      <c r="K31" s="36"/>
    </row>
    <row r="32" spans="1:18"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000"/>
  <sheetViews>
    <sheetView workbookViewId="0"/>
  </sheetViews>
  <sheetFormatPr defaultColWidth="12.625" defaultRowHeight="15" customHeight="1" x14ac:dyDescent="0.2"/>
  <cols>
    <col min="1" max="2" width="7.625" customWidth="1"/>
    <col min="3" max="3" width="8.375" customWidth="1"/>
    <col min="4" max="5" width="8.875" customWidth="1"/>
    <col min="6" max="26" width="7.625" customWidth="1"/>
  </cols>
  <sheetData>
    <row r="1" spans="1:5" ht="14.25" customHeight="1" x14ac:dyDescent="0.25">
      <c r="A1" s="2" t="s">
        <v>151</v>
      </c>
    </row>
    <row r="2" spans="1:5" ht="14.25" customHeight="1" x14ac:dyDescent="0.25">
      <c r="A2" s="3" t="s">
        <v>112</v>
      </c>
      <c r="B2" s="3" t="s">
        <v>152</v>
      </c>
      <c r="C2" s="3" t="s">
        <v>51</v>
      </c>
    </row>
    <row r="3" spans="1:5" ht="14.25" customHeight="1" x14ac:dyDescent="0.25">
      <c r="A3" s="3"/>
      <c r="B3" s="35"/>
      <c r="C3" s="3"/>
    </row>
    <row r="4" spans="1:5" ht="14.25" customHeight="1" x14ac:dyDescent="0.25">
      <c r="A4" s="3"/>
      <c r="B4" s="35"/>
      <c r="C4" s="3"/>
    </row>
    <row r="5" spans="1:5" ht="14.25" customHeight="1" x14ac:dyDescent="0.25">
      <c r="A5" s="3"/>
      <c r="B5" s="35"/>
      <c r="C5" s="3"/>
    </row>
    <row r="6" spans="1:5" ht="14.25" customHeight="1" x14ac:dyDescent="0.25">
      <c r="A6" s="3"/>
      <c r="B6" s="35"/>
      <c r="C6" s="3"/>
    </row>
    <row r="7" spans="1:5" ht="14.25" customHeight="1" x14ac:dyDescent="0.25">
      <c r="A7" s="3"/>
      <c r="B7" s="35"/>
      <c r="C7" s="3"/>
    </row>
    <row r="8" spans="1:5" ht="14.25" customHeight="1" x14ac:dyDescent="0.25">
      <c r="A8" s="3"/>
      <c r="B8" s="35"/>
      <c r="C8" s="3"/>
    </row>
    <row r="9" spans="1:5" ht="14.25" customHeight="1" x14ac:dyDescent="0.25">
      <c r="A9" s="3"/>
      <c r="B9" s="35"/>
      <c r="C9" s="3"/>
    </row>
    <row r="10" spans="1:5" ht="14.25" customHeight="1" x14ac:dyDescent="0.2"/>
    <row r="11" spans="1:5" ht="14.25" customHeight="1" x14ac:dyDescent="0.25">
      <c r="A11" s="2" t="s">
        <v>70</v>
      </c>
    </row>
    <row r="12" spans="1:5" ht="14.25" customHeight="1" x14ac:dyDescent="0.25">
      <c r="A12" s="43" t="s">
        <v>153</v>
      </c>
      <c r="B12" s="3" t="s">
        <v>63</v>
      </c>
      <c r="C12" s="43" t="s">
        <v>154</v>
      </c>
      <c r="D12" s="43" t="s">
        <v>70</v>
      </c>
      <c r="E12" s="43" t="s">
        <v>155</v>
      </c>
    </row>
    <row r="13" spans="1:5" ht="14.25" customHeight="1" x14ac:dyDescent="0.25">
      <c r="A13" s="3" t="s">
        <v>156</v>
      </c>
      <c r="B13" s="36"/>
      <c r="C13" s="36">
        <v>0</v>
      </c>
      <c r="D13" s="36">
        <v>-10000</v>
      </c>
      <c r="E13" s="36">
        <v>-6000</v>
      </c>
    </row>
    <row r="14" spans="1:5" ht="14.25" customHeight="1" x14ac:dyDescent="0.25">
      <c r="A14" s="3" t="s">
        <v>157</v>
      </c>
      <c r="B14" s="36"/>
      <c r="C14" s="36">
        <v>0</v>
      </c>
      <c r="D14" s="36">
        <v>0</v>
      </c>
      <c r="E14" s="36">
        <v>0</v>
      </c>
    </row>
    <row r="15" spans="1:5" ht="14.25" customHeight="1" x14ac:dyDescent="0.25">
      <c r="A15" s="3" t="s">
        <v>158</v>
      </c>
      <c r="B15" s="36"/>
      <c r="C15" s="36">
        <v>0</v>
      </c>
      <c r="D15" s="36">
        <v>0</v>
      </c>
      <c r="E15" s="36">
        <v>0</v>
      </c>
    </row>
    <row r="16" spans="1:5" ht="14.25" customHeight="1" x14ac:dyDescent="0.25">
      <c r="A16" s="3" t="s">
        <v>159</v>
      </c>
      <c r="B16" s="36"/>
      <c r="C16" s="36">
        <v>0</v>
      </c>
      <c r="D16" s="36">
        <v>0</v>
      </c>
      <c r="E16" s="36">
        <v>0</v>
      </c>
    </row>
    <row r="17" spans="1:5" ht="14.25" customHeight="1" x14ac:dyDescent="0.25">
      <c r="A17" s="3" t="s">
        <v>160</v>
      </c>
      <c r="B17" s="36"/>
      <c r="C17" s="36">
        <v>0</v>
      </c>
      <c r="D17" s="36">
        <v>0</v>
      </c>
      <c r="E17" s="36">
        <v>0</v>
      </c>
    </row>
    <row r="18" spans="1:5" ht="14.25" customHeight="1" x14ac:dyDescent="0.25">
      <c r="A18" s="3" t="s">
        <v>161</v>
      </c>
      <c r="C18" s="36">
        <v>0</v>
      </c>
      <c r="D18" s="36">
        <v>0</v>
      </c>
      <c r="E18" s="36">
        <v>0</v>
      </c>
    </row>
    <row r="19" spans="1:5" ht="14.25" customHeight="1" x14ac:dyDescent="0.25">
      <c r="A19" s="3" t="s">
        <v>162</v>
      </c>
      <c r="B19" s="36"/>
      <c r="C19" s="36">
        <v>0</v>
      </c>
      <c r="D19" s="36">
        <v>0</v>
      </c>
      <c r="E19" s="36">
        <v>0</v>
      </c>
    </row>
    <row r="20" spans="1:5" ht="14.25" customHeight="1" x14ac:dyDescent="0.25">
      <c r="A20" s="3" t="s">
        <v>163</v>
      </c>
      <c r="B20" s="36"/>
      <c r="C20" s="36">
        <v>0</v>
      </c>
      <c r="D20" s="36">
        <v>0</v>
      </c>
      <c r="E20" s="36">
        <v>0</v>
      </c>
    </row>
    <row r="21" spans="1:5" ht="14.25" customHeight="1" x14ac:dyDescent="0.25">
      <c r="A21" s="3" t="s">
        <v>164</v>
      </c>
      <c r="B21" s="36"/>
      <c r="C21" s="36">
        <v>0</v>
      </c>
      <c r="D21" s="36">
        <v>0</v>
      </c>
      <c r="E21" s="36">
        <v>0</v>
      </c>
    </row>
    <row r="22" spans="1:5" ht="14.25" customHeight="1" x14ac:dyDescent="0.25">
      <c r="A22" s="3" t="s">
        <v>165</v>
      </c>
      <c r="B22" s="36"/>
      <c r="C22" s="36">
        <v>0</v>
      </c>
      <c r="D22" s="36">
        <v>0</v>
      </c>
      <c r="E22" s="36">
        <v>0</v>
      </c>
    </row>
    <row r="23" spans="1:5" ht="14.25" customHeight="1" x14ac:dyDescent="0.25">
      <c r="A23" s="3" t="s">
        <v>166</v>
      </c>
      <c r="B23" s="36"/>
      <c r="C23" s="36">
        <v>0</v>
      </c>
      <c r="D23" s="36">
        <v>0</v>
      </c>
      <c r="E23" s="36">
        <v>0</v>
      </c>
    </row>
    <row r="24" spans="1:5" ht="14.25" customHeight="1" x14ac:dyDescent="0.25">
      <c r="A24" s="3" t="s">
        <v>167</v>
      </c>
      <c r="B24" s="36"/>
      <c r="C24" s="36">
        <v>0</v>
      </c>
      <c r="D24" s="50">
        <v>0</v>
      </c>
      <c r="E24" s="50">
        <v>0</v>
      </c>
    </row>
    <row r="25" spans="1:5" ht="14.25" customHeight="1" x14ac:dyDescent="0.25">
      <c r="A25" s="3" t="s">
        <v>168</v>
      </c>
      <c r="B25" s="36"/>
      <c r="C25" s="36">
        <v>0</v>
      </c>
      <c r="D25" s="36">
        <v>0</v>
      </c>
      <c r="E25" s="36">
        <v>0</v>
      </c>
    </row>
    <row r="26" spans="1:5" ht="14.25" customHeight="1" x14ac:dyDescent="0.25">
      <c r="A26" s="3" t="s">
        <v>169</v>
      </c>
      <c r="B26" s="36"/>
      <c r="C26" s="36">
        <f>SUM(C15:C25)</f>
        <v>0</v>
      </c>
      <c r="D26" s="36">
        <f>SUM(D14:D25)</f>
        <v>0</v>
      </c>
      <c r="E26" s="36">
        <f>SUM(E14:E25)</f>
        <v>0</v>
      </c>
    </row>
    <row r="27" spans="1:5" ht="14.25" customHeight="1" x14ac:dyDescent="0.25">
      <c r="A27" s="3" t="s">
        <v>133</v>
      </c>
      <c r="B27" s="36"/>
      <c r="C27" s="36">
        <f>0</f>
        <v>0</v>
      </c>
      <c r="D27" s="36">
        <f>5000*(COUNT(D14:D25)-4)</f>
        <v>40000</v>
      </c>
      <c r="E27" s="36">
        <f>500*(COUNT(E14:E25)-4)</f>
        <v>4000</v>
      </c>
    </row>
    <row r="28" spans="1:5" ht="14.25" customHeight="1" x14ac:dyDescent="0.25">
      <c r="A28" s="3" t="s">
        <v>170</v>
      </c>
      <c r="B28" s="36"/>
      <c r="C28" s="36">
        <f>C27-C26</f>
        <v>0</v>
      </c>
      <c r="D28" s="36">
        <f>D27-D26-D13</f>
        <v>50000</v>
      </c>
      <c r="E28" s="36">
        <f>E27-E26-E13</f>
        <v>10000</v>
      </c>
    </row>
    <row r="29" spans="1:5" ht="14.25" customHeight="1" x14ac:dyDescent="0.25">
      <c r="A29" s="3" t="s">
        <v>171</v>
      </c>
      <c r="B29" s="36"/>
      <c r="C29" s="37">
        <f>C28+D28+E28</f>
        <v>60000</v>
      </c>
      <c r="D29" s="36"/>
      <c r="E29" s="36"/>
    </row>
    <row r="30" spans="1:5" ht="14.25" customHeight="1" x14ac:dyDescent="0.2"/>
    <row r="31" spans="1:5" ht="14.25" customHeight="1" x14ac:dyDescent="0.2"/>
    <row r="32" spans="1:5"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1000"/>
  <sheetViews>
    <sheetView workbookViewId="0"/>
  </sheetViews>
  <sheetFormatPr defaultColWidth="12.625" defaultRowHeight="15" customHeight="1" x14ac:dyDescent="0.2"/>
  <cols>
    <col min="1" max="1" width="7.625" customWidth="1"/>
    <col min="2" max="2" width="9.375" customWidth="1"/>
    <col min="3" max="3" width="8.375" customWidth="1"/>
    <col min="4" max="4" width="10.625" customWidth="1"/>
    <col min="5" max="5" width="8.875" customWidth="1"/>
    <col min="6" max="26" width="7.625" customWidth="1"/>
  </cols>
  <sheetData>
    <row r="1" spans="1:5" ht="14.25" customHeight="1" x14ac:dyDescent="0.25">
      <c r="A1" s="2" t="s">
        <v>151</v>
      </c>
    </row>
    <row r="2" spans="1:5" ht="14.25" customHeight="1" x14ac:dyDescent="0.25">
      <c r="A2" s="3" t="s">
        <v>112</v>
      </c>
      <c r="B2" s="3" t="s">
        <v>152</v>
      </c>
      <c r="C2" s="3" t="s">
        <v>51</v>
      </c>
    </row>
    <row r="3" spans="1:5" ht="14.25" customHeight="1" x14ac:dyDescent="0.25">
      <c r="A3" s="16">
        <v>31032020</v>
      </c>
      <c r="B3" s="35">
        <v>11000</v>
      </c>
      <c r="C3" s="3"/>
    </row>
    <row r="4" spans="1:5" ht="14.25" customHeight="1" x14ac:dyDescent="0.25">
      <c r="A4" s="16">
        <v>9062020</v>
      </c>
      <c r="B4" s="35">
        <v>11000</v>
      </c>
      <c r="C4" s="3"/>
    </row>
    <row r="5" spans="1:5" ht="14.25" customHeight="1" x14ac:dyDescent="0.25">
      <c r="A5" s="3"/>
      <c r="B5" s="35"/>
      <c r="C5" s="3"/>
    </row>
    <row r="6" spans="1:5" ht="14.25" customHeight="1" x14ac:dyDescent="0.25">
      <c r="A6" s="3"/>
      <c r="B6" s="35"/>
      <c r="C6" s="3"/>
    </row>
    <row r="7" spans="1:5" ht="14.25" customHeight="1" x14ac:dyDescent="0.25">
      <c r="A7" s="3"/>
      <c r="B7" s="35"/>
      <c r="C7" s="3"/>
    </row>
    <row r="8" spans="1:5" ht="14.25" customHeight="1" x14ac:dyDescent="0.25">
      <c r="A8" s="3"/>
      <c r="B8" s="35"/>
      <c r="C8" s="3"/>
    </row>
    <row r="9" spans="1:5" ht="14.25" customHeight="1" x14ac:dyDescent="0.25">
      <c r="A9" s="3"/>
      <c r="B9" s="35"/>
      <c r="C9" s="3"/>
    </row>
    <row r="10" spans="1:5" ht="14.25" customHeight="1" x14ac:dyDescent="0.2"/>
    <row r="11" spans="1:5" ht="14.25" customHeight="1" x14ac:dyDescent="0.25">
      <c r="A11" s="2" t="s">
        <v>70</v>
      </c>
    </row>
    <row r="12" spans="1:5" ht="14.25" customHeight="1" x14ac:dyDescent="0.25">
      <c r="A12" s="43" t="s">
        <v>153</v>
      </c>
      <c r="B12" s="3" t="s">
        <v>63</v>
      </c>
      <c r="C12" s="43" t="s">
        <v>154</v>
      </c>
      <c r="D12" s="43" t="s">
        <v>70</v>
      </c>
      <c r="E12" s="43" t="s">
        <v>155</v>
      </c>
    </row>
    <row r="13" spans="1:5" ht="14.25" customHeight="1" x14ac:dyDescent="0.25">
      <c r="A13" s="3" t="s">
        <v>156</v>
      </c>
      <c r="B13" s="36"/>
      <c r="C13" s="36">
        <v>0</v>
      </c>
      <c r="D13" s="36">
        <v>0</v>
      </c>
      <c r="E13" s="36">
        <v>0</v>
      </c>
    </row>
    <row r="14" spans="1:5" ht="14.25" customHeight="1" x14ac:dyDescent="0.25">
      <c r="A14" s="3" t="s">
        <v>157</v>
      </c>
      <c r="B14" s="36"/>
      <c r="C14" s="36">
        <v>0</v>
      </c>
      <c r="D14" s="36">
        <v>0</v>
      </c>
      <c r="E14" s="36">
        <v>0</v>
      </c>
    </row>
    <row r="15" spans="1:5" ht="14.25" customHeight="1" x14ac:dyDescent="0.25">
      <c r="A15" s="3" t="s">
        <v>158</v>
      </c>
      <c r="B15" s="36"/>
      <c r="C15" s="36">
        <v>0</v>
      </c>
      <c r="D15" s="36">
        <v>0</v>
      </c>
      <c r="E15" s="36">
        <v>0</v>
      </c>
    </row>
    <row r="16" spans="1:5" ht="14.25" customHeight="1" x14ac:dyDescent="0.25">
      <c r="A16" s="3" t="s">
        <v>159</v>
      </c>
      <c r="B16" s="36"/>
      <c r="C16" s="36">
        <v>0</v>
      </c>
      <c r="D16" s="36">
        <v>0</v>
      </c>
      <c r="E16" s="36">
        <v>0</v>
      </c>
    </row>
    <row r="17" spans="1:5" ht="14.25" customHeight="1" x14ac:dyDescent="0.25">
      <c r="A17" s="3" t="s">
        <v>160</v>
      </c>
      <c r="B17" s="36"/>
      <c r="C17" s="36">
        <v>0</v>
      </c>
      <c r="D17" s="36">
        <v>0</v>
      </c>
      <c r="E17" s="36">
        <v>0</v>
      </c>
    </row>
    <row r="18" spans="1:5" ht="14.25" customHeight="1" x14ac:dyDescent="0.25">
      <c r="A18" s="3" t="s">
        <v>161</v>
      </c>
      <c r="C18" s="36">
        <v>0</v>
      </c>
      <c r="D18" s="36">
        <v>0</v>
      </c>
      <c r="E18" s="36">
        <v>0</v>
      </c>
    </row>
    <row r="19" spans="1:5" ht="14.25" customHeight="1" x14ac:dyDescent="0.25">
      <c r="A19" s="3" t="s">
        <v>162</v>
      </c>
      <c r="B19" s="36"/>
      <c r="C19" s="36">
        <v>0</v>
      </c>
      <c r="D19" s="36">
        <v>10000</v>
      </c>
      <c r="E19" s="36">
        <v>1000</v>
      </c>
    </row>
    <row r="20" spans="1:5" ht="14.25" customHeight="1" x14ac:dyDescent="0.25">
      <c r="A20" s="3" t="s">
        <v>163</v>
      </c>
      <c r="B20" s="36"/>
      <c r="C20" s="36">
        <v>0</v>
      </c>
      <c r="D20" s="36">
        <v>0</v>
      </c>
      <c r="E20" s="36">
        <v>0</v>
      </c>
    </row>
    <row r="21" spans="1:5" ht="14.25" customHeight="1" x14ac:dyDescent="0.25">
      <c r="A21" s="3" t="s">
        <v>164</v>
      </c>
      <c r="B21" s="36"/>
      <c r="C21" s="36">
        <v>0</v>
      </c>
      <c r="D21" s="36">
        <v>0</v>
      </c>
      <c r="E21" s="36">
        <v>0</v>
      </c>
    </row>
    <row r="22" spans="1:5" ht="14.25" customHeight="1" x14ac:dyDescent="0.25">
      <c r="A22" s="3" t="s">
        <v>165</v>
      </c>
      <c r="B22" s="36"/>
      <c r="C22" s="36">
        <v>0</v>
      </c>
      <c r="D22" s="36">
        <v>10000</v>
      </c>
      <c r="E22" s="36">
        <v>1000</v>
      </c>
    </row>
    <row r="23" spans="1:5" ht="14.25" customHeight="1" x14ac:dyDescent="0.25">
      <c r="A23" s="3" t="s">
        <v>166</v>
      </c>
      <c r="B23" s="36"/>
      <c r="C23" s="36">
        <v>0</v>
      </c>
      <c r="D23" s="36">
        <v>0</v>
      </c>
      <c r="E23" s="36">
        <v>0</v>
      </c>
    </row>
    <row r="24" spans="1:5" ht="14.25" customHeight="1" x14ac:dyDescent="0.25">
      <c r="A24" s="3" t="s">
        <v>167</v>
      </c>
      <c r="B24" s="36"/>
      <c r="C24" s="36">
        <v>0</v>
      </c>
      <c r="D24" s="50">
        <v>0</v>
      </c>
      <c r="E24" s="50">
        <v>0</v>
      </c>
    </row>
    <row r="25" spans="1:5" ht="14.25" customHeight="1" x14ac:dyDescent="0.25">
      <c r="A25" s="3" t="s">
        <v>168</v>
      </c>
      <c r="B25" s="36"/>
      <c r="C25" s="36">
        <v>0</v>
      </c>
      <c r="D25" s="36">
        <v>0</v>
      </c>
      <c r="E25" s="36">
        <v>0</v>
      </c>
    </row>
    <row r="26" spans="1:5" ht="14.25" customHeight="1" x14ac:dyDescent="0.25">
      <c r="A26" s="3" t="s">
        <v>169</v>
      </c>
      <c r="B26" s="36"/>
      <c r="C26" s="36">
        <f>SUM(C15:C25)</f>
        <v>0</v>
      </c>
      <c r="D26" s="36">
        <f>SUM(D14:D25)</f>
        <v>20000</v>
      </c>
      <c r="E26" s="36">
        <f>SUM(E14:E25)</f>
        <v>2000</v>
      </c>
    </row>
    <row r="27" spans="1:5" ht="14.25" customHeight="1" x14ac:dyDescent="0.25">
      <c r="A27" s="3" t="s">
        <v>133</v>
      </c>
      <c r="B27" s="36"/>
      <c r="C27" s="36">
        <f>0</f>
        <v>0</v>
      </c>
      <c r="D27" s="36">
        <f>5000*(COUNT(D14:D25)-4)</f>
        <v>40000</v>
      </c>
      <c r="E27" s="36">
        <f>500*(COUNT(E14:E25)-4)</f>
        <v>4000</v>
      </c>
    </row>
    <row r="28" spans="1:5" ht="14.25" customHeight="1" x14ac:dyDescent="0.25">
      <c r="A28" s="3" t="s">
        <v>170</v>
      </c>
      <c r="B28" s="36"/>
      <c r="C28" s="36">
        <f>C27-C26</f>
        <v>0</v>
      </c>
      <c r="D28" s="36">
        <f>D27-D26-D13</f>
        <v>20000</v>
      </c>
      <c r="E28" s="36">
        <f>E27-E26-E13</f>
        <v>2000</v>
      </c>
    </row>
    <row r="29" spans="1:5" ht="14.25" customHeight="1" x14ac:dyDescent="0.25">
      <c r="A29" s="3" t="s">
        <v>171</v>
      </c>
      <c r="B29" s="36"/>
      <c r="C29" s="37">
        <f>C28+D28+E28</f>
        <v>22000</v>
      </c>
      <c r="D29" s="36"/>
      <c r="E29" s="36"/>
    </row>
    <row r="30" spans="1:5" ht="14.25" customHeight="1" x14ac:dyDescent="0.2"/>
    <row r="31" spans="1:5" ht="14.25" customHeight="1" x14ac:dyDescent="0.2"/>
    <row r="32" spans="1:5"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000"/>
  <sheetViews>
    <sheetView workbookViewId="0">
      <selection activeCell="E1" sqref="E1"/>
    </sheetView>
  </sheetViews>
  <sheetFormatPr defaultColWidth="12.625" defaultRowHeight="15" customHeight="1" x14ac:dyDescent="0.2"/>
  <cols>
    <col min="1" max="1" width="7.625" customWidth="1"/>
    <col min="2" max="2" width="10.625" customWidth="1"/>
    <col min="3" max="3" width="8.375" customWidth="1"/>
    <col min="4" max="4" width="10.75" customWidth="1"/>
    <col min="5" max="5" width="12.875" customWidth="1"/>
    <col min="6" max="26" width="7.625" customWidth="1"/>
  </cols>
  <sheetData>
    <row r="1" spans="1:5" ht="14.25" customHeight="1" x14ac:dyDescent="0.25">
      <c r="A1" s="2" t="s">
        <v>151</v>
      </c>
    </row>
    <row r="2" spans="1:5" ht="14.25" customHeight="1" x14ac:dyDescent="0.25">
      <c r="A2" s="3" t="s">
        <v>112</v>
      </c>
      <c r="B2" s="3" t="s">
        <v>152</v>
      </c>
      <c r="C2" s="3" t="s">
        <v>51</v>
      </c>
    </row>
    <row r="3" spans="1:5" ht="14.25" customHeight="1" x14ac:dyDescent="0.25">
      <c r="A3" s="16">
        <v>30062020</v>
      </c>
      <c r="B3" s="35">
        <v>35000</v>
      </c>
      <c r="C3" s="3"/>
    </row>
    <row r="4" spans="1:5" ht="14.25" customHeight="1" x14ac:dyDescent="0.25">
      <c r="B4" s="35"/>
      <c r="C4" s="3"/>
    </row>
    <row r="5" spans="1:5" ht="14.25" customHeight="1" x14ac:dyDescent="0.25">
      <c r="A5" s="3"/>
      <c r="B5" s="35"/>
      <c r="C5" s="3"/>
    </row>
    <row r="6" spans="1:5" ht="14.25" customHeight="1" x14ac:dyDescent="0.25">
      <c r="A6" s="3"/>
      <c r="B6" s="35"/>
      <c r="C6" s="3"/>
    </row>
    <row r="7" spans="1:5" ht="14.25" customHeight="1" x14ac:dyDescent="0.25">
      <c r="A7" s="3"/>
      <c r="B7" s="35"/>
      <c r="C7" s="3"/>
    </row>
    <row r="8" spans="1:5" ht="14.25" customHeight="1" x14ac:dyDescent="0.25">
      <c r="A8" s="3"/>
      <c r="B8" s="35"/>
      <c r="C8" s="3"/>
    </row>
    <row r="9" spans="1:5" ht="14.25" customHeight="1" x14ac:dyDescent="0.25">
      <c r="A9" s="3"/>
      <c r="B9" s="35"/>
      <c r="C9" s="3"/>
    </row>
    <row r="10" spans="1:5" ht="14.25" customHeight="1" x14ac:dyDescent="0.2"/>
    <row r="11" spans="1:5" ht="14.25" customHeight="1" x14ac:dyDescent="0.25">
      <c r="A11" s="2" t="s">
        <v>70</v>
      </c>
    </row>
    <row r="12" spans="1:5" ht="14.25" customHeight="1" x14ac:dyDescent="0.25">
      <c r="A12" s="43" t="s">
        <v>153</v>
      </c>
      <c r="B12" s="3" t="s">
        <v>63</v>
      </c>
      <c r="C12" s="43" t="s">
        <v>154</v>
      </c>
      <c r="D12" s="43" t="s">
        <v>70</v>
      </c>
      <c r="E12" s="43" t="s">
        <v>155</v>
      </c>
    </row>
    <row r="13" spans="1:5" ht="14.25" customHeight="1" x14ac:dyDescent="0.25">
      <c r="A13" s="3" t="s">
        <v>156</v>
      </c>
      <c r="B13" s="36"/>
      <c r="C13" s="36">
        <v>0</v>
      </c>
      <c r="D13" s="36">
        <v>-40000</v>
      </c>
      <c r="E13" s="36">
        <v>-5000</v>
      </c>
    </row>
    <row r="14" spans="1:5" ht="14.25" customHeight="1" x14ac:dyDescent="0.25">
      <c r="A14" s="3" t="s">
        <v>157</v>
      </c>
      <c r="B14" s="36"/>
      <c r="C14" s="36">
        <v>0</v>
      </c>
      <c r="D14" s="36">
        <v>0</v>
      </c>
      <c r="E14" s="36">
        <v>0</v>
      </c>
    </row>
    <row r="15" spans="1:5" ht="14.25" customHeight="1" x14ac:dyDescent="0.25">
      <c r="A15" s="3" t="s">
        <v>158</v>
      </c>
      <c r="B15" s="36"/>
      <c r="C15" s="36">
        <v>0</v>
      </c>
      <c r="D15" s="36">
        <v>0</v>
      </c>
      <c r="E15" s="36">
        <v>0</v>
      </c>
    </row>
    <row r="16" spans="1:5" ht="14.25" customHeight="1" x14ac:dyDescent="0.25">
      <c r="A16" s="3" t="s">
        <v>159</v>
      </c>
      <c r="B16" s="36"/>
      <c r="C16" s="36">
        <v>0</v>
      </c>
      <c r="D16" s="36">
        <v>0</v>
      </c>
      <c r="E16" s="36">
        <v>0</v>
      </c>
    </row>
    <row r="17" spans="1:5" ht="14.25" customHeight="1" x14ac:dyDescent="0.25">
      <c r="A17" s="3" t="s">
        <v>160</v>
      </c>
      <c r="B17" s="36"/>
      <c r="C17" s="36">
        <v>0</v>
      </c>
      <c r="D17" s="36">
        <v>0</v>
      </c>
      <c r="E17" s="36">
        <v>0</v>
      </c>
    </row>
    <row r="18" spans="1:5" ht="14.25" customHeight="1" x14ac:dyDescent="0.25">
      <c r="A18" s="3" t="s">
        <v>161</v>
      </c>
      <c r="C18" s="36">
        <v>0</v>
      </c>
      <c r="D18" s="36">
        <v>0</v>
      </c>
      <c r="E18" s="36">
        <v>0</v>
      </c>
    </row>
    <row r="19" spans="1:5" ht="14.25" customHeight="1" x14ac:dyDescent="0.25">
      <c r="A19" s="3" t="s">
        <v>162</v>
      </c>
      <c r="B19" s="36"/>
      <c r="C19" s="36">
        <v>0</v>
      </c>
      <c r="D19" s="36">
        <v>0</v>
      </c>
      <c r="E19" s="36">
        <v>0</v>
      </c>
    </row>
    <row r="20" spans="1:5" ht="14.25" customHeight="1" x14ac:dyDescent="0.25">
      <c r="A20" s="3" t="s">
        <v>163</v>
      </c>
      <c r="B20" s="36"/>
      <c r="C20" s="36">
        <v>0</v>
      </c>
      <c r="D20" s="36">
        <v>0</v>
      </c>
      <c r="E20" s="36">
        <v>0</v>
      </c>
    </row>
    <row r="21" spans="1:5" ht="14.25" customHeight="1" x14ac:dyDescent="0.25">
      <c r="A21" s="3" t="s">
        <v>164</v>
      </c>
      <c r="B21" s="36"/>
      <c r="C21" s="36">
        <v>0</v>
      </c>
      <c r="D21" s="36">
        <v>0</v>
      </c>
      <c r="E21" s="36">
        <v>0</v>
      </c>
    </row>
    <row r="22" spans="1:5" ht="14.25" customHeight="1" x14ac:dyDescent="0.25">
      <c r="A22" s="3" t="s">
        <v>165</v>
      </c>
      <c r="B22" s="36"/>
      <c r="C22" s="36">
        <v>0</v>
      </c>
      <c r="D22" s="36">
        <v>30000</v>
      </c>
      <c r="E22" s="36">
        <v>5000</v>
      </c>
    </row>
    <row r="23" spans="1:5" ht="14.25" customHeight="1" x14ac:dyDescent="0.25">
      <c r="A23" s="3" t="s">
        <v>166</v>
      </c>
      <c r="B23" s="36"/>
      <c r="C23" s="36">
        <v>0</v>
      </c>
      <c r="D23" s="36">
        <v>0</v>
      </c>
      <c r="E23" s="36">
        <v>0</v>
      </c>
    </row>
    <row r="24" spans="1:5" ht="14.25" customHeight="1" x14ac:dyDescent="0.25">
      <c r="A24" s="3" t="s">
        <v>167</v>
      </c>
      <c r="B24" s="36"/>
      <c r="C24" s="36">
        <v>0</v>
      </c>
      <c r="D24" s="36">
        <v>0</v>
      </c>
      <c r="E24" s="36">
        <v>0</v>
      </c>
    </row>
    <row r="25" spans="1:5" ht="14.25" customHeight="1" x14ac:dyDescent="0.25">
      <c r="A25" s="3" t="s">
        <v>168</v>
      </c>
      <c r="B25" s="36"/>
      <c r="C25" s="36">
        <v>0</v>
      </c>
      <c r="D25" s="36">
        <v>0</v>
      </c>
      <c r="E25" s="36">
        <v>0</v>
      </c>
    </row>
    <row r="26" spans="1:5" ht="14.25" customHeight="1" x14ac:dyDescent="0.25">
      <c r="A26" s="3" t="s">
        <v>169</v>
      </c>
      <c r="B26" s="36"/>
      <c r="C26" s="36">
        <f>SUM(C15:C25)</f>
        <v>0</v>
      </c>
      <c r="D26" s="36">
        <f>SUM(D14:D25)</f>
        <v>30000</v>
      </c>
      <c r="E26" s="36">
        <f>SUM(E14:E25)</f>
        <v>5000</v>
      </c>
    </row>
    <row r="27" spans="1:5" ht="14.25" customHeight="1" x14ac:dyDescent="0.25">
      <c r="A27" s="3" t="s">
        <v>133</v>
      </c>
      <c r="B27" s="36"/>
      <c r="C27" s="36">
        <f>0</f>
        <v>0</v>
      </c>
      <c r="D27" s="36">
        <f>5000*(COUNT(D14:D25)-4)</f>
        <v>40000</v>
      </c>
      <c r="E27" s="36">
        <f>500*(COUNT(E14:E25)-4)</f>
        <v>4000</v>
      </c>
    </row>
    <row r="28" spans="1:5" ht="14.25" customHeight="1" x14ac:dyDescent="0.25">
      <c r="A28" s="3" t="s">
        <v>170</v>
      </c>
      <c r="B28" s="36"/>
      <c r="C28" s="36">
        <f>C27-C26</f>
        <v>0</v>
      </c>
      <c r="D28" s="36">
        <f>D27-D26-D13</f>
        <v>50000</v>
      </c>
      <c r="E28" s="36">
        <f>E27-E26-E13</f>
        <v>4000</v>
      </c>
    </row>
    <row r="29" spans="1:5" ht="14.25" customHeight="1" x14ac:dyDescent="0.25">
      <c r="A29" s="3" t="s">
        <v>171</v>
      </c>
      <c r="B29" s="36"/>
      <c r="C29" s="37">
        <f>C28+D28+E28</f>
        <v>54000</v>
      </c>
      <c r="D29" s="36"/>
      <c r="E29" s="36"/>
    </row>
    <row r="30" spans="1:5" ht="14.25" customHeight="1" x14ac:dyDescent="0.2"/>
    <row r="31" spans="1:5" ht="14.25" customHeight="1" x14ac:dyDescent="0.2"/>
    <row r="32" spans="1:5"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1000"/>
  <sheetViews>
    <sheetView workbookViewId="0">
      <selection activeCell="G41" sqref="G41"/>
    </sheetView>
  </sheetViews>
  <sheetFormatPr defaultColWidth="12.625" defaultRowHeight="15" customHeight="1" x14ac:dyDescent="0.2"/>
  <cols>
    <col min="1" max="1" width="16.125" customWidth="1"/>
    <col min="2" max="2" width="14.375" customWidth="1"/>
    <col min="3" max="3" width="13" customWidth="1"/>
    <col min="4" max="6" width="7.625" customWidth="1"/>
    <col min="7" max="7" width="24" customWidth="1"/>
    <col min="8" max="26" width="7.625" customWidth="1"/>
  </cols>
  <sheetData>
    <row r="1" spans="1:5" ht="14.25" customHeight="1" x14ac:dyDescent="0.25">
      <c r="A1" s="16" t="s">
        <v>112</v>
      </c>
      <c r="B1" s="16" t="s">
        <v>153</v>
      </c>
      <c r="C1" s="16" t="s">
        <v>152</v>
      </c>
      <c r="D1" s="16" t="s">
        <v>177</v>
      </c>
      <c r="E1" s="16" t="s">
        <v>178</v>
      </c>
    </row>
    <row r="2" spans="1:5" ht="14.25" customHeight="1" x14ac:dyDescent="0.25">
      <c r="A2" s="22">
        <v>43379</v>
      </c>
      <c r="B2" s="16" t="s">
        <v>57</v>
      </c>
      <c r="C2" s="16">
        <v>5500</v>
      </c>
    </row>
    <row r="3" spans="1:5" ht="14.25" customHeight="1" x14ac:dyDescent="0.25">
      <c r="A3" s="22">
        <v>43390</v>
      </c>
      <c r="B3" s="16" t="s">
        <v>179</v>
      </c>
      <c r="D3" s="16">
        <v>60000</v>
      </c>
      <c r="E3" s="16">
        <v>6000</v>
      </c>
    </row>
    <row r="4" spans="1:5" ht="14.25" customHeight="1" x14ac:dyDescent="0.25">
      <c r="A4" s="22">
        <v>43405</v>
      </c>
      <c r="B4" s="16" t="s">
        <v>57</v>
      </c>
      <c r="C4" s="16">
        <v>5500</v>
      </c>
    </row>
    <row r="5" spans="1:5" ht="14.25" customHeight="1" x14ac:dyDescent="0.25">
      <c r="A5" s="22">
        <v>43444</v>
      </c>
      <c r="B5" s="16" t="s">
        <v>57</v>
      </c>
      <c r="C5" s="16">
        <v>5500</v>
      </c>
    </row>
    <row r="6" spans="1:5" ht="14.25" customHeight="1" x14ac:dyDescent="0.25">
      <c r="A6" s="22">
        <v>43507</v>
      </c>
      <c r="B6" s="16" t="s">
        <v>57</v>
      </c>
      <c r="C6" s="16">
        <v>8000</v>
      </c>
    </row>
    <row r="7" spans="1:5" ht="14.25" customHeight="1" x14ac:dyDescent="0.25">
      <c r="A7" s="22">
        <v>43533</v>
      </c>
      <c r="B7" s="16" t="s">
        <v>57</v>
      </c>
      <c r="C7" s="16">
        <v>5500</v>
      </c>
    </row>
    <row r="8" spans="1:5" ht="14.25" customHeight="1" x14ac:dyDescent="0.25">
      <c r="A8" s="22">
        <v>43556</v>
      </c>
      <c r="B8" s="16" t="s">
        <v>57</v>
      </c>
      <c r="C8" s="16">
        <v>5500</v>
      </c>
    </row>
    <row r="9" spans="1:5" ht="14.25" customHeight="1" x14ac:dyDescent="0.25">
      <c r="A9" s="22">
        <v>43587</v>
      </c>
      <c r="B9" s="16" t="s">
        <v>57</v>
      </c>
      <c r="C9" s="16">
        <v>5500</v>
      </c>
    </row>
    <row r="10" spans="1:5" ht="14.25" customHeight="1" x14ac:dyDescent="0.25">
      <c r="A10" s="22">
        <v>43623</v>
      </c>
      <c r="B10" s="16" t="s">
        <v>57</v>
      </c>
      <c r="C10" s="16">
        <v>25500</v>
      </c>
    </row>
    <row r="11" spans="1:5" ht="14.25" customHeight="1" x14ac:dyDescent="0.25">
      <c r="A11" s="22">
        <v>43654</v>
      </c>
      <c r="B11" s="16" t="s">
        <v>57</v>
      </c>
      <c r="C11" s="16">
        <v>65500</v>
      </c>
    </row>
    <row r="12" spans="1:5" ht="14.25" customHeight="1" x14ac:dyDescent="0.25">
      <c r="A12" s="22">
        <v>43711</v>
      </c>
      <c r="B12" s="16" t="s">
        <v>57</v>
      </c>
      <c r="C12" s="16">
        <v>10100</v>
      </c>
    </row>
    <row r="13" spans="1:5" ht="14.25" customHeight="1" x14ac:dyDescent="0.25">
      <c r="A13" s="22"/>
    </row>
    <row r="14" spans="1:5" ht="14.25" customHeight="1" x14ac:dyDescent="0.25">
      <c r="A14" s="2" t="s">
        <v>23</v>
      </c>
      <c r="B14" s="2"/>
      <c r="C14" s="2">
        <f>SUM(C2:C12)</f>
        <v>142100</v>
      </c>
      <c r="D14" s="2">
        <f>SUM(D2:D12)</f>
        <v>60000</v>
      </c>
      <c r="E14" s="2">
        <f>SUM(E2:E12)</f>
        <v>6000</v>
      </c>
    </row>
    <row r="15" spans="1:5" ht="14.25" customHeight="1" x14ac:dyDescent="0.25">
      <c r="A15" s="2" t="s">
        <v>76</v>
      </c>
      <c r="B15" s="2"/>
      <c r="C15" s="2">
        <f>(C14-(D14+E14))</f>
        <v>76100</v>
      </c>
      <c r="D15" s="2"/>
    </row>
    <row r="16" spans="1:5" ht="14.25" customHeight="1" x14ac:dyDescent="0.25">
      <c r="A16" s="2"/>
      <c r="B16" s="2"/>
      <c r="C16" s="2"/>
      <c r="D16" s="2"/>
    </row>
    <row r="17" spans="1:7" ht="14.25" customHeight="1" x14ac:dyDescent="0.25">
      <c r="A17" s="16" t="s">
        <v>112</v>
      </c>
      <c r="B17" s="16" t="s">
        <v>181</v>
      </c>
      <c r="C17" s="16" t="s">
        <v>182</v>
      </c>
      <c r="D17" s="16" t="s">
        <v>183</v>
      </c>
    </row>
    <row r="18" spans="1:7" ht="14.25" customHeight="1" x14ac:dyDescent="0.25">
      <c r="A18" s="45">
        <v>43755</v>
      </c>
      <c r="B18" s="16">
        <v>60000</v>
      </c>
      <c r="C18" s="46">
        <v>43405</v>
      </c>
      <c r="D18" s="46">
        <v>43678</v>
      </c>
    </row>
    <row r="19" spans="1:7" ht="14.25" customHeight="1" x14ac:dyDescent="0.25">
      <c r="A19" s="16" t="s">
        <v>184</v>
      </c>
    </row>
    <row r="20" spans="1:7" ht="14.25" customHeight="1" x14ac:dyDescent="0.25">
      <c r="A20" s="16" t="s">
        <v>112</v>
      </c>
      <c r="B20" s="16" t="s">
        <v>185</v>
      </c>
      <c r="C20" s="16" t="s">
        <v>186</v>
      </c>
      <c r="D20" s="16" t="s">
        <v>150</v>
      </c>
      <c r="E20" s="16" t="s">
        <v>142</v>
      </c>
      <c r="F20" s="16" t="s">
        <v>113</v>
      </c>
    </row>
    <row r="21" spans="1:7" ht="14.25" customHeight="1" x14ac:dyDescent="0.25">
      <c r="A21" s="46">
        <v>43770</v>
      </c>
      <c r="B21" s="16">
        <v>6000</v>
      </c>
      <c r="C21" s="16">
        <v>600</v>
      </c>
      <c r="D21" s="16">
        <f t="shared" ref="D21:D30" si="0">B21+C21</f>
        <v>6600</v>
      </c>
      <c r="E21" s="16">
        <v>0</v>
      </c>
      <c r="F21" s="16">
        <f>D14+E14</f>
        <v>66000</v>
      </c>
    </row>
    <row r="22" spans="1:7" ht="14.25" customHeight="1" x14ac:dyDescent="0.25">
      <c r="A22" s="46">
        <v>43800</v>
      </c>
      <c r="B22" s="16">
        <v>6000</v>
      </c>
      <c r="C22" s="16">
        <v>600</v>
      </c>
      <c r="D22" s="16">
        <f t="shared" si="0"/>
        <v>6600</v>
      </c>
      <c r="E22" s="16">
        <v>0</v>
      </c>
      <c r="F22" s="16">
        <f t="shared" ref="F22:F30" si="1">F21-E22</f>
        <v>66000</v>
      </c>
    </row>
    <row r="23" spans="1:7" ht="14.25" customHeight="1" x14ac:dyDescent="0.25">
      <c r="A23" s="46">
        <v>43831</v>
      </c>
      <c r="B23" s="16">
        <v>6000</v>
      </c>
      <c r="C23" s="16">
        <v>600</v>
      </c>
      <c r="D23" s="16">
        <f t="shared" si="0"/>
        <v>6600</v>
      </c>
      <c r="E23" s="16">
        <v>0</v>
      </c>
      <c r="F23" s="16">
        <f t="shared" si="1"/>
        <v>66000</v>
      </c>
    </row>
    <row r="24" spans="1:7" ht="14.25" customHeight="1" x14ac:dyDescent="0.25">
      <c r="A24" s="46">
        <v>43862</v>
      </c>
      <c r="B24" s="16">
        <v>6000</v>
      </c>
      <c r="C24" s="16">
        <v>600</v>
      </c>
      <c r="D24" s="16">
        <f t="shared" si="0"/>
        <v>6600</v>
      </c>
      <c r="E24" s="16">
        <v>0</v>
      </c>
      <c r="F24" s="16">
        <f t="shared" si="1"/>
        <v>66000</v>
      </c>
    </row>
    <row r="25" spans="1:7" ht="14.25" customHeight="1" x14ac:dyDescent="0.25">
      <c r="A25" s="46">
        <v>43891</v>
      </c>
      <c r="B25" s="16">
        <v>6000</v>
      </c>
      <c r="C25" s="16">
        <v>600</v>
      </c>
      <c r="D25" s="16">
        <f t="shared" si="0"/>
        <v>6600</v>
      </c>
      <c r="E25" s="16">
        <v>0</v>
      </c>
      <c r="F25" s="16">
        <f t="shared" si="1"/>
        <v>66000</v>
      </c>
    </row>
    <row r="26" spans="1:7" ht="14.25" customHeight="1" x14ac:dyDescent="0.25">
      <c r="A26" s="46">
        <v>43922</v>
      </c>
      <c r="B26" s="16">
        <v>6000</v>
      </c>
      <c r="C26" s="16">
        <v>600</v>
      </c>
      <c r="D26" s="16">
        <f t="shared" si="0"/>
        <v>6600</v>
      </c>
      <c r="E26" s="16">
        <v>0</v>
      </c>
      <c r="F26" s="16">
        <f t="shared" si="1"/>
        <v>66000</v>
      </c>
    </row>
    <row r="27" spans="1:7" ht="14.25" customHeight="1" x14ac:dyDescent="0.25">
      <c r="A27" s="46">
        <v>43952</v>
      </c>
      <c r="B27" s="16">
        <v>6000</v>
      </c>
      <c r="C27" s="16">
        <v>600</v>
      </c>
      <c r="D27" s="16">
        <f t="shared" si="0"/>
        <v>6600</v>
      </c>
      <c r="E27" s="16">
        <v>0</v>
      </c>
      <c r="F27" s="16">
        <f t="shared" si="1"/>
        <v>66000</v>
      </c>
    </row>
    <row r="28" spans="1:7" ht="14.25" customHeight="1" x14ac:dyDescent="0.25">
      <c r="A28" s="46">
        <v>43983</v>
      </c>
      <c r="B28" s="16">
        <v>6000</v>
      </c>
      <c r="C28" s="16">
        <v>600</v>
      </c>
      <c r="D28" s="16">
        <f t="shared" si="0"/>
        <v>6600</v>
      </c>
      <c r="E28" s="16">
        <v>0</v>
      </c>
      <c r="F28" s="16">
        <f t="shared" si="1"/>
        <v>66000</v>
      </c>
    </row>
    <row r="29" spans="1:7" ht="14.25" customHeight="1" x14ac:dyDescent="0.25">
      <c r="A29" s="46">
        <v>44013</v>
      </c>
      <c r="B29" s="16">
        <v>6000</v>
      </c>
      <c r="C29" s="16">
        <v>600</v>
      </c>
      <c r="D29" s="16">
        <f t="shared" si="0"/>
        <v>6600</v>
      </c>
      <c r="E29" s="16">
        <f>65500</f>
        <v>65500</v>
      </c>
      <c r="F29" s="16">
        <f t="shared" si="1"/>
        <v>500</v>
      </c>
    </row>
    <row r="30" spans="1:7" ht="14.25" customHeight="1" x14ac:dyDescent="0.25">
      <c r="A30" s="46">
        <v>44044</v>
      </c>
      <c r="B30" s="16">
        <v>6000</v>
      </c>
      <c r="C30" s="16">
        <v>600</v>
      </c>
      <c r="D30" s="16">
        <f t="shared" si="0"/>
        <v>6600</v>
      </c>
      <c r="E30" s="16">
        <v>10100</v>
      </c>
      <c r="F30" s="16">
        <f t="shared" si="1"/>
        <v>-9600</v>
      </c>
      <c r="G30" s="2" t="s">
        <v>201</v>
      </c>
    </row>
    <row r="31" spans="1:7" ht="14.25" customHeight="1" x14ac:dyDescent="0.2"/>
    <row r="32" spans="1:7" ht="14.25" customHeight="1" x14ac:dyDescent="0.2"/>
    <row r="33" spans="1:1" ht="14.25" customHeight="1" x14ac:dyDescent="0.2"/>
    <row r="34" spans="1:1" ht="14.25" customHeight="1" x14ac:dyDescent="0.2"/>
    <row r="35" spans="1:1" ht="14.25" customHeight="1" x14ac:dyDescent="0.2"/>
    <row r="36" spans="1:1" ht="14.25" customHeight="1" x14ac:dyDescent="0.2"/>
    <row r="37" spans="1:1" ht="14.25" customHeight="1" x14ac:dyDescent="0.2"/>
    <row r="38" spans="1:1" ht="14.25" customHeight="1" x14ac:dyDescent="0.2"/>
    <row r="39" spans="1:1" ht="14.25" customHeight="1" x14ac:dyDescent="0.2"/>
    <row r="40" spans="1:1" ht="14.25" customHeight="1" x14ac:dyDescent="0.2"/>
    <row r="41" spans="1:1" ht="14.25" customHeight="1" x14ac:dyDescent="0.25">
      <c r="A41" s="46"/>
    </row>
    <row r="42" spans="1:1" ht="14.25" customHeight="1" x14ac:dyDescent="0.25">
      <c r="A42" s="46"/>
    </row>
    <row r="43" spans="1:1" ht="14.25" customHeight="1" x14ac:dyDescent="0.25">
      <c r="A43" s="46"/>
    </row>
    <row r="44" spans="1:1" ht="14.25" customHeight="1" x14ac:dyDescent="0.25">
      <c r="A44" s="46"/>
    </row>
    <row r="45" spans="1:1" ht="14.25" customHeight="1" x14ac:dyDescent="0.25">
      <c r="A45" s="46"/>
    </row>
    <row r="46" spans="1:1" ht="14.25" customHeight="1" x14ac:dyDescent="0.2"/>
    <row r="47" spans="1:1" ht="14.25" customHeight="1" x14ac:dyDescent="0.2"/>
    <row r="48" spans="1:1"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1000"/>
  <sheetViews>
    <sheetView workbookViewId="0"/>
  </sheetViews>
  <sheetFormatPr defaultColWidth="12.625" defaultRowHeight="15" customHeight="1" x14ac:dyDescent="0.2"/>
  <cols>
    <col min="1" max="1" width="16.125" customWidth="1"/>
    <col min="2" max="2" width="14.375" customWidth="1"/>
    <col min="3" max="3" width="13" customWidth="1"/>
    <col min="4" max="6" width="7.625" customWidth="1"/>
    <col min="7" max="7" width="12.75" customWidth="1"/>
    <col min="8" max="8" width="8.5" customWidth="1"/>
    <col min="9" max="9" width="9.5" customWidth="1"/>
    <col min="10" max="10" width="8.5" customWidth="1"/>
    <col min="11" max="26" width="7.625" customWidth="1"/>
  </cols>
  <sheetData>
    <row r="1" spans="1:13" ht="14.25" customHeight="1" x14ac:dyDescent="0.25">
      <c r="A1" s="16" t="s">
        <v>112</v>
      </c>
      <c r="B1" s="16" t="s">
        <v>153</v>
      </c>
      <c r="C1" s="16" t="s">
        <v>152</v>
      </c>
      <c r="D1" s="16" t="s">
        <v>177</v>
      </c>
      <c r="E1" s="16" t="s">
        <v>178</v>
      </c>
    </row>
    <row r="2" spans="1:13" ht="14.25" customHeight="1" x14ac:dyDescent="0.25">
      <c r="A2" s="22">
        <v>43344</v>
      </c>
      <c r="B2" s="16" t="s">
        <v>115</v>
      </c>
      <c r="C2" s="16">
        <v>16500</v>
      </c>
    </row>
    <row r="3" spans="1:13" ht="14.25" customHeight="1" x14ac:dyDescent="0.25">
      <c r="A3" s="22">
        <v>43375</v>
      </c>
      <c r="B3" s="16" t="s">
        <v>115</v>
      </c>
      <c r="C3" s="16">
        <v>5500</v>
      </c>
    </row>
    <row r="4" spans="1:13" ht="14.25" customHeight="1" x14ac:dyDescent="0.25">
      <c r="A4" s="22">
        <v>43419</v>
      </c>
      <c r="B4" s="16" t="s">
        <v>115</v>
      </c>
      <c r="C4" s="16">
        <v>5000</v>
      </c>
    </row>
    <row r="5" spans="1:13" ht="14.25" customHeight="1" x14ac:dyDescent="0.25">
      <c r="A5" s="22">
        <v>43444</v>
      </c>
      <c r="B5" s="16" t="s">
        <v>115</v>
      </c>
      <c r="C5" s="16">
        <v>5500</v>
      </c>
    </row>
    <row r="6" spans="1:13" ht="14.25" customHeight="1" x14ac:dyDescent="0.25">
      <c r="A6" s="22">
        <v>43470</v>
      </c>
      <c r="B6" s="16" t="s">
        <v>115</v>
      </c>
      <c r="C6" s="16">
        <v>5500</v>
      </c>
    </row>
    <row r="7" spans="1:13" ht="14.25" customHeight="1" x14ac:dyDescent="0.25">
      <c r="A7" s="22">
        <v>43507</v>
      </c>
      <c r="B7" s="16" t="s">
        <v>115</v>
      </c>
      <c r="C7" s="16">
        <v>5500</v>
      </c>
    </row>
    <row r="8" spans="1:13" ht="14.25" customHeight="1" x14ac:dyDescent="0.25">
      <c r="A8" s="22">
        <v>43528</v>
      </c>
      <c r="B8" s="16" t="s">
        <v>115</v>
      </c>
      <c r="C8" s="16">
        <v>5500</v>
      </c>
      <c r="I8" s="16" t="s">
        <v>202</v>
      </c>
      <c r="J8" s="16" t="s">
        <v>203</v>
      </c>
      <c r="K8" s="16" t="s">
        <v>157</v>
      </c>
      <c r="L8" s="16" t="s">
        <v>158</v>
      </c>
      <c r="M8" s="16" t="s">
        <v>159</v>
      </c>
    </row>
    <row r="9" spans="1:13" ht="14.25" customHeight="1" x14ac:dyDescent="0.25">
      <c r="A9" s="22">
        <v>43563</v>
      </c>
      <c r="B9" s="16" t="s">
        <v>115</v>
      </c>
      <c r="C9" s="16">
        <v>5500</v>
      </c>
      <c r="I9" s="16" t="s">
        <v>157</v>
      </c>
    </row>
    <row r="10" spans="1:13" ht="14.25" customHeight="1" x14ac:dyDescent="0.25">
      <c r="A10" s="22">
        <v>43617</v>
      </c>
      <c r="B10" s="16" t="s">
        <v>115</v>
      </c>
      <c r="C10" s="16">
        <v>5500</v>
      </c>
      <c r="I10" s="16" t="s">
        <v>158</v>
      </c>
    </row>
    <row r="11" spans="1:13" ht="14.25" customHeight="1" x14ac:dyDescent="0.25">
      <c r="A11" s="22">
        <v>43656</v>
      </c>
      <c r="B11" s="16" t="s">
        <v>115</v>
      </c>
      <c r="C11" s="16">
        <v>5500</v>
      </c>
      <c r="I11" s="16" t="s">
        <v>159</v>
      </c>
    </row>
    <row r="12" spans="1:13" ht="14.25" customHeight="1" x14ac:dyDescent="0.25">
      <c r="I12" s="16" t="s">
        <v>160</v>
      </c>
    </row>
    <row r="13" spans="1:13" ht="14.25" customHeight="1" x14ac:dyDescent="0.25">
      <c r="A13" s="2" t="s">
        <v>23</v>
      </c>
      <c r="B13" s="2"/>
      <c r="C13" s="2">
        <f>SUM(C1:C11)</f>
        <v>65500</v>
      </c>
      <c r="D13" s="2">
        <f>SUM(D1:D11)</f>
        <v>0</v>
      </c>
      <c r="E13" s="2">
        <f>SUM(E1:E11)</f>
        <v>0</v>
      </c>
      <c r="I13" s="16" t="s">
        <v>161</v>
      </c>
    </row>
    <row r="14" spans="1:13" ht="14.25" customHeight="1" x14ac:dyDescent="0.25">
      <c r="A14" s="2" t="s">
        <v>76</v>
      </c>
      <c r="B14" s="2"/>
      <c r="C14" s="2">
        <f>(C13-(D13+E13))</f>
        <v>65500</v>
      </c>
      <c r="D14" s="2"/>
      <c r="I14" s="16" t="s">
        <v>162</v>
      </c>
    </row>
    <row r="15" spans="1:13" ht="14.25" customHeight="1" x14ac:dyDescent="0.25">
      <c r="I15" s="16" t="s">
        <v>163</v>
      </c>
    </row>
    <row r="16" spans="1:13" ht="14.25" customHeight="1" x14ac:dyDescent="0.25">
      <c r="A16" s="16" t="s">
        <v>112</v>
      </c>
      <c r="B16" s="16" t="s">
        <v>181</v>
      </c>
      <c r="C16" s="16" t="s">
        <v>182</v>
      </c>
      <c r="D16" s="16" t="s">
        <v>183</v>
      </c>
      <c r="I16" s="16" t="s">
        <v>164</v>
      </c>
    </row>
    <row r="17" spans="1:9" ht="14.25" customHeight="1" x14ac:dyDescent="0.25">
      <c r="A17" s="45">
        <v>43755</v>
      </c>
      <c r="B17" s="16">
        <v>150000</v>
      </c>
      <c r="C17" s="46">
        <v>43770</v>
      </c>
      <c r="D17" s="46">
        <v>44075</v>
      </c>
      <c r="F17" s="16">
        <f>B17*1.1</f>
        <v>165000</v>
      </c>
      <c r="I17" s="16" t="s">
        <v>165</v>
      </c>
    </row>
    <row r="18" spans="1:9" ht="14.25" customHeight="1" x14ac:dyDescent="0.25">
      <c r="A18" s="16" t="s">
        <v>184</v>
      </c>
      <c r="I18" s="16" t="s">
        <v>166</v>
      </c>
    </row>
    <row r="19" spans="1:9" ht="14.25" customHeight="1" x14ac:dyDescent="0.25">
      <c r="A19" s="16" t="s">
        <v>112</v>
      </c>
      <c r="B19" s="16" t="s">
        <v>185</v>
      </c>
      <c r="C19" s="16" t="s">
        <v>186</v>
      </c>
      <c r="D19" s="16" t="s">
        <v>150</v>
      </c>
      <c r="E19" s="16" t="s">
        <v>142</v>
      </c>
      <c r="F19" s="16" t="s">
        <v>113</v>
      </c>
      <c r="I19" s="16" t="s">
        <v>167</v>
      </c>
    </row>
    <row r="20" spans="1:9" ht="14.25" customHeight="1" x14ac:dyDescent="0.25">
      <c r="A20" s="16">
        <v>4112019</v>
      </c>
      <c r="B20" s="16">
        <v>15000</v>
      </c>
      <c r="C20" s="16">
        <v>1500</v>
      </c>
      <c r="D20" s="16">
        <f>B20+C20</f>
        <v>16500</v>
      </c>
      <c r="E20" s="16">
        <f>D20</f>
        <v>16500</v>
      </c>
      <c r="F20" s="16">
        <f>F17-E20</f>
        <v>148500</v>
      </c>
      <c r="I20" s="16" t="s">
        <v>168</v>
      </c>
    </row>
    <row r="21" spans="1:9" ht="14.25" customHeight="1" x14ac:dyDescent="0.25">
      <c r="A21" s="16">
        <v>13112019</v>
      </c>
      <c r="B21" s="16">
        <v>15000</v>
      </c>
      <c r="C21" s="16">
        <v>1500</v>
      </c>
      <c r="D21" s="16">
        <f>B21+C21</f>
        <v>16500</v>
      </c>
      <c r="E21" s="16">
        <f>D21</f>
        <v>16500</v>
      </c>
      <c r="F21" s="16">
        <f>F20-E21</f>
        <v>132000</v>
      </c>
      <c r="I21" s="16" t="s">
        <v>157</v>
      </c>
    </row>
    <row r="22" spans="1:9" ht="14.25" customHeight="1" x14ac:dyDescent="0.25">
      <c r="A22" s="16">
        <v>3012020</v>
      </c>
      <c r="B22" s="16">
        <v>15000</v>
      </c>
      <c r="C22" s="16">
        <v>1500</v>
      </c>
      <c r="D22" s="16">
        <f>B22+C22</f>
        <v>16500</v>
      </c>
      <c r="E22" s="16">
        <f>D22</f>
        <v>16500</v>
      </c>
      <c r="F22" s="16">
        <f>F21-E22</f>
        <v>115500</v>
      </c>
    </row>
    <row r="23" spans="1:9" ht="14.25" customHeight="1" x14ac:dyDescent="0.25">
      <c r="A23" s="16">
        <v>2032020</v>
      </c>
      <c r="B23" s="16">
        <v>15000</v>
      </c>
      <c r="C23" s="16">
        <v>1500</v>
      </c>
      <c r="D23" s="16">
        <f>B23+C23</f>
        <v>16500</v>
      </c>
      <c r="E23" s="16">
        <f>D23</f>
        <v>16500</v>
      </c>
      <c r="F23" s="16">
        <f>F22-E23</f>
        <v>99000</v>
      </c>
    </row>
    <row r="24" spans="1:9" ht="14.25" customHeight="1" x14ac:dyDescent="0.25">
      <c r="A24" s="46"/>
    </row>
    <row r="25" spans="1:9" ht="14.25" customHeight="1" x14ac:dyDescent="0.2"/>
    <row r="26" spans="1:9" ht="14.25" customHeight="1" x14ac:dyDescent="0.2"/>
    <row r="27" spans="1:9" ht="14.25" customHeight="1" x14ac:dyDescent="0.2"/>
    <row r="28" spans="1:9" ht="14.25" customHeight="1" x14ac:dyDescent="0.2"/>
    <row r="29" spans="1:9" ht="14.25" customHeight="1" x14ac:dyDescent="0.2"/>
    <row r="30" spans="1:9" ht="14.25" customHeight="1" x14ac:dyDescent="0.2"/>
    <row r="31" spans="1:9" ht="14.25" customHeight="1" x14ac:dyDescent="0.2"/>
    <row r="32" spans="1:9"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1000"/>
  <sheetViews>
    <sheetView workbookViewId="0"/>
  </sheetViews>
  <sheetFormatPr defaultColWidth="12.625" defaultRowHeight="15" customHeight="1" x14ac:dyDescent="0.2"/>
  <cols>
    <col min="1" max="26" width="7.625" customWidth="1"/>
  </cols>
  <sheetData>
    <row r="1" spans="1:1" ht="14.25" customHeight="1" x14ac:dyDescent="0.25">
      <c r="A1" s="16" t="s">
        <v>28</v>
      </c>
    </row>
    <row r="2" spans="1:1" ht="14.25" customHeight="1" x14ac:dyDescent="0.2"/>
    <row r="3" spans="1:1" ht="14.25" customHeight="1" x14ac:dyDescent="0.2"/>
    <row r="4" spans="1:1" ht="14.25" customHeight="1" x14ac:dyDescent="0.2"/>
    <row r="5" spans="1:1" ht="14.25" customHeight="1" x14ac:dyDescent="0.2"/>
    <row r="6" spans="1:1" ht="14.25" customHeight="1" x14ac:dyDescent="0.2"/>
    <row r="7" spans="1:1" ht="14.25" customHeight="1" x14ac:dyDescent="0.2"/>
    <row r="8" spans="1:1" ht="14.25" customHeight="1" x14ac:dyDescent="0.2"/>
    <row r="9" spans="1:1" ht="14.25" customHeight="1" x14ac:dyDescent="0.2"/>
    <row r="10" spans="1:1" ht="14.25" customHeight="1" x14ac:dyDescent="0.2"/>
    <row r="11" spans="1:1" ht="14.25" customHeight="1" x14ac:dyDescent="0.2"/>
    <row r="12" spans="1:1" ht="14.25" customHeight="1" x14ac:dyDescent="0.2"/>
    <row r="13" spans="1:1" ht="14.25" customHeight="1" x14ac:dyDescent="0.2"/>
    <row r="14" spans="1:1" ht="14.25" customHeight="1" x14ac:dyDescent="0.2"/>
    <row r="15" spans="1:1" ht="14.25" customHeight="1" x14ac:dyDescent="0.2"/>
    <row r="16" spans="1:1"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000"/>
  <sheetViews>
    <sheetView workbookViewId="0"/>
  </sheetViews>
  <sheetFormatPr defaultColWidth="12.625" defaultRowHeight="15" customHeight="1" x14ac:dyDescent="0.2"/>
  <cols>
    <col min="1" max="26" width="7.625" customWidth="1"/>
  </cols>
  <sheetData>
    <row r="1" spans="1:5" ht="14.25" customHeight="1" x14ac:dyDescent="0.25">
      <c r="A1" s="2" t="s">
        <v>112</v>
      </c>
      <c r="B1" s="2" t="s">
        <v>153</v>
      </c>
      <c r="C1" s="2" t="s">
        <v>152</v>
      </c>
      <c r="D1" s="2" t="s">
        <v>177</v>
      </c>
      <c r="E1" s="2" t="s">
        <v>178</v>
      </c>
    </row>
    <row r="2" spans="1:5" ht="14.25" customHeight="1" x14ac:dyDescent="0.25">
      <c r="A2" s="22">
        <v>43404</v>
      </c>
      <c r="B2" s="16" t="s">
        <v>29</v>
      </c>
      <c r="C2" s="16">
        <v>5500</v>
      </c>
    </row>
    <row r="3" spans="1:5" ht="14.25" customHeight="1" x14ac:dyDescent="0.25">
      <c r="A3" s="22">
        <v>43438</v>
      </c>
      <c r="B3" s="16" t="s">
        <v>29</v>
      </c>
      <c r="C3" s="16">
        <v>5500</v>
      </c>
    </row>
    <row r="4" spans="1:5" ht="14.25" customHeight="1" x14ac:dyDescent="0.25">
      <c r="A4" s="22">
        <v>43504</v>
      </c>
      <c r="B4" s="16" t="s">
        <v>29</v>
      </c>
      <c r="C4" s="16">
        <v>11000</v>
      </c>
    </row>
    <row r="5" spans="1:5" ht="14.25" customHeight="1" x14ac:dyDescent="0.25">
      <c r="A5" s="22">
        <v>43531</v>
      </c>
      <c r="B5" s="16" t="s">
        <v>29</v>
      </c>
      <c r="C5" s="16">
        <v>5500</v>
      </c>
    </row>
    <row r="6" spans="1:5" ht="14.25" customHeight="1" x14ac:dyDescent="0.25">
      <c r="A6" s="22">
        <v>43556</v>
      </c>
      <c r="B6" s="16" t="s">
        <v>29</v>
      </c>
      <c r="C6" s="16">
        <v>5500</v>
      </c>
    </row>
    <row r="7" spans="1:5" ht="14.25" customHeight="1" x14ac:dyDescent="0.25">
      <c r="A7" s="22">
        <v>43587</v>
      </c>
      <c r="B7" s="16" t="s">
        <v>29</v>
      </c>
      <c r="C7" s="16">
        <v>5500</v>
      </c>
    </row>
    <row r="8" spans="1:5" ht="14.25" customHeight="1" x14ac:dyDescent="0.25">
      <c r="A8" s="22">
        <v>43626</v>
      </c>
      <c r="B8" s="16" t="s">
        <v>29</v>
      </c>
      <c r="C8" s="16">
        <v>5500</v>
      </c>
    </row>
    <row r="9" spans="1:5" ht="14.25" customHeight="1" x14ac:dyDescent="0.25">
      <c r="A9" s="22">
        <v>43701</v>
      </c>
      <c r="B9" s="16" t="s">
        <v>29</v>
      </c>
      <c r="C9" s="16">
        <v>11000</v>
      </c>
    </row>
    <row r="10" spans="1:5" ht="14.25" customHeight="1" x14ac:dyDescent="0.2"/>
    <row r="11" spans="1:5" ht="14.25" customHeight="1" x14ac:dyDescent="0.25">
      <c r="A11" s="2" t="s">
        <v>23</v>
      </c>
      <c r="B11" s="2"/>
      <c r="C11" s="2">
        <f>SUM(C2:C9)</f>
        <v>55000</v>
      </c>
      <c r="D11" s="2">
        <f>SUM(D2:D9)</f>
        <v>0</v>
      </c>
      <c r="E11" s="2">
        <f>SUM(E2:E9)</f>
        <v>0</v>
      </c>
    </row>
    <row r="12" spans="1:5" ht="14.25" customHeight="1" x14ac:dyDescent="0.25">
      <c r="A12" s="2" t="s">
        <v>76</v>
      </c>
      <c r="B12" s="2"/>
      <c r="C12" s="2">
        <f>(C11-(D11+E11))</f>
        <v>55000</v>
      </c>
      <c r="D12" s="2"/>
    </row>
    <row r="13" spans="1:5" ht="14.25" customHeight="1" x14ac:dyDescent="0.2"/>
    <row r="14" spans="1:5" ht="14.25" customHeight="1" x14ac:dyDescent="0.2"/>
    <row r="15" spans="1:5" ht="14.25" customHeight="1" x14ac:dyDescent="0.2"/>
    <row r="16" spans="1:5"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0000"/>
  </sheetPr>
  <dimension ref="A1:H1000"/>
  <sheetViews>
    <sheetView workbookViewId="0"/>
  </sheetViews>
  <sheetFormatPr defaultColWidth="12.625" defaultRowHeight="15" customHeight="1" x14ac:dyDescent="0.2"/>
  <cols>
    <col min="1" max="1" width="9.75" customWidth="1"/>
    <col min="2" max="2" width="9.125" customWidth="1"/>
    <col min="3" max="26" width="7.625" customWidth="1"/>
  </cols>
  <sheetData>
    <row r="1" spans="1:8" ht="14.25" customHeight="1" x14ac:dyDescent="0.25">
      <c r="A1" s="2" t="s">
        <v>112</v>
      </c>
      <c r="B1" s="2" t="s">
        <v>153</v>
      </c>
      <c r="C1" s="2" t="s">
        <v>152</v>
      </c>
      <c r="D1" s="2" t="s">
        <v>177</v>
      </c>
      <c r="E1" s="2" t="s">
        <v>178</v>
      </c>
    </row>
    <row r="2" spans="1:8" ht="14.25" customHeight="1" x14ac:dyDescent="0.25">
      <c r="A2" s="22">
        <v>43370</v>
      </c>
      <c r="B2" s="16" t="s">
        <v>30</v>
      </c>
      <c r="C2" s="16">
        <v>30000</v>
      </c>
    </row>
    <row r="3" spans="1:8" ht="14.25" customHeight="1" x14ac:dyDescent="0.25">
      <c r="A3" s="22">
        <v>43420</v>
      </c>
      <c r="B3" s="16" t="s">
        <v>30</v>
      </c>
      <c r="C3" s="16">
        <v>23000</v>
      </c>
    </row>
    <row r="4" spans="1:8" ht="14.25" customHeight="1" x14ac:dyDescent="0.25">
      <c r="A4" s="22">
        <v>43420</v>
      </c>
      <c r="B4" s="16" t="s">
        <v>30</v>
      </c>
      <c r="C4" s="16">
        <v>10000</v>
      </c>
      <c r="H4" s="16">
        <v>5000</v>
      </c>
    </row>
    <row r="5" spans="1:8" ht="14.25" customHeight="1" x14ac:dyDescent="0.25">
      <c r="H5" s="16">
        <f>500*12</f>
        <v>6000</v>
      </c>
    </row>
    <row r="6" spans="1:8" ht="14.25" customHeight="1" x14ac:dyDescent="0.2"/>
    <row r="7" spans="1:8" ht="14.25" customHeight="1" x14ac:dyDescent="0.25">
      <c r="A7" s="2" t="s">
        <v>23</v>
      </c>
      <c r="B7" s="2"/>
      <c r="C7" s="2">
        <f>SUM(C2:C4)</f>
        <v>63000</v>
      </c>
      <c r="D7" s="2">
        <f>SUM(D2:D4)</f>
        <v>0</v>
      </c>
      <c r="E7" s="2">
        <f>SUM(E2:E4)</f>
        <v>0</v>
      </c>
    </row>
    <row r="8" spans="1:8" ht="14.25" customHeight="1" x14ac:dyDescent="0.25">
      <c r="A8" s="2" t="s">
        <v>76</v>
      </c>
      <c r="B8" s="2"/>
      <c r="C8" s="2">
        <f>(C7-(D7+E7))</f>
        <v>63000</v>
      </c>
      <c r="D8" s="2"/>
    </row>
    <row r="9" spans="1:8" ht="14.25" customHeight="1" x14ac:dyDescent="0.2"/>
    <row r="10" spans="1:8" ht="14.25" customHeight="1" x14ac:dyDescent="0.2"/>
    <row r="11" spans="1:8" ht="14.25" customHeight="1" x14ac:dyDescent="0.2"/>
    <row r="12" spans="1:8" ht="14.25" customHeight="1" x14ac:dyDescent="0.2"/>
    <row r="13" spans="1:8" ht="14.25" customHeight="1" x14ac:dyDescent="0.2"/>
    <row r="14" spans="1:8" ht="14.25" customHeight="1" x14ac:dyDescent="0.2"/>
    <row r="15" spans="1:8" ht="14.25" customHeight="1" x14ac:dyDescent="0.2"/>
    <row r="16" spans="1:8"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1000"/>
  <sheetViews>
    <sheetView workbookViewId="0"/>
  </sheetViews>
  <sheetFormatPr defaultColWidth="12.625" defaultRowHeight="15" customHeight="1" x14ac:dyDescent="0.2"/>
  <cols>
    <col min="1" max="26" width="7.625" customWidth="1"/>
  </cols>
  <sheetData>
    <row r="1" spans="1:5" ht="14.25" customHeight="1" x14ac:dyDescent="0.25">
      <c r="A1" s="2" t="s">
        <v>112</v>
      </c>
      <c r="B1" s="2" t="s">
        <v>153</v>
      </c>
      <c r="C1" s="2" t="s">
        <v>152</v>
      </c>
      <c r="D1" s="2" t="s">
        <v>177</v>
      </c>
      <c r="E1" s="2" t="s">
        <v>178</v>
      </c>
    </row>
    <row r="2" spans="1:5" ht="14.25" customHeight="1" x14ac:dyDescent="0.25">
      <c r="A2" s="22">
        <v>43565</v>
      </c>
      <c r="B2" s="16" t="s">
        <v>31</v>
      </c>
      <c r="C2" s="16">
        <v>50000</v>
      </c>
    </row>
    <row r="3" spans="1:5" ht="14.25" customHeight="1" x14ac:dyDescent="0.25">
      <c r="A3" s="22"/>
    </row>
    <row r="4" spans="1:5" ht="14.25" customHeight="1" x14ac:dyDescent="0.25">
      <c r="A4" s="22"/>
    </row>
    <row r="5" spans="1:5" ht="14.25" customHeight="1" x14ac:dyDescent="0.2"/>
    <row r="6" spans="1:5" ht="14.25" customHeight="1" x14ac:dyDescent="0.2"/>
    <row r="7" spans="1:5" ht="14.25" customHeight="1" x14ac:dyDescent="0.25">
      <c r="A7" s="2" t="s">
        <v>23</v>
      </c>
      <c r="B7" s="2"/>
      <c r="C7" s="2">
        <f>SUM(C2:C4)</f>
        <v>50000</v>
      </c>
      <c r="D7" s="2">
        <f>SUM(D2:D4)</f>
        <v>0</v>
      </c>
      <c r="E7" s="2">
        <f>SUM(E2:E4)</f>
        <v>0</v>
      </c>
    </row>
    <row r="8" spans="1:5" ht="14.25" customHeight="1" x14ac:dyDescent="0.25">
      <c r="A8" s="2" t="s">
        <v>76</v>
      </c>
      <c r="B8" s="2"/>
      <c r="C8" s="2">
        <f>(C7-(D7+E7))</f>
        <v>50000</v>
      </c>
      <c r="D8" s="2"/>
    </row>
    <row r="9" spans="1:5" ht="14.25" customHeight="1" x14ac:dyDescent="0.2"/>
    <row r="10" spans="1:5" ht="14.25" customHeight="1" x14ac:dyDescent="0.2"/>
    <row r="11" spans="1:5" ht="14.25" customHeight="1" x14ac:dyDescent="0.2"/>
    <row r="12" spans="1:5" ht="14.25" customHeight="1" x14ac:dyDescent="0.2"/>
    <row r="13" spans="1:5" ht="14.25" customHeight="1" x14ac:dyDescent="0.2"/>
    <row r="14" spans="1:5" ht="14.25" customHeight="1" x14ac:dyDescent="0.2"/>
    <row r="15" spans="1:5" ht="14.25" customHeight="1" x14ac:dyDescent="0.2"/>
    <row r="16" spans="1:5"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financial statement 2018</vt:lpstr>
      <vt:lpstr>Statement 2021</vt:lpstr>
      <vt:lpstr>statememnt 2020</vt:lpstr>
      <vt:lpstr>Welfare</vt:lpstr>
      <vt:lpstr>Loans</vt:lpstr>
      <vt:lpstr>Contributions</vt:lpstr>
      <vt:lpstr>Aisha Muthoni Statement</vt:lpstr>
      <vt:lpstr>Amina Statement</vt:lpstr>
      <vt:lpstr>Fatma Shaffi Statement</vt:lpstr>
      <vt:lpstr>Janet Dali Statement</vt:lpstr>
      <vt:lpstr>KK Statement</vt:lpstr>
      <vt:lpstr>Maimuna Juma Statement</vt:lpstr>
      <vt:lpstr>Nuru K Statement</vt:lpstr>
      <vt:lpstr>Nuru M Statement</vt:lpstr>
      <vt:lpstr>Patience Ndonye Statement</vt:lpstr>
      <vt:lpstr>Amina Salim</vt:lpstr>
      <vt:lpstr>Fatma Shaffi</vt:lpstr>
      <vt:lpstr>Janet Dali</vt:lpstr>
      <vt:lpstr>Khadijah Jaber</vt:lpstr>
      <vt:lpstr>Rabia Salim Statement</vt:lpstr>
      <vt:lpstr>Sheila Mwalekwa Statement</vt:lpstr>
      <vt:lpstr>Zuhura Sumba Statement</vt:lpstr>
      <vt:lpstr>Rehema Ali Statement</vt:lpstr>
      <vt:lpstr>Nuru K</vt:lpstr>
      <vt:lpstr>Nuru M</vt:lpstr>
      <vt:lpstr>Patience Ndonye</vt:lpstr>
      <vt:lpstr>Rabia Salim</vt:lpstr>
      <vt:lpstr>Rehema Ali</vt:lpstr>
      <vt:lpstr>Sheila Mwalekwa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Janet J. Dali</dc:creator>
  <cp:lastModifiedBy>hp</cp:lastModifiedBy>
  <cp:lastPrinted>2021-10-22T16:05:08Z</cp:lastPrinted>
  <dcterms:created xsi:type="dcterms:W3CDTF">2019-09-24T16:03:01Z</dcterms:created>
  <dcterms:modified xsi:type="dcterms:W3CDTF">2025-06-13T07:37:21Z</dcterms:modified>
</cp:coreProperties>
</file>