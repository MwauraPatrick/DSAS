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8310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3" i="1" l="1"/>
  <c r="N182" i="1"/>
  <c r="M182" i="1"/>
  <c r="N181" i="1"/>
  <c r="N183" i="1" s="1"/>
  <c r="M181" i="1"/>
  <c r="F163" i="1"/>
  <c r="N162" i="1" s="1"/>
  <c r="N163" i="1" s="1"/>
  <c r="N161" i="1"/>
  <c r="F147" i="1"/>
  <c r="N146" i="1" s="1"/>
  <c r="N147" i="1" s="1"/>
  <c r="N145" i="1"/>
  <c r="F132" i="1"/>
  <c r="N131" i="1" s="1"/>
  <c r="N132" i="1" s="1"/>
  <c r="N130" i="1"/>
  <c r="F121" i="1"/>
  <c r="N120" i="1" s="1"/>
  <c r="N121" i="1" s="1"/>
  <c r="N119" i="1"/>
  <c r="F111" i="1"/>
  <c r="N110" i="1" s="1"/>
  <c r="N111" i="1" s="1"/>
  <c r="N109" i="1"/>
  <c r="F95" i="1"/>
  <c r="N94" i="1" s="1"/>
  <c r="N95" i="1" s="1"/>
  <c r="N93" i="1"/>
  <c r="N78" i="1"/>
  <c r="F78" i="1"/>
  <c r="F56" i="1"/>
  <c r="E56" i="1"/>
  <c r="M55" i="1"/>
  <c r="M54" i="1"/>
  <c r="M56" i="1" s="1"/>
  <c r="F39" i="1"/>
  <c r="N38" i="1" s="1"/>
  <c r="E39" i="1"/>
  <c r="M38" i="1"/>
  <c r="M39" i="1" s="1"/>
  <c r="N37" i="1"/>
  <c r="M37" i="1"/>
  <c r="F27" i="1"/>
  <c r="N26" i="1" s="1"/>
  <c r="E27" i="1"/>
  <c r="M26" i="1" s="1"/>
  <c r="M27" i="1" s="1"/>
  <c r="M25" i="1"/>
  <c r="F16" i="1"/>
  <c r="N15" i="1" s="1"/>
  <c r="E16" i="1"/>
  <c r="M15" i="1"/>
  <c r="N14" i="1"/>
  <c r="M14" i="1"/>
  <c r="N39" i="1" l="1"/>
</calcChain>
</file>

<file path=xl/sharedStrings.xml><?xml version="1.0" encoding="utf-8"?>
<sst xmlns="http://schemas.openxmlformats.org/spreadsheetml/2006/main" count="307" uniqueCount="69">
  <si>
    <t>DATE</t>
  </si>
  <si>
    <t>RECEIPT</t>
  </si>
  <si>
    <t>RECEIPT NO.</t>
  </si>
  <si>
    <t>DETAILS</t>
  </si>
  <si>
    <t>CASH</t>
  </si>
  <si>
    <t>AMOUNT</t>
  </si>
  <si>
    <t>PAYEE</t>
  </si>
  <si>
    <t>CHEQ.NO</t>
  </si>
  <si>
    <t>Vou. no.</t>
  </si>
  <si>
    <t xml:space="preserve">         AMOUNT</t>
  </si>
  <si>
    <t>01.10.2022</t>
  </si>
  <si>
    <t>Balance b/fwd</t>
  </si>
  <si>
    <t>Balance cfwd</t>
  </si>
  <si>
    <t>06.10.2022</t>
  </si>
  <si>
    <t>Zuhura Sum,ba</t>
  </si>
  <si>
    <t>26.10.2022</t>
  </si>
  <si>
    <t>Affidavit</t>
  </si>
  <si>
    <t>08.10.2022</t>
  </si>
  <si>
    <t>Maimuna</t>
  </si>
  <si>
    <t>MUA</t>
  </si>
  <si>
    <t>13.10.2022</t>
  </si>
  <si>
    <t>PHOTO</t>
  </si>
  <si>
    <t>25.10.2022</t>
  </si>
  <si>
    <t>Khadija Jabir</t>
  </si>
  <si>
    <t>13.10.2022AISHA MUTHONI</t>
  </si>
  <si>
    <t>27.10.2022</t>
  </si>
  <si>
    <t>Fatma Shaffy</t>
  </si>
  <si>
    <t>AGM /RENEWAL OF CERTIFICATE</t>
  </si>
  <si>
    <t>28.10.2022</t>
  </si>
  <si>
    <t>Zuhura Sumba</t>
  </si>
  <si>
    <t>30.10.22</t>
  </si>
  <si>
    <t>Bank charges</t>
  </si>
  <si>
    <t>Total Payments</t>
  </si>
  <si>
    <t>rehema ali</t>
  </si>
  <si>
    <t>Amina Salim</t>
  </si>
  <si>
    <t>30/12/2022</t>
  </si>
  <si>
    <t>maimuna benevolent</t>
  </si>
  <si>
    <t>28/12/2022</t>
  </si>
  <si>
    <t>Nuru Kibirige</t>
  </si>
  <si>
    <t>Rehma Ali</t>
  </si>
  <si>
    <t>Sheila Mwalekwa</t>
  </si>
  <si>
    <t>14/02/2023</t>
  </si>
  <si>
    <t>15/02/2023</t>
  </si>
  <si>
    <t>Riziki Nyevu</t>
  </si>
  <si>
    <t>16/02/2023</t>
  </si>
  <si>
    <t>19/02/2023</t>
  </si>
  <si>
    <t>Janet Dali</t>
  </si>
  <si>
    <t>23/02/2023</t>
  </si>
  <si>
    <t>20/03/2023</t>
  </si>
  <si>
    <t>Nuru Mohammed share refund</t>
  </si>
  <si>
    <t>Patience  Ndonye</t>
  </si>
  <si>
    <t>31/03/2023</t>
  </si>
  <si>
    <t>24/05/2023</t>
  </si>
  <si>
    <t>25/06/2023</t>
  </si>
  <si>
    <t>27/06/2023</t>
  </si>
  <si>
    <t>27/07/2023</t>
  </si>
  <si>
    <t>28/08/2023</t>
  </si>
  <si>
    <t>30.09.2023</t>
  </si>
  <si>
    <t>Investment trainer</t>
  </si>
  <si>
    <t>patience ndonye</t>
  </si>
  <si>
    <t>Zuhura Honorarium</t>
  </si>
  <si>
    <t>16/09/2023</t>
  </si>
  <si>
    <t>18/9/2023</t>
  </si>
  <si>
    <t>27/09/2023</t>
  </si>
  <si>
    <t>28/09/2023</t>
  </si>
  <si>
    <t>29/09/2023</t>
  </si>
  <si>
    <t>30/09/2023</t>
  </si>
  <si>
    <t>from 0ctober 2022 to sept 2023</t>
  </si>
  <si>
    <t>cash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</si>
</sst>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0&quot; &quot;;&quot; (&quot;#,##0.00&quot;)&quot;;&quot; -&quot;#&quot; &quot;;@&quot; &quot;"/>
    <numFmt numFmtId="166" formatCode="mm/dd/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1"/>
    </font>
    <font>
      <b/>
      <sz val="11"/>
      <color rgb="FF000000"/>
      <name val="Calibri1"/>
    </font>
    <font>
      <sz val="11"/>
      <color rgb="FF000000"/>
      <name val="Arial"/>
      <family val="2"/>
    </font>
    <font>
      <sz val="11"/>
      <color rgb="FF000000"/>
      <name val="Arial1"/>
    </font>
    <font>
      <b/>
      <sz val="11"/>
      <color rgb="FF000000"/>
      <name val="Arial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Protection="0"/>
    <xf numFmtId="164" fontId="4" fillId="0" borderId="0" applyFont="0" applyBorder="0" applyProtection="0"/>
    <xf numFmtId="164" fontId="4" fillId="0" borderId="0" applyFont="0" applyBorder="0" applyProtection="0"/>
  </cellStyleXfs>
  <cellXfs count="20">
    <xf numFmtId="0" fontId="0" fillId="0" borderId="0" xfId="0"/>
    <xf numFmtId="0" fontId="3" fillId="0" borderId="1" xfId="2" applyFont="1" applyFill="1" applyBorder="1" applyAlignment="1" applyProtection="1"/>
    <xf numFmtId="0" fontId="2" fillId="2" borderId="1" xfId="2" applyFont="1" applyFill="1" applyBorder="1" applyAlignment="1" applyProtection="1"/>
    <xf numFmtId="0" fontId="2" fillId="0" borderId="1" xfId="2" applyFont="1" applyFill="1" applyBorder="1" applyAlignment="1" applyProtection="1"/>
    <xf numFmtId="164" fontId="2" fillId="0" borderId="1" xfId="3" applyFont="1" applyFill="1" applyBorder="1" applyAlignment="1" applyProtection="1"/>
    <xf numFmtId="0" fontId="5" fillId="0" borderId="0" xfId="0" applyFont="1" applyAlignment="1"/>
    <xf numFmtId="0" fontId="2" fillId="0" borderId="0" xfId="2" applyFont="1" applyFill="1" applyAlignment="1" applyProtection="1"/>
    <xf numFmtId="43" fontId="5" fillId="0" borderId="0" xfId="1" applyFont="1" applyAlignment="1"/>
    <xf numFmtId="0" fontId="5" fillId="2" borderId="0" xfId="0" applyFont="1" applyFill="1" applyAlignment="1"/>
    <xf numFmtId="164" fontId="2" fillId="0" borderId="0" xfId="4" applyFont="1" applyFill="1" applyAlignment="1" applyProtection="1"/>
    <xf numFmtId="0" fontId="2" fillId="2" borderId="0" xfId="2" applyFont="1" applyFill="1" applyAlignment="1" applyProtection="1"/>
    <xf numFmtId="164" fontId="2" fillId="0" borderId="0" xfId="3" applyFont="1" applyFill="1" applyAlignment="1" applyProtection="1"/>
    <xf numFmtId="164" fontId="2" fillId="0" borderId="0" xfId="2" applyNumberFormat="1" applyFont="1" applyFill="1" applyAlignment="1" applyProtection="1"/>
    <xf numFmtId="164" fontId="2" fillId="0" borderId="2" xfId="4" applyFont="1" applyFill="1" applyBorder="1" applyAlignment="1" applyProtection="1"/>
    <xf numFmtId="3" fontId="2" fillId="0" borderId="0" xfId="2" applyNumberFormat="1" applyFont="1" applyFill="1" applyAlignment="1" applyProtection="1"/>
    <xf numFmtId="164" fontId="2" fillId="0" borderId="2" xfId="2" applyNumberFormat="1" applyFont="1" applyFill="1" applyBorder="1" applyAlignment="1" applyProtection="1"/>
    <xf numFmtId="166" fontId="5" fillId="0" borderId="0" xfId="0" applyNumberFormat="1" applyFont="1" applyAlignment="1"/>
    <xf numFmtId="0" fontId="0" fillId="2" borderId="0" xfId="0" applyFill="1"/>
    <xf numFmtId="3" fontId="5" fillId="0" borderId="0" xfId="0" applyNumberFormat="1" applyFont="1" applyAlignment="1"/>
    <xf numFmtId="0" fontId="6" fillId="0" borderId="2" xfId="0" applyFont="1" applyBorder="1" applyAlignment="1"/>
  </cellXfs>
  <cellStyles count="5">
    <cellStyle name="Comma" xfId="1" builtinId="3"/>
    <cellStyle name="Comma 2" xfId="3"/>
    <cellStyle name="Excel Built-in Comma" xf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9"/>
  <sheetViews>
    <sheetView tabSelected="1" workbookViewId="0">
      <selection activeCell="P6" sqref="P6"/>
    </sheetView>
  </sheetViews>
  <sheetFormatPr defaultRowHeight="15"/>
  <cols>
    <col min="6" max="6" width="14.85546875" customWidth="1"/>
    <col min="14" max="14" width="14.42578125" customWidth="1"/>
  </cols>
  <sheetData>
    <row r="2" spans="1:14">
      <c r="E2" t="s">
        <v>67</v>
      </c>
    </row>
    <row r="3" spans="1:14">
      <c r="E3" t="s">
        <v>68</v>
      </c>
    </row>
    <row r="5" spans="1:14" ht="15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/>
      <c r="H5" s="3" t="s">
        <v>0</v>
      </c>
      <c r="I5" s="3" t="s">
        <v>6</v>
      </c>
      <c r="J5" s="3" t="s">
        <v>7</v>
      </c>
      <c r="K5" s="3" t="s">
        <v>8</v>
      </c>
      <c r="L5" s="3" t="s">
        <v>3</v>
      </c>
      <c r="M5" s="4" t="s">
        <v>4</v>
      </c>
      <c r="N5" s="4" t="s">
        <v>9</v>
      </c>
    </row>
    <row r="6" spans="1:14">
      <c r="A6" s="5" t="s">
        <v>10</v>
      </c>
      <c r="B6" s="5" t="s">
        <v>11</v>
      </c>
      <c r="C6" s="5"/>
      <c r="D6" s="5"/>
      <c r="E6" s="6">
        <v>116000</v>
      </c>
      <c r="F6" s="7">
        <v>235358.05</v>
      </c>
      <c r="G6" s="8"/>
      <c r="H6" s="5" t="s">
        <v>10</v>
      </c>
      <c r="I6" s="5" t="s">
        <v>12</v>
      </c>
      <c r="J6" s="5"/>
      <c r="K6" s="5"/>
      <c r="L6" s="5"/>
      <c r="M6" s="5"/>
      <c r="N6" s="5"/>
    </row>
    <row r="7" spans="1:14">
      <c r="A7" s="5" t="s">
        <v>13</v>
      </c>
      <c r="B7" s="5" t="s">
        <v>14</v>
      </c>
      <c r="C7" s="5"/>
      <c r="D7" s="5"/>
      <c r="E7" s="5"/>
      <c r="F7" s="5">
        <v>20000</v>
      </c>
      <c r="G7" s="8"/>
      <c r="H7" s="5" t="s">
        <v>15</v>
      </c>
      <c r="I7" s="5" t="s">
        <v>16</v>
      </c>
      <c r="J7" s="5"/>
      <c r="K7" s="5"/>
      <c r="L7" s="5"/>
      <c r="M7" s="5">
        <v>2000</v>
      </c>
      <c r="N7" s="5"/>
    </row>
    <row r="8" spans="1:14">
      <c r="A8" s="5" t="s">
        <v>17</v>
      </c>
      <c r="B8" s="5" t="s">
        <v>18</v>
      </c>
      <c r="C8" s="5"/>
      <c r="D8" s="5"/>
      <c r="E8" s="5"/>
      <c r="F8" s="5">
        <v>150000</v>
      </c>
      <c r="G8" s="8"/>
      <c r="H8" s="5"/>
      <c r="I8" s="5" t="s">
        <v>19</v>
      </c>
      <c r="J8" s="5"/>
      <c r="K8" s="5"/>
      <c r="L8" s="5"/>
      <c r="M8" s="5">
        <v>9000</v>
      </c>
      <c r="N8" s="5"/>
    </row>
    <row r="9" spans="1:14">
      <c r="A9" s="5" t="s">
        <v>20</v>
      </c>
      <c r="B9" s="5" t="s">
        <v>18</v>
      </c>
      <c r="C9" s="5"/>
      <c r="D9" s="5"/>
      <c r="E9" s="5"/>
      <c r="F9" s="5">
        <v>19500</v>
      </c>
      <c r="G9" s="8"/>
      <c r="H9" s="5"/>
      <c r="I9" s="5" t="s">
        <v>21</v>
      </c>
      <c r="J9" s="5"/>
      <c r="K9" s="5"/>
      <c r="L9" s="5"/>
      <c r="M9" s="5">
        <v>8500</v>
      </c>
      <c r="N9" s="5"/>
    </row>
    <row r="10" spans="1:14">
      <c r="A10" s="5" t="s">
        <v>22</v>
      </c>
      <c r="B10" s="5" t="s">
        <v>23</v>
      </c>
      <c r="C10" s="5"/>
      <c r="D10" s="5"/>
      <c r="E10" s="5"/>
      <c r="F10" s="5">
        <v>16000</v>
      </c>
      <c r="G10" s="8"/>
      <c r="H10" s="5" t="s">
        <v>24</v>
      </c>
      <c r="I10" s="5"/>
      <c r="J10" s="5"/>
      <c r="K10" s="5"/>
      <c r="L10" s="5"/>
      <c r="M10" s="5"/>
      <c r="N10" s="5">
        <v>200500</v>
      </c>
    </row>
    <row r="11" spans="1:14">
      <c r="A11" s="5" t="s">
        <v>25</v>
      </c>
      <c r="B11" s="5" t="s">
        <v>26</v>
      </c>
      <c r="C11" s="5"/>
      <c r="D11" s="5"/>
      <c r="E11" s="5"/>
      <c r="F11" s="5">
        <v>5500</v>
      </c>
      <c r="G11" s="8"/>
      <c r="H11" s="5"/>
      <c r="I11" s="5" t="s">
        <v>27</v>
      </c>
      <c r="J11" s="5"/>
      <c r="K11" s="5"/>
      <c r="L11" s="5"/>
      <c r="M11" s="5">
        <v>6130</v>
      </c>
      <c r="N11" s="5"/>
    </row>
    <row r="12" spans="1:14">
      <c r="A12" s="5" t="s">
        <v>28</v>
      </c>
      <c r="B12" s="5" t="s">
        <v>29</v>
      </c>
      <c r="C12" s="5"/>
      <c r="D12" s="5"/>
      <c r="E12" s="5"/>
      <c r="F12" s="5">
        <v>10000</v>
      </c>
      <c r="G12" s="8"/>
      <c r="H12" s="5" t="s">
        <v>30</v>
      </c>
      <c r="I12" s="5" t="s">
        <v>31</v>
      </c>
      <c r="J12" s="5"/>
      <c r="K12" s="5"/>
      <c r="L12" s="5"/>
      <c r="M12" s="5"/>
      <c r="N12" s="5">
        <v>126</v>
      </c>
    </row>
    <row r="13" spans="1:14">
      <c r="A13" s="5"/>
      <c r="B13" s="5"/>
      <c r="C13" s="5"/>
      <c r="D13" s="5"/>
      <c r="E13" s="5"/>
      <c r="F13" s="5"/>
      <c r="G13" s="8"/>
      <c r="H13" s="5"/>
      <c r="I13" s="5"/>
      <c r="J13" s="5"/>
      <c r="K13" s="5"/>
      <c r="L13" s="5"/>
      <c r="M13" s="5"/>
      <c r="N13" s="5"/>
    </row>
    <row r="14" spans="1:14">
      <c r="A14" s="5"/>
      <c r="B14" s="6"/>
      <c r="C14" s="6"/>
      <c r="D14" s="6"/>
      <c r="E14" s="6"/>
      <c r="F14" s="9"/>
      <c r="G14" s="10"/>
      <c r="H14" s="6"/>
      <c r="I14" s="6" t="s">
        <v>32</v>
      </c>
      <c r="J14" s="6"/>
      <c r="K14" s="6"/>
      <c r="L14" s="6"/>
      <c r="M14" s="6">
        <f>SUM(M6:M13)</f>
        <v>25630</v>
      </c>
      <c r="N14" s="11">
        <f>SUM(N6:N13)</f>
        <v>200626</v>
      </c>
    </row>
    <row r="15" spans="1:14">
      <c r="A15" s="5"/>
      <c r="B15" s="6"/>
      <c r="C15" s="6"/>
      <c r="D15" s="6"/>
      <c r="E15" s="6"/>
      <c r="F15" s="9"/>
      <c r="G15" s="10"/>
      <c r="H15" s="6"/>
      <c r="I15" s="6" t="s">
        <v>12</v>
      </c>
      <c r="J15" s="6"/>
      <c r="K15" s="6"/>
      <c r="L15" s="6"/>
      <c r="M15" s="6">
        <f>M16-M14</f>
        <v>90370</v>
      </c>
      <c r="N15" s="12">
        <f>SUM(F16-N14)</f>
        <v>255732.05</v>
      </c>
    </row>
    <row r="16" spans="1:14" ht="15.75" thickBot="1">
      <c r="A16" s="5"/>
      <c r="B16" s="6"/>
      <c r="C16" s="6"/>
      <c r="D16" s="6"/>
      <c r="E16" s="6">
        <f>SUM(E6:E15)</f>
        <v>116000</v>
      </c>
      <c r="F16" s="13">
        <f>SUM(F6:F15)</f>
        <v>456358.05</v>
      </c>
      <c r="G16" s="10"/>
      <c r="H16" s="6"/>
      <c r="I16" s="6"/>
      <c r="J16" s="6"/>
      <c r="K16" s="6"/>
      <c r="L16" s="6"/>
      <c r="M16" s="14">
        <v>116000</v>
      </c>
      <c r="N16" s="15">
        <v>2355358.0499999998</v>
      </c>
    </row>
    <row r="17" spans="1:14" ht="16.5" thickTop="1" thickBot="1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2"/>
      <c r="H17" s="3" t="s">
        <v>0</v>
      </c>
      <c r="I17" s="3" t="s">
        <v>6</v>
      </c>
      <c r="J17" s="3" t="s">
        <v>7</v>
      </c>
      <c r="K17" s="3" t="s">
        <v>8</v>
      </c>
      <c r="L17" s="3" t="s">
        <v>3</v>
      </c>
      <c r="M17" s="4" t="s">
        <v>4</v>
      </c>
      <c r="N17" s="4" t="s">
        <v>9</v>
      </c>
    </row>
    <row r="18" spans="1:1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16">
        <v>44572</v>
      </c>
      <c r="B19" s="5" t="s">
        <v>11</v>
      </c>
      <c r="C19" s="5"/>
      <c r="D19" s="5"/>
      <c r="E19" s="5">
        <v>90370</v>
      </c>
      <c r="F19" s="12">
        <v>255732.05</v>
      </c>
      <c r="G19" s="8"/>
      <c r="H19" s="16">
        <v>44572</v>
      </c>
      <c r="I19" s="5" t="s">
        <v>12</v>
      </c>
      <c r="J19" s="5"/>
      <c r="K19" s="5"/>
      <c r="L19" s="5"/>
      <c r="M19" s="5"/>
      <c r="N19" s="5"/>
    </row>
    <row r="20" spans="1:14">
      <c r="A20" s="16"/>
      <c r="B20" s="5"/>
      <c r="C20" s="5"/>
      <c r="D20" s="5"/>
      <c r="E20" s="5"/>
      <c r="F20" s="12"/>
      <c r="G20" s="8"/>
      <c r="H20" s="16"/>
      <c r="I20" s="5"/>
      <c r="J20" s="5"/>
      <c r="K20" s="5"/>
      <c r="L20" s="5"/>
      <c r="M20" s="5"/>
      <c r="N20" s="5"/>
    </row>
    <row r="21" spans="1:14">
      <c r="A21" s="16"/>
      <c r="B21" s="5"/>
      <c r="C21" s="5"/>
      <c r="D21" s="5"/>
      <c r="E21" s="5"/>
      <c r="F21" s="12"/>
      <c r="G21" s="8"/>
      <c r="H21" s="16"/>
      <c r="I21" s="5"/>
      <c r="J21" s="5"/>
      <c r="K21" s="5"/>
      <c r="L21" s="5"/>
      <c r="M21" s="5"/>
      <c r="N21" s="5"/>
    </row>
    <row r="22" spans="1:14">
      <c r="A22" s="16">
        <v>44631</v>
      </c>
      <c r="B22" s="5" t="s">
        <v>33</v>
      </c>
      <c r="C22" s="5"/>
      <c r="D22" s="5"/>
      <c r="E22" s="5"/>
      <c r="F22" s="5">
        <v>5500</v>
      </c>
      <c r="G22" s="8"/>
      <c r="H22" s="16"/>
      <c r="I22" s="5"/>
      <c r="J22" s="5"/>
      <c r="K22" s="5"/>
      <c r="L22" s="5"/>
      <c r="M22" s="5"/>
      <c r="N22" s="5"/>
    </row>
    <row r="23" spans="1:14">
      <c r="A23" s="16"/>
      <c r="B23" s="5"/>
      <c r="C23" s="5"/>
      <c r="D23" s="5"/>
      <c r="E23" s="5"/>
      <c r="F23" s="12"/>
      <c r="G23" s="8"/>
      <c r="H23" s="16"/>
      <c r="I23" s="5"/>
      <c r="J23" s="5"/>
      <c r="K23" s="5"/>
      <c r="L23" s="5"/>
      <c r="M23" s="5"/>
      <c r="N23" s="5"/>
    </row>
    <row r="24" spans="1:14">
      <c r="A24" s="16"/>
      <c r="B24" s="5"/>
      <c r="C24" s="5"/>
      <c r="D24" s="5"/>
      <c r="E24" s="5"/>
      <c r="F24" s="12"/>
      <c r="G24" s="8"/>
      <c r="H24" s="16"/>
      <c r="I24" s="5"/>
      <c r="J24" s="5"/>
      <c r="K24" s="5"/>
      <c r="L24" s="5"/>
      <c r="M24" s="5"/>
      <c r="N24" s="5"/>
    </row>
    <row r="25" spans="1:14">
      <c r="A25" s="5"/>
      <c r="B25" s="6"/>
      <c r="C25" s="6"/>
      <c r="D25" s="6"/>
      <c r="E25" s="6"/>
      <c r="F25" s="9"/>
      <c r="G25" s="10"/>
      <c r="H25" s="6"/>
      <c r="I25" s="6" t="s">
        <v>32</v>
      </c>
      <c r="J25" s="6"/>
      <c r="K25" s="6"/>
      <c r="L25" s="6"/>
      <c r="M25" s="6">
        <f>SUM(M17:M24)</f>
        <v>0</v>
      </c>
      <c r="N25" s="11"/>
    </row>
    <row r="26" spans="1:14">
      <c r="A26" s="5"/>
      <c r="B26" s="6"/>
      <c r="C26" s="6"/>
      <c r="D26" s="6"/>
      <c r="E26" s="6"/>
      <c r="F26" s="9"/>
      <c r="G26" s="10"/>
      <c r="H26" s="6"/>
      <c r="I26" s="6" t="s">
        <v>12</v>
      </c>
      <c r="J26" s="6"/>
      <c r="K26" s="6"/>
      <c r="L26" s="6"/>
      <c r="M26" s="6">
        <f>SUM(E27-M25)</f>
        <v>90370</v>
      </c>
      <c r="N26" s="12">
        <f>F27-N21</f>
        <v>261232.05</v>
      </c>
    </row>
    <row r="27" spans="1:14" ht="15.75" thickBot="1">
      <c r="A27" s="5"/>
      <c r="B27" s="6"/>
      <c r="C27" s="6"/>
      <c r="D27" s="6"/>
      <c r="E27" s="6">
        <f>SUM(E19:E26)</f>
        <v>90370</v>
      </c>
      <c r="F27" s="13">
        <f>SUM(F17:F26)</f>
        <v>261232.05</v>
      </c>
      <c r="G27" s="10"/>
      <c r="H27" s="6"/>
      <c r="I27" s="6"/>
      <c r="J27" s="6"/>
      <c r="K27" s="6"/>
      <c r="L27" s="6"/>
      <c r="M27" s="14">
        <f>SUM(M26)</f>
        <v>90370</v>
      </c>
      <c r="N27" s="15">
        <v>2355358.0499999998</v>
      </c>
    </row>
    <row r="28" spans="1:14" ht="15.75" thickTop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15.75" thickBo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2"/>
      <c r="H29" s="3" t="s">
        <v>0</v>
      </c>
      <c r="I29" s="3" t="s">
        <v>6</v>
      </c>
      <c r="J29" s="3" t="s">
        <v>7</v>
      </c>
      <c r="K29" s="3" t="s">
        <v>8</v>
      </c>
      <c r="L29" s="3" t="s">
        <v>3</v>
      </c>
      <c r="M29" s="4" t="s">
        <v>4</v>
      </c>
      <c r="N29" s="4" t="s">
        <v>9</v>
      </c>
    </row>
    <row r="30" spans="1:14">
      <c r="A30" s="16">
        <v>44573</v>
      </c>
      <c r="B30" s="5" t="s">
        <v>11</v>
      </c>
      <c r="C30" s="5"/>
      <c r="D30" s="5"/>
      <c r="E30" s="5">
        <v>90370</v>
      </c>
      <c r="F30" s="12">
        <v>261232.05</v>
      </c>
      <c r="G30" s="8"/>
      <c r="H30" s="16">
        <v>44573</v>
      </c>
      <c r="I30" s="5" t="s">
        <v>12</v>
      </c>
      <c r="J30" s="5"/>
      <c r="K30" s="5"/>
      <c r="L30" s="5"/>
      <c r="M30" s="5"/>
      <c r="N30" s="5"/>
    </row>
    <row r="31" spans="1:14">
      <c r="A31" s="16">
        <v>44632</v>
      </c>
      <c r="B31" s="5" t="s">
        <v>33</v>
      </c>
      <c r="C31" s="5"/>
      <c r="D31" s="5"/>
      <c r="E31" s="5"/>
      <c r="F31" s="5">
        <v>5500</v>
      </c>
      <c r="G31" s="8"/>
      <c r="H31" s="16">
        <v>44816</v>
      </c>
      <c r="I31" s="5" t="s">
        <v>34</v>
      </c>
      <c r="J31" s="5"/>
      <c r="K31" s="5"/>
      <c r="L31" s="5"/>
      <c r="M31" s="5"/>
      <c r="N31" s="5">
        <v>256000</v>
      </c>
    </row>
    <row r="32" spans="1:14">
      <c r="A32" s="16">
        <v>44663</v>
      </c>
      <c r="B32" s="5" t="s">
        <v>26</v>
      </c>
      <c r="C32" s="5"/>
      <c r="D32" s="5"/>
      <c r="E32" s="5"/>
      <c r="F32" s="5">
        <v>5500</v>
      </c>
      <c r="G32" s="8"/>
      <c r="H32" s="5" t="s">
        <v>35</v>
      </c>
      <c r="I32" s="5" t="s">
        <v>36</v>
      </c>
      <c r="J32" s="5"/>
      <c r="K32" s="5"/>
      <c r="L32" s="5"/>
      <c r="M32" s="5">
        <v>10000</v>
      </c>
      <c r="N32" s="5"/>
    </row>
    <row r="33" spans="1:14">
      <c r="A33" s="5" t="s">
        <v>37</v>
      </c>
      <c r="B33" s="5" t="s">
        <v>26</v>
      </c>
      <c r="C33" s="5"/>
      <c r="D33" s="5"/>
      <c r="E33" s="5"/>
      <c r="F33" s="5">
        <v>5500</v>
      </c>
      <c r="G33" s="8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5"/>
      <c r="D34" s="5"/>
      <c r="E34" s="5"/>
      <c r="F34" s="5"/>
      <c r="G34" s="8"/>
      <c r="H34" s="5"/>
      <c r="I34" s="5"/>
      <c r="J34" s="5"/>
      <c r="K34" s="5"/>
      <c r="L34" s="5"/>
      <c r="M34" s="5"/>
      <c r="N34" s="5"/>
    </row>
    <row r="35" spans="1:14">
      <c r="A35" s="5" t="s">
        <v>37</v>
      </c>
      <c r="B35" s="5" t="s">
        <v>38</v>
      </c>
      <c r="C35" s="5"/>
      <c r="D35" s="5"/>
      <c r="E35" s="5"/>
      <c r="F35" s="5">
        <v>5500</v>
      </c>
      <c r="G35" s="8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5"/>
      <c r="D36" s="5"/>
      <c r="E36" s="5"/>
      <c r="F36" s="5"/>
      <c r="G36" s="8"/>
      <c r="H36" s="5"/>
      <c r="I36" s="5"/>
      <c r="J36" s="5"/>
      <c r="K36" s="5"/>
      <c r="L36" s="5"/>
      <c r="M36" s="5"/>
      <c r="N36" s="5"/>
    </row>
    <row r="37" spans="1:14">
      <c r="A37" s="5"/>
      <c r="B37" s="6"/>
      <c r="C37" s="6"/>
      <c r="D37" s="6"/>
      <c r="E37" s="6"/>
      <c r="F37" s="9"/>
      <c r="G37" s="10"/>
      <c r="H37" s="6"/>
      <c r="I37" s="6" t="s">
        <v>32</v>
      </c>
      <c r="J37" s="6"/>
      <c r="K37" s="6"/>
      <c r="L37" s="6"/>
      <c r="M37" s="6">
        <f>SUM(M29:M36)</f>
        <v>10000</v>
      </c>
      <c r="N37" s="11">
        <f>SUM(N31:N36)</f>
        <v>256000</v>
      </c>
    </row>
    <row r="38" spans="1:14">
      <c r="A38" s="5"/>
      <c r="B38" s="6"/>
      <c r="C38" s="6"/>
      <c r="D38" s="6"/>
      <c r="E38" s="6"/>
      <c r="F38" s="9"/>
      <c r="G38" s="10"/>
      <c r="H38" s="6"/>
      <c r="I38" s="6" t="s">
        <v>12</v>
      </c>
      <c r="J38" s="6"/>
      <c r="K38" s="6"/>
      <c r="L38" s="6"/>
      <c r="M38" s="6">
        <f>SUM(E39-M37)</f>
        <v>80370</v>
      </c>
      <c r="N38" s="12">
        <f>SUM(F39-N37)</f>
        <v>27232.049999999988</v>
      </c>
    </row>
    <row r="39" spans="1:14" ht="15.75" thickBot="1">
      <c r="A39" s="5"/>
      <c r="B39" s="6"/>
      <c r="C39" s="6"/>
      <c r="D39" s="6"/>
      <c r="E39" s="6">
        <f>SUM(E30:E38)</f>
        <v>90370</v>
      </c>
      <c r="F39" s="13">
        <f>SUM(F29:F38)</f>
        <v>283232.05</v>
      </c>
      <c r="G39" s="10"/>
      <c r="H39" s="6"/>
      <c r="I39" s="6"/>
      <c r="J39" s="6"/>
      <c r="K39" s="6"/>
      <c r="L39" s="6"/>
      <c r="M39" s="14">
        <f>SUM(M37:M38)</f>
        <v>90370</v>
      </c>
      <c r="N39" s="15">
        <f>SUM(N37:N38)</f>
        <v>283232.05</v>
      </c>
    </row>
    <row r="40" spans="1:14" ht="15.75" thickTop="1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</row>
    <row r="42" spans="1:14">
      <c r="G42" s="8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</row>
    <row r="44" spans="1:14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</row>
    <row r="45" spans="1:14" ht="15.75" thickBot="1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2"/>
      <c r="H45" s="3" t="s">
        <v>0</v>
      </c>
      <c r="I45" s="3" t="s">
        <v>6</v>
      </c>
      <c r="J45" s="3" t="s">
        <v>7</v>
      </c>
      <c r="K45" s="3" t="s">
        <v>8</v>
      </c>
      <c r="L45" s="3" t="s">
        <v>3</v>
      </c>
      <c r="M45" s="4" t="s">
        <v>4</v>
      </c>
      <c r="N45" s="4" t="s">
        <v>9</v>
      </c>
    </row>
    <row r="46" spans="1:14">
      <c r="A46" s="16">
        <v>44927</v>
      </c>
      <c r="B46" s="5" t="s">
        <v>11</v>
      </c>
      <c r="C46" s="5"/>
      <c r="D46" s="5"/>
      <c r="E46" s="5">
        <v>80370</v>
      </c>
      <c r="F46" s="12">
        <v>27232.049999999988</v>
      </c>
      <c r="G46" s="8"/>
      <c r="H46" s="16">
        <v>44927</v>
      </c>
      <c r="I46" s="5" t="s">
        <v>12</v>
      </c>
      <c r="J46" s="5"/>
      <c r="K46" s="5"/>
      <c r="L46" s="5"/>
      <c r="M46" s="5"/>
      <c r="N46" s="5"/>
    </row>
    <row r="47" spans="1:14">
      <c r="A47" s="16">
        <v>44958</v>
      </c>
      <c r="B47" s="5" t="s">
        <v>23</v>
      </c>
      <c r="C47" s="5"/>
      <c r="D47" s="5"/>
      <c r="E47" s="5"/>
      <c r="F47" s="7">
        <v>20000</v>
      </c>
      <c r="G47" s="8"/>
      <c r="H47" s="5"/>
      <c r="I47" s="5"/>
      <c r="J47" s="5"/>
      <c r="K47" s="5"/>
      <c r="L47" s="5"/>
      <c r="M47" s="5"/>
      <c r="N47" s="5"/>
    </row>
    <row r="48" spans="1:14">
      <c r="A48" s="16">
        <v>44958</v>
      </c>
      <c r="B48" s="5" t="s">
        <v>23</v>
      </c>
      <c r="C48" s="5"/>
      <c r="D48" s="5"/>
      <c r="E48" s="5"/>
      <c r="F48" s="7">
        <v>2000</v>
      </c>
      <c r="G48" s="8"/>
      <c r="H48" s="5"/>
      <c r="I48" s="5"/>
      <c r="J48" s="5"/>
      <c r="K48" s="5"/>
      <c r="L48" s="5"/>
      <c r="M48" s="5"/>
      <c r="N48" s="5"/>
    </row>
    <row r="49" spans="1:14">
      <c r="A49" s="16">
        <v>44986</v>
      </c>
      <c r="B49" s="5" t="s">
        <v>39</v>
      </c>
      <c r="C49" s="5"/>
      <c r="D49" s="5"/>
      <c r="E49" s="5"/>
      <c r="F49" s="7">
        <v>5500</v>
      </c>
      <c r="G49" s="8"/>
      <c r="H49" s="5"/>
      <c r="I49" s="5"/>
      <c r="J49" s="5"/>
      <c r="K49" s="5"/>
      <c r="L49" s="5"/>
      <c r="M49" s="5"/>
      <c r="N49" s="5"/>
    </row>
    <row r="50" spans="1:14">
      <c r="A50" s="16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</row>
    <row r="51" spans="1:14">
      <c r="A51" s="16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</row>
    <row r="52" spans="1:14">
      <c r="A52" s="16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</row>
    <row r="53" spans="1:14">
      <c r="A53" s="16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</row>
    <row r="54" spans="1:14">
      <c r="A54" s="5"/>
      <c r="B54" s="6"/>
      <c r="C54" s="6"/>
      <c r="D54" s="6"/>
      <c r="E54" s="6"/>
      <c r="F54" s="9"/>
      <c r="G54" s="10"/>
      <c r="H54" s="6"/>
      <c r="I54" s="6" t="s">
        <v>32</v>
      </c>
      <c r="J54" s="6"/>
      <c r="K54" s="6"/>
      <c r="L54" s="6"/>
      <c r="M54" s="6">
        <f>SUM(M46:M53)</f>
        <v>0</v>
      </c>
      <c r="N54" s="11"/>
    </row>
    <row r="55" spans="1:14">
      <c r="A55" s="5"/>
      <c r="B55" s="6"/>
      <c r="C55" s="6"/>
      <c r="D55" s="6"/>
      <c r="E55" s="6"/>
      <c r="F55" s="9"/>
      <c r="G55" s="10"/>
      <c r="H55" s="6"/>
      <c r="I55" s="6" t="s">
        <v>12</v>
      </c>
      <c r="J55" s="6"/>
      <c r="K55" s="6"/>
      <c r="L55" s="6"/>
      <c r="M55" s="6">
        <f>SUM(E56-M54)</f>
        <v>80370</v>
      </c>
      <c r="N55" s="12"/>
    </row>
    <row r="56" spans="1:14" ht="15.75" thickBot="1">
      <c r="A56" s="5"/>
      <c r="B56" s="6"/>
      <c r="C56" s="6"/>
      <c r="D56" s="6"/>
      <c r="E56" s="6">
        <f>SUM(E46:E55)</f>
        <v>80370</v>
      </c>
      <c r="F56" s="13">
        <f>SUM(F46:F55)</f>
        <v>54732.049999999988</v>
      </c>
      <c r="G56" s="10"/>
      <c r="H56" s="6"/>
      <c r="I56" s="6"/>
      <c r="J56" s="6"/>
      <c r="K56" s="6"/>
      <c r="L56" s="6"/>
      <c r="M56" s="14">
        <f>SUM(M54:M55)</f>
        <v>80370</v>
      </c>
      <c r="N56" s="13">
        <v>54732.05</v>
      </c>
    </row>
    <row r="57" spans="1:14" ht="15.75" thickTop="1">
      <c r="A57" s="16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</row>
    <row r="58" spans="1:14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</row>
    <row r="59" spans="1:14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</row>
    <row r="60" spans="1:14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</row>
    <row r="61" spans="1:14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</row>
    <row r="62" spans="1:14" ht="15.75" thickBot="1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2"/>
      <c r="H62" s="3" t="s">
        <v>0</v>
      </c>
      <c r="I62" s="3" t="s">
        <v>6</v>
      </c>
      <c r="J62" s="3" t="s">
        <v>7</v>
      </c>
      <c r="K62" s="3" t="s">
        <v>8</v>
      </c>
      <c r="L62" s="3" t="s">
        <v>3</v>
      </c>
      <c r="M62" s="4" t="s">
        <v>4</v>
      </c>
      <c r="N62" s="4" t="s">
        <v>9</v>
      </c>
    </row>
    <row r="63" spans="1:14">
      <c r="A63" s="16">
        <v>44928</v>
      </c>
      <c r="B63" s="5" t="s">
        <v>11</v>
      </c>
      <c r="C63" s="5"/>
      <c r="D63" s="5"/>
      <c r="E63" s="5"/>
      <c r="F63" s="5">
        <v>54732.05</v>
      </c>
      <c r="G63" s="17"/>
      <c r="H63" s="5"/>
      <c r="I63" s="5"/>
      <c r="J63" s="5"/>
      <c r="K63" s="5"/>
      <c r="L63" s="5"/>
      <c r="M63" s="5"/>
      <c r="N63" s="5"/>
    </row>
    <row r="64" spans="1:14">
      <c r="A64" s="16">
        <v>44987</v>
      </c>
      <c r="B64" s="5" t="s">
        <v>39</v>
      </c>
      <c r="C64" s="5"/>
      <c r="D64" s="5"/>
      <c r="E64" s="5"/>
      <c r="F64" s="5">
        <v>5500</v>
      </c>
      <c r="G64" s="8"/>
      <c r="H64" s="16">
        <v>44928</v>
      </c>
      <c r="I64" s="5" t="s">
        <v>12</v>
      </c>
      <c r="J64" s="5"/>
      <c r="K64" s="5"/>
      <c r="L64" s="5"/>
      <c r="M64" s="5"/>
      <c r="N64" s="5"/>
    </row>
    <row r="65" spans="1:14">
      <c r="A65" s="16">
        <v>45018</v>
      </c>
      <c r="B65" s="5" t="s">
        <v>40</v>
      </c>
      <c r="C65" s="5"/>
      <c r="D65" s="5"/>
      <c r="E65" s="5"/>
      <c r="F65" s="5">
        <v>16500</v>
      </c>
      <c r="G65" s="8"/>
      <c r="H65" s="5"/>
      <c r="I65" s="5"/>
      <c r="J65" s="5"/>
      <c r="K65" s="5"/>
      <c r="L65" s="5"/>
      <c r="M65" s="5"/>
      <c r="N65" s="5"/>
    </row>
    <row r="66" spans="1:14">
      <c r="A66" s="5" t="s">
        <v>41</v>
      </c>
      <c r="B66" s="5" t="s">
        <v>26</v>
      </c>
      <c r="C66" s="5"/>
      <c r="D66" s="5"/>
      <c r="E66" s="5"/>
      <c r="F66" s="5">
        <v>5500</v>
      </c>
      <c r="G66" s="8"/>
      <c r="H66" s="5"/>
      <c r="I66" s="5"/>
      <c r="J66" s="5"/>
      <c r="K66" s="5"/>
      <c r="L66" s="5"/>
      <c r="M66" s="5"/>
      <c r="N66" s="5"/>
    </row>
    <row r="67" spans="1:14">
      <c r="A67" s="5" t="s">
        <v>42</v>
      </c>
      <c r="B67" s="5" t="s">
        <v>43</v>
      </c>
      <c r="C67" s="5"/>
      <c r="D67" s="5"/>
      <c r="E67" s="5"/>
      <c r="F67" s="5">
        <v>66000</v>
      </c>
      <c r="G67" s="8"/>
      <c r="H67" s="5"/>
      <c r="I67" s="5"/>
      <c r="J67" s="5"/>
      <c r="K67" s="5"/>
      <c r="L67" s="5"/>
      <c r="M67" s="5"/>
      <c r="N67" s="5"/>
    </row>
    <row r="68" spans="1:14">
      <c r="A68" s="5" t="s">
        <v>44</v>
      </c>
      <c r="B68" s="5" t="s">
        <v>14</v>
      </c>
      <c r="C68" s="5"/>
      <c r="D68" s="5"/>
      <c r="E68" s="5"/>
      <c r="F68" s="5">
        <v>22000</v>
      </c>
      <c r="G68" s="8"/>
      <c r="H68" s="5"/>
      <c r="I68" s="5"/>
      <c r="J68" s="5"/>
      <c r="K68" s="5"/>
      <c r="L68" s="5"/>
      <c r="M68" s="5"/>
      <c r="N68" s="5"/>
    </row>
    <row r="69" spans="1:14">
      <c r="A69" s="5" t="s">
        <v>44</v>
      </c>
      <c r="B69" s="5" t="s">
        <v>14</v>
      </c>
      <c r="C69" s="5"/>
      <c r="D69" s="5"/>
      <c r="E69" s="5"/>
      <c r="F69" s="5">
        <v>16500</v>
      </c>
      <c r="G69" s="8"/>
      <c r="H69" s="5"/>
      <c r="I69" s="5"/>
      <c r="J69" s="5"/>
      <c r="K69" s="5"/>
      <c r="L69" s="5"/>
      <c r="M69" s="5"/>
      <c r="N69" s="5"/>
    </row>
    <row r="70" spans="1:14">
      <c r="A70" s="5" t="s">
        <v>45</v>
      </c>
      <c r="B70" s="5" t="s">
        <v>46</v>
      </c>
      <c r="C70" s="5"/>
      <c r="D70" s="5"/>
      <c r="E70" s="5"/>
      <c r="F70" s="5">
        <v>33000</v>
      </c>
      <c r="G70" s="8"/>
      <c r="H70" s="5"/>
      <c r="I70" s="5"/>
      <c r="J70" s="5"/>
      <c r="K70" s="5"/>
      <c r="L70" s="5"/>
      <c r="M70" s="5"/>
      <c r="N70" s="5"/>
    </row>
    <row r="71" spans="1:14">
      <c r="A71" s="5" t="s">
        <v>47</v>
      </c>
      <c r="B71" s="5" t="s">
        <v>26</v>
      </c>
      <c r="C71" s="5"/>
      <c r="D71" s="5"/>
      <c r="E71" s="5"/>
      <c r="F71" s="5">
        <v>11000</v>
      </c>
      <c r="G71" s="8"/>
      <c r="H71" s="5"/>
      <c r="I71" s="5"/>
      <c r="J71" s="5"/>
      <c r="K71" s="5"/>
      <c r="L71" s="5"/>
      <c r="M71" s="5"/>
      <c r="N71" s="5"/>
    </row>
    <row r="72" spans="1:14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</row>
    <row r="73" spans="1:14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</row>
    <row r="74" spans="1:14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</row>
    <row r="75" spans="1:14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</row>
    <row r="76" spans="1:14">
      <c r="A76" s="5"/>
      <c r="B76" s="5"/>
      <c r="C76" s="5"/>
      <c r="D76" s="5"/>
      <c r="E76" s="5"/>
      <c r="F76" s="5"/>
      <c r="G76" s="8"/>
      <c r="H76" s="5"/>
      <c r="I76" s="5" t="s">
        <v>32</v>
      </c>
      <c r="J76" s="5"/>
      <c r="K76" s="5"/>
      <c r="L76" s="5"/>
      <c r="M76" s="5">
        <v>0</v>
      </c>
      <c r="N76" s="5"/>
    </row>
    <row r="77" spans="1:14">
      <c r="A77" s="5"/>
      <c r="B77" s="5"/>
      <c r="C77" s="5"/>
      <c r="D77" s="5"/>
      <c r="E77" s="5"/>
      <c r="F77" s="5"/>
      <c r="G77" s="8"/>
      <c r="H77" s="5"/>
      <c r="I77" s="5" t="s">
        <v>12</v>
      </c>
      <c r="J77" s="5"/>
      <c r="K77" s="5"/>
      <c r="L77" s="5"/>
      <c r="M77" s="5">
        <v>80370</v>
      </c>
      <c r="N77" s="5">
        <v>230732.05</v>
      </c>
    </row>
    <row r="78" spans="1:14">
      <c r="A78" s="5"/>
      <c r="B78" s="5"/>
      <c r="C78" s="5"/>
      <c r="D78" s="5"/>
      <c r="E78" s="5">
        <v>80370</v>
      </c>
      <c r="F78" s="5">
        <f>SUM(F63:F77)</f>
        <v>230732.05</v>
      </c>
      <c r="G78" s="8"/>
      <c r="H78" s="5"/>
      <c r="I78" s="5"/>
      <c r="J78" s="5"/>
      <c r="K78" s="5"/>
      <c r="L78" s="5"/>
      <c r="M78" s="5">
        <v>80370</v>
      </c>
      <c r="N78" s="5">
        <f>SUM(N76:N77)</f>
        <v>230732.05</v>
      </c>
    </row>
    <row r="79" spans="1:14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</row>
    <row r="80" spans="1:14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</row>
    <row r="81" spans="1:14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</row>
    <row r="82" spans="1:14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</row>
    <row r="83" spans="1:14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</row>
    <row r="84" spans="1:14" ht="15.75" thickBot="1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2"/>
      <c r="H84" s="3" t="s">
        <v>0</v>
      </c>
      <c r="I84" s="3" t="s">
        <v>6</v>
      </c>
      <c r="J84" s="3" t="s">
        <v>7</v>
      </c>
      <c r="K84" s="3" t="s">
        <v>8</v>
      </c>
      <c r="L84" s="3" t="s">
        <v>3</v>
      </c>
      <c r="M84" s="4" t="s">
        <v>4</v>
      </c>
      <c r="N84" s="4" t="s">
        <v>9</v>
      </c>
    </row>
    <row r="85" spans="1:14">
      <c r="A85" s="16">
        <v>44929</v>
      </c>
      <c r="B85" s="5" t="s">
        <v>11</v>
      </c>
      <c r="C85" s="5"/>
      <c r="D85" s="5"/>
      <c r="E85" s="5">
        <v>80370</v>
      </c>
      <c r="F85" s="5">
        <v>230732.05</v>
      </c>
      <c r="G85" s="8"/>
      <c r="H85" s="16">
        <v>44929</v>
      </c>
      <c r="I85" s="5" t="s">
        <v>12</v>
      </c>
      <c r="J85" s="5"/>
      <c r="K85" s="5"/>
      <c r="L85" s="5"/>
      <c r="M85" s="5"/>
      <c r="N85" s="5"/>
    </row>
    <row r="86" spans="1:14">
      <c r="A86" s="16">
        <v>44929</v>
      </c>
      <c r="B86" s="5" t="s">
        <v>40</v>
      </c>
      <c r="C86" s="5"/>
      <c r="D86" s="5"/>
      <c r="E86" s="5"/>
      <c r="F86" s="5">
        <v>11000</v>
      </c>
      <c r="G86" s="8"/>
      <c r="H86" s="5" t="s">
        <v>48</v>
      </c>
      <c r="I86" s="5" t="s">
        <v>49</v>
      </c>
      <c r="J86" s="5"/>
      <c r="K86" s="5"/>
      <c r="L86" s="5"/>
      <c r="M86" s="5"/>
      <c r="N86" s="5">
        <v>251500</v>
      </c>
    </row>
    <row r="87" spans="1:14">
      <c r="A87" s="16">
        <v>44988</v>
      </c>
      <c r="B87" s="5" t="s">
        <v>39</v>
      </c>
      <c r="C87" s="5"/>
      <c r="D87" s="5"/>
      <c r="E87" s="5"/>
      <c r="F87" s="5">
        <v>5500</v>
      </c>
      <c r="G87" s="8"/>
      <c r="H87" s="5"/>
      <c r="I87" s="5"/>
      <c r="J87" s="5"/>
      <c r="K87" s="5"/>
      <c r="L87" s="5"/>
      <c r="M87" s="5"/>
      <c r="N87" s="5"/>
    </row>
    <row r="88" spans="1:14">
      <c r="A88" s="16">
        <v>45080</v>
      </c>
      <c r="B88" s="5" t="s">
        <v>38</v>
      </c>
      <c r="C88" s="5"/>
      <c r="D88" s="5"/>
      <c r="E88" s="5"/>
      <c r="F88" s="5">
        <v>22000</v>
      </c>
      <c r="G88" s="8"/>
      <c r="H88" s="5"/>
      <c r="I88" s="5"/>
      <c r="J88" s="5"/>
      <c r="K88" s="5"/>
      <c r="L88" s="5"/>
      <c r="M88" s="5"/>
      <c r="N88" s="5"/>
    </row>
    <row r="89" spans="1:14">
      <c r="A89" s="16">
        <v>45172</v>
      </c>
      <c r="B89" s="5" t="s">
        <v>50</v>
      </c>
      <c r="C89" s="5"/>
      <c r="D89" s="5"/>
      <c r="E89" s="5"/>
      <c r="F89" s="5">
        <v>30000</v>
      </c>
      <c r="G89" s="8"/>
      <c r="H89" s="5"/>
      <c r="I89" s="5"/>
      <c r="J89" s="5"/>
      <c r="K89" s="5"/>
      <c r="L89" s="5"/>
      <c r="M89" s="5"/>
      <c r="N89" s="5"/>
    </row>
    <row r="90" spans="1:14">
      <c r="A90" s="5" t="s">
        <v>51</v>
      </c>
      <c r="B90" s="5" t="s">
        <v>26</v>
      </c>
      <c r="C90" s="5"/>
      <c r="D90" s="5"/>
      <c r="E90" s="5"/>
      <c r="F90" s="5">
        <v>5500</v>
      </c>
      <c r="G90" s="8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8"/>
      <c r="H93" s="5"/>
      <c r="I93" s="5" t="s">
        <v>32</v>
      </c>
      <c r="J93" s="5"/>
      <c r="K93" s="5"/>
      <c r="L93" s="5"/>
      <c r="M93" s="5">
        <v>0</v>
      </c>
      <c r="N93" s="5">
        <f>SUM(N86:N92)</f>
        <v>251500</v>
      </c>
    </row>
    <row r="94" spans="1:14">
      <c r="A94" s="5"/>
      <c r="B94" s="5"/>
      <c r="C94" s="5"/>
      <c r="D94" s="5"/>
      <c r="E94" s="5"/>
      <c r="F94" s="5"/>
      <c r="G94" s="8"/>
      <c r="H94" s="5"/>
      <c r="I94" s="5" t="s">
        <v>12</v>
      </c>
      <c r="J94" s="5"/>
      <c r="K94" s="5"/>
      <c r="L94" s="5"/>
      <c r="M94" s="5">
        <v>80370</v>
      </c>
      <c r="N94" s="5">
        <f>SUM(F95-N93)</f>
        <v>53232.049999999988</v>
      </c>
    </row>
    <row r="95" spans="1:14">
      <c r="A95" s="5"/>
      <c r="B95" s="5"/>
      <c r="C95" s="5"/>
      <c r="D95" s="5"/>
      <c r="E95" s="5">
        <v>80370</v>
      </c>
      <c r="F95" s="5">
        <f>SUM(F85:F94)</f>
        <v>304732.05</v>
      </c>
      <c r="G95" s="8"/>
      <c r="H95" s="5"/>
      <c r="I95" s="5"/>
      <c r="J95" s="5"/>
      <c r="K95" s="5"/>
      <c r="L95" s="5"/>
      <c r="M95" s="5">
        <v>80370</v>
      </c>
      <c r="N95" s="5">
        <f>SUM(N93:N94)</f>
        <v>304732.05</v>
      </c>
    </row>
    <row r="96" spans="1:14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</row>
    <row r="97" spans="1:14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</row>
    <row r="98" spans="1:14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</row>
    <row r="99" spans="1:14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</row>
    <row r="100" spans="1:14" ht="15.75" thickBot="1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2"/>
      <c r="H100" s="3" t="s">
        <v>0</v>
      </c>
      <c r="I100" s="3" t="s">
        <v>6</v>
      </c>
      <c r="J100" s="3" t="s">
        <v>7</v>
      </c>
      <c r="K100" s="3" t="s">
        <v>8</v>
      </c>
      <c r="L100" s="3" t="s">
        <v>3</v>
      </c>
      <c r="M100" s="4" t="s">
        <v>4</v>
      </c>
      <c r="N100" s="4" t="s">
        <v>9</v>
      </c>
    </row>
    <row r="101" spans="1:14">
      <c r="A101" s="16">
        <v>44930</v>
      </c>
      <c r="B101" s="5" t="s">
        <v>11</v>
      </c>
      <c r="C101" s="5"/>
      <c r="D101" s="5"/>
      <c r="E101" s="5">
        <v>80370</v>
      </c>
      <c r="F101" s="5">
        <v>53232.049999999988</v>
      </c>
      <c r="G101" s="17"/>
      <c r="H101" s="16">
        <v>44930</v>
      </c>
      <c r="I101" s="5" t="s">
        <v>12</v>
      </c>
      <c r="J101" s="5"/>
      <c r="K101" s="5"/>
      <c r="L101" s="5"/>
      <c r="M101" s="5"/>
      <c r="N101" s="5"/>
    </row>
    <row r="102" spans="1:14">
      <c r="A102" s="16">
        <v>44989</v>
      </c>
      <c r="B102" s="5" t="s">
        <v>39</v>
      </c>
      <c r="C102" s="5"/>
      <c r="D102" s="5"/>
      <c r="E102" s="5"/>
      <c r="F102" s="5">
        <v>5500</v>
      </c>
      <c r="G102" s="8"/>
      <c r="H102" s="5"/>
      <c r="I102" s="5"/>
      <c r="J102" s="5"/>
      <c r="K102" s="5"/>
      <c r="L102" s="5"/>
      <c r="M102" s="5"/>
      <c r="N102" s="5"/>
    </row>
    <row r="103" spans="1:14">
      <c r="A103" s="16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</row>
    <row r="104" spans="1:14">
      <c r="A104" s="16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</row>
    <row r="105" spans="1:14">
      <c r="A105" s="16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</row>
    <row r="106" spans="1:14">
      <c r="A106" s="16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</row>
    <row r="107" spans="1:14">
      <c r="A107" s="16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</row>
    <row r="108" spans="1:14">
      <c r="A108" s="16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</row>
    <row r="109" spans="1:14">
      <c r="A109" s="16"/>
      <c r="B109" s="5"/>
      <c r="C109" s="5"/>
      <c r="D109" s="5"/>
      <c r="E109" s="5"/>
      <c r="F109" s="5"/>
      <c r="G109" s="8"/>
      <c r="H109" s="5"/>
      <c r="I109" s="5" t="s">
        <v>32</v>
      </c>
      <c r="J109" s="5"/>
      <c r="K109" s="5"/>
      <c r="L109" s="5"/>
      <c r="M109" s="5">
        <v>0</v>
      </c>
      <c r="N109" s="5">
        <f>SUM(N102:N108)</f>
        <v>0</v>
      </c>
    </row>
    <row r="110" spans="1:14">
      <c r="A110" s="16"/>
      <c r="B110" s="5"/>
      <c r="C110" s="5"/>
      <c r="D110" s="5"/>
      <c r="E110" s="5"/>
      <c r="F110" s="5"/>
      <c r="G110" s="8"/>
      <c r="H110" s="5"/>
      <c r="I110" s="5" t="s">
        <v>12</v>
      </c>
      <c r="J110" s="5"/>
      <c r="K110" s="5"/>
      <c r="L110" s="5"/>
      <c r="M110" s="5">
        <v>80370</v>
      </c>
      <c r="N110" s="5">
        <f>SUM(F111-N109)</f>
        <v>58732.049999999988</v>
      </c>
    </row>
    <row r="111" spans="1:14">
      <c r="A111" s="5"/>
      <c r="B111" s="5"/>
      <c r="C111" s="5"/>
      <c r="D111" s="5"/>
      <c r="E111" s="5">
        <v>80370</v>
      </c>
      <c r="F111" s="5">
        <f>SUM(F101:F110)</f>
        <v>58732.049999999988</v>
      </c>
      <c r="G111" s="8"/>
      <c r="H111" s="5"/>
      <c r="I111" s="5"/>
      <c r="J111" s="5"/>
      <c r="K111" s="5"/>
      <c r="L111" s="5"/>
      <c r="M111" s="5">
        <v>80370</v>
      </c>
      <c r="N111" s="5">
        <f>SUM(N109:N110)</f>
        <v>58732.049999999988</v>
      </c>
    </row>
    <row r="112" spans="1:14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</row>
    <row r="113" spans="1:14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</row>
    <row r="114" spans="1:14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</row>
    <row r="115" spans="1:14" ht="15.75" thickBot="1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2"/>
      <c r="H115" s="3" t="s">
        <v>0</v>
      </c>
      <c r="I115" s="3" t="s">
        <v>6</v>
      </c>
      <c r="J115" s="3" t="s">
        <v>7</v>
      </c>
      <c r="K115" s="3" t="s">
        <v>8</v>
      </c>
      <c r="L115" s="3" t="s">
        <v>3</v>
      </c>
      <c r="M115" s="4" t="s">
        <v>4</v>
      </c>
      <c r="N115" s="4" t="s">
        <v>9</v>
      </c>
    </row>
    <row r="116" spans="1:14">
      <c r="A116" s="16">
        <v>44931</v>
      </c>
      <c r="B116" s="5" t="s">
        <v>11</v>
      </c>
      <c r="C116" s="5"/>
      <c r="D116" s="5"/>
      <c r="E116" s="5">
        <v>80370</v>
      </c>
      <c r="F116" s="5">
        <v>58732.049999999988</v>
      </c>
      <c r="G116" s="8"/>
      <c r="H116" s="16">
        <v>44931</v>
      </c>
      <c r="I116" s="5" t="s">
        <v>12</v>
      </c>
      <c r="J116" s="5"/>
      <c r="K116" s="5"/>
      <c r="L116" s="5"/>
      <c r="M116" s="5"/>
      <c r="N116" s="5"/>
    </row>
    <row r="117" spans="1:14">
      <c r="A117" s="16">
        <v>44962</v>
      </c>
      <c r="B117" s="5" t="s">
        <v>38</v>
      </c>
      <c r="C117" s="5"/>
      <c r="D117" s="5"/>
      <c r="E117" s="5"/>
      <c r="F117" s="5">
        <v>11000</v>
      </c>
      <c r="G117" s="8"/>
      <c r="H117" s="5"/>
      <c r="I117" s="5"/>
      <c r="J117" s="5"/>
      <c r="K117" s="5"/>
      <c r="L117" s="5"/>
      <c r="M117" s="5"/>
      <c r="N117" s="5"/>
    </row>
    <row r="118" spans="1:14">
      <c r="A118" s="5" t="s">
        <v>52</v>
      </c>
      <c r="B118" s="5" t="s">
        <v>26</v>
      </c>
      <c r="C118" s="5"/>
      <c r="D118" s="5"/>
      <c r="E118" s="5"/>
      <c r="F118" s="5">
        <v>11000</v>
      </c>
      <c r="G118" s="8"/>
      <c r="H118" s="5"/>
      <c r="I118" s="5"/>
      <c r="J118" s="5"/>
      <c r="K118" s="5"/>
      <c r="L118" s="5"/>
      <c r="M118" s="5"/>
      <c r="N118" s="5"/>
    </row>
    <row r="119" spans="1:14">
      <c r="A119" s="5"/>
      <c r="B119" s="5"/>
      <c r="C119" s="5"/>
      <c r="D119" s="5"/>
      <c r="E119" s="5"/>
      <c r="F119" s="5"/>
      <c r="G119" s="8"/>
      <c r="H119" s="5"/>
      <c r="I119" s="5" t="s">
        <v>32</v>
      </c>
      <c r="J119" s="5"/>
      <c r="K119" s="5"/>
      <c r="L119" s="5"/>
      <c r="M119" s="5">
        <v>0</v>
      </c>
      <c r="N119" s="5">
        <f>SUM(N112:N118)</f>
        <v>0</v>
      </c>
    </row>
    <row r="120" spans="1:14">
      <c r="A120" s="5"/>
      <c r="B120" s="5"/>
      <c r="C120" s="5"/>
      <c r="D120" s="5"/>
      <c r="E120" s="5"/>
      <c r="F120" s="5"/>
      <c r="G120" s="8"/>
      <c r="H120" s="5"/>
      <c r="I120" s="5" t="s">
        <v>12</v>
      </c>
      <c r="J120" s="5"/>
      <c r="K120" s="5"/>
      <c r="L120" s="5"/>
      <c r="M120" s="5">
        <v>80370</v>
      </c>
      <c r="N120" s="5">
        <f>SUM(F121-N119)</f>
        <v>80732.049999999988</v>
      </c>
    </row>
    <row r="121" spans="1:14">
      <c r="A121" s="5"/>
      <c r="B121" s="5"/>
      <c r="C121" s="5"/>
      <c r="D121" s="5"/>
      <c r="E121" s="5">
        <v>80370</v>
      </c>
      <c r="F121" s="5">
        <f>SUM(F116:F120)</f>
        <v>80732.049999999988</v>
      </c>
      <c r="G121" s="8"/>
      <c r="H121" s="5"/>
      <c r="I121" s="5"/>
      <c r="J121" s="5"/>
      <c r="K121" s="5"/>
      <c r="L121" s="5"/>
      <c r="M121" s="5">
        <v>80370</v>
      </c>
      <c r="N121" s="5">
        <f>SUM(N119:N120)</f>
        <v>80732.049999999988</v>
      </c>
    </row>
    <row r="122" spans="1:14" ht="15.75" thickBot="1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2"/>
      <c r="H122" s="3" t="s">
        <v>0</v>
      </c>
      <c r="I122" s="3" t="s">
        <v>6</v>
      </c>
      <c r="J122" s="3" t="s">
        <v>7</v>
      </c>
      <c r="K122" s="3" t="s">
        <v>8</v>
      </c>
      <c r="L122" s="3" t="s">
        <v>3</v>
      </c>
      <c r="M122" s="4" t="s">
        <v>4</v>
      </c>
      <c r="N122" s="4" t="s">
        <v>9</v>
      </c>
    </row>
    <row r="123" spans="1:14">
      <c r="A123" s="16">
        <v>44932</v>
      </c>
      <c r="B123" s="5" t="s">
        <v>11</v>
      </c>
      <c r="C123" s="5"/>
      <c r="D123" s="5"/>
      <c r="E123" s="5">
        <v>80370</v>
      </c>
      <c r="F123" s="5">
        <v>80732.049999999988</v>
      </c>
      <c r="G123" s="8"/>
      <c r="H123" s="16">
        <v>44932</v>
      </c>
      <c r="I123" s="5" t="s">
        <v>12</v>
      </c>
      <c r="J123" s="5"/>
      <c r="K123" s="5"/>
      <c r="L123" s="5"/>
      <c r="M123" s="5"/>
      <c r="N123" s="5"/>
    </row>
    <row r="124" spans="1:14">
      <c r="A124" s="16">
        <v>44991</v>
      </c>
      <c r="B124" s="5" t="s">
        <v>39</v>
      </c>
      <c r="C124" s="5"/>
      <c r="D124" s="5"/>
      <c r="E124" s="5"/>
      <c r="F124" s="5">
        <v>5500</v>
      </c>
      <c r="G124" s="8"/>
      <c r="H124" s="5"/>
      <c r="I124" s="5"/>
      <c r="J124" s="5"/>
      <c r="K124" s="5"/>
      <c r="L124" s="5"/>
      <c r="M124" s="5"/>
      <c r="N124" s="5"/>
    </row>
    <row r="125" spans="1:14">
      <c r="A125" s="5" t="s">
        <v>53</v>
      </c>
      <c r="B125" s="5" t="s">
        <v>26</v>
      </c>
      <c r="C125" s="5"/>
      <c r="D125" s="5"/>
      <c r="E125" s="5"/>
      <c r="F125" s="5">
        <v>5500</v>
      </c>
      <c r="G125" s="8"/>
      <c r="H125" s="5"/>
      <c r="I125" s="5"/>
      <c r="J125" s="5"/>
      <c r="K125" s="5"/>
      <c r="L125" s="5"/>
      <c r="M125" s="5"/>
      <c r="N125" s="5"/>
    </row>
    <row r="126" spans="1:14">
      <c r="A126" s="5" t="s">
        <v>54</v>
      </c>
      <c r="B126" s="5" t="s">
        <v>18</v>
      </c>
      <c r="C126" s="5"/>
      <c r="D126" s="5"/>
      <c r="E126" s="5"/>
      <c r="F126" s="5">
        <v>70000</v>
      </c>
      <c r="G126" s="8"/>
      <c r="H126" s="5"/>
      <c r="I126" s="5"/>
      <c r="J126" s="5"/>
      <c r="K126" s="5"/>
      <c r="L126" s="5"/>
      <c r="M126" s="5"/>
      <c r="N126" s="5"/>
    </row>
    <row r="127" spans="1:14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</row>
    <row r="128" spans="1:14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</row>
    <row r="129" spans="1:14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</row>
    <row r="130" spans="1:14">
      <c r="A130" s="5"/>
      <c r="B130" s="5"/>
      <c r="C130" s="5"/>
      <c r="D130" s="5"/>
      <c r="E130" s="5"/>
      <c r="F130" s="5"/>
      <c r="G130" s="8"/>
      <c r="H130" s="5"/>
      <c r="I130" s="5" t="s">
        <v>32</v>
      </c>
      <c r="J130" s="5"/>
      <c r="K130" s="5"/>
      <c r="L130" s="5"/>
      <c r="M130" s="5">
        <v>0</v>
      </c>
      <c r="N130" s="5">
        <f>SUM(N123:N129)</f>
        <v>0</v>
      </c>
    </row>
    <row r="131" spans="1:14">
      <c r="A131" s="5"/>
      <c r="B131" s="5"/>
      <c r="C131" s="5"/>
      <c r="D131" s="5"/>
      <c r="E131" s="5"/>
      <c r="F131" s="5"/>
      <c r="G131" s="8"/>
      <c r="H131" s="5"/>
      <c r="I131" s="5" t="s">
        <v>12</v>
      </c>
      <c r="J131" s="5"/>
      <c r="K131" s="5"/>
      <c r="L131" s="5"/>
      <c r="M131" s="5">
        <v>80370</v>
      </c>
      <c r="N131" s="5">
        <f>SUM(F132-N130)</f>
        <v>161732.04999999999</v>
      </c>
    </row>
    <row r="132" spans="1:14">
      <c r="A132" s="5"/>
      <c r="B132" s="5"/>
      <c r="C132" s="5"/>
      <c r="D132" s="5"/>
      <c r="E132" s="5">
        <v>80370</v>
      </c>
      <c r="F132" s="5">
        <f>SUM(F123:F131)</f>
        <v>161732.04999999999</v>
      </c>
      <c r="G132" s="8"/>
      <c r="H132" s="5"/>
      <c r="I132" s="5"/>
      <c r="J132" s="5"/>
      <c r="K132" s="5"/>
      <c r="L132" s="5"/>
      <c r="M132" s="5">
        <v>80370</v>
      </c>
      <c r="N132" s="5">
        <f>SUM(N130:N131)</f>
        <v>161732.04999999999</v>
      </c>
    </row>
    <row r="133" spans="1:14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</row>
    <row r="134" spans="1:1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75" thickBot="1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2"/>
      <c r="H135" s="3" t="s">
        <v>0</v>
      </c>
      <c r="I135" s="3" t="s">
        <v>6</v>
      </c>
      <c r="J135" s="3" t="s">
        <v>7</v>
      </c>
      <c r="K135" s="3" t="s">
        <v>8</v>
      </c>
      <c r="L135" s="3" t="s">
        <v>3</v>
      </c>
      <c r="M135" s="4" t="s">
        <v>4</v>
      </c>
      <c r="N135" s="4" t="s">
        <v>9</v>
      </c>
    </row>
    <row r="136" spans="1:14">
      <c r="A136" s="16">
        <v>44933</v>
      </c>
      <c r="B136" s="5" t="s">
        <v>11</v>
      </c>
      <c r="C136" s="5"/>
      <c r="D136" s="5"/>
      <c r="E136" s="5">
        <v>80370</v>
      </c>
      <c r="F136" s="5">
        <v>161732.04999999999</v>
      </c>
      <c r="G136" s="8"/>
      <c r="H136" s="16">
        <v>44933</v>
      </c>
      <c r="I136" s="5" t="s">
        <v>12</v>
      </c>
      <c r="J136" s="5"/>
      <c r="K136" s="5"/>
      <c r="L136" s="5"/>
      <c r="M136" s="5"/>
      <c r="N136" s="5"/>
    </row>
    <row r="137" spans="1:14">
      <c r="A137" s="16">
        <v>44992</v>
      </c>
      <c r="B137" s="5" t="s">
        <v>39</v>
      </c>
      <c r="C137" s="5"/>
      <c r="D137" s="5"/>
      <c r="E137" s="5"/>
      <c r="F137" s="5">
        <v>5500</v>
      </c>
      <c r="G137" s="8"/>
      <c r="H137" s="5"/>
      <c r="I137" s="5"/>
      <c r="J137" s="5"/>
      <c r="K137" s="5"/>
      <c r="L137" s="5"/>
      <c r="M137" s="5"/>
      <c r="N137" s="5"/>
    </row>
    <row r="138" spans="1:14">
      <c r="A138" s="16">
        <v>45023</v>
      </c>
      <c r="B138" s="5" t="s">
        <v>40</v>
      </c>
      <c r="C138" s="5"/>
      <c r="D138" s="5"/>
      <c r="E138" s="5"/>
      <c r="F138" s="5">
        <v>27500</v>
      </c>
      <c r="G138" s="8"/>
      <c r="H138" s="5"/>
      <c r="I138" s="5"/>
      <c r="J138" s="5"/>
      <c r="K138" s="5"/>
      <c r="L138" s="5"/>
      <c r="M138" s="5"/>
      <c r="N138" s="5"/>
    </row>
    <row r="139" spans="1:14">
      <c r="A139" s="16">
        <v>45023</v>
      </c>
      <c r="B139" s="5" t="s">
        <v>14</v>
      </c>
      <c r="C139" s="5"/>
      <c r="D139" s="5"/>
      <c r="E139" s="5"/>
      <c r="F139" s="5">
        <v>11000</v>
      </c>
      <c r="G139" s="8"/>
      <c r="H139" s="5"/>
      <c r="I139" s="5"/>
      <c r="J139" s="5"/>
      <c r="K139" s="5"/>
      <c r="L139" s="5"/>
      <c r="M139" s="5"/>
      <c r="N139" s="5"/>
    </row>
    <row r="140" spans="1:14">
      <c r="A140" s="16">
        <v>45023</v>
      </c>
      <c r="B140" s="5" t="s">
        <v>14</v>
      </c>
      <c r="C140" s="5"/>
      <c r="D140" s="5"/>
      <c r="E140" s="5"/>
      <c r="F140" s="5">
        <v>5500</v>
      </c>
      <c r="G140" s="8"/>
      <c r="H140" s="5"/>
      <c r="I140" s="5"/>
      <c r="J140" s="5"/>
      <c r="K140" s="5"/>
      <c r="L140" s="5"/>
      <c r="M140" s="5"/>
      <c r="N140" s="5"/>
    </row>
    <row r="141" spans="1:14">
      <c r="A141" s="16">
        <v>45206</v>
      </c>
      <c r="B141" s="5" t="s">
        <v>38</v>
      </c>
      <c r="C141" s="5"/>
      <c r="D141" s="5"/>
      <c r="E141" s="5"/>
      <c r="F141" s="5">
        <v>11000</v>
      </c>
      <c r="G141" s="8"/>
      <c r="H141" s="5"/>
      <c r="I141" s="5"/>
      <c r="J141" s="5"/>
      <c r="K141" s="5"/>
      <c r="L141" s="5"/>
      <c r="M141" s="5"/>
      <c r="N141" s="5"/>
    </row>
    <row r="142" spans="1:14">
      <c r="A142" s="5" t="s">
        <v>55</v>
      </c>
      <c r="B142" s="5" t="s">
        <v>50</v>
      </c>
      <c r="C142" s="5"/>
      <c r="D142" s="5"/>
      <c r="E142" s="5"/>
      <c r="F142" s="5">
        <v>70097</v>
      </c>
      <c r="G142" s="8"/>
      <c r="H142" s="5"/>
      <c r="I142" s="5"/>
      <c r="J142" s="5"/>
      <c r="K142" s="5"/>
      <c r="L142" s="5"/>
      <c r="M142" s="5"/>
      <c r="N142" s="5"/>
    </row>
    <row r="143" spans="1:14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</row>
    <row r="144" spans="1:14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</row>
    <row r="145" spans="1:14">
      <c r="A145" s="5"/>
      <c r="B145" s="5"/>
      <c r="C145" s="5"/>
      <c r="D145" s="5"/>
      <c r="E145" s="5"/>
      <c r="F145" s="5"/>
      <c r="G145" s="8"/>
      <c r="H145" s="5"/>
      <c r="I145" s="5" t="s">
        <v>32</v>
      </c>
      <c r="J145" s="5"/>
      <c r="K145" s="5"/>
      <c r="L145" s="5"/>
      <c r="M145" s="5">
        <v>0</v>
      </c>
      <c r="N145" s="5">
        <f>SUM(N138:N144)</f>
        <v>0</v>
      </c>
    </row>
    <row r="146" spans="1:14">
      <c r="A146" s="5"/>
      <c r="B146" s="5"/>
      <c r="C146" s="5"/>
      <c r="D146" s="5"/>
      <c r="E146" s="5"/>
      <c r="F146" s="5"/>
      <c r="G146" s="8"/>
      <c r="H146" s="5"/>
      <c r="I146" s="5" t="s">
        <v>12</v>
      </c>
      <c r="J146" s="5"/>
      <c r="K146" s="5"/>
      <c r="L146" s="5"/>
      <c r="M146" s="5">
        <v>80370</v>
      </c>
      <c r="N146" s="5">
        <f>SUM(F147-N145)</f>
        <v>292329.05</v>
      </c>
    </row>
    <row r="147" spans="1:14">
      <c r="A147" s="5"/>
      <c r="B147" s="5"/>
      <c r="C147" s="5"/>
      <c r="D147" s="5"/>
      <c r="E147" s="5">
        <v>80370</v>
      </c>
      <c r="F147" s="5">
        <f>SUM(F136:F146)</f>
        <v>292329.05</v>
      </c>
      <c r="G147" s="8"/>
      <c r="H147" s="5"/>
      <c r="I147" s="5"/>
      <c r="J147" s="5"/>
      <c r="K147" s="5"/>
      <c r="L147" s="5"/>
      <c r="M147" s="5">
        <v>80370</v>
      </c>
      <c r="N147" s="5">
        <f>SUM(N145:N146)</f>
        <v>292329.05</v>
      </c>
    </row>
    <row r="148" spans="1:14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</row>
    <row r="149" spans="1:1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ht="15.75" thickBot="1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2"/>
      <c r="H150" s="3" t="s">
        <v>0</v>
      </c>
      <c r="I150" s="3" t="s">
        <v>6</v>
      </c>
      <c r="J150" s="3" t="s">
        <v>7</v>
      </c>
      <c r="K150" s="3" t="s">
        <v>8</v>
      </c>
      <c r="L150" s="3" t="s">
        <v>3</v>
      </c>
      <c r="M150" s="4" t="s">
        <v>4</v>
      </c>
      <c r="N150" s="4" t="s">
        <v>9</v>
      </c>
    </row>
    <row r="151" spans="1:14">
      <c r="A151" s="16">
        <v>44934</v>
      </c>
      <c r="B151" s="5" t="s">
        <v>11</v>
      </c>
      <c r="C151" s="5"/>
      <c r="D151" s="5"/>
      <c r="E151" s="5">
        <v>80370</v>
      </c>
      <c r="F151" s="5">
        <v>292329.05</v>
      </c>
      <c r="G151" s="17"/>
      <c r="H151" s="16">
        <v>44934</v>
      </c>
      <c r="I151" s="5" t="s">
        <v>12</v>
      </c>
      <c r="J151" s="5"/>
      <c r="K151" s="5"/>
      <c r="L151" s="5"/>
      <c r="M151" s="5"/>
      <c r="N151" s="5"/>
    </row>
    <row r="152" spans="1:14">
      <c r="A152" s="16">
        <v>44993</v>
      </c>
      <c r="B152" s="5" t="s">
        <v>39</v>
      </c>
      <c r="C152" s="5"/>
      <c r="D152" s="5"/>
      <c r="E152" s="5"/>
      <c r="F152" s="5">
        <v>5500</v>
      </c>
      <c r="G152" s="8"/>
      <c r="H152" s="5"/>
      <c r="I152" s="5"/>
      <c r="J152" s="5"/>
      <c r="K152" s="5"/>
      <c r="L152" s="5"/>
      <c r="M152" s="5"/>
      <c r="N152" s="5"/>
    </row>
    <row r="153" spans="1:14">
      <c r="A153" s="16">
        <v>45146</v>
      </c>
      <c r="B153" s="5" t="s">
        <v>38</v>
      </c>
      <c r="C153" s="5"/>
      <c r="D153" s="5"/>
      <c r="E153" s="5"/>
      <c r="F153" s="5">
        <v>5500</v>
      </c>
      <c r="G153" s="8"/>
      <c r="H153" s="5"/>
      <c r="I153" s="5"/>
      <c r="J153" s="5"/>
      <c r="K153" s="5"/>
      <c r="L153" s="5"/>
      <c r="M153" s="5"/>
      <c r="N153" s="5"/>
    </row>
    <row r="154" spans="1:14">
      <c r="A154" s="16">
        <v>45146</v>
      </c>
      <c r="B154" s="5" t="s">
        <v>26</v>
      </c>
      <c r="C154" s="5"/>
      <c r="D154" s="5"/>
      <c r="E154" s="5"/>
      <c r="F154" s="5">
        <v>5500</v>
      </c>
      <c r="G154" s="17"/>
      <c r="H154" s="5"/>
      <c r="I154" s="5"/>
      <c r="J154" s="5"/>
      <c r="K154" s="5"/>
      <c r="L154" s="5"/>
      <c r="M154" s="5"/>
      <c r="N154" s="5"/>
    </row>
    <row r="155" spans="1:14">
      <c r="A155" s="16">
        <v>45268</v>
      </c>
      <c r="B155" s="5" t="s">
        <v>29</v>
      </c>
      <c r="C155" s="5"/>
      <c r="D155" s="5"/>
      <c r="E155" s="5"/>
      <c r="F155" s="5">
        <v>12000</v>
      </c>
      <c r="G155" s="8"/>
      <c r="H155" s="5"/>
      <c r="I155" s="5"/>
      <c r="J155" s="5"/>
      <c r="K155" s="5"/>
      <c r="L155" s="5"/>
      <c r="M155" s="5"/>
      <c r="N155" s="5"/>
    </row>
    <row r="156" spans="1:14">
      <c r="A156" s="5" t="s">
        <v>56</v>
      </c>
      <c r="B156" s="5" t="s">
        <v>26</v>
      </c>
      <c r="C156" s="5"/>
      <c r="D156" s="5"/>
      <c r="E156" s="5"/>
      <c r="F156" s="5">
        <v>5500</v>
      </c>
      <c r="G156" s="8"/>
      <c r="H156" s="5"/>
      <c r="I156" s="5"/>
      <c r="J156" s="5"/>
      <c r="K156" s="5"/>
      <c r="L156" s="5"/>
      <c r="M156" s="5"/>
      <c r="N156" s="5"/>
    </row>
    <row r="157" spans="1:14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</row>
    <row r="158" spans="1:14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</row>
    <row r="159" spans="1:14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</row>
    <row r="160" spans="1:14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</row>
    <row r="161" spans="1:14">
      <c r="A161" s="5"/>
      <c r="B161" s="5"/>
      <c r="C161" s="5"/>
      <c r="D161" s="5"/>
      <c r="E161" s="5"/>
      <c r="F161" s="5"/>
      <c r="G161" s="8"/>
      <c r="H161" s="5"/>
      <c r="I161" s="5" t="s">
        <v>32</v>
      </c>
      <c r="J161" s="5"/>
      <c r="K161" s="5"/>
      <c r="L161" s="5"/>
      <c r="M161" s="5">
        <v>0</v>
      </c>
      <c r="N161" s="5">
        <f>SUM(N154:N160)</f>
        <v>0</v>
      </c>
    </row>
    <row r="162" spans="1:14">
      <c r="A162" s="5"/>
      <c r="B162" s="5"/>
      <c r="C162" s="5"/>
      <c r="D162" s="5"/>
      <c r="E162" s="5"/>
      <c r="F162" s="5"/>
      <c r="G162" s="8"/>
      <c r="H162" s="5"/>
      <c r="I162" s="5" t="s">
        <v>12</v>
      </c>
      <c r="J162" s="5"/>
      <c r="K162" s="5"/>
      <c r="L162" s="5"/>
      <c r="M162" s="5">
        <v>80370</v>
      </c>
      <c r="N162" s="5">
        <f>SUM(F163-N161)</f>
        <v>326329.05</v>
      </c>
    </row>
    <row r="163" spans="1:14">
      <c r="A163" s="5"/>
      <c r="B163" s="5"/>
      <c r="C163" s="5"/>
      <c r="D163" s="5"/>
      <c r="E163" s="5">
        <v>80370</v>
      </c>
      <c r="F163" s="5">
        <f>SUM(F151:F162)</f>
        <v>326329.05</v>
      </c>
      <c r="G163" s="8"/>
      <c r="H163" s="5"/>
      <c r="I163" s="5"/>
      <c r="J163" s="5"/>
      <c r="K163" s="5"/>
      <c r="L163" s="5"/>
      <c r="M163" s="5">
        <v>80370</v>
      </c>
      <c r="N163" s="5">
        <f>SUM(N161:N162)</f>
        <v>326329.05</v>
      </c>
    </row>
    <row r="164" spans="1:1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ht="15.75" thickBot="1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5</v>
      </c>
      <c r="G165" s="2"/>
      <c r="H165" s="3" t="s">
        <v>0</v>
      </c>
      <c r="I165" s="3" t="s">
        <v>6</v>
      </c>
      <c r="J165" s="3" t="s">
        <v>7</v>
      </c>
      <c r="K165" s="3" t="s">
        <v>8</v>
      </c>
      <c r="L165" s="3" t="s">
        <v>3</v>
      </c>
      <c r="M165" s="4" t="s">
        <v>4</v>
      </c>
      <c r="N165" s="4" t="s">
        <v>9</v>
      </c>
    </row>
    <row r="166" spans="1:14">
      <c r="A166" s="16">
        <v>44935</v>
      </c>
      <c r="B166" s="5" t="s">
        <v>11</v>
      </c>
      <c r="C166" s="5"/>
      <c r="D166" s="5"/>
      <c r="E166" s="5">
        <v>80370</v>
      </c>
      <c r="F166" s="5">
        <v>326329.05</v>
      </c>
      <c r="G166" s="8"/>
      <c r="H166" s="16">
        <v>44935</v>
      </c>
      <c r="I166" s="5" t="s">
        <v>12</v>
      </c>
      <c r="J166" s="5"/>
      <c r="K166" s="5"/>
      <c r="L166" s="5"/>
      <c r="M166" s="5"/>
      <c r="N166" s="5"/>
    </row>
    <row r="167" spans="1:14">
      <c r="A167" s="16">
        <v>44994</v>
      </c>
      <c r="B167" s="5" t="s">
        <v>39</v>
      </c>
      <c r="C167" s="5"/>
      <c r="D167" s="5"/>
      <c r="E167" s="5"/>
      <c r="F167" s="5">
        <v>5500</v>
      </c>
      <c r="G167" s="8"/>
      <c r="H167" s="5"/>
      <c r="I167" s="5"/>
      <c r="J167" s="5"/>
      <c r="K167" s="5"/>
      <c r="L167" s="5"/>
      <c r="M167" s="5"/>
      <c r="N167" s="5"/>
    </row>
    <row r="168" spans="1:14">
      <c r="A168" s="16">
        <v>45055</v>
      </c>
      <c r="B168" s="5" t="s">
        <v>14</v>
      </c>
      <c r="C168" s="5"/>
      <c r="D168" s="5"/>
      <c r="E168" s="5"/>
      <c r="F168" s="5">
        <v>10000</v>
      </c>
      <c r="G168" s="8"/>
      <c r="H168" s="5" t="s">
        <v>57</v>
      </c>
      <c r="I168" s="5" t="s">
        <v>58</v>
      </c>
      <c r="J168" s="5"/>
      <c r="K168" s="5"/>
      <c r="L168" s="5"/>
      <c r="M168" s="18">
        <v>40000</v>
      </c>
      <c r="N168" s="5"/>
    </row>
    <row r="169" spans="1:14">
      <c r="A169" s="16">
        <v>45055</v>
      </c>
      <c r="B169" s="5" t="s">
        <v>59</v>
      </c>
      <c r="C169" s="5"/>
      <c r="D169" s="5"/>
      <c r="E169" s="5"/>
      <c r="F169" s="5">
        <v>13000</v>
      </c>
      <c r="G169" s="8"/>
      <c r="H169" s="5" t="s">
        <v>57</v>
      </c>
      <c r="I169" s="5" t="s">
        <v>60</v>
      </c>
      <c r="J169" s="5"/>
      <c r="K169" s="5"/>
      <c r="L169" s="5"/>
      <c r="M169" s="5">
        <v>24000</v>
      </c>
      <c r="N169" s="5"/>
    </row>
    <row r="170" spans="1:14">
      <c r="A170" s="16">
        <v>45055</v>
      </c>
      <c r="B170" s="5" t="s">
        <v>38</v>
      </c>
      <c r="C170" s="5"/>
      <c r="D170" s="5"/>
      <c r="E170" s="5"/>
      <c r="F170" s="5">
        <v>5500</v>
      </c>
      <c r="G170" s="8"/>
      <c r="H170" s="5"/>
      <c r="I170" s="5"/>
      <c r="J170" s="5"/>
      <c r="K170" s="5"/>
      <c r="L170" s="5"/>
      <c r="M170" s="5"/>
      <c r="N170" s="5"/>
    </row>
    <row r="171" spans="1:14">
      <c r="A171" s="16">
        <v>45086</v>
      </c>
      <c r="B171" s="5" t="s">
        <v>43</v>
      </c>
      <c r="C171" s="5"/>
      <c r="D171" s="5"/>
      <c r="E171" s="5"/>
      <c r="F171" s="5">
        <v>38500</v>
      </c>
      <c r="G171" s="8"/>
      <c r="H171" s="5"/>
      <c r="I171" s="5"/>
      <c r="J171" s="5"/>
      <c r="K171" s="5"/>
      <c r="L171" s="5"/>
      <c r="M171" s="5"/>
      <c r="N171" s="5"/>
    </row>
    <row r="172" spans="1:14">
      <c r="A172" s="16">
        <v>45116</v>
      </c>
      <c r="B172" s="5" t="s">
        <v>46</v>
      </c>
      <c r="C172" s="5"/>
      <c r="D172" s="5"/>
      <c r="E172" s="5"/>
      <c r="F172" s="5">
        <v>44000</v>
      </c>
      <c r="G172" s="8"/>
      <c r="H172" s="5"/>
      <c r="I172" s="5"/>
      <c r="J172" s="5"/>
      <c r="K172" s="5"/>
      <c r="L172" s="5"/>
      <c r="M172" s="5"/>
      <c r="N172" s="5"/>
    </row>
    <row r="173" spans="1:14">
      <c r="A173" s="5" t="s">
        <v>61</v>
      </c>
      <c r="B173" s="5" t="s">
        <v>23</v>
      </c>
      <c r="C173" s="5"/>
      <c r="D173" s="5"/>
      <c r="E173" s="5"/>
      <c r="F173" s="5">
        <v>38500</v>
      </c>
      <c r="G173" s="8"/>
      <c r="H173" s="5"/>
      <c r="I173" s="5"/>
      <c r="J173" s="5"/>
      <c r="K173" s="5"/>
      <c r="L173" s="5"/>
      <c r="M173" s="5"/>
      <c r="N173" s="5"/>
    </row>
    <row r="174" spans="1:14">
      <c r="A174" s="5" t="s">
        <v>62</v>
      </c>
      <c r="B174" s="5" t="s">
        <v>40</v>
      </c>
      <c r="C174" s="5"/>
      <c r="D174" s="5"/>
      <c r="E174" s="5"/>
      <c r="F174" s="5">
        <v>5500</v>
      </c>
      <c r="G174" s="8"/>
      <c r="H174" s="5"/>
      <c r="I174" s="5"/>
      <c r="J174" s="5"/>
      <c r="K174" s="5"/>
      <c r="L174" s="5"/>
      <c r="M174" s="5"/>
      <c r="N174" s="5"/>
    </row>
    <row r="175" spans="1:14">
      <c r="A175" s="5" t="s">
        <v>63</v>
      </c>
      <c r="B175" s="5" t="s">
        <v>40</v>
      </c>
      <c r="C175" s="5"/>
      <c r="D175" s="5"/>
      <c r="E175" s="5"/>
      <c r="F175" s="5">
        <v>5500</v>
      </c>
      <c r="G175" s="8"/>
      <c r="H175" s="5"/>
      <c r="I175" s="5"/>
      <c r="J175" s="5"/>
      <c r="K175" s="5"/>
      <c r="L175" s="5"/>
      <c r="M175" s="5"/>
      <c r="N175" s="5"/>
    </row>
    <row r="176" spans="1:14">
      <c r="A176" s="5" t="s">
        <v>64</v>
      </c>
      <c r="B176" s="5" t="s">
        <v>26</v>
      </c>
      <c r="C176" s="5"/>
      <c r="D176" s="5"/>
      <c r="E176" s="5"/>
      <c r="F176" s="5">
        <v>5500</v>
      </c>
      <c r="G176" s="8"/>
      <c r="H176" s="5"/>
      <c r="I176" s="5"/>
      <c r="J176" s="5"/>
      <c r="K176" s="5"/>
      <c r="L176" s="5"/>
      <c r="M176" s="5"/>
      <c r="N176" s="5"/>
    </row>
    <row r="177" spans="1:14">
      <c r="A177" s="5" t="s">
        <v>65</v>
      </c>
      <c r="B177" s="5" t="s">
        <v>18</v>
      </c>
      <c r="C177" s="5"/>
      <c r="D177" s="5"/>
      <c r="E177" s="5"/>
      <c r="F177" s="5">
        <v>20000</v>
      </c>
      <c r="G177" s="8"/>
      <c r="H177" s="5"/>
      <c r="I177" s="5"/>
      <c r="J177" s="5"/>
      <c r="K177" s="5"/>
      <c r="L177" s="5"/>
      <c r="M177" s="5"/>
      <c r="N177" s="5"/>
    </row>
    <row r="178" spans="1:14">
      <c r="A178" s="5" t="s">
        <v>66</v>
      </c>
      <c r="B178" s="5" t="s">
        <v>18</v>
      </c>
      <c r="C178" s="5"/>
      <c r="D178" s="5"/>
      <c r="E178" s="5"/>
      <c r="F178" s="5">
        <v>30000</v>
      </c>
      <c r="G178" s="8"/>
      <c r="H178" s="5"/>
      <c r="I178" s="5"/>
      <c r="J178" s="5"/>
      <c r="K178" s="5"/>
      <c r="L178" s="5"/>
      <c r="M178" s="5"/>
      <c r="N178" s="5"/>
    </row>
    <row r="179" spans="1:14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</row>
    <row r="180" spans="1:14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</row>
    <row r="181" spans="1:14">
      <c r="A181" s="5"/>
      <c r="B181" s="5"/>
      <c r="C181" s="5"/>
      <c r="D181" s="5"/>
      <c r="E181" s="5"/>
      <c r="F181" s="5"/>
      <c r="G181" s="8"/>
      <c r="H181" s="5"/>
      <c r="I181" s="5" t="s">
        <v>32</v>
      </c>
      <c r="J181" s="5"/>
      <c r="K181" s="5"/>
      <c r="L181" s="5"/>
      <c r="M181" s="18">
        <f>SUM(M168:M180)</f>
        <v>64000</v>
      </c>
      <c r="N181" s="5">
        <f>SUM(N174:N180)</f>
        <v>0</v>
      </c>
    </row>
    <row r="182" spans="1:14">
      <c r="A182" s="5"/>
      <c r="B182" s="5"/>
      <c r="C182" s="5"/>
      <c r="D182" s="5"/>
      <c r="E182" s="5"/>
      <c r="F182" s="5"/>
      <c r="G182" s="8"/>
      <c r="H182" s="5"/>
      <c r="I182" s="5" t="s">
        <v>12</v>
      </c>
      <c r="J182" s="5"/>
      <c r="K182" s="5"/>
      <c r="L182" s="5"/>
      <c r="M182" s="18">
        <f>SUM(E183-M181)</f>
        <v>16370</v>
      </c>
      <c r="N182" s="5">
        <f>SUM(F183-N181)</f>
        <v>547829.05000000005</v>
      </c>
    </row>
    <row r="183" spans="1:14" ht="15.75" thickBot="1">
      <c r="A183" s="5"/>
      <c r="B183" s="5"/>
      <c r="C183" s="5"/>
      <c r="D183" s="5"/>
      <c r="E183" s="5">
        <v>80370</v>
      </c>
      <c r="F183" s="19">
        <f>SUM(F166:F182)</f>
        <v>547829.05000000005</v>
      </c>
      <c r="G183" s="8"/>
      <c r="H183" s="5"/>
      <c r="I183" s="5"/>
      <c r="J183" s="5"/>
      <c r="K183" s="5"/>
      <c r="L183" s="5"/>
      <c r="M183" s="19">
        <v>80370</v>
      </c>
      <c r="N183" s="19">
        <f>SUM(N181:N182)</f>
        <v>547829.05000000005</v>
      </c>
    </row>
    <row r="184" spans="1:14" ht="15.75" thickTop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18"/>
      <c r="N184" s="5"/>
    </row>
    <row r="185" spans="1:1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Mwarabu</dc:creator>
  <cp:lastModifiedBy>Mwarabu</cp:lastModifiedBy>
  <dcterms:created xsi:type="dcterms:W3CDTF">2023-10-04T14:23:50Z</dcterms:created>
  <dcterms:modified xsi:type="dcterms:W3CDTF">2023-10-04T14:24:56Z</dcterms:modified>
</cp:coreProperties>
</file>