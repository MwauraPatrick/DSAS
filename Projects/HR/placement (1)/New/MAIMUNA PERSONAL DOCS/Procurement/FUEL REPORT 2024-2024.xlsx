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2D11C60-A4E1-426C-A628-3CDDEB25DE8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.O NOV 23" sheetId="1" r:id="rId1"/>
    <sheet name="T.O DEC 23" sheetId="2" r:id="rId2"/>
    <sheet name="P.O NOV&amp;DEC 2023" sheetId="3" r:id="rId3"/>
    <sheet name="SECURITY NOV 23" sheetId="4" r:id="rId4"/>
    <sheet name=" K-SRIC NOV 23" sheetId="5" r:id="rId5"/>
    <sheet name="K-SRIC DEC 23" sheetId="6" r:id="rId6"/>
    <sheet name="K-SRIC OCT 23" sheetId="7" r:id="rId7"/>
    <sheet name="K-SRIC SEP 23" sheetId="8" r:id="rId8"/>
    <sheet name="K-SRIC JAN 24" sheetId="9" r:id="rId9"/>
    <sheet name="PO JAN 24" sheetId="10" r:id="rId10"/>
    <sheet name="TO JAN 24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" l="1"/>
  <c r="F32" i="1"/>
  <c r="F16" i="3"/>
  <c r="F14" i="3"/>
  <c r="F17" i="2"/>
  <c r="F13" i="2"/>
  <c r="F9" i="1"/>
  <c r="F23" i="1"/>
  <c r="F11" i="3"/>
  <c r="F25" i="11"/>
  <c r="F19" i="11"/>
  <c r="F16" i="11"/>
  <c r="F13" i="11"/>
  <c r="F9" i="11"/>
  <c r="F6" i="11"/>
  <c r="F27" i="11" s="1"/>
  <c r="F8" i="10"/>
  <c r="F16" i="9"/>
  <c r="F14" i="9"/>
  <c r="F9" i="9"/>
  <c r="F5" i="9"/>
  <c r="F12" i="8"/>
  <c r="F10" i="8"/>
  <c r="F7" i="8"/>
  <c r="F4" i="8"/>
  <c r="F21" i="7"/>
  <c r="F12" i="7"/>
  <c r="F23" i="7" s="1"/>
  <c r="F5" i="7"/>
  <c r="F14" i="6"/>
  <c r="F10" i="6"/>
  <c r="F16" i="6" s="1"/>
  <c r="F5" i="6"/>
  <c r="F19" i="5"/>
  <c r="F17" i="5"/>
  <c r="F12" i="5"/>
  <c r="F8" i="5"/>
  <c r="F8" i="4"/>
  <c r="F5" i="3"/>
  <c r="F23" i="2"/>
  <c r="F20" i="2"/>
  <c r="F8" i="2"/>
  <c r="F4" i="2"/>
  <c r="F25" i="2" s="1"/>
  <c r="F29" i="1"/>
  <c r="F17" i="1"/>
  <c r="F13" i="1"/>
  <c r="F6" i="1"/>
</calcChain>
</file>

<file path=xl/sharedStrings.xml><?xml version="1.0" encoding="utf-8"?>
<sst xmlns="http://schemas.openxmlformats.org/spreadsheetml/2006/main" count="217" uniqueCount="38">
  <si>
    <t>TRANSPORT FUEL REPORT FOR NOVEMBER 2023</t>
  </si>
  <si>
    <t>NO</t>
  </si>
  <si>
    <t>VEHICLES</t>
  </si>
  <si>
    <t>LPO NO</t>
  </si>
  <si>
    <t>INVOICE NO</t>
  </si>
  <si>
    <t>LTRS</t>
  </si>
  <si>
    <t>AMOUNT</t>
  </si>
  <si>
    <t>KBT 506N</t>
  </si>
  <si>
    <t>SUB TOTAL</t>
  </si>
  <si>
    <t>KAL 107U</t>
  </si>
  <si>
    <t>KCT 730Y</t>
  </si>
  <si>
    <t>KBL 126G</t>
  </si>
  <si>
    <t>KCT 811Y</t>
  </si>
  <si>
    <t>GRAND TOTAL</t>
  </si>
  <si>
    <t>TRANSPORT FUEL REPORT FOR DECEMBER 23</t>
  </si>
  <si>
    <t>KCP 827K</t>
  </si>
  <si>
    <t>KAL 107 U</t>
  </si>
  <si>
    <t>P/ OPERATION FUEL REPORT FOR NOVEMBER 23</t>
  </si>
  <si>
    <t>GENERATOR</t>
  </si>
  <si>
    <t>TOTAL</t>
  </si>
  <si>
    <t>P/OPERATION FUEL REPORT FOR DECEMBER</t>
  </si>
  <si>
    <t>SECURITY FUEL REPORT FOR NOVEMBER 23</t>
  </si>
  <si>
    <t>GKB 335T</t>
  </si>
  <si>
    <t>GKB 146R</t>
  </si>
  <si>
    <t xml:space="preserve"> </t>
  </si>
  <si>
    <t>K-SRIC FUEL REPORT FOR NOVEMBER 23</t>
  </si>
  <si>
    <t>KCU 502Z</t>
  </si>
  <si>
    <t>KCU 576Z</t>
  </si>
  <si>
    <t>KCZ 551B</t>
  </si>
  <si>
    <t>K-SRIC FUEL REPORT FOR DECEMBER 23</t>
  </si>
  <si>
    <t>K-SRIC FUEL REPORT FOR OCTOBER 23</t>
  </si>
  <si>
    <t>K-SRIC FUEL REPORT FOR SEP 23</t>
  </si>
  <si>
    <t>K-SRIC FUEL REPORT FOR JAN 2024</t>
  </si>
  <si>
    <t>P/ OPERATION FUEL REPORT FOR JAN 24</t>
  </si>
  <si>
    <t>LAWN MOWER</t>
  </si>
  <si>
    <t>TRANSPORT FUEL REPORT FOR JAN 24</t>
  </si>
  <si>
    <t>KCP031K</t>
  </si>
  <si>
    <t>KCH 490X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</si>
</sst>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7">
    <xf numFmtId="0" fontId="0" fillId="0" borderId="0" xfId="0"/>
    <xf numFmtId="0" fontId="1" fillId="0" borderId="4" xfId="0" applyFont="1" applyBorder="1"/>
    <xf numFmtId="0" fontId="2" fillId="0" borderId="4" xfId="0" applyFont="1" applyBorder="1"/>
    <xf numFmtId="43" fontId="2" fillId="0" borderId="4" xfId="1" applyFont="1" applyBorder="1"/>
    <xf numFmtId="43" fontId="1" fillId="0" borderId="4" xfId="1" applyFont="1" applyBorder="1"/>
    <xf numFmtId="0" fontId="0" fillId="0" borderId="4" xfId="0" applyBorder="1"/>
    <xf numFmtId="43" fontId="1" fillId="0" borderId="4" xfId="0" applyNumberFormat="1" applyFont="1" applyBorder="1"/>
    <xf numFmtId="0" fontId="2" fillId="0" borderId="0" xfId="0" applyFont="1"/>
    <xf numFmtId="0" fontId="3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3" fontId="2" fillId="0" borderId="4" xfId="1" applyFont="1" applyBorder="1" applyAlignment="1">
      <alignment horizontal="left"/>
    </xf>
    <xf numFmtId="43" fontId="1" fillId="0" borderId="4" xfId="1" applyFont="1" applyBorder="1" applyAlignment="1">
      <alignment horizontal="left"/>
    </xf>
    <xf numFmtId="43" fontId="1" fillId="0" borderId="4" xfId="0" applyNumberFormat="1" applyFont="1" applyBorder="1" applyAlignment="1">
      <alignment horizontal="left"/>
    </xf>
    <xf numFmtId="0" fontId="6" fillId="0" borderId="4" xfId="0" applyFont="1" applyBorder="1"/>
    <xf numFmtId="43" fontId="6" fillId="0" borderId="4" xfId="1" applyFont="1" applyBorder="1"/>
    <xf numFmtId="43" fontId="5" fillId="0" borderId="4" xfId="0" applyNumberFormat="1" applyFont="1" applyBorder="1"/>
    <xf numFmtId="0" fontId="6" fillId="0" borderId="4" xfId="0" applyFont="1" applyBorder="1" applyAlignment="1">
      <alignment horizontal="left"/>
    </xf>
    <xf numFmtId="43" fontId="6" fillId="0" borderId="4" xfId="1" applyFont="1" applyBorder="1" applyAlignment="1">
      <alignment horizontal="left"/>
    </xf>
    <xf numFmtId="0" fontId="7" fillId="0" borderId="4" xfId="0" applyFont="1" applyBorder="1"/>
    <xf numFmtId="43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7" workbookViewId="0">
      <selection activeCell="F33" sqref="F33"/>
    </sheetView>
  </sheetViews>
  <sheetFormatPr defaultColWidth="9" defaultRowHeight="14.4"/>
  <cols>
    <col min="1" max="1" width="4.88671875" customWidth="1"/>
    <col min="2" max="2" width="11.33203125" customWidth="1"/>
    <col min="4" max="4" width="15.21875" customWidth="1"/>
    <col min="5" max="5" width="10" customWidth="1"/>
    <col min="6" max="6" width="13.88671875" customWidth="1"/>
    <col min="13" max="13" width="11.77734375"/>
  </cols>
  <sheetData>
    <row r="1" spans="1:6">
      <c r="A1" s="20" t="s">
        <v>0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135356</v>
      </c>
      <c r="D3" s="2">
        <v>1549</v>
      </c>
      <c r="E3" s="2">
        <v>150</v>
      </c>
      <c r="F3" s="3">
        <v>30810</v>
      </c>
    </row>
    <row r="4" spans="1:6">
      <c r="A4" s="2">
        <v>2</v>
      </c>
      <c r="B4" s="2" t="s">
        <v>7</v>
      </c>
      <c r="C4" s="2">
        <v>135374</v>
      </c>
      <c r="D4" s="2">
        <v>3029</v>
      </c>
      <c r="E4" s="2">
        <v>148.19999999999999</v>
      </c>
      <c r="F4" s="3">
        <v>30147</v>
      </c>
    </row>
    <row r="5" spans="1:6">
      <c r="A5" s="2"/>
      <c r="B5" s="2" t="s">
        <v>7</v>
      </c>
      <c r="C5" s="2">
        <v>135380</v>
      </c>
      <c r="D5" s="2">
        <v>935</v>
      </c>
      <c r="E5" s="2">
        <v>150</v>
      </c>
      <c r="F5" s="3">
        <v>30501</v>
      </c>
    </row>
    <row r="6" spans="1:6">
      <c r="A6" s="2"/>
      <c r="B6" s="2"/>
      <c r="C6" s="2"/>
      <c r="D6" s="1" t="s">
        <v>8</v>
      </c>
      <c r="E6" s="2"/>
      <c r="F6" s="4">
        <f>SUM(F3:F5)</f>
        <v>91458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14" t="s">
        <v>15</v>
      </c>
      <c r="C8" s="2">
        <v>135363</v>
      </c>
      <c r="D8" s="14">
        <v>3023</v>
      </c>
      <c r="E8" s="2">
        <v>127</v>
      </c>
      <c r="F8" s="15">
        <v>26085</v>
      </c>
    </row>
    <row r="9" spans="1:6">
      <c r="A9" s="2"/>
      <c r="B9" s="2"/>
      <c r="C9" s="2"/>
      <c r="D9" s="1" t="s">
        <v>8</v>
      </c>
      <c r="E9" s="2"/>
      <c r="F9" s="4">
        <f>SUM(F8)</f>
        <v>26085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135355</v>
      </c>
      <c r="D11" s="2">
        <v>1177</v>
      </c>
      <c r="E11" s="2">
        <v>50</v>
      </c>
      <c r="F11" s="3">
        <v>10865</v>
      </c>
    </row>
    <row r="12" spans="1:6">
      <c r="A12" s="2">
        <v>2</v>
      </c>
      <c r="B12" s="2" t="s">
        <v>9</v>
      </c>
      <c r="C12" s="2">
        <v>135377</v>
      </c>
      <c r="D12" s="2">
        <v>3165</v>
      </c>
      <c r="E12" s="2">
        <v>50</v>
      </c>
      <c r="F12" s="3">
        <v>10866</v>
      </c>
    </row>
    <row r="13" spans="1:6">
      <c r="A13" s="2"/>
      <c r="B13" s="2"/>
      <c r="C13" s="2"/>
      <c r="D13" s="1" t="s">
        <v>8</v>
      </c>
      <c r="E13" s="2"/>
      <c r="F13" s="4">
        <f>SUM(F11:F12)</f>
        <v>21731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135362</v>
      </c>
      <c r="D15" s="2">
        <v>3003</v>
      </c>
      <c r="E15" s="2">
        <v>60</v>
      </c>
      <c r="F15" s="3">
        <v>12324</v>
      </c>
    </row>
    <row r="16" spans="1:6">
      <c r="A16" s="2">
        <v>2</v>
      </c>
      <c r="B16" s="2" t="s">
        <v>10</v>
      </c>
      <c r="C16" s="2">
        <v>135379</v>
      </c>
      <c r="D16" s="2">
        <v>3200</v>
      </c>
      <c r="E16" s="2">
        <v>58.68</v>
      </c>
      <c r="F16" s="3">
        <v>11935</v>
      </c>
    </row>
    <row r="17" spans="1:6">
      <c r="A17" s="2"/>
      <c r="B17" s="2"/>
      <c r="C17" s="2"/>
      <c r="D17" s="1" t="s">
        <v>8</v>
      </c>
      <c r="E17" s="2"/>
      <c r="F17" s="4">
        <f>SUM(F15:F16)</f>
        <v>24259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11</v>
      </c>
      <c r="C19" s="2">
        <v>135361</v>
      </c>
      <c r="D19" s="2">
        <v>3002</v>
      </c>
      <c r="E19" s="2">
        <v>40</v>
      </c>
      <c r="F19" s="3">
        <v>8692</v>
      </c>
    </row>
    <row r="20" spans="1:6">
      <c r="A20" s="2">
        <v>2</v>
      </c>
      <c r="B20" s="2" t="s">
        <v>11</v>
      </c>
      <c r="C20" s="2">
        <v>135375</v>
      </c>
      <c r="D20" s="2">
        <v>3026</v>
      </c>
      <c r="E20" s="2">
        <v>40</v>
      </c>
      <c r="F20" s="3">
        <v>8692</v>
      </c>
    </row>
    <row r="21" spans="1:6">
      <c r="A21" s="2">
        <v>3</v>
      </c>
      <c r="B21" s="2" t="s">
        <v>11</v>
      </c>
      <c r="C21" s="2">
        <v>135381</v>
      </c>
      <c r="D21" s="2">
        <v>1188</v>
      </c>
      <c r="E21" s="2">
        <v>40</v>
      </c>
      <c r="F21" s="3">
        <v>8692</v>
      </c>
    </row>
    <row r="22" spans="1:6">
      <c r="A22" s="2">
        <v>4</v>
      </c>
      <c r="B22" s="2" t="s">
        <v>11</v>
      </c>
      <c r="C22" s="2">
        <v>135386</v>
      </c>
      <c r="D22" s="2">
        <v>3022</v>
      </c>
      <c r="E22" s="2">
        <v>37.4</v>
      </c>
      <c r="F22" s="3">
        <v>8144</v>
      </c>
    </row>
    <row r="23" spans="1:6">
      <c r="A23" s="2"/>
      <c r="B23" s="2"/>
      <c r="C23" s="2"/>
      <c r="D23" s="1" t="s">
        <v>8</v>
      </c>
      <c r="E23" s="2"/>
      <c r="F23" s="4">
        <f>SUM(F19:F22)</f>
        <v>34220</v>
      </c>
    </row>
    <row r="24" spans="1:6">
      <c r="A24" s="2"/>
      <c r="B24" s="2"/>
      <c r="C24" s="2"/>
      <c r="D24" s="1"/>
      <c r="E24" s="2"/>
      <c r="F24" s="4"/>
    </row>
    <row r="25" spans="1:6">
      <c r="A25" s="2">
        <v>1</v>
      </c>
      <c r="B25" s="2" t="s">
        <v>12</v>
      </c>
      <c r="C25" s="2">
        <v>135353</v>
      </c>
      <c r="D25" s="2">
        <v>3009</v>
      </c>
      <c r="E25" s="2">
        <v>56</v>
      </c>
      <c r="F25" s="3">
        <v>12168</v>
      </c>
    </row>
    <row r="26" spans="1:6">
      <c r="A26" s="2">
        <v>2</v>
      </c>
      <c r="B26" s="2" t="s">
        <v>12</v>
      </c>
      <c r="C26" s="2">
        <v>135373</v>
      </c>
      <c r="D26" s="2">
        <v>3033</v>
      </c>
      <c r="E26" s="2">
        <v>53.2</v>
      </c>
      <c r="F26" s="3">
        <v>11569</v>
      </c>
    </row>
    <row r="27" spans="1:6">
      <c r="A27" s="2">
        <v>3</v>
      </c>
      <c r="B27" s="2" t="s">
        <v>12</v>
      </c>
      <c r="C27" s="2">
        <v>135382</v>
      </c>
      <c r="D27" s="2">
        <v>3042</v>
      </c>
      <c r="E27" s="2">
        <v>42.69</v>
      </c>
      <c r="F27" s="3">
        <v>9277</v>
      </c>
    </row>
    <row r="28" spans="1:6">
      <c r="A28" s="2">
        <v>4</v>
      </c>
      <c r="B28" s="2" t="s">
        <v>12</v>
      </c>
      <c r="C28" s="2">
        <v>135385</v>
      </c>
      <c r="D28" s="2">
        <v>3188</v>
      </c>
      <c r="E28" s="2">
        <v>43.68</v>
      </c>
      <c r="F28" s="3">
        <v>9492</v>
      </c>
    </row>
    <row r="29" spans="1:6">
      <c r="A29" s="2"/>
      <c r="B29" s="2"/>
      <c r="C29" s="2"/>
      <c r="D29" s="1" t="s">
        <v>8</v>
      </c>
      <c r="E29" s="2"/>
      <c r="F29" s="4">
        <f>SUM(F25:F28)</f>
        <v>42506</v>
      </c>
    </row>
    <row r="30" spans="1:6">
      <c r="A30" s="2"/>
      <c r="B30" s="14"/>
      <c r="C30" s="2"/>
      <c r="D30" s="1"/>
      <c r="E30" s="2"/>
      <c r="F30" s="4"/>
    </row>
    <row r="31" spans="1:6">
      <c r="A31" s="5">
        <v>1</v>
      </c>
      <c r="B31" s="5" t="s">
        <v>37</v>
      </c>
      <c r="C31" s="5">
        <v>135368</v>
      </c>
      <c r="D31" s="1">
        <v>3018</v>
      </c>
      <c r="E31" s="5">
        <v>60</v>
      </c>
      <c r="F31" s="16">
        <v>12324</v>
      </c>
    </row>
    <row r="32" spans="1:6">
      <c r="A32" s="5"/>
      <c r="B32" s="5"/>
      <c r="C32" s="5"/>
      <c r="D32" s="1" t="s">
        <v>8</v>
      </c>
      <c r="E32" s="5"/>
      <c r="F32" s="16">
        <f>SUM(F31)</f>
        <v>12324</v>
      </c>
    </row>
    <row r="33" spans="1:6">
      <c r="A33" s="5"/>
      <c r="B33" s="5"/>
      <c r="C33" s="5"/>
      <c r="D33" s="1" t="s">
        <v>13</v>
      </c>
      <c r="E33" s="5"/>
      <c r="F33" s="6">
        <f>F6+F9+F13+F17+F23+F29+F32</f>
        <v>252583</v>
      </c>
    </row>
    <row r="34" spans="1:6">
      <c r="A34" s="5"/>
      <c r="B34" s="5"/>
      <c r="C34" s="5"/>
      <c r="D34" s="5"/>
      <c r="E34" s="5"/>
      <c r="F34" s="5"/>
    </row>
  </sheetData>
  <mergeCells count="1">
    <mergeCell ref="A1:F1"/>
  </mergeCells>
  <pageMargins left="0.7" right="0.7" top="0.75" bottom="0.75" header="0.3" footer="0.3"/>
  <pageSetup paperSize="25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>
      <selection activeCell="D16" sqref="D16"/>
    </sheetView>
  </sheetViews>
  <sheetFormatPr defaultColWidth="8.88671875" defaultRowHeight="13.8"/>
  <cols>
    <col min="1" max="1" width="5.44140625" style="7" customWidth="1"/>
    <col min="2" max="2" width="11.109375" style="7" customWidth="1"/>
    <col min="3" max="3" width="8.88671875" style="7"/>
    <col min="4" max="4" width="13.21875" style="7" customWidth="1"/>
    <col min="5" max="5" width="6.77734375" style="7" customWidth="1"/>
    <col min="6" max="6" width="12.88671875" style="7" customWidth="1"/>
    <col min="7" max="16384" width="8.88671875" style="7"/>
  </cols>
  <sheetData>
    <row r="1" spans="1:6">
      <c r="A1" s="23" t="s">
        <v>14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135392</v>
      </c>
      <c r="D3" s="2">
        <v>3255</v>
      </c>
      <c r="E3" s="2">
        <v>150</v>
      </c>
      <c r="F3" s="3">
        <v>30510</v>
      </c>
    </row>
    <row r="4" spans="1:6">
      <c r="A4" s="2"/>
      <c r="B4" s="2"/>
      <c r="C4" s="2"/>
      <c r="D4" s="8" t="s">
        <v>8</v>
      </c>
      <c r="E4" s="2"/>
      <c r="F4" s="4">
        <f>SUM(F3:F3)</f>
        <v>30510</v>
      </c>
    </row>
    <row r="5" spans="1:6">
      <c r="A5" s="2"/>
      <c r="B5" s="2"/>
      <c r="C5" s="2"/>
      <c r="D5" s="1"/>
      <c r="E5" s="2"/>
      <c r="F5" s="4"/>
    </row>
    <row r="6" spans="1:6">
      <c r="A6" s="2">
        <v>1</v>
      </c>
      <c r="B6" s="2" t="s">
        <v>10</v>
      </c>
      <c r="C6" s="2">
        <v>135393</v>
      </c>
      <c r="D6" s="2">
        <v>3254</v>
      </c>
      <c r="E6" s="2">
        <v>39.6</v>
      </c>
      <c r="F6" s="3">
        <v>8062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8" t="s">
        <v>8</v>
      </c>
      <c r="E8" s="2"/>
      <c r="F8" s="4">
        <f>SUM(F6:F7)</f>
        <v>8062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11</v>
      </c>
      <c r="C10" s="2">
        <v>135394</v>
      </c>
      <c r="D10" s="2">
        <v>3256</v>
      </c>
      <c r="E10" s="2">
        <v>40</v>
      </c>
      <c r="F10" s="3">
        <v>8692</v>
      </c>
    </row>
    <row r="11" spans="1:6">
      <c r="A11" s="2">
        <v>2</v>
      </c>
      <c r="B11" s="2" t="s">
        <v>11</v>
      </c>
      <c r="C11" s="2">
        <v>135398</v>
      </c>
      <c r="D11" s="2">
        <v>3263</v>
      </c>
      <c r="E11" s="2">
        <v>40.94</v>
      </c>
      <c r="F11" s="3">
        <v>8692</v>
      </c>
    </row>
    <row r="12" spans="1:6">
      <c r="A12" s="2">
        <v>3</v>
      </c>
      <c r="B12" s="14" t="s">
        <v>11</v>
      </c>
      <c r="C12" s="2">
        <v>135371</v>
      </c>
      <c r="D12" s="2">
        <v>1194</v>
      </c>
      <c r="E12" s="2">
        <v>40</v>
      </c>
      <c r="F12" s="3">
        <v>8692</v>
      </c>
    </row>
    <row r="13" spans="1:6">
      <c r="A13" s="2"/>
      <c r="B13" s="2"/>
      <c r="C13" s="2"/>
      <c r="D13" s="8" t="s">
        <v>8</v>
      </c>
      <c r="E13" s="2"/>
      <c r="F13" s="4">
        <f>SUM(F10:F12)</f>
        <v>26076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12</v>
      </c>
      <c r="C15" s="2">
        <v>135396</v>
      </c>
      <c r="D15" s="2">
        <v>3259</v>
      </c>
      <c r="E15" s="2">
        <v>30</v>
      </c>
      <c r="F15" s="3">
        <v>6519</v>
      </c>
    </row>
    <row r="16" spans="1:6" ht="15.6">
      <c r="A16" s="2">
        <v>2</v>
      </c>
      <c r="B16" s="2" t="s">
        <v>12</v>
      </c>
      <c r="C16" s="2">
        <v>135391</v>
      </c>
      <c r="D16" s="19">
        <v>3251</v>
      </c>
      <c r="E16" s="2">
        <v>53.82</v>
      </c>
      <c r="F16" s="3">
        <v>11695</v>
      </c>
    </row>
    <row r="17" spans="1:6">
      <c r="A17" s="2"/>
      <c r="B17" s="2"/>
      <c r="C17" s="2"/>
      <c r="D17" s="8" t="s">
        <v>8</v>
      </c>
      <c r="E17" s="2"/>
      <c r="F17" s="4">
        <f>SUM(F15:F16)</f>
        <v>18214</v>
      </c>
    </row>
    <row r="18" spans="1:6">
      <c r="A18" s="2"/>
      <c r="B18" s="2"/>
      <c r="C18" s="2"/>
      <c r="D18" s="1"/>
      <c r="E18" s="2"/>
      <c r="F18" s="4"/>
    </row>
    <row r="19" spans="1:6">
      <c r="A19" s="2">
        <v>1</v>
      </c>
      <c r="B19" s="2" t="s">
        <v>15</v>
      </c>
      <c r="C19" s="2">
        <v>135395</v>
      </c>
      <c r="D19" s="2">
        <v>3261</v>
      </c>
      <c r="E19" s="2">
        <v>154.53</v>
      </c>
      <c r="F19" s="3">
        <v>31431</v>
      </c>
    </row>
    <row r="20" spans="1:6">
      <c r="A20" s="2"/>
      <c r="B20" s="2"/>
      <c r="C20" s="2"/>
      <c r="D20" s="8" t="s">
        <v>8</v>
      </c>
      <c r="E20" s="2"/>
      <c r="F20" s="6">
        <f>SUM(F19)</f>
        <v>31431</v>
      </c>
    </row>
    <row r="21" spans="1:6">
      <c r="A21" s="2"/>
      <c r="B21" s="2"/>
      <c r="C21" s="2"/>
      <c r="D21" s="1"/>
      <c r="E21" s="2"/>
      <c r="F21" s="6"/>
    </row>
    <row r="22" spans="1:6">
      <c r="A22" s="2">
        <v>1</v>
      </c>
      <c r="B22" s="2" t="s">
        <v>16</v>
      </c>
      <c r="C22" s="2">
        <v>135400</v>
      </c>
      <c r="D22" s="2">
        <v>3264</v>
      </c>
      <c r="E22" s="2">
        <v>50</v>
      </c>
      <c r="F22" s="3">
        <v>10615</v>
      </c>
    </row>
    <row r="23" spans="1:6">
      <c r="A23" s="2"/>
      <c r="B23" s="2"/>
      <c r="C23" s="2"/>
      <c r="D23" s="8" t="s">
        <v>8</v>
      </c>
      <c r="E23" s="2"/>
      <c r="F23" s="4">
        <f>SUM(F22:F22)</f>
        <v>10615</v>
      </c>
    </row>
    <row r="24" spans="1:6">
      <c r="A24" s="2"/>
      <c r="B24" s="2"/>
      <c r="C24" s="2"/>
      <c r="D24" s="1"/>
      <c r="E24" s="2"/>
      <c r="F24" s="4"/>
    </row>
    <row r="25" spans="1:6">
      <c r="A25" s="2"/>
      <c r="B25" s="2"/>
      <c r="C25" s="2"/>
      <c r="D25" s="1" t="s">
        <v>13</v>
      </c>
      <c r="E25" s="2"/>
      <c r="F25" s="6">
        <f>F4+F8+F13+F17+F20+F23</f>
        <v>124908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tabSelected="1" workbookViewId="0">
      <selection activeCell="F17" sqref="F17"/>
    </sheetView>
  </sheetViews>
  <sheetFormatPr defaultColWidth="8.88671875" defaultRowHeight="14.4"/>
  <cols>
    <col min="1" max="1" width="4.44140625" customWidth="1"/>
    <col min="2" max="2" width="15.33203125" customWidth="1"/>
    <col min="4" max="4" width="15.21875" customWidth="1"/>
    <col min="6" max="6" width="13.21875" customWidth="1"/>
  </cols>
  <sheetData>
    <row r="1" spans="1:6">
      <c r="A1" s="24" t="s">
        <v>17</v>
      </c>
      <c r="B1" s="25"/>
      <c r="C1" s="25"/>
      <c r="D1" s="25"/>
      <c r="E1" s="25"/>
      <c r="F1" s="26"/>
    </row>
    <row r="2" spans="1:6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>
      <c r="A3" s="10">
        <v>1</v>
      </c>
      <c r="B3" s="10" t="s">
        <v>18</v>
      </c>
      <c r="C3" s="10">
        <v>135249</v>
      </c>
      <c r="D3" s="10">
        <v>3059</v>
      </c>
      <c r="E3" s="10">
        <v>400</v>
      </c>
      <c r="F3" s="11">
        <v>82160</v>
      </c>
    </row>
    <row r="4" spans="1:6">
      <c r="A4" s="10">
        <v>3</v>
      </c>
      <c r="B4" s="10" t="s">
        <v>18</v>
      </c>
      <c r="C4" s="10">
        <v>135378</v>
      </c>
      <c r="D4" s="10">
        <v>3166</v>
      </c>
      <c r="E4" s="10">
        <v>400</v>
      </c>
      <c r="F4" s="11">
        <v>81480</v>
      </c>
    </row>
    <row r="5" spans="1:6">
      <c r="A5" s="10"/>
      <c r="B5" s="10"/>
      <c r="C5" s="10"/>
      <c r="D5" s="9" t="s">
        <v>19</v>
      </c>
      <c r="E5" s="10"/>
      <c r="F5" s="12">
        <f>SUM(F3:F4)</f>
        <v>163640</v>
      </c>
    </row>
    <row r="6" spans="1:6">
      <c r="A6" s="10"/>
      <c r="B6" s="10"/>
      <c r="C6" s="10"/>
      <c r="D6" s="9"/>
      <c r="E6" s="10"/>
      <c r="F6" s="12"/>
    </row>
    <row r="7" spans="1:6">
      <c r="A7" s="10"/>
      <c r="B7" s="24" t="s">
        <v>20</v>
      </c>
      <c r="C7" s="25"/>
      <c r="D7" s="25"/>
      <c r="E7" s="25"/>
      <c r="F7" s="26"/>
    </row>
    <row r="8" spans="1:6">
      <c r="A8" s="10">
        <v>1</v>
      </c>
      <c r="B8" s="10" t="s">
        <v>18</v>
      </c>
      <c r="C8" s="10">
        <v>135399</v>
      </c>
      <c r="D8" s="10">
        <v>3265</v>
      </c>
      <c r="E8" s="10">
        <v>400</v>
      </c>
      <c r="F8" s="11">
        <v>80560</v>
      </c>
    </row>
    <row r="9" spans="1:6">
      <c r="A9" s="10">
        <v>2</v>
      </c>
      <c r="B9" s="10" t="s">
        <v>18</v>
      </c>
      <c r="C9" s="10">
        <v>137201</v>
      </c>
      <c r="D9" s="10">
        <v>3266</v>
      </c>
      <c r="E9" s="10">
        <v>400</v>
      </c>
      <c r="F9" s="11">
        <v>80560</v>
      </c>
    </row>
    <row r="10" spans="1:6">
      <c r="A10" s="10">
        <v>3</v>
      </c>
      <c r="B10" s="10" t="s">
        <v>18</v>
      </c>
      <c r="C10" s="10">
        <v>137201</v>
      </c>
      <c r="D10" s="10">
        <v>3271</v>
      </c>
      <c r="E10" s="10">
        <v>400</v>
      </c>
      <c r="F10" s="11">
        <v>80860</v>
      </c>
    </row>
    <row r="11" spans="1:6">
      <c r="A11" s="10"/>
      <c r="B11" s="10"/>
      <c r="C11" s="10"/>
      <c r="D11" s="9" t="s">
        <v>8</v>
      </c>
      <c r="E11" s="10"/>
      <c r="F11" s="12">
        <f>SUM(F8:F10)</f>
        <v>241980</v>
      </c>
    </row>
    <row r="12" spans="1:6">
      <c r="A12" s="10"/>
      <c r="B12" s="10"/>
      <c r="C12" s="10"/>
      <c r="D12" s="9"/>
      <c r="E12" s="10"/>
      <c r="F12" s="12"/>
    </row>
    <row r="13" spans="1:6">
      <c r="A13" s="10">
        <v>1</v>
      </c>
      <c r="B13" s="17" t="s">
        <v>34</v>
      </c>
      <c r="C13" s="10">
        <v>135384</v>
      </c>
      <c r="D13" s="17">
        <v>1546</v>
      </c>
      <c r="E13" s="10">
        <v>20</v>
      </c>
      <c r="F13" s="18">
        <v>4346</v>
      </c>
    </row>
    <row r="14" spans="1:6">
      <c r="A14" s="10"/>
      <c r="B14" s="10"/>
      <c r="C14" s="10"/>
      <c r="D14" s="9" t="s">
        <v>8</v>
      </c>
      <c r="E14" s="10"/>
      <c r="F14" s="12">
        <f>SUM(F13)</f>
        <v>4346</v>
      </c>
    </row>
    <row r="15" spans="1:6">
      <c r="A15" s="10"/>
      <c r="B15" s="10"/>
      <c r="C15" s="10"/>
      <c r="D15" s="9"/>
      <c r="E15" s="10"/>
      <c r="F15" s="12"/>
    </row>
    <row r="16" spans="1:6">
      <c r="A16" s="10"/>
      <c r="B16" s="10"/>
      <c r="C16" s="10"/>
      <c r="D16" s="9" t="s">
        <v>13</v>
      </c>
      <c r="E16" s="9"/>
      <c r="F16" s="12">
        <f>F5+F11+F14</f>
        <v>409966</v>
      </c>
    </row>
    <row r="17" spans="1:6">
      <c r="A17" s="10"/>
      <c r="B17" s="10"/>
      <c r="C17" s="10"/>
      <c r="D17" s="9"/>
      <c r="E17" s="10"/>
      <c r="F17" s="13"/>
    </row>
    <row r="18" spans="1:6">
      <c r="A18" s="10"/>
      <c r="B18" s="10"/>
      <c r="C18" s="10"/>
      <c r="D18" s="10"/>
      <c r="E18" s="10"/>
      <c r="F18" s="10"/>
    </row>
    <row r="19" spans="1:6">
      <c r="A19" s="10"/>
      <c r="B19" s="10"/>
      <c r="C19" s="10"/>
      <c r="D19" s="9"/>
      <c r="E19" s="10"/>
      <c r="F19" s="13"/>
    </row>
  </sheetData>
  <mergeCells count="2">
    <mergeCell ref="A1:F1"/>
    <mergeCell ref="B7:F7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F1"/>
    </sheetView>
  </sheetViews>
  <sheetFormatPr defaultColWidth="8.88671875" defaultRowHeight="14.4"/>
  <cols>
    <col min="1" max="1" width="5.109375" customWidth="1"/>
    <col min="2" max="2" width="15.6640625" customWidth="1"/>
    <col min="4" max="4" width="12.77734375" customWidth="1"/>
    <col min="6" max="6" width="11.77734375" customWidth="1"/>
  </cols>
  <sheetData>
    <row r="1" spans="1:6">
      <c r="A1" s="23" t="s">
        <v>21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22</v>
      </c>
      <c r="C3" s="2">
        <v>135359</v>
      </c>
      <c r="D3" s="2">
        <v>3007</v>
      </c>
      <c r="E3" s="2">
        <v>50</v>
      </c>
      <c r="F3" s="3">
        <v>10270</v>
      </c>
    </row>
    <row r="4" spans="1:6">
      <c r="A4" s="2">
        <v>2</v>
      </c>
      <c r="B4" s="2" t="s">
        <v>23</v>
      </c>
      <c r="C4" s="2">
        <v>135360</v>
      </c>
      <c r="D4" s="2">
        <v>3008</v>
      </c>
      <c r="E4" s="2">
        <v>50</v>
      </c>
      <c r="F4" s="3">
        <v>10270</v>
      </c>
    </row>
    <row r="5" spans="1:6">
      <c r="A5" s="2"/>
      <c r="B5" s="2" t="s">
        <v>22</v>
      </c>
      <c r="C5" s="2">
        <v>135357</v>
      </c>
      <c r="D5" s="2">
        <v>3005</v>
      </c>
      <c r="E5" s="2">
        <v>50</v>
      </c>
      <c r="F5" s="3">
        <v>10270</v>
      </c>
    </row>
    <row r="6" spans="1:6">
      <c r="A6" s="2"/>
      <c r="B6" s="2" t="s">
        <v>23</v>
      </c>
      <c r="C6" s="2">
        <v>135358</v>
      </c>
      <c r="D6" s="2">
        <v>3006</v>
      </c>
      <c r="E6" s="2">
        <v>50</v>
      </c>
      <c r="F6" s="3">
        <v>10270</v>
      </c>
    </row>
    <row r="7" spans="1:6">
      <c r="A7" s="2"/>
      <c r="B7" s="2"/>
      <c r="C7" s="2"/>
      <c r="D7" s="2"/>
      <c r="E7" s="2"/>
      <c r="F7" s="3"/>
    </row>
    <row r="8" spans="1:6">
      <c r="A8" s="2"/>
      <c r="B8" s="2"/>
      <c r="C8" s="2"/>
      <c r="D8" s="1" t="s">
        <v>19</v>
      </c>
      <c r="E8" s="2"/>
      <c r="F8" s="4">
        <f>SUM(F3:F7)</f>
        <v>41080</v>
      </c>
    </row>
    <row r="9" spans="1:6">
      <c r="A9" s="2"/>
      <c r="B9" s="2"/>
      <c r="C9" s="2"/>
      <c r="D9" s="1"/>
      <c r="E9" s="2"/>
      <c r="F9" s="4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1"/>
      <c r="E11" s="2"/>
      <c r="F11" s="6"/>
    </row>
    <row r="24" spans="7:7">
      <c r="G24" t="s">
        <v>24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sqref="A1:F19"/>
    </sheetView>
  </sheetViews>
  <sheetFormatPr defaultColWidth="8.88671875" defaultRowHeight="14.4"/>
  <cols>
    <col min="1" max="1" width="5.21875" customWidth="1"/>
    <col min="2" max="2" width="12" customWidth="1"/>
    <col min="4" max="4" width="12.6640625" customWidth="1"/>
    <col min="6" max="6" width="11.77734375" customWidth="1"/>
  </cols>
  <sheetData>
    <row r="1" spans="1:6">
      <c r="A1" s="23" t="s">
        <v>25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135332</v>
      </c>
      <c r="D3" s="2">
        <v>3004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135334</v>
      </c>
      <c r="D4" s="2">
        <v>3025</v>
      </c>
      <c r="E4" s="2">
        <v>55</v>
      </c>
      <c r="F4" s="3">
        <v>11951</v>
      </c>
    </row>
    <row r="5" spans="1:6">
      <c r="A5" s="2"/>
      <c r="B5" s="2" t="s">
        <v>26</v>
      </c>
      <c r="C5" s="2">
        <v>135336</v>
      </c>
      <c r="D5" s="2">
        <v>3034</v>
      </c>
      <c r="E5" s="2">
        <v>55</v>
      </c>
      <c r="F5" s="3">
        <v>11951</v>
      </c>
    </row>
    <row r="6" spans="1:6">
      <c r="A6" s="2"/>
      <c r="B6" s="2" t="s">
        <v>26</v>
      </c>
      <c r="C6" s="2">
        <v>135345</v>
      </c>
      <c r="D6" s="2">
        <v>3039</v>
      </c>
      <c r="E6" s="2">
        <v>55</v>
      </c>
      <c r="F6" s="3">
        <v>11373</v>
      </c>
    </row>
    <row r="7" spans="1:6">
      <c r="A7" s="2"/>
      <c r="B7" s="2" t="s">
        <v>26</v>
      </c>
      <c r="C7" s="2">
        <v>135346</v>
      </c>
      <c r="D7" s="2">
        <v>3040</v>
      </c>
      <c r="E7" s="2">
        <v>55</v>
      </c>
      <c r="F7" s="3">
        <v>11951</v>
      </c>
    </row>
    <row r="8" spans="1:6">
      <c r="A8" s="2"/>
      <c r="B8" s="2"/>
      <c r="C8" s="2"/>
      <c r="D8" s="1" t="s">
        <v>8</v>
      </c>
      <c r="E8" s="2"/>
      <c r="F8" s="4">
        <f>SUM(F3:F7)</f>
        <v>59178</v>
      </c>
    </row>
    <row r="9" spans="1:6">
      <c r="A9" s="2"/>
      <c r="B9" s="2"/>
      <c r="C9" s="2"/>
      <c r="D9" s="1"/>
      <c r="E9" s="2"/>
      <c r="F9" s="4"/>
    </row>
    <row r="10" spans="1:6">
      <c r="A10" s="2">
        <v>1</v>
      </c>
      <c r="B10" s="2" t="s">
        <v>27</v>
      </c>
      <c r="C10" s="2">
        <v>135333</v>
      </c>
      <c r="D10" s="2">
        <v>3010</v>
      </c>
      <c r="E10" s="2">
        <v>120</v>
      </c>
      <c r="F10" s="3">
        <v>24648</v>
      </c>
    </row>
    <row r="11" spans="1:6">
      <c r="A11" s="2">
        <v>2</v>
      </c>
      <c r="B11" s="2" t="s">
        <v>27</v>
      </c>
      <c r="C11" s="2">
        <v>135335</v>
      </c>
      <c r="D11" s="2">
        <v>3030</v>
      </c>
      <c r="E11" s="2">
        <v>120</v>
      </c>
      <c r="F11" s="3">
        <v>24408</v>
      </c>
    </row>
    <row r="12" spans="1:6">
      <c r="A12" s="2"/>
      <c r="B12" s="2"/>
      <c r="C12" s="2"/>
      <c r="D12" s="1" t="s">
        <v>8</v>
      </c>
      <c r="E12" s="2"/>
      <c r="F12" s="4">
        <f>SUM(F10:F11)</f>
        <v>49056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135338</v>
      </c>
      <c r="D14" s="2">
        <v>3036</v>
      </c>
      <c r="E14" s="2">
        <v>80</v>
      </c>
      <c r="F14" s="3">
        <v>16272</v>
      </c>
    </row>
    <row r="15" spans="1:6">
      <c r="A15" s="2">
        <v>2</v>
      </c>
      <c r="B15" s="2" t="s">
        <v>28</v>
      </c>
      <c r="C15" s="2">
        <v>135344</v>
      </c>
      <c r="D15" s="2">
        <v>3172</v>
      </c>
      <c r="E15" s="2">
        <v>80</v>
      </c>
      <c r="F15" s="3">
        <v>16272</v>
      </c>
    </row>
    <row r="16" spans="1:6">
      <c r="A16" s="2">
        <v>3</v>
      </c>
      <c r="B16" s="2" t="s">
        <v>28</v>
      </c>
      <c r="C16" s="2">
        <v>135348</v>
      </c>
      <c r="D16" s="2">
        <v>3044</v>
      </c>
      <c r="E16" s="2">
        <v>80</v>
      </c>
      <c r="F16" s="3">
        <v>16272</v>
      </c>
    </row>
    <row r="17" spans="1:6">
      <c r="A17" s="2"/>
      <c r="B17" s="2"/>
      <c r="C17" s="2"/>
      <c r="D17" s="1" t="s">
        <v>8</v>
      </c>
      <c r="E17" s="2"/>
      <c r="F17" s="4">
        <f>SUM(F14:F16)</f>
        <v>48816</v>
      </c>
    </row>
    <row r="18" spans="1:6">
      <c r="A18" s="2"/>
      <c r="B18" s="2"/>
      <c r="C18" s="2"/>
      <c r="D18" s="1"/>
      <c r="E18" s="2"/>
      <c r="F18" s="4"/>
    </row>
    <row r="19" spans="1:6">
      <c r="A19" s="2"/>
      <c r="B19" s="2"/>
      <c r="C19" s="2"/>
      <c r="D19" s="1" t="s">
        <v>13</v>
      </c>
      <c r="E19" s="2"/>
      <c r="F19" s="6">
        <f>F8+F12+F17</f>
        <v>157050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selection sqref="A1:F16"/>
    </sheetView>
  </sheetViews>
  <sheetFormatPr defaultColWidth="8.88671875" defaultRowHeight="14.4"/>
  <cols>
    <col min="1" max="1" width="5.44140625" customWidth="1"/>
    <col min="2" max="2" width="11.21875" customWidth="1"/>
    <col min="4" max="4" width="13.21875" customWidth="1"/>
    <col min="6" max="6" width="11.109375" customWidth="1"/>
  </cols>
  <sheetData>
    <row r="1" spans="1:6">
      <c r="A1" s="23" t="s">
        <v>29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135350</v>
      </c>
      <c r="D3" s="2">
        <v>1536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137153</v>
      </c>
      <c r="D4" s="2">
        <v>3269</v>
      </c>
      <c r="E4" s="2">
        <v>51.7</v>
      </c>
      <c r="F4" s="3">
        <v>10990</v>
      </c>
    </row>
    <row r="5" spans="1:6">
      <c r="A5" s="2"/>
      <c r="B5" s="2"/>
      <c r="C5" s="2"/>
      <c r="D5" s="1" t="s">
        <v>8</v>
      </c>
      <c r="E5" s="2"/>
      <c r="F5" s="4">
        <f>SUM(F3:F4)</f>
        <v>22942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137154</v>
      </c>
      <c r="D7" s="2">
        <v>3258</v>
      </c>
      <c r="E7" s="2">
        <v>93.4</v>
      </c>
      <c r="F7" s="3">
        <v>19005</v>
      </c>
    </row>
    <row r="8" spans="1:6">
      <c r="A8" s="2">
        <v>2</v>
      </c>
      <c r="B8" s="2" t="s">
        <v>27</v>
      </c>
      <c r="C8" s="2">
        <v>137157</v>
      </c>
      <c r="D8" s="2">
        <v>3262</v>
      </c>
      <c r="E8" s="2">
        <v>106.4</v>
      </c>
      <c r="F8" s="3">
        <v>21432</v>
      </c>
    </row>
    <row r="9" spans="1:6">
      <c r="A9" s="2">
        <v>3</v>
      </c>
      <c r="B9" s="2" t="s">
        <v>27</v>
      </c>
      <c r="C9" s="2">
        <v>137159</v>
      </c>
      <c r="D9" s="2">
        <v>3267</v>
      </c>
      <c r="E9" s="2">
        <v>120</v>
      </c>
      <c r="F9" s="3">
        <v>24168</v>
      </c>
    </row>
    <row r="10" spans="1:6">
      <c r="A10" s="2"/>
      <c r="B10" s="2"/>
      <c r="C10" s="2"/>
      <c r="D10" s="1" t="s">
        <v>8</v>
      </c>
      <c r="E10" s="2"/>
      <c r="F10" s="4">
        <f>SUM(F7:F9)</f>
        <v>64605</v>
      </c>
    </row>
    <row r="11" spans="1:6">
      <c r="A11" s="2"/>
      <c r="B11" s="2"/>
      <c r="C11" s="2"/>
      <c r="D11" s="1"/>
      <c r="E11" s="2"/>
      <c r="F11" s="4"/>
    </row>
    <row r="12" spans="1:6">
      <c r="A12" s="2">
        <v>1</v>
      </c>
      <c r="B12" s="2" t="s">
        <v>28</v>
      </c>
      <c r="C12" s="2">
        <v>137152</v>
      </c>
      <c r="D12" s="2">
        <v>3257</v>
      </c>
      <c r="E12" s="2">
        <v>79.72</v>
      </c>
      <c r="F12" s="3">
        <v>16215</v>
      </c>
    </row>
    <row r="13" spans="1:6">
      <c r="A13" s="2">
        <v>2</v>
      </c>
      <c r="B13" s="2" t="s">
        <v>28</v>
      </c>
      <c r="C13" s="2">
        <v>137160</v>
      </c>
      <c r="D13" s="2">
        <v>3270</v>
      </c>
      <c r="E13" s="2">
        <v>75.67</v>
      </c>
      <c r="F13" s="3">
        <v>15240</v>
      </c>
    </row>
    <row r="14" spans="1:6">
      <c r="A14" s="2"/>
      <c r="B14" s="2"/>
      <c r="C14" s="2"/>
      <c r="D14" s="1" t="s">
        <v>8</v>
      </c>
      <c r="E14" s="2"/>
      <c r="F14" s="4">
        <f>SUM(F12:F13)</f>
        <v>31455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F5+F10+F14</f>
        <v>119002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workbookViewId="0">
      <selection sqref="A1:F23"/>
    </sheetView>
  </sheetViews>
  <sheetFormatPr defaultColWidth="8.88671875" defaultRowHeight="14.4"/>
  <cols>
    <col min="1" max="1" width="5.44140625" customWidth="1"/>
    <col min="2" max="3" width="10.44140625" customWidth="1"/>
    <col min="4" max="4" width="13.44140625" customWidth="1"/>
    <col min="6" max="6" width="12.33203125" customWidth="1"/>
  </cols>
  <sheetData>
    <row r="1" spans="1:6">
      <c r="A1" s="23" t="s">
        <v>30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135326</v>
      </c>
      <c r="D3" s="2">
        <v>1947</v>
      </c>
      <c r="E3" s="2">
        <v>55</v>
      </c>
      <c r="F3" s="3">
        <v>11952</v>
      </c>
    </row>
    <row r="4" spans="1:6">
      <c r="A4" s="2">
        <v>2</v>
      </c>
      <c r="B4" s="2" t="s">
        <v>26</v>
      </c>
      <c r="C4" s="2">
        <v>135330</v>
      </c>
      <c r="D4" s="2">
        <v>1413</v>
      </c>
      <c r="E4" s="2">
        <v>55</v>
      </c>
      <c r="F4" s="3">
        <v>11951</v>
      </c>
    </row>
    <row r="5" spans="1:6">
      <c r="A5" s="2"/>
      <c r="B5" s="2"/>
      <c r="C5" s="2"/>
      <c r="D5" s="1" t="s">
        <v>8</v>
      </c>
      <c r="E5" s="2"/>
      <c r="F5" s="4">
        <f>SUM(F3:F4)</f>
        <v>23903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135309</v>
      </c>
      <c r="D7" s="2">
        <v>1793</v>
      </c>
      <c r="E7" s="2">
        <v>120</v>
      </c>
      <c r="F7" s="3">
        <v>24108</v>
      </c>
    </row>
    <row r="8" spans="1:6">
      <c r="A8" s="2">
        <v>2</v>
      </c>
      <c r="B8" s="2" t="s">
        <v>27</v>
      </c>
      <c r="C8" s="2">
        <v>135327</v>
      </c>
      <c r="D8" s="2">
        <v>1946</v>
      </c>
      <c r="E8" s="2">
        <v>120</v>
      </c>
      <c r="F8" s="3">
        <v>24648</v>
      </c>
    </row>
    <row r="9" spans="1:6">
      <c r="A9" s="2">
        <v>3</v>
      </c>
      <c r="B9" s="2" t="s">
        <v>27</v>
      </c>
      <c r="C9" s="2">
        <v>135323</v>
      </c>
      <c r="D9" s="2">
        <v>1672</v>
      </c>
      <c r="E9" s="2">
        <v>120</v>
      </c>
      <c r="F9" s="3">
        <v>24648</v>
      </c>
    </row>
    <row r="10" spans="1:6">
      <c r="A10" s="2">
        <v>4</v>
      </c>
      <c r="B10" s="2" t="s">
        <v>27</v>
      </c>
      <c r="C10" s="2">
        <v>135321</v>
      </c>
      <c r="D10" s="2">
        <v>1791</v>
      </c>
      <c r="E10" s="2">
        <v>120</v>
      </c>
      <c r="F10" s="3">
        <v>24108</v>
      </c>
    </row>
    <row r="11" spans="1:6">
      <c r="A11" s="2">
        <v>5</v>
      </c>
      <c r="B11" s="2" t="s">
        <v>27</v>
      </c>
      <c r="C11" s="2">
        <v>135329</v>
      </c>
      <c r="D11" s="2">
        <v>1410</v>
      </c>
      <c r="E11" s="2">
        <v>120</v>
      </c>
      <c r="F11" s="3">
        <v>24648</v>
      </c>
    </row>
    <row r="12" spans="1:6">
      <c r="A12" s="2"/>
      <c r="B12" s="2"/>
      <c r="C12" s="2"/>
      <c r="D12" s="1" t="s">
        <v>8</v>
      </c>
      <c r="E12" s="2"/>
      <c r="F12" s="4">
        <f>SUM(F7:F11)</f>
        <v>122160</v>
      </c>
    </row>
    <row r="13" spans="1:6">
      <c r="A13" s="2"/>
      <c r="B13" s="2"/>
      <c r="C13" s="2"/>
      <c r="D13" s="1"/>
      <c r="E13" s="2"/>
      <c r="F13" s="4"/>
    </row>
    <row r="14" spans="1:6">
      <c r="A14" s="2">
        <v>1</v>
      </c>
      <c r="B14" s="2" t="s">
        <v>28</v>
      </c>
      <c r="C14" s="2">
        <v>135328</v>
      </c>
      <c r="D14" s="2">
        <v>1677</v>
      </c>
      <c r="E14" s="2">
        <v>80</v>
      </c>
      <c r="F14" s="3">
        <v>16432</v>
      </c>
    </row>
    <row r="15" spans="1:6">
      <c r="A15" s="2">
        <v>2</v>
      </c>
      <c r="B15" s="2" t="s">
        <v>28</v>
      </c>
      <c r="C15" s="2">
        <v>135339</v>
      </c>
      <c r="D15" s="2">
        <v>1792</v>
      </c>
      <c r="E15" s="2">
        <v>80</v>
      </c>
      <c r="F15" s="3">
        <v>16072</v>
      </c>
    </row>
    <row r="16" spans="1:6">
      <c r="A16" s="2">
        <v>3</v>
      </c>
      <c r="B16" s="2" t="s">
        <v>28</v>
      </c>
      <c r="C16" s="2">
        <v>135341</v>
      </c>
      <c r="D16" s="2">
        <v>1673</v>
      </c>
      <c r="E16" s="2">
        <v>80</v>
      </c>
      <c r="F16" s="3">
        <v>16432</v>
      </c>
    </row>
    <row r="17" spans="1:6">
      <c r="A17" s="2">
        <v>4</v>
      </c>
      <c r="B17" s="2" t="s">
        <v>28</v>
      </c>
      <c r="C17" s="2">
        <v>135342</v>
      </c>
      <c r="D17" s="2">
        <v>1409</v>
      </c>
      <c r="E17" s="2">
        <v>80</v>
      </c>
      <c r="F17" s="3">
        <v>16432</v>
      </c>
    </row>
    <row r="18" spans="1:6">
      <c r="A18" s="2">
        <v>5</v>
      </c>
      <c r="B18" s="2" t="s">
        <v>28</v>
      </c>
      <c r="C18" s="2">
        <v>135340</v>
      </c>
      <c r="D18" s="2">
        <v>1797</v>
      </c>
      <c r="E18" s="2">
        <v>80</v>
      </c>
      <c r="F18" s="3">
        <v>16072</v>
      </c>
    </row>
    <row r="19" spans="1:6">
      <c r="A19" s="2">
        <v>6</v>
      </c>
      <c r="B19" s="2" t="s">
        <v>28</v>
      </c>
      <c r="C19" s="2">
        <v>135325</v>
      </c>
      <c r="D19" s="2">
        <v>1405</v>
      </c>
      <c r="E19" s="2">
        <v>41.02</v>
      </c>
      <c r="F19" s="3">
        <v>8426</v>
      </c>
    </row>
    <row r="20" spans="1:6">
      <c r="A20" s="2"/>
      <c r="B20" s="2"/>
      <c r="C20" s="2"/>
      <c r="D20" s="2"/>
      <c r="E20" s="2"/>
      <c r="F20" s="3"/>
    </row>
    <row r="21" spans="1:6">
      <c r="A21" s="2"/>
      <c r="B21" s="2"/>
      <c r="C21" s="2"/>
      <c r="D21" s="1" t="s">
        <v>8</v>
      </c>
      <c r="E21" s="2"/>
      <c r="F21" s="4">
        <f>SUM(F14:F20)</f>
        <v>89866</v>
      </c>
    </row>
    <row r="22" spans="1:6">
      <c r="A22" s="2"/>
      <c r="B22" s="2"/>
      <c r="C22" s="2"/>
      <c r="D22" s="1"/>
      <c r="E22" s="2"/>
      <c r="F22" s="4"/>
    </row>
    <row r="23" spans="1:6">
      <c r="A23" s="2"/>
      <c r="B23" s="2"/>
      <c r="C23" s="2"/>
      <c r="D23" s="1" t="s">
        <v>13</v>
      </c>
      <c r="E23" s="2"/>
      <c r="F23" s="6">
        <f>F5+F12+F21</f>
        <v>235929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>
      <selection sqref="A1:F1"/>
    </sheetView>
  </sheetViews>
  <sheetFormatPr defaultColWidth="8.88671875" defaultRowHeight="14.4"/>
  <cols>
    <col min="1" max="1" width="5" customWidth="1"/>
    <col min="2" max="2" width="11.109375" customWidth="1"/>
    <col min="3" max="3" width="9.77734375" customWidth="1"/>
    <col min="4" max="4" width="15.88671875" customWidth="1"/>
    <col min="6" max="6" width="11.44140625" customWidth="1"/>
  </cols>
  <sheetData>
    <row r="1" spans="1:6">
      <c r="A1" s="23" t="s">
        <v>31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28</v>
      </c>
      <c r="C3" s="2">
        <v>135324</v>
      </c>
      <c r="D3" s="2">
        <v>1754</v>
      </c>
      <c r="E3" s="2">
        <v>61</v>
      </c>
      <c r="F3" s="3">
        <v>12044</v>
      </c>
    </row>
    <row r="4" spans="1:6">
      <c r="A4" s="2"/>
      <c r="B4" s="2"/>
      <c r="C4" s="2"/>
      <c r="D4" s="1" t="s">
        <v>8</v>
      </c>
      <c r="E4" s="2"/>
      <c r="F4" s="4">
        <f>SUM(F3:F3)</f>
        <v>12044</v>
      </c>
    </row>
    <row r="5" spans="1:6">
      <c r="A5" s="2"/>
      <c r="B5" s="2"/>
      <c r="C5" s="2"/>
      <c r="D5" s="1"/>
      <c r="E5" s="2"/>
      <c r="F5" s="3"/>
    </row>
    <row r="6" spans="1:6">
      <c r="A6" s="2">
        <v>1</v>
      </c>
      <c r="B6" s="2" t="s">
        <v>27</v>
      </c>
      <c r="C6" s="2">
        <v>135320</v>
      </c>
      <c r="D6" s="2">
        <v>1238</v>
      </c>
      <c r="E6" s="2">
        <v>120</v>
      </c>
      <c r="F6" s="3">
        <v>21552</v>
      </c>
    </row>
    <row r="7" spans="1:6">
      <c r="A7" s="2"/>
      <c r="B7" s="2"/>
      <c r="C7" s="2"/>
      <c r="D7" s="1" t="s">
        <v>8</v>
      </c>
      <c r="E7" s="2"/>
      <c r="F7" s="4">
        <f>SUM(F6:F6)</f>
        <v>21552</v>
      </c>
    </row>
    <row r="8" spans="1:6">
      <c r="A8" s="2"/>
      <c r="B8" s="2"/>
      <c r="C8" s="2"/>
      <c r="D8" s="1"/>
      <c r="E8" s="2"/>
      <c r="F8" s="4"/>
    </row>
    <row r="9" spans="1:6">
      <c r="A9" s="2">
        <v>1</v>
      </c>
      <c r="B9" s="2" t="s">
        <v>26</v>
      </c>
      <c r="C9" s="2">
        <v>135308</v>
      </c>
      <c r="D9" s="2">
        <v>1770</v>
      </c>
      <c r="E9" s="2">
        <v>55</v>
      </c>
      <c r="F9" s="3">
        <v>11638</v>
      </c>
    </row>
    <row r="10" spans="1:6">
      <c r="A10" s="2"/>
      <c r="B10" s="2"/>
      <c r="C10" s="2"/>
      <c r="D10" s="1" t="s">
        <v>8</v>
      </c>
      <c r="E10" s="2"/>
      <c r="F10" s="6">
        <f>SUM(F9:F9)</f>
        <v>11638</v>
      </c>
    </row>
    <row r="11" spans="1:6">
      <c r="A11" s="2"/>
      <c r="B11" s="2"/>
      <c r="C11" s="2"/>
      <c r="D11" s="1"/>
      <c r="E11" s="2"/>
      <c r="F11" s="6"/>
    </row>
    <row r="12" spans="1:6">
      <c r="A12" s="5"/>
      <c r="B12" s="5"/>
      <c r="C12" s="5"/>
      <c r="D12" s="1" t="s">
        <v>13</v>
      </c>
      <c r="E12" s="5"/>
      <c r="F12" s="6">
        <f>F4+F7+F10</f>
        <v>45234</v>
      </c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workbookViewId="0">
      <selection activeCell="I15" sqref="I15"/>
    </sheetView>
  </sheetViews>
  <sheetFormatPr defaultColWidth="8.88671875" defaultRowHeight="14.4"/>
  <cols>
    <col min="2" max="2" width="11.77734375" customWidth="1"/>
    <col min="3" max="3" width="10" customWidth="1"/>
    <col min="4" max="4" width="14.6640625" customWidth="1"/>
    <col min="5" max="5" width="9.44140625" customWidth="1"/>
    <col min="6" max="6" width="12" customWidth="1"/>
  </cols>
  <sheetData>
    <row r="1" spans="1:6">
      <c r="A1" s="23" t="s">
        <v>32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26</v>
      </c>
      <c r="C3" s="2">
        <v>137156</v>
      </c>
      <c r="D3" s="2">
        <v>3284</v>
      </c>
      <c r="E3" s="2">
        <v>55</v>
      </c>
      <c r="F3" s="3">
        <v>11677</v>
      </c>
    </row>
    <row r="4" spans="1:6">
      <c r="A4" s="2">
        <v>2</v>
      </c>
      <c r="B4" s="2" t="s">
        <v>26</v>
      </c>
      <c r="C4" s="2">
        <v>137162</v>
      </c>
      <c r="D4" s="2">
        <v>37112</v>
      </c>
      <c r="E4" s="2">
        <v>55</v>
      </c>
      <c r="F4" s="3">
        <v>11402</v>
      </c>
    </row>
    <row r="5" spans="1:6">
      <c r="A5" s="2"/>
      <c r="B5" s="2"/>
      <c r="C5" s="2"/>
      <c r="D5" s="1" t="s">
        <v>8</v>
      </c>
      <c r="E5" s="2"/>
      <c r="F5" s="4">
        <f>SUM(F3:F4)</f>
        <v>23079</v>
      </c>
    </row>
    <row r="6" spans="1:6">
      <c r="A6" s="2"/>
      <c r="B6" s="2"/>
      <c r="C6" s="2"/>
      <c r="D6" s="1"/>
      <c r="E6" s="2"/>
      <c r="F6" s="4"/>
    </row>
    <row r="7" spans="1:6">
      <c r="A7" s="2">
        <v>1</v>
      </c>
      <c r="B7" s="2" t="s">
        <v>27</v>
      </c>
      <c r="C7" s="2">
        <v>13158</v>
      </c>
      <c r="D7" s="2">
        <v>3701</v>
      </c>
      <c r="E7" s="2">
        <v>120</v>
      </c>
      <c r="F7" s="3">
        <v>19066</v>
      </c>
    </row>
    <row r="8" spans="1:6">
      <c r="A8" s="2"/>
      <c r="B8" s="2"/>
      <c r="C8" s="2"/>
      <c r="D8" s="2"/>
      <c r="E8" s="2"/>
      <c r="F8" s="3"/>
    </row>
    <row r="9" spans="1:6">
      <c r="A9" s="2"/>
      <c r="B9" s="2"/>
      <c r="C9" s="2"/>
      <c r="D9" s="1" t="s">
        <v>8</v>
      </c>
      <c r="E9" s="2"/>
      <c r="F9" s="4">
        <f>SUM(F7:F8)</f>
        <v>19066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28</v>
      </c>
      <c r="C11" s="2">
        <v>137155</v>
      </c>
      <c r="D11" s="2">
        <v>3277</v>
      </c>
      <c r="E11" s="2">
        <v>80</v>
      </c>
      <c r="F11" s="3">
        <v>16112</v>
      </c>
    </row>
    <row r="12" spans="1:6">
      <c r="A12" s="2">
        <v>2</v>
      </c>
      <c r="B12" s="2" t="s">
        <v>28</v>
      </c>
      <c r="C12" s="2">
        <v>137161</v>
      </c>
      <c r="D12" s="2">
        <v>3753</v>
      </c>
      <c r="E12" s="2">
        <v>80</v>
      </c>
      <c r="F12" s="3">
        <v>15712</v>
      </c>
    </row>
    <row r="13" spans="1:6">
      <c r="A13" s="2"/>
      <c r="B13" s="2"/>
      <c r="C13" s="2"/>
      <c r="D13" s="2"/>
      <c r="E13" s="2"/>
      <c r="F13" s="3"/>
    </row>
    <row r="14" spans="1:6">
      <c r="A14" s="2"/>
      <c r="B14" s="2"/>
      <c r="C14" s="2"/>
      <c r="D14" s="1" t="s">
        <v>8</v>
      </c>
      <c r="E14" s="2"/>
      <c r="F14" s="4">
        <f>SUM(F11:F13)</f>
        <v>31824</v>
      </c>
    </row>
    <row r="15" spans="1:6">
      <c r="A15" s="2"/>
      <c r="B15" s="2"/>
      <c r="C15" s="2"/>
      <c r="D15" s="1"/>
      <c r="E15" s="2"/>
      <c r="F15" s="4"/>
    </row>
    <row r="16" spans="1:6">
      <c r="A16" s="2"/>
      <c r="B16" s="2"/>
      <c r="C16" s="2"/>
      <c r="D16" s="1" t="s">
        <v>13</v>
      </c>
      <c r="E16" s="2"/>
      <c r="F16" s="6">
        <f>F5+F9+F14</f>
        <v>73969</v>
      </c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2"/>
  <sheetViews>
    <sheetView workbookViewId="0">
      <selection sqref="A1:F12"/>
    </sheetView>
  </sheetViews>
  <sheetFormatPr defaultColWidth="8.88671875" defaultRowHeight="14.4"/>
  <cols>
    <col min="2" max="2" width="15" customWidth="1"/>
    <col min="3" max="3" width="11.21875" customWidth="1"/>
    <col min="4" max="4" width="11" customWidth="1"/>
    <col min="5" max="5" width="10.33203125" customWidth="1"/>
    <col min="6" max="6" width="12" customWidth="1"/>
  </cols>
  <sheetData>
    <row r="1" spans="1:6">
      <c r="A1" s="23" t="s">
        <v>33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18</v>
      </c>
      <c r="C3" s="2">
        <v>137204</v>
      </c>
      <c r="D3" s="2">
        <v>3290</v>
      </c>
      <c r="E3" s="2">
        <v>400</v>
      </c>
      <c r="F3" s="3">
        <v>78560</v>
      </c>
    </row>
    <row r="4" spans="1:6">
      <c r="A4" s="2">
        <v>2</v>
      </c>
      <c r="B4" s="2" t="s">
        <v>18</v>
      </c>
      <c r="C4" s="2">
        <v>137389</v>
      </c>
      <c r="D4" s="2">
        <v>3283</v>
      </c>
      <c r="E4" s="2">
        <v>200</v>
      </c>
      <c r="F4" s="3">
        <v>40280</v>
      </c>
    </row>
    <row r="5" spans="1:6">
      <c r="A5" s="2">
        <v>3</v>
      </c>
      <c r="B5" s="2" t="s">
        <v>18</v>
      </c>
      <c r="C5" s="2">
        <v>137389</v>
      </c>
      <c r="D5" s="2">
        <v>3276</v>
      </c>
      <c r="E5" s="2">
        <v>200</v>
      </c>
      <c r="F5" s="3">
        <v>40280</v>
      </c>
    </row>
    <row r="6" spans="1:6">
      <c r="A6" s="2">
        <v>4</v>
      </c>
      <c r="B6" s="2" t="s">
        <v>34</v>
      </c>
      <c r="C6" s="2">
        <v>137208</v>
      </c>
      <c r="D6" s="1">
        <v>3751</v>
      </c>
      <c r="E6" s="2">
        <v>20</v>
      </c>
      <c r="F6" s="4">
        <v>4146</v>
      </c>
    </row>
    <row r="7" spans="1:6">
      <c r="A7" s="2">
        <v>5</v>
      </c>
      <c r="B7" s="2"/>
      <c r="C7" s="2"/>
      <c r="D7" s="1"/>
      <c r="E7" s="2"/>
      <c r="F7" s="4"/>
    </row>
    <row r="8" spans="1:6">
      <c r="A8" s="2"/>
      <c r="B8" s="2"/>
      <c r="C8" s="2"/>
      <c r="D8" s="1" t="s">
        <v>19</v>
      </c>
      <c r="E8" s="2"/>
      <c r="F8" s="4">
        <f>SUM(F3:F6)</f>
        <v>163266</v>
      </c>
    </row>
    <row r="9" spans="1:6">
      <c r="A9" s="2"/>
      <c r="B9" s="2"/>
      <c r="C9" s="2"/>
      <c r="D9" s="1"/>
      <c r="E9" s="1"/>
      <c r="F9" s="4"/>
    </row>
    <row r="10" spans="1:6">
      <c r="A10" s="2"/>
      <c r="B10" s="2"/>
      <c r="C10" s="2"/>
      <c r="D10" s="1"/>
      <c r="E10" s="2"/>
      <c r="F10" s="6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1"/>
      <c r="E12" s="2"/>
      <c r="F12" s="6"/>
    </row>
  </sheetData>
  <mergeCells count="1">
    <mergeCell ref="A1:F1"/>
  </mergeCells>
  <pageMargins left="0.75" right="0.75" top="1" bottom="1" header="0.5" footer="0.5"/>
  <pageSetup paperSize="25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>
      <selection activeCell="F28" sqref="F28"/>
    </sheetView>
  </sheetViews>
  <sheetFormatPr defaultColWidth="8.88671875" defaultRowHeight="14.4"/>
  <cols>
    <col min="1" max="1" width="5.88671875" customWidth="1"/>
    <col min="2" max="2" width="12" customWidth="1"/>
    <col min="3" max="3" width="11.21875" customWidth="1"/>
    <col min="4" max="4" width="14.44140625" customWidth="1"/>
    <col min="6" max="6" width="11.88671875" customWidth="1"/>
  </cols>
  <sheetData>
    <row r="1" spans="1:6">
      <c r="A1" s="20" t="s">
        <v>35</v>
      </c>
      <c r="B1" s="21"/>
      <c r="C1" s="21"/>
      <c r="D1" s="21"/>
      <c r="E1" s="21"/>
      <c r="F1" s="2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2">
        <v>1</v>
      </c>
      <c r="B3" s="2" t="s">
        <v>7</v>
      </c>
      <c r="C3" s="2">
        <v>137212</v>
      </c>
      <c r="D3" s="2">
        <v>3714</v>
      </c>
      <c r="E3" s="2">
        <v>150</v>
      </c>
      <c r="F3" s="3">
        <v>29460</v>
      </c>
    </row>
    <row r="4" spans="1:6">
      <c r="A4" s="2">
        <v>2</v>
      </c>
      <c r="B4" s="2" t="s">
        <v>7</v>
      </c>
      <c r="C4" s="2">
        <v>137203</v>
      </c>
      <c r="D4" s="2">
        <v>3287</v>
      </c>
      <c r="E4" s="2">
        <v>110</v>
      </c>
      <c r="F4" s="3">
        <v>22154</v>
      </c>
    </row>
    <row r="5" spans="1:6">
      <c r="A5" s="2"/>
      <c r="B5" s="2" t="s">
        <v>7</v>
      </c>
      <c r="C5" s="2">
        <v>137203</v>
      </c>
      <c r="D5" s="2">
        <v>3286</v>
      </c>
      <c r="E5" s="2">
        <v>40</v>
      </c>
      <c r="F5" s="3">
        <v>8056</v>
      </c>
    </row>
    <row r="6" spans="1:6">
      <c r="A6" s="2"/>
      <c r="B6" s="2"/>
      <c r="C6" s="2"/>
      <c r="D6" s="1" t="s">
        <v>8</v>
      </c>
      <c r="E6" s="2"/>
      <c r="F6" s="4">
        <f>SUM(F3:F5)</f>
        <v>59670</v>
      </c>
    </row>
    <row r="7" spans="1:6">
      <c r="A7" s="2"/>
      <c r="B7" s="2"/>
      <c r="C7" s="2"/>
      <c r="D7" s="1"/>
      <c r="E7" s="2"/>
      <c r="F7" s="4"/>
    </row>
    <row r="8" spans="1:6">
      <c r="A8" s="2"/>
      <c r="B8" s="2" t="s">
        <v>15</v>
      </c>
      <c r="C8" s="2">
        <v>137210</v>
      </c>
      <c r="D8" s="2">
        <v>3752</v>
      </c>
      <c r="E8" s="2">
        <v>160</v>
      </c>
      <c r="F8" s="3">
        <v>31424</v>
      </c>
    </row>
    <row r="9" spans="1:6">
      <c r="A9" s="2"/>
      <c r="B9" s="2"/>
      <c r="C9" s="2"/>
      <c r="D9" s="1" t="s">
        <v>8</v>
      </c>
      <c r="E9" s="2"/>
      <c r="F9" s="4">
        <f>SUM(F8:F8)</f>
        <v>31424</v>
      </c>
    </row>
    <row r="10" spans="1:6">
      <c r="A10" s="2"/>
      <c r="B10" s="2"/>
      <c r="C10" s="2"/>
      <c r="D10" s="1"/>
      <c r="E10" s="2"/>
      <c r="F10" s="4"/>
    </row>
    <row r="11" spans="1:6">
      <c r="A11" s="2">
        <v>1</v>
      </c>
      <c r="B11" s="2" t="s">
        <v>9</v>
      </c>
      <c r="C11" s="2">
        <v>137209</v>
      </c>
      <c r="D11" s="2">
        <v>3711</v>
      </c>
      <c r="E11" s="2">
        <v>50</v>
      </c>
      <c r="F11" s="3">
        <v>10365</v>
      </c>
    </row>
    <row r="12" spans="1:6">
      <c r="A12" s="2">
        <v>2</v>
      </c>
      <c r="B12" s="2" t="s">
        <v>9</v>
      </c>
      <c r="C12" s="2">
        <v>135388</v>
      </c>
      <c r="D12" s="2">
        <v>3273</v>
      </c>
      <c r="E12" s="2">
        <v>50</v>
      </c>
      <c r="F12" s="3">
        <v>10615</v>
      </c>
    </row>
    <row r="13" spans="1:6">
      <c r="A13" s="2"/>
      <c r="B13" s="2"/>
      <c r="C13" s="2"/>
      <c r="D13" s="1" t="s">
        <v>8</v>
      </c>
      <c r="E13" s="2"/>
      <c r="F13" s="4">
        <f>SUM(F11:F12)</f>
        <v>20980</v>
      </c>
    </row>
    <row r="14" spans="1:6">
      <c r="A14" s="2"/>
      <c r="B14" s="2"/>
      <c r="C14" s="2"/>
      <c r="D14" s="1"/>
      <c r="E14" s="2"/>
      <c r="F14" s="4"/>
    </row>
    <row r="15" spans="1:6">
      <c r="A15" s="2">
        <v>1</v>
      </c>
      <c r="B15" s="2" t="s">
        <v>10</v>
      </c>
      <c r="C15" s="2">
        <v>137211</v>
      </c>
      <c r="D15" s="2">
        <v>3702</v>
      </c>
      <c r="E15" s="2">
        <v>60</v>
      </c>
      <c r="F15" s="3">
        <v>11784</v>
      </c>
    </row>
    <row r="16" spans="1:6">
      <c r="A16" s="2"/>
      <c r="B16" s="2"/>
      <c r="C16" s="2"/>
      <c r="D16" s="1" t="s">
        <v>8</v>
      </c>
      <c r="E16" s="2"/>
      <c r="F16" s="4">
        <f>SUM(F15:F15)</f>
        <v>11784</v>
      </c>
    </row>
    <row r="17" spans="1:6">
      <c r="A17" s="2"/>
      <c r="B17" s="2"/>
      <c r="C17" s="2"/>
      <c r="D17" s="1"/>
      <c r="E17" s="2"/>
      <c r="F17" s="4"/>
    </row>
    <row r="18" spans="1:6">
      <c r="A18" s="2">
        <v>1</v>
      </c>
      <c r="B18" s="2" t="s">
        <v>36</v>
      </c>
      <c r="C18" s="2">
        <v>137213</v>
      </c>
      <c r="D18" s="2">
        <v>3716</v>
      </c>
      <c r="E18" s="2">
        <v>69.989999999999995</v>
      </c>
      <c r="F18" s="3">
        <v>13747</v>
      </c>
    </row>
    <row r="19" spans="1:6">
      <c r="A19" s="2"/>
      <c r="B19" s="2"/>
      <c r="C19" s="2"/>
      <c r="D19" s="1" t="s">
        <v>8</v>
      </c>
      <c r="E19" s="2"/>
      <c r="F19" s="4">
        <f>SUM(F18:F18)</f>
        <v>13747</v>
      </c>
    </row>
    <row r="20" spans="1:6">
      <c r="A20" s="2"/>
      <c r="B20" s="2"/>
      <c r="C20" s="2"/>
      <c r="D20" s="1"/>
      <c r="E20" s="2"/>
      <c r="F20" s="4"/>
    </row>
    <row r="21" spans="1:6">
      <c r="A21" s="2">
        <v>1</v>
      </c>
      <c r="B21" s="2" t="s">
        <v>11</v>
      </c>
      <c r="C21" s="2">
        <v>137214</v>
      </c>
      <c r="D21" s="2">
        <v>3715</v>
      </c>
      <c r="E21" s="2">
        <v>40</v>
      </c>
      <c r="F21" s="3">
        <v>8145.43</v>
      </c>
    </row>
    <row r="22" spans="1:6">
      <c r="A22" s="2">
        <v>2</v>
      </c>
      <c r="B22" s="2" t="s">
        <v>11</v>
      </c>
      <c r="C22" s="2">
        <v>137206</v>
      </c>
      <c r="D22" s="2">
        <v>3415</v>
      </c>
      <c r="E22" s="2">
        <v>40</v>
      </c>
      <c r="F22" s="3">
        <v>8292</v>
      </c>
    </row>
    <row r="23" spans="1:6">
      <c r="A23" s="2">
        <v>3</v>
      </c>
      <c r="B23" s="2" t="s">
        <v>11</v>
      </c>
      <c r="C23" s="2">
        <v>135387</v>
      </c>
      <c r="D23" s="2">
        <v>3272</v>
      </c>
      <c r="E23" s="2">
        <v>40</v>
      </c>
      <c r="F23" s="3">
        <v>8492</v>
      </c>
    </row>
    <row r="24" spans="1:6">
      <c r="A24" s="2">
        <v>4</v>
      </c>
      <c r="B24" s="2" t="s">
        <v>11</v>
      </c>
      <c r="C24" s="2">
        <v>137205</v>
      </c>
      <c r="D24" s="2">
        <v>3285</v>
      </c>
      <c r="E24" s="2">
        <v>40</v>
      </c>
      <c r="F24" s="3">
        <v>8492</v>
      </c>
    </row>
    <row r="25" spans="1:6">
      <c r="A25" s="2"/>
      <c r="B25" s="2"/>
      <c r="C25" s="2"/>
      <c r="D25" s="1" t="s">
        <v>8</v>
      </c>
      <c r="E25" s="2"/>
      <c r="F25" s="4">
        <f>SUM(F21:F24)</f>
        <v>33421.43</v>
      </c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1" t="s">
        <v>13</v>
      </c>
      <c r="E27" s="5"/>
      <c r="F27" s="6">
        <f>F6+F9+F13+F16+F19+F25</f>
        <v>171026.43</v>
      </c>
    </row>
    <row r="28" spans="1:6">
      <c r="A28" s="5"/>
      <c r="B28" s="5"/>
      <c r="C28" s="5"/>
      <c r="D28" s="5"/>
      <c r="E28" s="5"/>
      <c r="F28" s="5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T.O NOV 23</vt:lpstr>
      <vt:lpstr>T.O DEC 23</vt:lpstr>
      <vt:lpstr>P.O NOV&amp;DEC 2023</vt:lpstr>
      <vt:lpstr>SECURITY NOV 23</vt:lpstr>
      <vt:lpstr> K-SRIC NOV 23</vt:lpstr>
      <vt:lpstr>K-SRIC DEC 23</vt:lpstr>
      <vt:lpstr>K-SRIC OCT 23</vt:lpstr>
      <vt:lpstr>K-SRIC SEP 23</vt:lpstr>
      <vt:lpstr>K-SRIC JAN 24</vt:lpstr>
      <vt:lpstr>PO JAN 24</vt:lpstr>
      <vt:lpstr>TO JAN 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cp:lastPrinted>2024-02-19T05:14:02Z</cp:lastPrinted>
  <dcterms:created xsi:type="dcterms:W3CDTF">2024-01-29T12:57:00Z</dcterms:created>
  <dcterms:modified xsi:type="dcterms:W3CDTF">2024-02-19T07:27:49Z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13DE118E639A4B63B184CFAF9F3797D8_12</vt:lpwstr>
  </property>
  <property fmtid="{D5CDD505-2E9C-101B-9397-08002B2CF9AE}" pid="3" name="KSOProductBuildVer">
    <vt:lpwstr>1033-12.2.0.13431</vt:lpwstr>
  </property>
</Properties>
</file>