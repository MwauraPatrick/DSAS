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D:\Procurement\"/>
    </mc:Choice>
  </mc:AlternateContent>
  <bookViews>
    <workbookView xWindow="-105" yWindow="-105" windowWidth="23250" windowHeight="1245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268" i="1" l="1"/>
  <c r="G255" i="1"/>
  <c r="G220" i="1"/>
  <c r="D268" i="1"/>
  <c r="G241" i="1"/>
  <c r="E112" i="1"/>
  <c r="E55" i="1"/>
  <c r="G131" i="1"/>
  <c r="E199" i="1"/>
  <c r="D199" i="1"/>
  <c r="C199" i="1"/>
  <c r="G186" i="1"/>
  <c r="G178" i="1"/>
  <c r="D112" i="1"/>
  <c r="G103" i="1"/>
  <c r="G91" i="1"/>
  <c r="G70" i="1"/>
  <c r="D55" i="1"/>
  <c r="C55" i="1"/>
  <c r="G46" i="1"/>
  <c r="G37" i="1"/>
  <c r="G15" i="1"/>
  <c r="A3" i="1" l="1"/>
  <c r="A3" i="1" a="1"/>
</calcChain>
</file>

<file path=xl/metadata.xml><?xml version="1.0" encoding="utf-8"?>
<metadata xmlns="http://schemas.openxmlformats.org/spreadsheetml/2006/main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xmlns:xda="http://schemas.microsoft.com/office/spreadsheetml/2017/dynamicarray"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<sst xmlns="http://schemas.openxmlformats.org/spreadsheetml/2006/main" count="853" uniqueCount="260">
  <si>
    <t>Section B: All Contracts Awards to the Target Group (Youth,Women and PWD)</t>
  </si>
  <si>
    <t>Note: All columns should be filled in as appropriare</t>
  </si>
  <si>
    <t>Supplier/Contractor Name Business name as appears in the AGPO Cert</t>
  </si>
  <si>
    <t>Names of Directors</t>
  </si>
  <si>
    <t>Nature of Contract (goods/works/ non-consultancy/consultancy services</t>
  </si>
  <si>
    <t>Tender/ quotation No &amp;Description</t>
  </si>
  <si>
    <t>Method of Procurment</t>
  </si>
  <si>
    <t>LPO/LSO/Contract</t>
  </si>
  <si>
    <t>Contract Value</t>
  </si>
  <si>
    <t>PWD</t>
  </si>
  <si>
    <t>johson irungu</t>
  </si>
  <si>
    <t>Goods</t>
  </si>
  <si>
    <t>Quotations</t>
  </si>
  <si>
    <t>Beulsa international</t>
  </si>
  <si>
    <t>Doughlas Sidialo</t>
  </si>
  <si>
    <t>stationery</t>
  </si>
  <si>
    <t>Quotation</t>
  </si>
  <si>
    <t>Proxity k. limited</t>
  </si>
  <si>
    <t>David Miguna</t>
  </si>
  <si>
    <t>Janitorials</t>
  </si>
  <si>
    <t>TOTAL</t>
  </si>
  <si>
    <t>WOMEN</t>
  </si>
  <si>
    <t>Dotas services</t>
  </si>
  <si>
    <t>felistius</t>
  </si>
  <si>
    <t>hp Black cartridge</t>
  </si>
  <si>
    <t>hp cartidge</t>
  </si>
  <si>
    <t>Pinnacore limited</t>
  </si>
  <si>
    <t>S.Wkiarie</t>
  </si>
  <si>
    <t>Africa bliss travel ltd</t>
  </si>
  <si>
    <t>LilliaN Mutumira</t>
  </si>
  <si>
    <t>Services</t>
  </si>
  <si>
    <t>air ticket</t>
  </si>
  <si>
    <t>Air ticket</t>
  </si>
  <si>
    <t>Bess solutions</t>
  </si>
  <si>
    <t>Regina</t>
  </si>
  <si>
    <t>springwise ventures ltd</t>
  </si>
  <si>
    <t>Roseline kimale</t>
  </si>
  <si>
    <t>kadina enterprises</t>
  </si>
  <si>
    <t>Grace karoki</t>
  </si>
  <si>
    <t>Sirandu Investments</t>
  </si>
  <si>
    <t>caren</t>
  </si>
  <si>
    <t>supply of fresh fruits and vegetables for jan</t>
  </si>
  <si>
    <t>Contract</t>
  </si>
  <si>
    <t>supply of fresh fruits and vegetables for Feb</t>
  </si>
  <si>
    <t>supply of fresh fruits and vegetables for March</t>
  </si>
  <si>
    <t>Pinpoint</t>
  </si>
  <si>
    <t>Kamau</t>
  </si>
  <si>
    <t>provision of sanitary bins for jan</t>
  </si>
  <si>
    <t>provision of sanitary bins for feb</t>
  </si>
  <si>
    <t>provision of sanitary bins for march</t>
  </si>
  <si>
    <t>YOUTH</t>
  </si>
  <si>
    <t>Kamkam limited</t>
  </si>
  <si>
    <t>David mugo</t>
  </si>
  <si>
    <t>Electric cable</t>
  </si>
  <si>
    <t>kamkam ltd</t>
  </si>
  <si>
    <t>crabe tree MCB</t>
  </si>
  <si>
    <t>Crab tree</t>
  </si>
  <si>
    <t>Haste enterprise</t>
  </si>
  <si>
    <t>Joseph</t>
  </si>
  <si>
    <t>Service</t>
  </si>
  <si>
    <t>maintainance of air conditioner 3rd quarter</t>
  </si>
  <si>
    <t>Legacy lab africa ltd</t>
  </si>
  <si>
    <t>gabriel mutungi</t>
  </si>
  <si>
    <t xml:space="preserve">lab reagents and consumables </t>
  </si>
  <si>
    <t>TOTAL PURCHASES FOR THE 3rd  QUARTER =32 percent</t>
  </si>
  <si>
    <t>%= (PWD 286080+ Women 1513416+ Youth 505425) ÷7214932×100   = 32</t>
  </si>
  <si>
    <t>Section C: Summary of all contract Awards as presented in Section B above</t>
  </si>
  <si>
    <t>No.</t>
  </si>
  <si>
    <t>Category</t>
  </si>
  <si>
    <t>No. of Contracts awarded</t>
  </si>
  <si>
    <t>Total Value of contracts awarded</t>
  </si>
  <si>
    <t>% of contract value per categorty</t>
  </si>
  <si>
    <t>Women</t>
  </si>
  <si>
    <t>Youth</t>
  </si>
  <si>
    <t>Total</t>
  </si>
  <si>
    <t>PREPARED BY…………………………………………….SIGNATURE……………………………………………….</t>
  </si>
  <si>
    <t>DATE…………………………………………………..</t>
  </si>
  <si>
    <t>APPROVED BY……………………………………………SIGNATURE…………………………………………………DATE…………………………………………..</t>
  </si>
  <si>
    <t>3rd QUARTER REPORT FROM JAN 2023 to MARCH 2023 INSTITUTE OF PRIMATE RESEARCH</t>
  </si>
  <si>
    <t>Miranda enterprises</t>
  </si>
  <si>
    <t>4TH QUARTER REPORT FROM APRIL 2023  TO JUNE 2023 INSTITUTE OF PRIMATE RESEARCH</t>
  </si>
  <si>
    <t>Gradwin enterprises Ltd</t>
  </si>
  <si>
    <t>goods</t>
  </si>
  <si>
    <t>crown white spirit in 5lts</t>
  </si>
  <si>
    <t>Wilcare enterprises</t>
  </si>
  <si>
    <t>irene maingi</t>
  </si>
  <si>
    <t>Lab consumables</t>
  </si>
  <si>
    <t>African Bliss Travel Ltd</t>
  </si>
  <si>
    <t>Lilian</t>
  </si>
  <si>
    <t>services</t>
  </si>
  <si>
    <t>return Air Ticket for Dr. Atunga to Mombasa</t>
  </si>
  <si>
    <t>African bliss travel ltd</t>
  </si>
  <si>
    <t>Return Air Ticket for Director to Mombasa</t>
  </si>
  <si>
    <t>change of flight ticket for Director to return</t>
  </si>
  <si>
    <t>Sirandu Investment Co Ltd</t>
  </si>
  <si>
    <t>Caren</t>
  </si>
  <si>
    <t>Supply of Fresh Fruits &amp; Vegetables</t>
  </si>
  <si>
    <t>PinPoint Hygiene Services Ltd</t>
  </si>
  <si>
    <t>Jane Wachira</t>
  </si>
  <si>
    <t xml:space="preserve">Provision Of Sanitary Bins Services </t>
  </si>
  <si>
    <t>Arclink enterprises</t>
  </si>
  <si>
    <t xml:space="preserve">Damaris </t>
  </si>
  <si>
    <t>service</t>
  </si>
  <si>
    <t>maintenance of coldroom</t>
  </si>
  <si>
    <t>Kam Kam Limited</t>
  </si>
  <si>
    <t>David Mugo</t>
  </si>
  <si>
    <t>electrical materials</t>
  </si>
  <si>
    <t>Haste enterprises</t>
  </si>
  <si>
    <t>joseph Mugweru</t>
  </si>
  <si>
    <t>x-plier fans and filters at A.S.D</t>
  </si>
  <si>
    <t>installation of x-plier at pathology</t>
  </si>
  <si>
    <t>gabriel mutugi</t>
  </si>
  <si>
    <t>Joseph Mugweru</t>
  </si>
  <si>
    <t>maintenance of HVAC systems</t>
  </si>
  <si>
    <t>TOTAL PURCHASES FOR THE 4TH QUARTER =4515272.71</t>
  </si>
  <si>
    <r>
      <rPr>
        <b/>
        <sz val="9"/>
        <color rgb="FF000000"/>
        <rFont val="Calibri"/>
        <family val="2"/>
      </rPr>
      <t>%= (PWD 0+ Women 510550 + Youth 634380) ÷4515272.71×100   = 26</t>
    </r>
    <r>
      <rPr>
        <b/>
        <sz val="9"/>
        <color rgb="FF000000"/>
        <rFont val="SimSun"/>
      </rPr>
      <t>％</t>
    </r>
  </si>
  <si>
    <t>1STQUARTER REPORT FROM JULY2023 TO SEP 2023 INSTITUTE OF PRIMATE RESEARCH</t>
  </si>
  <si>
    <t>Structive entr ltd</t>
  </si>
  <si>
    <t>James Mawira Anthony</t>
  </si>
  <si>
    <t>GOODS</t>
  </si>
  <si>
    <t>provinsion of flow sanding and polishing</t>
  </si>
  <si>
    <t>QUOTATION</t>
  </si>
  <si>
    <t>LPO</t>
  </si>
  <si>
    <t>Berwaki Africa ltd</t>
  </si>
  <si>
    <t>Joseph Macharia</t>
  </si>
  <si>
    <t>Supply of catridges and tonners</t>
  </si>
  <si>
    <t>Liga Holding ltd</t>
  </si>
  <si>
    <t>betty mutwri</t>
  </si>
  <si>
    <t>junitorials</t>
  </si>
  <si>
    <t>Pandora Venture ltd</t>
  </si>
  <si>
    <t>Betty Kathambi Mutwiri</t>
  </si>
  <si>
    <t>Dianney Business solutions</t>
  </si>
  <si>
    <t>Margaret Kemunto</t>
  </si>
  <si>
    <t>ear tags red,yellow,green,blue</t>
  </si>
  <si>
    <t>Sunvell medical spplies ltd</t>
  </si>
  <si>
    <t>Ryod mutugi</t>
  </si>
  <si>
    <t>SERVICES</t>
  </si>
  <si>
    <t>Service of haemotology analyzer</t>
  </si>
  <si>
    <t>Willcare Enterprises</t>
  </si>
  <si>
    <t>kerol</t>
  </si>
  <si>
    <t>Act 5 dift dillent</t>
  </si>
  <si>
    <t>Tauze swabs</t>
  </si>
  <si>
    <t>Adroit Capital ltd</t>
  </si>
  <si>
    <t>filter tips</t>
  </si>
  <si>
    <t>Pinnacore keya ltd</t>
  </si>
  <si>
    <t>paul kiomani</t>
  </si>
  <si>
    <t>Smooth embossed papers A4</t>
  </si>
  <si>
    <t>HM corporation ltd</t>
  </si>
  <si>
    <t>Humphrey Muriuki</t>
  </si>
  <si>
    <t>Epson  printer ink, glossy photo paper</t>
  </si>
  <si>
    <t>Long rock Tours &amp; travel ld</t>
  </si>
  <si>
    <t>Dinah chelanga</t>
  </si>
  <si>
    <t>Nairobi - Kisumu ( florence wakesho &amp; dickson kioko)</t>
  </si>
  <si>
    <t>one way to kisumu( Dr peter mwethera )</t>
  </si>
  <si>
    <t>Silver Africa Tours</t>
  </si>
  <si>
    <t>Nairobi - Kisumu ( Twiga omondi &amp; cecilia ngari))</t>
  </si>
  <si>
    <t>Junitas Ogake</t>
  </si>
  <si>
    <t>one way ticket ( dr George omondi)</t>
  </si>
  <si>
    <t>change articket (Dr Goerge omondi)</t>
  </si>
  <si>
    <t>reservable fee (Dr peter gihuchi)</t>
  </si>
  <si>
    <t>Return airticket NRB - MBS</t>
  </si>
  <si>
    <t>one way ticket (nancy wangui)</t>
  </si>
  <si>
    <t>One way ticket( malindi - NRB)</t>
  </si>
  <si>
    <t>newlink supplies ltd</t>
  </si>
  <si>
    <t>Praxedes Mbula Mutiso</t>
  </si>
  <si>
    <t>main switch, armonred cable</t>
  </si>
  <si>
    <t>Zippytech Agency</t>
  </si>
  <si>
    <t>hellen maina</t>
  </si>
  <si>
    <t>socket, bulk head fitting</t>
  </si>
  <si>
    <t>Devermart Enterprises ltd</t>
  </si>
  <si>
    <t>margaret wanyoike</t>
  </si>
  <si>
    <t>MCB crab tree 30amps</t>
  </si>
  <si>
    <t>Rectangular water tank, ball valve peglar,long threat nipples</t>
  </si>
  <si>
    <t>white undercoat paint,paint brush</t>
  </si>
  <si>
    <t>Bulltex Emporium</t>
  </si>
  <si>
    <t>stephen ndegwe</t>
  </si>
  <si>
    <t>RAIN COATS,SAFARI BOOTS</t>
  </si>
  <si>
    <t>Vindel ltd</t>
  </si>
  <si>
    <t>Lynn Wahu Irungu</t>
  </si>
  <si>
    <t>heavy duty gumboots</t>
  </si>
  <si>
    <t>Arclink Enterprises</t>
  </si>
  <si>
    <t>Damaris wanjiku</t>
  </si>
  <si>
    <t>Repair of cold room</t>
  </si>
  <si>
    <t>ceilling board,ceilling nails,silk vinyl</t>
  </si>
  <si>
    <t>pilly filter  - crown</t>
  </si>
  <si>
    <t>Hellen Nkatha</t>
  </si>
  <si>
    <t>window glass, gloss grey paint</t>
  </si>
  <si>
    <t>MDF board white, white gloss paint</t>
  </si>
  <si>
    <t>Ballast, fine river saw</t>
  </si>
  <si>
    <t>Gabriel mutugi</t>
  </si>
  <si>
    <t>XLD agar</t>
  </si>
  <si>
    <t>Kluger Trader ltd</t>
  </si>
  <si>
    <t>Joseph Kimani</t>
  </si>
  <si>
    <t>grinding machine heavy duty</t>
  </si>
  <si>
    <t>Four stroke motors ltd</t>
  </si>
  <si>
    <t>Krishan Chhabra</t>
  </si>
  <si>
    <t>tyres</t>
  </si>
  <si>
    <t>contract</t>
  </si>
  <si>
    <t>Supply of fresh fruits and vegetables july</t>
  </si>
  <si>
    <t>Supply of fresh fruits and vegetables aug</t>
  </si>
  <si>
    <t>Supply of fresh fruits and vegetables sep</t>
  </si>
  <si>
    <t>%= (PWD 485278+ Women 2315294+ Youth 196420) ÷5561532×100   = 54</t>
  </si>
  <si>
    <t>TOTAL PURCHASES FOR THE 1st  QUARTER =54%</t>
  </si>
  <si>
    <t>HM corporations</t>
  </si>
  <si>
    <t>Desktop computer</t>
  </si>
  <si>
    <t>Gauze Swabs non streric</t>
  </si>
  <si>
    <t>longrock tours &amp; travel ltd</t>
  </si>
  <si>
    <t>Return air ticket Gichuhi mwethera</t>
  </si>
  <si>
    <t>return air ticket Dr Atunga</t>
  </si>
  <si>
    <t>HM corporation</t>
  </si>
  <si>
    <t>H.P Catridge 652 black</t>
  </si>
  <si>
    <t>one way ticket  for cecilia ngari</t>
  </si>
  <si>
    <t>Bulltex emporium co.ltd</t>
  </si>
  <si>
    <t>Peris Kariuki</t>
  </si>
  <si>
    <t>industrial gloves</t>
  </si>
  <si>
    <t>ups - Aps easy ups</t>
  </si>
  <si>
    <t>springwise ventures</t>
  </si>
  <si>
    <t>Rosaline Gacheri Kimathi</t>
  </si>
  <si>
    <t>stationary</t>
  </si>
  <si>
    <t>Lab equipments</t>
  </si>
  <si>
    <t>lab chemicals</t>
  </si>
  <si>
    <t>All Seasons Stationers</t>
  </si>
  <si>
    <t>Susan Nyakio</t>
  </si>
  <si>
    <t>Fredrick Odhiambo Odek</t>
  </si>
  <si>
    <t>return air ticket for Dr lucy ochode</t>
  </si>
  <si>
    <t>Flokam general</t>
  </si>
  <si>
    <t>James Kamau Kariuki</t>
  </si>
  <si>
    <t>Hp tonner</t>
  </si>
  <si>
    <t>Life watches supplies ltd</t>
  </si>
  <si>
    <t>Jane nyambura waweru</t>
  </si>
  <si>
    <t>surgical facemasks</t>
  </si>
  <si>
    <t>cryorials</t>
  </si>
  <si>
    <t>Mt. Kenya office mart</t>
  </si>
  <si>
    <t>Melvin Kiguoya</t>
  </si>
  <si>
    <t>furnitures</t>
  </si>
  <si>
    <t>Harlifax Printers &amp; general suppliers</t>
  </si>
  <si>
    <t>Simon Muigai</t>
  </si>
  <si>
    <t>letter heads</t>
  </si>
  <si>
    <t>E-HUB Africa Limited</t>
  </si>
  <si>
    <t>Alphonce Muema Muthui</t>
  </si>
  <si>
    <t>hp laser jet catridge 17A</t>
  </si>
  <si>
    <t>Infinitube prime ltd</t>
  </si>
  <si>
    <t>Patrick Njenga</t>
  </si>
  <si>
    <t>LAB equipments</t>
  </si>
  <si>
    <t>printing of business cards</t>
  </si>
  <si>
    <t>Annex Superlinks Investment</t>
  </si>
  <si>
    <t>Henry Gitonga Kathurima</t>
  </si>
  <si>
    <t>Ginibata Construction And Supplies Limited</t>
  </si>
  <si>
    <t>Ummulkheir Adan Ali</t>
  </si>
  <si>
    <t>supply and fixing of tint reflectors</t>
  </si>
  <si>
    <t>Joraki Enterprises</t>
  </si>
  <si>
    <t>stephen muriiki</t>
  </si>
  <si>
    <t>fumigation of entire kipre</t>
  </si>
  <si>
    <t>2 QUARTER  report from October 23-Dec 2023</t>
  </si>
  <si>
    <t>Supply of fresh fruits and vegetables oct</t>
  </si>
  <si>
    <t>Supply of fresh fruits and vegetables nov</t>
  </si>
  <si>
    <t>Supply of fresh fruits and vegetables dec</t>
  </si>
  <si>
    <t>Provision Of Sanitary Bins Services oct</t>
  </si>
  <si>
    <t>Provision Of Sanitary Bins Services nov</t>
  </si>
  <si>
    <t>Provision Of Sanitary Bins Services dec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</si>
</sst>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4">
    <numFmt numFmtId="43" formatCode="_-* #,##0.00_-;\-* #,##0.00_-;_-* &quot;-&quot;??_-;_-@_-"/>
    <numFmt numFmtId="164" formatCode="_(* #,##0.00_);_(* \(#,##0.00\);_(* &quot;-&quot;??_);_(@_)"/>
    <numFmt numFmtId="165" formatCode="#,##0.00&quot; &quot;;&quot; (&quot;#,##0.00&quot;)&quot;;&quot; -&quot;#&quot; &quot;;@&quot; &quot;"/>
    <numFmt numFmtId="166" formatCode="#,##0.00&quot; &quot;;&quot;(&quot;#,##0.00&quot;)&quot;;&quot;-&quot;#&quot; &quot;;&quot; &quot;@&quot; &quot;"/>
  </numFmts>
  <fonts count="45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charset val="134"/>
    </font>
    <font>
      <b/>
      <sz val="12"/>
      <color rgb="FF000000"/>
      <name val="Calibri"/>
      <charset val="134"/>
    </font>
    <font>
      <sz val="12"/>
      <color rgb="FF000000"/>
      <name val="Calibri"/>
      <charset val="134"/>
    </font>
    <font>
      <b/>
      <sz val="11"/>
      <color rgb="FF000000"/>
      <name val="Calibri"/>
      <charset val="134"/>
    </font>
    <font>
      <sz val="14"/>
      <color rgb="FF000000"/>
      <name val="Times New Roman"/>
      <family val="1"/>
    </font>
    <font>
      <sz val="12"/>
      <color rgb="FF000000"/>
      <name val="Times New Roman"/>
      <family val="1"/>
    </font>
    <font>
      <sz val="12"/>
      <color rgb="FF000000"/>
      <name val="Arial"/>
      <family val="2"/>
    </font>
    <font>
      <sz val="11"/>
      <color rgb="FF000000"/>
      <name val="Arial"/>
      <charset val="134"/>
    </font>
    <font>
      <sz val="12"/>
      <color theme="1"/>
      <name val="Calibri"/>
      <family val="2"/>
      <scheme val="minor"/>
    </font>
    <font>
      <b/>
      <sz val="9"/>
      <color rgb="FF000000"/>
      <name val="Calibri"/>
      <family val="2"/>
    </font>
    <font>
      <sz val="12"/>
      <color rgb="FF000000"/>
      <name val="Calibri"/>
      <family val="2"/>
    </font>
    <font>
      <b/>
      <sz val="12"/>
      <color rgb="FF000000"/>
      <name val="Calibri"/>
      <family val="2"/>
    </font>
    <font>
      <b/>
      <sz val="12"/>
      <color rgb="FF000000"/>
      <name val="Times New Roman"/>
      <family val="1"/>
    </font>
    <font>
      <b/>
      <sz val="12"/>
      <color rgb="FF000000"/>
      <name val="Arial"/>
      <family val="2"/>
    </font>
    <font>
      <sz val="12"/>
      <color rgb="FF000000"/>
      <name val="Trebuchet MS"/>
      <family val="2"/>
    </font>
    <font>
      <b/>
      <sz val="12"/>
      <color rgb="FF000000"/>
      <name val="Trebuchet MS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1"/>
      <color rgb="FF000000"/>
      <name val="Arial"/>
      <family val="2"/>
    </font>
    <font>
      <sz val="12"/>
      <color theme="1"/>
      <name val="Times New Roman"/>
      <family val="1"/>
    </font>
    <font>
      <sz val="9"/>
      <color rgb="FF000000"/>
      <name val="Arial"/>
      <family val="2"/>
    </font>
    <font>
      <sz val="9"/>
      <color rgb="FF000000"/>
      <name val="Trebuchet MS"/>
      <family val="2"/>
    </font>
    <font>
      <b/>
      <sz val="9"/>
      <color rgb="FF000000"/>
      <name val="SimSun"/>
    </font>
    <font>
      <sz val="9"/>
      <color rgb="FF000000"/>
      <name val="Calibri"/>
      <family val="2"/>
    </font>
    <font>
      <sz val="13"/>
      <color rgb="FF000000"/>
      <name val="Calibri"/>
      <family val="2"/>
    </font>
    <font>
      <sz val="10"/>
      <color rgb="FF000000"/>
      <name val="Times New Roman2"/>
    </font>
    <font>
      <b/>
      <sz val="10"/>
      <color rgb="FF000000"/>
      <name val="Times New Roman2"/>
    </font>
    <font>
      <sz val="10"/>
      <color rgb="FF000000"/>
      <name val="Times New Roman"/>
      <family val="1"/>
    </font>
    <font>
      <b/>
      <i/>
      <u/>
      <sz val="10"/>
      <color rgb="FF000000"/>
      <name val="Times New Roman2"/>
    </font>
    <font>
      <i/>
      <sz val="10"/>
      <color rgb="FF000000"/>
      <name val="Times New Roman2"/>
    </font>
    <font>
      <b/>
      <sz val="11"/>
      <color theme="1"/>
      <name val="Calibri"/>
      <family val="2"/>
      <scheme val="minor"/>
    </font>
    <font>
      <b/>
      <sz val="11"/>
      <color rgb="FF000000"/>
      <name val="Arial1"/>
    </font>
    <font>
      <sz val="11"/>
      <color rgb="FF000000"/>
      <name val="Calibri1"/>
    </font>
    <font>
      <sz val="14"/>
      <color rgb="FF000000"/>
      <name val="Times New Roman1"/>
    </font>
    <font>
      <sz val="10"/>
      <color rgb="FF000000"/>
      <name val="Times New Roman1"/>
    </font>
    <font>
      <sz val="12"/>
      <color rgb="FF000000"/>
      <name val="Times New Roman1"/>
    </font>
    <font>
      <sz val="12"/>
      <color rgb="FF000000"/>
      <name val="Arial2"/>
    </font>
    <font>
      <sz val="11"/>
      <color rgb="FF000000"/>
      <name val="Bookman Old Style"/>
      <family val="1"/>
    </font>
    <font>
      <sz val="12"/>
      <color rgb="FF000000"/>
      <name val="Bookman Old Style"/>
      <family val="1"/>
    </font>
    <font>
      <sz val="12"/>
      <color rgb="FF000000"/>
      <name val="Arial1"/>
    </font>
    <font>
      <sz val="9"/>
      <color rgb="FF000000"/>
      <name val="Arial1"/>
    </font>
    <font>
      <b/>
      <sz val="11"/>
      <color rgb="FF000000"/>
      <name val="Calibri1"/>
    </font>
    <font>
      <sz val="11"/>
      <color rgb="FF000000"/>
      <name val="Arial1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theme="0"/>
        <bgColor rgb="FFFFFF00"/>
      </patternFill>
    </fill>
  </fills>
  <borders count="11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5">
    <xf numFmtId="0" fontId="0" fillId="0" borderId="0"/>
    <xf numFmtId="43" fontId="1" fillId="0" borderId="0" applyFont="0" applyFill="0" applyBorder="0" applyAlignment="0" applyProtection="0"/>
    <xf numFmtId="0" fontId="2" fillId="0" borderId="0" applyNumberFormat="0" applyBorder="0" applyProtection="0"/>
    <xf numFmtId="165" fontId="9" fillId="0" borderId="0" applyFont="0" applyBorder="0" applyProtection="0"/>
    <xf numFmtId="165" fontId="18" fillId="0" borderId="0" applyFont="0" applyBorder="0" applyProtection="0"/>
  </cellStyleXfs>
  <cellXfs count="310">
    <xf numFmtId="0" fontId="0" fillId="0" borderId="0" xfId="0"/>
    <xf numFmtId="0" fontId="3" fillId="2" borderId="0" xfId="2" applyFont="1" applyFill="1"/>
    <xf numFmtId="0" fontId="3" fillId="2" borderId="0" xfId="2" applyFont="1" applyFill="1" applyAlignment="1">
      <alignment horizontal="left"/>
    </xf>
    <xf numFmtId="0" fontId="2" fillId="2" borderId="0" xfId="2" applyFill="1"/>
    <xf numFmtId="0" fontId="2" fillId="2" borderId="0" xfId="2" applyFill="1" applyAlignment="1">
      <alignment horizontal="right"/>
    </xf>
    <xf numFmtId="0" fontId="4" fillId="2" borderId="0" xfId="2" applyFont="1" applyFill="1" applyAlignment="1">
      <alignment horizontal="left"/>
    </xf>
    <xf numFmtId="0" fontId="4" fillId="2" borderId="0" xfId="2" applyFont="1" applyFill="1"/>
    <xf numFmtId="0" fontId="2" fillId="2" borderId="0" xfId="2" applyFill="1" applyAlignment="1">
      <alignment horizontal="right" wrapText="1"/>
    </xf>
    <xf numFmtId="0" fontId="5" fillId="2" borderId="1" xfId="2" applyFont="1" applyFill="1" applyBorder="1" applyAlignment="1">
      <alignment wrapText="1"/>
    </xf>
    <xf numFmtId="0" fontId="5" fillId="2" borderId="1" xfId="2" applyFont="1" applyFill="1" applyBorder="1" applyAlignment="1">
      <alignment horizontal="left" wrapText="1"/>
    </xf>
    <xf numFmtId="0" fontId="5" fillId="2" borderId="1" xfId="2" applyFont="1" applyFill="1" applyBorder="1" applyAlignment="1">
      <alignment horizontal="right" wrapText="1"/>
    </xf>
    <xf numFmtId="0" fontId="2" fillId="0" borderId="1" xfId="2" applyBorder="1" applyAlignment="1">
      <alignment wrapText="1"/>
    </xf>
    <xf numFmtId="0" fontId="2" fillId="2" borderId="1" xfId="2" applyFill="1" applyBorder="1" applyAlignment="1">
      <alignment wrapText="1"/>
    </xf>
    <xf numFmtId="0" fontId="2" fillId="2" borderId="1" xfId="2" applyFill="1" applyBorder="1"/>
    <xf numFmtId="0" fontId="2" fillId="0" borderId="1" xfId="2" applyBorder="1" applyAlignment="1">
      <alignment horizontal="right"/>
    </xf>
    <xf numFmtId="3" fontId="2" fillId="0" borderId="1" xfId="2" applyNumberFormat="1" applyBorder="1" applyAlignment="1">
      <alignment horizontal="center"/>
    </xf>
    <xf numFmtId="0" fontId="6" fillId="0" borderId="1" xfId="0" applyFont="1" applyBorder="1" applyAlignment="1">
      <alignment horizontal="left" vertical="top"/>
    </xf>
    <xf numFmtId="0" fontId="8" fillId="0" borderId="1" xfId="0" applyFont="1" applyBorder="1"/>
    <xf numFmtId="0" fontId="7" fillId="0" borderId="1" xfId="0" applyFont="1" applyBorder="1" applyAlignment="1">
      <alignment horizontal="left" vertical="top"/>
    </xf>
    <xf numFmtId="0" fontId="7" fillId="0" borderId="1" xfId="0" applyFont="1" applyBorder="1" applyAlignment="1">
      <alignment horizontal="right" vertical="top"/>
    </xf>
    <xf numFmtId="0" fontId="7" fillId="0" borderId="1" xfId="0" applyFont="1" applyBorder="1" applyAlignment="1">
      <alignment vertical="top"/>
    </xf>
    <xf numFmtId="0" fontId="2" fillId="2" borderId="1" xfId="2" applyFill="1" applyBorder="1" applyAlignment="1">
      <alignment horizontal="left" wrapText="1"/>
    </xf>
    <xf numFmtId="0" fontId="0" fillId="0" borderId="1" xfId="0" applyBorder="1" applyAlignment="1">
      <alignment horizontal="center"/>
    </xf>
    <xf numFmtId="0" fontId="0" fillId="0" borderId="1" xfId="0" applyBorder="1"/>
    <xf numFmtId="0" fontId="2" fillId="2" borderId="3" xfId="2" applyFill="1" applyBorder="1"/>
    <xf numFmtId="0" fontId="2" fillId="2" borderId="3" xfId="2" applyFill="1" applyBorder="1" applyAlignment="1">
      <alignment wrapText="1"/>
    </xf>
    <xf numFmtId="0" fontId="2" fillId="2" borderId="3" xfId="2" applyFill="1" applyBorder="1" applyAlignment="1">
      <alignment horizontal="right"/>
    </xf>
    <xf numFmtId="0" fontId="7" fillId="0" borderId="1" xfId="0" applyFont="1" applyBorder="1"/>
    <xf numFmtId="0" fontId="7" fillId="0" borderId="2" xfId="0" applyFont="1" applyBorder="1" applyAlignment="1">
      <alignment horizontal="left" vertical="top"/>
    </xf>
    <xf numFmtId="0" fontId="7" fillId="0" borderId="3" xfId="0" applyFont="1" applyBorder="1" applyAlignment="1">
      <alignment horizontal="left" vertical="top"/>
    </xf>
    <xf numFmtId="0" fontId="7" fillId="0" borderId="3" xfId="0" applyFont="1" applyBorder="1" applyAlignment="1">
      <alignment vertical="top"/>
    </xf>
    <xf numFmtId="0" fontId="8" fillId="0" borderId="5" xfId="0" applyFont="1" applyBorder="1"/>
    <xf numFmtId="0" fontId="7" fillId="0" borderId="5" xfId="0" applyFont="1" applyBorder="1" applyAlignment="1">
      <alignment vertical="top"/>
    </xf>
    <xf numFmtId="0" fontId="7" fillId="0" borderId="5" xfId="0" applyFont="1" applyBorder="1" applyAlignment="1">
      <alignment horizontal="left" vertical="top"/>
    </xf>
    <xf numFmtId="0" fontId="7" fillId="0" borderId="5" xfId="0" applyFont="1" applyBorder="1" applyAlignment="1">
      <alignment horizontal="right" vertical="top"/>
    </xf>
    <xf numFmtId="0" fontId="7" fillId="0" borderId="5" xfId="0" applyFont="1" applyBorder="1" applyAlignment="1">
      <alignment vertical="top" wrapText="1"/>
    </xf>
    <xf numFmtId="0" fontId="10" fillId="0" borderId="5" xfId="0" applyFont="1" applyBorder="1"/>
    <xf numFmtId="0" fontId="7" fillId="0" borderId="5" xfId="0" applyFont="1" applyBorder="1" applyAlignment="1">
      <alignment horizontal="right" vertical="top" wrapText="1"/>
    </xf>
    <xf numFmtId="0" fontId="0" fillId="0" borderId="2" xfId="0" applyBorder="1" applyAlignment="1">
      <alignment horizontal="left"/>
    </xf>
    <xf numFmtId="0" fontId="7" fillId="0" borderId="8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0" xfId="0" applyFont="1" applyAlignment="1">
      <alignment vertical="top"/>
    </xf>
    <xf numFmtId="0" fontId="7" fillId="0" borderId="1" xfId="3" applyNumberFormat="1" applyFont="1" applyBorder="1" applyAlignment="1">
      <alignment horizontal="right"/>
    </xf>
    <xf numFmtId="0" fontId="0" fillId="0" borderId="1" xfId="0" applyBorder="1" applyAlignment="1">
      <alignment horizontal="left"/>
    </xf>
    <xf numFmtId="0" fontId="2" fillId="2" borderId="1" xfId="2" applyFill="1" applyBorder="1" applyAlignment="1">
      <alignment horizontal="left"/>
    </xf>
    <xf numFmtId="164" fontId="0" fillId="0" borderId="1" xfId="0" applyNumberFormat="1" applyBorder="1" applyAlignment="1">
      <alignment horizontal="center"/>
    </xf>
    <xf numFmtId="0" fontId="11" fillId="0" borderId="0" xfId="2" applyFont="1"/>
    <xf numFmtId="0" fontId="2" fillId="2" borderId="0" xfId="2" applyFill="1" applyAlignment="1">
      <alignment wrapText="1"/>
    </xf>
    <xf numFmtId="0" fontId="2" fillId="2" borderId="0" xfId="2" applyFill="1" applyAlignment="1">
      <alignment horizontal="left"/>
    </xf>
    <xf numFmtId="0" fontId="2" fillId="2" borderId="1" xfId="2" applyFill="1" applyBorder="1" applyAlignment="1">
      <alignment horizontal="right"/>
    </xf>
    <xf numFmtId="9" fontId="2" fillId="2" borderId="1" xfId="2" applyNumberFormat="1" applyFill="1" applyBorder="1" applyAlignment="1">
      <alignment wrapText="1"/>
    </xf>
    <xf numFmtId="4" fontId="0" fillId="0" borderId="0" xfId="0" applyNumberFormat="1" applyAlignment="1">
      <alignment horizontal="right"/>
    </xf>
    <xf numFmtId="9" fontId="2" fillId="2" borderId="1" xfId="2" applyNumberFormat="1" applyFill="1" applyBorder="1"/>
    <xf numFmtId="0" fontId="2" fillId="0" borderId="0" xfId="2" applyAlignment="1">
      <alignment horizontal="right"/>
    </xf>
    <xf numFmtId="0" fontId="2" fillId="0" borderId="0" xfId="2"/>
    <xf numFmtId="4" fontId="2" fillId="2" borderId="1" xfId="2" applyNumberFormat="1" applyFill="1" applyBorder="1" applyAlignment="1">
      <alignment horizontal="right"/>
    </xf>
    <xf numFmtId="0" fontId="12" fillId="0" borderId="1" xfId="2" applyFont="1" applyBorder="1" applyAlignment="1">
      <alignment wrapText="1"/>
    </xf>
    <xf numFmtId="0" fontId="12" fillId="2" borderId="1" xfId="2" applyFont="1" applyFill="1" applyBorder="1" applyAlignment="1">
      <alignment wrapText="1"/>
    </xf>
    <xf numFmtId="0" fontId="13" fillId="2" borderId="1" xfId="2" applyFont="1" applyFill="1" applyBorder="1" applyAlignment="1">
      <alignment horizontal="left" wrapText="1"/>
    </xf>
    <xf numFmtId="0" fontId="12" fillId="2" borderId="1" xfId="2" applyFont="1" applyFill="1" applyBorder="1"/>
    <xf numFmtId="0" fontId="12" fillId="0" borderId="1" xfId="2" applyFont="1" applyBorder="1" applyAlignment="1">
      <alignment horizontal="right"/>
    </xf>
    <xf numFmtId="3" fontId="12" fillId="0" borderId="1" xfId="2" applyNumberFormat="1" applyFont="1" applyBorder="1" applyAlignment="1">
      <alignment horizontal="center"/>
    </xf>
    <xf numFmtId="0" fontId="8" fillId="0" borderId="1" xfId="0" applyFont="1" applyBorder="1" applyAlignment="1">
      <alignment horizontal="right"/>
    </xf>
    <xf numFmtId="0" fontId="7" fillId="0" borderId="1" xfId="3" applyNumberFormat="1" applyFont="1" applyBorder="1" applyAlignment="1">
      <alignment horizontal="left"/>
    </xf>
    <xf numFmtId="43" fontId="12" fillId="0" borderId="1" xfId="1" applyFont="1" applyFill="1" applyBorder="1" applyAlignment="1"/>
    <xf numFmtId="43" fontId="12" fillId="0" borderId="1" xfId="1" applyFont="1" applyFill="1" applyBorder="1" applyAlignment="1">
      <alignment horizontal="left"/>
    </xf>
    <xf numFmtId="0" fontId="12" fillId="2" borderId="1" xfId="2" applyFont="1" applyFill="1" applyBorder="1" applyAlignment="1">
      <alignment horizontal="left" wrapText="1"/>
    </xf>
    <xf numFmtId="2" fontId="7" fillId="0" borderId="1" xfId="0" applyNumberFormat="1" applyFont="1" applyBorder="1" applyAlignment="1">
      <alignment horizontal="center" vertical="top"/>
    </xf>
    <xf numFmtId="0" fontId="14" fillId="0" borderId="1" xfId="0" applyFont="1" applyBorder="1" applyAlignment="1">
      <alignment vertical="top"/>
    </xf>
    <xf numFmtId="0" fontId="10" fillId="0" borderId="1" xfId="0" applyFont="1" applyBorder="1" applyAlignment="1">
      <alignment horizontal="center"/>
    </xf>
    <xf numFmtId="0" fontId="7" fillId="0" borderId="1" xfId="3" applyNumberFormat="1" applyFont="1" applyBorder="1" applyAlignment="1">
      <alignment horizontal="center" vertical="top"/>
    </xf>
    <xf numFmtId="2" fontId="15" fillId="0" borderId="1" xfId="0" applyNumberFormat="1" applyFont="1" applyBorder="1"/>
    <xf numFmtId="0" fontId="10" fillId="0" borderId="1" xfId="0" applyFont="1" applyBorder="1"/>
    <xf numFmtId="0" fontId="12" fillId="0" borderId="1" xfId="0" applyFont="1" applyBorder="1" applyAlignment="1">
      <alignment horizontal="right" vertical="center"/>
    </xf>
    <xf numFmtId="0" fontId="13" fillId="2" borderId="3" xfId="2" applyFont="1" applyFill="1" applyBorder="1" applyAlignment="1">
      <alignment wrapText="1"/>
    </xf>
    <xf numFmtId="0" fontId="12" fillId="2" borderId="3" xfId="2" applyFont="1" applyFill="1" applyBorder="1"/>
    <xf numFmtId="0" fontId="13" fillId="2" borderId="3" xfId="2" applyFont="1" applyFill="1" applyBorder="1" applyAlignment="1">
      <alignment horizontal="left"/>
    </xf>
    <xf numFmtId="0" fontId="12" fillId="2" borderId="3" xfId="2" applyFont="1" applyFill="1" applyBorder="1" applyAlignment="1">
      <alignment wrapText="1"/>
    </xf>
    <xf numFmtId="0" fontId="12" fillId="2" borderId="3" xfId="2" applyFont="1" applyFill="1" applyBorder="1" applyAlignment="1">
      <alignment horizontal="right"/>
    </xf>
    <xf numFmtId="0" fontId="7" fillId="0" borderId="4" xfId="0" applyFont="1" applyBorder="1" applyAlignment="1">
      <alignment horizontal="left" vertical="top"/>
    </xf>
    <xf numFmtId="0" fontId="7" fillId="0" borderId="3" xfId="0" applyFont="1" applyBorder="1" applyAlignment="1">
      <alignment horizontal="right" vertical="top"/>
    </xf>
    <xf numFmtId="0" fontId="8" fillId="0" borderId="3" xfId="0" applyFont="1" applyBorder="1"/>
    <xf numFmtId="0" fontId="7" fillId="0" borderId="6" xfId="0" applyFont="1" applyBorder="1" applyAlignment="1">
      <alignment vertical="top"/>
    </xf>
    <xf numFmtId="0" fontId="7" fillId="0" borderId="6" xfId="0" applyFont="1" applyBorder="1" applyAlignment="1">
      <alignment horizontal="left" vertical="top"/>
    </xf>
    <xf numFmtId="43" fontId="12" fillId="0" borderId="6" xfId="1" applyFont="1" applyFill="1" applyBorder="1" applyAlignment="1">
      <alignment horizontal="left"/>
    </xf>
    <xf numFmtId="0" fontId="14" fillId="0" borderId="2" xfId="0" applyFont="1" applyBorder="1" applyAlignment="1">
      <alignment vertical="top"/>
    </xf>
    <xf numFmtId="0" fontId="10" fillId="0" borderId="2" xfId="0" applyFont="1" applyBorder="1" applyAlignment="1">
      <alignment horizontal="left"/>
    </xf>
    <xf numFmtId="0" fontId="16" fillId="0" borderId="1" xfId="2" applyFont="1" applyBorder="1" applyAlignment="1">
      <alignment horizontal="left" vertical="center"/>
    </xf>
    <xf numFmtId="0" fontId="7" fillId="0" borderId="2" xfId="0" applyFont="1" applyBorder="1" applyAlignment="1">
      <alignment vertical="top"/>
    </xf>
    <xf numFmtId="0" fontId="16" fillId="0" borderId="1" xfId="2" applyFont="1" applyBorder="1" applyAlignment="1">
      <alignment vertical="center"/>
    </xf>
    <xf numFmtId="2" fontId="15" fillId="0" borderId="7" xfId="0" applyNumberFormat="1" applyFont="1" applyBorder="1" applyAlignment="1">
      <alignment horizontal="right"/>
    </xf>
    <xf numFmtId="0" fontId="16" fillId="0" borderId="6" xfId="2" applyFont="1" applyBorder="1" applyAlignment="1">
      <alignment vertical="center" wrapText="1"/>
    </xf>
    <xf numFmtId="0" fontId="17" fillId="0" borderId="6" xfId="2" applyFont="1" applyBorder="1" applyAlignment="1">
      <alignment horizontal="left" vertical="center"/>
    </xf>
    <xf numFmtId="0" fontId="16" fillId="0" borderId="6" xfId="2" applyFont="1" applyBorder="1" applyAlignment="1">
      <alignment vertical="center"/>
    </xf>
    <xf numFmtId="0" fontId="16" fillId="0" borderId="6" xfId="2" applyFont="1" applyBorder="1" applyAlignment="1">
      <alignment horizontal="left" vertical="center"/>
    </xf>
    <xf numFmtId="3" fontId="16" fillId="0" borderId="6" xfId="2" applyNumberFormat="1" applyFont="1" applyBorder="1" applyAlignment="1">
      <alignment vertical="center"/>
    </xf>
    <xf numFmtId="0" fontId="7" fillId="0" borderId="0" xfId="0" applyFont="1" applyAlignment="1">
      <alignment horizontal="right" vertical="top"/>
    </xf>
    <xf numFmtId="0" fontId="10" fillId="0" borderId="1" xfId="0" applyFont="1" applyBorder="1" applyAlignment="1">
      <alignment horizontal="left"/>
    </xf>
    <xf numFmtId="0" fontId="12" fillId="2" borderId="1" xfId="2" applyFont="1" applyFill="1" applyBorder="1" applyAlignment="1">
      <alignment horizontal="left"/>
    </xf>
    <xf numFmtId="0" fontId="12" fillId="0" borderId="1" xfId="0" applyFont="1" applyBorder="1" applyAlignment="1">
      <alignment horizontal="left" vertical="center"/>
    </xf>
    <xf numFmtId="164" fontId="10" fillId="0" borderId="1" xfId="0" applyNumberFormat="1" applyFont="1" applyBorder="1" applyAlignment="1">
      <alignment horizontal="center"/>
    </xf>
    <xf numFmtId="0" fontId="14" fillId="0" borderId="2" xfId="0" applyFont="1" applyBorder="1" applyAlignment="1">
      <alignment horizontal="left" vertical="top"/>
    </xf>
    <xf numFmtId="0" fontId="7" fillId="0" borderId="2" xfId="0" applyFont="1" applyBorder="1" applyAlignment="1">
      <alignment horizontal="center" vertical="top"/>
    </xf>
    <xf numFmtId="2" fontId="14" fillId="0" borderId="7" xfId="0" applyNumberFormat="1" applyFont="1" applyBorder="1" applyAlignment="1">
      <alignment horizontal="right" vertical="top"/>
    </xf>
    <xf numFmtId="0" fontId="13" fillId="0" borderId="0" xfId="2" applyFont="1"/>
    <xf numFmtId="0" fontId="8" fillId="0" borderId="9" xfId="0" applyFont="1" applyBorder="1"/>
    <xf numFmtId="0" fontId="13" fillId="0" borderId="0" xfId="2" applyFont="1" applyAlignment="1">
      <alignment horizontal="left"/>
    </xf>
    <xf numFmtId="0" fontId="16" fillId="0" borderId="0" xfId="2" applyFont="1" applyAlignment="1">
      <alignment vertical="center" wrapText="1"/>
    </xf>
    <xf numFmtId="0" fontId="16" fillId="0" borderId="0" xfId="2" applyFont="1" applyAlignment="1">
      <alignment vertical="center"/>
    </xf>
    <xf numFmtId="0" fontId="16" fillId="0" borderId="0" xfId="2" applyFont="1" applyAlignment="1">
      <alignment horizontal="right" vertical="center"/>
    </xf>
    <xf numFmtId="3" fontId="16" fillId="0" borderId="0" xfId="2" applyNumberFormat="1" applyFont="1" applyAlignment="1">
      <alignment vertical="center"/>
    </xf>
    <xf numFmtId="0" fontId="12" fillId="0" borderId="0" xfId="2" applyFont="1" applyAlignment="1">
      <alignment wrapText="1"/>
    </xf>
    <xf numFmtId="0" fontId="12" fillId="0" borderId="0" xfId="2" applyFont="1" applyAlignment="1">
      <alignment horizontal="left"/>
    </xf>
    <xf numFmtId="0" fontId="12" fillId="2" borderId="0" xfId="2" applyFont="1" applyFill="1"/>
    <xf numFmtId="0" fontId="12" fillId="2" borderId="0" xfId="2" applyFont="1" applyFill="1" applyAlignment="1">
      <alignment horizontal="right"/>
    </xf>
    <xf numFmtId="3" fontId="13" fillId="2" borderId="0" xfId="2" applyNumberFormat="1" applyFont="1" applyFill="1" applyAlignment="1">
      <alignment horizontal="right"/>
    </xf>
    <xf numFmtId="0" fontId="12" fillId="2" borderId="0" xfId="2" applyFont="1" applyFill="1" applyAlignment="1">
      <alignment wrapText="1"/>
    </xf>
    <xf numFmtId="0" fontId="13" fillId="2" borderId="0" xfId="2" applyFont="1" applyFill="1"/>
    <xf numFmtId="0" fontId="12" fillId="2" borderId="0" xfId="2" applyFont="1" applyFill="1" applyAlignment="1">
      <alignment horizontal="left"/>
    </xf>
    <xf numFmtId="3" fontId="13" fillId="2" borderId="0" xfId="2" applyNumberFormat="1" applyFont="1" applyFill="1"/>
    <xf numFmtId="0" fontId="13" fillId="2" borderId="1" xfId="2" applyFont="1" applyFill="1" applyBorder="1" applyAlignment="1">
      <alignment wrapText="1"/>
    </xf>
    <xf numFmtId="0" fontId="12" fillId="2" borderId="1" xfId="2" applyFont="1" applyFill="1" applyBorder="1" applyAlignment="1">
      <alignment horizontal="right"/>
    </xf>
    <xf numFmtId="2" fontId="8" fillId="0" borderId="1" xfId="0" applyNumberFormat="1" applyFont="1" applyBorder="1"/>
    <xf numFmtId="9" fontId="12" fillId="2" borderId="1" xfId="2" applyNumberFormat="1" applyFont="1" applyFill="1" applyBorder="1" applyAlignment="1">
      <alignment wrapText="1"/>
    </xf>
    <xf numFmtId="4" fontId="10" fillId="0" borderId="0" xfId="0" applyNumberFormat="1" applyFont="1" applyAlignment="1">
      <alignment horizontal="right"/>
    </xf>
    <xf numFmtId="9" fontId="12" fillId="2" borderId="1" xfId="2" applyNumberFormat="1" applyFont="1" applyFill="1" applyBorder="1"/>
    <xf numFmtId="0" fontId="12" fillId="0" borderId="0" xfId="2" applyFont="1" applyAlignment="1">
      <alignment horizontal="right"/>
    </xf>
    <xf numFmtId="0" fontId="12" fillId="0" borderId="0" xfId="2" applyFont="1"/>
    <xf numFmtId="0" fontId="13" fillId="2" borderId="1" xfId="2" applyFont="1" applyFill="1" applyBorder="1" applyAlignment="1">
      <alignment horizontal="right"/>
    </xf>
    <xf numFmtId="4" fontId="12" fillId="2" borderId="1" xfId="2" applyNumberFormat="1" applyFont="1" applyFill="1" applyBorder="1" applyAlignment="1">
      <alignment horizontal="right"/>
    </xf>
    <xf numFmtId="0" fontId="13" fillId="2" borderId="0" xfId="2" applyFont="1" applyFill="1" applyAlignment="1">
      <alignment horizontal="left"/>
    </xf>
    <xf numFmtId="0" fontId="19" fillId="2" borderId="1" xfId="2" applyFont="1" applyFill="1" applyBorder="1" applyAlignment="1">
      <alignment wrapText="1"/>
    </xf>
    <xf numFmtId="0" fontId="19" fillId="2" borderId="1" xfId="2" applyFont="1" applyFill="1" applyBorder="1" applyAlignment="1">
      <alignment horizontal="left" wrapText="1"/>
    </xf>
    <xf numFmtId="0" fontId="19" fillId="2" borderId="1" xfId="2" applyFont="1" applyFill="1" applyBorder="1" applyAlignment="1">
      <alignment horizontal="right" wrapText="1"/>
    </xf>
    <xf numFmtId="43" fontId="18" fillId="0" borderId="1" xfId="1" applyFont="1" applyFill="1" applyBorder="1" applyAlignment="1">
      <alignment horizontal="left"/>
    </xf>
    <xf numFmtId="2" fontId="0" fillId="0" borderId="1" xfId="0" applyNumberFormat="1" applyBorder="1" applyAlignment="1">
      <alignment horizontal="center"/>
    </xf>
    <xf numFmtId="0" fontId="18" fillId="0" borderId="1" xfId="0" applyFont="1" applyBorder="1" applyAlignment="1">
      <alignment horizontal="left" vertical="center"/>
    </xf>
    <xf numFmtId="2" fontId="20" fillId="0" borderId="1" xfId="0" applyNumberFormat="1" applyFont="1" applyBorder="1"/>
    <xf numFmtId="0" fontId="18" fillId="0" borderId="1" xfId="0" applyFont="1" applyBorder="1" applyAlignment="1">
      <alignment horizontal="right" vertical="center"/>
    </xf>
    <xf numFmtId="0" fontId="19" fillId="2" borderId="3" xfId="2" applyFont="1" applyFill="1" applyBorder="1" applyAlignment="1">
      <alignment wrapText="1"/>
    </xf>
    <xf numFmtId="0" fontId="19" fillId="2" borderId="3" xfId="2" applyFont="1" applyFill="1" applyBorder="1" applyAlignment="1">
      <alignment horizontal="left"/>
    </xf>
    <xf numFmtId="43" fontId="1" fillId="0" borderId="1" xfId="1" applyBorder="1" applyAlignment="1">
      <alignment horizontal="left"/>
    </xf>
    <xf numFmtId="3" fontId="7" fillId="0" borderId="1" xfId="0" applyNumberFormat="1" applyFont="1" applyBorder="1"/>
    <xf numFmtId="3" fontId="8" fillId="0" borderId="1" xfId="0" applyNumberFormat="1" applyFont="1" applyBorder="1"/>
    <xf numFmtId="43" fontId="18" fillId="0" borderId="5" xfId="1" applyFont="1" applyFill="1" applyBorder="1" applyAlignment="1">
      <alignment horizontal="left"/>
    </xf>
    <xf numFmtId="2" fontId="20" fillId="0" borderId="7" xfId="0" applyNumberFormat="1" applyFont="1" applyBorder="1" applyAlignment="1">
      <alignment horizontal="center"/>
    </xf>
    <xf numFmtId="43" fontId="7" fillId="0" borderId="1" xfId="1" applyFont="1" applyFill="1" applyBorder="1" applyAlignment="1">
      <alignment horizontal="left"/>
    </xf>
    <xf numFmtId="4" fontId="7" fillId="0" borderId="1" xfId="0" applyNumberFormat="1" applyFont="1" applyBorder="1" applyAlignment="1">
      <alignment vertical="top"/>
    </xf>
    <xf numFmtId="43" fontId="21" fillId="0" borderId="1" xfId="1" applyFont="1" applyBorder="1" applyAlignment="1">
      <alignment horizontal="left"/>
    </xf>
    <xf numFmtId="0" fontId="7" fillId="0" borderId="1" xfId="0" applyFont="1" applyBorder="1" applyAlignment="1">
      <alignment horizontal="left" vertical="top" wrapText="1"/>
    </xf>
    <xf numFmtId="0" fontId="2" fillId="0" borderId="1" xfId="2" applyBorder="1" applyAlignment="1">
      <alignment horizontal="left"/>
    </xf>
    <xf numFmtId="3" fontId="12" fillId="0" borderId="1" xfId="2" applyNumberFormat="1" applyFont="1" applyBorder="1"/>
    <xf numFmtId="2" fontId="14" fillId="0" borderId="7" xfId="0" applyNumberFormat="1" applyFont="1" applyBorder="1" applyAlignment="1">
      <alignment horizontal="center" vertical="top"/>
    </xf>
    <xf numFmtId="0" fontId="22" fillId="0" borderId="9" xfId="0" applyFont="1" applyBorder="1"/>
    <xf numFmtId="0" fontId="11" fillId="0" borderId="0" xfId="2" applyFont="1" applyAlignment="1">
      <alignment horizontal="left"/>
    </xf>
    <xf numFmtId="0" fontId="23" fillId="0" borderId="0" xfId="2" applyFont="1" applyAlignment="1">
      <alignment vertical="center" wrapText="1"/>
    </xf>
    <xf numFmtId="0" fontId="25" fillId="0" borderId="0" xfId="2" applyFont="1" applyAlignment="1">
      <alignment wrapText="1"/>
    </xf>
    <xf numFmtId="0" fontId="25" fillId="0" borderId="0" xfId="2" applyFont="1" applyAlignment="1">
      <alignment horizontal="left"/>
    </xf>
    <xf numFmtId="3" fontId="19" fillId="2" borderId="0" xfId="2" applyNumberFormat="1" applyFont="1" applyFill="1" applyAlignment="1">
      <alignment horizontal="right"/>
    </xf>
    <xf numFmtId="3" fontId="19" fillId="2" borderId="0" xfId="2" applyNumberFormat="1" applyFont="1" applyFill="1"/>
    <xf numFmtId="0" fontId="19" fillId="2" borderId="0" xfId="2" applyFont="1" applyFill="1"/>
    <xf numFmtId="0" fontId="19" fillId="2" borderId="1" xfId="2" applyFont="1" applyFill="1" applyBorder="1" applyAlignment="1">
      <alignment horizontal="right"/>
    </xf>
    <xf numFmtId="0" fontId="26" fillId="2" borderId="0" xfId="2" applyFont="1" applyFill="1"/>
    <xf numFmtId="0" fontId="18" fillId="2" borderId="0" xfId="2" applyFont="1" applyFill="1"/>
    <xf numFmtId="0" fontId="18" fillId="2" borderId="0" xfId="2" applyFont="1" applyFill="1" applyAlignment="1">
      <alignment horizontal="right"/>
    </xf>
    <xf numFmtId="0" fontId="18" fillId="0" borderId="0" xfId="2" applyFont="1"/>
    <xf numFmtId="0" fontId="27" fillId="2" borderId="0" xfId="2" applyFont="1" applyFill="1"/>
    <xf numFmtId="0" fontId="27" fillId="2" borderId="0" xfId="2" applyFont="1" applyFill="1" applyAlignment="1">
      <alignment horizontal="right" wrapText="1"/>
    </xf>
    <xf numFmtId="0" fontId="27" fillId="2" borderId="1" xfId="2" applyFont="1" applyFill="1" applyBorder="1" applyAlignment="1">
      <alignment wrapText="1"/>
    </xf>
    <xf numFmtId="0" fontId="27" fillId="2" borderId="1" xfId="2" applyFont="1" applyFill="1" applyBorder="1" applyAlignment="1">
      <alignment horizontal="left" wrapText="1"/>
    </xf>
    <xf numFmtId="0" fontId="27" fillId="2" borderId="1" xfId="2" applyFont="1" applyFill="1" applyBorder="1" applyAlignment="1">
      <alignment horizontal="right" wrapText="1"/>
    </xf>
    <xf numFmtId="0" fontId="27" fillId="0" borderId="1" xfId="2" applyFont="1" applyBorder="1" applyAlignment="1">
      <alignment wrapText="1"/>
    </xf>
    <xf numFmtId="0" fontId="28" fillId="2" borderId="1" xfId="2" applyFont="1" applyFill="1" applyBorder="1" applyAlignment="1">
      <alignment horizontal="left" wrapText="1"/>
    </xf>
    <xf numFmtId="0" fontId="27" fillId="2" borderId="1" xfId="2" applyFont="1" applyFill="1" applyBorder="1"/>
    <xf numFmtId="0" fontId="27" fillId="0" borderId="1" xfId="2" applyFont="1" applyBorder="1" applyAlignment="1">
      <alignment horizontal="right"/>
    </xf>
    <xf numFmtId="3" fontId="27" fillId="0" borderId="1" xfId="2" applyNumberFormat="1" applyFont="1" applyBorder="1" applyAlignment="1">
      <alignment horizontal="center"/>
    </xf>
    <xf numFmtId="0" fontId="27" fillId="2" borderId="1" xfId="0" applyFont="1" applyFill="1" applyBorder="1" applyAlignment="1">
      <alignment horizontal="left" vertical="top"/>
    </xf>
    <xf numFmtId="0" fontId="27" fillId="2" borderId="1" xfId="0" applyFont="1" applyFill="1" applyBorder="1" applyAlignment="1">
      <alignment horizontal="right"/>
    </xf>
    <xf numFmtId="0" fontId="27" fillId="2" borderId="1" xfId="0" applyFont="1" applyFill="1" applyBorder="1"/>
    <xf numFmtId="0" fontId="27" fillId="0" borderId="1" xfId="2" applyFont="1" applyBorder="1" applyAlignment="1">
      <alignment horizontal="left"/>
    </xf>
    <xf numFmtId="0" fontId="27" fillId="0" borderId="1" xfId="3" applyNumberFormat="1" applyFont="1" applyBorder="1" applyAlignment="1">
      <alignment horizontal="left"/>
    </xf>
    <xf numFmtId="0" fontId="29" fillId="0" borderId="1" xfId="0" applyFont="1" applyBorder="1" applyAlignment="1">
      <alignment horizontal="right"/>
    </xf>
    <xf numFmtId="0" fontId="27" fillId="0" borderId="1" xfId="0" applyFont="1" applyBorder="1" applyAlignment="1">
      <alignment horizontal="left" vertical="top"/>
    </xf>
    <xf numFmtId="43" fontId="27" fillId="2" borderId="1" xfId="1" applyFont="1" applyFill="1" applyBorder="1" applyAlignment="1"/>
    <xf numFmtId="43" fontId="27" fillId="0" borderId="1" xfId="1" applyFont="1" applyFill="1" applyBorder="1" applyAlignment="1">
      <alignment horizontal="center" vertical="top"/>
    </xf>
    <xf numFmtId="0" fontId="27" fillId="0" borderId="1" xfId="0" applyFont="1" applyBorder="1" applyAlignment="1">
      <alignment vertical="top"/>
    </xf>
    <xf numFmtId="0" fontId="27" fillId="0" borderId="1" xfId="0" applyFont="1" applyBorder="1" applyAlignment="1">
      <alignment horizontal="left"/>
    </xf>
    <xf numFmtId="43" fontId="27" fillId="0" borderId="1" xfId="1" applyFont="1" applyFill="1" applyBorder="1" applyAlignment="1">
      <alignment horizontal="center"/>
    </xf>
    <xf numFmtId="0" fontId="27" fillId="0" borderId="1" xfId="0" applyFont="1" applyBorder="1" applyAlignment="1">
      <alignment horizontal="left" vertical="center"/>
    </xf>
    <xf numFmtId="0" fontId="27" fillId="0" borderId="1" xfId="0" applyFont="1" applyBorder="1" applyAlignment="1">
      <alignment horizontal="center"/>
    </xf>
    <xf numFmtId="0" fontId="27" fillId="0" borderId="1" xfId="3" applyNumberFormat="1" applyFont="1" applyBorder="1" applyAlignment="1">
      <alignment horizontal="center" vertical="top"/>
    </xf>
    <xf numFmtId="43" fontId="28" fillId="0" borderId="1" xfId="1" applyFont="1" applyFill="1" applyBorder="1" applyAlignment="1"/>
    <xf numFmtId="0" fontId="27" fillId="0" borderId="1" xfId="0" applyFont="1" applyBorder="1"/>
    <xf numFmtId="0" fontId="27" fillId="0" borderId="1" xfId="0" applyFont="1" applyBorder="1" applyAlignment="1">
      <alignment horizontal="right" vertical="center"/>
    </xf>
    <xf numFmtId="0" fontId="27" fillId="2" borderId="1" xfId="0" applyFont="1" applyFill="1" applyBorder="1" applyAlignment="1">
      <alignment horizontal="left"/>
    </xf>
    <xf numFmtId="0" fontId="27" fillId="2" borderId="1" xfId="2" applyFont="1" applyFill="1" applyBorder="1" applyAlignment="1">
      <alignment horizontal="left"/>
    </xf>
    <xf numFmtId="0" fontId="27" fillId="2" borderId="6" xfId="0" applyFont="1" applyFill="1" applyBorder="1" applyAlignment="1">
      <alignment horizontal="left" vertical="top"/>
    </xf>
    <xf numFmtId="0" fontId="27" fillId="2" borderId="8" xfId="0" applyFont="1" applyFill="1" applyBorder="1" applyAlignment="1">
      <alignment horizontal="left" wrapText="1"/>
    </xf>
    <xf numFmtId="0" fontId="27" fillId="2" borderId="8" xfId="0" applyFont="1" applyFill="1" applyBorder="1" applyAlignment="1">
      <alignment horizontal="left"/>
    </xf>
    <xf numFmtId="0" fontId="27" fillId="0" borderId="6" xfId="0" applyFont="1" applyBorder="1" applyAlignment="1">
      <alignment horizontal="left" vertical="top"/>
    </xf>
    <xf numFmtId="0" fontId="27" fillId="0" borderId="1" xfId="2" applyFont="1" applyBorder="1" applyAlignment="1">
      <alignment horizontal="left" vertical="center"/>
    </xf>
    <xf numFmtId="0" fontId="27" fillId="2" borderId="1" xfId="0" applyFont="1" applyFill="1" applyBorder="1" applyAlignment="1">
      <alignment vertical="top"/>
    </xf>
    <xf numFmtId="43" fontId="27" fillId="2" borderId="1" xfId="1" applyFont="1" applyFill="1" applyBorder="1" applyAlignment="1">
      <alignment horizontal="left"/>
    </xf>
    <xf numFmtId="2" fontId="27" fillId="2" borderId="1" xfId="0" applyNumberFormat="1" applyFont="1" applyFill="1" applyBorder="1" applyAlignment="1">
      <alignment vertical="top"/>
    </xf>
    <xf numFmtId="0" fontId="27" fillId="0" borderId="1" xfId="2" applyFont="1" applyBorder="1" applyAlignment="1">
      <alignment vertical="center"/>
    </xf>
    <xf numFmtId="0" fontId="27" fillId="0" borderId="2" xfId="0" applyFont="1" applyBorder="1" applyAlignment="1">
      <alignment vertical="top"/>
    </xf>
    <xf numFmtId="0" fontId="27" fillId="0" borderId="2" xfId="0" applyFont="1" applyBorder="1" applyAlignment="1">
      <alignment horizontal="left"/>
    </xf>
    <xf numFmtId="0" fontId="27" fillId="0" borderId="2" xfId="0" applyFont="1" applyBorder="1" applyAlignment="1">
      <alignment horizontal="left" vertical="top"/>
    </xf>
    <xf numFmtId="43" fontId="30" fillId="0" borderId="7" xfId="1" applyFont="1" applyFill="1" applyBorder="1" applyAlignment="1">
      <alignment horizontal="center"/>
    </xf>
    <xf numFmtId="0" fontId="27" fillId="0" borderId="9" xfId="0" applyFont="1" applyBorder="1" applyAlignment="1">
      <alignment vertical="top"/>
    </xf>
    <xf numFmtId="0" fontId="27" fillId="0" borderId="6" xfId="2" applyFont="1" applyBorder="1" applyAlignment="1">
      <alignment horizontal="left" vertical="center"/>
    </xf>
    <xf numFmtId="0" fontId="27" fillId="0" borderId="6" xfId="2" applyFont="1" applyBorder="1" applyAlignment="1">
      <alignment vertical="center"/>
    </xf>
    <xf numFmtId="0" fontId="27" fillId="0" borderId="9" xfId="0" applyFont="1" applyBorder="1" applyAlignment="1">
      <alignment horizontal="left" vertical="top"/>
    </xf>
    <xf numFmtId="43" fontId="31" fillId="0" borderId="10" xfId="1" applyFont="1" applyFill="1" applyBorder="1" applyAlignment="1">
      <alignment horizontal="center"/>
    </xf>
    <xf numFmtId="0" fontId="27" fillId="0" borderId="6" xfId="2" applyFont="1" applyBorder="1" applyAlignment="1">
      <alignment vertical="center" wrapText="1"/>
    </xf>
    <xf numFmtId="0" fontId="28" fillId="0" borderId="6" xfId="2" applyFont="1" applyBorder="1" applyAlignment="1">
      <alignment horizontal="left" vertical="center"/>
    </xf>
    <xf numFmtId="43" fontId="27" fillId="0" borderId="6" xfId="1" applyFont="1" applyFill="1" applyBorder="1" applyAlignment="1">
      <alignment vertical="center"/>
    </xf>
    <xf numFmtId="3" fontId="27" fillId="0" borderId="1" xfId="2" applyNumberFormat="1" applyFont="1" applyBorder="1"/>
    <xf numFmtId="0" fontId="27" fillId="0" borderId="1" xfId="3" applyNumberFormat="1" applyFont="1" applyBorder="1" applyAlignment="1">
      <alignment horizontal="left" vertical="top"/>
    </xf>
    <xf numFmtId="0" fontId="27" fillId="0" borderId="8" xfId="0" applyFont="1" applyBorder="1" applyAlignment="1">
      <alignment horizontal="left"/>
    </xf>
    <xf numFmtId="43" fontId="28" fillId="0" borderId="1" xfId="1" applyFont="1" applyFill="1" applyBorder="1" applyAlignment="1">
      <alignment horizontal="center" vertical="top"/>
    </xf>
    <xf numFmtId="0" fontId="27" fillId="0" borderId="2" xfId="0" applyFont="1" applyBorder="1" applyAlignment="1">
      <alignment horizontal="center" vertical="top"/>
    </xf>
    <xf numFmtId="43" fontId="27" fillId="0" borderId="7" xfId="1" applyFont="1" applyFill="1" applyBorder="1" applyAlignment="1">
      <alignment horizontal="center" vertical="top"/>
    </xf>
    <xf numFmtId="0" fontId="27" fillId="0" borderId="0" xfId="2" applyFont="1" applyAlignment="1">
      <alignment horizontal="left"/>
    </xf>
    <xf numFmtId="0" fontId="27" fillId="0" borderId="0" xfId="2" applyFont="1" applyAlignment="1">
      <alignment vertical="center" wrapText="1"/>
    </xf>
    <xf numFmtId="0" fontId="27" fillId="0" borderId="0" xfId="2" applyFont="1" applyAlignment="1">
      <alignment vertical="center"/>
    </xf>
    <xf numFmtId="0" fontId="27" fillId="0" borderId="0" xfId="2" applyFont="1" applyAlignment="1">
      <alignment horizontal="right" vertical="center"/>
    </xf>
    <xf numFmtId="3" fontId="27" fillId="0" borderId="0" xfId="2" applyNumberFormat="1" applyFont="1" applyAlignment="1">
      <alignment vertical="center"/>
    </xf>
    <xf numFmtId="0" fontId="27" fillId="0" borderId="0" xfId="2" applyFont="1" applyAlignment="1">
      <alignment wrapText="1"/>
    </xf>
    <xf numFmtId="0" fontId="27" fillId="0" borderId="0" xfId="2" applyFont="1"/>
    <xf numFmtId="0" fontId="27" fillId="2" borderId="0" xfId="2" applyFont="1" applyFill="1" applyAlignment="1">
      <alignment horizontal="right"/>
    </xf>
    <xf numFmtId="3" fontId="27" fillId="2" borderId="0" xfId="2" applyNumberFormat="1" applyFont="1" applyFill="1" applyAlignment="1">
      <alignment horizontal="right"/>
    </xf>
    <xf numFmtId="0" fontId="27" fillId="2" borderId="0" xfId="2" applyFont="1" applyFill="1" applyAlignment="1">
      <alignment horizontal="left"/>
    </xf>
    <xf numFmtId="3" fontId="27" fillId="2" borderId="0" xfId="2" applyNumberFormat="1" applyFont="1" applyFill="1"/>
    <xf numFmtId="0" fontId="27" fillId="2" borderId="1" xfId="2" applyFont="1" applyFill="1" applyBorder="1" applyAlignment="1">
      <alignment horizontal="right"/>
    </xf>
    <xf numFmtId="2" fontId="27" fillId="0" borderId="1" xfId="0" applyNumberFormat="1" applyFont="1" applyBorder="1" applyAlignment="1">
      <alignment horizontal="right"/>
    </xf>
    <xf numFmtId="9" fontId="27" fillId="2" borderId="1" xfId="2" applyNumberFormat="1" applyFont="1" applyFill="1" applyBorder="1" applyAlignment="1">
      <alignment wrapText="1"/>
    </xf>
    <xf numFmtId="4" fontId="27" fillId="0" borderId="0" xfId="0" applyNumberFormat="1" applyFont="1" applyAlignment="1">
      <alignment horizontal="right"/>
    </xf>
    <xf numFmtId="9" fontId="27" fillId="2" borderId="1" xfId="2" applyNumberFormat="1" applyFont="1" applyFill="1" applyBorder="1"/>
    <xf numFmtId="0" fontId="27" fillId="0" borderId="0" xfId="2" applyFont="1" applyAlignment="1">
      <alignment horizontal="right"/>
    </xf>
    <xf numFmtId="4" fontId="27" fillId="2" borderId="1" xfId="2" applyNumberFormat="1" applyFont="1" applyFill="1" applyBorder="1" applyAlignment="1">
      <alignment horizontal="right"/>
    </xf>
    <xf numFmtId="0" fontId="27" fillId="0" borderId="9" xfId="0" applyFont="1" applyBorder="1"/>
    <xf numFmtId="0" fontId="0" fillId="2" borderId="0" xfId="2" applyFont="1" applyFill="1"/>
    <xf numFmtId="0" fontId="0" fillId="2" borderId="0" xfId="2" applyFont="1" applyFill="1" applyAlignment="1">
      <alignment horizontal="right"/>
    </xf>
    <xf numFmtId="0" fontId="0" fillId="2" borderId="0" xfId="2" applyFont="1" applyFill="1" applyAlignment="1">
      <alignment horizontal="right" wrapText="1"/>
    </xf>
    <xf numFmtId="0" fontId="0" fillId="0" borderId="1" xfId="2" applyFont="1" applyBorder="1" applyAlignment="1">
      <alignment wrapText="1"/>
    </xf>
    <xf numFmtId="0" fontId="0" fillId="2" borderId="1" xfId="2" applyFont="1" applyFill="1" applyBorder="1" applyAlignment="1">
      <alignment wrapText="1"/>
    </xf>
    <xf numFmtId="0" fontId="0" fillId="2" borderId="1" xfId="2" applyFont="1" applyFill="1" applyBorder="1"/>
    <xf numFmtId="0" fontId="0" fillId="0" borderId="1" xfId="2" applyFont="1" applyBorder="1" applyAlignment="1">
      <alignment horizontal="right"/>
    </xf>
    <xf numFmtId="3" fontId="0" fillId="0" borderId="1" xfId="2" applyNumberFormat="1" applyFont="1" applyBorder="1" applyAlignment="1">
      <alignment horizontal="center"/>
    </xf>
    <xf numFmtId="0" fontId="7" fillId="0" borderId="1" xfId="4" applyNumberFormat="1" applyFont="1" applyBorder="1" applyAlignment="1">
      <alignment horizontal="left"/>
    </xf>
    <xf numFmtId="165" fontId="0" fillId="0" borderId="1" xfId="3" applyFont="1" applyBorder="1" applyAlignment="1">
      <alignment horizontal="left"/>
    </xf>
    <xf numFmtId="165" fontId="0" fillId="0" borderId="1" xfId="3" applyFont="1" applyBorder="1"/>
    <xf numFmtId="0" fontId="0" fillId="2" borderId="1" xfId="2" applyFont="1" applyFill="1" applyBorder="1" applyAlignment="1">
      <alignment horizontal="left" wrapText="1"/>
    </xf>
    <xf numFmtId="0" fontId="7" fillId="0" borderId="1" xfId="4" applyNumberFormat="1" applyFont="1" applyBorder="1" applyAlignment="1">
      <alignment horizontal="left" vertical="top"/>
    </xf>
    <xf numFmtId="0" fontId="0" fillId="0" borderId="1" xfId="0" applyBorder="1" applyAlignment="1">
      <alignment horizontal="left" vertical="center"/>
    </xf>
    <xf numFmtId="0" fontId="34" fillId="2" borderId="3" xfId="2" applyFont="1" applyFill="1" applyBorder="1" applyAlignment="1">
      <alignment wrapText="1"/>
    </xf>
    <xf numFmtId="0" fontId="34" fillId="2" borderId="3" xfId="2" applyFont="1" applyFill="1" applyBorder="1" applyAlignment="1">
      <alignment horizontal="left"/>
    </xf>
    <xf numFmtId="0" fontId="34" fillId="2" borderId="3" xfId="2" applyFont="1" applyFill="1" applyBorder="1"/>
    <xf numFmtId="0" fontId="34" fillId="2" borderId="3" xfId="2" applyFont="1" applyFill="1" applyBorder="1" applyAlignment="1">
      <alignment horizontal="right"/>
    </xf>
    <xf numFmtId="0" fontId="35" fillId="2" borderId="1" xfId="0" applyFont="1" applyFill="1" applyBorder="1" applyAlignment="1">
      <alignment horizontal="left" vertical="top"/>
    </xf>
    <xf numFmtId="0" fontId="36" fillId="2" borderId="8" xfId="0" applyFont="1" applyFill="1" applyBorder="1" applyAlignment="1">
      <alignment horizontal="left" wrapText="1"/>
    </xf>
    <xf numFmtId="0" fontId="37" fillId="2" borderId="1" xfId="0" applyFont="1" applyFill="1" applyBorder="1" applyAlignment="1">
      <alignment vertical="top"/>
    </xf>
    <xf numFmtId="0" fontId="35" fillId="2" borderId="1" xfId="0" applyFont="1" applyFill="1" applyBorder="1" applyAlignment="1">
      <alignment vertical="top"/>
    </xf>
    <xf numFmtId="3" fontId="38" fillId="2" borderId="1" xfId="0" applyNumberFormat="1" applyFont="1" applyFill="1" applyBorder="1"/>
    <xf numFmtId="0" fontId="37" fillId="2" borderId="1" xfId="0" applyFont="1" applyFill="1" applyBorder="1" applyAlignment="1">
      <alignment horizontal="left" vertical="top"/>
    </xf>
    <xf numFmtId="0" fontId="39" fillId="2" borderId="8" xfId="0" applyFont="1" applyFill="1" applyBorder="1" applyAlignment="1">
      <alignment horizontal="left"/>
    </xf>
    <xf numFmtId="0" fontId="40" fillId="2" borderId="8" xfId="0" applyFont="1" applyFill="1" applyBorder="1" applyAlignment="1">
      <alignment horizontal="left"/>
    </xf>
    <xf numFmtId="0" fontId="40" fillId="2" borderId="1" xfId="0" applyFont="1" applyFill="1" applyBorder="1"/>
    <xf numFmtId="0" fontId="37" fillId="0" borderId="1" xfId="0" applyFont="1" applyBorder="1" applyAlignment="1">
      <alignment horizontal="left" vertical="top"/>
    </xf>
    <xf numFmtId="0" fontId="39" fillId="0" borderId="1" xfId="0" applyFont="1" applyBorder="1" applyAlignment="1">
      <alignment horizontal="left"/>
    </xf>
    <xf numFmtId="0" fontId="37" fillId="0" borderId="1" xfId="0" applyFont="1" applyBorder="1" applyAlignment="1">
      <alignment vertical="top" wrapText="1"/>
    </xf>
    <xf numFmtId="0" fontId="35" fillId="0" borderId="1" xfId="0" applyFont="1" applyBorder="1" applyAlignment="1">
      <alignment vertical="top"/>
    </xf>
    <xf numFmtId="3" fontId="41" fillId="0" borderId="1" xfId="0" applyNumberFormat="1" applyFont="1" applyBorder="1"/>
    <xf numFmtId="0" fontId="39" fillId="0" borderId="8" xfId="0" applyFont="1" applyBorder="1" applyAlignment="1">
      <alignment horizontal="left"/>
    </xf>
    <xf numFmtId="0" fontId="40" fillId="2" borderId="1" xfId="0" applyFont="1" applyFill="1" applyBorder="1" applyAlignment="1">
      <alignment horizontal="left"/>
    </xf>
    <xf numFmtId="0" fontId="37" fillId="0" borderId="1" xfId="0" applyFont="1" applyBorder="1" applyAlignment="1">
      <alignment vertical="top"/>
    </xf>
    <xf numFmtId="165" fontId="0" fillId="0" borderId="1" xfId="3" applyFont="1" applyBorder="1" applyAlignment="1">
      <alignment horizontal="right"/>
    </xf>
    <xf numFmtId="0" fontId="6" fillId="0" borderId="1" xfId="0" applyFont="1" applyBorder="1" applyAlignment="1">
      <alignment vertical="top"/>
    </xf>
    <xf numFmtId="4" fontId="41" fillId="0" borderId="1" xfId="0" applyNumberFormat="1" applyFont="1" applyBorder="1"/>
    <xf numFmtId="0" fontId="39" fillId="0" borderId="1" xfId="0" applyFont="1" applyBorder="1"/>
    <xf numFmtId="0" fontId="40" fillId="0" borderId="1" xfId="0" applyFont="1" applyBorder="1"/>
    <xf numFmtId="0" fontId="39" fillId="0" borderId="1" xfId="0" applyFont="1" applyBorder="1" applyAlignment="1">
      <alignment wrapText="1"/>
    </xf>
    <xf numFmtId="0" fontId="40" fillId="0" borderId="1" xfId="0" applyFont="1" applyBorder="1" applyAlignment="1">
      <alignment horizontal="right"/>
    </xf>
    <xf numFmtId="165" fontId="7" fillId="0" borderId="1" xfId="3" applyFont="1" applyBorder="1" applyAlignment="1">
      <alignment horizontal="left"/>
    </xf>
    <xf numFmtId="0" fontId="0" fillId="0" borderId="1" xfId="2" applyFont="1" applyBorder="1" applyAlignment="1">
      <alignment horizontal="left"/>
    </xf>
    <xf numFmtId="0" fontId="0" fillId="2" borderId="1" xfId="2" applyFont="1" applyFill="1" applyBorder="1" applyAlignment="1">
      <alignment horizontal="left"/>
    </xf>
    <xf numFmtId="166" fontId="0" fillId="0" borderId="1" xfId="0" applyNumberFormat="1" applyBorder="1" applyAlignment="1">
      <alignment horizontal="center"/>
    </xf>
    <xf numFmtId="0" fontId="42" fillId="0" borderId="9" xfId="0" applyFont="1" applyBorder="1"/>
    <xf numFmtId="0" fontId="0" fillId="2" borderId="0" xfId="2" applyFont="1" applyFill="1" applyAlignment="1">
      <alignment wrapText="1"/>
    </xf>
    <xf numFmtId="0" fontId="0" fillId="2" borderId="0" xfId="2" applyFont="1" applyFill="1" applyAlignment="1">
      <alignment horizontal="left"/>
    </xf>
    <xf numFmtId="0" fontId="0" fillId="0" borderId="0" xfId="2" applyFont="1" applyAlignment="1">
      <alignment horizontal="right"/>
    </xf>
    <xf numFmtId="0" fontId="0" fillId="0" borderId="0" xfId="2" applyFont="1"/>
    <xf numFmtId="2" fontId="32" fillId="0" borderId="1" xfId="0" applyNumberFormat="1" applyFont="1" applyBorder="1" applyAlignment="1">
      <alignment horizontal="left"/>
    </xf>
    <xf numFmtId="0" fontId="43" fillId="2" borderId="3" xfId="2" applyFont="1" applyFill="1" applyBorder="1" applyAlignment="1">
      <alignment horizontal="left"/>
    </xf>
    <xf numFmtId="165" fontId="7" fillId="0" borderId="1" xfId="3" applyFont="1" applyBorder="1" applyAlignment="1">
      <alignment horizontal="right"/>
    </xf>
    <xf numFmtId="4" fontId="32" fillId="0" borderId="7" xfId="0" applyNumberFormat="1" applyFont="1" applyBorder="1" applyAlignment="1">
      <alignment horizontal="center"/>
    </xf>
    <xf numFmtId="43" fontId="33" fillId="0" borderId="7" xfId="1" applyFont="1" applyBorder="1" applyAlignment="1">
      <alignment horizontal="center"/>
    </xf>
    <xf numFmtId="0" fontId="19" fillId="3" borderId="0" xfId="2" applyFont="1" applyFill="1"/>
    <xf numFmtId="0" fontId="19" fillId="3" borderId="1" xfId="2" applyFont="1" applyFill="1" applyBorder="1" applyAlignment="1">
      <alignment horizontal="left" wrapText="1"/>
    </xf>
    <xf numFmtId="0" fontId="19" fillId="3" borderId="1" xfId="2" applyFont="1" applyFill="1" applyBorder="1" applyAlignment="1">
      <alignment wrapText="1"/>
    </xf>
    <xf numFmtId="0" fontId="0" fillId="3" borderId="1" xfId="2" applyFont="1" applyFill="1" applyBorder="1" applyAlignment="1">
      <alignment horizontal="right"/>
    </xf>
    <xf numFmtId="43" fontId="44" fillId="3" borderId="1" xfId="1" applyFont="1" applyFill="1" applyBorder="1"/>
    <xf numFmtId="9" fontId="0" fillId="3" borderId="1" xfId="2" applyNumberFormat="1" applyFont="1" applyFill="1" applyBorder="1" applyAlignment="1">
      <alignment wrapText="1"/>
    </xf>
    <xf numFmtId="0" fontId="0" fillId="3" borderId="1" xfId="2" applyFont="1" applyFill="1" applyBorder="1"/>
    <xf numFmtId="4" fontId="0" fillId="3" borderId="0" xfId="0" applyNumberFormat="1" applyFill="1" applyAlignment="1">
      <alignment horizontal="right"/>
    </xf>
    <xf numFmtId="9" fontId="0" fillId="3" borderId="1" xfId="2" applyNumberFormat="1" applyFont="1" applyFill="1" applyBorder="1"/>
    <xf numFmtId="0" fontId="19" fillId="3" borderId="1" xfId="2" applyFont="1" applyFill="1" applyBorder="1" applyAlignment="1">
      <alignment horizontal="right"/>
    </xf>
    <xf numFmtId="4" fontId="0" fillId="3" borderId="1" xfId="2" applyNumberFormat="1" applyFont="1" applyFill="1" applyBorder="1" applyAlignment="1">
      <alignment horizontal="right"/>
    </xf>
    <xf numFmtId="0" fontId="28" fillId="2" borderId="1" xfId="2" applyFont="1" applyFill="1" applyBorder="1" applyAlignment="1">
      <alignment horizontal="center"/>
    </xf>
  </cellXfs>
  <cellStyles count="5">
    <cellStyle name="Comma" xfId="1" builtinId="3"/>
    <cellStyle name="Excel Built-in Comma" xfId="3"/>
    <cellStyle name="Excel Built-in Comma 1" xfId="4"/>
    <cellStyle name="Excel Built-in Normal 1" xfId="2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eetMetadata" Target="metadata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H274"/>
  <sheetViews>
    <sheetView tabSelected="1" topLeftCell="A240" workbookViewId="0">
      <selection activeCell="A247" sqref="A247"/>
    </sheetView>
  </sheetViews>
  <sheetFormatPr defaultRowHeight="15"/>
  <cols>
    <col min="1" max="1" width="30.28515625" customWidth="1"/>
    <col min="2" max="2" width="31.28515625" customWidth="1"/>
    <col min="3" max="3" width="24.140625" customWidth="1"/>
    <col min="4" max="4" width="36.140625" customWidth="1"/>
    <col min="5" max="5" width="25" customWidth="1"/>
    <col min="6" max="6" width="22" customWidth="1"/>
    <col min="7" max="7" width="26" customWidth="1"/>
    <col min="8" max="8" width="24.85546875" customWidth="1"/>
  </cols>
  <sheetData>
    <row r="3" spans="1:7">
      <c r="A3" cm="1">
        <f t="array" aca="1" ref="A3" ca="1">A3:H281</f>
        <v>0</v>
      </c>
    </row>
    <row r="4" spans="1:7" ht="15.75">
      <c r="A4" s="1" t="s">
        <v>78</v>
      </c>
      <c r="B4" s="1"/>
      <c r="C4" s="2"/>
      <c r="D4" s="3"/>
      <c r="E4" s="3"/>
      <c r="F4" s="4"/>
      <c r="G4" s="3"/>
    </row>
    <row r="5" spans="1:7" ht="15.75">
      <c r="A5" s="1" t="s">
        <v>0</v>
      </c>
      <c r="B5" s="1"/>
      <c r="C5" s="5"/>
      <c r="D5" s="6"/>
      <c r="E5" s="3"/>
      <c r="F5" s="7"/>
      <c r="G5" s="3"/>
    </row>
    <row r="6" spans="1:7" ht="15.75">
      <c r="A6" s="1" t="s">
        <v>1</v>
      </c>
      <c r="B6" s="1"/>
      <c r="C6" s="5"/>
      <c r="D6" s="6"/>
      <c r="E6" s="3"/>
      <c r="F6" s="7"/>
      <c r="G6" s="3"/>
    </row>
    <row r="7" spans="1:7" ht="60">
      <c r="A7" s="8" t="s">
        <v>2</v>
      </c>
      <c r="B7" s="8" t="s">
        <v>3</v>
      </c>
      <c r="C7" s="9" t="s">
        <v>4</v>
      </c>
      <c r="D7" s="8" t="s">
        <v>5</v>
      </c>
      <c r="E7" s="8" t="s">
        <v>6</v>
      </c>
      <c r="F7" s="10" t="s">
        <v>7</v>
      </c>
      <c r="G7" s="8" t="s">
        <v>8</v>
      </c>
    </row>
    <row r="8" spans="1:7" ht="15.75">
      <c r="A8" s="56"/>
      <c r="B8" s="57"/>
      <c r="C8" s="58" t="s">
        <v>9</v>
      </c>
      <c r="D8" s="57"/>
      <c r="E8" s="59"/>
      <c r="F8" s="60"/>
      <c r="G8" s="61"/>
    </row>
    <row r="9" spans="1:7" ht="15.75">
      <c r="A9" s="18" t="s">
        <v>79</v>
      </c>
      <c r="B9" s="17" t="s">
        <v>10</v>
      </c>
      <c r="C9" s="18" t="s">
        <v>11</v>
      </c>
      <c r="D9" s="20" t="s">
        <v>53</v>
      </c>
      <c r="E9" s="18" t="s">
        <v>12</v>
      </c>
      <c r="F9" s="19">
        <v>134639</v>
      </c>
      <c r="G9" s="62">
        <v>4950</v>
      </c>
    </row>
    <row r="10" spans="1:7" ht="15.75">
      <c r="A10" s="18" t="s">
        <v>13</v>
      </c>
      <c r="B10" s="17" t="s">
        <v>14</v>
      </c>
      <c r="C10" s="20" t="s">
        <v>11</v>
      </c>
      <c r="D10" s="20" t="s">
        <v>15</v>
      </c>
      <c r="E10" s="20" t="s">
        <v>16</v>
      </c>
      <c r="F10" s="19">
        <v>134636</v>
      </c>
      <c r="G10" s="62">
        <v>20050</v>
      </c>
    </row>
    <row r="11" spans="1:7" ht="15.75">
      <c r="A11" s="18" t="s">
        <v>17</v>
      </c>
      <c r="B11" s="28" t="s">
        <v>18</v>
      </c>
      <c r="C11" s="18" t="s">
        <v>11</v>
      </c>
      <c r="D11" s="20" t="s">
        <v>19</v>
      </c>
      <c r="E11" s="18" t="s">
        <v>16</v>
      </c>
      <c r="F11" s="19">
        <v>134777</v>
      </c>
      <c r="G11" s="17">
        <v>261080</v>
      </c>
    </row>
    <row r="12" spans="1:7" ht="15.75">
      <c r="A12" s="20"/>
      <c r="B12" s="20"/>
      <c r="C12" s="18"/>
      <c r="D12" s="18"/>
      <c r="E12" s="18"/>
      <c r="F12" s="63"/>
      <c r="G12" s="64"/>
    </row>
    <row r="13" spans="1:7" ht="15.75">
      <c r="A13" s="18"/>
      <c r="B13" s="20"/>
      <c r="C13" s="18"/>
      <c r="D13" s="20"/>
      <c r="E13" s="18"/>
      <c r="F13" s="63"/>
      <c r="G13" s="65"/>
    </row>
    <row r="14" spans="1:7" ht="15.75">
      <c r="A14" s="18"/>
      <c r="B14" s="18"/>
      <c r="C14" s="66"/>
      <c r="D14" s="18"/>
      <c r="E14" s="59"/>
      <c r="F14" s="18"/>
      <c r="G14" s="67"/>
    </row>
    <row r="15" spans="1:7" ht="15.75">
      <c r="A15" s="68" t="s">
        <v>20</v>
      </c>
      <c r="B15" s="69"/>
      <c r="C15" s="66"/>
      <c r="D15" s="20"/>
      <c r="E15" s="59"/>
      <c r="F15" s="70"/>
      <c r="G15" s="71">
        <f>SUM(G9:G14)</f>
        <v>286080</v>
      </c>
    </row>
    <row r="16" spans="1:7" ht="15.75">
      <c r="A16" s="20"/>
      <c r="B16" s="72"/>
      <c r="C16" s="66"/>
      <c r="D16" s="20"/>
      <c r="E16" s="59"/>
      <c r="F16" s="73"/>
      <c r="G16" s="69"/>
    </row>
    <row r="17" spans="1:7" ht="15.75">
      <c r="A17" s="74"/>
      <c r="B17" s="75"/>
      <c r="C17" s="76" t="s">
        <v>21</v>
      </c>
      <c r="D17" s="75"/>
      <c r="E17" s="77"/>
      <c r="F17" s="78"/>
      <c r="G17" s="75"/>
    </row>
    <row r="18" spans="1:7" ht="15.75">
      <c r="A18" s="18" t="s">
        <v>22</v>
      </c>
      <c r="B18" s="18" t="s">
        <v>23</v>
      </c>
      <c r="C18" s="20" t="s">
        <v>11</v>
      </c>
      <c r="D18" s="20" t="s">
        <v>24</v>
      </c>
      <c r="E18" s="20" t="s">
        <v>16</v>
      </c>
      <c r="F18" s="19">
        <v>134771</v>
      </c>
      <c r="G18" s="17">
        <v>3600</v>
      </c>
    </row>
    <row r="19" spans="1:7" ht="15.75">
      <c r="A19" s="18" t="s">
        <v>22</v>
      </c>
      <c r="B19" s="18" t="s">
        <v>23</v>
      </c>
      <c r="C19" s="20" t="s">
        <v>11</v>
      </c>
      <c r="D19" s="20" t="s">
        <v>25</v>
      </c>
      <c r="E19" s="20" t="s">
        <v>16</v>
      </c>
      <c r="F19" s="19">
        <v>134776</v>
      </c>
      <c r="G19" s="17">
        <v>93800</v>
      </c>
    </row>
    <row r="20" spans="1:7" ht="15.75">
      <c r="A20" s="18" t="s">
        <v>26</v>
      </c>
      <c r="B20" s="17" t="s">
        <v>27</v>
      </c>
      <c r="C20" s="20" t="s">
        <v>11</v>
      </c>
      <c r="D20" s="18" t="s">
        <v>15</v>
      </c>
      <c r="E20" s="20" t="s">
        <v>16</v>
      </c>
      <c r="F20" s="19">
        <v>134635</v>
      </c>
      <c r="G20" s="19">
        <v>38700</v>
      </c>
    </row>
    <row r="21" spans="1:7" ht="15.75">
      <c r="A21" s="18" t="s">
        <v>22</v>
      </c>
      <c r="B21" s="18" t="s">
        <v>23</v>
      </c>
      <c r="C21" s="20" t="s">
        <v>11</v>
      </c>
      <c r="D21" s="20" t="s">
        <v>15</v>
      </c>
      <c r="E21" s="20" t="s">
        <v>16</v>
      </c>
      <c r="F21" s="19">
        <v>134754</v>
      </c>
      <c r="G21" s="17">
        <v>68500</v>
      </c>
    </row>
    <row r="22" spans="1:7" ht="15.75">
      <c r="A22" s="18" t="s">
        <v>22</v>
      </c>
      <c r="B22" s="18" t="s">
        <v>23</v>
      </c>
      <c r="C22" s="20" t="s">
        <v>11</v>
      </c>
      <c r="D22" s="20" t="s">
        <v>15</v>
      </c>
      <c r="E22" s="20" t="s">
        <v>16</v>
      </c>
      <c r="F22" s="19">
        <v>134764</v>
      </c>
      <c r="G22" s="17">
        <v>17600</v>
      </c>
    </row>
    <row r="23" spans="1:7" ht="15.75">
      <c r="A23" s="18" t="s">
        <v>22</v>
      </c>
      <c r="B23" s="18" t="s">
        <v>23</v>
      </c>
      <c r="C23" s="20" t="s">
        <v>11</v>
      </c>
      <c r="D23" s="20" t="s">
        <v>15</v>
      </c>
      <c r="E23" s="20" t="s">
        <v>16</v>
      </c>
      <c r="F23" s="19">
        <v>134760</v>
      </c>
      <c r="G23" s="17">
        <v>87200</v>
      </c>
    </row>
    <row r="24" spans="1:7" ht="15.75">
      <c r="A24" s="18" t="s">
        <v>28</v>
      </c>
      <c r="B24" s="18" t="s">
        <v>29</v>
      </c>
      <c r="C24" s="20" t="s">
        <v>30</v>
      </c>
      <c r="D24" s="20" t="s">
        <v>31</v>
      </c>
      <c r="E24" s="20" t="s">
        <v>16</v>
      </c>
      <c r="F24" s="19">
        <v>134756</v>
      </c>
      <c r="G24" s="17">
        <v>349700</v>
      </c>
    </row>
    <row r="25" spans="1:7" ht="15.75">
      <c r="A25" s="18" t="s">
        <v>28</v>
      </c>
      <c r="B25" s="20" t="s">
        <v>29</v>
      </c>
      <c r="C25" s="18" t="s">
        <v>30</v>
      </c>
      <c r="D25" s="20" t="s">
        <v>32</v>
      </c>
      <c r="E25" s="18" t="s">
        <v>16</v>
      </c>
      <c r="F25" s="19">
        <v>134641</v>
      </c>
      <c r="G25" s="27">
        <v>226465</v>
      </c>
    </row>
    <row r="26" spans="1:7" ht="15.75">
      <c r="A26" s="18" t="s">
        <v>33</v>
      </c>
      <c r="B26" s="28" t="s">
        <v>34</v>
      </c>
      <c r="C26" s="18" t="s">
        <v>11</v>
      </c>
      <c r="D26" s="20" t="s">
        <v>19</v>
      </c>
      <c r="E26" s="18" t="s">
        <v>16</v>
      </c>
      <c r="F26" s="19">
        <v>134769</v>
      </c>
      <c r="G26" s="17">
        <v>162011</v>
      </c>
    </row>
    <row r="27" spans="1:7" ht="15.75">
      <c r="A27" s="18" t="s">
        <v>35</v>
      </c>
      <c r="B27" s="28" t="s">
        <v>36</v>
      </c>
      <c r="C27" s="18" t="s">
        <v>11</v>
      </c>
      <c r="D27" s="20" t="s">
        <v>19</v>
      </c>
      <c r="E27" s="18" t="s">
        <v>16</v>
      </c>
      <c r="F27" s="19">
        <v>134770</v>
      </c>
      <c r="G27" s="17">
        <v>126538</v>
      </c>
    </row>
    <row r="28" spans="1:7" ht="15.75">
      <c r="A28" s="29" t="s">
        <v>37</v>
      </c>
      <c r="B28" s="79" t="s">
        <v>38</v>
      </c>
      <c r="C28" s="29" t="s">
        <v>11</v>
      </c>
      <c r="D28" s="30" t="s">
        <v>19</v>
      </c>
      <c r="E28" s="29" t="s">
        <v>16</v>
      </c>
      <c r="F28" s="80">
        <v>134778</v>
      </c>
      <c r="G28" s="81">
        <v>68100</v>
      </c>
    </row>
    <row r="29" spans="1:7" ht="15.75">
      <c r="A29" s="33" t="s">
        <v>39</v>
      </c>
      <c r="B29" s="31" t="s">
        <v>40</v>
      </c>
      <c r="C29" s="36" t="s">
        <v>11</v>
      </c>
      <c r="D29" s="32" t="s">
        <v>41</v>
      </c>
      <c r="E29" s="33" t="s">
        <v>16</v>
      </c>
      <c r="F29" s="34" t="s">
        <v>42</v>
      </c>
      <c r="G29" s="31">
        <v>101300</v>
      </c>
    </row>
    <row r="30" spans="1:7" ht="15.75">
      <c r="A30" s="33" t="s">
        <v>39</v>
      </c>
      <c r="B30" s="31" t="s">
        <v>40</v>
      </c>
      <c r="C30" s="36" t="s">
        <v>11</v>
      </c>
      <c r="D30" s="32" t="s">
        <v>43</v>
      </c>
      <c r="E30" s="33" t="s">
        <v>16</v>
      </c>
      <c r="F30" s="34" t="s">
        <v>42</v>
      </c>
      <c r="G30" s="31">
        <v>76452</v>
      </c>
    </row>
    <row r="31" spans="1:7" ht="15.75">
      <c r="A31" s="33" t="s">
        <v>39</v>
      </c>
      <c r="B31" s="31" t="s">
        <v>40</v>
      </c>
      <c r="C31" s="33" t="s">
        <v>11</v>
      </c>
      <c r="D31" s="32" t="s">
        <v>44</v>
      </c>
      <c r="E31" s="33" t="s">
        <v>16</v>
      </c>
      <c r="F31" s="34" t="s">
        <v>42</v>
      </c>
      <c r="G31" s="31">
        <v>74250</v>
      </c>
    </row>
    <row r="32" spans="1:7" ht="15.75">
      <c r="A32" s="36" t="s">
        <v>45</v>
      </c>
      <c r="B32" s="36" t="s">
        <v>46</v>
      </c>
      <c r="C32" s="35" t="s">
        <v>30</v>
      </c>
      <c r="D32" s="36" t="s">
        <v>47</v>
      </c>
      <c r="E32" s="33" t="s">
        <v>16</v>
      </c>
      <c r="F32" s="37" t="s">
        <v>42</v>
      </c>
      <c r="G32" s="36">
        <v>6400</v>
      </c>
    </row>
    <row r="33" spans="1:7" ht="15.75">
      <c r="A33" s="36" t="s">
        <v>45</v>
      </c>
      <c r="B33" s="36" t="s">
        <v>46</v>
      </c>
      <c r="C33" s="36" t="s">
        <v>30</v>
      </c>
      <c r="D33" s="36" t="s">
        <v>48</v>
      </c>
      <c r="E33" s="33" t="s">
        <v>16</v>
      </c>
      <c r="F33" s="37" t="s">
        <v>42</v>
      </c>
      <c r="G33" s="31">
        <v>6400</v>
      </c>
    </row>
    <row r="34" spans="1:7" ht="15.75">
      <c r="A34" s="36" t="s">
        <v>45</v>
      </c>
      <c r="B34" s="36" t="s">
        <v>46</v>
      </c>
      <c r="C34" s="35" t="s">
        <v>30</v>
      </c>
      <c r="D34" s="36" t="s">
        <v>49</v>
      </c>
      <c r="E34" s="33" t="s">
        <v>16</v>
      </c>
      <c r="F34" s="37" t="s">
        <v>42</v>
      </c>
      <c r="G34" s="31">
        <v>6400</v>
      </c>
    </row>
    <row r="35" spans="1:7" ht="15.75">
      <c r="A35" s="36"/>
      <c r="B35" s="36"/>
      <c r="C35" s="35"/>
      <c r="D35" s="36"/>
      <c r="E35" s="33"/>
      <c r="F35" s="37"/>
      <c r="G35" s="31"/>
    </row>
    <row r="36" spans="1:7" ht="15.75">
      <c r="A36" s="82"/>
      <c r="B36" s="82"/>
      <c r="C36" s="83"/>
      <c r="D36" s="82"/>
      <c r="E36" s="82"/>
      <c r="F36" s="83"/>
      <c r="G36" s="84"/>
    </row>
    <row r="37" spans="1:7" ht="18">
      <c r="A37" s="85" t="s">
        <v>20</v>
      </c>
      <c r="B37" s="86"/>
      <c r="C37" s="87"/>
      <c r="D37" s="88"/>
      <c r="E37" s="89"/>
      <c r="F37" s="28"/>
      <c r="G37" s="90">
        <f>SUM(G18:G36)</f>
        <v>1513416</v>
      </c>
    </row>
    <row r="38" spans="1:7" ht="18">
      <c r="A38" s="91"/>
      <c r="B38" s="18"/>
      <c r="C38" s="92" t="s">
        <v>50</v>
      </c>
      <c r="D38" s="93"/>
      <c r="E38" s="93"/>
      <c r="F38" s="94"/>
      <c r="G38" s="95"/>
    </row>
    <row r="39" spans="1:7" ht="15.75">
      <c r="A39" s="18" t="s">
        <v>51</v>
      </c>
      <c r="B39" s="17" t="s">
        <v>52</v>
      </c>
      <c r="C39" s="18" t="s">
        <v>11</v>
      </c>
      <c r="D39" s="18" t="s">
        <v>53</v>
      </c>
      <c r="E39" s="18" t="s">
        <v>12</v>
      </c>
      <c r="F39" s="19">
        <v>134634</v>
      </c>
      <c r="G39" s="19">
        <v>33150</v>
      </c>
    </row>
    <row r="40" spans="1:7" ht="15.75">
      <c r="A40" s="18" t="s">
        <v>54</v>
      </c>
      <c r="B40" s="17" t="s">
        <v>52</v>
      </c>
      <c r="C40" s="18" t="s">
        <v>11</v>
      </c>
      <c r="D40" s="20" t="s">
        <v>55</v>
      </c>
      <c r="E40" s="18" t="s">
        <v>12</v>
      </c>
      <c r="F40" s="19">
        <v>134762</v>
      </c>
      <c r="G40" s="17">
        <v>12075</v>
      </c>
    </row>
    <row r="41" spans="1:7" ht="15.75">
      <c r="A41" s="18" t="s">
        <v>54</v>
      </c>
      <c r="B41" s="17" t="s">
        <v>52</v>
      </c>
      <c r="C41" s="18" t="s">
        <v>11</v>
      </c>
      <c r="D41" s="41" t="s">
        <v>56</v>
      </c>
      <c r="E41" s="18" t="s">
        <v>12</v>
      </c>
      <c r="F41" s="19">
        <v>134759</v>
      </c>
      <c r="G41" s="17">
        <v>18600</v>
      </c>
    </row>
    <row r="42" spans="1:7" ht="15.75">
      <c r="A42" s="39" t="s">
        <v>57</v>
      </c>
      <c r="B42" s="40" t="s">
        <v>58</v>
      </c>
      <c r="C42" s="18" t="s">
        <v>59</v>
      </c>
      <c r="D42" s="41" t="s">
        <v>60</v>
      </c>
      <c r="E42" s="18" t="s">
        <v>12</v>
      </c>
      <c r="F42" s="42" t="s">
        <v>42</v>
      </c>
      <c r="G42" s="96">
        <v>143900</v>
      </c>
    </row>
    <row r="43" spans="1:7" ht="15.75">
      <c r="A43" s="18" t="s">
        <v>61</v>
      </c>
      <c r="B43" s="36" t="s">
        <v>62</v>
      </c>
      <c r="C43" s="18" t="s">
        <v>11</v>
      </c>
      <c r="D43" s="20" t="s">
        <v>63</v>
      </c>
      <c r="E43" s="18" t="s">
        <v>12</v>
      </c>
      <c r="F43" s="19">
        <v>134780</v>
      </c>
      <c r="G43" s="17">
        <v>297700</v>
      </c>
    </row>
    <row r="44" spans="1:7" ht="15.75">
      <c r="A44" s="18"/>
      <c r="B44" s="18"/>
      <c r="C44" s="18"/>
      <c r="D44" s="20"/>
      <c r="E44" s="18"/>
      <c r="F44" s="63"/>
      <c r="G44" s="65"/>
    </row>
    <row r="45" spans="1:7" ht="18">
      <c r="A45" s="20"/>
      <c r="B45" s="97"/>
      <c r="C45" s="98"/>
      <c r="D45" s="20"/>
      <c r="E45" s="89"/>
      <c r="F45" s="99"/>
      <c r="G45" s="100"/>
    </row>
    <row r="46" spans="1:7" ht="18">
      <c r="A46" s="101" t="s">
        <v>20</v>
      </c>
      <c r="B46" s="28"/>
      <c r="C46" s="98"/>
      <c r="D46" s="28"/>
      <c r="E46" s="89"/>
      <c r="F46" s="102"/>
      <c r="G46" s="103">
        <f>SUM(G39:G45)</f>
        <v>505425</v>
      </c>
    </row>
    <row r="47" spans="1:7" ht="18">
      <c r="A47" s="104" t="s">
        <v>64</v>
      </c>
      <c r="B47" s="105"/>
      <c r="C47" s="106"/>
      <c r="D47" s="107"/>
      <c r="E47" s="108"/>
      <c r="F47" s="109"/>
      <c r="G47" s="110"/>
    </row>
    <row r="48" spans="1:7" ht="18">
      <c r="A48" s="104" t="s">
        <v>65</v>
      </c>
      <c r="B48" s="104"/>
      <c r="C48" s="106"/>
      <c r="D48" s="111"/>
      <c r="E48" s="108"/>
      <c r="F48" s="109"/>
      <c r="G48" s="110"/>
    </row>
    <row r="49" spans="1:7" ht="15.75">
      <c r="A49" s="111"/>
      <c r="B49" s="104"/>
      <c r="C49" s="112"/>
      <c r="D49" s="104"/>
      <c r="E49" s="113"/>
      <c r="F49" s="114"/>
      <c r="G49" s="115"/>
    </row>
    <row r="50" spans="1:7" ht="15.75">
      <c r="A50" s="116"/>
      <c r="B50" s="117" t="s">
        <v>66</v>
      </c>
      <c r="C50" s="118"/>
      <c r="D50" s="113"/>
      <c r="E50" s="113"/>
      <c r="F50" s="114"/>
      <c r="G50" s="119"/>
    </row>
    <row r="51" spans="1:7" ht="31.5">
      <c r="A51" s="120" t="s">
        <v>67</v>
      </c>
      <c r="B51" s="117" t="s">
        <v>68</v>
      </c>
      <c r="C51" s="58" t="s">
        <v>69</v>
      </c>
      <c r="D51" s="120" t="s">
        <v>70</v>
      </c>
      <c r="E51" s="120" t="s">
        <v>71</v>
      </c>
      <c r="F51" s="114"/>
      <c r="G51" s="119"/>
    </row>
    <row r="52" spans="1:7" ht="15.75">
      <c r="A52" s="57">
        <v>1</v>
      </c>
      <c r="B52" s="120" t="s">
        <v>9</v>
      </c>
      <c r="C52" s="121">
        <v>3</v>
      </c>
      <c r="D52" s="122">
        <v>286080</v>
      </c>
      <c r="E52" s="123">
        <v>0.12</v>
      </c>
      <c r="F52" s="114"/>
      <c r="G52" s="119"/>
    </row>
    <row r="53" spans="1:7" ht="15.75">
      <c r="A53" s="57">
        <v>2</v>
      </c>
      <c r="B53" s="59" t="s">
        <v>72</v>
      </c>
      <c r="C53" s="121">
        <v>17</v>
      </c>
      <c r="D53" s="124">
        <v>1513416</v>
      </c>
      <c r="E53" s="125">
        <v>0.66</v>
      </c>
      <c r="F53" s="126"/>
      <c r="G53" s="127"/>
    </row>
    <row r="54" spans="1:7" ht="15.75">
      <c r="A54" s="57">
        <v>3</v>
      </c>
      <c r="B54" s="59" t="s">
        <v>73</v>
      </c>
      <c r="C54" s="121">
        <v>5</v>
      </c>
      <c r="D54" s="124">
        <v>505425</v>
      </c>
      <c r="E54" s="125">
        <v>0.22</v>
      </c>
      <c r="F54" s="126"/>
      <c r="G54" s="127"/>
    </row>
    <row r="55" spans="1:7" ht="15.75">
      <c r="A55" s="57"/>
      <c r="B55" s="59" t="s">
        <v>74</v>
      </c>
      <c r="C55" s="128">
        <f>SUM(C52:C54)</f>
        <v>25</v>
      </c>
      <c r="D55" s="129">
        <f>SUM(D52:D54)</f>
        <v>2304921</v>
      </c>
      <c r="E55" s="125">
        <f>SUM(E52:E54)</f>
        <v>1</v>
      </c>
      <c r="F55" s="126"/>
      <c r="G55" s="127"/>
    </row>
    <row r="56" spans="1:7">
      <c r="A56" s="54"/>
      <c r="B56" s="54"/>
      <c r="C56" s="54"/>
      <c r="D56" s="54"/>
      <c r="E56" s="54"/>
      <c r="F56" s="54"/>
      <c r="G56" s="54"/>
    </row>
    <row r="57" spans="1:7">
      <c r="A57" s="54" t="s">
        <v>75</v>
      </c>
      <c r="B57" s="54"/>
      <c r="C57" s="54"/>
      <c r="D57" s="54" t="s">
        <v>76</v>
      </c>
      <c r="E57" s="54"/>
      <c r="F57" s="54"/>
      <c r="G57" s="54"/>
    </row>
    <row r="58" spans="1:7">
      <c r="A58" s="54"/>
      <c r="B58" s="54"/>
      <c r="C58" s="54"/>
      <c r="D58" s="54"/>
      <c r="E58" s="54"/>
      <c r="F58" s="54"/>
      <c r="G58" s="54"/>
    </row>
    <row r="59" spans="1:7">
      <c r="A59" s="54"/>
      <c r="B59" s="54"/>
      <c r="C59" s="54"/>
      <c r="D59" s="54"/>
      <c r="E59" s="54"/>
      <c r="F59" s="54"/>
      <c r="G59" s="54"/>
    </row>
    <row r="60" spans="1:7">
      <c r="A60" s="54" t="s">
        <v>77</v>
      </c>
      <c r="B60" s="54"/>
      <c r="C60" s="54"/>
      <c r="D60" s="54"/>
      <c r="E60" s="54"/>
      <c r="F60" s="54"/>
      <c r="G60" s="54"/>
    </row>
    <row r="61" spans="1:7">
      <c r="A61" s="54"/>
      <c r="B61" s="54"/>
      <c r="C61" s="54"/>
      <c r="D61" s="54"/>
      <c r="E61" s="54"/>
      <c r="F61" s="54"/>
      <c r="G61" s="54"/>
    </row>
    <row r="63" spans="1:7" ht="15.75">
      <c r="A63" s="117" t="s">
        <v>80</v>
      </c>
      <c r="B63" s="117"/>
      <c r="C63" s="130"/>
      <c r="D63" s="3"/>
      <c r="E63" s="3"/>
      <c r="F63" s="4"/>
      <c r="G63" s="3"/>
    </row>
    <row r="64" spans="1:7" ht="15.75">
      <c r="A64" s="117" t="s">
        <v>0</v>
      </c>
      <c r="B64" s="117"/>
      <c r="C64" s="118"/>
      <c r="D64" s="113"/>
      <c r="E64" s="3"/>
      <c r="F64" s="7"/>
      <c r="G64" s="3"/>
    </row>
    <row r="65" spans="1:7" ht="15.75">
      <c r="A65" s="117" t="s">
        <v>1</v>
      </c>
      <c r="B65" s="117"/>
      <c r="C65" s="118"/>
      <c r="D65" s="113"/>
      <c r="E65" s="3"/>
      <c r="F65" s="7"/>
      <c r="G65" s="3"/>
    </row>
    <row r="66" spans="1:7" ht="60">
      <c r="A66" s="131" t="s">
        <v>2</v>
      </c>
      <c r="B66" s="131" t="s">
        <v>3</v>
      </c>
      <c r="C66" s="132" t="s">
        <v>4</v>
      </c>
      <c r="D66" s="131" t="s">
        <v>5</v>
      </c>
      <c r="E66" s="131" t="s">
        <v>6</v>
      </c>
      <c r="F66" s="133" t="s">
        <v>7</v>
      </c>
      <c r="G66" s="131" t="s">
        <v>8</v>
      </c>
    </row>
    <row r="67" spans="1:7">
      <c r="A67" s="11"/>
      <c r="B67" s="12"/>
      <c r="C67" s="132" t="s">
        <v>9</v>
      </c>
      <c r="D67" s="12"/>
      <c r="E67" s="13"/>
      <c r="F67" s="14"/>
      <c r="G67" s="15"/>
    </row>
    <row r="68" spans="1:7" ht="15.75">
      <c r="A68" s="18"/>
      <c r="B68" s="18"/>
      <c r="C68" s="18"/>
      <c r="D68" s="20"/>
      <c r="E68" s="18"/>
      <c r="F68" s="63"/>
      <c r="G68" s="134"/>
    </row>
    <row r="69" spans="1:7" ht="15.75">
      <c r="A69" s="20"/>
      <c r="B69" s="43"/>
      <c r="C69" s="21"/>
      <c r="D69" s="20"/>
      <c r="E69" s="13"/>
      <c r="F69" s="136"/>
      <c r="G69" s="135"/>
    </row>
    <row r="70" spans="1:7" ht="15.75">
      <c r="A70" s="68" t="s">
        <v>20</v>
      </c>
      <c r="B70" s="22"/>
      <c r="C70" s="21"/>
      <c r="D70" s="20"/>
      <c r="E70" s="13"/>
      <c r="F70" s="70"/>
      <c r="G70" s="137">
        <f>SUM(G68:G69)</f>
        <v>0</v>
      </c>
    </row>
    <row r="71" spans="1:7" ht="15.75">
      <c r="A71" s="20"/>
      <c r="B71" s="23"/>
      <c r="C71" s="21"/>
      <c r="D71" s="20"/>
      <c r="E71" s="13"/>
      <c r="F71" s="138"/>
      <c r="G71" s="22"/>
    </row>
    <row r="72" spans="1:7">
      <c r="A72" s="139"/>
      <c r="B72" s="24"/>
      <c r="C72" s="140" t="s">
        <v>21</v>
      </c>
      <c r="D72" s="24"/>
      <c r="E72" s="25"/>
      <c r="F72" s="26"/>
      <c r="G72" s="24"/>
    </row>
    <row r="73" spans="1:7" ht="15.75">
      <c r="A73" s="18" t="s">
        <v>81</v>
      </c>
      <c r="B73" s="18" t="s">
        <v>38</v>
      </c>
      <c r="C73" s="20" t="s">
        <v>82</v>
      </c>
      <c r="D73" s="20" t="s">
        <v>83</v>
      </c>
      <c r="E73" s="20" t="s">
        <v>16</v>
      </c>
      <c r="F73" s="63">
        <v>134794</v>
      </c>
      <c r="G73" s="141">
        <v>23000</v>
      </c>
    </row>
    <row r="74" spans="1:7" ht="15.75">
      <c r="A74" s="18" t="s">
        <v>84</v>
      </c>
      <c r="B74" s="18" t="s">
        <v>85</v>
      </c>
      <c r="C74" s="18" t="s">
        <v>11</v>
      </c>
      <c r="D74" s="20" t="s">
        <v>86</v>
      </c>
      <c r="E74" s="18" t="s">
        <v>16</v>
      </c>
      <c r="F74" s="63">
        <v>134956</v>
      </c>
      <c r="G74" s="142">
        <v>66500</v>
      </c>
    </row>
    <row r="75" spans="1:7" ht="15.75">
      <c r="A75" s="18" t="s">
        <v>87</v>
      </c>
      <c r="B75" s="18" t="s">
        <v>88</v>
      </c>
      <c r="C75" s="20" t="s">
        <v>89</v>
      </c>
      <c r="D75" s="20" t="s">
        <v>90</v>
      </c>
      <c r="E75" s="18" t="s">
        <v>16</v>
      </c>
      <c r="F75" s="18">
        <v>134960</v>
      </c>
      <c r="G75" s="143">
        <v>23800</v>
      </c>
    </row>
    <row r="76" spans="1:7" ht="15.75">
      <c r="A76" s="18" t="s">
        <v>91</v>
      </c>
      <c r="B76" s="18" t="s">
        <v>88</v>
      </c>
      <c r="C76" s="20" t="s">
        <v>89</v>
      </c>
      <c r="D76" s="20" t="s">
        <v>92</v>
      </c>
      <c r="E76" s="18" t="s">
        <v>16</v>
      </c>
      <c r="F76" s="18">
        <v>134961</v>
      </c>
      <c r="G76" s="143">
        <v>25800</v>
      </c>
    </row>
    <row r="77" spans="1:7" ht="15.75">
      <c r="A77" s="18" t="s">
        <v>91</v>
      </c>
      <c r="B77" s="18" t="s">
        <v>88</v>
      </c>
      <c r="C77" s="20" t="s">
        <v>89</v>
      </c>
      <c r="D77" s="20" t="s">
        <v>93</v>
      </c>
      <c r="E77" s="18" t="s">
        <v>16</v>
      </c>
      <c r="F77" s="18">
        <v>134962</v>
      </c>
      <c r="G77" s="143">
        <v>8500</v>
      </c>
    </row>
    <row r="78" spans="1:7" ht="15.75">
      <c r="A78" s="18" t="s">
        <v>91</v>
      </c>
      <c r="B78" s="18" t="s">
        <v>88</v>
      </c>
      <c r="C78" s="20" t="s">
        <v>89</v>
      </c>
      <c r="D78" s="20" t="s">
        <v>90</v>
      </c>
      <c r="E78" s="18" t="s">
        <v>16</v>
      </c>
      <c r="F78" s="18">
        <v>134792</v>
      </c>
      <c r="G78" s="143">
        <v>21500</v>
      </c>
    </row>
    <row r="79" spans="1:7" ht="15.75">
      <c r="A79" s="20" t="s">
        <v>94</v>
      </c>
      <c r="B79" s="20" t="s">
        <v>95</v>
      </c>
      <c r="C79" s="18" t="s">
        <v>11</v>
      </c>
      <c r="D79" s="20" t="s">
        <v>96</v>
      </c>
      <c r="E79" s="18" t="s">
        <v>16</v>
      </c>
      <c r="F79" s="18" t="s">
        <v>42</v>
      </c>
      <c r="G79" s="141">
        <v>99450</v>
      </c>
    </row>
    <row r="80" spans="1:7" ht="15.75">
      <c r="A80" s="20" t="s">
        <v>94</v>
      </c>
      <c r="B80" s="20" t="s">
        <v>95</v>
      </c>
      <c r="C80" s="18" t="s">
        <v>11</v>
      </c>
      <c r="D80" s="20" t="s">
        <v>96</v>
      </c>
      <c r="E80" s="18" t="s">
        <v>16</v>
      </c>
      <c r="F80" s="18" t="s">
        <v>42</v>
      </c>
      <c r="G80" s="141">
        <v>49600</v>
      </c>
    </row>
    <row r="81" spans="1:7" ht="15.75">
      <c r="A81" s="20" t="s">
        <v>94</v>
      </c>
      <c r="B81" s="20" t="s">
        <v>95</v>
      </c>
      <c r="C81" s="18" t="s">
        <v>11</v>
      </c>
      <c r="D81" s="20" t="s">
        <v>96</v>
      </c>
      <c r="E81" s="18" t="s">
        <v>16</v>
      </c>
      <c r="F81" s="18" t="s">
        <v>42</v>
      </c>
      <c r="G81" s="134">
        <v>94600</v>
      </c>
    </row>
    <row r="82" spans="1:7" ht="15.75">
      <c r="A82" s="35" t="s">
        <v>97</v>
      </c>
      <c r="B82" s="33" t="s">
        <v>98</v>
      </c>
      <c r="C82" s="35" t="s">
        <v>30</v>
      </c>
      <c r="D82" s="32" t="s">
        <v>99</v>
      </c>
      <c r="E82" s="20" t="s">
        <v>16</v>
      </c>
      <c r="F82" s="18" t="s">
        <v>42</v>
      </c>
      <c r="G82" s="134">
        <v>6400</v>
      </c>
    </row>
    <row r="83" spans="1:7" ht="15.75">
      <c r="A83" s="35" t="s">
        <v>97</v>
      </c>
      <c r="B83" s="33" t="s">
        <v>98</v>
      </c>
      <c r="C83" s="35" t="s">
        <v>30</v>
      </c>
      <c r="D83" s="32" t="s">
        <v>99</v>
      </c>
      <c r="E83" s="20" t="s">
        <v>16</v>
      </c>
      <c r="F83" s="18" t="s">
        <v>42</v>
      </c>
      <c r="G83" s="134">
        <v>6400</v>
      </c>
    </row>
    <row r="84" spans="1:7" ht="15.75">
      <c r="A84" s="35" t="s">
        <v>97</v>
      </c>
      <c r="B84" s="33" t="s">
        <v>98</v>
      </c>
      <c r="C84" s="35" t="s">
        <v>30</v>
      </c>
      <c r="D84" s="32" t="s">
        <v>99</v>
      </c>
      <c r="E84" s="20" t="s">
        <v>16</v>
      </c>
      <c r="F84" s="18" t="s">
        <v>42</v>
      </c>
      <c r="G84" s="134">
        <v>6400</v>
      </c>
    </row>
    <row r="85" spans="1:7" ht="15.75">
      <c r="A85" s="35" t="s">
        <v>97</v>
      </c>
      <c r="B85" s="33" t="s">
        <v>98</v>
      </c>
      <c r="C85" s="35" t="s">
        <v>30</v>
      </c>
      <c r="D85" s="32" t="s">
        <v>99</v>
      </c>
      <c r="E85" s="20" t="s">
        <v>16</v>
      </c>
      <c r="F85" s="18" t="s">
        <v>42</v>
      </c>
      <c r="G85" s="134">
        <v>6400</v>
      </c>
    </row>
    <row r="86" spans="1:7" ht="15.75">
      <c r="A86" s="35" t="s">
        <v>100</v>
      </c>
      <c r="B86" s="33" t="s">
        <v>101</v>
      </c>
      <c r="C86" s="35" t="s">
        <v>102</v>
      </c>
      <c r="D86" s="32" t="s">
        <v>103</v>
      </c>
      <c r="E86" s="20" t="s">
        <v>16</v>
      </c>
      <c r="F86" s="35" t="s">
        <v>42</v>
      </c>
      <c r="G86" s="144">
        <v>36100</v>
      </c>
    </row>
    <row r="87" spans="1:7" ht="15.75">
      <c r="A87" s="35" t="s">
        <v>100</v>
      </c>
      <c r="B87" s="33" t="s">
        <v>101</v>
      </c>
      <c r="C87" s="35" t="s">
        <v>102</v>
      </c>
      <c r="D87" s="32" t="s">
        <v>103</v>
      </c>
      <c r="E87" s="20" t="s">
        <v>16</v>
      </c>
      <c r="F87" s="35" t="s">
        <v>42</v>
      </c>
      <c r="G87" s="144">
        <v>36100</v>
      </c>
    </row>
    <row r="88" spans="1:7" ht="15.75">
      <c r="A88" s="35"/>
      <c r="B88" s="33"/>
      <c r="C88" s="35"/>
      <c r="D88" s="32"/>
      <c r="E88" s="33"/>
      <c r="F88" s="35"/>
      <c r="G88" s="144"/>
    </row>
    <row r="89" spans="1:7" ht="15.75">
      <c r="A89" s="35"/>
      <c r="B89" s="33"/>
      <c r="C89" s="35"/>
      <c r="D89" s="32"/>
      <c r="E89" s="33"/>
      <c r="F89" s="35"/>
      <c r="G89" s="144"/>
    </row>
    <row r="90" spans="1:7" ht="15.75">
      <c r="A90" s="20"/>
      <c r="B90" s="20"/>
      <c r="C90" s="18"/>
      <c r="D90" s="20"/>
      <c r="E90" s="20"/>
      <c r="F90" s="18"/>
      <c r="G90" s="134"/>
    </row>
    <row r="91" spans="1:7" ht="18">
      <c r="A91" s="85" t="s">
        <v>20</v>
      </c>
      <c r="B91" s="38"/>
      <c r="C91" s="87"/>
      <c r="D91" s="88"/>
      <c r="E91" s="89"/>
      <c r="F91" s="28"/>
      <c r="G91" s="145">
        <f>SUM(G73:G90)</f>
        <v>510550</v>
      </c>
    </row>
    <row r="92" spans="1:7" ht="18">
      <c r="A92" s="91"/>
      <c r="B92" s="18"/>
      <c r="C92" s="92" t="s">
        <v>50</v>
      </c>
      <c r="D92" s="93"/>
      <c r="E92" s="93"/>
      <c r="F92" s="94"/>
      <c r="G92" s="95"/>
    </row>
    <row r="93" spans="1:7" ht="15.75">
      <c r="A93" s="18" t="s">
        <v>104</v>
      </c>
      <c r="B93" s="18" t="s">
        <v>105</v>
      </c>
      <c r="C93" s="18" t="s">
        <v>11</v>
      </c>
      <c r="D93" s="20" t="s">
        <v>106</v>
      </c>
      <c r="E93" s="18" t="s">
        <v>16</v>
      </c>
      <c r="F93" s="18">
        <v>134796</v>
      </c>
      <c r="G93" s="146">
        <v>73140</v>
      </c>
    </row>
    <row r="94" spans="1:7" ht="15.75">
      <c r="A94" s="20" t="s">
        <v>107</v>
      </c>
      <c r="B94" s="20" t="s">
        <v>108</v>
      </c>
      <c r="C94" s="18" t="s">
        <v>89</v>
      </c>
      <c r="D94" s="18" t="s">
        <v>109</v>
      </c>
      <c r="E94" s="18" t="s">
        <v>16</v>
      </c>
      <c r="F94" s="18">
        <v>134800</v>
      </c>
      <c r="G94" s="147">
        <v>109200</v>
      </c>
    </row>
    <row r="95" spans="1:7" ht="15.75">
      <c r="A95" s="20" t="s">
        <v>107</v>
      </c>
      <c r="B95" s="20" t="s">
        <v>108</v>
      </c>
      <c r="C95" s="18" t="s">
        <v>89</v>
      </c>
      <c r="D95" s="20" t="s">
        <v>110</v>
      </c>
      <c r="E95" s="18" t="s">
        <v>16</v>
      </c>
      <c r="F95" s="63">
        <v>134951</v>
      </c>
      <c r="G95" s="148">
        <v>65000</v>
      </c>
    </row>
    <row r="96" spans="1:7" ht="15.75">
      <c r="A96" s="18" t="s">
        <v>61</v>
      </c>
      <c r="B96" s="18" t="s">
        <v>111</v>
      </c>
      <c r="C96" s="18" t="s">
        <v>11</v>
      </c>
      <c r="D96" s="20" t="s">
        <v>86</v>
      </c>
      <c r="E96" s="18" t="s">
        <v>16</v>
      </c>
      <c r="F96" s="18">
        <v>134952</v>
      </c>
      <c r="G96" s="142">
        <v>191540</v>
      </c>
    </row>
    <row r="97" spans="1:7" ht="15.75">
      <c r="A97" s="18" t="s">
        <v>61</v>
      </c>
      <c r="B97" s="18" t="s">
        <v>111</v>
      </c>
      <c r="C97" s="18" t="s">
        <v>11</v>
      </c>
      <c r="D97" s="20" t="s">
        <v>86</v>
      </c>
      <c r="E97" s="18" t="s">
        <v>16</v>
      </c>
      <c r="F97" s="18">
        <v>134953</v>
      </c>
      <c r="G97" s="142">
        <v>42600</v>
      </c>
    </row>
    <row r="98" spans="1:7" ht="18.75">
      <c r="A98" s="18" t="s">
        <v>61</v>
      </c>
      <c r="B98" s="18" t="s">
        <v>111</v>
      </c>
      <c r="C98" s="18" t="s">
        <v>11</v>
      </c>
      <c r="D98" s="20" t="s">
        <v>86</v>
      </c>
      <c r="E98" s="18" t="s">
        <v>16</v>
      </c>
      <c r="F98" s="16">
        <v>134964</v>
      </c>
      <c r="G98" s="143">
        <v>9000</v>
      </c>
    </row>
    <row r="99" spans="1:7" ht="15.75">
      <c r="A99" t="s">
        <v>107</v>
      </c>
      <c r="B99" s="18" t="s">
        <v>112</v>
      </c>
      <c r="C99" s="18" t="s">
        <v>102</v>
      </c>
      <c r="D99" s="20" t="s">
        <v>113</v>
      </c>
      <c r="E99" s="18" t="s">
        <v>16</v>
      </c>
      <c r="F99" s="63" t="s">
        <v>42</v>
      </c>
      <c r="G99" s="146">
        <v>143900</v>
      </c>
    </row>
    <row r="100" spans="1:7" ht="15.75">
      <c r="A100" s="149"/>
      <c r="B100" s="20"/>
      <c r="C100" s="18"/>
      <c r="D100" s="20"/>
      <c r="E100" s="18"/>
      <c r="F100" s="63"/>
      <c r="G100" s="146"/>
    </row>
    <row r="101" spans="1:7" ht="15.75">
      <c r="A101" s="20"/>
      <c r="B101" s="43"/>
      <c r="C101" s="150"/>
      <c r="D101" s="20"/>
      <c r="E101" s="151"/>
      <c r="F101" s="136"/>
      <c r="G101" s="22"/>
    </row>
    <row r="102" spans="1:7" ht="18">
      <c r="A102" s="20"/>
      <c r="B102" s="43"/>
      <c r="C102" s="44"/>
      <c r="D102" s="20"/>
      <c r="E102" s="89"/>
      <c r="F102" s="136"/>
      <c r="G102" s="45"/>
    </row>
    <row r="103" spans="1:7" ht="18">
      <c r="A103" s="101" t="s">
        <v>20</v>
      </c>
      <c r="B103" s="28"/>
      <c r="C103" s="44"/>
      <c r="D103" s="28"/>
      <c r="E103" s="89"/>
      <c r="F103" s="102"/>
      <c r="G103" s="152">
        <f>SUM(G93:G102)</f>
        <v>634380</v>
      </c>
    </row>
    <row r="104" spans="1:7" ht="18">
      <c r="A104" s="46" t="s">
        <v>114</v>
      </c>
      <c r="B104" s="153"/>
      <c r="C104" s="154"/>
      <c r="D104" s="155"/>
      <c r="E104" s="108"/>
      <c r="F104" s="109"/>
      <c r="G104" s="110"/>
    </row>
    <row r="105" spans="1:7" ht="18">
      <c r="A105" s="46" t="s">
        <v>115</v>
      </c>
      <c r="B105" s="46"/>
      <c r="C105" s="154"/>
      <c r="D105" s="156"/>
      <c r="E105" s="108"/>
      <c r="F105" s="109"/>
      <c r="G105" s="110"/>
    </row>
    <row r="106" spans="1:7">
      <c r="A106" s="156"/>
      <c r="B106" s="46"/>
      <c r="C106" s="157"/>
      <c r="D106" s="46"/>
      <c r="E106" s="3"/>
      <c r="F106" s="4"/>
      <c r="G106" s="158"/>
    </row>
    <row r="107" spans="1:7" ht="15.75">
      <c r="A107" s="47"/>
      <c r="B107" s="117" t="s">
        <v>66</v>
      </c>
      <c r="C107" s="48"/>
      <c r="D107" s="3"/>
      <c r="E107" s="3"/>
      <c r="F107" s="4"/>
      <c r="G107" s="159"/>
    </row>
    <row r="108" spans="1:7" ht="30">
      <c r="A108" s="131" t="s">
        <v>67</v>
      </c>
      <c r="B108" s="160" t="s">
        <v>68</v>
      </c>
      <c r="C108" s="132" t="s">
        <v>69</v>
      </c>
      <c r="D108" s="131" t="s">
        <v>70</v>
      </c>
      <c r="E108" s="131" t="s">
        <v>71</v>
      </c>
      <c r="F108" s="4"/>
      <c r="G108" s="159"/>
    </row>
    <row r="109" spans="1:7">
      <c r="A109" s="12">
        <v>1</v>
      </c>
      <c r="B109" s="131" t="s">
        <v>9</v>
      </c>
      <c r="C109" s="49">
        <v>0</v>
      </c>
      <c r="D109" s="137">
        <v>0</v>
      </c>
      <c r="E109" s="50">
        <v>0</v>
      </c>
      <c r="F109" s="4"/>
      <c r="G109" s="159"/>
    </row>
    <row r="110" spans="1:7">
      <c r="A110" s="12">
        <v>2</v>
      </c>
      <c r="B110" s="13" t="s">
        <v>72</v>
      </c>
      <c r="C110" s="49">
        <v>15</v>
      </c>
      <c r="D110" s="51">
        <v>510550</v>
      </c>
      <c r="E110" s="52">
        <v>0.45</v>
      </c>
      <c r="F110" s="53"/>
      <c r="G110" s="54"/>
    </row>
    <row r="111" spans="1:7">
      <c r="A111" s="12">
        <v>3</v>
      </c>
      <c r="B111" s="13" t="s">
        <v>73</v>
      </c>
      <c r="C111" s="49">
        <v>7</v>
      </c>
      <c r="D111" s="51">
        <v>634380</v>
      </c>
      <c r="E111" s="52">
        <v>0.55000000000000004</v>
      </c>
      <c r="F111" s="53"/>
      <c r="G111" s="54"/>
    </row>
    <row r="112" spans="1:7">
      <c r="A112" s="12"/>
      <c r="B112" s="13" t="s">
        <v>74</v>
      </c>
      <c r="C112" s="161">
        <v>22</v>
      </c>
      <c r="D112" s="55">
        <f>SUM(D109:D111)</f>
        <v>1144930</v>
      </c>
      <c r="E112" s="52">
        <f>SUM(E110:E111)</f>
        <v>1</v>
      </c>
      <c r="F112" s="53"/>
      <c r="G112" s="54"/>
    </row>
    <row r="113" spans="1:8">
      <c r="A113" s="54"/>
      <c r="B113" s="54"/>
      <c r="C113" s="54"/>
      <c r="D113" s="54"/>
      <c r="E113" s="54"/>
      <c r="F113" s="54"/>
      <c r="G113" s="54"/>
    </row>
    <row r="114" spans="1:8">
      <c r="A114" s="54" t="s">
        <v>75</v>
      </c>
      <c r="B114" s="54"/>
      <c r="C114" s="54"/>
      <c r="D114" s="54" t="s">
        <v>76</v>
      </c>
      <c r="E114" s="54"/>
      <c r="F114" s="54"/>
      <c r="G114" s="54"/>
    </row>
    <row r="115" spans="1:8">
      <c r="A115" s="54"/>
      <c r="B115" s="54"/>
      <c r="C115" s="54"/>
      <c r="D115" s="54"/>
      <c r="E115" s="54"/>
      <c r="F115" s="54"/>
      <c r="G115" s="54"/>
    </row>
    <row r="116" spans="1:8">
      <c r="A116" s="54"/>
      <c r="B116" s="54"/>
      <c r="C116" s="54"/>
      <c r="D116" s="54"/>
      <c r="E116" s="54"/>
      <c r="F116" s="54"/>
      <c r="G116" s="54"/>
    </row>
    <row r="117" spans="1:8">
      <c r="A117" s="54" t="s">
        <v>77</v>
      </c>
      <c r="B117" s="54"/>
      <c r="C117" s="54"/>
      <c r="D117" s="54"/>
      <c r="E117" s="54"/>
      <c r="F117" s="54"/>
      <c r="G117" s="54"/>
    </row>
    <row r="118" spans="1:8">
      <c r="A118" s="54"/>
      <c r="B118" s="54"/>
      <c r="C118" s="54"/>
      <c r="D118" s="54"/>
      <c r="E118" s="54"/>
      <c r="F118" s="54"/>
      <c r="G118" s="54"/>
    </row>
    <row r="120" spans="1:8" ht="17.25">
      <c r="A120" s="162" t="s">
        <v>116</v>
      </c>
      <c r="B120" s="113"/>
      <c r="C120" s="113"/>
      <c r="D120" s="163"/>
      <c r="E120" s="163"/>
      <c r="F120" s="164"/>
      <c r="G120" s="163"/>
      <c r="H120" s="165"/>
    </row>
    <row r="121" spans="1:8">
      <c r="A121" s="166" t="s">
        <v>0</v>
      </c>
      <c r="B121" s="166"/>
      <c r="C121" s="166"/>
      <c r="D121" s="166"/>
      <c r="E121" s="166"/>
      <c r="F121" s="167"/>
      <c r="G121" s="166"/>
      <c r="H121" s="165"/>
    </row>
    <row r="122" spans="1:8">
      <c r="A122" s="166" t="s">
        <v>1</v>
      </c>
      <c r="B122" s="166"/>
      <c r="C122" s="166"/>
      <c r="D122" s="166"/>
      <c r="E122" s="166"/>
      <c r="F122" s="167"/>
      <c r="G122" s="166"/>
      <c r="H122" s="165"/>
    </row>
    <row r="123" spans="1:8" ht="51.75">
      <c r="A123" s="168" t="s">
        <v>2</v>
      </c>
      <c r="B123" s="168" t="s">
        <v>3</v>
      </c>
      <c r="C123" s="169" t="s">
        <v>4</v>
      </c>
      <c r="D123" s="168" t="s">
        <v>5</v>
      </c>
      <c r="E123" s="168" t="s">
        <v>6</v>
      </c>
      <c r="F123" s="170" t="s">
        <v>7</v>
      </c>
      <c r="G123" s="168" t="s">
        <v>8</v>
      </c>
      <c r="H123" s="165"/>
    </row>
    <row r="124" spans="1:8">
      <c r="A124" s="171"/>
      <c r="B124" s="168"/>
      <c r="C124" s="172" t="s">
        <v>9</v>
      </c>
      <c r="D124" s="168"/>
      <c r="E124" s="173"/>
      <c r="F124" s="174"/>
      <c r="G124" s="175"/>
      <c r="H124" s="165"/>
    </row>
    <row r="125" spans="1:8">
      <c r="A125" s="176" t="s">
        <v>117</v>
      </c>
      <c r="B125" s="177" t="s">
        <v>118</v>
      </c>
      <c r="C125" s="169" t="s">
        <v>119</v>
      </c>
      <c r="D125" s="178" t="s">
        <v>120</v>
      </c>
      <c r="E125" s="179" t="s">
        <v>121</v>
      </c>
      <c r="F125" s="180" t="s">
        <v>122</v>
      </c>
      <c r="G125" s="178">
        <v>94500</v>
      </c>
      <c r="H125" s="165"/>
    </row>
    <row r="126" spans="1:8" ht="15.75">
      <c r="A126" s="18" t="s">
        <v>123</v>
      </c>
      <c r="B126" s="181" t="s">
        <v>124</v>
      </c>
      <c r="C126" s="169" t="s">
        <v>119</v>
      </c>
      <c r="D126" s="182" t="s">
        <v>125</v>
      </c>
      <c r="E126" s="179" t="s">
        <v>121</v>
      </c>
      <c r="F126" s="180" t="s">
        <v>122</v>
      </c>
      <c r="G126" s="183">
        <v>19078</v>
      </c>
      <c r="H126" s="165"/>
    </row>
    <row r="127" spans="1:8">
      <c r="A127" s="176" t="s">
        <v>117</v>
      </c>
      <c r="B127" s="177" t="s">
        <v>118</v>
      </c>
      <c r="C127" s="169" t="s">
        <v>119</v>
      </c>
      <c r="D127" s="182" t="s">
        <v>198</v>
      </c>
      <c r="E127" s="179"/>
      <c r="F127" s="180" t="s">
        <v>197</v>
      </c>
      <c r="G127" s="184">
        <v>125200</v>
      </c>
      <c r="H127" s="165"/>
    </row>
    <row r="128" spans="1:8">
      <c r="A128" s="176" t="s">
        <v>117</v>
      </c>
      <c r="B128" s="177" t="s">
        <v>118</v>
      </c>
      <c r="C128" s="169" t="s">
        <v>119</v>
      </c>
      <c r="D128" s="182" t="s">
        <v>199</v>
      </c>
      <c r="E128" s="179"/>
      <c r="F128" s="180" t="s">
        <v>197</v>
      </c>
      <c r="G128" s="187">
        <v>142000</v>
      </c>
      <c r="H128" s="165"/>
    </row>
    <row r="129" spans="1:8">
      <c r="A129" s="176" t="s">
        <v>117</v>
      </c>
      <c r="B129" s="177" t="s">
        <v>118</v>
      </c>
      <c r="C129" s="169" t="s">
        <v>119</v>
      </c>
      <c r="D129" s="182" t="s">
        <v>200</v>
      </c>
      <c r="E129" s="179"/>
      <c r="F129" s="180" t="s">
        <v>197</v>
      </c>
      <c r="G129" s="187">
        <v>104500</v>
      </c>
      <c r="H129" s="165"/>
    </row>
    <row r="130" spans="1:8">
      <c r="A130" s="182"/>
      <c r="B130" s="182"/>
      <c r="C130" s="169"/>
      <c r="D130" s="182"/>
      <c r="E130" s="179"/>
      <c r="F130" s="180"/>
      <c r="G130" s="184"/>
      <c r="H130" s="165"/>
    </row>
    <row r="131" spans="1:8">
      <c r="A131" s="185"/>
      <c r="B131" s="186"/>
      <c r="C131" s="169"/>
      <c r="D131" s="185"/>
      <c r="E131" s="173"/>
      <c r="F131" s="188"/>
      <c r="G131" s="187">
        <f>SUM(G125:G130)</f>
        <v>485278</v>
      </c>
      <c r="H131" s="165"/>
    </row>
    <row r="132" spans="1:8">
      <c r="A132" s="185" t="s">
        <v>20</v>
      </c>
      <c r="B132" s="189"/>
      <c r="C132" s="169"/>
      <c r="D132" s="185"/>
      <c r="E132" s="173"/>
      <c r="F132" s="190"/>
      <c r="G132" s="191"/>
      <c r="H132" s="165"/>
    </row>
    <row r="133" spans="1:8">
      <c r="A133" s="185"/>
      <c r="B133" s="192"/>
      <c r="C133" s="169"/>
      <c r="D133" s="185"/>
      <c r="E133" s="173"/>
      <c r="F133" s="193"/>
      <c r="G133" s="187"/>
      <c r="H133" s="165"/>
    </row>
    <row r="134" spans="1:8">
      <c r="A134" s="309" t="s">
        <v>21</v>
      </c>
      <c r="B134" s="309"/>
      <c r="C134" s="309"/>
      <c r="D134" s="309"/>
      <c r="E134" s="309"/>
      <c r="F134" s="309"/>
      <c r="G134" s="309"/>
      <c r="H134" s="165"/>
    </row>
    <row r="135" spans="1:8">
      <c r="A135" s="176" t="s">
        <v>126</v>
      </c>
      <c r="B135" s="194" t="s">
        <v>127</v>
      </c>
      <c r="C135" s="176" t="s">
        <v>119</v>
      </c>
      <c r="D135" s="178" t="s">
        <v>128</v>
      </c>
      <c r="E135" s="195" t="s">
        <v>121</v>
      </c>
      <c r="F135" s="176" t="s">
        <v>122</v>
      </c>
      <c r="G135" s="183">
        <v>233994</v>
      </c>
      <c r="H135" s="165"/>
    </row>
    <row r="136" spans="1:8">
      <c r="A136" s="176" t="s">
        <v>129</v>
      </c>
      <c r="B136" s="194" t="s">
        <v>130</v>
      </c>
      <c r="C136" s="176" t="s">
        <v>119</v>
      </c>
      <c r="D136" s="178" t="s">
        <v>128</v>
      </c>
      <c r="E136" s="195" t="s">
        <v>121</v>
      </c>
      <c r="F136" s="176" t="s">
        <v>122</v>
      </c>
      <c r="G136" s="183">
        <v>231900</v>
      </c>
      <c r="H136" s="165"/>
    </row>
    <row r="137" spans="1:8">
      <c r="A137" s="176" t="s">
        <v>131</v>
      </c>
      <c r="B137" s="194" t="s">
        <v>132</v>
      </c>
      <c r="C137" s="176" t="s">
        <v>119</v>
      </c>
      <c r="D137" s="178" t="s">
        <v>133</v>
      </c>
      <c r="E137" s="195" t="s">
        <v>121</v>
      </c>
      <c r="F137" s="176" t="s">
        <v>122</v>
      </c>
      <c r="G137" s="183">
        <v>2550</v>
      </c>
      <c r="H137" s="165"/>
    </row>
    <row r="138" spans="1:8">
      <c r="A138" s="178" t="s">
        <v>134</v>
      </c>
      <c r="B138" s="176" t="s">
        <v>135</v>
      </c>
      <c r="C138" s="176" t="s">
        <v>136</v>
      </c>
      <c r="D138" s="178" t="s">
        <v>137</v>
      </c>
      <c r="E138" s="195" t="s">
        <v>121</v>
      </c>
      <c r="F138" s="176" t="s">
        <v>122</v>
      </c>
      <c r="G138" s="183">
        <v>98820</v>
      </c>
      <c r="H138" s="165"/>
    </row>
    <row r="139" spans="1:8">
      <c r="A139" s="176" t="s">
        <v>138</v>
      </c>
      <c r="B139" s="194" t="s">
        <v>85</v>
      </c>
      <c r="C139" s="176" t="s">
        <v>119</v>
      </c>
      <c r="D139" s="178" t="s">
        <v>139</v>
      </c>
      <c r="E139" s="195" t="s">
        <v>121</v>
      </c>
      <c r="F139" s="176" t="s">
        <v>122</v>
      </c>
      <c r="G139" s="183">
        <v>96110</v>
      </c>
      <c r="H139" s="165"/>
    </row>
    <row r="140" spans="1:8">
      <c r="A140" s="176" t="s">
        <v>134</v>
      </c>
      <c r="B140" s="176" t="s">
        <v>135</v>
      </c>
      <c r="C140" s="196" t="s">
        <v>119</v>
      </c>
      <c r="D140" s="178" t="s">
        <v>140</v>
      </c>
      <c r="E140" s="195" t="s">
        <v>121</v>
      </c>
      <c r="F140" s="176" t="s">
        <v>122</v>
      </c>
      <c r="G140" s="183">
        <v>196430</v>
      </c>
      <c r="H140" s="165"/>
    </row>
    <row r="141" spans="1:8">
      <c r="A141" s="176" t="s">
        <v>138</v>
      </c>
      <c r="B141" s="194" t="s">
        <v>85</v>
      </c>
      <c r="C141" s="196" t="s">
        <v>119</v>
      </c>
      <c r="D141" s="178" t="s">
        <v>141</v>
      </c>
      <c r="E141" s="195" t="s">
        <v>121</v>
      </c>
      <c r="F141" s="176" t="s">
        <v>122</v>
      </c>
      <c r="G141" s="183">
        <v>34500</v>
      </c>
      <c r="H141" s="165"/>
    </row>
    <row r="142" spans="1:8">
      <c r="A142" s="176" t="s">
        <v>142</v>
      </c>
      <c r="B142" s="194" t="s">
        <v>85</v>
      </c>
      <c r="C142" s="196" t="s">
        <v>119</v>
      </c>
      <c r="D142" s="178" t="s">
        <v>143</v>
      </c>
      <c r="E142" s="195" t="s">
        <v>121</v>
      </c>
      <c r="F142" s="176" t="s">
        <v>122</v>
      </c>
      <c r="G142" s="183">
        <v>30600</v>
      </c>
      <c r="H142" s="165"/>
    </row>
    <row r="143" spans="1:8">
      <c r="A143" s="176" t="s">
        <v>144</v>
      </c>
      <c r="B143" s="194" t="s">
        <v>145</v>
      </c>
      <c r="C143" s="196" t="s">
        <v>119</v>
      </c>
      <c r="D143" s="178" t="s">
        <v>146</v>
      </c>
      <c r="E143" s="195" t="s">
        <v>121</v>
      </c>
      <c r="F143" s="176" t="s">
        <v>122</v>
      </c>
      <c r="G143" s="183">
        <v>22900</v>
      </c>
      <c r="H143" s="165"/>
    </row>
    <row r="144" spans="1:8">
      <c r="A144" s="176" t="s">
        <v>147</v>
      </c>
      <c r="B144" s="197" t="s">
        <v>148</v>
      </c>
      <c r="C144" s="196" t="s">
        <v>119</v>
      </c>
      <c r="D144" s="178" t="s">
        <v>149</v>
      </c>
      <c r="E144" s="195" t="s">
        <v>121</v>
      </c>
      <c r="F144" s="176" t="s">
        <v>122</v>
      </c>
      <c r="G144" s="183">
        <v>20590</v>
      </c>
      <c r="H144" s="165"/>
    </row>
    <row r="145" spans="1:8">
      <c r="A145" s="178" t="s">
        <v>150</v>
      </c>
      <c r="B145" s="198" t="s">
        <v>151</v>
      </c>
      <c r="C145" s="199" t="s">
        <v>136</v>
      </c>
      <c r="D145" s="178" t="s">
        <v>152</v>
      </c>
      <c r="E145" s="179" t="s">
        <v>121</v>
      </c>
      <c r="F145" s="182" t="s">
        <v>122</v>
      </c>
      <c r="G145" s="183">
        <v>37050</v>
      </c>
      <c r="H145" s="165"/>
    </row>
    <row r="146" spans="1:8">
      <c r="A146" s="178" t="s">
        <v>150</v>
      </c>
      <c r="B146" s="198" t="s">
        <v>151</v>
      </c>
      <c r="C146" s="199" t="s">
        <v>136</v>
      </c>
      <c r="D146" s="178" t="s">
        <v>153</v>
      </c>
      <c r="E146" s="179" t="s">
        <v>121</v>
      </c>
      <c r="F146" s="182" t="s">
        <v>122</v>
      </c>
      <c r="G146" s="183">
        <v>25198</v>
      </c>
      <c r="H146" s="165"/>
    </row>
    <row r="147" spans="1:8">
      <c r="A147" s="178" t="s">
        <v>154</v>
      </c>
      <c r="B147" s="198" t="s">
        <v>151</v>
      </c>
      <c r="C147" s="199" t="s">
        <v>136</v>
      </c>
      <c r="D147" s="178" t="s">
        <v>155</v>
      </c>
      <c r="E147" s="179" t="s">
        <v>121</v>
      </c>
      <c r="F147" s="182" t="s">
        <v>122</v>
      </c>
      <c r="G147" s="183">
        <v>42600</v>
      </c>
      <c r="H147" s="165"/>
    </row>
    <row r="148" spans="1:8">
      <c r="A148" s="178" t="s">
        <v>150</v>
      </c>
      <c r="B148" s="198" t="s">
        <v>156</v>
      </c>
      <c r="C148" s="199" t="s">
        <v>136</v>
      </c>
      <c r="D148" s="178" t="s">
        <v>157</v>
      </c>
      <c r="E148" s="179" t="s">
        <v>121</v>
      </c>
      <c r="F148" s="182" t="s">
        <v>122</v>
      </c>
      <c r="G148" s="183">
        <v>139900</v>
      </c>
      <c r="H148" s="165"/>
    </row>
    <row r="149" spans="1:8">
      <c r="A149" s="178" t="s">
        <v>154</v>
      </c>
      <c r="B149" s="198" t="s">
        <v>151</v>
      </c>
      <c r="C149" s="199" t="s">
        <v>136</v>
      </c>
      <c r="D149" s="178" t="s">
        <v>158</v>
      </c>
      <c r="E149" s="179" t="s">
        <v>121</v>
      </c>
      <c r="F149" s="182" t="s">
        <v>122</v>
      </c>
      <c r="G149" s="183">
        <v>15000</v>
      </c>
      <c r="H149" s="165"/>
    </row>
    <row r="150" spans="1:8">
      <c r="A150" s="178" t="s">
        <v>150</v>
      </c>
      <c r="B150" s="198" t="s">
        <v>156</v>
      </c>
      <c r="C150" s="199" t="s">
        <v>136</v>
      </c>
      <c r="D150" s="178" t="s">
        <v>159</v>
      </c>
      <c r="E150" s="179" t="s">
        <v>121</v>
      </c>
      <c r="F150" s="182" t="s">
        <v>122</v>
      </c>
      <c r="G150" s="183">
        <v>7670</v>
      </c>
      <c r="H150" s="165"/>
    </row>
    <row r="151" spans="1:8">
      <c r="A151" s="178" t="s">
        <v>154</v>
      </c>
      <c r="B151" s="198" t="s">
        <v>151</v>
      </c>
      <c r="C151" s="199" t="s">
        <v>136</v>
      </c>
      <c r="D151" s="178" t="s">
        <v>160</v>
      </c>
      <c r="E151" s="179" t="s">
        <v>121</v>
      </c>
      <c r="F151" s="182" t="s">
        <v>122</v>
      </c>
      <c r="G151" s="183">
        <v>31500</v>
      </c>
      <c r="H151" s="165"/>
    </row>
    <row r="152" spans="1:8">
      <c r="A152" s="178" t="s">
        <v>150</v>
      </c>
      <c r="B152" s="198" t="s">
        <v>156</v>
      </c>
      <c r="C152" s="199" t="s">
        <v>136</v>
      </c>
      <c r="D152" s="178" t="s">
        <v>161</v>
      </c>
      <c r="E152" s="179" t="s">
        <v>121</v>
      </c>
      <c r="F152" s="182" t="s">
        <v>122</v>
      </c>
      <c r="G152" s="183">
        <v>104935</v>
      </c>
      <c r="H152" s="165"/>
    </row>
    <row r="153" spans="1:8">
      <c r="A153" s="178" t="s">
        <v>154</v>
      </c>
      <c r="B153" s="198" t="s">
        <v>151</v>
      </c>
      <c r="C153" s="199" t="s">
        <v>136</v>
      </c>
      <c r="D153" s="178" t="s">
        <v>158</v>
      </c>
      <c r="E153" s="179" t="s">
        <v>121</v>
      </c>
      <c r="F153" s="182" t="s">
        <v>122</v>
      </c>
      <c r="G153" s="183">
        <v>3000</v>
      </c>
      <c r="H153" s="165"/>
    </row>
    <row r="154" spans="1:8">
      <c r="A154" s="178" t="s">
        <v>150</v>
      </c>
      <c r="B154" s="198" t="s">
        <v>156</v>
      </c>
      <c r="C154" s="199" t="s">
        <v>136</v>
      </c>
      <c r="D154" s="178" t="s">
        <v>160</v>
      </c>
      <c r="E154" s="179" t="s">
        <v>121</v>
      </c>
      <c r="F154" s="182" t="s">
        <v>122</v>
      </c>
      <c r="G154" s="183">
        <v>25800</v>
      </c>
      <c r="H154" s="165"/>
    </row>
    <row r="155" spans="1:8">
      <c r="A155" s="178" t="s">
        <v>150</v>
      </c>
      <c r="B155" s="198" t="s">
        <v>151</v>
      </c>
      <c r="C155" s="199" t="s">
        <v>136</v>
      </c>
      <c r="D155" s="178" t="s">
        <v>160</v>
      </c>
      <c r="E155" s="179" t="s">
        <v>121</v>
      </c>
      <c r="F155" s="182" t="s">
        <v>122</v>
      </c>
      <c r="G155" s="183">
        <v>24500</v>
      </c>
      <c r="H155" s="165"/>
    </row>
    <row r="156" spans="1:8">
      <c r="A156" s="178" t="s">
        <v>150</v>
      </c>
      <c r="B156" s="198" t="s">
        <v>151</v>
      </c>
      <c r="C156" s="199" t="s">
        <v>136</v>
      </c>
      <c r="D156" s="178" t="s">
        <v>162</v>
      </c>
      <c r="E156" s="179" t="s">
        <v>121</v>
      </c>
      <c r="F156" s="182" t="s">
        <v>122</v>
      </c>
      <c r="G156" s="183">
        <v>19950</v>
      </c>
      <c r="H156" s="165"/>
    </row>
    <row r="157" spans="1:8">
      <c r="A157" s="176" t="s">
        <v>163</v>
      </c>
      <c r="B157" s="198" t="s">
        <v>164</v>
      </c>
      <c r="C157" s="200" t="s">
        <v>119</v>
      </c>
      <c r="D157" s="201" t="s">
        <v>165</v>
      </c>
      <c r="E157" s="179" t="s">
        <v>121</v>
      </c>
      <c r="F157" s="182" t="s">
        <v>122</v>
      </c>
      <c r="G157" s="183">
        <v>2320</v>
      </c>
      <c r="H157" s="165"/>
    </row>
    <row r="158" spans="1:8">
      <c r="A158" s="176" t="s">
        <v>166</v>
      </c>
      <c r="B158" s="202" t="s">
        <v>167</v>
      </c>
      <c r="C158" s="200" t="s">
        <v>119</v>
      </c>
      <c r="D158" s="178" t="s">
        <v>168</v>
      </c>
      <c r="E158" s="179" t="s">
        <v>121</v>
      </c>
      <c r="F158" s="182" t="s">
        <v>122</v>
      </c>
      <c r="G158" s="183">
        <v>27760</v>
      </c>
      <c r="H158" s="165"/>
    </row>
    <row r="159" spans="1:8">
      <c r="A159" s="176" t="s">
        <v>169</v>
      </c>
      <c r="B159" s="194" t="s">
        <v>170</v>
      </c>
      <c r="C159" s="200" t="s">
        <v>119</v>
      </c>
      <c r="D159" s="178" t="s">
        <v>171</v>
      </c>
      <c r="E159" s="179" t="s">
        <v>121</v>
      </c>
      <c r="F159" s="182" t="s">
        <v>122</v>
      </c>
      <c r="G159" s="183">
        <v>16020</v>
      </c>
      <c r="H159" s="165"/>
    </row>
    <row r="160" spans="1:8">
      <c r="A160" s="176" t="s">
        <v>126</v>
      </c>
      <c r="B160" s="178" t="s">
        <v>127</v>
      </c>
      <c r="C160" s="200" t="s">
        <v>119</v>
      </c>
      <c r="D160" s="176" t="s">
        <v>128</v>
      </c>
      <c r="E160" s="179" t="s">
        <v>121</v>
      </c>
      <c r="F160" s="178" t="s">
        <v>122</v>
      </c>
      <c r="G160" s="183">
        <v>233994</v>
      </c>
      <c r="H160" s="165"/>
    </row>
    <row r="161" spans="1:8">
      <c r="A161" s="176" t="s">
        <v>129</v>
      </c>
      <c r="B161" s="186" t="s">
        <v>130</v>
      </c>
      <c r="C161" s="200" t="s">
        <v>119</v>
      </c>
      <c r="D161" s="176" t="s">
        <v>128</v>
      </c>
      <c r="E161" s="179" t="s">
        <v>121</v>
      </c>
      <c r="F161" s="178" t="s">
        <v>122</v>
      </c>
      <c r="G161" s="183">
        <v>231900</v>
      </c>
      <c r="H161" s="165"/>
    </row>
    <row r="162" spans="1:8">
      <c r="A162" s="176" t="s">
        <v>166</v>
      </c>
      <c r="B162" s="178" t="s">
        <v>167</v>
      </c>
      <c r="C162" s="200" t="s">
        <v>119</v>
      </c>
      <c r="D162" s="201" t="s">
        <v>172</v>
      </c>
      <c r="E162" s="179" t="s">
        <v>121</v>
      </c>
      <c r="F162" s="178" t="s">
        <v>122</v>
      </c>
      <c r="G162" s="183">
        <v>22518</v>
      </c>
      <c r="H162" s="165"/>
    </row>
    <row r="163" spans="1:8">
      <c r="A163" s="176" t="s">
        <v>166</v>
      </c>
      <c r="B163" s="178" t="s">
        <v>167</v>
      </c>
      <c r="C163" s="200" t="s">
        <v>119</v>
      </c>
      <c r="D163" s="178" t="s">
        <v>173</v>
      </c>
      <c r="E163" s="179" t="s">
        <v>121</v>
      </c>
      <c r="F163" s="178" t="s">
        <v>122</v>
      </c>
      <c r="G163" s="178">
        <v>19200</v>
      </c>
      <c r="H163" s="165"/>
    </row>
    <row r="164" spans="1:8">
      <c r="A164" s="176" t="s">
        <v>174</v>
      </c>
      <c r="B164" s="178" t="s">
        <v>175</v>
      </c>
      <c r="C164" s="200" t="s">
        <v>119</v>
      </c>
      <c r="D164" s="201" t="s">
        <v>176</v>
      </c>
      <c r="E164" s="179" t="s">
        <v>121</v>
      </c>
      <c r="F164" s="182" t="s">
        <v>122</v>
      </c>
      <c r="G164" s="178">
        <v>16010</v>
      </c>
      <c r="H164" s="165"/>
    </row>
    <row r="165" spans="1:8">
      <c r="A165" s="176" t="s">
        <v>177</v>
      </c>
      <c r="B165" s="194" t="s">
        <v>178</v>
      </c>
      <c r="C165" s="200" t="s">
        <v>119</v>
      </c>
      <c r="D165" s="178" t="s">
        <v>179</v>
      </c>
      <c r="E165" s="179" t="s">
        <v>121</v>
      </c>
      <c r="F165" s="182" t="s">
        <v>122</v>
      </c>
      <c r="G165" s="178">
        <v>10440</v>
      </c>
      <c r="H165" s="165"/>
    </row>
    <row r="166" spans="1:8">
      <c r="A166" s="176" t="s">
        <v>180</v>
      </c>
      <c r="B166" s="186" t="s">
        <v>181</v>
      </c>
      <c r="C166" s="200" t="s">
        <v>136</v>
      </c>
      <c r="D166" s="201" t="s">
        <v>182</v>
      </c>
      <c r="E166" s="179" t="s">
        <v>121</v>
      </c>
      <c r="F166" s="182" t="s">
        <v>122</v>
      </c>
      <c r="G166" s="178">
        <v>24940</v>
      </c>
      <c r="H166" s="165"/>
    </row>
    <row r="167" spans="1:8">
      <c r="A167" s="176" t="s">
        <v>54</v>
      </c>
      <c r="B167" s="198" t="s">
        <v>105</v>
      </c>
      <c r="C167" s="200" t="s">
        <v>119</v>
      </c>
      <c r="D167" s="178" t="s">
        <v>183</v>
      </c>
      <c r="E167" s="179" t="s">
        <v>121</v>
      </c>
      <c r="F167" s="182" t="s">
        <v>122</v>
      </c>
      <c r="G167" s="183">
        <v>35516</v>
      </c>
      <c r="H167" s="165"/>
    </row>
    <row r="168" spans="1:8">
      <c r="A168" s="176" t="s">
        <v>54</v>
      </c>
      <c r="B168" s="198" t="s">
        <v>105</v>
      </c>
      <c r="C168" s="200" t="s">
        <v>119</v>
      </c>
      <c r="D168" s="201" t="s">
        <v>184</v>
      </c>
      <c r="E168" s="179" t="s">
        <v>121</v>
      </c>
      <c r="F168" s="182" t="s">
        <v>122</v>
      </c>
      <c r="G168" s="203">
        <v>1060</v>
      </c>
      <c r="H168" s="165"/>
    </row>
    <row r="169" spans="1:8">
      <c r="A169" s="176" t="s">
        <v>166</v>
      </c>
      <c r="B169" s="198" t="s">
        <v>185</v>
      </c>
      <c r="C169" s="200" t="s">
        <v>119</v>
      </c>
      <c r="D169" s="201" t="s">
        <v>186</v>
      </c>
      <c r="E169" s="179" t="s">
        <v>121</v>
      </c>
      <c r="F169" s="182" t="s">
        <v>122</v>
      </c>
      <c r="G169" s="183">
        <v>79884</v>
      </c>
      <c r="H169" s="165"/>
    </row>
    <row r="170" spans="1:8">
      <c r="A170" s="176" t="s">
        <v>166</v>
      </c>
      <c r="B170" s="198" t="s">
        <v>185</v>
      </c>
      <c r="C170" s="200" t="s">
        <v>119</v>
      </c>
      <c r="D170" s="178" t="s">
        <v>187</v>
      </c>
      <c r="E170" s="179" t="s">
        <v>121</v>
      </c>
      <c r="F170" s="182" t="s">
        <v>122</v>
      </c>
      <c r="G170" s="178">
        <v>17000</v>
      </c>
      <c r="H170" s="165"/>
    </row>
    <row r="171" spans="1:8">
      <c r="A171" s="176" t="s">
        <v>163</v>
      </c>
      <c r="B171" s="198" t="s">
        <v>164</v>
      </c>
      <c r="C171" s="200" t="s">
        <v>119</v>
      </c>
      <c r="D171" s="178" t="s">
        <v>173</v>
      </c>
      <c r="E171" s="204" t="s">
        <v>121</v>
      </c>
      <c r="F171" s="188" t="s">
        <v>122</v>
      </c>
      <c r="G171" s="178">
        <v>6300</v>
      </c>
      <c r="H171" s="165"/>
    </row>
    <row r="172" spans="1:8">
      <c r="A172" s="176" t="s">
        <v>166</v>
      </c>
      <c r="B172" s="198" t="s">
        <v>185</v>
      </c>
      <c r="C172" s="200" t="s">
        <v>119</v>
      </c>
      <c r="D172" s="178" t="s">
        <v>173</v>
      </c>
      <c r="E172" s="204" t="s">
        <v>121</v>
      </c>
      <c r="F172" s="188" t="s">
        <v>122</v>
      </c>
      <c r="G172" s="178">
        <v>7375</v>
      </c>
      <c r="H172" s="165"/>
    </row>
    <row r="173" spans="1:8">
      <c r="A173" s="176" t="s">
        <v>163</v>
      </c>
      <c r="B173" s="198" t="s">
        <v>164</v>
      </c>
      <c r="C173" s="200" t="s">
        <v>119</v>
      </c>
      <c r="D173" s="201" t="s">
        <v>188</v>
      </c>
      <c r="E173" s="204" t="s">
        <v>121</v>
      </c>
      <c r="F173" s="188" t="s">
        <v>122</v>
      </c>
      <c r="G173" s="183">
        <v>71000</v>
      </c>
      <c r="H173" s="165"/>
    </row>
    <row r="174" spans="1:8" ht="15.75">
      <c r="A174" s="176" t="s">
        <v>126</v>
      </c>
      <c r="B174" s="194" t="s">
        <v>127</v>
      </c>
      <c r="C174" s="200" t="s">
        <v>136</v>
      </c>
      <c r="D174" s="32" t="s">
        <v>99</v>
      </c>
      <c r="E174" s="204"/>
      <c r="F174" s="188" t="s">
        <v>42</v>
      </c>
      <c r="G174" s="183">
        <v>15520</v>
      </c>
      <c r="H174" s="165"/>
    </row>
    <row r="175" spans="1:8" ht="15.75">
      <c r="A175" s="176" t="s">
        <v>126</v>
      </c>
      <c r="B175" s="194" t="s">
        <v>127</v>
      </c>
      <c r="C175" s="200" t="s">
        <v>136</v>
      </c>
      <c r="D175" s="32" t="s">
        <v>99</v>
      </c>
      <c r="E175" s="204"/>
      <c r="F175" s="188" t="s">
        <v>42</v>
      </c>
      <c r="G175" s="183">
        <v>15520</v>
      </c>
      <c r="H175" s="165"/>
    </row>
    <row r="176" spans="1:8" ht="15.75">
      <c r="A176" s="176" t="s">
        <v>126</v>
      </c>
      <c r="B176" s="194" t="s">
        <v>127</v>
      </c>
      <c r="C176" s="200" t="s">
        <v>136</v>
      </c>
      <c r="D176" s="32" t="s">
        <v>99</v>
      </c>
      <c r="E176" s="204"/>
      <c r="F176" s="188" t="s">
        <v>42</v>
      </c>
      <c r="G176" s="183">
        <v>15520</v>
      </c>
      <c r="H176" s="165"/>
    </row>
    <row r="177" spans="1:8">
      <c r="A177" s="185"/>
      <c r="B177" s="194"/>
      <c r="C177" s="200"/>
      <c r="D177" s="185"/>
      <c r="E177" s="204"/>
      <c r="F177" s="188"/>
      <c r="G177" s="187"/>
      <c r="H177" s="165"/>
    </row>
    <row r="178" spans="1:8">
      <c r="A178" s="205" t="s">
        <v>20</v>
      </c>
      <c r="B178" s="206"/>
      <c r="C178" s="200"/>
      <c r="D178" s="205"/>
      <c r="E178" s="204"/>
      <c r="F178" s="207"/>
      <c r="G178" s="208">
        <f>SUM(G135:G177)</f>
        <v>2315294</v>
      </c>
      <c r="H178" s="165"/>
    </row>
    <row r="179" spans="1:8">
      <c r="A179" s="209"/>
      <c r="B179" s="206"/>
      <c r="C179" s="210"/>
      <c r="D179" s="209"/>
      <c r="E179" s="211"/>
      <c r="F179" s="212"/>
      <c r="G179" s="213"/>
      <c r="H179" s="165"/>
    </row>
    <row r="180" spans="1:8">
      <c r="A180" s="214"/>
      <c r="B180" s="182"/>
      <c r="C180" s="215" t="s">
        <v>50</v>
      </c>
      <c r="D180" s="211"/>
      <c r="E180" s="211"/>
      <c r="F180" s="210"/>
      <c r="G180" s="216"/>
      <c r="H180" s="165"/>
    </row>
    <row r="181" spans="1:8">
      <c r="A181" s="178" t="s">
        <v>61</v>
      </c>
      <c r="B181" s="194" t="s">
        <v>189</v>
      </c>
      <c r="C181" s="169" t="s">
        <v>119</v>
      </c>
      <c r="D181" s="178" t="s">
        <v>190</v>
      </c>
      <c r="E181" s="179" t="s">
        <v>121</v>
      </c>
      <c r="F181" s="180" t="s">
        <v>122</v>
      </c>
      <c r="G181" s="183">
        <v>12500</v>
      </c>
      <c r="H181" s="165"/>
    </row>
    <row r="182" spans="1:8">
      <c r="A182" s="176" t="s">
        <v>191</v>
      </c>
      <c r="B182" s="198" t="s">
        <v>192</v>
      </c>
      <c r="C182" s="179" t="s">
        <v>119</v>
      </c>
      <c r="D182" s="178" t="s">
        <v>193</v>
      </c>
      <c r="E182" s="217" t="s">
        <v>121</v>
      </c>
      <c r="F182" s="218" t="s">
        <v>122</v>
      </c>
      <c r="G182" s="178">
        <v>19200</v>
      </c>
      <c r="H182" s="165"/>
    </row>
    <row r="183" spans="1:8">
      <c r="A183" s="176" t="s">
        <v>194</v>
      </c>
      <c r="B183" s="219" t="s">
        <v>195</v>
      </c>
      <c r="C183" s="179" t="s">
        <v>119</v>
      </c>
      <c r="D183" s="182" t="s">
        <v>196</v>
      </c>
      <c r="E183" s="217" t="s">
        <v>121</v>
      </c>
      <c r="F183" s="182" t="s">
        <v>122</v>
      </c>
      <c r="G183" s="183">
        <v>164720</v>
      </c>
      <c r="H183" s="165"/>
    </row>
    <row r="184" spans="1:8">
      <c r="A184" s="182"/>
      <c r="B184" s="182"/>
      <c r="C184" s="179"/>
      <c r="D184" s="182"/>
      <c r="E184" s="217"/>
      <c r="F184" s="182"/>
      <c r="G184" s="184"/>
      <c r="H184" s="165"/>
    </row>
    <row r="185" spans="1:8">
      <c r="A185" s="182"/>
      <c r="B185" s="182"/>
      <c r="C185" s="179"/>
      <c r="D185" s="182"/>
      <c r="E185" s="217"/>
      <c r="F185" s="182"/>
      <c r="G185" s="184"/>
      <c r="H185" s="165"/>
    </row>
    <row r="186" spans="1:8">
      <c r="A186" s="182" t="s">
        <v>20</v>
      </c>
      <c r="B186" s="182"/>
      <c r="C186" s="179"/>
      <c r="D186" s="182"/>
      <c r="E186" s="217"/>
      <c r="F186" s="182"/>
      <c r="G186" s="220">
        <f>SUM(G181:G185)</f>
        <v>196420</v>
      </c>
      <c r="H186" s="165"/>
    </row>
    <row r="187" spans="1:8">
      <c r="A187" s="185"/>
      <c r="B187" s="186"/>
      <c r="C187" s="179"/>
      <c r="D187" s="185"/>
      <c r="E187" s="217"/>
      <c r="F187" s="182"/>
      <c r="G187" s="187"/>
      <c r="H187" s="165"/>
    </row>
    <row r="188" spans="1:8">
      <c r="A188" s="185"/>
      <c r="B188" s="186"/>
      <c r="C188" s="179"/>
      <c r="D188" s="185"/>
      <c r="E188" s="217"/>
      <c r="F188" s="188"/>
      <c r="G188" s="187"/>
      <c r="H188" s="165"/>
    </row>
    <row r="189" spans="1:8">
      <c r="A189" s="185"/>
      <c r="B189" s="186"/>
      <c r="C189" s="195"/>
      <c r="D189" s="185"/>
      <c r="E189" s="204"/>
      <c r="F189" s="188"/>
      <c r="G189" s="187"/>
      <c r="H189" s="165"/>
    </row>
    <row r="190" spans="1:8">
      <c r="A190" s="207"/>
      <c r="B190" s="207"/>
      <c r="C190" s="195"/>
      <c r="D190" s="207"/>
      <c r="E190" s="204"/>
      <c r="F190" s="221"/>
      <c r="G190" s="222"/>
      <c r="H190" s="165"/>
    </row>
    <row r="191" spans="1:8">
      <c r="A191" s="229" t="s">
        <v>202</v>
      </c>
      <c r="B191" s="241"/>
      <c r="C191" s="223"/>
      <c r="D191" s="224"/>
      <c r="E191" s="225"/>
      <c r="F191" s="226"/>
      <c r="G191" s="227"/>
      <c r="H191" s="165"/>
    </row>
    <row r="192" spans="1:8">
      <c r="A192" s="229" t="s">
        <v>201</v>
      </c>
      <c r="C192" s="223"/>
      <c r="D192" s="228"/>
      <c r="E192" s="225"/>
      <c r="F192" s="226"/>
      <c r="G192" s="227"/>
      <c r="H192" s="165"/>
    </row>
    <row r="193" spans="1:8">
      <c r="A193" s="228"/>
      <c r="B193" s="229"/>
      <c r="C193" s="223"/>
      <c r="D193" s="229"/>
      <c r="E193" s="166"/>
      <c r="F193" s="230"/>
      <c r="G193" s="231"/>
      <c r="H193" s="165"/>
    </row>
    <row r="194" spans="1:8">
      <c r="A194" s="228"/>
      <c r="B194" s="229" t="s">
        <v>66</v>
      </c>
      <c r="C194" s="232"/>
      <c r="D194" s="166"/>
      <c r="E194" s="166"/>
      <c r="F194" s="230"/>
      <c r="G194" s="233"/>
      <c r="H194" s="165"/>
    </row>
    <row r="195" spans="1:8" ht="26.25">
      <c r="A195" s="168" t="s">
        <v>67</v>
      </c>
      <c r="B195" s="166" t="s">
        <v>68</v>
      </c>
      <c r="C195" s="169" t="s">
        <v>69</v>
      </c>
      <c r="D195" s="168" t="s">
        <v>70</v>
      </c>
      <c r="E195" s="168" t="s">
        <v>71</v>
      </c>
      <c r="F195" s="230"/>
      <c r="G195" s="233"/>
      <c r="H195" s="165"/>
    </row>
    <row r="196" spans="1:8">
      <c r="A196" s="168">
        <v>1</v>
      </c>
      <c r="B196" s="168" t="s">
        <v>9</v>
      </c>
      <c r="C196" s="234">
        <v>5</v>
      </c>
      <c r="D196" s="235">
        <v>485278</v>
      </c>
      <c r="E196" s="236">
        <v>0.16</v>
      </c>
      <c r="F196" s="230"/>
      <c r="G196" s="233"/>
      <c r="H196" s="165"/>
    </row>
    <row r="197" spans="1:8">
      <c r="A197" s="168">
        <v>2</v>
      </c>
      <c r="B197" s="173" t="s">
        <v>72</v>
      </c>
      <c r="C197" s="234">
        <v>42</v>
      </c>
      <c r="D197" s="237">
        <v>2315294</v>
      </c>
      <c r="E197" s="238">
        <v>0.77</v>
      </c>
      <c r="F197" s="239"/>
      <c r="G197" s="229"/>
      <c r="H197" s="165"/>
    </row>
    <row r="198" spans="1:8">
      <c r="A198" s="168">
        <v>3</v>
      </c>
      <c r="B198" s="173" t="s">
        <v>73</v>
      </c>
      <c r="C198" s="234">
        <v>3</v>
      </c>
      <c r="D198" s="237">
        <v>196420</v>
      </c>
      <c r="E198" s="238">
        <v>7.0000000000000007E-2</v>
      </c>
      <c r="F198" s="239"/>
      <c r="G198" s="229"/>
      <c r="H198" s="165"/>
    </row>
    <row r="199" spans="1:8">
      <c r="A199" s="168"/>
      <c r="B199" s="173" t="s">
        <v>74</v>
      </c>
      <c r="C199" s="234">
        <f>SUM(C196:C198)</f>
        <v>50</v>
      </c>
      <c r="D199" s="240">
        <f>SUM(D196:D198)</f>
        <v>2996992</v>
      </c>
      <c r="E199" s="238">
        <f>SUM(E196:E198)</f>
        <v>1</v>
      </c>
      <c r="F199" s="239"/>
      <c r="G199" s="229"/>
      <c r="H199" s="165"/>
    </row>
    <row r="200" spans="1:8">
      <c r="A200" s="229"/>
      <c r="B200" s="229"/>
      <c r="C200" s="229"/>
      <c r="D200" s="229"/>
      <c r="E200" s="229"/>
      <c r="F200" s="229"/>
      <c r="G200" s="229"/>
      <c r="H200" s="165"/>
    </row>
    <row r="201" spans="1:8">
      <c r="A201" s="229" t="s">
        <v>75</v>
      </c>
      <c r="B201" s="229"/>
      <c r="C201" s="229"/>
      <c r="D201" s="229" t="s">
        <v>76</v>
      </c>
      <c r="E201" s="229"/>
      <c r="F201" s="229"/>
      <c r="G201" s="229"/>
      <c r="H201" s="165"/>
    </row>
    <row r="202" spans="1:8">
      <c r="A202" s="229"/>
      <c r="B202" s="229"/>
      <c r="C202" s="229"/>
      <c r="D202" s="229"/>
      <c r="E202" s="229"/>
      <c r="F202" s="229"/>
      <c r="G202" s="229"/>
      <c r="H202" s="165"/>
    </row>
    <row r="203" spans="1:8">
      <c r="A203" s="229"/>
      <c r="B203" s="229"/>
      <c r="C203" s="229"/>
      <c r="D203" s="229"/>
      <c r="E203" s="229"/>
      <c r="F203" s="229"/>
      <c r="G203" s="229"/>
      <c r="H203" s="165"/>
    </row>
    <row r="204" spans="1:8">
      <c r="A204" s="229" t="s">
        <v>77</v>
      </c>
      <c r="B204" s="229"/>
      <c r="C204" s="229"/>
      <c r="D204" s="229"/>
      <c r="E204" s="229"/>
      <c r="F204" s="229"/>
      <c r="G204" s="229"/>
      <c r="H204" s="165"/>
    </row>
    <row r="208" spans="1:8" ht="15.75">
      <c r="A208" s="117" t="s">
        <v>253</v>
      </c>
      <c r="B208" s="117"/>
      <c r="C208" s="130"/>
      <c r="D208" s="242"/>
      <c r="E208" s="242"/>
      <c r="F208" s="243"/>
      <c r="G208" s="242"/>
    </row>
    <row r="209" spans="1:7" ht="15.75">
      <c r="A209" s="117" t="s">
        <v>0</v>
      </c>
      <c r="B209" s="117"/>
      <c r="C209" s="118"/>
      <c r="D209" s="113"/>
      <c r="E209" s="242"/>
      <c r="F209" s="244"/>
      <c r="G209" s="242"/>
    </row>
    <row r="210" spans="1:7" ht="15.75">
      <c r="A210" s="117" t="s">
        <v>1</v>
      </c>
      <c r="B210" s="117"/>
      <c r="C210" s="118"/>
      <c r="D210" s="113"/>
      <c r="E210" s="242"/>
      <c r="F210" s="244"/>
      <c r="G210" s="242"/>
    </row>
    <row r="211" spans="1:7" ht="60">
      <c r="A211" s="131" t="s">
        <v>2</v>
      </c>
      <c r="B211" s="131" t="s">
        <v>3</v>
      </c>
      <c r="C211" s="132" t="s">
        <v>4</v>
      </c>
      <c r="D211" s="131" t="s">
        <v>5</v>
      </c>
      <c r="E211" s="131" t="s">
        <v>6</v>
      </c>
      <c r="F211" s="133" t="s">
        <v>7</v>
      </c>
      <c r="G211" s="131" t="s">
        <v>8</v>
      </c>
    </row>
    <row r="212" spans="1:7">
      <c r="A212" s="245"/>
      <c r="B212" s="246"/>
      <c r="C212" s="132" t="s">
        <v>9</v>
      </c>
      <c r="D212" s="246"/>
      <c r="E212" s="247"/>
      <c r="F212" s="248"/>
      <c r="G212" s="249"/>
    </row>
    <row r="213" spans="1:7">
      <c r="A213" s="176" t="s">
        <v>117</v>
      </c>
      <c r="B213" s="177" t="s">
        <v>118</v>
      </c>
      <c r="C213" s="169" t="s">
        <v>119</v>
      </c>
      <c r="D213" s="182" t="s">
        <v>254</v>
      </c>
      <c r="E213" s="179"/>
      <c r="F213" s="180" t="s">
        <v>197</v>
      </c>
      <c r="G213" s="251">
        <v>116400</v>
      </c>
    </row>
    <row r="214" spans="1:7">
      <c r="A214" s="176" t="s">
        <v>117</v>
      </c>
      <c r="B214" s="177" t="s">
        <v>118</v>
      </c>
      <c r="C214" s="169" t="s">
        <v>119</v>
      </c>
      <c r="D214" s="182" t="s">
        <v>255</v>
      </c>
      <c r="E214" s="179"/>
      <c r="F214" s="180" t="s">
        <v>197</v>
      </c>
      <c r="G214" s="251">
        <v>147800</v>
      </c>
    </row>
    <row r="215" spans="1:7">
      <c r="A215" s="176" t="s">
        <v>117</v>
      </c>
      <c r="B215" s="177" t="s">
        <v>118</v>
      </c>
      <c r="C215" s="169" t="s">
        <v>119</v>
      </c>
      <c r="D215" s="182" t="s">
        <v>256</v>
      </c>
      <c r="E215" s="179"/>
      <c r="F215" s="180" t="s">
        <v>197</v>
      </c>
      <c r="G215" s="251">
        <v>117100</v>
      </c>
    </row>
    <row r="216" spans="1:7" ht="15.75">
      <c r="A216" s="20"/>
      <c r="B216" s="20"/>
      <c r="C216" s="18"/>
      <c r="D216" s="18"/>
      <c r="E216" s="18"/>
      <c r="F216" s="250"/>
      <c r="G216" s="252"/>
    </row>
    <row r="217" spans="1:7" ht="15.75">
      <c r="A217" s="18"/>
      <c r="B217" s="20"/>
      <c r="C217" s="18"/>
      <c r="D217" s="20"/>
      <c r="E217" s="18"/>
      <c r="F217" s="250"/>
      <c r="G217" s="251"/>
    </row>
    <row r="218" spans="1:7" ht="15.75">
      <c r="A218" s="18"/>
      <c r="B218" s="20"/>
      <c r="C218" s="18"/>
      <c r="D218" s="20"/>
      <c r="E218" s="18"/>
      <c r="F218" s="250"/>
      <c r="G218" s="251"/>
    </row>
    <row r="219" spans="1:7" ht="15.75">
      <c r="A219" s="68" t="s">
        <v>20</v>
      </c>
      <c r="B219" s="20"/>
      <c r="C219" s="18"/>
      <c r="D219" s="20"/>
      <c r="E219" s="18"/>
      <c r="F219" s="250"/>
      <c r="G219" s="251"/>
    </row>
    <row r="220" spans="1:7" ht="15.75">
      <c r="B220" s="43"/>
      <c r="C220" s="253"/>
      <c r="D220" s="20"/>
      <c r="E220" s="247"/>
      <c r="F220" s="254"/>
      <c r="G220" s="293">
        <f>SUM(G213:G219)</f>
        <v>381300</v>
      </c>
    </row>
    <row r="221" spans="1:7">
      <c r="A221" s="256"/>
      <c r="B221" s="257"/>
      <c r="C221" s="294" t="s">
        <v>21</v>
      </c>
      <c r="D221" s="258"/>
      <c r="E221" s="256"/>
      <c r="F221" s="259"/>
      <c r="G221" s="258"/>
    </row>
    <row r="222" spans="1:7" ht="18.75">
      <c r="A222" s="260" t="s">
        <v>203</v>
      </c>
      <c r="B222" s="261" t="s">
        <v>148</v>
      </c>
      <c r="C222" s="262" t="s">
        <v>82</v>
      </c>
      <c r="D222" s="263" t="s">
        <v>204</v>
      </c>
      <c r="E222" s="262" t="s">
        <v>16</v>
      </c>
      <c r="F222" t="s">
        <v>122</v>
      </c>
      <c r="G222" s="264">
        <v>184999</v>
      </c>
    </row>
    <row r="223" spans="1:7" ht="18.75">
      <c r="A223" s="265" t="s">
        <v>84</v>
      </c>
      <c r="B223" s="265" t="s">
        <v>85</v>
      </c>
      <c r="C223" s="265" t="s">
        <v>11</v>
      </c>
      <c r="D223" s="263" t="s">
        <v>205</v>
      </c>
      <c r="E223" s="265" t="s">
        <v>16</v>
      </c>
      <c r="F223" t="s">
        <v>122</v>
      </c>
      <c r="G223" s="264">
        <v>34500</v>
      </c>
    </row>
    <row r="224" spans="1:7" ht="18.75">
      <c r="A224" s="265" t="s">
        <v>206</v>
      </c>
      <c r="B224" s="266" t="s">
        <v>151</v>
      </c>
      <c r="C224" s="264" t="s">
        <v>89</v>
      </c>
      <c r="D224" s="263" t="s">
        <v>207</v>
      </c>
      <c r="E224" s="265" t="s">
        <v>16</v>
      </c>
      <c r="F224" t="s">
        <v>122</v>
      </c>
      <c r="G224" s="264">
        <v>24500</v>
      </c>
    </row>
    <row r="225" spans="1:7" ht="18.75">
      <c r="A225" s="265" t="s">
        <v>206</v>
      </c>
      <c r="B225" s="266" t="s">
        <v>151</v>
      </c>
      <c r="C225" s="264" t="s">
        <v>89</v>
      </c>
      <c r="D225" s="263" t="s">
        <v>208</v>
      </c>
      <c r="E225" s="265" t="s">
        <v>16</v>
      </c>
      <c r="F225" t="s">
        <v>122</v>
      </c>
      <c r="G225" s="264">
        <v>24500</v>
      </c>
    </row>
    <row r="226" spans="1:7" ht="18.75">
      <c r="A226" s="260" t="s">
        <v>209</v>
      </c>
      <c r="B226" s="261" t="s">
        <v>148</v>
      </c>
      <c r="C226" s="264" t="s">
        <v>82</v>
      </c>
      <c r="D226" s="263" t="s">
        <v>210</v>
      </c>
      <c r="E226" s="265" t="s">
        <v>16</v>
      </c>
      <c r="F226" t="s">
        <v>122</v>
      </c>
      <c r="G226" s="264">
        <v>5998</v>
      </c>
    </row>
    <row r="227" spans="1:7" ht="18.75">
      <c r="A227" s="265" t="s">
        <v>206</v>
      </c>
      <c r="B227" s="266" t="s">
        <v>151</v>
      </c>
      <c r="C227" s="262" t="s">
        <v>89</v>
      </c>
      <c r="D227" s="263" t="s">
        <v>211</v>
      </c>
      <c r="E227" s="265" t="s">
        <v>16</v>
      </c>
      <c r="F227" t="s">
        <v>122</v>
      </c>
      <c r="G227" s="264">
        <v>19950</v>
      </c>
    </row>
    <row r="228" spans="1:7" ht="18.75">
      <c r="A228" s="260" t="s">
        <v>212</v>
      </c>
      <c r="B228" s="267" t="s">
        <v>213</v>
      </c>
      <c r="C228" s="265" t="s">
        <v>11</v>
      </c>
      <c r="D228" s="263" t="s">
        <v>214</v>
      </c>
      <c r="E228" s="265" t="s">
        <v>16</v>
      </c>
      <c r="F228" t="s">
        <v>122</v>
      </c>
      <c r="G228" s="264">
        <v>63800</v>
      </c>
    </row>
    <row r="229" spans="1:7" ht="18.75">
      <c r="A229" s="265" t="s">
        <v>209</v>
      </c>
      <c r="B229" s="261" t="s">
        <v>148</v>
      </c>
      <c r="C229" s="264" t="s">
        <v>82</v>
      </c>
      <c r="D229" s="263" t="s">
        <v>215</v>
      </c>
      <c r="E229" s="265" t="s">
        <v>16</v>
      </c>
      <c r="F229" t="s">
        <v>122</v>
      </c>
      <c r="G229" s="264">
        <v>14899</v>
      </c>
    </row>
    <row r="230" spans="1:7" ht="18.75">
      <c r="A230" s="265" t="s">
        <v>216</v>
      </c>
      <c r="B230" s="266" t="s">
        <v>217</v>
      </c>
      <c r="C230" s="265" t="s">
        <v>11</v>
      </c>
      <c r="D230" s="263" t="s">
        <v>218</v>
      </c>
      <c r="E230" s="265" t="s">
        <v>16</v>
      </c>
      <c r="F230" t="s">
        <v>122</v>
      </c>
      <c r="G230" s="264">
        <v>9090</v>
      </c>
    </row>
    <row r="231" spans="1:7" ht="18.75">
      <c r="A231" s="265" t="s">
        <v>138</v>
      </c>
      <c r="B231" s="265" t="s">
        <v>85</v>
      </c>
      <c r="C231" s="265" t="s">
        <v>11</v>
      </c>
      <c r="D231" s="263" t="s">
        <v>219</v>
      </c>
      <c r="E231" s="262" t="s">
        <v>16</v>
      </c>
      <c r="F231" t="s">
        <v>122</v>
      </c>
      <c r="G231" s="264">
        <v>43400</v>
      </c>
    </row>
    <row r="232" spans="1:7" ht="18.75">
      <c r="A232" s="265" t="s">
        <v>138</v>
      </c>
      <c r="B232" s="265" t="s">
        <v>85</v>
      </c>
      <c r="C232" s="265" t="s">
        <v>11</v>
      </c>
      <c r="D232" s="263" t="s">
        <v>220</v>
      </c>
      <c r="E232" s="262" t="s">
        <v>16</v>
      </c>
      <c r="F232" t="s">
        <v>122</v>
      </c>
      <c r="G232" s="264">
        <v>24200</v>
      </c>
    </row>
    <row r="233" spans="1:7" ht="18.75">
      <c r="A233" s="268" t="s">
        <v>221</v>
      </c>
      <c r="B233" s="266" t="s">
        <v>222</v>
      </c>
      <c r="C233" s="265" t="s">
        <v>11</v>
      </c>
      <c r="D233" s="263" t="s">
        <v>218</v>
      </c>
      <c r="E233" s="262" t="s">
        <v>16</v>
      </c>
      <c r="F233" t="s">
        <v>122</v>
      </c>
      <c r="G233" s="264">
        <v>56800</v>
      </c>
    </row>
    <row r="234" spans="1:7" ht="18.75">
      <c r="A234" s="269" t="s">
        <v>154</v>
      </c>
      <c r="B234" s="270" t="s">
        <v>223</v>
      </c>
      <c r="C234" s="271" t="s">
        <v>89</v>
      </c>
      <c r="D234" s="272" t="s">
        <v>224</v>
      </c>
      <c r="E234" s="20" t="s">
        <v>16</v>
      </c>
      <c r="F234" t="s">
        <v>122</v>
      </c>
      <c r="G234" s="273">
        <v>120500</v>
      </c>
    </row>
    <row r="235" spans="1:7" ht="18.75">
      <c r="A235" s="269" t="s">
        <v>225</v>
      </c>
      <c r="B235" s="274" t="s">
        <v>226</v>
      </c>
      <c r="C235" s="271" t="s">
        <v>82</v>
      </c>
      <c r="D235" s="272" t="s">
        <v>227</v>
      </c>
      <c r="E235" s="20" t="s">
        <v>16</v>
      </c>
      <c r="F235" t="s">
        <v>122</v>
      </c>
      <c r="G235" s="273">
        <v>48300</v>
      </c>
    </row>
    <row r="236" spans="1:7" ht="15.75">
      <c r="A236" s="268" t="s">
        <v>228</v>
      </c>
      <c r="B236" s="275" t="s">
        <v>229</v>
      </c>
      <c r="C236" s="271" t="s">
        <v>82</v>
      </c>
      <c r="D236" s="276" t="s">
        <v>230</v>
      </c>
      <c r="E236" s="20" t="s">
        <v>16</v>
      </c>
      <c r="F236" t="s">
        <v>122</v>
      </c>
      <c r="G236" s="252">
        <v>9800</v>
      </c>
    </row>
    <row r="237" spans="1:7" ht="15.75">
      <c r="A237" s="268" t="s">
        <v>228</v>
      </c>
      <c r="B237" s="275" t="s">
        <v>229</v>
      </c>
      <c r="C237" s="271" t="s">
        <v>82</v>
      </c>
      <c r="D237" s="269" t="s">
        <v>231</v>
      </c>
      <c r="E237" s="20" t="s">
        <v>16</v>
      </c>
      <c r="F237" t="s">
        <v>122</v>
      </c>
      <c r="G237" s="277">
        <v>7600</v>
      </c>
    </row>
    <row r="238" spans="1:7" ht="15.75">
      <c r="A238" s="176" t="s">
        <v>126</v>
      </c>
      <c r="B238" s="194" t="s">
        <v>127</v>
      </c>
      <c r="C238" s="200" t="s">
        <v>136</v>
      </c>
      <c r="D238" s="32" t="s">
        <v>257</v>
      </c>
      <c r="E238" s="204"/>
      <c r="F238" s="188" t="s">
        <v>42</v>
      </c>
      <c r="G238" s="183">
        <v>15520</v>
      </c>
    </row>
    <row r="239" spans="1:7" ht="15.75">
      <c r="A239" s="176" t="s">
        <v>126</v>
      </c>
      <c r="B239" s="194" t="s">
        <v>127</v>
      </c>
      <c r="C239" s="200" t="s">
        <v>136</v>
      </c>
      <c r="D239" s="32" t="s">
        <v>258</v>
      </c>
      <c r="E239" s="204"/>
      <c r="F239" s="188" t="s">
        <v>42</v>
      </c>
      <c r="G239" s="183">
        <v>15520</v>
      </c>
    </row>
    <row r="240" spans="1:7" ht="15.75">
      <c r="A240" s="176" t="s">
        <v>126</v>
      </c>
      <c r="B240" s="194" t="s">
        <v>127</v>
      </c>
      <c r="C240" s="200" t="s">
        <v>136</v>
      </c>
      <c r="D240" s="32" t="s">
        <v>259</v>
      </c>
      <c r="E240" s="204"/>
      <c r="F240" s="188" t="s">
        <v>42</v>
      </c>
      <c r="G240" s="183">
        <v>15520</v>
      </c>
    </row>
    <row r="241" spans="1:7" ht="18">
      <c r="A241" s="85" t="s">
        <v>20</v>
      </c>
      <c r="B241" s="38"/>
      <c r="C241" s="87"/>
      <c r="D241" s="88"/>
      <c r="E241" s="89"/>
      <c r="F241" s="28"/>
      <c r="G241" s="297">
        <f>SUM(G222:G240)</f>
        <v>739396</v>
      </c>
    </row>
    <row r="242" spans="1:7" ht="18">
      <c r="A242" s="91"/>
      <c r="B242" s="18"/>
      <c r="C242" s="92" t="s">
        <v>50</v>
      </c>
      <c r="D242" s="93"/>
      <c r="E242" s="93"/>
      <c r="F242" s="94"/>
      <c r="G242" s="95"/>
    </row>
    <row r="243" spans="1:7" ht="18.75">
      <c r="A243" s="18" t="s">
        <v>232</v>
      </c>
      <c r="B243" s="274" t="s">
        <v>233</v>
      </c>
      <c r="C243" s="18" t="s">
        <v>11</v>
      </c>
      <c r="D243" s="278" t="s">
        <v>234</v>
      </c>
      <c r="E243" s="18" t="s">
        <v>16</v>
      </c>
      <c r="F243" t="s">
        <v>122</v>
      </c>
      <c r="G243" s="279">
        <v>58050</v>
      </c>
    </row>
    <row r="244" spans="1:7" ht="18.75">
      <c r="A244" s="18" t="s">
        <v>235</v>
      </c>
      <c r="B244" s="274" t="s">
        <v>236</v>
      </c>
      <c r="C244" s="18" t="s">
        <v>11</v>
      </c>
      <c r="D244" s="278" t="s">
        <v>237</v>
      </c>
      <c r="E244" s="18" t="s">
        <v>16</v>
      </c>
      <c r="F244" t="s">
        <v>122</v>
      </c>
      <c r="G244" s="273">
        <v>65000</v>
      </c>
    </row>
    <row r="245" spans="1:7" ht="15.75">
      <c r="A245" s="280" t="s">
        <v>238</v>
      </c>
      <c r="B245" s="274" t="s">
        <v>239</v>
      </c>
      <c r="C245" s="18" t="s">
        <v>11</v>
      </c>
      <c r="D245" s="276" t="s">
        <v>240</v>
      </c>
      <c r="E245" s="18" t="s">
        <v>16</v>
      </c>
      <c r="F245" t="s">
        <v>122</v>
      </c>
      <c r="G245" s="273">
        <v>35700</v>
      </c>
    </row>
    <row r="246" spans="1:7" ht="15.75">
      <c r="A246" s="18" t="s">
        <v>241</v>
      </c>
      <c r="B246" s="266" t="s">
        <v>242</v>
      </c>
      <c r="C246" s="18" t="s">
        <v>11</v>
      </c>
      <c r="D246" s="276" t="s">
        <v>243</v>
      </c>
      <c r="E246" s="18" t="s">
        <v>16</v>
      </c>
      <c r="F246" t="s">
        <v>122</v>
      </c>
      <c r="G246" s="273">
        <v>25750</v>
      </c>
    </row>
    <row r="247" spans="1:7" ht="18.75">
      <c r="A247" s="18" t="s">
        <v>235</v>
      </c>
      <c r="B247" s="274" t="s">
        <v>236</v>
      </c>
      <c r="C247" s="18" t="s">
        <v>11</v>
      </c>
      <c r="D247" s="278" t="s">
        <v>244</v>
      </c>
      <c r="E247" s="18" t="s">
        <v>16</v>
      </c>
      <c r="F247" t="s">
        <v>122</v>
      </c>
      <c r="G247" s="273">
        <v>68750</v>
      </c>
    </row>
    <row r="248" spans="1:7" ht="15.75">
      <c r="A248" s="281" t="s">
        <v>245</v>
      </c>
      <c r="B248" s="270" t="s">
        <v>246</v>
      </c>
      <c r="C248" s="18" t="s">
        <v>11</v>
      </c>
      <c r="D248" s="276" t="s">
        <v>218</v>
      </c>
      <c r="E248" s="18" t="s">
        <v>16</v>
      </c>
      <c r="F248" t="s">
        <v>122</v>
      </c>
      <c r="G248" s="273">
        <v>40848</v>
      </c>
    </row>
    <row r="249" spans="1:7" ht="30">
      <c r="A249" s="282" t="s">
        <v>247</v>
      </c>
      <c r="B249" s="283" t="s">
        <v>248</v>
      </c>
      <c r="C249" s="18" t="s">
        <v>11</v>
      </c>
      <c r="D249" s="272" t="s">
        <v>204</v>
      </c>
      <c r="E249" s="18" t="s">
        <v>16</v>
      </c>
      <c r="F249" t="s">
        <v>122</v>
      </c>
      <c r="G249" s="273">
        <v>138300</v>
      </c>
    </row>
    <row r="250" spans="1:7" ht="18.75">
      <c r="A250" s="18" t="s">
        <v>241</v>
      </c>
      <c r="B250" s="266" t="s">
        <v>242</v>
      </c>
      <c r="C250" s="18"/>
      <c r="D250" s="272" t="s">
        <v>220</v>
      </c>
      <c r="E250" s="269" t="s">
        <v>16</v>
      </c>
      <c r="F250" t="s">
        <v>122</v>
      </c>
      <c r="G250" s="273">
        <v>31650</v>
      </c>
    </row>
    <row r="251" spans="1:7" ht="15.75">
      <c r="A251" s="280" t="s">
        <v>238</v>
      </c>
      <c r="B251" s="274" t="s">
        <v>239</v>
      </c>
      <c r="C251" s="269" t="s">
        <v>89</v>
      </c>
      <c r="D251" s="269" t="s">
        <v>249</v>
      </c>
      <c r="E251" s="269" t="s">
        <v>16</v>
      </c>
      <c r="F251" t="s">
        <v>122</v>
      </c>
      <c r="G251" s="277">
        <v>54000</v>
      </c>
    </row>
    <row r="252" spans="1:7" ht="15.75">
      <c r="A252" s="18" t="s">
        <v>250</v>
      </c>
      <c r="B252" s="20" t="s">
        <v>251</v>
      </c>
      <c r="C252" s="18" t="s">
        <v>30</v>
      </c>
      <c r="D252" s="20" t="s">
        <v>252</v>
      </c>
      <c r="E252" s="18" t="s">
        <v>16</v>
      </c>
      <c r="F252" s="250" t="s">
        <v>122</v>
      </c>
      <c r="G252" s="295">
        <v>1875690</v>
      </c>
    </row>
    <row r="253" spans="1:7" ht="15.75">
      <c r="A253" s="18"/>
      <c r="B253" s="20"/>
      <c r="C253" s="18"/>
      <c r="D253" s="20"/>
      <c r="E253" s="18"/>
      <c r="F253" s="250"/>
      <c r="G253" s="284"/>
    </row>
    <row r="254" spans="1:7" ht="15.75">
      <c r="A254" s="18"/>
      <c r="B254" s="20"/>
      <c r="C254" s="18"/>
      <c r="D254" s="20"/>
      <c r="E254" s="18"/>
      <c r="F254" s="250"/>
      <c r="G254" s="284"/>
    </row>
    <row r="255" spans="1:7" ht="15.75">
      <c r="A255" s="101" t="s">
        <v>20</v>
      </c>
      <c r="B255" s="18"/>
      <c r="C255" s="285"/>
      <c r="D255" s="88"/>
      <c r="E255" s="151"/>
      <c r="F255" s="28"/>
      <c r="G255" s="296">
        <f>SUM(G243:G254)</f>
        <v>2393738</v>
      </c>
    </row>
    <row r="256" spans="1:7" ht="15.75">
      <c r="A256" s="20"/>
      <c r="B256" s="43"/>
      <c r="C256" s="285"/>
      <c r="D256" s="20"/>
      <c r="E256" s="151"/>
      <c r="F256" s="18"/>
      <c r="G256" s="22"/>
    </row>
    <row r="257" spans="1:7" ht="15.75">
      <c r="A257" s="20"/>
      <c r="B257" s="43"/>
      <c r="C257" s="285"/>
      <c r="D257" s="20"/>
      <c r="E257" s="151"/>
      <c r="F257" s="255"/>
      <c r="G257" s="22"/>
    </row>
    <row r="258" spans="1:7" ht="18">
      <c r="A258" s="20"/>
      <c r="B258" s="43"/>
      <c r="C258" s="286"/>
      <c r="D258" s="20"/>
      <c r="E258" s="89"/>
      <c r="F258" s="255"/>
      <c r="G258" s="287"/>
    </row>
    <row r="259" spans="1:7" ht="18">
      <c r="A259" s="101"/>
      <c r="B259" s="28"/>
      <c r="C259" s="286"/>
      <c r="D259" s="28"/>
      <c r="E259" s="89"/>
      <c r="F259" s="102"/>
      <c r="G259" s="152"/>
    </row>
    <row r="260" spans="1:7" ht="18">
      <c r="A260" s="46"/>
      <c r="B260" s="288"/>
      <c r="C260" s="154"/>
      <c r="D260" s="155"/>
      <c r="E260" s="108"/>
      <c r="F260" s="109"/>
      <c r="G260" s="110"/>
    </row>
    <row r="261" spans="1:7" ht="18">
      <c r="A261" s="46"/>
      <c r="B261" s="46"/>
      <c r="C261" s="154"/>
      <c r="D261" s="156"/>
      <c r="E261" s="108"/>
      <c r="F261" s="109"/>
      <c r="G261" s="110"/>
    </row>
    <row r="262" spans="1:7">
      <c r="A262" s="156"/>
      <c r="B262" s="46"/>
      <c r="C262" s="157"/>
      <c r="D262" s="46"/>
      <c r="E262" s="242"/>
      <c r="F262" s="243"/>
      <c r="G262" s="158"/>
    </row>
    <row r="263" spans="1:7" ht="15.75">
      <c r="A263" s="289"/>
      <c r="B263" s="117" t="s">
        <v>66</v>
      </c>
      <c r="C263" s="290"/>
      <c r="D263" s="242"/>
      <c r="E263" s="242"/>
      <c r="F263" s="243"/>
      <c r="G263" s="159"/>
    </row>
    <row r="264" spans="1:7" ht="30">
      <c r="A264" s="131" t="s">
        <v>67</v>
      </c>
      <c r="B264" s="298" t="s">
        <v>68</v>
      </c>
      <c r="C264" s="299" t="s">
        <v>69</v>
      </c>
      <c r="D264" s="300" t="s">
        <v>70</v>
      </c>
      <c r="E264" s="300" t="s">
        <v>71</v>
      </c>
      <c r="F264" s="243"/>
      <c r="G264" s="159"/>
    </row>
    <row r="265" spans="1:7">
      <c r="A265" s="246">
        <v>1</v>
      </c>
      <c r="B265" s="300" t="s">
        <v>9</v>
      </c>
      <c r="C265" s="301">
        <v>3</v>
      </c>
      <c r="D265" s="302">
        <v>381300</v>
      </c>
      <c r="E265" s="303">
        <v>0.11</v>
      </c>
      <c r="F265" s="243"/>
      <c r="G265" s="159"/>
    </row>
    <row r="266" spans="1:7">
      <c r="A266" s="246">
        <v>2</v>
      </c>
      <c r="B266" s="304" t="s">
        <v>72</v>
      </c>
      <c r="C266" s="301">
        <v>19</v>
      </c>
      <c r="D266" s="305">
        <v>739396</v>
      </c>
      <c r="E266" s="306">
        <v>0.21</v>
      </c>
      <c r="F266" s="291"/>
      <c r="G266" s="292"/>
    </row>
    <row r="267" spans="1:7">
      <c r="A267" s="246">
        <v>3</v>
      </c>
      <c r="B267" s="304" t="s">
        <v>73</v>
      </c>
      <c r="C267" s="301">
        <v>10</v>
      </c>
      <c r="D267" s="305">
        <v>2393738</v>
      </c>
      <c r="E267" s="306">
        <v>0.68</v>
      </c>
      <c r="F267" s="291"/>
      <c r="G267" s="292"/>
    </row>
    <row r="268" spans="1:7">
      <c r="A268" s="246"/>
      <c r="B268" s="304" t="s">
        <v>74</v>
      </c>
      <c r="C268" s="307">
        <v>22</v>
      </c>
      <c r="D268" s="308">
        <f>SUM(D265:D267)</f>
        <v>3514434</v>
      </c>
      <c r="E268" s="306">
        <f>SUM(E265:E267)</f>
        <v>1</v>
      </c>
      <c r="F268" s="291"/>
      <c r="G268" s="292"/>
    </row>
    <row r="269" spans="1:7">
      <c r="A269" s="292"/>
      <c r="B269" s="292"/>
      <c r="C269" s="292"/>
      <c r="D269" s="292"/>
      <c r="E269" s="292"/>
      <c r="F269" s="292"/>
      <c r="G269" s="292"/>
    </row>
    <row r="270" spans="1:7">
      <c r="A270" s="292" t="s">
        <v>75</v>
      </c>
      <c r="B270" s="292"/>
      <c r="C270" s="292"/>
      <c r="D270" s="292" t="s">
        <v>76</v>
      </c>
      <c r="E270" s="292"/>
      <c r="F270" s="292"/>
      <c r="G270" s="292"/>
    </row>
    <row r="271" spans="1:7">
      <c r="A271" s="292"/>
      <c r="B271" s="292"/>
      <c r="C271" s="292"/>
      <c r="D271" s="292"/>
      <c r="E271" s="292"/>
      <c r="F271" s="292"/>
      <c r="G271" s="292"/>
    </row>
    <row r="272" spans="1:7">
      <c r="A272" s="292"/>
      <c r="B272" s="292"/>
      <c r="C272" s="292"/>
      <c r="D272" s="292"/>
      <c r="E272" s="292"/>
      <c r="F272" s="292"/>
      <c r="G272" s="292"/>
    </row>
    <row r="273" spans="1:7">
      <c r="A273" s="292" t="s">
        <v>77</v>
      </c>
      <c r="B273" s="292"/>
      <c r="C273" s="292"/>
      <c r="D273" s="292"/>
      <c r="E273" s="292"/>
      <c r="F273" s="292"/>
      <c r="G273" s="292"/>
    </row>
    <row r="274" spans="1:7">
      <c r="A274" s="292"/>
      <c r="B274" s="292"/>
      <c r="C274" s="292"/>
      <c r="D274" s="292"/>
      <c r="E274" s="292"/>
      <c r="F274" s="292"/>
      <c r="G274" s="292"/>
    </row>
  </sheetData>
  <mergeCells count="1">
    <mergeCell ref="A134:G134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Procurement PC 1</dc:creator>
  <cp:lastModifiedBy>Moonlash</cp:lastModifiedBy>
  <dcterms:created xsi:type="dcterms:W3CDTF">2024-01-11T08:28:48Z</dcterms:created>
  <dcterms:modified xsi:type="dcterms:W3CDTF">2024-05-04T10:15:25Z</dcterms:modified>
</cp:coreProperties>
</file>