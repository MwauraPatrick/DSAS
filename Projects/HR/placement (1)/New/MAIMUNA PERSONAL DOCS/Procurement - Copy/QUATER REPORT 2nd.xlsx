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19335" windowHeight="5760" activeTab="2"/>
  </bookViews>
  <sheets>
    <sheet name="Sheet1" sheetId="1" r:id="rId1"/>
    <sheet name="PPRA" sheetId="3" r:id="rId2"/>
    <sheet name="local Goods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7" i="3" l="1"/>
  <c r="G38" i="3"/>
  <c r="G56" i="3"/>
  <c r="H195" i="2"/>
  <c r="A205" i="1"/>
  <c r="D65" i="3"/>
  <c r="C65" i="3"/>
  <c r="H349" i="1"/>
  <c r="H316" i="1"/>
  <c r="H282" i="1"/>
  <c r="H272" i="1"/>
  <c r="H255" i="1"/>
  <c r="H246" i="1"/>
  <c r="H228" i="1"/>
  <c r="H221" i="1"/>
  <c r="H206" i="1"/>
  <c r="H201" i="1"/>
  <c r="H194" i="1"/>
  <c r="H188" i="1"/>
  <c r="H172" i="1"/>
  <c r="H163" i="1"/>
  <c r="H25" i="1"/>
  <c r="H18" i="1"/>
  <c r="H9" i="1"/>
  <c r="G125" i="2"/>
  <c r="G195" i="2"/>
</calcChain>
</file>

<file path=xl/sharedStrings.xml><?xml version="1.0" encoding="utf-8"?>
<sst xmlns="http://schemas.openxmlformats.org/spreadsheetml/2006/main" count="1733" uniqueCount="372">
  <si>
    <t>NATIONAL MUSEUMS OF KENYA</t>
  </si>
  <si>
    <t>PROCUREMENT REPORTING TOOL FOR QUARTERLY  REPORTS</t>
  </si>
  <si>
    <t xml:space="preserve">                                                                   1.Advertisement</t>
  </si>
  <si>
    <t>Item Description</t>
  </si>
  <si>
    <t>LPO.NO.</t>
  </si>
  <si>
    <t>SUPLIER NAME</t>
  </si>
  <si>
    <t>SUPLIER CATEGORY</t>
  </si>
  <si>
    <t>CONTACT NAME</t>
  </si>
  <si>
    <t>CONTACT No.</t>
  </si>
  <si>
    <t>Amount</t>
  </si>
  <si>
    <t xml:space="preserve">               2.Cartridges and Toners</t>
  </si>
  <si>
    <t>General</t>
  </si>
  <si>
    <t>Youth</t>
  </si>
  <si>
    <t xml:space="preserve">                             3.COMPUTER ACESSORIES</t>
  </si>
  <si>
    <t xml:space="preserve">                       6. ADMISSION TICKETS</t>
  </si>
  <si>
    <t>7. Electricals</t>
  </si>
  <si>
    <t>8.Furniture</t>
  </si>
  <si>
    <t xml:space="preserve">        9.Motor Vehicle Expenses</t>
  </si>
  <si>
    <t xml:space="preserve">     10.Janitorials</t>
  </si>
  <si>
    <t>Janitorial</t>
  </si>
  <si>
    <t xml:space="preserve">                                             11.Laboratory chemicals and Equipment</t>
  </si>
  <si>
    <t>Lab Reagents</t>
  </si>
  <si>
    <t xml:space="preserve">                     12.Printing and duplication</t>
  </si>
  <si>
    <t xml:space="preserve"> 13. Stationery</t>
  </si>
  <si>
    <t xml:space="preserve">                 14.Maintenance of Buildings</t>
  </si>
  <si>
    <t>15.Cage maintenence</t>
  </si>
  <si>
    <t xml:space="preserve">                16. Maintenance of monuments</t>
  </si>
  <si>
    <t xml:space="preserve">           17.Tools and Equipments new</t>
  </si>
  <si>
    <t xml:space="preserve">                                18.Equipments Repairs and Maintenance</t>
  </si>
  <si>
    <t>Contract</t>
  </si>
  <si>
    <t>19.First Aid</t>
  </si>
  <si>
    <t>20.Uniforms</t>
  </si>
  <si>
    <t xml:space="preserve">          21.Food  for Rations</t>
  </si>
  <si>
    <t>22. Air Fares</t>
  </si>
  <si>
    <t xml:space="preserve">         23. Food for Primates</t>
  </si>
  <si>
    <t xml:space="preserve">                                 24. Medical and Surgical instruments</t>
  </si>
  <si>
    <t xml:space="preserve">                          25.Medical Supplies Consumable</t>
  </si>
  <si>
    <t>Willcare Enterprises</t>
  </si>
  <si>
    <r>
      <t xml:space="preserve">                                                                                                                             </t>
    </r>
    <r>
      <rPr>
        <b/>
        <sz val="14"/>
        <color rgb="FF000000"/>
        <rFont val="Arial"/>
        <family val="2"/>
      </rPr>
      <t xml:space="preserve">    27.food for reptiles</t>
    </r>
  </si>
  <si>
    <t>Supply of Fresh Fruits &amp; Vegetables</t>
  </si>
  <si>
    <t>Monkey Cubes</t>
  </si>
  <si>
    <t>28. Gases</t>
  </si>
  <si>
    <t>Liquid Nitrogen Gas</t>
  </si>
  <si>
    <t xml:space="preserve">                          30. Library Books / Journals</t>
  </si>
  <si>
    <t>31..Bindery</t>
  </si>
  <si>
    <t>32.Linen</t>
  </si>
  <si>
    <t xml:space="preserve">               33. Colony Supplies</t>
  </si>
  <si>
    <t>34.Manure</t>
  </si>
  <si>
    <t>35.Internet</t>
  </si>
  <si>
    <t>Wananchi Group Limited</t>
  </si>
  <si>
    <t xml:space="preserve">                       36. Multimedia Expenses</t>
  </si>
  <si>
    <t xml:space="preserve">             37.Building  mateials</t>
  </si>
  <si>
    <t xml:space="preserve">          38.Hardware consumables</t>
  </si>
  <si>
    <t xml:space="preserve">                 39. Spare Parts Equipments New</t>
  </si>
  <si>
    <t xml:space="preserve">                        41.SERVICES</t>
  </si>
  <si>
    <t>PinPoint Hygiene Services Ltd</t>
  </si>
  <si>
    <t>kerapon s.s ltd</t>
  </si>
  <si>
    <t>50 liters diesel for JK 146</t>
  </si>
  <si>
    <t>40 liters super for KAV 274C</t>
  </si>
  <si>
    <t>80litres diesel for KCZ551B</t>
  </si>
  <si>
    <t xml:space="preserve">60 liters super petrol for KCT811Y </t>
  </si>
  <si>
    <t>150litres diesel for KBT 506N</t>
  </si>
  <si>
    <t>160 litres Diesel forKCP 827K</t>
  </si>
  <si>
    <t>60litres Diesel for KCT 730Y</t>
  </si>
  <si>
    <t>150liters diesel for KBT506N</t>
  </si>
  <si>
    <t>60liters super petrol for KCT811Y</t>
  </si>
  <si>
    <t>40litres super petrol for KAV 274C</t>
  </si>
  <si>
    <t>55litres super Diesel for KCU5022</t>
  </si>
  <si>
    <t>40liters super petrol for KBL 126G</t>
  </si>
  <si>
    <t>160litres Diesel for KCP 827K</t>
  </si>
  <si>
    <t>60litres super petrol for KCT811Y</t>
  </si>
  <si>
    <t>40 super petrol for KBL126g</t>
  </si>
  <si>
    <t>120litres Diesel for KCU5022</t>
  </si>
  <si>
    <t>160 liters Diesel for KCU576Z</t>
  </si>
  <si>
    <t>400litres Diesel for incenarator</t>
  </si>
  <si>
    <t>120litres Diesel for KCU576Z</t>
  </si>
  <si>
    <t>50litres Diesel for GKB442Y</t>
  </si>
  <si>
    <t>80liters Diesel for KCZ 551B</t>
  </si>
  <si>
    <t>60lites super petrol for KCT 811Y</t>
  </si>
  <si>
    <t>120litres Diesel for KBT 506N</t>
  </si>
  <si>
    <t>20litres Diesel for KCU 576Z</t>
  </si>
  <si>
    <t>50litres super petrol for KAL107U</t>
  </si>
  <si>
    <t>40litres super petrol for KBC 126G</t>
  </si>
  <si>
    <t>129lites diesel for project vehicles KCU 576Z</t>
  </si>
  <si>
    <r>
      <t>50 liters super petrol for K</t>
    </r>
    <r>
      <rPr>
        <sz val="14"/>
        <rFont val="Times New Roman"/>
        <family val="1"/>
      </rPr>
      <t>AL1 107U</t>
    </r>
  </si>
  <si>
    <t>50 liters diesel for GKB 146K</t>
  </si>
  <si>
    <t>40litres super petrol for KBL 1269</t>
  </si>
  <si>
    <t>80litres diesel for KCZ 551B</t>
  </si>
  <si>
    <t>55litres super Diesel for KCU576Z</t>
  </si>
  <si>
    <t>120liters diesel for KCU 576Z</t>
  </si>
  <si>
    <t>50 super petrol for KAL107U</t>
  </si>
  <si>
    <t>40litres super petrol for KBL126G</t>
  </si>
  <si>
    <t>40litres Super petrol for KAV274E</t>
  </si>
  <si>
    <t>50litres Diesel for  GKB146K</t>
  </si>
  <si>
    <t>50litres Diesel for GKB337T</t>
  </si>
  <si>
    <t>55litres Super petrol for KCU5022</t>
  </si>
  <si>
    <t>50litres Diesel for GKB146K</t>
  </si>
  <si>
    <t>120litres Diesel fr KBU576Z</t>
  </si>
  <si>
    <t>120litres Diesel for KBU576Z</t>
  </si>
  <si>
    <t>55litres fuel for progremme vehicle Nissan KCU5022</t>
  </si>
  <si>
    <t>80litres for programme vehicle diuble cab KCZ551B</t>
  </si>
  <si>
    <t>50litres Diesel for GKB335T</t>
  </si>
  <si>
    <t>80litres diesel for programme KCZ551B</t>
  </si>
  <si>
    <t>50liters diesel for GKB335T</t>
  </si>
  <si>
    <t>50litres GKB146Z Diesel fr security vehicle</t>
  </si>
  <si>
    <t>40litres Super petrol for GKB3357T</t>
  </si>
  <si>
    <t>50litres Diesel ffor GKB 3357T</t>
  </si>
  <si>
    <t>50litres Diesel for GKB 3357T</t>
  </si>
  <si>
    <t>50litres diesel for GKB3357T</t>
  </si>
  <si>
    <t>50 litres diesel for GKB 3357T</t>
  </si>
  <si>
    <t>Frank Keraponi</t>
  </si>
  <si>
    <t>INSTITUTE OF PRIMATE RESEARCH</t>
  </si>
  <si>
    <r>
      <t xml:space="preserve">REGION </t>
    </r>
    <r>
      <rPr>
        <sz val="12"/>
        <color rgb="FF000000"/>
        <rFont val="Cambria"/>
        <family val="1"/>
      </rPr>
      <t xml:space="preserve">(Fill </t>
    </r>
    <r>
      <rPr>
        <sz val="12"/>
        <color rgb="FF000000"/>
        <rFont val="Cambria"/>
        <family val="1"/>
      </rPr>
      <t>Below)</t>
    </r>
  </si>
  <si>
    <t>DATE</t>
  </si>
  <si>
    <t>D.O.F</t>
  </si>
  <si>
    <t>L.P.O</t>
  </si>
  <si>
    <t>DEPARTMENTS</t>
  </si>
  <si>
    <t>SUPPLIERS NAME</t>
  </si>
  <si>
    <t>AMOUNT</t>
  </si>
  <si>
    <t>BUY KENYA BUILD KENYA</t>
  </si>
  <si>
    <t>Transport</t>
  </si>
  <si>
    <t>ASD</t>
  </si>
  <si>
    <t>Procurement</t>
  </si>
  <si>
    <t>Accounts</t>
  </si>
  <si>
    <t>KSRIC</t>
  </si>
  <si>
    <t>Pinnacore Kenya Ltd</t>
  </si>
  <si>
    <t>Directors office</t>
  </si>
  <si>
    <t>Inqaba Biotec East Africa</t>
  </si>
  <si>
    <t>Maxi print and colour</t>
  </si>
  <si>
    <t>Library</t>
  </si>
  <si>
    <r>
      <rPr>
        <b/>
        <sz val="11"/>
        <color rgb="FF000000"/>
        <rFont val="Arial"/>
        <family val="2"/>
      </rPr>
      <t>TOTA</t>
    </r>
    <r>
      <rPr>
        <sz val="11"/>
        <color theme="1"/>
        <rFont val="Calibri"/>
        <family val="2"/>
        <scheme val="minor"/>
      </rPr>
      <t>L</t>
    </r>
  </si>
  <si>
    <t xml:space="preserve">Local goods percentage for the quarter 45% </t>
  </si>
  <si>
    <t>local goods purchased</t>
  </si>
  <si>
    <t>total expenditure</t>
  </si>
  <si>
    <t>Prepared by………………………………………..Signature………………………………….Date</t>
  </si>
  <si>
    <t>…………….………..…Date…………………………</t>
  </si>
  <si>
    <t>Approved by………………………………………..Signature………………………………….Date………………………….</t>
  </si>
  <si>
    <t>ITEM DESCRIPTION</t>
  </si>
  <si>
    <t>K - SRIC</t>
  </si>
  <si>
    <t>Africa Bliss limited</t>
  </si>
  <si>
    <t>K-SRIC</t>
  </si>
  <si>
    <t>C.O.R</t>
  </si>
  <si>
    <t>lab kits</t>
  </si>
  <si>
    <t>PR. Marketing</t>
  </si>
  <si>
    <t>14222/23</t>
  </si>
  <si>
    <t>Leaky ventures</t>
  </si>
  <si>
    <t>Air ticket for Dr. George Omondi to Rwanda</t>
  </si>
  <si>
    <t>Kenya Animal Genetic Resource Centre</t>
  </si>
  <si>
    <t xml:space="preserve">Chemistry Analyzer Machine </t>
  </si>
  <si>
    <t>Sciencescope Limited</t>
  </si>
  <si>
    <t>lab Reagents</t>
  </si>
  <si>
    <t>Catridges 207A</t>
  </si>
  <si>
    <t>Nefalisa Limited</t>
  </si>
  <si>
    <t>Catridges 312A</t>
  </si>
  <si>
    <t xml:space="preserve">Kenya Toners ink supplies Ltd </t>
  </si>
  <si>
    <t>Lab Reagents &amp; Consumables</t>
  </si>
  <si>
    <t>Skytech Africa supplies Ltd</t>
  </si>
  <si>
    <t>Printing of Business cards for COR</t>
  </si>
  <si>
    <t>Harlifax printers &amp; General Suppliers</t>
  </si>
  <si>
    <t>Lab Chemicals</t>
  </si>
  <si>
    <t xml:space="preserve">Marly Enterprises Ltd </t>
  </si>
  <si>
    <t xml:space="preserve">Lab Reagent </t>
  </si>
  <si>
    <t>HP Color Printer</t>
  </si>
  <si>
    <t>Mirnat Excel</t>
  </si>
  <si>
    <t>HP Toner 85A</t>
  </si>
  <si>
    <t>Mice  Pellets</t>
  </si>
  <si>
    <t>Unga Farm Care(E.A)  ltd</t>
  </si>
  <si>
    <t>Laboratory Kits</t>
  </si>
  <si>
    <t xml:space="preserve">Inqaba Biotec East Africa Ltd </t>
  </si>
  <si>
    <t>Laboratory Consumables</t>
  </si>
  <si>
    <t>Benchem Lab Supplies</t>
  </si>
  <si>
    <t xml:space="preserve">Marly enterprises Ltd </t>
  </si>
  <si>
    <t>Printing  of Institute Issue Note Books</t>
  </si>
  <si>
    <t xml:space="preserve">Harlifax Printers &amp; General Suppliers  </t>
  </si>
  <si>
    <t>Photocopying papers</t>
  </si>
  <si>
    <t>Stationery</t>
  </si>
  <si>
    <t>Lydway Ltd</t>
  </si>
  <si>
    <t>Catridges 17A</t>
  </si>
  <si>
    <t>14.7.2022</t>
  </si>
  <si>
    <t>14.07.2022</t>
  </si>
  <si>
    <t>14.07.2023</t>
  </si>
  <si>
    <t>14.07.2024</t>
  </si>
  <si>
    <t>14.07.2025</t>
  </si>
  <si>
    <t>14.07.2026</t>
  </si>
  <si>
    <t>14.07.2027</t>
  </si>
  <si>
    <t>14.07.2028</t>
  </si>
  <si>
    <t>18.7.2022</t>
  </si>
  <si>
    <t>21.7.2022</t>
  </si>
  <si>
    <t>21.7.2023</t>
  </si>
  <si>
    <t>27.7.2022</t>
  </si>
  <si>
    <t xml:space="preserve"> Wet &amp; Dry Vacuum Cleaner</t>
  </si>
  <si>
    <t>Kam Kam Limited</t>
  </si>
  <si>
    <t>11047 /7996</t>
  </si>
  <si>
    <t>Supplies/COR</t>
  </si>
  <si>
    <t>Print Cartridge 05A &amp; 17A</t>
  </si>
  <si>
    <t>31.7.2022</t>
  </si>
  <si>
    <t>I.C.T</t>
  </si>
  <si>
    <t>Provision of Internet Services</t>
  </si>
  <si>
    <t>A.S.D</t>
  </si>
  <si>
    <t>Sirandu Investment Co Ltd</t>
  </si>
  <si>
    <t>Physical</t>
  </si>
  <si>
    <t xml:space="preserve">Provision Of Sanitary Bins Services </t>
  </si>
  <si>
    <t>1.8.2022</t>
  </si>
  <si>
    <t>Haematology  Analyser Machine</t>
  </si>
  <si>
    <t>Printing of Bin Cards</t>
  </si>
  <si>
    <t>Augoken Kenya Limited</t>
  </si>
  <si>
    <t>5.8.2022</t>
  </si>
  <si>
    <t>T.I.D</t>
  </si>
  <si>
    <t xml:space="preserve">Supplies </t>
  </si>
  <si>
    <t xml:space="preserve">Smatgem International Ltd </t>
  </si>
  <si>
    <t>Supplies</t>
  </si>
  <si>
    <t>12.8.2022</t>
  </si>
  <si>
    <t>Tender Advert</t>
  </si>
  <si>
    <t>Nation Media Group  Ltd</t>
  </si>
  <si>
    <t>18.8.2022</t>
  </si>
  <si>
    <t>Tyres for KCU 576Z</t>
  </si>
  <si>
    <t>Auto Express Ltd</t>
  </si>
  <si>
    <t>23.8.2022</t>
  </si>
  <si>
    <t xml:space="preserve">Rectification of Power factor </t>
  </si>
  <si>
    <t>Jaftech Power Solutions &amp; Supplies</t>
  </si>
  <si>
    <t>24.8.2022</t>
  </si>
  <si>
    <t xml:space="preserve">Return Air Ticket for Director to Kisumu </t>
  </si>
  <si>
    <t>Africa Bliss Travel Ltd</t>
  </si>
  <si>
    <t>Grandstream GWN 7605</t>
  </si>
  <si>
    <t xml:space="preserve">Clique Solutions </t>
  </si>
  <si>
    <t>Admin</t>
  </si>
  <si>
    <t>Printing Leave Application Form</t>
  </si>
  <si>
    <t>Kaswii Investments Ltd</t>
  </si>
  <si>
    <t>29.8.2022</t>
  </si>
  <si>
    <t>31.8.2022</t>
  </si>
  <si>
    <t>2.09.2022</t>
  </si>
  <si>
    <t>Partitioning of Nyani House</t>
  </si>
  <si>
    <t>Stetob Interantional Limited</t>
  </si>
  <si>
    <t>7.9.2022</t>
  </si>
  <si>
    <t>Cartridge 80A</t>
  </si>
  <si>
    <t>Heza Haves Ltd</t>
  </si>
  <si>
    <t>8.9.2022</t>
  </si>
  <si>
    <t xml:space="preserve">Lab Reagents     </t>
  </si>
  <si>
    <t>Apex Life Science Ltd</t>
  </si>
  <si>
    <t>23.9.2022</t>
  </si>
  <si>
    <t>Lab Kits</t>
  </si>
  <si>
    <t>Inqaba Biotect East Africa Ltd</t>
  </si>
  <si>
    <t>Lab Equipment</t>
  </si>
  <si>
    <t>Skyech Africa Supplies Ltd</t>
  </si>
  <si>
    <t>Air Ticket tp Burundi For Dr.Ozwara &amp; Gladys</t>
  </si>
  <si>
    <t>Chandaria Industries Ltd</t>
  </si>
  <si>
    <t xml:space="preserve">K-SRIC </t>
  </si>
  <si>
    <t>1407/5</t>
  </si>
  <si>
    <t>Cechum Enteprises</t>
  </si>
  <si>
    <t>13406/5</t>
  </si>
  <si>
    <t>Juska General Supplies</t>
  </si>
  <si>
    <t>Provision Of Garbage Collection Services</t>
  </si>
  <si>
    <t>Bins (NRB)Services Ltd</t>
  </si>
  <si>
    <t xml:space="preserve">Lease of  Photocopier Machine </t>
  </si>
  <si>
    <t>MFI Managed Document Solutions Ltd</t>
  </si>
  <si>
    <t>30.9.2022</t>
  </si>
  <si>
    <t>Maintenance of Cold Rooms</t>
  </si>
  <si>
    <t>Maintenance of HVAC Systems</t>
  </si>
  <si>
    <t>Haste Enterprises</t>
  </si>
  <si>
    <t xml:space="preserve">STATION…INSTITUTE OF PRIMATE RESEARCH…….. QUARTER 1…JULY -SEPTEMBER……………..……….. FINANCIAL YEAR……2022/2023……………     </t>
  </si>
  <si>
    <t xml:space="preserve">Women </t>
  </si>
  <si>
    <t xml:space="preserve">General </t>
  </si>
  <si>
    <t>.</t>
  </si>
  <si>
    <t>PWD</t>
  </si>
  <si>
    <t>Women</t>
  </si>
  <si>
    <t>Arclink Enterprises</t>
  </si>
  <si>
    <t>26.Lab Supplies Consumbles</t>
  </si>
  <si>
    <t>29.FREIGHT AND CLEARING CHARGES</t>
  </si>
  <si>
    <t xml:space="preserve">40.Subscription Fees </t>
  </si>
  <si>
    <t>Cecilia Mumama</t>
  </si>
  <si>
    <t>Ann Wanjiru</t>
  </si>
  <si>
    <t>Diana Kimuna</t>
  </si>
  <si>
    <t>Veronicah Mwikali</t>
  </si>
  <si>
    <t>Veronicah Nduta</t>
  </si>
  <si>
    <t xml:space="preserve">Lilina Akech </t>
  </si>
  <si>
    <t>Florence Nzisa</t>
  </si>
  <si>
    <t>FINANCIAL YEAR 2022/2023</t>
  </si>
  <si>
    <t>Mercy Balasa</t>
  </si>
  <si>
    <t>Claire</t>
  </si>
  <si>
    <t>Caren</t>
  </si>
  <si>
    <t>Martha</t>
  </si>
  <si>
    <t>Jane Wachira</t>
  </si>
  <si>
    <t>0719-028200</t>
  </si>
  <si>
    <t>0719-028201</t>
  </si>
  <si>
    <t>0719-028202</t>
  </si>
  <si>
    <t>Alex</t>
  </si>
  <si>
    <t>David</t>
  </si>
  <si>
    <t>0728-899767</t>
  </si>
  <si>
    <t>0728-899768</t>
  </si>
  <si>
    <t xml:space="preserve">John </t>
  </si>
  <si>
    <t>Peter</t>
  </si>
  <si>
    <t>Bernard</t>
  </si>
  <si>
    <t>Irene</t>
  </si>
  <si>
    <t>Lilian</t>
  </si>
  <si>
    <t>Joseph</t>
  </si>
  <si>
    <t>Damaris</t>
  </si>
  <si>
    <t>Fredrick</t>
  </si>
  <si>
    <t>0722-6561745</t>
  </si>
  <si>
    <t>0722-429188</t>
  </si>
  <si>
    <t>Wisely</t>
  </si>
  <si>
    <t xml:space="preserve">Boniface </t>
  </si>
  <si>
    <t xml:space="preserve">Paul </t>
  </si>
  <si>
    <t>Joyce</t>
  </si>
  <si>
    <t>Rahab</t>
  </si>
  <si>
    <t>Elizabeth</t>
  </si>
  <si>
    <t>Muigai</t>
  </si>
  <si>
    <t>Ian</t>
  </si>
  <si>
    <t>Victoria</t>
  </si>
  <si>
    <t>John</t>
  </si>
  <si>
    <t>Stephen</t>
  </si>
  <si>
    <t>Churchill</t>
  </si>
  <si>
    <t>Kioko</t>
  </si>
  <si>
    <t>Section B: All Contracts Awards to the Target Group (Youth,Women and PWD)</t>
  </si>
  <si>
    <t>Note: All columns should be filled in as appropriare</t>
  </si>
  <si>
    <t>Supplier/Contractor Name Business name as appears in the AGPO Cert</t>
  </si>
  <si>
    <t>Names of Directors</t>
  </si>
  <si>
    <t>Nature of Contract (goods/works/ non-consultancy/consultancy services</t>
  </si>
  <si>
    <t>Tender/ quotation No &amp;Description</t>
  </si>
  <si>
    <t>Method of Procurment</t>
  </si>
  <si>
    <t>LPO/LSO/Contract</t>
  </si>
  <si>
    <t>Contract Value</t>
  </si>
  <si>
    <t>TOTAL</t>
  </si>
  <si>
    <t>WOMEN</t>
  </si>
  <si>
    <t>Goods</t>
  </si>
  <si>
    <t>Quotation</t>
  </si>
  <si>
    <t>YOUTH</t>
  </si>
  <si>
    <t>TOTAL PURCHASES FOR THE 3rd  QUARTER =55%</t>
  </si>
  <si>
    <t>%= (PWD 696709+ Women 1781070 + Youth 2402437) ÷8830697×100   = 55</t>
  </si>
  <si>
    <t>Section C: Summary of all contract Awards as presented in Section B above</t>
  </si>
  <si>
    <t>No.</t>
  </si>
  <si>
    <t>Category</t>
  </si>
  <si>
    <t>No. of Contracts awarded</t>
  </si>
  <si>
    <t>Total Value of contracts awarded</t>
  </si>
  <si>
    <t>% of contract value per categorty</t>
  </si>
  <si>
    <t>Total</t>
  </si>
  <si>
    <t>PREPARED BY…………………………………………….SIGNATURE……………………………………………….</t>
  </si>
  <si>
    <t>DATE…………………………………………………..</t>
  </si>
  <si>
    <t>APPROVED BY……………………………………………SIGNATURE…………………………………………………DATE…………………………………………..</t>
  </si>
  <si>
    <t>1ST QUARTER REPORT FROM JULY 2022 TO SEPTEMBER 2022 INSTITUTE OF PRIMATE RESEARCH</t>
  </si>
  <si>
    <t>Kelvin</t>
  </si>
  <si>
    <t>0722-979255</t>
  </si>
  <si>
    <t>Services</t>
  </si>
  <si>
    <r>
      <t xml:space="preserve">FINANCIAL YEAR </t>
    </r>
    <r>
      <rPr>
        <sz val="11"/>
        <color rgb="FF000000"/>
        <rFont val="Cambria"/>
        <family val="1"/>
      </rPr>
      <t>2022/23</t>
    </r>
  </si>
  <si>
    <t>%=51%</t>
  </si>
  <si>
    <t>QUARTELY 1….JULY - SEP</t>
  </si>
  <si>
    <t>INSTITUTE OF PRIMATE RESEARCH QUARTER REPORTS OTOBER - DECEMBER</t>
  </si>
  <si>
    <t>LOCAL GOODS REPORT 2nd QUARTER</t>
  </si>
  <si>
    <t>super petrol for KBL 126G</t>
  </si>
  <si>
    <t>Kerarapon petrol station</t>
  </si>
  <si>
    <t>Diesel for KCP 827K</t>
  </si>
  <si>
    <t>Super petrol for KCT 811Y</t>
  </si>
  <si>
    <t>Security</t>
  </si>
  <si>
    <t>Diesel for GKB 146R</t>
  </si>
  <si>
    <t>Administration</t>
  </si>
  <si>
    <t>Diesel for GKB 335T</t>
  </si>
  <si>
    <t>Diesel  for GKB 146R</t>
  </si>
  <si>
    <t>Diesel  for GKB 335T</t>
  </si>
  <si>
    <t>Mult grade oil</t>
  </si>
  <si>
    <t>Super petrol for KAL 107U</t>
  </si>
  <si>
    <t>Super petrol for KBL 126G</t>
  </si>
  <si>
    <t>physical operations</t>
  </si>
  <si>
    <t>Diesel for generator</t>
  </si>
  <si>
    <t>Diesel for KBT 106N</t>
  </si>
  <si>
    <t>Dielsel for GKB 335T</t>
  </si>
  <si>
    <t>Diesel for KCT 730Y</t>
  </si>
  <si>
    <t>diesel for KCH 490Q</t>
  </si>
  <si>
    <t>diesel for KCZ 551B</t>
  </si>
  <si>
    <t>Diesel for GKB GKB 146R</t>
  </si>
  <si>
    <t>Super petrol for GKB 335T</t>
  </si>
  <si>
    <t>diesel for incerator</t>
  </si>
  <si>
    <t>super petrol for KCT 811Y</t>
  </si>
  <si>
    <t>Diesel for KBT 506N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</si>
</sst>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#,##0&quot; &quot;;&quot;-&quot;#,##0&quot; &quot;;&quot; -&quot;00&quot; &quot;;@&quot; &quot;"/>
    <numFmt numFmtId="166" formatCode="#,##0.00&quot; &quot;;&quot; (&quot;#,##0.00&quot;)&quot;;&quot; -&quot;#&quot; &quot;;@&quot; &quot;"/>
    <numFmt numFmtId="167" formatCode="mm/dd/yyyy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1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</font>
    <font>
      <sz val="12"/>
      <color rgb="FF000000"/>
      <name val="Calibri Light"/>
      <family val="2"/>
    </font>
    <font>
      <sz val="12"/>
      <color rgb="FF000000"/>
      <name val="Bookman Old Style"/>
      <family val="1"/>
    </font>
    <font>
      <b/>
      <sz val="14"/>
      <color rgb="FF000000"/>
      <name val="Times New Roman"/>
      <family val="1"/>
    </font>
    <font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sz val="14"/>
      <color rgb="FF000000"/>
      <name val="Calibri"/>
      <family val="2"/>
    </font>
    <font>
      <b/>
      <i/>
      <sz val="14"/>
      <color rgb="FF000000"/>
      <name val="Arial"/>
      <family val="2"/>
    </font>
    <font>
      <b/>
      <sz val="14"/>
      <color rgb="FF000000"/>
      <name val="Calibri"/>
      <family val="2"/>
    </font>
    <font>
      <sz val="14"/>
      <name val="Times New Roman"/>
      <family val="1"/>
    </font>
    <font>
      <b/>
      <sz val="22"/>
      <color rgb="FF000000"/>
      <name val="Calibri"/>
      <family val="2"/>
    </font>
    <font>
      <b/>
      <sz val="12"/>
      <color rgb="FF000000"/>
      <name val="Calibri Light"/>
      <family val="2"/>
    </font>
    <font>
      <sz val="12"/>
      <color rgb="FF000000"/>
      <name val="Cambria"/>
      <family val="1"/>
    </font>
    <font>
      <b/>
      <sz val="11"/>
      <color rgb="FF000000"/>
      <name val="Calibri Light"/>
      <family val="2"/>
    </font>
    <font>
      <sz val="11"/>
      <color rgb="FF000000"/>
      <name val="Cambria"/>
      <family val="1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Calibri"/>
      <family val="2"/>
    </font>
    <font>
      <sz val="9"/>
      <color rgb="FF000000"/>
      <name val="Arial"/>
      <family val="2"/>
    </font>
    <font>
      <sz val="9"/>
      <color rgb="FF000000"/>
      <name val="Trebuchet MS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6" fontId="5" fillId="0" borderId="0" applyFont="0" applyBorder="0" applyProtection="0"/>
    <xf numFmtId="0" fontId="7" fillId="0" borderId="0" applyNumberFormat="0" applyBorder="0" applyProtection="0"/>
  </cellStyleXfs>
  <cellXfs count="222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  <xf numFmtId="165" fontId="3" fillId="0" borderId="0" xfId="0" applyNumberFormat="1" applyFont="1" applyAlignment="1">
      <alignment horizontal="left"/>
    </xf>
    <xf numFmtId="0" fontId="4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vertical="top"/>
    </xf>
    <xf numFmtId="165" fontId="4" fillId="0" borderId="2" xfId="2" applyNumberFormat="1" applyFont="1" applyFill="1" applyBorder="1" applyAlignment="1">
      <alignment horizontal="right" vertical="top"/>
    </xf>
    <xf numFmtId="0" fontId="6" fillId="0" borderId="2" xfId="0" applyFont="1" applyBorder="1"/>
    <xf numFmtId="0" fontId="6" fillId="0" borderId="0" xfId="0" applyFont="1"/>
    <xf numFmtId="0" fontId="2" fillId="0" borderId="2" xfId="0" applyFont="1" applyBorder="1" applyAlignment="1">
      <alignment vertical="top"/>
    </xf>
    <xf numFmtId="0" fontId="2" fillId="0" borderId="2" xfId="2" applyNumberFormat="1" applyFont="1" applyFill="1" applyBorder="1" applyAlignment="1">
      <alignment horizontal="left"/>
    </xf>
    <xf numFmtId="0" fontId="2" fillId="0" borderId="2" xfId="0" applyFont="1" applyBorder="1" applyAlignment="1">
      <alignment horizontal="left" vertical="top"/>
    </xf>
    <xf numFmtId="0" fontId="8" fillId="0" borderId="2" xfId="3" applyFont="1" applyFill="1" applyBorder="1" applyAlignment="1">
      <alignment wrapText="1"/>
    </xf>
    <xf numFmtId="0" fontId="9" fillId="0" borderId="2" xfId="0" applyFont="1" applyBorder="1" applyAlignment="1">
      <alignment horizontal="left"/>
    </xf>
    <xf numFmtId="164" fontId="1" fillId="0" borderId="2" xfId="1" applyBorder="1" applyAlignment="1">
      <alignment horizontal="left"/>
    </xf>
    <xf numFmtId="0" fontId="4" fillId="0" borderId="2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Alignment="1">
      <alignment horizontal="left"/>
    </xf>
    <xf numFmtId="0" fontId="4" fillId="0" borderId="2" xfId="2" applyNumberFormat="1" applyFont="1" applyFill="1" applyBorder="1" applyAlignment="1">
      <alignment horizontal="right"/>
    </xf>
    <xf numFmtId="165" fontId="4" fillId="0" borderId="2" xfId="2" applyNumberFormat="1" applyFont="1" applyFill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4" fillId="0" borderId="0" xfId="0" applyFont="1" applyAlignment="1">
      <alignment horizontal="center" vertical="top"/>
    </xf>
    <xf numFmtId="0" fontId="4" fillId="0" borderId="2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4" fillId="0" borderId="2" xfId="2" applyNumberFormat="1" applyFont="1" applyFill="1" applyBorder="1" applyAlignment="1"/>
    <xf numFmtId="0" fontId="6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8" fillId="0" borderId="2" xfId="3" applyFont="1" applyFill="1" applyBorder="1" applyAlignment="1">
      <alignment horizontal="left" wrapText="1"/>
    </xf>
    <xf numFmtId="167" fontId="0" fillId="0" borderId="2" xfId="0" applyNumberFormat="1" applyBorder="1" applyAlignment="1">
      <alignment horizontal="left"/>
    </xf>
    <xf numFmtId="0" fontId="4" fillId="0" borderId="2" xfId="2" applyNumberFormat="1" applyFont="1" applyFill="1" applyBorder="1" applyAlignment="1">
      <alignment vertical="top"/>
    </xf>
    <xf numFmtId="0" fontId="6" fillId="0" borderId="2" xfId="0" applyFont="1" applyBorder="1" applyAlignment="1">
      <alignment horizontal="right"/>
    </xf>
    <xf numFmtId="165" fontId="4" fillId="0" borderId="2" xfId="0" applyNumberFormat="1" applyFont="1" applyBorder="1" applyAlignment="1">
      <alignment horizontal="right" vertical="top"/>
    </xf>
    <xf numFmtId="0" fontId="2" fillId="0" borderId="2" xfId="0" applyFont="1" applyFill="1" applyBorder="1" applyAlignment="1">
      <alignment vertical="top"/>
    </xf>
    <xf numFmtId="0" fontId="2" fillId="0" borderId="2" xfId="0" applyFont="1" applyFill="1" applyBorder="1" applyAlignment="1">
      <alignment horizontal="left" vertical="top"/>
    </xf>
    <xf numFmtId="164" fontId="7" fillId="0" borderId="2" xfId="1" applyFont="1" applyFill="1" applyBorder="1" applyAlignment="1">
      <alignment horizontal="left"/>
    </xf>
    <xf numFmtId="0" fontId="6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6" xfId="2" applyNumberFormat="1" applyFont="1" applyFill="1" applyBorder="1" applyAlignment="1">
      <alignment horizontal="left"/>
    </xf>
    <xf numFmtId="0" fontId="2" fillId="0" borderId="6" xfId="0" applyFont="1" applyBorder="1" applyAlignment="1">
      <alignment horizontal="left" vertical="top"/>
    </xf>
    <xf numFmtId="0" fontId="8" fillId="0" borderId="6" xfId="3" applyFont="1" applyFill="1" applyBorder="1" applyAlignment="1">
      <alignment wrapText="1"/>
    </xf>
    <xf numFmtId="0" fontId="9" fillId="0" borderId="2" xfId="0" applyFont="1" applyBorder="1"/>
    <xf numFmtId="164" fontId="1" fillId="0" borderId="6" xfId="1" applyBorder="1" applyAlignment="1">
      <alignment horizontal="left"/>
    </xf>
    <xf numFmtId="0" fontId="0" fillId="0" borderId="2" xfId="0" applyBorder="1"/>
    <xf numFmtId="3" fontId="0" fillId="0" borderId="2" xfId="0" applyNumberFormat="1" applyBorder="1" applyAlignment="1">
      <alignment horizontal="left"/>
    </xf>
    <xf numFmtId="0" fontId="4" fillId="0" borderId="3" xfId="0" applyFont="1" applyBorder="1" applyAlignment="1">
      <alignment horizontal="center" vertical="top"/>
    </xf>
    <xf numFmtId="0" fontId="0" fillId="0" borderId="2" xfId="0" applyBorder="1" applyAlignment="1">
      <alignment horizontal="left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/>
    <xf numFmtId="0" fontId="4" fillId="0" borderId="8" xfId="0" applyFont="1" applyBorder="1" applyAlignment="1">
      <alignment vertical="top"/>
    </xf>
    <xf numFmtId="165" fontId="4" fillId="0" borderId="8" xfId="0" applyNumberFormat="1" applyFont="1" applyBorder="1" applyAlignment="1">
      <alignment horizontal="right" vertical="top"/>
    </xf>
    <xf numFmtId="0" fontId="4" fillId="0" borderId="0" xfId="0" applyFont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4" xfId="2" applyNumberFormat="1" applyFont="1" applyFill="1" applyBorder="1" applyAlignment="1">
      <alignment horizontal="left"/>
    </xf>
    <xf numFmtId="0" fontId="2" fillId="0" borderId="4" xfId="0" applyFont="1" applyBorder="1" applyAlignment="1">
      <alignment horizontal="left" vertical="top"/>
    </xf>
    <xf numFmtId="0" fontId="8" fillId="0" borderId="4" xfId="3" applyFont="1" applyFill="1" applyBorder="1" applyAlignment="1">
      <alignment wrapText="1"/>
    </xf>
    <xf numFmtId="164" fontId="1" fillId="0" borderId="4" xfId="1" applyBorder="1" applyAlignment="1">
      <alignment horizontal="left"/>
    </xf>
    <xf numFmtId="0" fontId="14" fillId="0" borderId="2" xfId="0" applyFont="1" applyBorder="1" applyAlignment="1">
      <alignment horizontal="right" vertical="center"/>
    </xf>
    <xf numFmtId="0" fontId="12" fillId="0" borderId="0" xfId="0" applyFont="1" applyAlignment="1">
      <alignment vertical="top"/>
    </xf>
    <xf numFmtId="0" fontId="0" fillId="0" borderId="0" xfId="0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left"/>
    </xf>
    <xf numFmtId="0" fontId="10" fillId="0" borderId="3" xfId="0" applyFont="1" applyFill="1" applyBorder="1" applyAlignment="1">
      <alignment horizontal="center" vertical="top"/>
    </xf>
    <xf numFmtId="0" fontId="10" fillId="0" borderId="5" xfId="0" applyFont="1" applyFill="1" applyBorder="1" applyAlignment="1">
      <alignment horizontal="center" vertical="top"/>
    </xf>
    <xf numFmtId="0" fontId="10" fillId="0" borderId="7" xfId="0" applyFont="1" applyFill="1" applyBorder="1" applyAlignment="1">
      <alignment horizontal="center" vertical="top"/>
    </xf>
    <xf numFmtId="0" fontId="12" fillId="0" borderId="5" xfId="0" applyFont="1" applyFill="1" applyBorder="1" applyAlignment="1">
      <alignment horizontal="center"/>
    </xf>
    <xf numFmtId="0" fontId="6" fillId="0" borderId="5" xfId="0" applyFont="1" applyFill="1" applyBorder="1"/>
    <xf numFmtId="0" fontId="7" fillId="0" borderId="0" xfId="3" applyFont="1" applyFill="1" applyAlignment="1"/>
    <xf numFmtId="0" fontId="18" fillId="0" borderId="0" xfId="3" applyFont="1" applyFill="1" applyAlignment="1"/>
    <xf numFmtId="0" fontId="19" fillId="0" borderId="3" xfId="3" applyFont="1" applyFill="1" applyBorder="1" applyAlignment="1">
      <alignment horizontal="center" vertical="center" wrapText="1"/>
    </xf>
    <xf numFmtId="0" fontId="19" fillId="0" borderId="5" xfId="3" applyFont="1" applyFill="1" applyBorder="1" applyAlignment="1">
      <alignment horizontal="center" vertical="center" wrapText="1"/>
    </xf>
    <xf numFmtId="0" fontId="19" fillId="0" borderId="7" xfId="3" applyFont="1" applyFill="1" applyBorder="1" applyAlignment="1">
      <alignment horizontal="center" vertical="center" wrapText="1"/>
    </xf>
    <xf numFmtId="0" fontId="21" fillId="0" borderId="3" xfId="3" applyFont="1" applyFill="1" applyBorder="1" applyAlignment="1">
      <alignment horizontal="center" vertical="center" wrapText="1"/>
    </xf>
    <xf numFmtId="0" fontId="8" fillId="0" borderId="3" xfId="3" applyFont="1" applyFill="1" applyBorder="1" applyAlignment="1">
      <alignment horizontal="center" wrapText="1"/>
    </xf>
    <xf numFmtId="0" fontId="8" fillId="0" borderId="5" xfId="3" applyFont="1" applyFill="1" applyBorder="1" applyAlignment="1">
      <alignment horizontal="center" wrapText="1"/>
    </xf>
    <xf numFmtId="0" fontId="8" fillId="0" borderId="7" xfId="3" applyFont="1" applyFill="1" applyBorder="1" applyAlignment="1">
      <alignment horizontal="center" wrapText="1"/>
    </xf>
    <xf numFmtId="0" fontId="19" fillId="0" borderId="3" xfId="3" applyFont="1" applyFill="1" applyBorder="1" applyAlignment="1">
      <alignment horizontal="center" wrapText="1"/>
    </xf>
    <xf numFmtId="0" fontId="19" fillId="0" borderId="5" xfId="3" applyFont="1" applyFill="1" applyBorder="1" applyAlignment="1">
      <alignment horizontal="center" wrapText="1"/>
    </xf>
    <xf numFmtId="0" fontId="19" fillId="0" borderId="2" xfId="3" applyFont="1" applyFill="1" applyBorder="1" applyAlignment="1">
      <alignment horizontal="center" wrapText="1"/>
    </xf>
    <xf numFmtId="0" fontId="19" fillId="0" borderId="2" xfId="3" applyFont="1" applyFill="1" applyBorder="1" applyAlignment="1">
      <alignment wrapText="1"/>
    </xf>
    <xf numFmtId="167" fontId="8" fillId="0" borderId="2" xfId="3" applyNumberFormat="1" applyFont="1" applyFill="1" applyBorder="1" applyAlignment="1">
      <alignment horizontal="left" wrapText="1"/>
    </xf>
    <xf numFmtId="166" fontId="8" fillId="0" borderId="2" xfId="2" applyFont="1" applyFill="1" applyBorder="1" applyAlignment="1">
      <alignment horizontal="left" wrapText="1"/>
    </xf>
    <xf numFmtId="0" fontId="8" fillId="0" borderId="2" xfId="3" applyFont="1" applyFill="1" applyBorder="1" applyAlignment="1">
      <alignment horizontal="left"/>
    </xf>
    <xf numFmtId="166" fontId="8" fillId="0" borderId="2" xfId="2" applyFont="1" applyFill="1" applyBorder="1" applyAlignment="1">
      <alignment horizontal="left"/>
    </xf>
    <xf numFmtId="166" fontId="8" fillId="0" borderId="2" xfId="2" applyFont="1" applyFill="1" applyBorder="1" applyAlignment="1">
      <alignment horizontal="left" vertical="top"/>
    </xf>
    <xf numFmtId="0" fontId="8" fillId="0" borderId="6" xfId="3" applyFont="1" applyFill="1" applyBorder="1" applyAlignment="1">
      <alignment horizontal="left"/>
    </xf>
    <xf numFmtId="166" fontId="19" fillId="0" borderId="6" xfId="2" applyFont="1" applyFill="1" applyBorder="1" applyAlignment="1">
      <alignment horizontal="left" vertical="top"/>
    </xf>
    <xf numFmtId="166" fontId="19" fillId="0" borderId="2" xfId="2" applyFont="1" applyFill="1" applyBorder="1" applyAlignment="1">
      <alignment horizontal="left"/>
    </xf>
    <xf numFmtId="0" fontId="7" fillId="0" borderId="2" xfId="3" applyFont="1" applyFill="1" applyBorder="1" applyAlignment="1">
      <alignment horizontal="left"/>
    </xf>
    <xf numFmtId="166" fontId="7" fillId="0" borderId="2" xfId="2" applyFont="1" applyFill="1" applyBorder="1" applyAlignment="1">
      <alignment horizontal="left"/>
    </xf>
    <xf numFmtId="166" fontId="23" fillId="0" borderId="2" xfId="2" applyFont="1" applyFill="1" applyBorder="1" applyAlignment="1">
      <alignment horizontal="left"/>
    </xf>
    <xf numFmtId="2" fontId="2" fillId="0" borderId="2" xfId="0" applyNumberFormat="1" applyFont="1" applyBorder="1" applyAlignment="1">
      <alignment horizontal="left" vertical="top"/>
    </xf>
    <xf numFmtId="164" fontId="23" fillId="0" borderId="2" xfId="1" applyFont="1" applyFill="1" applyBorder="1" applyAlignment="1">
      <alignment horizontal="left"/>
    </xf>
    <xf numFmtId="167" fontId="24" fillId="0" borderId="2" xfId="0" applyNumberFormat="1" applyFont="1" applyBorder="1"/>
    <xf numFmtId="166" fontId="7" fillId="0" borderId="2" xfId="2" applyFont="1" applyFill="1" applyBorder="1" applyAlignment="1"/>
    <xf numFmtId="167" fontId="0" fillId="0" borderId="2" xfId="0" applyNumberFormat="1" applyBorder="1"/>
    <xf numFmtId="166" fontId="23" fillId="0" borderId="2" xfId="2" applyFont="1" applyFill="1" applyBorder="1" applyAlignment="1"/>
    <xf numFmtId="164" fontId="1" fillId="0" borderId="0" xfId="1"/>
    <xf numFmtId="0" fontId="7" fillId="0" borderId="0" xfId="0" applyFont="1"/>
    <xf numFmtId="0" fontId="2" fillId="0" borderId="0" xfId="0" applyFont="1" applyFill="1" applyAlignment="1">
      <alignment vertical="top"/>
    </xf>
    <xf numFmtId="0" fontId="10" fillId="0" borderId="0" xfId="0" applyFont="1" applyFill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/>
    </xf>
    <xf numFmtId="0" fontId="2" fillId="0" borderId="5" xfId="0" applyFont="1" applyFill="1" applyBorder="1" applyAlignment="1">
      <alignment vertical="top"/>
    </xf>
    <xf numFmtId="0" fontId="2" fillId="0" borderId="5" xfId="2" applyNumberFormat="1" applyFont="1" applyFill="1" applyBorder="1" applyAlignment="1">
      <alignment horizontal="left"/>
    </xf>
    <xf numFmtId="0" fontId="2" fillId="0" borderId="5" xfId="0" applyFont="1" applyFill="1" applyBorder="1" applyAlignment="1">
      <alignment horizontal="left" vertical="top"/>
    </xf>
    <xf numFmtId="0" fontId="8" fillId="0" borderId="5" xfId="3" applyFont="1" applyFill="1" applyBorder="1" applyAlignment="1">
      <alignment wrapText="1"/>
    </xf>
    <xf numFmtId="164" fontId="7" fillId="0" borderId="5" xfId="1" applyFont="1" applyFill="1" applyBorder="1" applyAlignment="1">
      <alignment horizontal="left"/>
    </xf>
    <xf numFmtId="0" fontId="10" fillId="0" borderId="3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wrapText="1"/>
    </xf>
    <xf numFmtId="0" fontId="25" fillId="0" borderId="3" xfId="0" applyFont="1" applyFill="1" applyBorder="1" applyAlignment="1">
      <alignment wrapText="1"/>
    </xf>
    <xf numFmtId="0" fontId="12" fillId="0" borderId="0" xfId="0" applyFont="1"/>
    <xf numFmtId="0" fontId="6" fillId="0" borderId="6" xfId="0" applyFont="1" applyBorder="1"/>
    <xf numFmtId="0" fontId="6" fillId="0" borderId="9" xfId="0" applyFont="1" applyBorder="1"/>
    <xf numFmtId="0" fontId="4" fillId="0" borderId="9" xfId="0" applyFont="1" applyBorder="1" applyAlignment="1">
      <alignment vertical="top"/>
    </xf>
    <xf numFmtId="165" fontId="4" fillId="0" borderId="9" xfId="2" applyNumberFormat="1" applyFont="1" applyFill="1" applyBorder="1" applyAlignment="1">
      <alignment horizontal="right" vertical="top"/>
    </xf>
    <xf numFmtId="0" fontId="2" fillId="0" borderId="9" xfId="0" applyFont="1" applyFill="1" applyBorder="1" applyAlignment="1">
      <alignment vertical="top"/>
    </xf>
    <xf numFmtId="0" fontId="2" fillId="0" borderId="9" xfId="2" applyNumberFormat="1" applyFont="1" applyFill="1" applyBorder="1" applyAlignment="1">
      <alignment horizontal="left"/>
    </xf>
    <xf numFmtId="0" fontId="2" fillId="0" borderId="9" xfId="0" applyFont="1" applyFill="1" applyBorder="1" applyAlignment="1">
      <alignment horizontal="left" vertical="top"/>
    </xf>
    <xf numFmtId="0" fontId="8" fillId="0" borderId="9" xfId="3" applyFont="1" applyFill="1" applyBorder="1" applyAlignment="1">
      <alignment wrapText="1"/>
    </xf>
    <xf numFmtId="164" fontId="7" fillId="0" borderId="9" xfId="1" applyFont="1" applyFill="1" applyBorder="1" applyAlignment="1">
      <alignment horizontal="left"/>
    </xf>
    <xf numFmtId="0" fontId="2" fillId="0" borderId="9" xfId="0" applyFont="1" applyFill="1" applyBorder="1" applyAlignment="1">
      <alignment vertical="top" wrapText="1"/>
    </xf>
    <xf numFmtId="0" fontId="6" fillId="0" borderId="9" xfId="0" applyFont="1" applyBorder="1" applyAlignment="1">
      <alignment horizontal="right" vertical="top"/>
    </xf>
    <xf numFmtId="0" fontId="0" fillId="0" borderId="9" xfId="0" applyBorder="1"/>
    <xf numFmtId="0" fontId="2" fillId="0" borderId="9" xfId="0" applyFont="1" applyBorder="1" applyAlignment="1">
      <alignment vertical="top"/>
    </xf>
    <xf numFmtId="0" fontId="2" fillId="0" borderId="9" xfId="0" applyFont="1" applyBorder="1" applyAlignment="1">
      <alignment horizontal="left" vertical="top"/>
    </xf>
    <xf numFmtId="164" fontId="1" fillId="0" borderId="9" xfId="1" applyBorder="1" applyAlignment="1">
      <alignment horizontal="left"/>
    </xf>
    <xf numFmtId="0" fontId="12" fillId="0" borderId="5" xfId="0" applyFont="1" applyFill="1" applyBorder="1" applyAlignment="1">
      <alignment horizontal="center" wrapText="1"/>
    </xf>
    <xf numFmtId="164" fontId="6" fillId="0" borderId="2" xfId="0" applyNumberFormat="1" applyFont="1" applyBorder="1"/>
    <xf numFmtId="164" fontId="4" fillId="0" borderId="2" xfId="0" applyNumberFormat="1" applyFont="1" applyBorder="1" applyAlignment="1">
      <alignment horizontal="center" vertical="top"/>
    </xf>
    <xf numFmtId="0" fontId="2" fillId="0" borderId="2" xfId="2" applyNumberFormat="1" applyFont="1" applyFill="1" applyBorder="1" applyAlignment="1"/>
    <xf numFmtId="0" fontId="8" fillId="0" borderId="2" xfId="3" applyFont="1" applyFill="1" applyBorder="1" applyAlignment="1">
      <alignment horizontal="center" wrapText="1"/>
    </xf>
    <xf numFmtId="2" fontId="6" fillId="0" borderId="2" xfId="0" applyNumberFormat="1" applyFont="1" applyBorder="1" applyAlignment="1">
      <alignment horizontal="center"/>
    </xf>
    <xf numFmtId="164" fontId="7" fillId="0" borderId="2" xfId="1" applyFont="1" applyFill="1" applyBorder="1" applyAlignment="1"/>
    <xf numFmtId="164" fontId="7" fillId="0" borderId="2" xfId="1" applyFont="1" applyFill="1" applyBorder="1" applyAlignment="1">
      <alignment horizontal="left" vertical="top"/>
    </xf>
    <xf numFmtId="4" fontId="4" fillId="0" borderId="2" xfId="0" applyNumberFormat="1" applyFont="1" applyBorder="1" applyAlignment="1">
      <alignment vertical="top"/>
    </xf>
    <xf numFmtId="2" fontId="4" fillId="0" borderId="2" xfId="0" applyNumberFormat="1" applyFont="1" applyBorder="1" applyAlignment="1">
      <alignment vertical="top"/>
    </xf>
    <xf numFmtId="164" fontId="10" fillId="0" borderId="5" xfId="0" applyNumberFormat="1" applyFont="1" applyFill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/>
    </xf>
    <xf numFmtId="164" fontId="6" fillId="0" borderId="7" xfId="0" applyNumberFormat="1" applyFont="1" applyFill="1" applyBorder="1"/>
    <xf numFmtId="164" fontId="12" fillId="0" borderId="5" xfId="0" applyNumberFormat="1" applyFont="1" applyFill="1" applyBorder="1" applyAlignment="1">
      <alignment horizontal="center"/>
    </xf>
    <xf numFmtId="0" fontId="26" fillId="2" borderId="0" xfId="3" applyFont="1" applyFill="1" applyAlignment="1"/>
    <xf numFmtId="0" fontId="26" fillId="2" borderId="0" xfId="3" applyFont="1" applyFill="1" applyAlignment="1">
      <alignment horizontal="left"/>
    </xf>
    <xf numFmtId="0" fontId="7" fillId="2" borderId="0" xfId="3" applyFont="1" applyFill="1" applyAlignment="1"/>
    <xf numFmtId="0" fontId="7" fillId="2" borderId="0" xfId="3" applyFont="1" applyFill="1" applyAlignment="1">
      <alignment horizontal="right"/>
    </xf>
    <xf numFmtId="0" fontId="27" fillId="2" borderId="0" xfId="3" applyFont="1" applyFill="1" applyAlignment="1">
      <alignment horizontal="left"/>
    </xf>
    <xf numFmtId="0" fontId="27" fillId="2" borderId="0" xfId="3" applyFont="1" applyFill="1" applyAlignment="1"/>
    <xf numFmtId="0" fontId="7" fillId="2" borderId="0" xfId="3" applyFont="1" applyFill="1" applyAlignment="1">
      <alignment horizontal="right" wrapText="1"/>
    </xf>
    <xf numFmtId="0" fontId="23" fillId="2" borderId="2" xfId="3" applyFont="1" applyFill="1" applyBorder="1" applyAlignment="1">
      <alignment wrapText="1"/>
    </xf>
    <xf numFmtId="0" fontId="23" fillId="2" borderId="2" xfId="3" applyFont="1" applyFill="1" applyBorder="1" applyAlignment="1">
      <alignment horizontal="left" wrapText="1"/>
    </xf>
    <xf numFmtId="0" fontId="23" fillId="2" borderId="2" xfId="3" applyFont="1" applyFill="1" applyBorder="1" applyAlignment="1">
      <alignment horizontal="right" wrapText="1"/>
    </xf>
    <xf numFmtId="0" fontId="7" fillId="0" borderId="2" xfId="3" applyFont="1" applyFill="1" applyBorder="1" applyAlignment="1">
      <alignment wrapText="1"/>
    </xf>
    <xf numFmtId="0" fontId="7" fillId="2" borderId="2" xfId="3" applyFont="1" applyFill="1" applyBorder="1" applyAlignment="1">
      <alignment wrapText="1"/>
    </xf>
    <xf numFmtId="0" fontId="7" fillId="2" borderId="2" xfId="3" applyFont="1" applyFill="1" applyBorder="1" applyAlignment="1"/>
    <xf numFmtId="0" fontId="7" fillId="0" borderId="2" xfId="3" applyFont="1" applyFill="1" applyBorder="1" applyAlignment="1">
      <alignment horizontal="right"/>
    </xf>
    <xf numFmtId="3" fontId="7" fillId="0" borderId="2" xfId="3" applyNumberFormat="1" applyFont="1" applyFill="1" applyBorder="1" applyAlignment="1">
      <alignment horizontal="center"/>
    </xf>
    <xf numFmtId="0" fontId="7" fillId="2" borderId="2" xfId="3" applyFont="1" applyFill="1" applyBorder="1" applyAlignment="1">
      <alignment horizontal="left" wrapText="1"/>
    </xf>
    <xf numFmtId="2" fontId="0" fillId="0" borderId="2" xfId="0" applyNumberFormat="1" applyBorder="1" applyAlignment="1">
      <alignment horizontal="center"/>
    </xf>
    <xf numFmtId="2" fontId="2" fillId="0" borderId="2" xfId="0" applyNumberFormat="1" applyFont="1" applyBorder="1" applyAlignment="1">
      <alignment horizontal="center" vertical="top"/>
    </xf>
    <xf numFmtId="0" fontId="2" fillId="0" borderId="2" xfId="2" applyNumberFormat="1" applyFont="1" applyFill="1" applyBorder="1" applyAlignment="1">
      <alignment horizontal="left" vertical="top"/>
    </xf>
    <xf numFmtId="0" fontId="7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top"/>
    </xf>
    <xf numFmtId="0" fontId="0" fillId="0" borderId="2" xfId="0" applyBorder="1" applyAlignment="1">
      <alignment horizontal="center"/>
    </xf>
    <xf numFmtId="0" fontId="2" fillId="0" borderId="2" xfId="2" applyNumberFormat="1" applyFont="1" applyFill="1" applyBorder="1" applyAlignment="1">
      <alignment horizontal="center" vertical="top"/>
    </xf>
    <xf numFmtId="2" fontId="24" fillId="0" borderId="2" xfId="0" applyNumberFormat="1" applyFont="1" applyBorder="1"/>
    <xf numFmtId="0" fontId="7" fillId="0" borderId="2" xfId="0" applyFont="1" applyBorder="1" applyAlignment="1">
      <alignment horizontal="right" vertical="center"/>
    </xf>
    <xf numFmtId="0" fontId="23" fillId="2" borderId="6" xfId="3" applyFont="1" applyFill="1" applyBorder="1" applyAlignment="1">
      <alignment wrapText="1"/>
    </xf>
    <xf numFmtId="0" fontId="7" fillId="2" borderId="6" xfId="3" applyFont="1" applyFill="1" applyBorder="1" applyAlignment="1"/>
    <xf numFmtId="0" fontId="23" fillId="2" borderId="6" xfId="3" applyFont="1" applyFill="1" applyBorder="1" applyAlignment="1">
      <alignment horizontal="left"/>
    </xf>
    <xf numFmtId="0" fontId="7" fillId="2" borderId="6" xfId="3" applyFont="1" applyFill="1" applyBorder="1" applyAlignment="1">
      <alignment wrapText="1"/>
    </xf>
    <xf numFmtId="0" fontId="7" fillId="2" borderId="6" xfId="3" applyFont="1" applyFill="1" applyBorder="1" applyAlignment="1">
      <alignment horizontal="right"/>
    </xf>
    <xf numFmtId="0" fontId="3" fillId="0" borderId="5" xfId="0" applyFont="1" applyBorder="1" applyAlignment="1">
      <alignment vertical="top"/>
    </xf>
    <xf numFmtId="0" fontId="0" fillId="0" borderId="5" xfId="0" applyBorder="1" applyAlignment="1">
      <alignment horizontal="left"/>
    </xf>
    <xf numFmtId="0" fontId="28" fillId="0" borderId="2" xfId="3" applyFont="1" applyFill="1" applyBorder="1" applyAlignment="1">
      <alignment horizontal="left" vertical="center"/>
    </xf>
    <xf numFmtId="0" fontId="2" fillId="0" borderId="5" xfId="0" applyFont="1" applyBorder="1" applyAlignment="1">
      <alignment vertical="top"/>
    </xf>
    <xf numFmtId="0" fontId="28" fillId="0" borderId="2" xfId="3" applyFont="1" applyFill="1" applyBorder="1" applyAlignment="1">
      <alignment vertical="center"/>
    </xf>
    <xf numFmtId="0" fontId="2" fillId="0" borderId="5" xfId="0" applyFont="1" applyBorder="1" applyAlignment="1">
      <alignment horizontal="left" vertical="top"/>
    </xf>
    <xf numFmtId="2" fontId="24" fillId="0" borderId="7" xfId="0" applyNumberFormat="1" applyFont="1" applyBorder="1" applyAlignment="1">
      <alignment horizontal="center"/>
    </xf>
    <xf numFmtId="0" fontId="28" fillId="0" borderId="4" xfId="3" applyFont="1" applyFill="1" applyBorder="1" applyAlignment="1">
      <alignment vertical="center" wrapText="1"/>
    </xf>
    <xf numFmtId="0" fontId="29" fillId="0" borderId="4" xfId="3" applyFont="1" applyFill="1" applyBorder="1" applyAlignment="1">
      <alignment horizontal="left" vertical="center"/>
    </xf>
    <xf numFmtId="0" fontId="28" fillId="0" borderId="4" xfId="3" applyFont="1" applyFill="1" applyBorder="1" applyAlignment="1">
      <alignment vertical="center"/>
    </xf>
    <xf numFmtId="0" fontId="28" fillId="0" borderId="4" xfId="3" applyFont="1" applyFill="1" applyBorder="1" applyAlignment="1">
      <alignment horizontal="left" vertical="center"/>
    </xf>
    <xf numFmtId="3" fontId="28" fillId="0" borderId="4" xfId="3" applyNumberFormat="1" applyFont="1" applyFill="1" applyBorder="1" applyAlignment="1">
      <alignment vertical="center"/>
    </xf>
    <xf numFmtId="3" fontId="27" fillId="0" borderId="2" xfId="3" applyNumberFormat="1" applyFont="1" applyFill="1" applyBorder="1" applyAlignment="1"/>
    <xf numFmtId="0" fontId="0" fillId="0" borderId="7" xfId="0" applyBorder="1" applyAlignment="1">
      <alignment horizontal="center"/>
    </xf>
    <xf numFmtId="0" fontId="7" fillId="2" borderId="2" xfId="3" applyFont="1" applyFill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0" fontId="2" fillId="0" borderId="5" xfId="0" applyFont="1" applyBorder="1" applyAlignment="1">
      <alignment horizontal="center" vertical="top"/>
    </xf>
    <xf numFmtId="2" fontId="3" fillId="0" borderId="7" xfId="0" applyNumberFormat="1" applyFont="1" applyBorder="1" applyAlignment="1">
      <alignment horizontal="center" vertical="top"/>
    </xf>
    <xf numFmtId="0" fontId="30" fillId="0" borderId="0" xfId="3" applyFont="1" applyFill="1" applyAlignment="1"/>
    <xf numFmtId="0" fontId="31" fillId="0" borderId="1" xfId="0" applyFont="1" applyFill="1" applyBorder="1"/>
    <xf numFmtId="0" fontId="30" fillId="0" borderId="0" xfId="3" applyFont="1" applyFill="1" applyAlignment="1">
      <alignment horizontal="left"/>
    </xf>
    <xf numFmtId="0" fontId="32" fillId="0" borderId="0" xfId="3" applyFont="1" applyFill="1" applyAlignment="1">
      <alignment vertical="center" wrapText="1"/>
    </xf>
    <xf numFmtId="0" fontId="28" fillId="0" borderId="0" xfId="3" applyFont="1" applyFill="1" applyAlignment="1">
      <alignment vertical="center"/>
    </xf>
    <xf numFmtId="0" fontId="28" fillId="0" borderId="0" xfId="3" applyFont="1" applyFill="1" applyAlignment="1">
      <alignment horizontal="right" vertical="center"/>
    </xf>
    <xf numFmtId="3" fontId="28" fillId="0" borderId="0" xfId="3" applyNumberFormat="1" applyFont="1" applyFill="1" applyAlignment="1">
      <alignment vertical="center"/>
    </xf>
    <xf numFmtId="0" fontId="33" fillId="0" borderId="0" xfId="3" applyFont="1" applyFill="1" applyAlignment="1">
      <alignment wrapText="1"/>
    </xf>
    <xf numFmtId="0" fontId="33" fillId="0" borderId="0" xfId="3" applyFont="1" applyFill="1" applyAlignment="1">
      <alignment horizontal="left"/>
    </xf>
    <xf numFmtId="3" fontId="23" fillId="2" borderId="0" xfId="3" applyNumberFormat="1" applyFont="1" applyFill="1" applyAlignment="1">
      <alignment horizontal="right"/>
    </xf>
    <xf numFmtId="0" fontId="7" fillId="2" borderId="0" xfId="3" applyFont="1" applyFill="1" applyAlignment="1">
      <alignment wrapText="1"/>
    </xf>
    <xf numFmtId="0" fontId="7" fillId="2" borderId="0" xfId="3" applyFont="1" applyFill="1" applyAlignment="1">
      <alignment horizontal="left"/>
    </xf>
    <xf numFmtId="3" fontId="23" fillId="2" borderId="0" xfId="3" applyNumberFormat="1" applyFont="1" applyFill="1" applyAlignment="1"/>
    <xf numFmtId="0" fontId="23" fillId="2" borderId="0" xfId="3" applyFont="1" applyFill="1" applyAlignment="1"/>
    <xf numFmtId="0" fontId="7" fillId="2" borderId="2" xfId="3" applyFont="1" applyFill="1" applyBorder="1" applyAlignment="1">
      <alignment horizontal="right"/>
    </xf>
    <xf numFmtId="9" fontId="7" fillId="2" borderId="2" xfId="3" applyNumberFormat="1" applyFont="1" applyFill="1" applyBorder="1" applyAlignment="1">
      <alignment wrapText="1"/>
    </xf>
    <xf numFmtId="4" fontId="0" fillId="0" borderId="0" xfId="0" applyNumberFormat="1" applyAlignment="1">
      <alignment horizontal="right"/>
    </xf>
    <xf numFmtId="9" fontId="7" fillId="2" borderId="2" xfId="3" applyNumberFormat="1" applyFont="1" applyFill="1" applyBorder="1" applyAlignment="1"/>
    <xf numFmtId="0" fontId="7" fillId="0" borderId="0" xfId="3" applyFont="1" applyFill="1" applyAlignment="1">
      <alignment horizontal="right"/>
    </xf>
    <xf numFmtId="0" fontId="23" fillId="2" borderId="2" xfId="3" applyFont="1" applyFill="1" applyBorder="1" applyAlignment="1">
      <alignment horizontal="right"/>
    </xf>
    <xf numFmtId="4" fontId="7" fillId="2" borderId="2" xfId="3" applyNumberFormat="1" applyFont="1" applyFill="1" applyBorder="1" applyAlignment="1">
      <alignment horizontal="right"/>
    </xf>
    <xf numFmtId="0" fontId="11" fillId="0" borderId="2" xfId="0" applyFont="1" applyBorder="1" applyAlignment="1"/>
    <xf numFmtId="164" fontId="1" fillId="0" borderId="2" xfId="1" applyBorder="1" applyAlignment="1"/>
    <xf numFmtId="2" fontId="2" fillId="0" borderId="2" xfId="0" applyNumberFormat="1" applyFont="1" applyBorder="1" applyAlignment="1">
      <alignment vertical="top"/>
    </xf>
    <xf numFmtId="164" fontId="23" fillId="0" borderId="2" xfId="1" applyFont="1" applyFill="1" applyBorder="1" applyAlignment="1"/>
    <xf numFmtId="164" fontId="0" fillId="0" borderId="2" xfId="0" applyNumberFormat="1" applyBorder="1" applyAlignment="1">
      <alignment horizontal="center"/>
    </xf>
    <xf numFmtId="3" fontId="4" fillId="0" borderId="2" xfId="0" applyNumberFormat="1" applyFont="1" applyBorder="1" applyAlignment="1">
      <alignment vertical="top"/>
    </xf>
    <xf numFmtId="0" fontId="10" fillId="0" borderId="3" xfId="0" applyFont="1" applyFill="1" applyBorder="1" applyAlignment="1">
      <alignment horizontal="center" vertical="top"/>
    </xf>
    <xf numFmtId="0" fontId="10" fillId="0" borderId="5" xfId="0" applyFont="1" applyFill="1" applyBorder="1" applyAlignment="1">
      <alignment horizontal="center" vertical="top"/>
    </xf>
    <xf numFmtId="0" fontId="3" fillId="0" borderId="0" xfId="0" applyFont="1" applyFill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4">
    <cellStyle name="Comma" xfId="1" builtinId="3"/>
    <cellStyle name="Excel Built-in Comma" xfId="2"/>
    <cellStyle name="Excel Built-in Normal 1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54315</xdr:colOff>
      <xdr:row>2</xdr:row>
      <xdr:rowOff>0</xdr:rowOff>
    </xdr:from>
    <xdr:ext cx="365" cy="186446"/>
    <xdr:sp macro="" textlink="">
      <xdr:nvSpPr>
        <xdr:cNvPr id="2" name="TextBox 4"/>
        <xdr:cNvSpPr/>
      </xdr:nvSpPr>
      <xdr:spPr>
        <a:xfrm>
          <a:off x="10065090" y="361950"/>
          <a:ext cx="365" cy="186446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x-none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  <xdr:oneCellAnchor>
    <xdr:from>
      <xdr:col>7</xdr:col>
      <xdr:colOff>54315</xdr:colOff>
      <xdr:row>35</xdr:row>
      <xdr:rowOff>135331</xdr:rowOff>
    </xdr:from>
    <xdr:ext cx="365" cy="206654"/>
    <xdr:sp macro="" textlink="">
      <xdr:nvSpPr>
        <xdr:cNvPr id="3" name="TextBox 6"/>
        <xdr:cNvSpPr/>
      </xdr:nvSpPr>
      <xdr:spPr>
        <a:xfrm>
          <a:off x="10065090" y="7726756"/>
          <a:ext cx="365" cy="206654"/>
        </a:xfrm>
        <a:custGeom>
          <a:avLst/>
          <a:gdLst>
            <a:gd name="f0" fmla="val w"/>
            <a:gd name="f1" fmla="val h"/>
            <a:gd name="f2" fmla="val 0"/>
            <a:gd name="f3" fmla="val 21600"/>
            <a:gd name="f4" fmla="*/ f0 1 21600"/>
            <a:gd name="f5" fmla="*/ f1 1 21600"/>
            <a:gd name="f6" fmla="+- f3 0 f2"/>
            <a:gd name="f7" fmla="*/ f6 1 21600"/>
            <a:gd name="f8" fmla="*/ f2 1 f7"/>
            <a:gd name="f9" fmla="*/ f3 1 f7"/>
            <a:gd name="f10" fmla="*/ f8 f4 1"/>
            <a:gd name="f11" fmla="*/ f9 f4 1"/>
            <a:gd name="f12" fmla="*/ f9 f5 1"/>
            <a:gd name="f13" fmla="*/ f8 f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</a:cxnLst>
          <a:rect l="f10" t="f13" r="f11" b="f12"/>
          <a:pathLst>
            <a:path w="21600" h="21600">
              <a:moveTo>
                <a:pt x="f2" y="f2"/>
              </a:moveTo>
              <a:lnTo>
                <a:pt x="f3" y="f2"/>
              </a:lnTo>
              <a:lnTo>
                <a:pt x="f3" y="f3"/>
              </a:lnTo>
              <a:lnTo>
                <a:pt x="f2" y="f3"/>
              </a:lnTo>
              <a:lnTo>
                <a:pt x="f2" y="f2"/>
              </a:lnTo>
              <a:close/>
            </a:path>
          </a:pathLst>
        </a:custGeom>
        <a:noFill/>
        <a:ln cap="flat">
          <a:noFill/>
          <a:prstDash val="solid"/>
        </a:ln>
      </xdr:spPr>
      <xdr:txBody>
        <a:bodyPr vert="horz" wrap="none" lIns="0" tIns="0" rIns="0" bIns="0" anchor="t" anchorCtr="0" compatLnSpc="0">
          <a:spAutoFit/>
        </a:bodyPr>
        <a:lstStyle/>
        <a:p>
          <a:pPr marL="0" marR="0" lvl="0" indent="0" defTabSz="914400" rtl="0" fontAlgn="auto" hangingPunct="0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x-none" sz="1200" b="0" i="0" u="none" strike="noStrike" kern="1200" cap="none" spc="0" baseline="0">
            <a:solidFill>
              <a:srgbClr val="000000"/>
            </a:solidFill>
            <a:uFillTx/>
            <a:latin typeface="Calibri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49"/>
  <sheetViews>
    <sheetView topLeftCell="A112" zoomScale="87" zoomScaleNormal="87" workbookViewId="0">
      <selection activeCell="A10" sqref="A10:H10"/>
    </sheetView>
  </sheetViews>
  <sheetFormatPr defaultRowHeight="15" x14ac:dyDescent="0.25"/>
  <cols>
    <col min="1" max="1" width="35.5703125" customWidth="1"/>
    <col min="2" max="2" width="53.140625" customWidth="1"/>
    <col min="3" max="3" width="13.42578125" customWidth="1"/>
    <col min="4" max="4" width="29.85546875" customWidth="1"/>
    <col min="5" max="5" width="32.85546875" customWidth="1"/>
    <col min="6" max="6" width="24.28515625" customWidth="1"/>
    <col min="7" max="7" width="19.42578125" customWidth="1"/>
    <col min="8" max="8" width="18.7109375" customWidth="1"/>
  </cols>
  <sheetData>
    <row r="2" spans="1:9" ht="15.75" x14ac:dyDescent="0.25">
      <c r="A2" s="1"/>
      <c r="B2" s="220" t="s">
        <v>0</v>
      </c>
      <c r="C2" s="220"/>
      <c r="D2" s="220"/>
      <c r="E2" s="220"/>
      <c r="F2" s="220"/>
      <c r="G2" s="220"/>
      <c r="H2" s="220"/>
    </row>
    <row r="3" spans="1:9" ht="15.75" x14ac:dyDescent="0.25">
      <c r="A3" s="1"/>
      <c r="B3" s="220" t="s">
        <v>1</v>
      </c>
      <c r="C3" s="220"/>
      <c r="D3" s="220"/>
      <c r="E3" s="220"/>
      <c r="F3" s="220"/>
      <c r="G3" s="220"/>
      <c r="H3" s="220"/>
    </row>
    <row r="4" spans="1:9" ht="18.75" x14ac:dyDescent="0.3">
      <c r="A4" s="1"/>
      <c r="B4" s="2" t="s">
        <v>259</v>
      </c>
      <c r="C4" s="3"/>
      <c r="D4" s="2"/>
      <c r="E4" s="61" t="s">
        <v>344</v>
      </c>
      <c r="F4" s="61" t="s">
        <v>276</v>
      </c>
    </row>
    <row r="5" spans="1:9" ht="15.75" x14ac:dyDescent="0.25">
      <c r="A5" s="1"/>
      <c r="B5" s="221" t="s">
        <v>2</v>
      </c>
      <c r="C5" s="221"/>
      <c r="D5" s="221"/>
      <c r="E5" s="221"/>
      <c r="F5" s="221"/>
    </row>
    <row r="6" spans="1:9" ht="18.75" x14ac:dyDescent="0.25">
      <c r="A6" s="4"/>
      <c r="B6" s="5" t="s">
        <v>3</v>
      </c>
      <c r="C6" s="6" t="s">
        <v>4</v>
      </c>
      <c r="D6" s="5" t="s">
        <v>5</v>
      </c>
      <c r="E6" s="7" t="s">
        <v>6</v>
      </c>
      <c r="F6" s="7" t="s">
        <v>7</v>
      </c>
      <c r="G6" s="7" t="s">
        <v>8</v>
      </c>
      <c r="H6" s="7" t="s">
        <v>9</v>
      </c>
      <c r="I6" s="8"/>
    </row>
    <row r="7" spans="1:9" ht="18.75" x14ac:dyDescent="0.25">
      <c r="A7" s="4">
        <v>1</v>
      </c>
      <c r="B7" s="33" t="s">
        <v>212</v>
      </c>
      <c r="C7" s="10">
        <v>134478</v>
      </c>
      <c r="D7" s="34" t="s">
        <v>213</v>
      </c>
      <c r="E7" s="12" t="s">
        <v>11</v>
      </c>
      <c r="F7" s="33" t="s">
        <v>277</v>
      </c>
      <c r="G7" s="34">
        <v>719038000</v>
      </c>
      <c r="H7" s="35">
        <v>234070</v>
      </c>
      <c r="I7" s="8"/>
    </row>
    <row r="8" spans="1:9" ht="18.75" x14ac:dyDescent="0.25">
      <c r="A8" s="4"/>
      <c r="B8" s="5"/>
      <c r="C8" s="6"/>
      <c r="D8" s="5"/>
      <c r="E8" s="7"/>
      <c r="F8" s="7"/>
      <c r="G8" s="7"/>
      <c r="H8" s="7"/>
      <c r="I8" s="8"/>
    </row>
    <row r="9" spans="1:9" ht="18.75" x14ac:dyDescent="0.25">
      <c r="A9" s="4"/>
      <c r="B9" s="5"/>
      <c r="C9" s="6"/>
      <c r="D9" s="5"/>
      <c r="E9" s="7"/>
      <c r="F9" s="7"/>
      <c r="G9" s="7"/>
      <c r="H9" s="130">
        <f>SUM(H7:H8)</f>
        <v>234070</v>
      </c>
      <c r="I9" s="8"/>
    </row>
    <row r="10" spans="1:9" ht="18.75" x14ac:dyDescent="0.25">
      <c r="A10" s="218" t="s">
        <v>10</v>
      </c>
      <c r="B10" s="218"/>
      <c r="C10" s="218"/>
      <c r="D10" s="218"/>
      <c r="E10" s="218"/>
      <c r="F10" s="218"/>
      <c r="G10" s="218"/>
      <c r="H10" s="218"/>
      <c r="I10" s="8"/>
    </row>
    <row r="11" spans="1:9" ht="18.75" x14ac:dyDescent="0.25">
      <c r="A11" s="4"/>
      <c r="B11" s="5" t="s">
        <v>3</v>
      </c>
      <c r="C11" s="6" t="s">
        <v>4</v>
      </c>
      <c r="D11" s="5" t="s">
        <v>5</v>
      </c>
      <c r="E11" s="7" t="s">
        <v>6</v>
      </c>
      <c r="F11" s="7" t="s">
        <v>7</v>
      </c>
      <c r="G11" s="7" t="s">
        <v>8</v>
      </c>
      <c r="H11" s="7" t="s">
        <v>9</v>
      </c>
      <c r="I11" s="8"/>
    </row>
    <row r="12" spans="1:9" ht="18.75" x14ac:dyDescent="0.25">
      <c r="A12" s="4">
        <v>1</v>
      </c>
      <c r="B12" s="9" t="s">
        <v>151</v>
      </c>
      <c r="C12" s="10">
        <v>133896</v>
      </c>
      <c r="D12" s="11" t="s">
        <v>152</v>
      </c>
      <c r="E12" s="11" t="s">
        <v>260</v>
      </c>
      <c r="F12" s="11" t="s">
        <v>274</v>
      </c>
      <c r="G12" s="9">
        <v>713733862</v>
      </c>
      <c r="H12" s="14">
        <v>75210</v>
      </c>
      <c r="I12" s="8"/>
    </row>
    <row r="13" spans="1:9" ht="18.75" x14ac:dyDescent="0.25">
      <c r="A13" s="4">
        <v>2</v>
      </c>
      <c r="B13" s="9" t="s">
        <v>153</v>
      </c>
      <c r="C13" s="10">
        <v>133897</v>
      </c>
      <c r="D13" s="101" t="s">
        <v>154</v>
      </c>
      <c r="E13" s="101" t="s">
        <v>260</v>
      </c>
      <c r="F13" s="101" t="s">
        <v>275</v>
      </c>
      <c r="G13" s="9">
        <v>7228648952</v>
      </c>
      <c r="H13" s="14">
        <v>66000</v>
      </c>
      <c r="I13" s="8"/>
    </row>
    <row r="14" spans="1:9" ht="18.75" x14ac:dyDescent="0.25">
      <c r="A14" s="4">
        <v>3</v>
      </c>
      <c r="B14" s="33" t="s">
        <v>164</v>
      </c>
      <c r="C14" s="10">
        <v>134454</v>
      </c>
      <c r="D14" s="34" t="s">
        <v>163</v>
      </c>
      <c r="E14" s="12" t="s">
        <v>263</v>
      </c>
      <c r="F14" s="34" t="s">
        <v>271</v>
      </c>
      <c r="G14" s="33">
        <v>739951453</v>
      </c>
      <c r="H14" s="35">
        <v>31000</v>
      </c>
      <c r="I14" s="8"/>
    </row>
    <row r="15" spans="1:9" ht="18.75" x14ac:dyDescent="0.25">
      <c r="A15" s="4">
        <v>4</v>
      </c>
      <c r="B15" s="33" t="s">
        <v>177</v>
      </c>
      <c r="C15" s="10">
        <v>134465</v>
      </c>
      <c r="D15" s="34" t="s">
        <v>145</v>
      </c>
      <c r="E15" s="12" t="s">
        <v>260</v>
      </c>
      <c r="F15" s="34" t="s">
        <v>273</v>
      </c>
      <c r="G15" s="33">
        <v>729430997</v>
      </c>
      <c r="H15" s="35">
        <v>24940</v>
      </c>
      <c r="I15" s="8"/>
    </row>
    <row r="16" spans="1:9" ht="18.75" x14ac:dyDescent="0.25">
      <c r="A16" s="16">
        <v>5</v>
      </c>
      <c r="B16" s="33" t="s">
        <v>194</v>
      </c>
      <c r="C16" s="10">
        <v>134467</v>
      </c>
      <c r="D16" s="34" t="s">
        <v>145</v>
      </c>
      <c r="E16" s="12" t="s">
        <v>260</v>
      </c>
      <c r="F16" s="34" t="s">
        <v>273</v>
      </c>
      <c r="G16" s="33">
        <v>729430998</v>
      </c>
      <c r="H16" s="35">
        <v>44870</v>
      </c>
      <c r="I16" s="8"/>
    </row>
    <row r="17" spans="1:9" ht="18.75" x14ac:dyDescent="0.25">
      <c r="A17" s="16"/>
      <c r="B17" s="104"/>
      <c r="C17" s="53"/>
      <c r="D17" s="34"/>
      <c r="E17" s="12"/>
      <c r="F17" s="33"/>
      <c r="G17" s="34"/>
      <c r="H17" s="35"/>
      <c r="I17" s="8"/>
    </row>
    <row r="18" spans="1:9" ht="18.75" x14ac:dyDescent="0.25">
      <c r="A18" s="16"/>
      <c r="B18" s="104"/>
      <c r="C18" s="53"/>
      <c r="D18" s="34"/>
      <c r="E18" s="12"/>
      <c r="F18" s="33"/>
      <c r="G18" s="34"/>
      <c r="H18" s="35">
        <f>SUM(H12:H17)</f>
        <v>242020</v>
      </c>
      <c r="I18" s="8"/>
    </row>
    <row r="19" spans="1:9" ht="18.75" x14ac:dyDescent="0.25">
      <c r="A19" s="218" t="s">
        <v>13</v>
      </c>
      <c r="B19" s="219"/>
      <c r="C19" s="219"/>
      <c r="D19" s="219"/>
      <c r="E19" s="219"/>
      <c r="F19" s="219"/>
      <c r="G19" s="219"/>
      <c r="H19" s="219"/>
      <c r="I19" s="8"/>
    </row>
    <row r="20" spans="1:9" ht="18.75" x14ac:dyDescent="0.25">
      <c r="A20" s="4"/>
      <c r="B20" s="5" t="s">
        <v>3</v>
      </c>
      <c r="C20" s="6" t="s">
        <v>4</v>
      </c>
      <c r="D20" s="5" t="s">
        <v>5</v>
      </c>
      <c r="E20" s="7" t="s">
        <v>6</v>
      </c>
      <c r="F20" s="7" t="s">
        <v>7</v>
      </c>
      <c r="G20" s="7" t="s">
        <v>8</v>
      </c>
      <c r="H20" s="7" t="s">
        <v>9</v>
      </c>
      <c r="I20" s="8"/>
    </row>
    <row r="21" spans="1:9" ht="18.75" x14ac:dyDescent="0.25">
      <c r="A21" s="4">
        <v>1</v>
      </c>
      <c r="B21" s="33" t="s">
        <v>162</v>
      </c>
      <c r="C21" s="10">
        <v>134453</v>
      </c>
      <c r="D21" s="34" t="s">
        <v>163</v>
      </c>
      <c r="E21" s="12" t="s">
        <v>263</v>
      </c>
      <c r="F21" s="34" t="s">
        <v>271</v>
      </c>
      <c r="G21" s="33">
        <v>739951453</v>
      </c>
      <c r="H21" s="35">
        <v>150000</v>
      </c>
      <c r="I21" s="8"/>
    </row>
    <row r="22" spans="1:9" ht="18.75" x14ac:dyDescent="0.25">
      <c r="A22" s="4">
        <v>2</v>
      </c>
      <c r="B22" s="33" t="s">
        <v>223</v>
      </c>
      <c r="C22" s="10">
        <v>134482</v>
      </c>
      <c r="D22" s="34" t="s">
        <v>224</v>
      </c>
      <c r="E22" s="12" t="s">
        <v>12</v>
      </c>
      <c r="F22" s="11" t="s">
        <v>310</v>
      </c>
      <c r="G22" s="34">
        <v>721755920</v>
      </c>
      <c r="H22" s="35">
        <v>39208</v>
      </c>
      <c r="I22" s="8"/>
    </row>
    <row r="23" spans="1:9" ht="18.75" x14ac:dyDescent="0.25">
      <c r="A23" s="4"/>
      <c r="B23" s="15"/>
      <c r="C23" s="4"/>
      <c r="D23" s="15"/>
      <c r="E23" s="4"/>
      <c r="F23" s="101"/>
      <c r="G23" s="4"/>
      <c r="H23" s="4"/>
      <c r="I23" s="8"/>
    </row>
    <row r="24" spans="1:9" ht="18.75" x14ac:dyDescent="0.25">
      <c r="A24" s="4"/>
      <c r="B24" s="15"/>
      <c r="C24" s="4"/>
      <c r="D24" s="15"/>
      <c r="E24" s="4"/>
      <c r="F24" s="34"/>
      <c r="G24" s="4"/>
      <c r="H24" s="4"/>
      <c r="I24" s="8"/>
    </row>
    <row r="25" spans="1:9" ht="18.75" x14ac:dyDescent="0.25">
      <c r="A25" s="4"/>
      <c r="B25" s="4"/>
      <c r="C25" s="4"/>
      <c r="D25" s="4"/>
      <c r="E25" s="4"/>
      <c r="F25" s="4"/>
      <c r="G25" s="4"/>
      <c r="H25" s="131">
        <f>SUM(H21:H24)</f>
        <v>189208</v>
      </c>
      <c r="I25" s="8"/>
    </row>
    <row r="26" spans="1:9" ht="18.75" x14ac:dyDescent="0.25">
      <c r="A26" s="218" t="s">
        <v>14</v>
      </c>
      <c r="B26" s="219"/>
      <c r="C26" s="219"/>
      <c r="D26" s="219"/>
      <c r="E26" s="219"/>
      <c r="F26" s="219"/>
      <c r="G26" s="219"/>
      <c r="H26" s="219"/>
      <c r="I26" s="8"/>
    </row>
    <row r="27" spans="1:9" ht="18.75" x14ac:dyDescent="0.25">
      <c r="A27" s="4"/>
      <c r="B27" s="5" t="s">
        <v>3</v>
      </c>
      <c r="C27" s="6" t="s">
        <v>4</v>
      </c>
      <c r="D27" s="5" t="s">
        <v>5</v>
      </c>
      <c r="E27" s="7" t="s">
        <v>6</v>
      </c>
      <c r="F27" s="7" t="s">
        <v>7</v>
      </c>
      <c r="G27" s="7" t="s">
        <v>8</v>
      </c>
      <c r="H27" s="7" t="s">
        <v>9</v>
      </c>
      <c r="I27" s="8"/>
    </row>
    <row r="28" spans="1:9" ht="18.75" x14ac:dyDescent="0.25">
      <c r="A28" s="4"/>
      <c r="B28" s="4"/>
      <c r="C28" s="4"/>
      <c r="D28" s="4"/>
      <c r="E28" s="4"/>
      <c r="F28" s="4"/>
      <c r="G28" s="4"/>
      <c r="H28" s="4"/>
      <c r="I28" s="8"/>
    </row>
    <row r="29" spans="1:9" ht="18.75" x14ac:dyDescent="0.25">
      <c r="A29" s="4"/>
      <c r="B29" s="4"/>
      <c r="C29" s="4"/>
      <c r="D29" s="4"/>
      <c r="E29" s="4"/>
      <c r="F29" s="4"/>
      <c r="G29" s="4"/>
      <c r="H29" s="4"/>
      <c r="I29" s="8"/>
    </row>
    <row r="30" spans="1:9" ht="18.75" x14ac:dyDescent="0.25">
      <c r="A30" s="4"/>
      <c r="B30" s="4"/>
      <c r="C30" s="4"/>
      <c r="D30" s="4"/>
      <c r="E30" s="4"/>
      <c r="F30" s="4"/>
      <c r="G30" s="4"/>
      <c r="H30" s="4"/>
      <c r="I30" s="8"/>
    </row>
    <row r="31" spans="1:9" ht="18.75" x14ac:dyDescent="0.25">
      <c r="A31" s="218" t="s">
        <v>15</v>
      </c>
      <c r="B31" s="219"/>
      <c r="C31" s="219"/>
      <c r="D31" s="219"/>
      <c r="E31" s="219"/>
      <c r="F31" s="219"/>
      <c r="G31" s="219"/>
      <c r="H31" s="219"/>
      <c r="I31" s="8"/>
    </row>
    <row r="32" spans="1:9" ht="18.75" x14ac:dyDescent="0.25">
      <c r="A32" s="4"/>
      <c r="B32" s="5" t="s">
        <v>3</v>
      </c>
      <c r="C32" s="6" t="s">
        <v>4</v>
      </c>
      <c r="D32" s="5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8"/>
    </row>
    <row r="33" spans="1:13" ht="18.75" x14ac:dyDescent="0.3">
      <c r="A33" s="4"/>
      <c r="B33" s="5"/>
      <c r="C33" s="19"/>
      <c r="D33" s="5"/>
      <c r="E33" s="7"/>
      <c r="F33" s="7"/>
      <c r="G33" s="7"/>
      <c r="H33" s="7"/>
      <c r="I33" s="8"/>
    </row>
    <row r="34" spans="1:13" ht="18.75" x14ac:dyDescent="0.3">
      <c r="A34" s="4"/>
      <c r="B34" s="5"/>
      <c r="C34" s="19"/>
      <c r="D34" s="5"/>
      <c r="E34" s="7"/>
      <c r="F34" s="7"/>
      <c r="G34" s="7"/>
      <c r="H34" s="7"/>
      <c r="I34" s="8"/>
    </row>
    <row r="35" spans="1:13" ht="18.75" x14ac:dyDescent="0.3">
      <c r="A35" s="4"/>
      <c r="B35" s="5"/>
      <c r="C35" s="19"/>
      <c r="D35" s="5"/>
      <c r="E35" s="7"/>
      <c r="F35" s="7"/>
      <c r="G35" s="7"/>
      <c r="H35" s="7"/>
      <c r="I35" s="8"/>
      <c r="K35" s="17"/>
    </row>
    <row r="36" spans="1:13" ht="18.75" x14ac:dyDescent="0.3">
      <c r="A36" s="4"/>
      <c r="B36" s="5"/>
      <c r="C36" s="20"/>
      <c r="D36" s="5"/>
      <c r="E36" s="7"/>
      <c r="F36" s="7"/>
      <c r="G36" s="7"/>
      <c r="H36" s="7"/>
      <c r="I36" s="8"/>
      <c r="M36" s="18"/>
    </row>
    <row r="37" spans="1:13" ht="18.75" x14ac:dyDescent="0.25">
      <c r="A37" s="218" t="s">
        <v>16</v>
      </c>
      <c r="B37" s="219"/>
      <c r="C37" s="219"/>
      <c r="D37" s="219"/>
      <c r="E37" s="219"/>
      <c r="F37" s="219"/>
      <c r="G37" s="219"/>
      <c r="H37" s="219"/>
      <c r="I37" s="8"/>
    </row>
    <row r="38" spans="1:13" ht="18.75" x14ac:dyDescent="0.25">
      <c r="A38" s="4"/>
      <c r="B38" s="5" t="s">
        <v>3</v>
      </c>
      <c r="C38" s="6" t="s">
        <v>4</v>
      </c>
      <c r="D38" s="5" t="s">
        <v>5</v>
      </c>
      <c r="E38" s="7" t="s">
        <v>6</v>
      </c>
      <c r="F38" s="7" t="s">
        <v>7</v>
      </c>
      <c r="G38" s="7" t="s">
        <v>8</v>
      </c>
      <c r="H38" s="7" t="s">
        <v>9</v>
      </c>
      <c r="I38" s="8"/>
    </row>
    <row r="39" spans="1:13" ht="18.75" x14ac:dyDescent="0.25">
      <c r="A39" s="4"/>
      <c r="B39" s="15"/>
      <c r="C39" s="4"/>
      <c r="D39" s="15"/>
      <c r="E39" s="4"/>
      <c r="F39" s="4"/>
      <c r="G39" s="4"/>
      <c r="H39" s="4"/>
      <c r="I39" s="8"/>
    </row>
    <row r="40" spans="1:13" ht="18.75" x14ac:dyDescent="0.25">
      <c r="A40" s="4"/>
      <c r="B40" s="15"/>
      <c r="C40" s="4"/>
      <c r="D40" s="15"/>
      <c r="E40" s="4"/>
      <c r="F40" s="4"/>
      <c r="G40" s="4"/>
      <c r="H40" s="4"/>
      <c r="I40" s="8"/>
    </row>
    <row r="41" spans="1:13" ht="18.75" x14ac:dyDescent="0.25">
      <c r="A41" s="4"/>
      <c r="B41" s="4"/>
      <c r="C41" s="4"/>
      <c r="D41" s="4"/>
      <c r="E41" s="4"/>
      <c r="F41" s="4"/>
      <c r="G41" s="4"/>
      <c r="H41" s="4"/>
      <c r="I41" s="8"/>
    </row>
    <row r="42" spans="1:13" ht="18.75" x14ac:dyDescent="0.25">
      <c r="A42" s="100" t="s">
        <v>17</v>
      </c>
      <c r="B42" s="100"/>
      <c r="C42" s="100"/>
      <c r="D42" s="100"/>
      <c r="E42" s="100"/>
      <c r="F42" s="100"/>
      <c r="G42" s="100"/>
      <c r="H42" s="100"/>
      <c r="I42" s="8"/>
    </row>
    <row r="43" spans="1:13" ht="18.75" x14ac:dyDescent="0.25">
      <c r="A43" s="4"/>
      <c r="B43" s="5" t="s">
        <v>3</v>
      </c>
      <c r="C43" s="6" t="s">
        <v>4</v>
      </c>
      <c r="D43" s="5" t="s">
        <v>5</v>
      </c>
      <c r="E43" s="7" t="s">
        <v>6</v>
      </c>
      <c r="F43" s="7" t="s">
        <v>7</v>
      </c>
      <c r="G43" s="7" t="s">
        <v>8</v>
      </c>
      <c r="H43" s="7" t="s">
        <v>9</v>
      </c>
      <c r="I43" s="8"/>
    </row>
    <row r="44" spans="1:13" ht="18.75" x14ac:dyDescent="0.25">
      <c r="A44" s="4">
        <v>1</v>
      </c>
      <c r="B44" s="15" t="s">
        <v>109</v>
      </c>
      <c r="C44" s="21">
        <v>133994</v>
      </c>
      <c r="D44" s="15" t="s">
        <v>56</v>
      </c>
      <c r="E44" s="4" t="s">
        <v>11</v>
      </c>
      <c r="F44" s="15" t="s">
        <v>110</v>
      </c>
      <c r="G44" s="15">
        <v>720695647</v>
      </c>
      <c r="H44" s="15">
        <v>7000</v>
      </c>
      <c r="I44" s="8"/>
    </row>
    <row r="45" spans="1:13" ht="18.75" x14ac:dyDescent="0.25">
      <c r="A45" s="4">
        <v>2</v>
      </c>
      <c r="B45" s="15" t="s">
        <v>57</v>
      </c>
      <c r="C45" s="21">
        <v>133995</v>
      </c>
      <c r="D45" s="15" t="s">
        <v>56</v>
      </c>
      <c r="E45" s="4" t="s">
        <v>11</v>
      </c>
      <c r="F45" s="15" t="s">
        <v>110</v>
      </c>
      <c r="G45" s="15">
        <v>720695647</v>
      </c>
      <c r="H45" s="15">
        <v>7000</v>
      </c>
      <c r="I45" s="8"/>
    </row>
    <row r="46" spans="1:13" ht="18.75" x14ac:dyDescent="0.25">
      <c r="A46" s="4">
        <v>3</v>
      </c>
      <c r="B46" s="15" t="s">
        <v>58</v>
      </c>
      <c r="C46" s="21">
        <v>133997</v>
      </c>
      <c r="D46" s="15" t="s">
        <v>56</v>
      </c>
      <c r="E46" s="4" t="s">
        <v>11</v>
      </c>
      <c r="F46" s="15" t="s">
        <v>110</v>
      </c>
      <c r="G46" s="15">
        <v>720695647</v>
      </c>
      <c r="H46" s="15">
        <v>6365</v>
      </c>
      <c r="I46" s="8"/>
    </row>
    <row r="47" spans="1:13" ht="18.75" x14ac:dyDescent="0.25">
      <c r="A47" s="4">
        <v>4</v>
      </c>
      <c r="B47" s="15" t="s">
        <v>83</v>
      </c>
      <c r="C47" s="21">
        <v>133998</v>
      </c>
      <c r="D47" s="15" t="s">
        <v>56</v>
      </c>
      <c r="E47" s="4" t="s">
        <v>11</v>
      </c>
      <c r="F47" s="15" t="s">
        <v>110</v>
      </c>
      <c r="G47" s="15">
        <v>720695647</v>
      </c>
      <c r="H47" s="15">
        <v>16800</v>
      </c>
      <c r="I47" s="8"/>
    </row>
    <row r="48" spans="1:13" ht="18.75" x14ac:dyDescent="0.25">
      <c r="A48" s="4">
        <v>5</v>
      </c>
      <c r="B48" s="15" t="s">
        <v>59</v>
      </c>
      <c r="C48" s="21">
        <v>133999</v>
      </c>
      <c r="D48" s="15" t="s">
        <v>56</v>
      </c>
      <c r="E48" s="4" t="s">
        <v>11</v>
      </c>
      <c r="F48" s="15" t="s">
        <v>110</v>
      </c>
      <c r="G48" s="15">
        <v>720695647</v>
      </c>
      <c r="H48" s="15">
        <v>11200</v>
      </c>
      <c r="I48" s="8"/>
    </row>
    <row r="49" spans="1:9" ht="18.75" x14ac:dyDescent="0.25">
      <c r="A49" s="4">
        <v>6</v>
      </c>
      <c r="B49" s="15" t="s">
        <v>60</v>
      </c>
      <c r="C49" s="21">
        <v>134000</v>
      </c>
      <c r="D49" s="15" t="s">
        <v>56</v>
      </c>
      <c r="E49" s="4" t="s">
        <v>11</v>
      </c>
      <c r="F49" s="15" t="s">
        <v>110</v>
      </c>
      <c r="G49" s="15">
        <v>720695647</v>
      </c>
      <c r="H49" s="15">
        <v>9547</v>
      </c>
      <c r="I49" s="8"/>
    </row>
    <row r="50" spans="1:9" ht="18.75" x14ac:dyDescent="0.25">
      <c r="A50" s="4">
        <v>7</v>
      </c>
      <c r="B50" s="15" t="s">
        <v>84</v>
      </c>
      <c r="C50" s="21">
        <v>134401</v>
      </c>
      <c r="D50" s="15" t="s">
        <v>56</v>
      </c>
      <c r="E50" s="4" t="s">
        <v>11</v>
      </c>
      <c r="F50" s="15" t="s">
        <v>110</v>
      </c>
      <c r="G50" s="15">
        <v>720695647</v>
      </c>
      <c r="H50" s="15">
        <v>7956</v>
      </c>
      <c r="I50" s="8"/>
    </row>
    <row r="51" spans="1:9" ht="18.75" x14ac:dyDescent="0.25">
      <c r="A51" s="4">
        <v>8</v>
      </c>
      <c r="B51" s="15" t="s">
        <v>85</v>
      </c>
      <c r="C51" s="21">
        <v>134402</v>
      </c>
      <c r="D51" s="15" t="s">
        <v>56</v>
      </c>
      <c r="E51" s="4" t="s">
        <v>11</v>
      </c>
      <c r="F51" s="15" t="s">
        <v>110</v>
      </c>
      <c r="G51" s="15">
        <v>720695647</v>
      </c>
      <c r="H51" s="15">
        <v>7000</v>
      </c>
      <c r="I51" s="8"/>
    </row>
    <row r="52" spans="1:9" ht="18.75" x14ac:dyDescent="0.25">
      <c r="A52" s="4">
        <v>9</v>
      </c>
      <c r="B52" s="15" t="s">
        <v>108</v>
      </c>
      <c r="C52" s="21">
        <v>134403</v>
      </c>
      <c r="D52" s="15" t="s">
        <v>56</v>
      </c>
      <c r="E52" s="4" t="s">
        <v>11</v>
      </c>
      <c r="F52" s="15" t="s">
        <v>110</v>
      </c>
      <c r="G52" s="15">
        <v>720695647</v>
      </c>
      <c r="H52" s="15">
        <v>7000</v>
      </c>
      <c r="I52" s="100"/>
    </row>
    <row r="53" spans="1:9" ht="18.75" x14ac:dyDescent="0.25">
      <c r="A53" s="4">
        <v>10</v>
      </c>
      <c r="B53" s="15" t="s">
        <v>86</v>
      </c>
      <c r="C53" s="21">
        <v>134404</v>
      </c>
      <c r="D53" s="15" t="s">
        <v>56</v>
      </c>
      <c r="E53" s="4" t="s">
        <v>11</v>
      </c>
      <c r="F53" s="15" t="s">
        <v>110</v>
      </c>
      <c r="G53" s="15">
        <v>720695647</v>
      </c>
      <c r="H53" s="15">
        <v>6364</v>
      </c>
      <c r="I53" s="8"/>
    </row>
    <row r="54" spans="1:9" ht="18.75" x14ac:dyDescent="0.25">
      <c r="A54" s="4">
        <v>11</v>
      </c>
      <c r="B54" s="15" t="s">
        <v>60</v>
      </c>
      <c r="C54" s="21">
        <v>134405</v>
      </c>
      <c r="D54" s="15" t="s">
        <v>56</v>
      </c>
      <c r="E54" s="4" t="s">
        <v>11</v>
      </c>
      <c r="F54" s="15" t="s">
        <v>110</v>
      </c>
      <c r="G54" s="15">
        <v>720695647</v>
      </c>
      <c r="H54" s="15">
        <v>9547</v>
      </c>
      <c r="I54" s="22"/>
    </row>
    <row r="55" spans="1:9" ht="18.75" x14ac:dyDescent="0.25">
      <c r="A55" s="4">
        <v>12</v>
      </c>
      <c r="B55" s="15" t="s">
        <v>61</v>
      </c>
      <c r="C55" s="21">
        <v>134406</v>
      </c>
      <c r="D55" s="15" t="s">
        <v>56</v>
      </c>
      <c r="E55" s="4" t="s">
        <v>11</v>
      </c>
      <c r="F55" s="15" t="s">
        <v>110</v>
      </c>
      <c r="G55" s="15">
        <v>720695647</v>
      </c>
      <c r="H55" s="15">
        <v>21000</v>
      </c>
      <c r="I55" s="22"/>
    </row>
    <row r="56" spans="1:9" ht="18.75" x14ac:dyDescent="0.25">
      <c r="A56" s="4">
        <v>13</v>
      </c>
      <c r="B56" s="15" t="s">
        <v>62</v>
      </c>
      <c r="C56" s="21">
        <v>134407</v>
      </c>
      <c r="D56" s="15" t="s">
        <v>56</v>
      </c>
      <c r="E56" s="4" t="s">
        <v>11</v>
      </c>
      <c r="F56" s="15" t="s">
        <v>110</v>
      </c>
      <c r="G56" s="15">
        <v>720695647</v>
      </c>
      <c r="H56" s="15">
        <v>22400</v>
      </c>
      <c r="I56" s="22"/>
    </row>
    <row r="57" spans="1:9" ht="18.75" x14ac:dyDescent="0.25">
      <c r="A57" s="4">
        <v>14</v>
      </c>
      <c r="B57" s="15" t="s">
        <v>63</v>
      </c>
      <c r="C57" s="21">
        <v>134408</v>
      </c>
      <c r="D57" s="15" t="s">
        <v>56</v>
      </c>
      <c r="E57" s="4" t="s">
        <v>11</v>
      </c>
      <c r="F57" s="15" t="s">
        <v>110</v>
      </c>
      <c r="G57" s="15">
        <v>720695647</v>
      </c>
      <c r="H57" s="15">
        <v>8400</v>
      </c>
      <c r="I57" s="22"/>
    </row>
    <row r="58" spans="1:9" ht="18.75" x14ac:dyDescent="0.25">
      <c r="A58" s="4">
        <v>15</v>
      </c>
      <c r="B58" s="15" t="s">
        <v>64</v>
      </c>
      <c r="C58" s="21">
        <v>134409</v>
      </c>
      <c r="D58" s="15" t="s">
        <v>56</v>
      </c>
      <c r="E58" s="4" t="s">
        <v>11</v>
      </c>
      <c r="F58" s="15" t="s">
        <v>110</v>
      </c>
      <c r="G58" s="15">
        <v>720695647</v>
      </c>
      <c r="H58" s="15">
        <v>21000</v>
      </c>
      <c r="I58" s="22"/>
    </row>
    <row r="59" spans="1:9" ht="18.75" x14ac:dyDescent="0.25">
      <c r="A59" s="4">
        <v>16</v>
      </c>
      <c r="B59" s="15" t="s">
        <v>65</v>
      </c>
      <c r="C59" s="21">
        <v>134410</v>
      </c>
      <c r="D59" s="15" t="s">
        <v>56</v>
      </c>
      <c r="E59" s="4" t="s">
        <v>11</v>
      </c>
      <c r="F59" s="15" t="s">
        <v>110</v>
      </c>
      <c r="G59" s="15">
        <v>720695647</v>
      </c>
      <c r="H59" s="15">
        <v>9547</v>
      </c>
      <c r="I59" s="22"/>
    </row>
    <row r="60" spans="1:9" ht="18.75" x14ac:dyDescent="0.25">
      <c r="A60" s="4">
        <v>17</v>
      </c>
      <c r="B60" s="15" t="s">
        <v>66</v>
      </c>
      <c r="C60" s="21">
        <v>134411</v>
      </c>
      <c r="D60" s="15" t="s">
        <v>56</v>
      </c>
      <c r="E60" s="4" t="s">
        <v>11</v>
      </c>
      <c r="F60" s="15" t="s">
        <v>110</v>
      </c>
      <c r="G60" s="15">
        <v>720695647</v>
      </c>
      <c r="H60" s="15">
        <v>6365</v>
      </c>
      <c r="I60" s="22"/>
    </row>
    <row r="61" spans="1:9" ht="18.75" x14ac:dyDescent="0.25">
      <c r="A61" s="4">
        <v>18</v>
      </c>
      <c r="B61" s="15" t="s">
        <v>87</v>
      </c>
      <c r="C61" s="21">
        <v>134412</v>
      </c>
      <c r="D61" s="15" t="s">
        <v>56</v>
      </c>
      <c r="E61" s="4" t="s">
        <v>11</v>
      </c>
      <c r="F61" s="15" t="s">
        <v>110</v>
      </c>
      <c r="G61" s="15">
        <v>720695647</v>
      </c>
      <c r="H61" s="15">
        <v>11000</v>
      </c>
      <c r="I61" s="22"/>
    </row>
    <row r="62" spans="1:9" ht="18.75" x14ac:dyDescent="0.25">
      <c r="A62" s="4">
        <v>19</v>
      </c>
      <c r="B62" s="15" t="s">
        <v>89</v>
      </c>
      <c r="C62" s="21">
        <v>134413</v>
      </c>
      <c r="D62" s="15" t="s">
        <v>56</v>
      </c>
      <c r="E62" s="4" t="s">
        <v>11</v>
      </c>
      <c r="F62" s="15" t="s">
        <v>110</v>
      </c>
      <c r="G62" s="15">
        <v>720695647</v>
      </c>
      <c r="H62" s="15">
        <v>16800</v>
      </c>
      <c r="I62" s="22"/>
    </row>
    <row r="63" spans="1:9" ht="18.75" x14ac:dyDescent="0.3">
      <c r="A63" s="4">
        <v>20</v>
      </c>
      <c r="B63" s="23" t="s">
        <v>88</v>
      </c>
      <c r="C63" s="5">
        <v>134414</v>
      </c>
      <c r="D63" s="15" t="s">
        <v>56</v>
      </c>
      <c r="E63" s="4" t="s">
        <v>11</v>
      </c>
      <c r="F63" s="15" t="s">
        <v>110</v>
      </c>
      <c r="G63" s="15">
        <v>720695647</v>
      </c>
      <c r="H63" s="15">
        <v>8752</v>
      </c>
      <c r="I63" s="22"/>
    </row>
    <row r="64" spans="1:9" ht="18.75" x14ac:dyDescent="0.25">
      <c r="A64" s="4">
        <v>21</v>
      </c>
      <c r="B64" s="15" t="s">
        <v>68</v>
      </c>
      <c r="C64" s="21">
        <v>134415</v>
      </c>
      <c r="D64" s="15" t="s">
        <v>56</v>
      </c>
      <c r="E64" s="4" t="s">
        <v>11</v>
      </c>
      <c r="F64" s="15" t="s">
        <v>110</v>
      </c>
      <c r="G64" s="15">
        <v>720695647</v>
      </c>
      <c r="H64" s="15">
        <v>6365</v>
      </c>
      <c r="I64" s="22"/>
    </row>
    <row r="65" spans="1:9" ht="18.75" x14ac:dyDescent="0.25">
      <c r="A65" s="4">
        <v>22</v>
      </c>
      <c r="B65" s="15" t="s">
        <v>69</v>
      </c>
      <c r="C65" s="5">
        <v>134416</v>
      </c>
      <c r="D65" s="15" t="s">
        <v>56</v>
      </c>
      <c r="E65" s="4" t="s">
        <v>11</v>
      </c>
      <c r="F65" s="15" t="s">
        <v>110</v>
      </c>
      <c r="G65" s="15">
        <v>720695647</v>
      </c>
      <c r="H65" s="15">
        <v>22400</v>
      </c>
      <c r="I65" s="22"/>
    </row>
    <row r="66" spans="1:9" ht="18.75" x14ac:dyDescent="0.25">
      <c r="A66" s="4">
        <v>23</v>
      </c>
      <c r="B66" s="15" t="s">
        <v>61</v>
      </c>
      <c r="C66" s="21">
        <v>134417</v>
      </c>
      <c r="D66" s="15" t="s">
        <v>56</v>
      </c>
      <c r="E66" s="4" t="s">
        <v>11</v>
      </c>
      <c r="F66" s="15" t="s">
        <v>110</v>
      </c>
      <c r="G66" s="15">
        <v>720695647</v>
      </c>
      <c r="H66" s="15">
        <v>21000</v>
      </c>
      <c r="I66" s="22"/>
    </row>
    <row r="67" spans="1:9" ht="18.75" x14ac:dyDescent="0.25">
      <c r="A67" s="4">
        <v>24</v>
      </c>
      <c r="B67" s="15" t="s">
        <v>81</v>
      </c>
      <c r="C67" s="21">
        <v>134418</v>
      </c>
      <c r="D67" s="15" t="s">
        <v>56</v>
      </c>
      <c r="E67" s="4" t="s">
        <v>11</v>
      </c>
      <c r="F67" s="15" t="s">
        <v>110</v>
      </c>
      <c r="G67" s="15">
        <v>720695647</v>
      </c>
      <c r="H67" s="15">
        <v>7956</v>
      </c>
      <c r="I67" s="22"/>
    </row>
    <row r="68" spans="1:9" ht="18.75" x14ac:dyDescent="0.25">
      <c r="A68" s="4">
        <v>25</v>
      </c>
      <c r="B68" s="15" t="s">
        <v>65</v>
      </c>
      <c r="C68" s="21">
        <v>134419</v>
      </c>
      <c r="D68" s="15" t="s">
        <v>56</v>
      </c>
      <c r="E68" s="4" t="s">
        <v>11</v>
      </c>
      <c r="F68" s="15" t="s">
        <v>110</v>
      </c>
      <c r="G68" s="15">
        <v>720695647</v>
      </c>
      <c r="H68" s="15">
        <v>9548</v>
      </c>
      <c r="I68" s="22"/>
    </row>
    <row r="69" spans="1:9" ht="18.75" x14ac:dyDescent="0.25">
      <c r="A69" s="4">
        <v>26</v>
      </c>
      <c r="B69" s="15" t="s">
        <v>70</v>
      </c>
      <c r="C69" s="21">
        <v>134420</v>
      </c>
      <c r="D69" s="15" t="s">
        <v>56</v>
      </c>
      <c r="E69" s="4" t="s">
        <v>11</v>
      </c>
      <c r="F69" s="15" t="s">
        <v>110</v>
      </c>
      <c r="G69" s="15">
        <v>720695647</v>
      </c>
      <c r="H69" s="15">
        <v>7956</v>
      </c>
      <c r="I69" s="22"/>
    </row>
    <row r="70" spans="1:9" ht="18.75" x14ac:dyDescent="0.25">
      <c r="A70" s="4">
        <v>27</v>
      </c>
      <c r="B70" s="15" t="s">
        <v>90</v>
      </c>
      <c r="C70" s="21">
        <v>134421</v>
      </c>
      <c r="D70" s="15" t="s">
        <v>56</v>
      </c>
      <c r="E70" s="4" t="s">
        <v>11</v>
      </c>
      <c r="F70" s="15" t="s">
        <v>110</v>
      </c>
      <c r="G70" s="15">
        <v>720695647</v>
      </c>
      <c r="H70" s="15">
        <v>7955</v>
      </c>
      <c r="I70" s="22"/>
    </row>
    <row r="71" spans="1:9" ht="18.75" x14ac:dyDescent="0.25">
      <c r="A71" s="4">
        <v>28</v>
      </c>
      <c r="B71" s="15" t="s">
        <v>71</v>
      </c>
      <c r="C71" s="21">
        <v>134422</v>
      </c>
      <c r="D71" s="15" t="s">
        <v>56</v>
      </c>
      <c r="E71" s="4" t="s">
        <v>11</v>
      </c>
      <c r="F71" s="15" t="s">
        <v>110</v>
      </c>
      <c r="G71" s="15">
        <v>720695647</v>
      </c>
      <c r="H71" s="15">
        <v>6365</v>
      </c>
      <c r="I71" s="22"/>
    </row>
    <row r="72" spans="1:9" ht="18.75" x14ac:dyDescent="0.25">
      <c r="A72" s="4">
        <v>29</v>
      </c>
      <c r="B72" s="15" t="s">
        <v>72</v>
      </c>
      <c r="C72" s="21">
        <v>134423</v>
      </c>
      <c r="D72" s="15" t="s">
        <v>56</v>
      </c>
      <c r="E72" s="4" t="s">
        <v>11</v>
      </c>
      <c r="F72" s="15" t="s">
        <v>110</v>
      </c>
      <c r="G72" s="15">
        <v>720695647</v>
      </c>
      <c r="H72" s="15">
        <v>16800</v>
      </c>
      <c r="I72" s="22"/>
    </row>
    <row r="73" spans="1:9" ht="18.75" x14ac:dyDescent="0.25">
      <c r="A73" s="4">
        <v>30</v>
      </c>
      <c r="B73" s="15" t="s">
        <v>66</v>
      </c>
      <c r="C73" s="21">
        <v>134424</v>
      </c>
      <c r="D73" s="15" t="s">
        <v>56</v>
      </c>
      <c r="E73" s="4" t="s">
        <v>11</v>
      </c>
      <c r="F73" s="15" t="s">
        <v>110</v>
      </c>
      <c r="G73" s="15">
        <v>720695647</v>
      </c>
      <c r="H73" s="15">
        <v>6365</v>
      </c>
      <c r="I73" s="22"/>
    </row>
    <row r="74" spans="1:9" ht="18.75" x14ac:dyDescent="0.25">
      <c r="A74" s="4">
        <v>31</v>
      </c>
      <c r="B74" s="15" t="s">
        <v>73</v>
      </c>
      <c r="C74" s="5">
        <v>134425</v>
      </c>
      <c r="D74" s="15" t="s">
        <v>56</v>
      </c>
      <c r="E74" s="4" t="s">
        <v>11</v>
      </c>
      <c r="F74" s="15" t="s">
        <v>110</v>
      </c>
      <c r="G74" s="15">
        <v>720695647</v>
      </c>
      <c r="H74" s="15">
        <v>22400</v>
      </c>
      <c r="I74" s="22"/>
    </row>
    <row r="75" spans="1:9" ht="18.75" x14ac:dyDescent="0.25">
      <c r="A75" s="4">
        <v>32</v>
      </c>
      <c r="B75" s="15" t="s">
        <v>74</v>
      </c>
      <c r="C75" s="5">
        <v>134426</v>
      </c>
      <c r="D75" s="15" t="s">
        <v>56</v>
      </c>
      <c r="E75" s="4" t="s">
        <v>11</v>
      </c>
      <c r="F75" s="15" t="s">
        <v>110</v>
      </c>
      <c r="G75" s="15">
        <v>720695647</v>
      </c>
      <c r="H75" s="15">
        <v>56000</v>
      </c>
      <c r="I75" s="22"/>
    </row>
    <row r="76" spans="1:9" ht="18.75" x14ac:dyDescent="0.25">
      <c r="A76" s="4">
        <v>33</v>
      </c>
      <c r="B76" s="15" t="s">
        <v>75</v>
      </c>
      <c r="C76" s="5">
        <v>134427</v>
      </c>
      <c r="D76" s="15" t="s">
        <v>56</v>
      </c>
      <c r="E76" s="4" t="s">
        <v>11</v>
      </c>
      <c r="F76" s="15" t="s">
        <v>110</v>
      </c>
      <c r="G76" s="15">
        <v>720695647</v>
      </c>
      <c r="H76" s="15">
        <v>16800</v>
      </c>
      <c r="I76" s="22"/>
    </row>
    <row r="77" spans="1:9" ht="18.75" x14ac:dyDescent="0.25">
      <c r="A77" s="4">
        <v>34</v>
      </c>
      <c r="B77" s="15" t="s">
        <v>61</v>
      </c>
      <c r="C77" s="5">
        <v>134428</v>
      </c>
      <c r="D77" s="15" t="s">
        <v>56</v>
      </c>
      <c r="E77" s="4" t="s">
        <v>11</v>
      </c>
      <c r="F77" s="15" t="s">
        <v>110</v>
      </c>
      <c r="G77" s="15">
        <v>720695647</v>
      </c>
      <c r="H77" s="15">
        <v>21000</v>
      </c>
      <c r="I77" s="22"/>
    </row>
    <row r="78" spans="1:9" ht="18.75" x14ac:dyDescent="0.25">
      <c r="A78" s="4">
        <v>35</v>
      </c>
      <c r="B78" s="15" t="s">
        <v>76</v>
      </c>
      <c r="C78" s="5">
        <v>134429</v>
      </c>
      <c r="D78" s="15" t="s">
        <v>56</v>
      </c>
      <c r="E78" s="4" t="s">
        <v>11</v>
      </c>
      <c r="F78" s="15" t="s">
        <v>110</v>
      </c>
      <c r="G78" s="15">
        <v>720695647</v>
      </c>
      <c r="H78" s="15">
        <v>7000</v>
      </c>
      <c r="I78" s="22"/>
    </row>
    <row r="79" spans="1:9" ht="18.75" x14ac:dyDescent="0.25">
      <c r="A79" s="4">
        <v>36</v>
      </c>
      <c r="B79" s="15" t="s">
        <v>76</v>
      </c>
      <c r="C79" s="5">
        <v>134430</v>
      </c>
      <c r="D79" s="15" t="s">
        <v>56</v>
      </c>
      <c r="E79" s="4" t="s">
        <v>11</v>
      </c>
      <c r="F79" s="15" t="s">
        <v>110</v>
      </c>
      <c r="G79" s="15">
        <v>720695647</v>
      </c>
      <c r="H79" s="15">
        <v>7000</v>
      </c>
      <c r="I79" s="22"/>
    </row>
    <row r="80" spans="1:9" ht="18.75" x14ac:dyDescent="0.25">
      <c r="A80" s="4">
        <v>37</v>
      </c>
      <c r="B80" s="15" t="s">
        <v>107</v>
      </c>
      <c r="C80" s="21">
        <v>134431</v>
      </c>
      <c r="D80" s="15" t="s">
        <v>56</v>
      </c>
      <c r="E80" s="4" t="s">
        <v>11</v>
      </c>
      <c r="F80" s="15" t="s">
        <v>110</v>
      </c>
      <c r="G80" s="15">
        <v>720695647</v>
      </c>
      <c r="H80" s="15">
        <v>7000</v>
      </c>
      <c r="I80" s="22"/>
    </row>
    <row r="81" spans="1:9" ht="18.75" x14ac:dyDescent="0.25">
      <c r="A81" s="4">
        <v>38</v>
      </c>
      <c r="B81" s="15" t="s">
        <v>106</v>
      </c>
      <c r="C81" s="21">
        <v>134432</v>
      </c>
      <c r="D81" s="15" t="s">
        <v>56</v>
      </c>
      <c r="E81" s="4" t="s">
        <v>11</v>
      </c>
      <c r="F81" s="15" t="s">
        <v>110</v>
      </c>
      <c r="G81" s="15">
        <v>720695647</v>
      </c>
      <c r="H81" s="15">
        <v>7000</v>
      </c>
      <c r="I81" s="22"/>
    </row>
    <row r="82" spans="1:9" ht="18.75" x14ac:dyDescent="0.25">
      <c r="A82" s="4">
        <v>39</v>
      </c>
      <c r="B82" s="15" t="s">
        <v>77</v>
      </c>
      <c r="C82" s="21">
        <v>134433</v>
      </c>
      <c r="D82" s="15" t="s">
        <v>56</v>
      </c>
      <c r="E82" s="4" t="s">
        <v>11</v>
      </c>
      <c r="F82" s="15" t="s">
        <v>110</v>
      </c>
      <c r="G82" s="15">
        <v>720695647</v>
      </c>
      <c r="H82" s="15">
        <v>11200</v>
      </c>
      <c r="I82" s="22"/>
    </row>
    <row r="83" spans="1:9" ht="18.75" x14ac:dyDescent="0.25">
      <c r="A83" s="4">
        <v>40</v>
      </c>
      <c r="B83" s="15" t="s">
        <v>69</v>
      </c>
      <c r="C83" s="21">
        <v>134434</v>
      </c>
      <c r="D83" s="15" t="s">
        <v>56</v>
      </c>
      <c r="E83" s="4" t="s">
        <v>11</v>
      </c>
      <c r="F83" s="15" t="s">
        <v>110</v>
      </c>
      <c r="G83" s="15">
        <v>720695647</v>
      </c>
      <c r="H83" s="15">
        <v>22400</v>
      </c>
      <c r="I83" s="22"/>
    </row>
    <row r="84" spans="1:9" ht="18.75" x14ac:dyDescent="0.25">
      <c r="A84" s="4">
        <v>41</v>
      </c>
      <c r="B84" s="15" t="s">
        <v>81</v>
      </c>
      <c r="C84" s="21">
        <v>134435</v>
      </c>
      <c r="D84" s="15" t="s">
        <v>56</v>
      </c>
      <c r="E84" s="4" t="s">
        <v>11</v>
      </c>
      <c r="F84" s="15" t="s">
        <v>110</v>
      </c>
      <c r="G84" s="15">
        <v>720695647</v>
      </c>
      <c r="H84" s="15">
        <v>7955</v>
      </c>
      <c r="I84" s="22"/>
    </row>
    <row r="85" spans="1:9" ht="18.75" x14ac:dyDescent="0.25">
      <c r="A85" s="4">
        <v>42</v>
      </c>
      <c r="B85" s="15" t="s">
        <v>74</v>
      </c>
      <c r="C85" s="21">
        <v>134436</v>
      </c>
      <c r="D85" s="15" t="s">
        <v>56</v>
      </c>
      <c r="E85" s="4" t="s">
        <v>11</v>
      </c>
      <c r="F85" s="15" t="s">
        <v>110</v>
      </c>
      <c r="G85" s="15">
        <v>720695647</v>
      </c>
      <c r="H85" s="15">
        <v>56000</v>
      </c>
      <c r="I85" s="22"/>
    </row>
    <row r="86" spans="1:9" ht="18.75" x14ac:dyDescent="0.25">
      <c r="A86" s="4">
        <v>43</v>
      </c>
      <c r="B86" s="15" t="s">
        <v>78</v>
      </c>
      <c r="C86" s="21">
        <v>134437</v>
      </c>
      <c r="D86" s="15" t="s">
        <v>56</v>
      </c>
      <c r="E86" s="4" t="s">
        <v>11</v>
      </c>
      <c r="F86" s="15" t="s">
        <v>110</v>
      </c>
      <c r="G86" s="15">
        <v>720695647</v>
      </c>
      <c r="H86" s="15">
        <v>9546</v>
      </c>
      <c r="I86" s="22"/>
    </row>
    <row r="87" spans="1:9" ht="18.75" x14ac:dyDescent="0.25">
      <c r="A87" s="4">
        <v>44</v>
      </c>
      <c r="B87" s="15" t="s">
        <v>81</v>
      </c>
      <c r="C87" s="21">
        <v>134438</v>
      </c>
      <c r="D87" s="15" t="s">
        <v>56</v>
      </c>
      <c r="E87" s="4" t="s">
        <v>11</v>
      </c>
      <c r="F87" s="15" t="s">
        <v>110</v>
      </c>
      <c r="G87" s="15">
        <v>720695647</v>
      </c>
      <c r="H87" s="15">
        <v>7955</v>
      </c>
      <c r="I87" s="22"/>
    </row>
    <row r="88" spans="1:9" ht="18.75" x14ac:dyDescent="0.25">
      <c r="A88" s="4">
        <v>45</v>
      </c>
      <c r="B88" s="15" t="s">
        <v>79</v>
      </c>
      <c r="C88" s="21">
        <v>134439</v>
      </c>
      <c r="D88" s="15" t="s">
        <v>56</v>
      </c>
      <c r="E88" s="4" t="s">
        <v>11</v>
      </c>
      <c r="F88" s="15" t="s">
        <v>110</v>
      </c>
      <c r="G88" s="15">
        <v>720695647</v>
      </c>
      <c r="H88" s="15">
        <v>21000</v>
      </c>
      <c r="I88" s="22"/>
    </row>
    <row r="89" spans="1:9" ht="18.75" x14ac:dyDescent="0.25">
      <c r="A89" s="4">
        <v>46</v>
      </c>
      <c r="B89" s="15" t="s">
        <v>70</v>
      </c>
      <c r="C89" s="21">
        <v>134440</v>
      </c>
      <c r="D89" s="15" t="s">
        <v>56</v>
      </c>
      <c r="E89" s="4" t="s">
        <v>11</v>
      </c>
      <c r="F89" s="15" t="s">
        <v>110</v>
      </c>
      <c r="G89" s="15">
        <v>720695647</v>
      </c>
      <c r="H89" s="15">
        <v>9548</v>
      </c>
      <c r="I89" s="22"/>
    </row>
    <row r="90" spans="1:9" ht="18.75" x14ac:dyDescent="0.25">
      <c r="A90" s="4">
        <v>47</v>
      </c>
      <c r="B90" s="15" t="s">
        <v>75</v>
      </c>
      <c r="C90" s="21">
        <v>134441</v>
      </c>
      <c r="D90" s="15" t="s">
        <v>56</v>
      </c>
      <c r="E90" s="4" t="s">
        <v>11</v>
      </c>
      <c r="F90" s="15" t="s">
        <v>110</v>
      </c>
      <c r="G90" s="15">
        <v>720695647</v>
      </c>
      <c r="H90" s="15">
        <v>16800</v>
      </c>
      <c r="I90" s="22"/>
    </row>
    <row r="91" spans="1:9" ht="18.75" x14ac:dyDescent="0.25">
      <c r="A91" s="4">
        <v>48</v>
      </c>
      <c r="B91" s="15" t="s">
        <v>92</v>
      </c>
      <c r="C91" s="21">
        <v>134442</v>
      </c>
      <c r="D91" s="15" t="s">
        <v>56</v>
      </c>
      <c r="E91" s="4" t="s">
        <v>11</v>
      </c>
      <c r="F91" s="15" t="s">
        <v>110</v>
      </c>
      <c r="G91" s="15">
        <v>720695647</v>
      </c>
      <c r="H91" s="15">
        <v>6364</v>
      </c>
      <c r="I91" s="22"/>
    </row>
    <row r="92" spans="1:9" ht="18.75" x14ac:dyDescent="0.25">
      <c r="A92" s="4">
        <v>49</v>
      </c>
      <c r="B92" s="15" t="s">
        <v>68</v>
      </c>
      <c r="C92" s="21">
        <v>134443</v>
      </c>
      <c r="D92" s="15" t="s">
        <v>56</v>
      </c>
      <c r="E92" s="4" t="s">
        <v>11</v>
      </c>
      <c r="F92" s="15" t="s">
        <v>110</v>
      </c>
      <c r="G92" s="15">
        <v>720695647</v>
      </c>
      <c r="H92" s="15">
        <v>6365</v>
      </c>
      <c r="I92" s="22"/>
    </row>
    <row r="93" spans="1:9" ht="18.75" x14ac:dyDescent="0.25">
      <c r="A93" s="4">
        <v>50</v>
      </c>
      <c r="B93" s="15" t="s">
        <v>61</v>
      </c>
      <c r="C93" s="21">
        <v>134444</v>
      </c>
      <c r="D93" s="15" t="s">
        <v>56</v>
      </c>
      <c r="E93" s="4" t="s">
        <v>11</v>
      </c>
      <c r="F93" s="15" t="s">
        <v>110</v>
      </c>
      <c r="G93" s="15">
        <v>720695647</v>
      </c>
      <c r="H93" s="15">
        <v>21000</v>
      </c>
      <c r="I93" s="22"/>
    </row>
    <row r="94" spans="1:9" ht="18.75" x14ac:dyDescent="0.25">
      <c r="A94" s="4">
        <v>51</v>
      </c>
      <c r="B94" s="15" t="s">
        <v>69</v>
      </c>
      <c r="C94" s="21">
        <v>134445</v>
      </c>
      <c r="D94" s="15" t="s">
        <v>56</v>
      </c>
      <c r="E94" s="4" t="s">
        <v>11</v>
      </c>
      <c r="F94" s="15" t="s">
        <v>110</v>
      </c>
      <c r="G94" s="15">
        <v>720695647</v>
      </c>
      <c r="H94" s="15">
        <v>22400</v>
      </c>
      <c r="I94" s="22"/>
    </row>
    <row r="95" spans="1:9" ht="18.75" x14ac:dyDescent="0.25">
      <c r="A95" s="4">
        <v>52</v>
      </c>
      <c r="B95" s="15" t="s">
        <v>70</v>
      </c>
      <c r="C95" s="21">
        <v>134446</v>
      </c>
      <c r="D95" s="15" t="s">
        <v>56</v>
      </c>
      <c r="E95" s="4" t="s">
        <v>11</v>
      </c>
      <c r="F95" s="15" t="s">
        <v>110</v>
      </c>
      <c r="G95" s="15">
        <v>720695647</v>
      </c>
      <c r="H95" s="15">
        <v>9546</v>
      </c>
      <c r="I95" s="22"/>
    </row>
    <row r="96" spans="1:9" ht="18.75" x14ac:dyDescent="0.25">
      <c r="A96" s="4">
        <v>53</v>
      </c>
      <c r="B96" s="15" t="s">
        <v>70</v>
      </c>
      <c r="C96" s="21">
        <v>134447</v>
      </c>
      <c r="D96" s="15" t="s">
        <v>56</v>
      </c>
      <c r="E96" s="4" t="s">
        <v>11</v>
      </c>
      <c r="F96" s="15" t="s">
        <v>110</v>
      </c>
      <c r="G96" s="15">
        <v>720695647</v>
      </c>
      <c r="H96" s="15">
        <v>6546</v>
      </c>
      <c r="I96" s="22"/>
    </row>
    <row r="97" spans="1:9" ht="18.75" x14ac:dyDescent="0.25">
      <c r="A97" s="4">
        <v>54</v>
      </c>
      <c r="B97" s="15" t="s">
        <v>69</v>
      </c>
      <c r="C97" s="21">
        <v>134448</v>
      </c>
      <c r="D97" s="15" t="s">
        <v>56</v>
      </c>
      <c r="E97" s="4" t="s">
        <v>11</v>
      </c>
      <c r="F97" s="15" t="s">
        <v>110</v>
      </c>
      <c r="G97" s="15">
        <v>720695647</v>
      </c>
      <c r="H97" s="15">
        <v>22400</v>
      </c>
      <c r="I97" s="22"/>
    </row>
    <row r="98" spans="1:9" ht="18.75" x14ac:dyDescent="0.25">
      <c r="A98" s="4">
        <v>55</v>
      </c>
      <c r="B98" s="15" t="s">
        <v>70</v>
      </c>
      <c r="C98" s="21">
        <v>134449</v>
      </c>
      <c r="D98" s="15" t="s">
        <v>56</v>
      </c>
      <c r="E98" s="4" t="s">
        <v>11</v>
      </c>
      <c r="F98" s="15" t="s">
        <v>110</v>
      </c>
      <c r="G98" s="15">
        <v>720695647</v>
      </c>
      <c r="H98" s="15">
        <v>8400</v>
      </c>
      <c r="I98" s="22"/>
    </row>
    <row r="99" spans="1:9" ht="18.75" x14ac:dyDescent="0.25">
      <c r="A99" s="4">
        <v>56</v>
      </c>
      <c r="B99" s="15" t="s">
        <v>74</v>
      </c>
      <c r="C99" s="21">
        <v>134450</v>
      </c>
      <c r="D99" s="15" t="s">
        <v>56</v>
      </c>
      <c r="E99" s="4" t="s">
        <v>11</v>
      </c>
      <c r="F99" s="15" t="s">
        <v>110</v>
      </c>
      <c r="G99" s="15">
        <v>720695647</v>
      </c>
      <c r="H99" s="15">
        <v>56000</v>
      </c>
      <c r="I99" s="22"/>
    </row>
    <row r="100" spans="1:9" ht="18.75" x14ac:dyDescent="0.25">
      <c r="A100" s="4">
        <v>57</v>
      </c>
      <c r="B100" s="15" t="s">
        <v>67</v>
      </c>
      <c r="C100" s="21">
        <v>134501</v>
      </c>
      <c r="D100" s="15" t="s">
        <v>56</v>
      </c>
      <c r="E100" s="4" t="s">
        <v>11</v>
      </c>
      <c r="F100" s="15" t="s">
        <v>110</v>
      </c>
      <c r="G100" s="15">
        <v>720695647</v>
      </c>
      <c r="H100" s="15">
        <v>8751</v>
      </c>
      <c r="I100" s="22"/>
    </row>
    <row r="101" spans="1:9" ht="18.75" x14ac:dyDescent="0.25">
      <c r="A101" s="4">
        <v>58</v>
      </c>
      <c r="B101" s="15" t="s">
        <v>80</v>
      </c>
      <c r="C101" s="21">
        <v>134502</v>
      </c>
      <c r="D101" s="15" t="s">
        <v>56</v>
      </c>
      <c r="E101" s="4" t="s">
        <v>11</v>
      </c>
      <c r="F101" s="15" t="s">
        <v>110</v>
      </c>
      <c r="G101" s="15">
        <v>720695647</v>
      </c>
      <c r="H101" s="15">
        <v>16800</v>
      </c>
      <c r="I101" s="22"/>
    </row>
    <row r="102" spans="1:9" ht="18.75" x14ac:dyDescent="0.25">
      <c r="A102" s="4">
        <v>59</v>
      </c>
      <c r="B102" s="15" t="s">
        <v>67</v>
      </c>
      <c r="C102" s="21">
        <v>134503</v>
      </c>
      <c r="D102" s="15" t="s">
        <v>56</v>
      </c>
      <c r="E102" s="4" t="s">
        <v>11</v>
      </c>
      <c r="F102" s="15" t="s">
        <v>110</v>
      </c>
      <c r="G102" s="15">
        <v>720695647</v>
      </c>
      <c r="H102" s="15">
        <v>8751</v>
      </c>
      <c r="I102" s="22"/>
    </row>
    <row r="103" spans="1:9" ht="18.75" x14ac:dyDescent="0.25">
      <c r="A103" s="4">
        <v>60</v>
      </c>
      <c r="B103" s="15" t="s">
        <v>66</v>
      </c>
      <c r="C103" s="21">
        <v>134504</v>
      </c>
      <c r="D103" s="15" t="s">
        <v>56</v>
      </c>
      <c r="E103" s="4" t="s">
        <v>11</v>
      </c>
      <c r="F103" s="15" t="s">
        <v>110</v>
      </c>
      <c r="G103" s="15">
        <v>720695647</v>
      </c>
      <c r="H103" s="15">
        <v>6364</v>
      </c>
      <c r="I103" s="22"/>
    </row>
    <row r="104" spans="1:9" ht="18.75" x14ac:dyDescent="0.25">
      <c r="A104" s="4">
        <v>61</v>
      </c>
      <c r="B104" s="15" t="s">
        <v>81</v>
      </c>
      <c r="C104" s="21">
        <v>134505</v>
      </c>
      <c r="D104" s="15" t="s">
        <v>56</v>
      </c>
      <c r="E104" s="4" t="s">
        <v>11</v>
      </c>
      <c r="F104" s="15" t="s">
        <v>110</v>
      </c>
      <c r="G104" s="15">
        <v>720695647</v>
      </c>
      <c r="H104" s="15">
        <v>7955</v>
      </c>
      <c r="I104" s="22"/>
    </row>
    <row r="105" spans="1:9" ht="18.75" x14ac:dyDescent="0.25">
      <c r="A105" s="4">
        <v>62</v>
      </c>
      <c r="B105" s="15" t="s">
        <v>82</v>
      </c>
      <c r="C105" s="21">
        <v>134506</v>
      </c>
      <c r="D105" s="15" t="s">
        <v>56</v>
      </c>
      <c r="E105" s="4" t="s">
        <v>11</v>
      </c>
      <c r="F105" s="15" t="s">
        <v>110</v>
      </c>
      <c r="G105" s="15">
        <v>720695647</v>
      </c>
      <c r="H105" s="15">
        <v>6364</v>
      </c>
      <c r="I105" s="22"/>
    </row>
    <row r="106" spans="1:9" ht="18.75" x14ac:dyDescent="0.25">
      <c r="A106" s="4">
        <v>63</v>
      </c>
      <c r="B106" s="15" t="s">
        <v>70</v>
      </c>
      <c r="C106" s="21">
        <v>134507</v>
      </c>
      <c r="D106" s="15" t="s">
        <v>56</v>
      </c>
      <c r="E106" s="4" t="s">
        <v>11</v>
      </c>
      <c r="F106" s="15" t="s">
        <v>110</v>
      </c>
      <c r="G106" s="15">
        <v>720695647</v>
      </c>
      <c r="H106" s="15">
        <v>9546</v>
      </c>
      <c r="I106" s="22"/>
    </row>
    <row r="107" spans="1:9" ht="18.75" x14ac:dyDescent="0.25">
      <c r="A107" s="4">
        <v>64</v>
      </c>
      <c r="B107" s="15" t="s">
        <v>59</v>
      </c>
      <c r="C107" s="21">
        <v>134508</v>
      </c>
      <c r="D107" s="15" t="s">
        <v>56</v>
      </c>
      <c r="E107" s="4" t="s">
        <v>11</v>
      </c>
      <c r="F107" s="15" t="s">
        <v>110</v>
      </c>
      <c r="G107" s="15">
        <v>720695647</v>
      </c>
      <c r="H107" s="15">
        <v>11200</v>
      </c>
      <c r="I107" s="22"/>
    </row>
    <row r="108" spans="1:9" ht="18.75" x14ac:dyDescent="0.25">
      <c r="A108" s="4">
        <v>65</v>
      </c>
      <c r="B108" s="15" t="s">
        <v>81</v>
      </c>
      <c r="C108" s="21">
        <v>134509</v>
      </c>
      <c r="D108" s="15" t="s">
        <v>56</v>
      </c>
      <c r="E108" s="4" t="s">
        <v>11</v>
      </c>
      <c r="F108" s="15" t="s">
        <v>110</v>
      </c>
      <c r="G108" s="15">
        <v>720695647</v>
      </c>
      <c r="H108" s="15">
        <v>7955</v>
      </c>
      <c r="I108" s="22"/>
    </row>
    <row r="109" spans="1:9" ht="18.75" x14ac:dyDescent="0.25">
      <c r="A109" s="4">
        <v>66</v>
      </c>
      <c r="B109" s="15" t="s">
        <v>91</v>
      </c>
      <c r="C109" s="21">
        <v>134510</v>
      </c>
      <c r="D109" s="15" t="s">
        <v>56</v>
      </c>
      <c r="E109" s="4" t="s">
        <v>11</v>
      </c>
      <c r="F109" s="15" t="s">
        <v>110</v>
      </c>
      <c r="G109" s="15">
        <v>720695647</v>
      </c>
      <c r="H109" s="15">
        <v>6364</v>
      </c>
      <c r="I109" s="22"/>
    </row>
    <row r="110" spans="1:9" ht="18.75" x14ac:dyDescent="0.25">
      <c r="A110" s="4">
        <v>67</v>
      </c>
      <c r="B110" s="15" t="s">
        <v>70</v>
      </c>
      <c r="C110" s="21">
        <v>134511</v>
      </c>
      <c r="D110" s="15" t="s">
        <v>56</v>
      </c>
      <c r="E110" s="4" t="s">
        <v>11</v>
      </c>
      <c r="F110" s="15" t="s">
        <v>110</v>
      </c>
      <c r="G110" s="15">
        <v>720695647</v>
      </c>
      <c r="H110" s="15">
        <v>9546</v>
      </c>
      <c r="I110" s="22"/>
    </row>
    <row r="111" spans="1:9" ht="18.75" x14ac:dyDescent="0.25">
      <c r="A111" s="4">
        <v>68</v>
      </c>
      <c r="B111" s="15" t="s">
        <v>70</v>
      </c>
      <c r="C111" s="21">
        <v>134512</v>
      </c>
      <c r="D111" s="15" t="s">
        <v>56</v>
      </c>
      <c r="E111" s="4" t="s">
        <v>11</v>
      </c>
      <c r="F111" s="15" t="s">
        <v>110</v>
      </c>
      <c r="G111" s="15">
        <v>720695647</v>
      </c>
      <c r="H111" s="15">
        <v>21000</v>
      </c>
      <c r="I111" s="22"/>
    </row>
    <row r="112" spans="1:9" ht="18.75" x14ac:dyDescent="0.25">
      <c r="A112" s="4">
        <v>69</v>
      </c>
      <c r="B112" s="15" t="s">
        <v>66</v>
      </c>
      <c r="C112" s="21">
        <v>134513</v>
      </c>
      <c r="D112" s="15" t="s">
        <v>56</v>
      </c>
      <c r="E112" s="4" t="s">
        <v>11</v>
      </c>
      <c r="F112" s="15" t="s">
        <v>110</v>
      </c>
      <c r="G112" s="15">
        <v>720695647</v>
      </c>
      <c r="H112" s="15">
        <v>6546</v>
      </c>
      <c r="I112" s="22"/>
    </row>
    <row r="113" spans="1:9" ht="18.75" x14ac:dyDescent="0.25">
      <c r="A113" s="4">
        <v>70</v>
      </c>
      <c r="B113" s="15" t="s">
        <v>70</v>
      </c>
      <c r="C113" s="21">
        <v>134514</v>
      </c>
      <c r="D113" s="15" t="s">
        <v>56</v>
      </c>
      <c r="E113" s="4" t="s">
        <v>11</v>
      </c>
      <c r="F113" s="15" t="s">
        <v>110</v>
      </c>
      <c r="G113" s="15">
        <v>720695647</v>
      </c>
      <c r="H113" s="15">
        <v>6364</v>
      </c>
      <c r="I113" s="22"/>
    </row>
    <row r="114" spans="1:9" ht="18.75" x14ac:dyDescent="0.25">
      <c r="A114" s="4">
        <v>71</v>
      </c>
      <c r="B114" s="15" t="s">
        <v>75</v>
      </c>
      <c r="C114" s="21">
        <v>134515</v>
      </c>
      <c r="D114" s="15" t="s">
        <v>56</v>
      </c>
      <c r="E114" s="4" t="s">
        <v>11</v>
      </c>
      <c r="F114" s="15" t="s">
        <v>110</v>
      </c>
      <c r="G114" s="15">
        <v>720695647</v>
      </c>
      <c r="H114" s="15">
        <v>9546</v>
      </c>
      <c r="I114" s="22"/>
    </row>
    <row r="115" spans="1:9" ht="18.75" x14ac:dyDescent="0.25">
      <c r="A115" s="4">
        <v>72</v>
      </c>
      <c r="B115" s="15" t="s">
        <v>75</v>
      </c>
      <c r="C115" s="21">
        <v>134516</v>
      </c>
      <c r="D115" s="15" t="s">
        <v>56</v>
      </c>
      <c r="E115" s="4" t="s">
        <v>11</v>
      </c>
      <c r="F115" s="15" t="s">
        <v>110</v>
      </c>
      <c r="G115" s="15">
        <v>720695647</v>
      </c>
      <c r="H115" s="15">
        <v>16800</v>
      </c>
      <c r="I115" s="22"/>
    </row>
    <row r="116" spans="1:9" ht="18.75" x14ac:dyDescent="0.25">
      <c r="A116" s="4">
        <v>73</v>
      </c>
      <c r="B116" s="15" t="s">
        <v>59</v>
      </c>
      <c r="C116" s="21">
        <v>134517</v>
      </c>
      <c r="D116" s="15" t="s">
        <v>56</v>
      </c>
      <c r="E116" s="4" t="s">
        <v>11</v>
      </c>
      <c r="F116" s="15" t="s">
        <v>110</v>
      </c>
      <c r="G116" s="15">
        <v>720695647</v>
      </c>
      <c r="H116" s="15">
        <v>11200</v>
      </c>
      <c r="I116" s="22"/>
    </row>
    <row r="117" spans="1:9" ht="18.75" x14ac:dyDescent="0.25">
      <c r="A117" s="4">
        <v>74</v>
      </c>
      <c r="B117" s="15" t="s">
        <v>81</v>
      </c>
      <c r="C117" s="21">
        <v>134518</v>
      </c>
      <c r="D117" s="15" t="s">
        <v>56</v>
      </c>
      <c r="E117" s="4" t="s">
        <v>11</v>
      </c>
      <c r="F117" s="15" t="s">
        <v>110</v>
      </c>
      <c r="G117" s="15">
        <v>720695647</v>
      </c>
      <c r="H117" s="15">
        <v>7955</v>
      </c>
      <c r="I117" s="22"/>
    </row>
    <row r="118" spans="1:9" ht="18.75" x14ac:dyDescent="0.25">
      <c r="A118" s="4">
        <v>75</v>
      </c>
      <c r="B118" s="15" t="s">
        <v>93</v>
      </c>
      <c r="C118" s="21">
        <v>134519</v>
      </c>
      <c r="D118" s="15" t="s">
        <v>56</v>
      </c>
      <c r="E118" s="4" t="s">
        <v>11</v>
      </c>
      <c r="F118" s="15" t="s">
        <v>110</v>
      </c>
      <c r="G118" s="15">
        <v>720695647</v>
      </c>
      <c r="H118" s="15">
        <v>7000</v>
      </c>
      <c r="I118" s="22"/>
    </row>
    <row r="119" spans="1:9" ht="18.75" x14ac:dyDescent="0.25">
      <c r="A119" s="4">
        <v>76</v>
      </c>
      <c r="B119" s="15" t="s">
        <v>61</v>
      </c>
      <c r="C119" s="21">
        <v>134520</v>
      </c>
      <c r="D119" s="15" t="s">
        <v>56</v>
      </c>
      <c r="E119" s="4" t="s">
        <v>11</v>
      </c>
      <c r="F119" s="15" t="s">
        <v>110</v>
      </c>
      <c r="G119" s="15">
        <v>720695647</v>
      </c>
      <c r="H119" s="15">
        <v>21000</v>
      </c>
      <c r="I119" s="22"/>
    </row>
    <row r="120" spans="1:9" ht="18.75" x14ac:dyDescent="0.25">
      <c r="A120" s="4">
        <v>77</v>
      </c>
      <c r="B120" s="15" t="s">
        <v>91</v>
      </c>
      <c r="C120" s="21">
        <v>134521</v>
      </c>
      <c r="D120" s="15" t="s">
        <v>56</v>
      </c>
      <c r="E120" s="4" t="s">
        <v>11</v>
      </c>
      <c r="F120" s="15" t="s">
        <v>110</v>
      </c>
      <c r="G120" s="15">
        <v>720695647</v>
      </c>
      <c r="H120" s="15">
        <v>63654</v>
      </c>
      <c r="I120" s="22"/>
    </row>
    <row r="121" spans="1:9" ht="18.75" x14ac:dyDescent="0.3">
      <c r="A121" s="4">
        <v>78</v>
      </c>
      <c r="B121" s="5" t="s">
        <v>105</v>
      </c>
      <c r="C121" s="19">
        <v>134522</v>
      </c>
      <c r="D121" s="15" t="s">
        <v>56</v>
      </c>
      <c r="E121" s="4" t="s">
        <v>11</v>
      </c>
      <c r="F121" s="15" t="s">
        <v>110</v>
      </c>
      <c r="G121" s="15">
        <v>720695647</v>
      </c>
      <c r="H121" s="24">
        <v>7000</v>
      </c>
      <c r="I121" s="22"/>
    </row>
    <row r="122" spans="1:9" ht="18.75" x14ac:dyDescent="0.3">
      <c r="A122" s="4">
        <v>79</v>
      </c>
      <c r="B122" s="5" t="s">
        <v>70</v>
      </c>
      <c r="C122" s="19">
        <v>134523</v>
      </c>
      <c r="D122" s="15" t="s">
        <v>56</v>
      </c>
      <c r="E122" s="4" t="s">
        <v>11</v>
      </c>
      <c r="F122" s="15" t="s">
        <v>110</v>
      </c>
      <c r="G122" s="15">
        <v>720695647</v>
      </c>
      <c r="H122" s="24">
        <v>9546</v>
      </c>
      <c r="I122" s="22"/>
    </row>
    <row r="123" spans="1:9" ht="18.75" x14ac:dyDescent="0.3">
      <c r="A123" s="4">
        <v>80</v>
      </c>
      <c r="B123" s="5" t="s">
        <v>69</v>
      </c>
      <c r="C123" s="19">
        <v>134524</v>
      </c>
      <c r="D123" s="15" t="s">
        <v>56</v>
      </c>
      <c r="E123" s="4" t="s">
        <v>11</v>
      </c>
      <c r="F123" s="15" t="s">
        <v>110</v>
      </c>
      <c r="G123" s="15">
        <v>720695647</v>
      </c>
      <c r="H123" s="24">
        <v>22400</v>
      </c>
      <c r="I123" s="22"/>
    </row>
    <row r="124" spans="1:9" ht="18.75" x14ac:dyDescent="0.3">
      <c r="A124" s="4">
        <v>81</v>
      </c>
      <c r="B124" s="5" t="s">
        <v>94</v>
      </c>
      <c r="C124" s="25">
        <v>134525</v>
      </c>
      <c r="D124" s="15" t="s">
        <v>56</v>
      </c>
      <c r="E124" s="4" t="s">
        <v>11</v>
      </c>
      <c r="F124" s="15" t="s">
        <v>110</v>
      </c>
      <c r="G124" s="15">
        <v>720695647</v>
      </c>
      <c r="H124" s="24">
        <v>7000</v>
      </c>
      <c r="I124" s="22"/>
    </row>
    <row r="125" spans="1:9" ht="18.75" x14ac:dyDescent="0.3">
      <c r="A125" s="4">
        <v>82</v>
      </c>
      <c r="B125" s="5" t="s">
        <v>63</v>
      </c>
      <c r="C125" s="25">
        <v>134526</v>
      </c>
      <c r="D125" s="15" t="s">
        <v>56</v>
      </c>
      <c r="E125" s="4" t="s">
        <v>11</v>
      </c>
      <c r="F125" s="15" t="s">
        <v>110</v>
      </c>
      <c r="G125" s="15">
        <v>720695647</v>
      </c>
      <c r="H125" s="24">
        <v>8400</v>
      </c>
      <c r="I125" s="22"/>
    </row>
    <row r="126" spans="1:9" ht="18.75" x14ac:dyDescent="0.3">
      <c r="A126" s="4">
        <v>74</v>
      </c>
      <c r="B126" s="5" t="s">
        <v>92</v>
      </c>
      <c r="C126" s="25">
        <v>134527</v>
      </c>
      <c r="D126" s="15" t="s">
        <v>56</v>
      </c>
      <c r="E126" s="4" t="s">
        <v>11</v>
      </c>
      <c r="F126" s="15" t="s">
        <v>110</v>
      </c>
      <c r="G126" s="15">
        <v>720695647</v>
      </c>
      <c r="H126" s="24">
        <v>6364</v>
      </c>
      <c r="I126" s="22"/>
    </row>
    <row r="127" spans="1:9" ht="18.75" x14ac:dyDescent="0.3">
      <c r="A127" s="4">
        <v>83</v>
      </c>
      <c r="B127" s="5" t="s">
        <v>69</v>
      </c>
      <c r="C127" s="25">
        <v>134528</v>
      </c>
      <c r="D127" s="15" t="s">
        <v>56</v>
      </c>
      <c r="E127" s="4" t="s">
        <v>11</v>
      </c>
      <c r="F127" s="15" t="s">
        <v>110</v>
      </c>
      <c r="G127" s="15">
        <v>720695647</v>
      </c>
      <c r="H127" s="24">
        <v>26400</v>
      </c>
      <c r="I127" s="22"/>
    </row>
    <row r="128" spans="1:9" ht="18.75" x14ac:dyDescent="0.3">
      <c r="A128" s="4">
        <v>84</v>
      </c>
      <c r="B128" s="5" t="s">
        <v>70</v>
      </c>
      <c r="C128" s="25">
        <v>134529</v>
      </c>
      <c r="D128" s="15" t="s">
        <v>56</v>
      </c>
      <c r="E128" s="4" t="s">
        <v>11</v>
      </c>
      <c r="F128" s="15" t="s">
        <v>110</v>
      </c>
      <c r="G128" s="15">
        <v>720695647</v>
      </c>
      <c r="H128" s="24">
        <v>10758</v>
      </c>
      <c r="I128" s="22"/>
    </row>
    <row r="129" spans="1:9" ht="18.75" x14ac:dyDescent="0.3">
      <c r="A129" s="4">
        <v>85</v>
      </c>
      <c r="B129" s="5" t="s">
        <v>95</v>
      </c>
      <c r="C129" s="25">
        <v>134530</v>
      </c>
      <c r="D129" s="15" t="s">
        <v>56</v>
      </c>
      <c r="E129" s="4" t="s">
        <v>11</v>
      </c>
      <c r="F129" s="15" t="s">
        <v>110</v>
      </c>
      <c r="G129" s="15">
        <v>720695647</v>
      </c>
      <c r="H129" s="24">
        <v>9862</v>
      </c>
      <c r="I129" s="22"/>
    </row>
    <row r="130" spans="1:9" ht="18.75" x14ac:dyDescent="0.3">
      <c r="A130" s="4">
        <v>86</v>
      </c>
      <c r="B130" s="5" t="s">
        <v>75</v>
      </c>
      <c r="C130" s="25">
        <v>134531</v>
      </c>
      <c r="D130" s="15" t="s">
        <v>56</v>
      </c>
      <c r="E130" s="4" t="s">
        <v>11</v>
      </c>
      <c r="F130" s="15" t="s">
        <v>110</v>
      </c>
      <c r="G130" s="15">
        <v>720695647</v>
      </c>
      <c r="H130" s="24">
        <v>19800</v>
      </c>
      <c r="I130" s="22"/>
    </row>
    <row r="131" spans="1:9" ht="18.75" x14ac:dyDescent="0.3">
      <c r="A131" s="4">
        <v>87</v>
      </c>
      <c r="B131" s="5" t="s">
        <v>59</v>
      </c>
      <c r="C131" s="25">
        <v>134532</v>
      </c>
      <c r="D131" s="15" t="s">
        <v>56</v>
      </c>
      <c r="E131" s="4" t="s">
        <v>11</v>
      </c>
      <c r="F131" s="15" t="s">
        <v>110</v>
      </c>
      <c r="G131" s="15">
        <v>720695647</v>
      </c>
      <c r="H131" s="24">
        <v>13200</v>
      </c>
      <c r="I131" s="22"/>
    </row>
    <row r="132" spans="1:9" ht="18.75" x14ac:dyDescent="0.3">
      <c r="A132" s="4">
        <v>88</v>
      </c>
      <c r="B132" s="5" t="s">
        <v>70</v>
      </c>
      <c r="C132" s="25">
        <v>134533</v>
      </c>
      <c r="D132" s="15" t="s">
        <v>56</v>
      </c>
      <c r="E132" s="4" t="s">
        <v>11</v>
      </c>
      <c r="F132" s="15" t="s">
        <v>110</v>
      </c>
      <c r="G132" s="15">
        <v>720695647</v>
      </c>
      <c r="H132" s="24">
        <v>10758</v>
      </c>
      <c r="I132" s="8"/>
    </row>
    <row r="133" spans="1:9" ht="18.75" x14ac:dyDescent="0.3">
      <c r="A133" s="4">
        <v>89</v>
      </c>
      <c r="B133" s="5" t="s">
        <v>91</v>
      </c>
      <c r="C133" s="25">
        <v>134534</v>
      </c>
      <c r="D133" s="15" t="s">
        <v>56</v>
      </c>
      <c r="E133" s="4" t="s">
        <v>11</v>
      </c>
      <c r="F133" s="15" t="s">
        <v>110</v>
      </c>
      <c r="G133" s="15">
        <v>720695647</v>
      </c>
      <c r="H133" s="24">
        <v>7172</v>
      </c>
      <c r="I133" s="8"/>
    </row>
    <row r="134" spans="1:9" ht="18.75" x14ac:dyDescent="0.3">
      <c r="A134" s="4">
        <v>90</v>
      </c>
      <c r="B134" s="5" t="s">
        <v>96</v>
      </c>
      <c r="C134" s="25">
        <v>134535</v>
      </c>
      <c r="D134" s="15" t="s">
        <v>56</v>
      </c>
      <c r="E134" s="4" t="s">
        <v>11</v>
      </c>
      <c r="F134" s="15" t="s">
        <v>110</v>
      </c>
      <c r="G134" s="15">
        <v>720695647</v>
      </c>
      <c r="H134" s="24">
        <v>8250</v>
      </c>
      <c r="I134" s="8"/>
    </row>
    <row r="135" spans="1:9" ht="18.75" x14ac:dyDescent="0.3">
      <c r="A135" s="4">
        <v>91</v>
      </c>
      <c r="B135" s="5" t="s">
        <v>74</v>
      </c>
      <c r="C135" s="25">
        <v>134536</v>
      </c>
      <c r="D135" s="15" t="s">
        <v>56</v>
      </c>
      <c r="E135" s="4" t="s">
        <v>11</v>
      </c>
      <c r="F135" s="15" t="s">
        <v>110</v>
      </c>
      <c r="G135" s="15">
        <v>720695647</v>
      </c>
      <c r="H135" s="24">
        <v>56000</v>
      </c>
      <c r="I135" s="8"/>
    </row>
    <row r="136" spans="1:9" ht="18.75" x14ac:dyDescent="0.3">
      <c r="A136" s="4">
        <v>92</v>
      </c>
      <c r="B136" s="5" t="s">
        <v>70</v>
      </c>
      <c r="C136" s="25">
        <v>134537</v>
      </c>
      <c r="D136" s="15" t="s">
        <v>56</v>
      </c>
      <c r="E136" s="4" t="s">
        <v>11</v>
      </c>
      <c r="F136" s="15" t="s">
        <v>110</v>
      </c>
      <c r="G136" s="15">
        <v>720695647</v>
      </c>
      <c r="H136" s="24">
        <v>10758</v>
      </c>
      <c r="I136" s="8"/>
    </row>
    <row r="137" spans="1:9" ht="18.75" x14ac:dyDescent="0.3">
      <c r="A137" s="4">
        <v>93</v>
      </c>
      <c r="B137" s="5" t="s">
        <v>61</v>
      </c>
      <c r="C137" s="25">
        <v>134538</v>
      </c>
      <c r="D137" s="15" t="s">
        <v>56</v>
      </c>
      <c r="E137" s="4" t="s">
        <v>11</v>
      </c>
      <c r="F137" s="15" t="s">
        <v>110</v>
      </c>
      <c r="G137" s="15">
        <v>720695647</v>
      </c>
      <c r="H137" s="24">
        <v>24750</v>
      </c>
      <c r="I137" s="8"/>
    </row>
    <row r="138" spans="1:9" ht="18.75" x14ac:dyDescent="0.3">
      <c r="A138" s="4">
        <v>94</v>
      </c>
      <c r="B138" s="5" t="s">
        <v>81</v>
      </c>
      <c r="C138" s="25">
        <v>134539</v>
      </c>
      <c r="D138" s="15" t="s">
        <v>56</v>
      </c>
      <c r="E138" s="4" t="s">
        <v>11</v>
      </c>
      <c r="F138" s="15" t="s">
        <v>110</v>
      </c>
      <c r="G138" s="15">
        <v>720695647</v>
      </c>
      <c r="H138" s="24">
        <v>8965</v>
      </c>
      <c r="I138" s="8"/>
    </row>
    <row r="139" spans="1:9" ht="18.75" x14ac:dyDescent="0.3">
      <c r="A139" s="4">
        <v>95</v>
      </c>
      <c r="B139" s="5" t="s">
        <v>70</v>
      </c>
      <c r="C139" s="25">
        <v>134540</v>
      </c>
      <c r="D139" s="15" t="s">
        <v>56</v>
      </c>
      <c r="E139" s="4" t="s">
        <v>11</v>
      </c>
      <c r="F139" s="15" t="s">
        <v>110</v>
      </c>
      <c r="G139" s="15">
        <v>720695647</v>
      </c>
      <c r="H139" s="24">
        <v>10758</v>
      </c>
      <c r="I139" s="8"/>
    </row>
    <row r="140" spans="1:9" ht="18.75" x14ac:dyDescent="0.3">
      <c r="A140" s="4">
        <v>96</v>
      </c>
      <c r="B140" s="5" t="s">
        <v>61</v>
      </c>
      <c r="C140" s="25">
        <v>134541</v>
      </c>
      <c r="D140" s="15" t="s">
        <v>56</v>
      </c>
      <c r="E140" s="4" t="s">
        <v>11</v>
      </c>
      <c r="F140" s="15" t="s">
        <v>110</v>
      </c>
      <c r="G140" s="15">
        <v>720695647</v>
      </c>
      <c r="H140" s="24">
        <v>24750</v>
      </c>
      <c r="I140" s="8"/>
    </row>
    <row r="141" spans="1:9" ht="18.75" x14ac:dyDescent="0.3">
      <c r="A141" s="4">
        <v>97</v>
      </c>
      <c r="B141" s="5" t="s">
        <v>91</v>
      </c>
      <c r="C141" s="25">
        <v>134542</v>
      </c>
      <c r="D141" s="15" t="s">
        <v>56</v>
      </c>
      <c r="E141" s="4" t="s">
        <v>11</v>
      </c>
      <c r="F141" s="15" t="s">
        <v>110</v>
      </c>
      <c r="G141" s="15">
        <v>720695647</v>
      </c>
      <c r="H141" s="24">
        <v>7172</v>
      </c>
      <c r="I141" s="8"/>
    </row>
    <row r="142" spans="1:9" ht="18.75" x14ac:dyDescent="0.3">
      <c r="A142" s="4">
        <v>98</v>
      </c>
      <c r="B142" s="5" t="s">
        <v>91</v>
      </c>
      <c r="C142" s="19">
        <v>134543</v>
      </c>
      <c r="D142" s="15" t="s">
        <v>56</v>
      </c>
      <c r="E142" s="4" t="s">
        <v>11</v>
      </c>
      <c r="F142" s="15" t="s">
        <v>110</v>
      </c>
      <c r="G142" s="15">
        <v>720695647</v>
      </c>
      <c r="H142" s="24">
        <v>7172</v>
      </c>
      <c r="I142" s="8"/>
    </row>
    <row r="143" spans="1:9" ht="18.75" x14ac:dyDescent="0.3">
      <c r="A143" s="4">
        <v>99</v>
      </c>
      <c r="B143" s="5" t="s">
        <v>97</v>
      </c>
      <c r="C143" s="19">
        <v>134544</v>
      </c>
      <c r="D143" s="15" t="s">
        <v>56</v>
      </c>
      <c r="E143" s="4" t="s">
        <v>11</v>
      </c>
      <c r="F143" s="15" t="s">
        <v>110</v>
      </c>
      <c r="G143" s="15">
        <v>720695647</v>
      </c>
      <c r="H143" s="24">
        <v>16800</v>
      </c>
      <c r="I143" s="8"/>
    </row>
    <row r="144" spans="1:9" ht="18.75" x14ac:dyDescent="0.3">
      <c r="A144" s="4">
        <v>100</v>
      </c>
      <c r="B144" s="5" t="s">
        <v>69</v>
      </c>
      <c r="C144" s="19">
        <v>134545</v>
      </c>
      <c r="D144" s="15" t="s">
        <v>56</v>
      </c>
      <c r="E144" s="4" t="s">
        <v>11</v>
      </c>
      <c r="F144" s="15" t="s">
        <v>110</v>
      </c>
      <c r="G144" s="15">
        <v>720695647</v>
      </c>
      <c r="H144" s="24">
        <v>22400</v>
      </c>
      <c r="I144" s="8"/>
    </row>
    <row r="145" spans="1:9" ht="18.75" x14ac:dyDescent="0.3">
      <c r="A145" s="4">
        <v>101</v>
      </c>
      <c r="B145" s="5" t="s">
        <v>61</v>
      </c>
      <c r="C145" s="19">
        <v>134546</v>
      </c>
      <c r="D145" s="15" t="s">
        <v>56</v>
      </c>
      <c r="E145" s="4" t="s">
        <v>11</v>
      </c>
      <c r="F145" s="15" t="s">
        <v>110</v>
      </c>
      <c r="G145" s="15">
        <v>720695647</v>
      </c>
      <c r="H145" s="24">
        <v>21000</v>
      </c>
      <c r="I145" s="8"/>
    </row>
    <row r="146" spans="1:9" ht="18.75" x14ac:dyDescent="0.3">
      <c r="A146" s="4">
        <v>102</v>
      </c>
      <c r="B146" s="5" t="s">
        <v>92</v>
      </c>
      <c r="C146" s="19">
        <v>134547</v>
      </c>
      <c r="D146" s="15" t="s">
        <v>56</v>
      </c>
      <c r="E146" s="4" t="s">
        <v>11</v>
      </c>
      <c r="F146" s="15" t="s">
        <v>110</v>
      </c>
      <c r="G146" s="15">
        <v>720695647</v>
      </c>
      <c r="H146" s="24">
        <v>7172</v>
      </c>
      <c r="I146" s="8"/>
    </row>
    <row r="147" spans="1:9" ht="18.75" x14ac:dyDescent="0.3">
      <c r="A147" s="4">
        <v>103</v>
      </c>
      <c r="B147" s="5" t="s">
        <v>59</v>
      </c>
      <c r="C147" s="19">
        <v>134548</v>
      </c>
      <c r="D147" s="15" t="s">
        <v>56</v>
      </c>
      <c r="E147" s="4" t="s">
        <v>11</v>
      </c>
      <c r="F147" s="15" t="s">
        <v>110</v>
      </c>
      <c r="G147" s="15">
        <v>720695647</v>
      </c>
      <c r="H147" s="24">
        <v>13200</v>
      </c>
      <c r="I147" s="8"/>
    </row>
    <row r="148" spans="1:9" ht="18.75" x14ac:dyDescent="0.3">
      <c r="A148" s="4">
        <v>104</v>
      </c>
      <c r="B148" s="5" t="s">
        <v>98</v>
      </c>
      <c r="C148" s="19">
        <v>134549</v>
      </c>
      <c r="D148" s="15" t="s">
        <v>56</v>
      </c>
      <c r="E148" s="4" t="s">
        <v>11</v>
      </c>
      <c r="F148" s="15" t="s">
        <v>110</v>
      </c>
      <c r="G148" s="15">
        <v>720695647</v>
      </c>
      <c r="H148" s="24">
        <v>19800</v>
      </c>
      <c r="I148" s="8"/>
    </row>
    <row r="149" spans="1:9" ht="18.75" x14ac:dyDescent="0.3">
      <c r="A149" s="4">
        <v>105</v>
      </c>
      <c r="B149" s="5" t="s">
        <v>70</v>
      </c>
      <c r="C149" s="19">
        <v>134550</v>
      </c>
      <c r="D149" s="15" t="s">
        <v>56</v>
      </c>
      <c r="E149" s="4" t="s">
        <v>11</v>
      </c>
      <c r="F149" s="15" t="s">
        <v>110</v>
      </c>
      <c r="G149" s="15">
        <v>720695647</v>
      </c>
      <c r="H149" s="24">
        <v>10758</v>
      </c>
      <c r="I149" s="8"/>
    </row>
    <row r="150" spans="1:9" ht="18.75" x14ac:dyDescent="0.3">
      <c r="A150" s="4">
        <v>106</v>
      </c>
      <c r="B150" s="5" t="s">
        <v>61</v>
      </c>
      <c r="C150" s="19">
        <v>134551</v>
      </c>
      <c r="D150" s="15" t="s">
        <v>56</v>
      </c>
      <c r="E150" s="4" t="s">
        <v>11</v>
      </c>
      <c r="F150" s="15" t="s">
        <v>110</v>
      </c>
      <c r="G150" s="15">
        <v>720695647</v>
      </c>
      <c r="H150" s="24">
        <v>24750</v>
      </c>
      <c r="I150" s="8"/>
    </row>
    <row r="151" spans="1:9" ht="18.75" x14ac:dyDescent="0.3">
      <c r="A151" s="4">
        <v>107</v>
      </c>
      <c r="B151" s="5" t="s">
        <v>92</v>
      </c>
      <c r="C151" s="19">
        <v>134552</v>
      </c>
      <c r="D151" s="15" t="s">
        <v>56</v>
      </c>
      <c r="E151" s="4" t="s">
        <v>11</v>
      </c>
      <c r="F151" s="15" t="s">
        <v>110</v>
      </c>
      <c r="G151" s="15">
        <v>720695647</v>
      </c>
      <c r="H151" s="24">
        <v>7172</v>
      </c>
      <c r="I151" s="8"/>
    </row>
    <row r="152" spans="1:9" ht="18.75" x14ac:dyDescent="0.3">
      <c r="A152" s="4">
        <v>108</v>
      </c>
      <c r="B152" s="5" t="s">
        <v>81</v>
      </c>
      <c r="C152" s="19">
        <v>134553</v>
      </c>
      <c r="D152" s="15" t="s">
        <v>56</v>
      </c>
      <c r="E152" s="4" t="s">
        <v>11</v>
      </c>
      <c r="F152" s="15" t="s">
        <v>110</v>
      </c>
      <c r="G152" s="15">
        <v>720695647</v>
      </c>
      <c r="H152" s="24">
        <v>8965</v>
      </c>
      <c r="I152" s="8"/>
    </row>
    <row r="153" spans="1:9" ht="18.75" x14ac:dyDescent="0.3">
      <c r="A153" s="4">
        <v>109</v>
      </c>
      <c r="B153" s="5" t="s">
        <v>99</v>
      </c>
      <c r="C153" s="19">
        <v>134554</v>
      </c>
      <c r="D153" s="15" t="s">
        <v>56</v>
      </c>
      <c r="E153" s="4" t="s">
        <v>11</v>
      </c>
      <c r="F153" s="15" t="s">
        <v>110</v>
      </c>
      <c r="G153" s="15">
        <v>720695647</v>
      </c>
      <c r="H153" s="24">
        <v>9861</v>
      </c>
      <c r="I153" s="8"/>
    </row>
    <row r="154" spans="1:9" ht="18.75" x14ac:dyDescent="0.3">
      <c r="A154" s="4">
        <v>110</v>
      </c>
      <c r="B154" s="5" t="s">
        <v>96</v>
      </c>
      <c r="C154" s="25">
        <v>134555</v>
      </c>
      <c r="D154" s="15" t="s">
        <v>56</v>
      </c>
      <c r="E154" s="4" t="s">
        <v>11</v>
      </c>
      <c r="F154" s="15" t="s">
        <v>110</v>
      </c>
      <c r="G154" s="15">
        <v>720695647</v>
      </c>
      <c r="H154" s="24">
        <v>8250</v>
      </c>
      <c r="I154" s="8"/>
    </row>
    <row r="155" spans="1:9" ht="18.75" x14ac:dyDescent="0.3">
      <c r="A155" s="4">
        <v>111</v>
      </c>
      <c r="B155" s="5" t="s">
        <v>100</v>
      </c>
      <c r="C155" s="25">
        <v>134556</v>
      </c>
      <c r="D155" s="15" t="s">
        <v>56</v>
      </c>
      <c r="E155" s="4" t="s">
        <v>11</v>
      </c>
      <c r="F155" s="15" t="s">
        <v>110</v>
      </c>
      <c r="G155" s="15">
        <v>720695647</v>
      </c>
      <c r="H155" s="24">
        <v>13200</v>
      </c>
      <c r="I155" s="8"/>
    </row>
    <row r="156" spans="1:9" ht="18.75" x14ac:dyDescent="0.3">
      <c r="A156" s="4">
        <v>112</v>
      </c>
      <c r="B156" s="5" t="s">
        <v>101</v>
      </c>
      <c r="C156" s="25">
        <v>134557</v>
      </c>
      <c r="D156" s="15" t="s">
        <v>56</v>
      </c>
      <c r="E156" s="4" t="s">
        <v>11</v>
      </c>
      <c r="F156" s="15" t="s">
        <v>110</v>
      </c>
      <c r="G156" s="15">
        <v>720695647</v>
      </c>
      <c r="H156" s="24">
        <v>8250</v>
      </c>
      <c r="I156" s="8"/>
    </row>
    <row r="157" spans="1:9" ht="18.75" x14ac:dyDescent="0.3">
      <c r="A157" s="4">
        <v>113</v>
      </c>
      <c r="B157" s="5" t="s">
        <v>102</v>
      </c>
      <c r="C157" s="25">
        <v>134558</v>
      </c>
      <c r="D157" s="15" t="s">
        <v>56</v>
      </c>
      <c r="E157" s="4" t="s">
        <v>11</v>
      </c>
      <c r="F157" s="15" t="s">
        <v>110</v>
      </c>
      <c r="G157" s="15">
        <v>720695647</v>
      </c>
      <c r="H157" s="24">
        <v>13200</v>
      </c>
      <c r="I157" s="8"/>
    </row>
    <row r="158" spans="1:9" ht="18.75" x14ac:dyDescent="0.3">
      <c r="A158" s="4">
        <v>114</v>
      </c>
      <c r="B158" s="5" t="s">
        <v>103</v>
      </c>
      <c r="C158" s="25">
        <v>134559</v>
      </c>
      <c r="D158" s="15" t="s">
        <v>56</v>
      </c>
      <c r="E158" s="4" t="s">
        <v>11</v>
      </c>
      <c r="F158" s="15" t="s">
        <v>110</v>
      </c>
      <c r="G158" s="15">
        <v>720695647</v>
      </c>
      <c r="H158" s="24">
        <v>8250</v>
      </c>
      <c r="I158" s="8"/>
    </row>
    <row r="159" spans="1:9" ht="18.75" x14ac:dyDescent="0.3">
      <c r="A159" s="4">
        <v>115</v>
      </c>
      <c r="B159" s="5" t="s">
        <v>70</v>
      </c>
      <c r="C159" s="25">
        <v>134560</v>
      </c>
      <c r="D159" s="15" t="s">
        <v>56</v>
      </c>
      <c r="E159" s="4" t="s">
        <v>11</v>
      </c>
      <c r="F159" s="15" t="s">
        <v>110</v>
      </c>
      <c r="G159" s="15">
        <v>720695647</v>
      </c>
      <c r="H159" s="24">
        <v>10758</v>
      </c>
      <c r="I159" s="8"/>
    </row>
    <row r="160" spans="1:9" ht="18.75" x14ac:dyDescent="0.3">
      <c r="A160" s="4">
        <v>116</v>
      </c>
      <c r="B160" s="5" t="s">
        <v>104</v>
      </c>
      <c r="C160" s="25">
        <v>134561</v>
      </c>
      <c r="D160" s="15" t="s">
        <v>56</v>
      </c>
      <c r="E160" s="4" t="s">
        <v>11</v>
      </c>
      <c r="F160" s="15" t="s">
        <v>110</v>
      </c>
      <c r="G160" s="15">
        <v>720695647</v>
      </c>
      <c r="H160" s="24">
        <v>8250</v>
      </c>
      <c r="I160" s="8"/>
    </row>
    <row r="161" spans="1:9" ht="18.75" x14ac:dyDescent="0.3">
      <c r="A161" s="4">
        <v>117</v>
      </c>
      <c r="B161" s="5" t="s">
        <v>59</v>
      </c>
      <c r="C161" s="25">
        <v>134562</v>
      </c>
      <c r="D161" s="15" t="s">
        <v>56</v>
      </c>
      <c r="E161" s="4" t="s">
        <v>11</v>
      </c>
      <c r="F161" s="15" t="s">
        <v>110</v>
      </c>
      <c r="G161" s="15">
        <v>720695647</v>
      </c>
      <c r="H161" s="24">
        <v>13200</v>
      </c>
      <c r="I161" s="8"/>
    </row>
    <row r="162" spans="1:9" ht="18.75" x14ac:dyDescent="0.25">
      <c r="A162" s="4">
        <v>118</v>
      </c>
      <c r="B162" s="33" t="s">
        <v>215</v>
      </c>
      <c r="C162" s="132">
        <v>134479</v>
      </c>
      <c r="D162" s="34" t="s">
        <v>216</v>
      </c>
      <c r="E162" s="133" t="s">
        <v>11</v>
      </c>
      <c r="F162" s="33"/>
      <c r="G162" s="34"/>
      <c r="H162" s="136">
        <v>100400</v>
      </c>
      <c r="I162" s="8"/>
    </row>
    <row r="163" spans="1:9" ht="18.75" x14ac:dyDescent="0.3">
      <c r="A163" s="4"/>
      <c r="B163" s="5"/>
      <c r="C163" s="25"/>
      <c r="D163" s="5"/>
      <c r="E163" s="27"/>
      <c r="F163" s="27"/>
      <c r="G163" s="27"/>
      <c r="H163" s="134">
        <f>SUM(H44:H162)</f>
        <v>1732910</v>
      </c>
      <c r="I163" s="8"/>
    </row>
    <row r="164" spans="1:9" ht="18.75" x14ac:dyDescent="0.25">
      <c r="A164" s="4"/>
      <c r="B164" s="63"/>
      <c r="C164" s="63"/>
      <c r="D164" s="63"/>
      <c r="E164" s="63"/>
      <c r="F164" s="63"/>
      <c r="G164" s="63"/>
      <c r="H164" s="63"/>
      <c r="I164" s="8"/>
    </row>
    <row r="165" spans="1:9" ht="18.75" x14ac:dyDescent="0.25">
      <c r="A165" s="62" t="s">
        <v>18</v>
      </c>
      <c r="B165" s="5" t="s">
        <v>3</v>
      </c>
      <c r="C165" s="6" t="s">
        <v>4</v>
      </c>
      <c r="D165" s="5" t="s">
        <v>5</v>
      </c>
      <c r="E165" s="7" t="s">
        <v>6</v>
      </c>
      <c r="F165" s="7" t="s">
        <v>7</v>
      </c>
      <c r="G165" s="7" t="s">
        <v>8</v>
      </c>
      <c r="H165" s="7" t="s">
        <v>9</v>
      </c>
      <c r="I165" s="8"/>
    </row>
    <row r="166" spans="1:9" ht="18.75" x14ac:dyDescent="0.25">
      <c r="A166" s="4"/>
      <c r="B166" s="33" t="s">
        <v>19</v>
      </c>
      <c r="C166" s="10">
        <v>134475</v>
      </c>
      <c r="D166" s="33" t="s">
        <v>209</v>
      </c>
      <c r="E166" s="34" t="s">
        <v>263</v>
      </c>
      <c r="F166" s="33" t="s">
        <v>272</v>
      </c>
      <c r="G166" s="34">
        <v>718136628</v>
      </c>
      <c r="H166" s="135">
        <v>112290</v>
      </c>
      <c r="I166" s="8"/>
    </row>
    <row r="167" spans="1:9" ht="18" x14ac:dyDescent="0.25">
      <c r="B167" s="33" t="s">
        <v>19</v>
      </c>
      <c r="C167" s="10">
        <v>134476</v>
      </c>
      <c r="D167" s="33" t="s">
        <v>163</v>
      </c>
      <c r="E167" s="34" t="s">
        <v>263</v>
      </c>
      <c r="F167" s="33" t="s">
        <v>271</v>
      </c>
      <c r="G167" s="34">
        <v>739951453</v>
      </c>
      <c r="H167" s="135">
        <v>30880</v>
      </c>
      <c r="I167" s="8"/>
    </row>
    <row r="168" spans="1:9" ht="18.75" x14ac:dyDescent="0.25">
      <c r="A168" s="4"/>
      <c r="B168" s="33" t="s">
        <v>19</v>
      </c>
      <c r="C168" s="10">
        <v>134497</v>
      </c>
      <c r="D168" s="33" t="s">
        <v>245</v>
      </c>
      <c r="E168" s="34" t="s">
        <v>11</v>
      </c>
      <c r="F168" s="33" t="s">
        <v>311</v>
      </c>
      <c r="G168" s="34">
        <v>722455372</v>
      </c>
      <c r="H168" s="135">
        <v>138145</v>
      </c>
      <c r="I168" s="8"/>
    </row>
    <row r="169" spans="1:9" ht="18.75" x14ac:dyDescent="0.25">
      <c r="A169" s="4"/>
      <c r="B169" s="15" t="s">
        <v>19</v>
      </c>
      <c r="C169" s="15">
        <v>134499</v>
      </c>
      <c r="D169" s="5" t="s">
        <v>248</v>
      </c>
      <c r="E169" s="15" t="s">
        <v>12</v>
      </c>
      <c r="F169" s="5" t="s">
        <v>269</v>
      </c>
      <c r="G169" s="15">
        <v>722786049</v>
      </c>
      <c r="H169" s="137">
        <v>246680</v>
      </c>
      <c r="I169" s="8"/>
    </row>
    <row r="170" spans="1:9" ht="18.75" x14ac:dyDescent="0.25">
      <c r="A170" s="4"/>
      <c r="B170" s="15" t="s">
        <v>19</v>
      </c>
      <c r="C170" s="15">
        <v>134500</v>
      </c>
      <c r="D170" s="5" t="s">
        <v>250</v>
      </c>
      <c r="E170" s="15" t="s">
        <v>264</v>
      </c>
      <c r="F170" s="5" t="s">
        <v>270</v>
      </c>
      <c r="G170" s="15">
        <v>722283716</v>
      </c>
      <c r="H170" s="138">
        <v>180950</v>
      </c>
      <c r="I170" s="8"/>
    </row>
    <row r="171" spans="1:9" ht="18.75" x14ac:dyDescent="0.25">
      <c r="A171" s="4"/>
      <c r="B171" s="15"/>
      <c r="C171" s="21"/>
      <c r="D171" s="5"/>
      <c r="E171" s="4"/>
      <c r="F171" s="4"/>
      <c r="G171" s="4"/>
      <c r="H171" s="5"/>
      <c r="I171" s="8"/>
    </row>
    <row r="172" spans="1:9" ht="18.75" x14ac:dyDescent="0.25">
      <c r="A172" s="4"/>
      <c r="B172" s="15"/>
      <c r="C172" s="21"/>
      <c r="D172" s="4"/>
      <c r="E172" s="4"/>
      <c r="F172" s="4"/>
      <c r="G172" s="4"/>
      <c r="H172" s="131">
        <f>SUM(H166:H171)</f>
        <v>708945</v>
      </c>
      <c r="I172" s="8"/>
    </row>
    <row r="173" spans="1:9" ht="56.25" x14ac:dyDescent="0.25">
      <c r="A173" s="110" t="s">
        <v>20</v>
      </c>
      <c r="B173" s="5" t="s">
        <v>3</v>
      </c>
      <c r="C173" s="6" t="s">
        <v>4</v>
      </c>
      <c r="D173" s="5" t="s">
        <v>5</v>
      </c>
      <c r="E173" s="7" t="s">
        <v>6</v>
      </c>
      <c r="F173" s="7" t="s">
        <v>7</v>
      </c>
      <c r="G173" s="7" t="s">
        <v>8</v>
      </c>
      <c r="H173" s="7" t="s">
        <v>9</v>
      </c>
      <c r="I173" s="8"/>
    </row>
    <row r="174" spans="1:9" ht="18.75" x14ac:dyDescent="0.25">
      <c r="A174" s="4"/>
      <c r="B174" s="9" t="s">
        <v>148</v>
      </c>
      <c r="C174" s="10">
        <v>133893</v>
      </c>
      <c r="D174" s="11" t="s">
        <v>149</v>
      </c>
      <c r="E174" s="12" t="s">
        <v>261</v>
      </c>
      <c r="F174" s="11" t="s">
        <v>306</v>
      </c>
      <c r="G174" s="11">
        <v>725951961</v>
      </c>
      <c r="H174" s="14">
        <v>1600000</v>
      </c>
      <c r="I174" s="8"/>
    </row>
    <row r="175" spans="1:9" ht="18.75" x14ac:dyDescent="0.25">
      <c r="A175" s="4"/>
      <c r="B175" s="9" t="s">
        <v>150</v>
      </c>
      <c r="C175" s="10">
        <v>133894</v>
      </c>
      <c r="D175" s="11" t="s">
        <v>149</v>
      </c>
      <c r="E175" s="12" t="s">
        <v>261</v>
      </c>
      <c r="F175" s="11" t="s">
        <v>306</v>
      </c>
      <c r="G175" s="11">
        <v>725951962</v>
      </c>
      <c r="H175" s="14">
        <v>37300</v>
      </c>
      <c r="I175" s="8"/>
    </row>
    <row r="176" spans="1:9" ht="18.75" x14ac:dyDescent="0.25">
      <c r="A176" s="4"/>
      <c r="B176" s="9" t="s">
        <v>150</v>
      </c>
      <c r="C176" s="10">
        <v>133895</v>
      </c>
      <c r="D176" s="11" t="s">
        <v>149</v>
      </c>
      <c r="E176" s="12" t="s">
        <v>261</v>
      </c>
      <c r="F176" s="11" t="s">
        <v>306</v>
      </c>
      <c r="G176" s="11">
        <v>725951963</v>
      </c>
      <c r="H176" s="14">
        <v>120700</v>
      </c>
      <c r="I176" s="8"/>
    </row>
    <row r="177" spans="1:9" ht="18.75" x14ac:dyDescent="0.25">
      <c r="A177" s="4"/>
      <c r="B177" s="9" t="s">
        <v>142</v>
      </c>
      <c r="C177" s="10">
        <v>133898</v>
      </c>
      <c r="D177" s="101" t="s">
        <v>127</v>
      </c>
      <c r="E177" s="12" t="s">
        <v>261</v>
      </c>
      <c r="F177" s="34" t="s">
        <v>307</v>
      </c>
      <c r="G177" s="101">
        <v>780370005</v>
      </c>
      <c r="H177" s="14">
        <v>56705</v>
      </c>
      <c r="I177" s="8"/>
    </row>
    <row r="178" spans="1:9" ht="18.75" x14ac:dyDescent="0.25">
      <c r="A178" s="4"/>
      <c r="B178" s="9" t="s">
        <v>155</v>
      </c>
      <c r="C178" s="10">
        <v>133899</v>
      </c>
      <c r="D178" s="101" t="s">
        <v>156</v>
      </c>
      <c r="E178" s="12" t="s">
        <v>12</v>
      </c>
      <c r="F178" s="15" t="s">
        <v>308</v>
      </c>
      <c r="G178" s="101">
        <v>724837769</v>
      </c>
      <c r="H178" s="14">
        <v>27100</v>
      </c>
      <c r="I178" s="8"/>
    </row>
    <row r="179" spans="1:9" ht="18.75" x14ac:dyDescent="0.25">
      <c r="A179" s="4"/>
      <c r="B179" s="33" t="s">
        <v>159</v>
      </c>
      <c r="C179" s="10">
        <v>134451</v>
      </c>
      <c r="D179" s="34" t="s">
        <v>156</v>
      </c>
      <c r="E179" s="12" t="s">
        <v>12</v>
      </c>
      <c r="F179" s="15" t="s">
        <v>308</v>
      </c>
      <c r="G179" s="101">
        <v>724837770</v>
      </c>
      <c r="H179" s="35">
        <v>7870</v>
      </c>
      <c r="I179" s="8"/>
    </row>
    <row r="180" spans="1:9" ht="18.75" x14ac:dyDescent="0.25">
      <c r="A180" s="4"/>
      <c r="B180" s="33" t="s">
        <v>161</v>
      </c>
      <c r="C180" s="10">
        <v>134452</v>
      </c>
      <c r="D180" s="34" t="s">
        <v>160</v>
      </c>
      <c r="E180" s="12" t="s">
        <v>12</v>
      </c>
      <c r="F180" s="34" t="s">
        <v>290</v>
      </c>
      <c r="G180" s="34">
        <v>722809150</v>
      </c>
      <c r="H180" s="35">
        <v>65000</v>
      </c>
      <c r="I180" s="8"/>
    </row>
    <row r="181" spans="1:9" ht="18.75" x14ac:dyDescent="0.25">
      <c r="A181" s="4"/>
      <c r="B181" s="33" t="s">
        <v>167</v>
      </c>
      <c r="C181" s="10">
        <v>134456</v>
      </c>
      <c r="D181" s="102" t="s">
        <v>168</v>
      </c>
      <c r="E181" s="12" t="s">
        <v>261</v>
      </c>
      <c r="F181" s="34" t="s">
        <v>307</v>
      </c>
      <c r="G181" s="101">
        <v>780370005</v>
      </c>
      <c r="H181" s="35">
        <v>287923.92</v>
      </c>
      <c r="I181" s="8"/>
    </row>
    <row r="182" spans="1:9" ht="18.75" x14ac:dyDescent="0.25">
      <c r="A182" s="4"/>
      <c r="B182" s="33" t="s">
        <v>167</v>
      </c>
      <c r="C182" s="10">
        <v>134464</v>
      </c>
      <c r="D182" s="102" t="s">
        <v>168</v>
      </c>
      <c r="E182" s="12" t="s">
        <v>261</v>
      </c>
      <c r="F182" s="34" t="s">
        <v>307</v>
      </c>
      <c r="G182" s="101">
        <v>780370006</v>
      </c>
      <c r="H182" s="35">
        <v>57773.86</v>
      </c>
      <c r="I182" s="8"/>
    </row>
    <row r="183" spans="1:9" ht="18.75" x14ac:dyDescent="0.25">
      <c r="A183" s="4"/>
      <c r="B183" s="33" t="s">
        <v>203</v>
      </c>
      <c r="C183" s="10">
        <v>134468</v>
      </c>
      <c r="D183" s="34" t="s">
        <v>149</v>
      </c>
      <c r="E183" s="12" t="s">
        <v>261</v>
      </c>
      <c r="F183" s="11" t="s">
        <v>306</v>
      </c>
      <c r="G183" s="11">
        <v>725951961</v>
      </c>
      <c r="H183" s="35">
        <v>2000000</v>
      </c>
      <c r="I183" s="8"/>
    </row>
    <row r="184" spans="1:9" ht="18.75" x14ac:dyDescent="0.25">
      <c r="A184" s="4"/>
      <c r="B184" s="33" t="s">
        <v>21</v>
      </c>
      <c r="C184" s="10">
        <v>134469</v>
      </c>
      <c r="D184" s="34" t="s">
        <v>149</v>
      </c>
      <c r="E184" s="12" t="s">
        <v>261</v>
      </c>
      <c r="F184" s="11" t="s">
        <v>306</v>
      </c>
      <c r="G184" s="11">
        <v>725951962</v>
      </c>
      <c r="H184" s="35">
        <v>133850</v>
      </c>
      <c r="I184" s="8"/>
    </row>
    <row r="185" spans="1:9" ht="18.75" x14ac:dyDescent="0.25">
      <c r="A185" s="4"/>
      <c r="B185" s="33" t="s">
        <v>237</v>
      </c>
      <c r="C185" s="10">
        <v>134491</v>
      </c>
      <c r="D185" s="34" t="s">
        <v>238</v>
      </c>
      <c r="E185" s="12" t="s">
        <v>12</v>
      </c>
      <c r="F185" s="34" t="s">
        <v>309</v>
      </c>
      <c r="G185" s="34">
        <v>738516983</v>
      </c>
      <c r="H185" s="35">
        <v>177500</v>
      </c>
      <c r="I185" s="8"/>
    </row>
    <row r="186" spans="1:9" ht="18.75" x14ac:dyDescent="0.25">
      <c r="A186" s="4"/>
      <c r="B186" s="33" t="s">
        <v>240</v>
      </c>
      <c r="C186" s="10">
        <v>134492</v>
      </c>
      <c r="D186" s="102" t="s">
        <v>241</v>
      </c>
      <c r="E186" s="12" t="s">
        <v>261</v>
      </c>
      <c r="F186" s="34" t="s">
        <v>307</v>
      </c>
      <c r="G186" s="101">
        <v>780370005</v>
      </c>
      <c r="H186" s="35">
        <v>52942.94</v>
      </c>
      <c r="I186" s="8"/>
    </row>
    <row r="187" spans="1:9" ht="18.75" x14ac:dyDescent="0.25">
      <c r="A187" s="4"/>
      <c r="B187" s="33" t="s">
        <v>242</v>
      </c>
      <c r="C187" s="10">
        <v>134495</v>
      </c>
      <c r="D187" s="34" t="s">
        <v>243</v>
      </c>
      <c r="E187" s="12" t="s">
        <v>12</v>
      </c>
      <c r="F187" s="15" t="s">
        <v>308</v>
      </c>
      <c r="G187" s="101">
        <v>724837769</v>
      </c>
      <c r="H187" s="35">
        <v>96400</v>
      </c>
      <c r="I187" s="8"/>
    </row>
    <row r="188" spans="1:9" ht="18.75" x14ac:dyDescent="0.25">
      <c r="A188" s="4"/>
      <c r="B188" s="63"/>
      <c r="C188" s="63"/>
      <c r="D188" s="63"/>
      <c r="E188" s="63"/>
      <c r="F188" s="63"/>
      <c r="G188" s="63"/>
      <c r="H188" s="139">
        <f>SUM(H174:H187)</f>
        <v>4721065.72</v>
      </c>
      <c r="I188" s="8"/>
    </row>
    <row r="189" spans="1:9" ht="37.5" x14ac:dyDescent="0.25">
      <c r="A189" s="110" t="s">
        <v>22</v>
      </c>
      <c r="B189" s="5" t="s">
        <v>3</v>
      </c>
      <c r="C189" s="6" t="s">
        <v>4</v>
      </c>
      <c r="D189" s="5" t="s">
        <v>5</v>
      </c>
      <c r="E189" s="7" t="s">
        <v>6</v>
      </c>
      <c r="F189" s="7" t="s">
        <v>7</v>
      </c>
      <c r="G189" s="7" t="s">
        <v>8</v>
      </c>
      <c r="H189" s="7" t="s">
        <v>9</v>
      </c>
      <c r="I189" s="8"/>
    </row>
    <row r="190" spans="1:9" ht="31.5" x14ac:dyDescent="0.25">
      <c r="A190" s="4"/>
      <c r="B190" s="33" t="s">
        <v>157</v>
      </c>
      <c r="C190" s="10">
        <v>133900</v>
      </c>
      <c r="D190" s="102" t="s">
        <v>158</v>
      </c>
      <c r="E190" s="12" t="s">
        <v>12</v>
      </c>
      <c r="F190" s="33" t="s">
        <v>305</v>
      </c>
      <c r="G190" s="102">
        <v>722386846</v>
      </c>
      <c r="H190" s="35">
        <v>13500</v>
      </c>
      <c r="I190" s="8"/>
    </row>
    <row r="191" spans="1:9" ht="31.5" x14ac:dyDescent="0.25">
      <c r="A191" s="4"/>
      <c r="B191" s="33" t="s">
        <v>172</v>
      </c>
      <c r="C191" s="10">
        <v>134460</v>
      </c>
      <c r="D191" s="102" t="s">
        <v>173</v>
      </c>
      <c r="E191" s="12" t="s">
        <v>12</v>
      </c>
      <c r="F191" s="33" t="s">
        <v>305</v>
      </c>
      <c r="G191" s="102">
        <v>722386847</v>
      </c>
      <c r="H191" s="35">
        <v>47600</v>
      </c>
      <c r="I191" s="8"/>
    </row>
    <row r="192" spans="1:9" ht="18.75" x14ac:dyDescent="0.25">
      <c r="A192" s="4"/>
      <c r="B192" s="33" t="s">
        <v>204</v>
      </c>
      <c r="C192" s="10">
        <v>134472</v>
      </c>
      <c r="D192" s="34" t="s">
        <v>205</v>
      </c>
      <c r="E192" s="12" t="s">
        <v>264</v>
      </c>
      <c r="F192" s="33" t="s">
        <v>304</v>
      </c>
      <c r="G192" s="34">
        <v>721854353</v>
      </c>
      <c r="H192" s="35">
        <v>18676</v>
      </c>
      <c r="I192" s="8"/>
    </row>
    <row r="193" spans="1:9" ht="18.75" x14ac:dyDescent="0.25">
      <c r="A193" s="4"/>
      <c r="B193" s="33" t="s">
        <v>226</v>
      </c>
      <c r="C193" s="10">
        <v>134483</v>
      </c>
      <c r="D193" s="34" t="s">
        <v>227</v>
      </c>
      <c r="E193" s="12" t="s">
        <v>264</v>
      </c>
      <c r="F193" s="33" t="s">
        <v>302</v>
      </c>
      <c r="G193" s="34">
        <v>723437122</v>
      </c>
      <c r="H193" s="35">
        <v>21330</v>
      </c>
      <c r="I193" s="8"/>
    </row>
    <row r="194" spans="1:9" ht="18.75" x14ac:dyDescent="0.25">
      <c r="A194" s="4"/>
      <c r="B194" s="4"/>
      <c r="C194" s="4"/>
      <c r="D194" s="4"/>
      <c r="E194" s="4"/>
      <c r="F194" s="4"/>
      <c r="G194" s="4"/>
      <c r="H194" s="131">
        <f>SUM(H190:H193)</f>
        <v>101106</v>
      </c>
      <c r="I194" s="8"/>
    </row>
    <row r="195" spans="1:9" ht="18.75" x14ac:dyDescent="0.25">
      <c r="A195" s="4"/>
      <c r="B195" s="63"/>
      <c r="C195" s="63"/>
      <c r="D195" s="63"/>
      <c r="E195" s="63"/>
      <c r="F195" s="63"/>
      <c r="G195" s="63"/>
      <c r="H195" s="63"/>
      <c r="I195" s="8"/>
    </row>
    <row r="196" spans="1:9" ht="18.75" x14ac:dyDescent="0.25">
      <c r="A196" s="62" t="s">
        <v>23</v>
      </c>
      <c r="B196" s="5" t="s">
        <v>3</v>
      </c>
      <c r="C196" s="6" t="s">
        <v>4</v>
      </c>
      <c r="D196" s="5" t="s">
        <v>5</v>
      </c>
      <c r="E196" s="7" t="s">
        <v>6</v>
      </c>
      <c r="F196" s="7" t="s">
        <v>7</v>
      </c>
      <c r="G196" s="7" t="s">
        <v>8</v>
      </c>
      <c r="H196" s="7" t="s">
        <v>9</v>
      </c>
      <c r="I196" s="8"/>
    </row>
    <row r="197" spans="1:9" ht="18.75" x14ac:dyDescent="0.25">
      <c r="A197" s="4"/>
      <c r="B197" s="33" t="s">
        <v>174</v>
      </c>
      <c r="C197" s="10">
        <v>134461</v>
      </c>
      <c r="D197" s="34" t="s">
        <v>125</v>
      </c>
      <c r="E197" s="12" t="s">
        <v>264</v>
      </c>
      <c r="F197" s="33" t="s">
        <v>301</v>
      </c>
      <c r="G197" s="34" t="s">
        <v>298</v>
      </c>
      <c r="H197" s="35">
        <v>37500</v>
      </c>
      <c r="I197" s="8"/>
    </row>
    <row r="198" spans="1:9" ht="18.75" x14ac:dyDescent="0.25">
      <c r="A198" s="4"/>
      <c r="B198" s="33" t="s">
        <v>175</v>
      </c>
      <c r="C198" s="10">
        <v>134462</v>
      </c>
      <c r="D198" s="34" t="s">
        <v>128</v>
      </c>
      <c r="E198" s="12" t="s">
        <v>263</v>
      </c>
      <c r="F198" s="33" t="s">
        <v>300</v>
      </c>
      <c r="G198" s="34">
        <v>725888000</v>
      </c>
      <c r="H198" s="35">
        <v>40680</v>
      </c>
      <c r="I198" s="8"/>
    </row>
    <row r="199" spans="1:9" ht="18.75" x14ac:dyDescent="0.25">
      <c r="A199" s="4"/>
      <c r="B199" s="33" t="s">
        <v>175</v>
      </c>
      <c r="C199" s="10">
        <v>134463</v>
      </c>
      <c r="D199" s="34" t="s">
        <v>176</v>
      </c>
      <c r="E199" s="12" t="s">
        <v>12</v>
      </c>
      <c r="F199" s="33" t="s">
        <v>299</v>
      </c>
      <c r="G199" s="34">
        <v>721542027</v>
      </c>
      <c r="H199" s="35">
        <v>23280</v>
      </c>
      <c r="I199" s="8"/>
    </row>
    <row r="200" spans="1:9" ht="18.75" x14ac:dyDescent="0.25">
      <c r="A200" s="4"/>
      <c r="B200" s="5"/>
      <c r="C200" s="30"/>
      <c r="D200" s="5"/>
      <c r="E200" s="27"/>
      <c r="F200" s="27"/>
      <c r="G200" s="31"/>
      <c r="H200" s="7"/>
      <c r="I200" s="8"/>
    </row>
    <row r="201" spans="1:9" ht="18.75" x14ac:dyDescent="0.25">
      <c r="A201" s="4"/>
      <c r="B201" s="5"/>
      <c r="C201" s="30"/>
      <c r="D201" s="5"/>
      <c r="E201" s="27"/>
      <c r="F201" s="7"/>
      <c r="G201" s="21"/>
      <c r="H201" s="130">
        <f>SUM(H197:H200)</f>
        <v>101460</v>
      </c>
      <c r="I201" s="8"/>
    </row>
    <row r="202" spans="1:9" ht="18.75" x14ac:dyDescent="0.25">
      <c r="A202" s="62" t="s">
        <v>24</v>
      </c>
      <c r="B202" s="5" t="s">
        <v>3</v>
      </c>
      <c r="C202" s="6" t="s">
        <v>4</v>
      </c>
      <c r="D202" s="5" t="s">
        <v>5</v>
      </c>
      <c r="E202" s="7" t="s">
        <v>6</v>
      </c>
      <c r="F202" s="7" t="s">
        <v>7</v>
      </c>
      <c r="G202" s="7" t="s">
        <v>8</v>
      </c>
      <c r="H202" s="7" t="s">
        <v>9</v>
      </c>
      <c r="I202" s="8"/>
    </row>
    <row r="203" spans="1:9" ht="18.75" x14ac:dyDescent="0.25">
      <c r="A203" s="4"/>
      <c r="B203" s="33" t="s">
        <v>231</v>
      </c>
      <c r="C203" s="10">
        <v>134487</v>
      </c>
      <c r="D203" s="34" t="s">
        <v>232</v>
      </c>
      <c r="E203" s="12" t="s">
        <v>11</v>
      </c>
      <c r="F203" s="33" t="s">
        <v>339</v>
      </c>
      <c r="G203" t="s">
        <v>340</v>
      </c>
      <c r="H203" s="35">
        <v>4836063.2</v>
      </c>
      <c r="I203" s="8"/>
    </row>
    <row r="204" spans="1:9" ht="18.75" x14ac:dyDescent="0.25">
      <c r="A204" s="4"/>
      <c r="B204" s="9"/>
      <c r="C204" s="10"/>
      <c r="D204" s="11"/>
      <c r="E204" s="12"/>
      <c r="F204" s="9"/>
      <c r="G204" s="11"/>
      <c r="H204" s="14"/>
      <c r="I204" s="8"/>
    </row>
    <row r="205" spans="1:9" ht="18.75" x14ac:dyDescent="0.25">
      <c r="A205" s="4">
        <f>-G204</f>
        <v>0</v>
      </c>
      <c r="B205" s="5"/>
      <c r="C205" s="5"/>
      <c r="D205" s="5"/>
      <c r="E205" s="27"/>
      <c r="F205" s="7"/>
      <c r="G205" s="7"/>
      <c r="H205" s="7"/>
      <c r="I205" s="8"/>
    </row>
    <row r="206" spans="1:9" ht="18.75" x14ac:dyDescent="0.25">
      <c r="A206" s="4"/>
      <c r="B206" s="5"/>
      <c r="C206" s="32"/>
      <c r="D206" s="5"/>
      <c r="E206" s="7"/>
      <c r="F206" s="7"/>
      <c r="G206" s="7"/>
      <c r="H206" s="130">
        <f>SUM(H203:H205)</f>
        <v>4836063.2</v>
      </c>
      <c r="I206" s="8"/>
    </row>
    <row r="207" spans="1:9" ht="18.75" x14ac:dyDescent="0.25">
      <c r="A207" s="4"/>
      <c r="B207" s="63"/>
      <c r="C207" s="63"/>
      <c r="D207" s="63"/>
      <c r="E207" s="63"/>
      <c r="F207" s="63"/>
      <c r="G207" s="63"/>
      <c r="H207" s="64"/>
      <c r="I207" s="8"/>
    </row>
    <row r="208" spans="1:9" ht="18.75" x14ac:dyDescent="0.25">
      <c r="A208" s="62" t="s">
        <v>25</v>
      </c>
      <c r="B208" s="5" t="s">
        <v>3</v>
      </c>
      <c r="C208" s="6" t="s">
        <v>4</v>
      </c>
      <c r="D208" s="5" t="s">
        <v>5</v>
      </c>
      <c r="E208" s="7" t="s">
        <v>6</v>
      </c>
      <c r="F208" s="7" t="s">
        <v>7</v>
      </c>
      <c r="G208" s="7" t="s">
        <v>8</v>
      </c>
      <c r="H208" s="7" t="s">
        <v>9</v>
      </c>
      <c r="I208" s="8"/>
    </row>
    <row r="209" spans="1:9" ht="18.75" x14ac:dyDescent="0.25">
      <c r="A209" s="4"/>
      <c r="B209" s="4"/>
      <c r="C209" s="4"/>
      <c r="D209" s="4"/>
      <c r="E209" s="4"/>
      <c r="F209" s="4"/>
      <c r="G209" s="4"/>
      <c r="H209" s="4"/>
      <c r="I209" s="8"/>
    </row>
    <row r="210" spans="1:9" ht="18.75" x14ac:dyDescent="0.25">
      <c r="A210" s="4"/>
      <c r="B210" s="4"/>
      <c r="C210" s="4"/>
      <c r="D210" s="4"/>
      <c r="E210" s="4"/>
      <c r="F210" s="4"/>
      <c r="G210" s="4"/>
      <c r="H210" s="4"/>
      <c r="I210" s="8"/>
    </row>
    <row r="211" spans="1:9" ht="18.75" x14ac:dyDescent="0.25">
      <c r="A211" s="4"/>
      <c r="B211" s="5"/>
      <c r="C211" s="32"/>
      <c r="D211" s="5"/>
      <c r="E211" s="7"/>
      <c r="F211" s="7"/>
      <c r="G211" s="7"/>
      <c r="H211" s="7"/>
      <c r="I211" s="8"/>
    </row>
    <row r="212" spans="1:9" ht="18.75" x14ac:dyDescent="0.25">
      <c r="A212" s="4"/>
      <c r="B212" s="5"/>
      <c r="C212" s="32"/>
      <c r="D212" s="5"/>
      <c r="E212" s="7"/>
      <c r="F212" s="7"/>
      <c r="G212" s="7"/>
      <c r="H212" s="7"/>
      <c r="I212" s="8"/>
    </row>
    <row r="213" spans="1:9" ht="18.75" x14ac:dyDescent="0.25">
      <c r="A213" s="62" t="s">
        <v>26</v>
      </c>
      <c r="B213" s="5" t="s">
        <v>3</v>
      </c>
      <c r="C213" s="6" t="s">
        <v>4</v>
      </c>
      <c r="D213" s="5" t="s">
        <v>5</v>
      </c>
      <c r="E213" s="7" t="s">
        <v>6</v>
      </c>
      <c r="F213" s="7" t="s">
        <v>7</v>
      </c>
      <c r="G213" s="7" t="s">
        <v>8</v>
      </c>
      <c r="H213" s="7" t="s">
        <v>9</v>
      </c>
      <c r="I213" s="8"/>
    </row>
    <row r="214" spans="1:9" ht="18.75" x14ac:dyDescent="0.25">
      <c r="A214" s="4"/>
      <c r="B214" s="4"/>
      <c r="C214" s="4"/>
      <c r="D214" s="4"/>
      <c r="E214" s="4"/>
      <c r="F214" s="4"/>
      <c r="G214" s="4"/>
      <c r="H214" s="4"/>
      <c r="I214" s="8"/>
    </row>
    <row r="215" spans="1:9" ht="18.75" x14ac:dyDescent="0.25">
      <c r="A215" s="4"/>
      <c r="B215" s="4"/>
      <c r="C215" s="4"/>
      <c r="D215" s="4"/>
      <c r="E215" s="4"/>
      <c r="F215" s="4"/>
      <c r="G215" s="4"/>
      <c r="H215" s="4"/>
      <c r="I215" s="8"/>
    </row>
    <row r="216" spans="1:9" ht="18.75" x14ac:dyDescent="0.25">
      <c r="A216" s="4"/>
      <c r="B216" s="5"/>
      <c r="C216" s="32"/>
      <c r="D216" s="5"/>
      <c r="E216" s="7"/>
      <c r="F216" s="7"/>
      <c r="G216" s="7"/>
      <c r="H216" s="7"/>
      <c r="I216" s="8"/>
    </row>
    <row r="217" spans="1:9" ht="18.75" x14ac:dyDescent="0.25">
      <c r="A217" s="62" t="s">
        <v>27</v>
      </c>
      <c r="B217" s="5" t="s">
        <v>3</v>
      </c>
      <c r="C217" s="6" t="s">
        <v>4</v>
      </c>
      <c r="D217" s="5" t="s">
        <v>5</v>
      </c>
      <c r="E217" s="7" t="s">
        <v>6</v>
      </c>
      <c r="F217" s="7" t="s">
        <v>7</v>
      </c>
      <c r="G217" s="7" t="s">
        <v>8</v>
      </c>
      <c r="H217" s="7" t="s">
        <v>9</v>
      </c>
      <c r="I217" s="8"/>
    </row>
    <row r="218" spans="1:9" ht="18.75" x14ac:dyDescent="0.25">
      <c r="A218" s="4"/>
      <c r="B218" s="33" t="s">
        <v>190</v>
      </c>
      <c r="C218" s="10">
        <v>134466</v>
      </c>
      <c r="D218" s="34" t="s">
        <v>191</v>
      </c>
      <c r="E218" s="12" t="s">
        <v>12</v>
      </c>
      <c r="F218" s="33" t="s">
        <v>286</v>
      </c>
      <c r="G218" s="34" t="s">
        <v>297</v>
      </c>
      <c r="H218" s="35">
        <v>27840</v>
      </c>
      <c r="I218" s="8"/>
    </row>
    <row r="219" spans="1:9" ht="18.75" x14ac:dyDescent="0.25">
      <c r="A219" s="4"/>
      <c r="B219" s="15"/>
      <c r="C219" s="21"/>
      <c r="D219" s="15"/>
      <c r="E219" s="4"/>
      <c r="F219" s="4"/>
      <c r="G219" s="4"/>
      <c r="H219" s="4"/>
      <c r="I219" s="8"/>
    </row>
    <row r="220" spans="1:9" ht="18.75" x14ac:dyDescent="0.25">
      <c r="A220" s="4"/>
      <c r="B220" s="15"/>
      <c r="C220" s="21"/>
      <c r="D220" s="15"/>
      <c r="E220" s="4"/>
      <c r="F220" s="4"/>
      <c r="G220" s="4"/>
      <c r="H220" s="4"/>
      <c r="I220" s="8"/>
    </row>
    <row r="221" spans="1:9" ht="18.75" x14ac:dyDescent="0.25">
      <c r="A221" s="4"/>
      <c r="B221" s="15"/>
      <c r="C221" s="21"/>
      <c r="D221" s="15"/>
      <c r="E221" s="4"/>
      <c r="F221" s="5"/>
      <c r="G221" s="4"/>
      <c r="H221" s="131">
        <f>SUM(H218:H220)</f>
        <v>27840</v>
      </c>
      <c r="I221" s="8"/>
    </row>
    <row r="222" spans="1:9" ht="18.75" x14ac:dyDescent="0.25">
      <c r="A222" s="62" t="s">
        <v>28</v>
      </c>
      <c r="B222" s="5" t="s">
        <v>3</v>
      </c>
      <c r="C222" s="6" t="s">
        <v>4</v>
      </c>
      <c r="D222" s="5" t="s">
        <v>5</v>
      </c>
      <c r="E222" s="7" t="s">
        <v>6</v>
      </c>
      <c r="F222" s="7" t="s">
        <v>7</v>
      </c>
      <c r="G222" s="7" t="s">
        <v>8</v>
      </c>
      <c r="H222" s="7" t="s">
        <v>9</v>
      </c>
      <c r="I222" s="8"/>
    </row>
    <row r="223" spans="1:9" ht="31.5" x14ac:dyDescent="0.25">
      <c r="A223" s="4"/>
      <c r="B223" s="33" t="s">
        <v>218</v>
      </c>
      <c r="C223" s="10">
        <v>134480</v>
      </c>
      <c r="D223" s="102" t="s">
        <v>219</v>
      </c>
      <c r="E223" s="12" t="s">
        <v>11</v>
      </c>
      <c r="F223" s="33" t="s">
        <v>296</v>
      </c>
      <c r="G223" s="102">
        <v>711512181</v>
      </c>
      <c r="H223" s="35">
        <v>322480</v>
      </c>
      <c r="I223" s="8"/>
    </row>
    <row r="224" spans="1:9" ht="18.75" x14ac:dyDescent="0.25">
      <c r="A224" s="4"/>
      <c r="B224" s="33" t="s">
        <v>256</v>
      </c>
      <c r="C224" s="10" t="s">
        <v>29</v>
      </c>
      <c r="D224" s="34" t="s">
        <v>265</v>
      </c>
      <c r="E224" s="12" t="s">
        <v>11</v>
      </c>
      <c r="F224" s="33" t="s">
        <v>295</v>
      </c>
      <c r="G224" s="34">
        <v>721951175</v>
      </c>
      <c r="H224" s="35">
        <v>23600</v>
      </c>
      <c r="I224" s="8"/>
    </row>
    <row r="225" spans="1:9" ht="18.75" x14ac:dyDescent="0.25">
      <c r="A225" s="4"/>
      <c r="B225" s="33" t="s">
        <v>257</v>
      </c>
      <c r="C225" s="10" t="s">
        <v>29</v>
      </c>
      <c r="D225" s="34" t="s">
        <v>258</v>
      </c>
      <c r="E225" s="12" t="s">
        <v>11</v>
      </c>
      <c r="F225" s="33" t="s">
        <v>294</v>
      </c>
      <c r="G225" s="34">
        <v>743211626</v>
      </c>
      <c r="H225" s="35">
        <v>143900</v>
      </c>
      <c r="I225" s="8"/>
    </row>
    <row r="226" spans="1:9" ht="18.75" x14ac:dyDescent="0.25">
      <c r="A226" s="4"/>
      <c r="B226" s="9"/>
      <c r="C226" s="10"/>
      <c r="D226" s="11"/>
      <c r="E226" s="12"/>
      <c r="F226" s="9"/>
      <c r="G226" s="11"/>
      <c r="H226" s="14"/>
      <c r="I226" s="8"/>
    </row>
    <row r="227" spans="1:9" ht="18.75" x14ac:dyDescent="0.25">
      <c r="A227" s="4"/>
      <c r="B227" s="15"/>
      <c r="C227" s="21"/>
      <c r="D227" s="15"/>
      <c r="E227" s="4"/>
      <c r="F227" s="15"/>
      <c r="G227" s="4"/>
      <c r="H227" s="4"/>
      <c r="I227" s="8"/>
    </row>
    <row r="228" spans="1:9" ht="18.75" x14ac:dyDescent="0.25">
      <c r="A228" s="4"/>
      <c r="B228" s="5"/>
      <c r="C228" s="32"/>
      <c r="D228" s="5"/>
      <c r="E228" s="27"/>
      <c r="F228" s="36"/>
      <c r="G228" s="27"/>
      <c r="H228" s="140">
        <f>SUM(H223:H227)</f>
        <v>489980</v>
      </c>
      <c r="I228" s="8"/>
    </row>
    <row r="229" spans="1:9" ht="18.75" x14ac:dyDescent="0.25">
      <c r="A229" s="62" t="s">
        <v>30</v>
      </c>
      <c r="B229" s="5" t="s">
        <v>3</v>
      </c>
      <c r="C229" s="6" t="s">
        <v>4</v>
      </c>
      <c r="D229" s="5" t="s">
        <v>5</v>
      </c>
      <c r="E229" s="7" t="s">
        <v>6</v>
      </c>
      <c r="F229" s="7" t="s">
        <v>7</v>
      </c>
      <c r="G229" s="7" t="s">
        <v>8</v>
      </c>
      <c r="H229" s="7" t="s">
        <v>9</v>
      </c>
      <c r="I229" s="8"/>
    </row>
    <row r="230" spans="1:9" ht="18.75" x14ac:dyDescent="0.25">
      <c r="A230" s="4"/>
      <c r="B230" s="5"/>
      <c r="C230" s="32"/>
      <c r="D230" s="5"/>
      <c r="E230" s="7"/>
      <c r="F230" s="7"/>
      <c r="G230" s="7"/>
      <c r="H230" s="7"/>
      <c r="I230" s="8"/>
    </row>
    <row r="231" spans="1:9" ht="18.75" x14ac:dyDescent="0.25">
      <c r="A231" s="4"/>
      <c r="B231" s="5"/>
      <c r="C231" s="32"/>
      <c r="D231" s="5"/>
      <c r="E231" s="7"/>
      <c r="F231" s="7"/>
      <c r="G231" s="7"/>
      <c r="H231" s="7"/>
      <c r="I231" s="8"/>
    </row>
    <row r="232" spans="1:9" ht="18.75" x14ac:dyDescent="0.25">
      <c r="A232" s="4"/>
      <c r="B232" s="63"/>
      <c r="C232" s="63"/>
      <c r="D232" s="63"/>
      <c r="E232" s="63"/>
      <c r="F232" s="63"/>
      <c r="G232" s="63"/>
      <c r="H232" s="64"/>
      <c r="I232" s="8"/>
    </row>
    <row r="233" spans="1:9" ht="18.75" x14ac:dyDescent="0.25">
      <c r="A233" s="62" t="s">
        <v>31</v>
      </c>
      <c r="B233" s="5" t="s">
        <v>3</v>
      </c>
      <c r="C233" s="6" t="s">
        <v>4</v>
      </c>
      <c r="D233" s="5" t="s">
        <v>5</v>
      </c>
      <c r="E233" s="7" t="s">
        <v>6</v>
      </c>
      <c r="F233" s="7" t="s">
        <v>7</v>
      </c>
      <c r="G233" s="7" t="s">
        <v>8</v>
      </c>
      <c r="H233" s="7" t="s">
        <v>9</v>
      </c>
      <c r="I233" s="8"/>
    </row>
    <row r="234" spans="1:9" ht="18.75" x14ac:dyDescent="0.25">
      <c r="A234" s="4"/>
      <c r="B234" s="5"/>
      <c r="C234" s="30"/>
      <c r="D234" s="5"/>
      <c r="E234" s="7"/>
      <c r="F234" s="7"/>
      <c r="G234" s="7"/>
      <c r="H234" s="26"/>
      <c r="I234" s="8"/>
    </row>
    <row r="235" spans="1:9" ht="18.75" x14ac:dyDescent="0.25">
      <c r="A235" s="4"/>
      <c r="B235" s="5"/>
      <c r="C235" s="30"/>
      <c r="D235" s="5"/>
      <c r="E235" s="7"/>
      <c r="F235" s="7"/>
      <c r="G235" s="7"/>
      <c r="H235" s="7"/>
      <c r="I235" s="8"/>
    </row>
    <row r="236" spans="1:9" ht="18.75" x14ac:dyDescent="0.25">
      <c r="A236" s="4"/>
      <c r="B236" s="5"/>
      <c r="C236" s="6"/>
      <c r="D236" s="5"/>
      <c r="E236" s="7"/>
      <c r="F236" s="7"/>
      <c r="G236" s="7"/>
      <c r="H236" s="7"/>
      <c r="I236" s="8"/>
    </row>
    <row r="237" spans="1:9" ht="18.75" x14ac:dyDescent="0.25">
      <c r="A237" s="62" t="s">
        <v>32</v>
      </c>
      <c r="B237" s="5" t="s">
        <v>3</v>
      </c>
      <c r="C237" s="6" t="s">
        <v>4</v>
      </c>
      <c r="D237" s="5" t="s">
        <v>5</v>
      </c>
      <c r="E237" s="7" t="s">
        <v>6</v>
      </c>
      <c r="F237" s="7" t="s">
        <v>7</v>
      </c>
      <c r="G237" s="7" t="s">
        <v>8</v>
      </c>
      <c r="H237" s="7" t="s">
        <v>9</v>
      </c>
      <c r="I237" s="8"/>
    </row>
    <row r="238" spans="1:9" ht="18.75" x14ac:dyDescent="0.25">
      <c r="A238" s="4"/>
      <c r="B238" s="5"/>
      <c r="C238" s="32"/>
      <c r="D238" s="5"/>
      <c r="E238" s="7"/>
      <c r="F238" s="7"/>
      <c r="G238" s="7"/>
      <c r="H238" s="7"/>
      <c r="I238" s="8"/>
    </row>
    <row r="239" spans="1:9" ht="18.75" x14ac:dyDescent="0.25">
      <c r="A239" s="4"/>
      <c r="B239" s="5"/>
      <c r="C239" s="32"/>
      <c r="D239" s="5"/>
      <c r="E239" s="7"/>
      <c r="F239" s="7"/>
      <c r="G239" s="7"/>
      <c r="H239" s="7"/>
      <c r="I239" s="8"/>
    </row>
    <row r="240" spans="1:9" ht="18.75" x14ac:dyDescent="0.25">
      <c r="A240" s="4"/>
      <c r="B240" s="5"/>
      <c r="C240" s="32"/>
      <c r="D240" s="5"/>
      <c r="E240" s="7"/>
      <c r="F240" s="7"/>
      <c r="G240" s="7"/>
      <c r="H240" s="7"/>
      <c r="I240" s="8"/>
    </row>
    <row r="241" spans="1:9" ht="18.75" x14ac:dyDescent="0.25">
      <c r="A241" s="62" t="s">
        <v>33</v>
      </c>
      <c r="B241" s="5" t="s">
        <v>3</v>
      </c>
      <c r="C241" s="6" t="s">
        <v>4</v>
      </c>
      <c r="D241" s="5" t="s">
        <v>5</v>
      </c>
      <c r="E241" s="7" t="s">
        <v>6</v>
      </c>
      <c r="F241" s="7" t="s">
        <v>7</v>
      </c>
      <c r="G241" s="7" t="s">
        <v>8</v>
      </c>
      <c r="H241" s="7" t="s">
        <v>9</v>
      </c>
      <c r="I241" s="8"/>
    </row>
    <row r="242" spans="1:9" ht="18.75" x14ac:dyDescent="0.25">
      <c r="A242" s="4"/>
      <c r="B242" s="9" t="s">
        <v>146</v>
      </c>
      <c r="C242" s="10">
        <v>133891</v>
      </c>
      <c r="D242" s="11" t="s">
        <v>139</v>
      </c>
      <c r="E242" s="12" t="s">
        <v>260</v>
      </c>
      <c r="F242" s="9" t="s">
        <v>293</v>
      </c>
      <c r="G242" s="11">
        <v>715847152</v>
      </c>
      <c r="H242" s="14">
        <v>157600</v>
      </c>
      <c r="I242" s="8"/>
    </row>
    <row r="243" spans="1:9" ht="18.75" x14ac:dyDescent="0.25">
      <c r="A243" s="4"/>
      <c r="B243" s="33" t="s">
        <v>221</v>
      </c>
      <c r="C243" s="10">
        <v>134481</v>
      </c>
      <c r="D243" s="34" t="s">
        <v>222</v>
      </c>
      <c r="E243" s="12" t="s">
        <v>260</v>
      </c>
      <c r="F243" s="9" t="s">
        <v>293</v>
      </c>
      <c r="G243" s="11">
        <v>715847153</v>
      </c>
      <c r="H243" s="35">
        <v>30100</v>
      </c>
      <c r="I243" s="8"/>
    </row>
    <row r="244" spans="1:9" ht="18.75" x14ac:dyDescent="0.25">
      <c r="A244" s="4"/>
      <c r="B244" s="33" t="s">
        <v>244</v>
      </c>
      <c r="C244" s="10">
        <v>134496</v>
      </c>
      <c r="D244" s="34" t="s">
        <v>222</v>
      </c>
      <c r="E244" s="12" t="s">
        <v>260</v>
      </c>
      <c r="F244" s="9" t="s">
        <v>293</v>
      </c>
      <c r="G244" s="11">
        <v>715847154</v>
      </c>
      <c r="H244" s="35">
        <v>279600</v>
      </c>
      <c r="I244" s="8"/>
    </row>
    <row r="245" spans="1:9" ht="18.75" x14ac:dyDescent="0.25">
      <c r="A245" s="4"/>
      <c r="B245" s="5"/>
      <c r="C245" s="21"/>
      <c r="D245" s="5"/>
      <c r="E245" s="27"/>
      <c r="F245" s="7"/>
      <c r="G245" s="7"/>
      <c r="H245" s="7"/>
      <c r="I245" s="8"/>
    </row>
    <row r="246" spans="1:9" ht="18.75" x14ac:dyDescent="0.25">
      <c r="A246" s="4"/>
      <c r="B246" s="5"/>
      <c r="C246" s="32"/>
      <c r="D246" s="5"/>
      <c r="E246" s="7"/>
      <c r="F246" s="7"/>
      <c r="G246" s="7"/>
      <c r="H246" s="130">
        <f>SUM(H242:H245)</f>
        <v>467300</v>
      </c>
      <c r="I246" s="8"/>
    </row>
    <row r="247" spans="1:9" ht="18.75" x14ac:dyDescent="0.25">
      <c r="A247" s="62" t="s">
        <v>34</v>
      </c>
      <c r="B247" s="5" t="s">
        <v>3</v>
      </c>
      <c r="C247" s="6" t="s">
        <v>4</v>
      </c>
      <c r="D247" s="5" t="s">
        <v>5</v>
      </c>
      <c r="E247" s="7" t="s">
        <v>6</v>
      </c>
      <c r="F247" s="7" t="s">
        <v>7</v>
      </c>
      <c r="G247" s="7" t="s">
        <v>8</v>
      </c>
      <c r="H247" s="7" t="s">
        <v>9</v>
      </c>
      <c r="I247" s="8"/>
    </row>
    <row r="248" spans="1:9" ht="18.75" x14ac:dyDescent="0.25">
      <c r="A248" s="4"/>
      <c r="B248" s="33" t="s">
        <v>165</v>
      </c>
      <c r="C248" s="10">
        <v>134455</v>
      </c>
      <c r="D248" s="34" t="s">
        <v>166</v>
      </c>
      <c r="E248" s="12" t="s">
        <v>11</v>
      </c>
      <c r="F248" s="33" t="s">
        <v>278</v>
      </c>
      <c r="G248" s="34">
        <v>725203573</v>
      </c>
      <c r="H248" s="35">
        <v>14060</v>
      </c>
      <c r="I248" s="8"/>
    </row>
    <row r="249" spans="1:9" ht="18.75" x14ac:dyDescent="0.25">
      <c r="A249" s="4"/>
      <c r="B249" s="33" t="s">
        <v>39</v>
      </c>
      <c r="C249" s="10" t="s">
        <v>29</v>
      </c>
      <c r="D249" s="34" t="s">
        <v>199</v>
      </c>
      <c r="E249" s="34" t="s">
        <v>264</v>
      </c>
      <c r="F249" s="33" t="s">
        <v>279</v>
      </c>
      <c r="G249" s="34">
        <v>733521300</v>
      </c>
      <c r="H249" s="35">
        <v>97000</v>
      </c>
      <c r="I249" s="8"/>
    </row>
    <row r="250" spans="1:9" ht="18.75" x14ac:dyDescent="0.25">
      <c r="A250" s="4"/>
      <c r="B250" s="33" t="s">
        <v>165</v>
      </c>
      <c r="C250" s="10">
        <v>134477</v>
      </c>
      <c r="D250" s="34" t="s">
        <v>166</v>
      </c>
      <c r="E250" s="12" t="s">
        <v>11</v>
      </c>
      <c r="F250" s="33" t="s">
        <v>278</v>
      </c>
      <c r="G250" s="34">
        <v>725203573</v>
      </c>
      <c r="H250" s="35">
        <v>35622.449999999997</v>
      </c>
      <c r="I250" s="8"/>
    </row>
    <row r="251" spans="1:9" ht="18.75" x14ac:dyDescent="0.25">
      <c r="A251" s="4"/>
      <c r="B251" s="33" t="s">
        <v>165</v>
      </c>
      <c r="C251" s="10">
        <v>134485</v>
      </c>
      <c r="D251" s="34" t="s">
        <v>166</v>
      </c>
      <c r="E251" s="12" t="s">
        <v>11</v>
      </c>
      <c r="F251" s="33" t="s">
        <v>278</v>
      </c>
      <c r="G251" s="34">
        <v>725203573</v>
      </c>
      <c r="H251" s="35">
        <v>22034.9</v>
      </c>
      <c r="I251" s="8"/>
    </row>
    <row r="252" spans="1:9" ht="18.75" x14ac:dyDescent="0.25">
      <c r="A252" s="4"/>
      <c r="B252" s="33" t="s">
        <v>39</v>
      </c>
      <c r="C252" s="10" t="s">
        <v>29</v>
      </c>
      <c r="D252" s="34" t="s">
        <v>199</v>
      </c>
      <c r="E252" s="12" t="s">
        <v>264</v>
      </c>
      <c r="F252" s="33" t="s">
        <v>279</v>
      </c>
      <c r="G252" s="34">
        <v>733521300</v>
      </c>
      <c r="H252" s="35">
        <v>120800</v>
      </c>
      <c r="I252" s="8"/>
    </row>
    <row r="253" spans="1:9" ht="18.75" x14ac:dyDescent="0.25">
      <c r="A253" s="4"/>
      <c r="B253" s="33" t="s">
        <v>40</v>
      </c>
      <c r="C253" s="10">
        <v>134489</v>
      </c>
      <c r="D253" s="34" t="s">
        <v>166</v>
      </c>
      <c r="E253" s="12" t="s">
        <v>11</v>
      </c>
      <c r="F253" s="33" t="s">
        <v>278</v>
      </c>
      <c r="G253" s="34">
        <v>725203573</v>
      </c>
      <c r="H253" s="35">
        <v>597547.5</v>
      </c>
      <c r="I253" s="8"/>
    </row>
    <row r="254" spans="1:9" ht="18.75" x14ac:dyDescent="0.25">
      <c r="A254" s="4"/>
      <c r="B254" s="33" t="s">
        <v>39</v>
      </c>
      <c r="C254" s="46" t="s">
        <v>29</v>
      </c>
      <c r="D254" s="34" t="s">
        <v>199</v>
      </c>
      <c r="E254" s="12" t="s">
        <v>264</v>
      </c>
      <c r="F254" s="33" t="s">
        <v>279</v>
      </c>
      <c r="G254" s="34">
        <v>733521300</v>
      </c>
      <c r="H254" s="35">
        <v>97600</v>
      </c>
      <c r="I254" s="8"/>
    </row>
    <row r="255" spans="1:9" ht="18.75" x14ac:dyDescent="0.25">
      <c r="A255" s="4"/>
      <c r="B255" s="105"/>
      <c r="C255" s="106"/>
      <c r="D255" s="107"/>
      <c r="E255" s="108"/>
      <c r="F255" s="105"/>
      <c r="G255" s="107"/>
      <c r="H255" s="109">
        <f>SUM(H248:H254)</f>
        <v>984664.85</v>
      </c>
      <c r="I255" s="8"/>
    </row>
    <row r="256" spans="1:9" ht="18.75" x14ac:dyDescent="0.25">
      <c r="A256" s="4"/>
      <c r="B256" s="63"/>
      <c r="C256" s="63"/>
      <c r="D256" s="63"/>
      <c r="E256" s="63"/>
      <c r="F256" s="63"/>
      <c r="G256" s="63"/>
      <c r="H256" s="63"/>
      <c r="I256" s="8"/>
    </row>
    <row r="257" spans="1:9" ht="56.25" x14ac:dyDescent="0.25">
      <c r="A257" s="110" t="s">
        <v>35</v>
      </c>
      <c r="B257" s="5" t="s">
        <v>3</v>
      </c>
      <c r="C257" s="6" t="s">
        <v>4</v>
      </c>
      <c r="D257" s="5" t="s">
        <v>5</v>
      </c>
      <c r="E257" s="7" t="s">
        <v>6</v>
      </c>
      <c r="F257" s="7" t="s">
        <v>7</v>
      </c>
      <c r="G257" s="7" t="s">
        <v>8</v>
      </c>
      <c r="H257" s="7" t="s">
        <v>9</v>
      </c>
      <c r="I257" s="8"/>
    </row>
    <row r="258" spans="1:9" ht="18.75" x14ac:dyDescent="0.25">
      <c r="A258" s="4"/>
      <c r="B258" s="5"/>
      <c r="C258" s="6"/>
      <c r="D258" s="5"/>
      <c r="E258" s="7"/>
      <c r="F258" s="7"/>
      <c r="G258" s="7"/>
      <c r="H258" s="7"/>
      <c r="I258" s="8"/>
    </row>
    <row r="259" spans="1:9" ht="18.75" x14ac:dyDescent="0.25">
      <c r="A259" s="4"/>
      <c r="B259" s="5"/>
      <c r="C259" s="6"/>
      <c r="D259" s="5"/>
      <c r="E259" s="7"/>
      <c r="F259" s="7"/>
      <c r="G259" s="7"/>
      <c r="H259" s="7"/>
      <c r="I259" s="8"/>
    </row>
    <row r="260" spans="1:9" ht="18.75" x14ac:dyDescent="0.25">
      <c r="A260" s="4"/>
      <c r="B260" s="5"/>
      <c r="C260" s="6"/>
      <c r="D260" s="5"/>
      <c r="E260" s="7"/>
      <c r="F260" s="7"/>
      <c r="G260" s="7"/>
      <c r="H260" s="7"/>
      <c r="I260" s="8"/>
    </row>
    <row r="261" spans="1:9" ht="37.5" x14ac:dyDescent="0.25">
      <c r="A261" s="110" t="s">
        <v>36</v>
      </c>
      <c r="B261" s="37"/>
      <c r="C261" s="38"/>
      <c r="D261" s="39"/>
      <c r="E261" s="40"/>
      <c r="F261" s="41"/>
      <c r="G261" s="41"/>
      <c r="H261" s="42"/>
      <c r="I261" s="8"/>
    </row>
    <row r="262" spans="1:9" ht="18.75" x14ac:dyDescent="0.25">
      <c r="A262" s="4"/>
      <c r="B262" s="9"/>
      <c r="C262" s="10"/>
      <c r="D262" s="11"/>
      <c r="E262" s="40"/>
      <c r="F262" s="41"/>
      <c r="G262" s="41"/>
      <c r="H262" s="14"/>
      <c r="I262" s="8"/>
    </row>
    <row r="263" spans="1:9" ht="18.75" x14ac:dyDescent="0.25">
      <c r="A263" s="4"/>
      <c r="B263" s="43"/>
      <c r="C263" s="43"/>
      <c r="D263" s="43"/>
      <c r="E263" s="40"/>
      <c r="F263" s="13"/>
      <c r="G263" s="13"/>
      <c r="H263" s="44"/>
      <c r="I263" s="8"/>
    </row>
    <row r="264" spans="1:9" ht="18.75" x14ac:dyDescent="0.25">
      <c r="A264" s="4"/>
      <c r="B264" s="43"/>
      <c r="C264" s="43"/>
      <c r="D264" s="43"/>
      <c r="E264" s="40"/>
      <c r="F264" s="13"/>
      <c r="G264" s="13"/>
      <c r="H264" s="44"/>
      <c r="I264" s="8"/>
    </row>
    <row r="265" spans="1:9" ht="18.75" x14ac:dyDescent="0.25">
      <c r="A265" s="4"/>
      <c r="B265" s="9"/>
      <c r="C265" s="10"/>
      <c r="D265" s="11"/>
      <c r="E265" s="40"/>
      <c r="F265" s="13"/>
      <c r="G265" s="13"/>
      <c r="H265" s="14"/>
      <c r="I265" s="8"/>
    </row>
    <row r="266" spans="1:9" ht="18.75" x14ac:dyDescent="0.25">
      <c r="A266" s="110" t="s">
        <v>266</v>
      </c>
      <c r="B266" s="5" t="s">
        <v>3</v>
      </c>
      <c r="C266" s="6" t="s">
        <v>4</v>
      </c>
      <c r="D266" s="5" t="s">
        <v>5</v>
      </c>
      <c r="E266" s="7" t="s">
        <v>6</v>
      </c>
      <c r="F266" s="7" t="s">
        <v>7</v>
      </c>
      <c r="G266" s="7" t="s">
        <v>8</v>
      </c>
      <c r="H266" s="7" t="s">
        <v>9</v>
      </c>
      <c r="I266" s="8"/>
    </row>
    <row r="267" spans="1:9" ht="18.75" x14ac:dyDescent="0.25">
      <c r="A267" s="4"/>
      <c r="B267" s="33" t="s">
        <v>169</v>
      </c>
      <c r="C267" s="10">
        <v>134457</v>
      </c>
      <c r="D267" s="34" t="s">
        <v>37</v>
      </c>
      <c r="E267" s="12" t="s">
        <v>264</v>
      </c>
      <c r="F267" s="33" t="s">
        <v>292</v>
      </c>
      <c r="G267" s="34">
        <v>716010725</v>
      </c>
      <c r="H267" s="35">
        <v>18620</v>
      </c>
      <c r="I267" s="8"/>
    </row>
    <row r="268" spans="1:9" ht="18.75" x14ac:dyDescent="0.25">
      <c r="A268" s="4"/>
      <c r="B268" s="33" t="s">
        <v>169</v>
      </c>
      <c r="C268" s="10">
        <v>134458</v>
      </c>
      <c r="D268" s="34" t="s">
        <v>170</v>
      </c>
      <c r="E268" s="12" t="s">
        <v>11</v>
      </c>
      <c r="F268" s="33" t="s">
        <v>291</v>
      </c>
      <c r="G268" s="34">
        <v>722890964</v>
      </c>
      <c r="H268" s="35">
        <v>626000</v>
      </c>
      <c r="I268" s="8"/>
    </row>
    <row r="269" spans="1:9" ht="18.75" x14ac:dyDescent="0.25">
      <c r="A269" s="4"/>
      <c r="B269" s="33" t="s">
        <v>169</v>
      </c>
      <c r="C269" s="10">
        <v>134459</v>
      </c>
      <c r="D269" s="34" t="s">
        <v>171</v>
      </c>
      <c r="E269" s="12" t="s">
        <v>12</v>
      </c>
      <c r="F269" s="33" t="s">
        <v>290</v>
      </c>
      <c r="G269" s="34">
        <v>722809150</v>
      </c>
      <c r="H269" s="35">
        <v>17000</v>
      </c>
      <c r="I269" s="8"/>
    </row>
    <row r="270" spans="1:9" ht="18" x14ac:dyDescent="0.25">
      <c r="B270" s="33" t="s">
        <v>169</v>
      </c>
      <c r="C270" s="10">
        <v>134490</v>
      </c>
      <c r="D270" s="34" t="s">
        <v>156</v>
      </c>
      <c r="E270" s="12" t="s">
        <v>12</v>
      </c>
      <c r="F270" s="33" t="s">
        <v>289</v>
      </c>
      <c r="G270" s="34">
        <v>724837769</v>
      </c>
      <c r="H270" s="35">
        <v>70800</v>
      </c>
      <c r="I270" s="8"/>
    </row>
    <row r="271" spans="1:9" ht="18.75" x14ac:dyDescent="0.25">
      <c r="A271" s="4"/>
      <c r="B271" s="33"/>
      <c r="C271" s="10"/>
      <c r="D271" s="11"/>
      <c r="E271" s="12"/>
      <c r="F271" s="13"/>
      <c r="G271" s="13"/>
      <c r="H271" s="14"/>
      <c r="I271" s="8"/>
    </row>
    <row r="272" spans="1:9" ht="18.75" x14ac:dyDescent="0.25">
      <c r="A272" s="45"/>
      <c r="B272" s="66"/>
      <c r="C272" s="66"/>
      <c r="D272" s="66"/>
      <c r="E272" s="66"/>
      <c r="F272" s="66"/>
      <c r="G272" s="66"/>
      <c r="H272" s="141">
        <f>SUM(H267:H271)</f>
        <v>732420</v>
      </c>
      <c r="I272" s="8"/>
    </row>
    <row r="273" spans="1:9" ht="36" x14ac:dyDescent="0.25">
      <c r="A273" s="111" t="s">
        <v>38</v>
      </c>
      <c r="B273" s="5" t="s">
        <v>3</v>
      </c>
      <c r="C273" s="6" t="s">
        <v>4</v>
      </c>
      <c r="D273" s="5" t="s">
        <v>5</v>
      </c>
      <c r="E273" s="7" t="s">
        <v>6</v>
      </c>
      <c r="F273" s="7" t="s">
        <v>7</v>
      </c>
      <c r="G273" s="7" t="s">
        <v>8</v>
      </c>
      <c r="H273" s="7" t="s">
        <v>9</v>
      </c>
      <c r="I273" s="8"/>
    </row>
    <row r="274" spans="1:9" ht="18.75" x14ac:dyDescent="0.25">
      <c r="A274" s="4"/>
      <c r="B274" s="9"/>
      <c r="C274" s="10"/>
      <c r="D274" s="11"/>
      <c r="E274" s="12"/>
      <c r="F274" s="9"/>
      <c r="G274" s="11"/>
      <c r="H274" s="14"/>
      <c r="I274" s="8"/>
    </row>
    <row r="275" spans="1:9" ht="18.75" x14ac:dyDescent="0.25">
      <c r="A275" s="4"/>
      <c r="B275" s="9"/>
      <c r="C275" s="10"/>
      <c r="D275" s="11"/>
      <c r="E275" s="12"/>
      <c r="F275" s="9"/>
      <c r="G275" s="11"/>
      <c r="H275" s="14"/>
      <c r="I275" s="8"/>
    </row>
    <row r="276" spans="1:9" ht="18.75" x14ac:dyDescent="0.25">
      <c r="A276" s="4"/>
      <c r="B276" s="9"/>
      <c r="C276" s="10"/>
      <c r="D276" s="11"/>
      <c r="E276" s="12"/>
      <c r="F276" s="48"/>
      <c r="G276" s="47"/>
      <c r="H276" s="14"/>
      <c r="I276" s="8"/>
    </row>
    <row r="277" spans="1:9" ht="18.75" x14ac:dyDescent="0.25">
      <c r="A277" s="45"/>
      <c r="B277" s="9"/>
      <c r="C277" s="10"/>
      <c r="D277" s="11"/>
      <c r="E277" s="12"/>
      <c r="F277" s="9"/>
      <c r="G277" s="11"/>
      <c r="H277" s="14"/>
      <c r="I277" s="8"/>
    </row>
    <row r="278" spans="1:9" ht="18.75" x14ac:dyDescent="0.25">
      <c r="A278" s="62" t="s">
        <v>41</v>
      </c>
      <c r="B278" s="5" t="s">
        <v>3</v>
      </c>
      <c r="C278" s="6" t="s">
        <v>4</v>
      </c>
      <c r="D278" s="5" t="s">
        <v>5</v>
      </c>
      <c r="E278" s="7" t="s">
        <v>6</v>
      </c>
      <c r="F278" s="7" t="s">
        <v>7</v>
      </c>
      <c r="G278" s="7" t="s">
        <v>8</v>
      </c>
      <c r="H278" s="7" t="s">
        <v>9</v>
      </c>
      <c r="I278" s="8"/>
    </row>
    <row r="279" spans="1:9" ht="31.5" x14ac:dyDescent="0.25">
      <c r="A279" s="4"/>
      <c r="B279" s="9" t="s">
        <v>42</v>
      </c>
      <c r="C279" s="10">
        <v>133892</v>
      </c>
      <c r="D279" s="101" t="s">
        <v>147</v>
      </c>
      <c r="E279" s="12" t="s">
        <v>11</v>
      </c>
      <c r="F279" s="9" t="s">
        <v>286</v>
      </c>
      <c r="G279" s="101" t="s">
        <v>287</v>
      </c>
      <c r="H279" s="14">
        <v>29000</v>
      </c>
      <c r="I279" s="8"/>
    </row>
    <row r="280" spans="1:9" ht="31.5" x14ac:dyDescent="0.25">
      <c r="A280" s="4"/>
      <c r="B280" s="9" t="s">
        <v>42</v>
      </c>
      <c r="C280" s="10">
        <v>134498</v>
      </c>
      <c r="D280" s="101" t="s">
        <v>147</v>
      </c>
      <c r="E280" s="12" t="s">
        <v>11</v>
      </c>
      <c r="F280" s="9" t="s">
        <v>286</v>
      </c>
      <c r="G280" s="101" t="s">
        <v>288</v>
      </c>
      <c r="H280" s="35">
        <v>29000</v>
      </c>
      <c r="I280" s="8"/>
    </row>
    <row r="281" spans="1:9" ht="18.75" x14ac:dyDescent="0.25">
      <c r="A281" s="4"/>
      <c r="B281" s="9"/>
      <c r="C281" s="10"/>
      <c r="D281" s="11"/>
      <c r="E281" s="12"/>
      <c r="F281" s="9"/>
      <c r="G281" s="11"/>
      <c r="H281" s="14"/>
      <c r="I281" s="8"/>
    </row>
    <row r="282" spans="1:9" ht="18.75" x14ac:dyDescent="0.25">
      <c r="A282" s="4"/>
      <c r="B282" s="5"/>
      <c r="C282" s="21"/>
      <c r="D282" s="5"/>
      <c r="E282" s="27"/>
      <c r="F282" s="27"/>
      <c r="G282" s="7"/>
      <c r="H282" s="130">
        <f>SUM(H279:H281)</f>
        <v>58000</v>
      </c>
      <c r="I282" s="8"/>
    </row>
    <row r="283" spans="1:9" ht="37.5" x14ac:dyDescent="0.3">
      <c r="A283" s="112" t="s">
        <v>267</v>
      </c>
      <c r="B283" s="5" t="s">
        <v>3</v>
      </c>
      <c r="C283" s="6" t="s">
        <v>4</v>
      </c>
      <c r="D283" s="5" t="s">
        <v>5</v>
      </c>
      <c r="E283" s="7" t="s">
        <v>6</v>
      </c>
      <c r="F283" s="7" t="s">
        <v>7</v>
      </c>
      <c r="G283" s="7" t="s">
        <v>8</v>
      </c>
      <c r="H283" s="7" t="s">
        <v>9</v>
      </c>
      <c r="I283" s="8"/>
    </row>
    <row r="284" spans="1:9" ht="18.75" x14ac:dyDescent="0.25">
      <c r="A284" s="4"/>
      <c r="B284" s="5"/>
      <c r="C284" s="32"/>
      <c r="D284" s="5"/>
      <c r="E284" s="7"/>
      <c r="F284" s="7"/>
      <c r="G284" s="7"/>
      <c r="H284" s="7"/>
      <c r="I284" s="8"/>
    </row>
    <row r="285" spans="1:9" ht="18.75" x14ac:dyDescent="0.25">
      <c r="A285" s="4"/>
      <c r="B285" s="5"/>
      <c r="C285" s="32"/>
      <c r="D285" s="5"/>
      <c r="E285" s="7"/>
      <c r="F285" s="7"/>
      <c r="G285" s="7"/>
      <c r="H285" s="7"/>
      <c r="I285" s="8"/>
    </row>
    <row r="286" spans="1:9" ht="18.75" x14ac:dyDescent="0.25">
      <c r="A286" s="4"/>
      <c r="B286" s="5"/>
      <c r="C286" s="32"/>
      <c r="D286" s="5"/>
      <c r="E286" s="7"/>
      <c r="F286" s="7"/>
      <c r="G286" s="7"/>
      <c r="H286" s="7"/>
      <c r="I286" s="8"/>
    </row>
    <row r="287" spans="1:9" ht="18.75" x14ac:dyDescent="0.25">
      <c r="A287" s="4"/>
      <c r="B287" s="63"/>
      <c r="C287" s="63"/>
      <c r="D287" s="63"/>
      <c r="E287" s="63"/>
      <c r="F287" s="63"/>
      <c r="G287" s="63"/>
      <c r="H287" s="64"/>
      <c r="I287" s="8"/>
    </row>
    <row r="288" spans="1:9" ht="18.75" x14ac:dyDescent="0.25">
      <c r="A288" s="62" t="s">
        <v>43</v>
      </c>
      <c r="B288" s="5" t="s">
        <v>3</v>
      </c>
      <c r="C288" s="6" t="s">
        <v>4</v>
      </c>
      <c r="D288" s="5" t="s">
        <v>5</v>
      </c>
      <c r="E288" s="7" t="s">
        <v>6</v>
      </c>
      <c r="F288" s="7" t="s">
        <v>7</v>
      </c>
      <c r="G288" s="7" t="s">
        <v>8</v>
      </c>
      <c r="H288" s="7" t="s">
        <v>9</v>
      </c>
      <c r="I288" s="8"/>
    </row>
    <row r="289" spans="1:9" ht="18.75" x14ac:dyDescent="0.25">
      <c r="A289" s="4"/>
      <c r="B289" s="5"/>
      <c r="C289" s="32"/>
      <c r="D289" s="5"/>
      <c r="E289" s="7"/>
      <c r="F289" s="7"/>
      <c r="G289" s="7"/>
      <c r="H289" s="7"/>
      <c r="I289" s="8"/>
    </row>
    <row r="290" spans="1:9" ht="18.75" x14ac:dyDescent="0.25">
      <c r="A290" s="4"/>
      <c r="B290" s="5"/>
      <c r="C290" s="32"/>
      <c r="D290" s="5"/>
      <c r="E290" s="7"/>
      <c r="F290" s="7"/>
      <c r="G290" s="7"/>
      <c r="H290" s="7"/>
      <c r="I290" s="8"/>
    </row>
    <row r="291" spans="1:9" ht="18.75" x14ac:dyDescent="0.25">
      <c r="A291" s="4"/>
      <c r="B291" s="5"/>
      <c r="C291" s="32"/>
      <c r="D291" s="5"/>
      <c r="E291" s="7"/>
      <c r="F291" s="7"/>
      <c r="G291" s="7"/>
      <c r="H291" s="7"/>
      <c r="I291" s="8"/>
    </row>
    <row r="292" spans="1:9" ht="18.75" x14ac:dyDescent="0.25">
      <c r="A292" s="4"/>
      <c r="B292" s="63"/>
      <c r="C292" s="63"/>
      <c r="D292" s="63"/>
      <c r="E292" s="63"/>
      <c r="F292" s="63"/>
      <c r="G292" s="63"/>
      <c r="H292" s="64"/>
      <c r="I292" s="8"/>
    </row>
    <row r="293" spans="1:9" ht="18.75" x14ac:dyDescent="0.25">
      <c r="A293" s="62" t="s">
        <v>44</v>
      </c>
      <c r="B293" s="5" t="s">
        <v>3</v>
      </c>
      <c r="C293" s="6" t="s">
        <v>4</v>
      </c>
      <c r="D293" s="5" t="s">
        <v>5</v>
      </c>
      <c r="E293" s="7" t="s">
        <v>6</v>
      </c>
      <c r="F293" s="7" t="s">
        <v>7</v>
      </c>
      <c r="G293" s="7" t="s">
        <v>8</v>
      </c>
      <c r="H293" s="7" t="s">
        <v>9</v>
      </c>
      <c r="I293" s="8"/>
    </row>
    <row r="294" spans="1:9" ht="18.75" x14ac:dyDescent="0.25">
      <c r="A294" s="4"/>
      <c r="B294" s="5"/>
      <c r="C294" s="32"/>
      <c r="D294" s="5"/>
      <c r="E294" s="7"/>
      <c r="F294" s="7"/>
      <c r="G294" s="7"/>
      <c r="H294" s="7"/>
      <c r="I294" s="8"/>
    </row>
    <row r="295" spans="1:9" ht="18.75" x14ac:dyDescent="0.25">
      <c r="A295" s="4"/>
      <c r="B295" s="5"/>
      <c r="C295" s="32"/>
      <c r="D295" s="5"/>
      <c r="E295" s="7"/>
      <c r="F295" s="7"/>
      <c r="G295" s="7"/>
      <c r="H295" s="7"/>
      <c r="I295" s="8"/>
    </row>
    <row r="296" spans="1:9" ht="18.75" x14ac:dyDescent="0.25">
      <c r="A296" s="4"/>
      <c r="B296" s="5"/>
      <c r="C296" s="32"/>
      <c r="D296" s="5"/>
      <c r="E296" s="7"/>
      <c r="F296" s="7"/>
      <c r="G296" s="7"/>
      <c r="H296" s="7"/>
      <c r="I296" s="8"/>
    </row>
    <row r="297" spans="1:9" ht="18.75" x14ac:dyDescent="0.25">
      <c r="A297" s="4"/>
      <c r="B297" s="63"/>
      <c r="C297" s="63"/>
      <c r="D297" s="63"/>
      <c r="E297" s="63"/>
      <c r="F297" s="63"/>
      <c r="G297" s="63"/>
      <c r="H297" s="64"/>
      <c r="I297" s="8"/>
    </row>
    <row r="298" spans="1:9" ht="18.75" x14ac:dyDescent="0.25">
      <c r="A298" s="62" t="s">
        <v>45</v>
      </c>
      <c r="B298" s="5" t="s">
        <v>3</v>
      </c>
      <c r="C298" s="6" t="s">
        <v>4</v>
      </c>
      <c r="D298" s="5" t="s">
        <v>5</v>
      </c>
      <c r="E298" s="7" t="s">
        <v>6</v>
      </c>
      <c r="F298" s="7" t="s">
        <v>7</v>
      </c>
      <c r="G298" s="7" t="s">
        <v>8</v>
      </c>
      <c r="H298" s="7" t="s">
        <v>9</v>
      </c>
      <c r="I298" s="8"/>
    </row>
    <row r="299" spans="1:9" ht="18.75" x14ac:dyDescent="0.25">
      <c r="A299" s="4"/>
      <c r="B299" s="5"/>
      <c r="C299" s="32"/>
      <c r="D299" s="5"/>
      <c r="E299" s="7"/>
      <c r="F299" s="7"/>
      <c r="G299" s="7"/>
      <c r="H299" s="7"/>
      <c r="I299" s="8"/>
    </row>
    <row r="300" spans="1:9" ht="18.75" x14ac:dyDescent="0.25">
      <c r="A300" s="4"/>
      <c r="B300" s="5"/>
      <c r="C300" s="32"/>
      <c r="D300" s="5"/>
      <c r="E300" s="7"/>
      <c r="F300" s="7"/>
      <c r="G300" s="7"/>
      <c r="H300" s="7"/>
      <c r="I300" s="8"/>
    </row>
    <row r="301" spans="1:9" ht="18.75" x14ac:dyDescent="0.25">
      <c r="A301" s="4"/>
      <c r="B301" s="63"/>
      <c r="C301" s="63"/>
      <c r="D301" s="63"/>
      <c r="E301" s="63"/>
      <c r="F301" s="63"/>
      <c r="G301" s="63"/>
      <c r="H301" s="64"/>
      <c r="I301" s="8"/>
    </row>
    <row r="302" spans="1:9" ht="18.75" x14ac:dyDescent="0.25">
      <c r="A302" s="62" t="s">
        <v>46</v>
      </c>
      <c r="B302" s="5" t="s">
        <v>3</v>
      </c>
      <c r="C302" s="6" t="s">
        <v>4</v>
      </c>
      <c r="D302" s="5" t="s">
        <v>5</v>
      </c>
      <c r="E302" s="7" t="s">
        <v>6</v>
      </c>
      <c r="F302" s="7" t="s">
        <v>7</v>
      </c>
      <c r="G302" s="7" t="s">
        <v>8</v>
      </c>
      <c r="H302" s="7" t="s">
        <v>9</v>
      </c>
      <c r="I302" s="8"/>
    </row>
    <row r="303" spans="1:9" ht="18.75" x14ac:dyDescent="0.25">
      <c r="A303" s="4"/>
      <c r="B303" s="49"/>
      <c r="C303" s="50"/>
      <c r="D303" s="51"/>
      <c r="E303" s="8"/>
      <c r="F303" s="8"/>
      <c r="G303" s="8"/>
      <c r="H303" s="8"/>
      <c r="I303" s="8"/>
    </row>
    <row r="304" spans="1:9" ht="18.75" x14ac:dyDescent="0.25">
      <c r="A304" s="4"/>
      <c r="B304" s="5"/>
      <c r="C304" s="32"/>
      <c r="D304" s="5"/>
      <c r="E304" s="7"/>
      <c r="F304" s="7"/>
      <c r="G304" s="7"/>
      <c r="H304" s="7"/>
      <c r="I304" s="8"/>
    </row>
    <row r="305" spans="1:9" ht="18.75" x14ac:dyDescent="0.25">
      <c r="A305" s="4"/>
      <c r="B305" s="5"/>
      <c r="C305" s="32"/>
      <c r="D305" s="5"/>
      <c r="E305" s="7"/>
      <c r="F305" s="7"/>
      <c r="G305" s="7"/>
      <c r="H305" s="7"/>
      <c r="I305" s="8"/>
    </row>
    <row r="306" spans="1:9" ht="18.75" x14ac:dyDescent="0.25">
      <c r="A306" s="4"/>
      <c r="B306" s="63"/>
      <c r="C306" s="63"/>
      <c r="D306" s="63"/>
      <c r="E306" s="63"/>
      <c r="F306" s="63"/>
      <c r="G306" s="63"/>
      <c r="H306" s="63"/>
      <c r="I306" s="8"/>
    </row>
    <row r="307" spans="1:9" ht="18.75" x14ac:dyDescent="0.25">
      <c r="A307" s="62" t="s">
        <v>47</v>
      </c>
      <c r="B307" s="5" t="s">
        <v>3</v>
      </c>
      <c r="C307" s="6" t="s">
        <v>4</v>
      </c>
      <c r="D307" s="5" t="s">
        <v>5</v>
      </c>
      <c r="E307" s="7" t="s">
        <v>6</v>
      </c>
      <c r="F307" s="7" t="s">
        <v>7</v>
      </c>
      <c r="G307" s="7" t="s">
        <v>8</v>
      </c>
      <c r="H307" s="7" t="s">
        <v>9</v>
      </c>
      <c r="I307" s="8"/>
    </row>
    <row r="308" spans="1:9" ht="18.75" x14ac:dyDescent="0.25">
      <c r="A308" s="4"/>
      <c r="B308" s="5"/>
      <c r="C308" s="32"/>
      <c r="D308" s="5"/>
      <c r="E308" s="7"/>
      <c r="F308" s="7"/>
      <c r="G308" s="7"/>
      <c r="H308" s="7"/>
      <c r="I308" s="8"/>
    </row>
    <row r="309" spans="1:9" ht="18.75" x14ac:dyDescent="0.25">
      <c r="A309" s="4"/>
      <c r="B309" s="5"/>
      <c r="C309" s="32"/>
      <c r="D309" s="5"/>
      <c r="E309" s="7"/>
      <c r="F309" s="7"/>
      <c r="G309" s="7"/>
      <c r="H309" s="7"/>
      <c r="I309" s="8"/>
    </row>
    <row r="310" spans="1:9" ht="18.75" x14ac:dyDescent="0.25">
      <c r="A310" s="4"/>
      <c r="B310" s="5"/>
      <c r="C310" s="32"/>
      <c r="D310" s="5"/>
      <c r="E310" s="7"/>
      <c r="F310" s="7"/>
      <c r="G310" s="7"/>
      <c r="H310" s="7"/>
      <c r="I310" s="8"/>
    </row>
    <row r="311" spans="1:9" ht="18.75" x14ac:dyDescent="0.25">
      <c r="A311" s="4"/>
      <c r="B311" s="63"/>
      <c r="C311" s="63"/>
      <c r="D311" s="63"/>
      <c r="E311" s="63"/>
      <c r="F311" s="63"/>
      <c r="G311" s="63"/>
      <c r="H311" s="63"/>
      <c r="I311" s="8"/>
    </row>
    <row r="312" spans="1:9" ht="18.75" x14ac:dyDescent="0.25">
      <c r="A312" s="62" t="s">
        <v>48</v>
      </c>
      <c r="B312" s="5" t="s">
        <v>3</v>
      </c>
      <c r="C312" s="6" t="s">
        <v>4</v>
      </c>
      <c r="D312" s="5" t="s">
        <v>5</v>
      </c>
      <c r="E312" s="7" t="s">
        <v>6</v>
      </c>
      <c r="F312" s="7" t="s">
        <v>7</v>
      </c>
      <c r="G312" s="7" t="s">
        <v>8</v>
      </c>
      <c r="H312" s="7" t="s">
        <v>9</v>
      </c>
      <c r="I312" s="8"/>
    </row>
    <row r="313" spans="1:9" ht="18.75" x14ac:dyDescent="0.25">
      <c r="A313" s="4"/>
      <c r="B313" s="33" t="s">
        <v>197</v>
      </c>
      <c r="C313" s="10" t="s">
        <v>29</v>
      </c>
      <c r="D313" s="34" t="s">
        <v>49</v>
      </c>
      <c r="E313" s="12" t="s">
        <v>11</v>
      </c>
      <c r="F313" s="33" t="s">
        <v>285</v>
      </c>
      <c r="G313" s="34" t="s">
        <v>282</v>
      </c>
      <c r="H313" s="35">
        <v>29098</v>
      </c>
      <c r="I313" s="8"/>
    </row>
    <row r="314" spans="1:9" ht="18.75" x14ac:dyDescent="0.25">
      <c r="A314" s="4"/>
      <c r="B314" s="33" t="s">
        <v>197</v>
      </c>
      <c r="C314" s="10" t="s">
        <v>29</v>
      </c>
      <c r="D314" s="34" t="s">
        <v>49</v>
      </c>
      <c r="E314" s="12" t="s">
        <v>11</v>
      </c>
      <c r="F314" s="33" t="s">
        <v>285</v>
      </c>
      <c r="G314" s="34" t="s">
        <v>283</v>
      </c>
      <c r="H314" s="35">
        <v>29098</v>
      </c>
      <c r="I314" s="8"/>
    </row>
    <row r="315" spans="1:9" ht="18.75" x14ac:dyDescent="0.25">
      <c r="A315" s="4"/>
      <c r="B315" s="33" t="s">
        <v>197</v>
      </c>
      <c r="C315" s="10" t="s">
        <v>29</v>
      </c>
      <c r="D315" s="34" t="s">
        <v>49</v>
      </c>
      <c r="E315" s="12" t="s">
        <v>11</v>
      </c>
      <c r="F315" s="33" t="s">
        <v>285</v>
      </c>
      <c r="G315" s="34" t="s">
        <v>284</v>
      </c>
      <c r="H315" s="35">
        <v>29098</v>
      </c>
      <c r="I315" s="8"/>
    </row>
    <row r="316" spans="1:9" ht="18" x14ac:dyDescent="0.25">
      <c r="B316" s="65"/>
      <c r="C316" s="65"/>
      <c r="D316" s="65"/>
      <c r="E316" s="65"/>
      <c r="F316" s="65"/>
      <c r="G316" s="65"/>
      <c r="H316" s="142">
        <f>SUM(H313:H315)</f>
        <v>87294</v>
      </c>
      <c r="I316" s="8"/>
    </row>
    <row r="317" spans="1:9" ht="36" x14ac:dyDescent="0.25">
      <c r="A317" s="129" t="s">
        <v>50</v>
      </c>
      <c r="B317" s="5" t="s">
        <v>3</v>
      </c>
      <c r="C317" s="6" t="s">
        <v>4</v>
      </c>
      <c r="D317" s="5" t="s">
        <v>5</v>
      </c>
      <c r="E317" s="7" t="s">
        <v>6</v>
      </c>
      <c r="F317" s="7" t="s">
        <v>7</v>
      </c>
      <c r="G317" s="7" t="s">
        <v>8</v>
      </c>
      <c r="H317" s="7" t="s">
        <v>9</v>
      </c>
      <c r="I317" s="8"/>
    </row>
    <row r="318" spans="1:9" ht="18.75" x14ac:dyDescent="0.25">
      <c r="A318" s="4"/>
      <c r="B318" s="5"/>
      <c r="C318" s="32"/>
      <c r="D318" s="5"/>
      <c r="E318" s="7"/>
      <c r="F318" s="7"/>
      <c r="G318" s="7"/>
      <c r="H318" s="7"/>
      <c r="I318" s="8"/>
    </row>
    <row r="319" spans="1:9" ht="18.75" x14ac:dyDescent="0.25">
      <c r="A319" s="4"/>
      <c r="B319" s="5"/>
      <c r="C319" s="32"/>
      <c r="D319" s="5"/>
      <c r="E319" s="7"/>
      <c r="F319" s="7"/>
      <c r="G319" s="7"/>
      <c r="H319" s="7"/>
      <c r="I319" s="8"/>
    </row>
    <row r="320" spans="1:9" ht="18.75" x14ac:dyDescent="0.25">
      <c r="A320" s="4"/>
      <c r="B320" s="5"/>
      <c r="C320" s="32"/>
      <c r="D320" s="5"/>
      <c r="E320" s="7"/>
      <c r="F320" s="7"/>
      <c r="G320" s="7"/>
      <c r="H320" s="7"/>
      <c r="I320" s="8"/>
    </row>
    <row r="321" spans="1:9" ht="18.75" x14ac:dyDescent="0.25">
      <c r="A321" s="4"/>
      <c r="B321" s="63"/>
      <c r="C321" s="63"/>
      <c r="D321" s="63"/>
      <c r="E321" s="63"/>
      <c r="F321" s="63"/>
      <c r="G321" s="63"/>
      <c r="H321" s="63"/>
      <c r="I321" s="8"/>
    </row>
    <row r="322" spans="1:9" ht="18.75" x14ac:dyDescent="0.25">
      <c r="A322" s="62" t="s">
        <v>51</v>
      </c>
      <c r="B322" s="5" t="s">
        <v>3</v>
      </c>
      <c r="C322" s="6" t="s">
        <v>4</v>
      </c>
      <c r="D322" s="5" t="s">
        <v>5</v>
      </c>
      <c r="E322" s="7" t="s">
        <v>6</v>
      </c>
      <c r="F322" s="7" t="s">
        <v>7</v>
      </c>
      <c r="G322" s="7" t="s">
        <v>8</v>
      </c>
      <c r="H322" s="7" t="s">
        <v>9</v>
      </c>
      <c r="I322" s="8"/>
    </row>
    <row r="323" spans="1:9" ht="18.75" x14ac:dyDescent="0.25">
      <c r="A323" s="4"/>
      <c r="B323" s="5"/>
      <c r="C323" s="21"/>
      <c r="D323" s="5"/>
      <c r="E323" s="7"/>
      <c r="F323" s="7"/>
      <c r="G323" s="7"/>
      <c r="H323" s="7"/>
      <c r="I323" s="8"/>
    </row>
    <row r="324" spans="1:9" ht="18.75" x14ac:dyDescent="0.25">
      <c r="A324" s="4"/>
      <c r="B324" s="5"/>
      <c r="C324" s="21"/>
      <c r="D324" s="5"/>
      <c r="E324" s="7"/>
      <c r="F324" s="7"/>
      <c r="G324" s="7"/>
      <c r="H324" s="7"/>
      <c r="I324" s="8"/>
    </row>
    <row r="325" spans="1:9" ht="18.75" x14ac:dyDescent="0.25">
      <c r="A325" s="4"/>
      <c r="B325" s="5"/>
      <c r="C325" s="21"/>
      <c r="D325" s="5"/>
      <c r="E325" s="7"/>
      <c r="F325" s="7"/>
      <c r="G325" s="7"/>
      <c r="H325" s="7"/>
      <c r="I325" s="8"/>
    </row>
    <row r="326" spans="1:9" ht="18.75" x14ac:dyDescent="0.25">
      <c r="A326" s="4"/>
      <c r="B326" s="5"/>
      <c r="C326" s="21"/>
      <c r="D326" s="5"/>
      <c r="E326" s="7"/>
      <c r="F326" s="7"/>
      <c r="G326" s="7"/>
      <c r="H326" s="7"/>
      <c r="I326" s="8"/>
    </row>
    <row r="327" spans="1:9" ht="37.5" x14ac:dyDescent="0.25">
      <c r="A327" s="110" t="s">
        <v>52</v>
      </c>
      <c r="B327" s="5" t="s">
        <v>3</v>
      </c>
      <c r="C327" s="6" t="s">
        <v>4</v>
      </c>
      <c r="D327" s="5" t="s">
        <v>5</v>
      </c>
      <c r="E327" s="7" t="s">
        <v>6</v>
      </c>
      <c r="F327" s="7" t="s">
        <v>7</v>
      </c>
      <c r="G327" s="7" t="s">
        <v>8</v>
      </c>
      <c r="H327" s="7" t="s">
        <v>9</v>
      </c>
      <c r="I327" s="8"/>
    </row>
    <row r="328" spans="1:9" ht="18.75" x14ac:dyDescent="0.25">
      <c r="A328" s="4"/>
      <c r="B328" s="52"/>
      <c r="C328" s="53"/>
      <c r="D328" s="54"/>
      <c r="E328" s="55"/>
      <c r="F328" s="9"/>
      <c r="G328" s="11"/>
      <c r="H328" s="56"/>
      <c r="I328" s="8"/>
    </row>
    <row r="329" spans="1:9" ht="18.75" x14ac:dyDescent="0.25">
      <c r="A329" s="4"/>
      <c r="B329" s="5"/>
      <c r="C329" s="57"/>
      <c r="D329" s="5"/>
      <c r="E329" s="27"/>
      <c r="F329" s="27"/>
      <c r="G329" s="27"/>
      <c r="H329" s="7"/>
      <c r="I329" s="8"/>
    </row>
    <row r="330" spans="1:9" ht="18.75" x14ac:dyDescent="0.25">
      <c r="A330" s="4"/>
      <c r="B330" s="5"/>
      <c r="C330" s="57"/>
      <c r="D330" s="5"/>
      <c r="E330" s="27"/>
      <c r="F330" s="27"/>
      <c r="G330" s="27"/>
      <c r="H330" s="7"/>
      <c r="I330" s="8"/>
    </row>
    <row r="331" spans="1:9" ht="36" x14ac:dyDescent="0.25">
      <c r="A331" s="129" t="s">
        <v>53</v>
      </c>
      <c r="B331" s="5" t="s">
        <v>3</v>
      </c>
      <c r="C331" s="6" t="s">
        <v>4</v>
      </c>
      <c r="D331" s="5" t="s">
        <v>5</v>
      </c>
      <c r="E331" s="7" t="s">
        <v>6</v>
      </c>
      <c r="F331" s="7" t="s">
        <v>7</v>
      </c>
      <c r="G331" s="7" t="s">
        <v>8</v>
      </c>
      <c r="H331" s="7" t="s">
        <v>9</v>
      </c>
      <c r="I331" s="8"/>
    </row>
    <row r="332" spans="1:9" ht="18.75" x14ac:dyDescent="0.25">
      <c r="A332" s="4"/>
      <c r="B332" s="7"/>
      <c r="C332" s="7"/>
      <c r="D332" s="7"/>
      <c r="E332" s="7"/>
      <c r="F332" s="7"/>
      <c r="G332" s="7"/>
      <c r="H332" s="7"/>
      <c r="I332" s="8"/>
    </row>
    <row r="333" spans="1:9" ht="18" x14ac:dyDescent="0.25">
      <c r="A333" s="7"/>
      <c r="B333" s="7"/>
      <c r="C333" s="7"/>
      <c r="D333" s="7"/>
      <c r="E333" s="7"/>
      <c r="F333" s="7"/>
      <c r="G333" s="7"/>
      <c r="H333" s="7"/>
      <c r="I333" s="8"/>
    </row>
    <row r="334" spans="1:9" ht="18" x14ac:dyDescent="0.25">
      <c r="A334" s="7"/>
      <c r="B334" s="7"/>
      <c r="C334" s="7"/>
      <c r="D334" s="7"/>
      <c r="E334" s="7"/>
      <c r="F334" s="7"/>
      <c r="G334" s="7"/>
      <c r="H334" s="7"/>
      <c r="I334" s="8"/>
    </row>
    <row r="335" spans="1:9" ht="18" x14ac:dyDescent="0.25">
      <c r="A335" s="7"/>
      <c r="B335" s="7"/>
      <c r="C335" s="7"/>
      <c r="D335" s="7"/>
      <c r="E335" s="7"/>
      <c r="F335" s="7"/>
      <c r="G335" s="7"/>
      <c r="H335" s="7"/>
      <c r="I335" s="8"/>
    </row>
    <row r="336" spans="1:9" ht="18.75" x14ac:dyDescent="0.25">
      <c r="A336" s="113" t="s">
        <v>268</v>
      </c>
      <c r="B336" s="5" t="s">
        <v>3</v>
      </c>
      <c r="C336" s="6" t="s">
        <v>4</v>
      </c>
      <c r="D336" s="5" t="s">
        <v>5</v>
      </c>
      <c r="E336" s="7" t="s">
        <v>6</v>
      </c>
      <c r="F336" s="7" t="s">
        <v>7</v>
      </c>
      <c r="G336" s="7" t="s">
        <v>8</v>
      </c>
      <c r="H336" s="7" t="s">
        <v>9</v>
      </c>
      <c r="I336" s="8"/>
    </row>
    <row r="337" spans="1:9" ht="18.75" x14ac:dyDescent="0.25">
      <c r="A337" s="4"/>
      <c r="B337" s="7"/>
      <c r="C337" s="7"/>
      <c r="D337" s="7"/>
      <c r="E337" s="7"/>
      <c r="F337" s="7"/>
      <c r="G337" s="7"/>
      <c r="H337" s="7"/>
      <c r="I337" s="8"/>
    </row>
    <row r="338" spans="1:9" ht="18" x14ac:dyDescent="0.25">
      <c r="A338" s="7" t="s">
        <v>262</v>
      </c>
      <c r="B338" s="7"/>
      <c r="C338" s="7"/>
      <c r="D338" s="7"/>
      <c r="E338" s="7"/>
      <c r="F338" s="7"/>
      <c r="G338" s="7"/>
      <c r="H338" s="7"/>
      <c r="I338" s="8"/>
    </row>
    <row r="339" spans="1:9" ht="18" x14ac:dyDescent="0.25">
      <c r="A339" s="7"/>
      <c r="B339" s="7"/>
      <c r="C339" s="7"/>
      <c r="D339" s="7"/>
      <c r="E339" s="7"/>
      <c r="F339" s="7"/>
      <c r="G339" s="7"/>
      <c r="H339" s="7"/>
      <c r="I339" s="8"/>
    </row>
    <row r="340" spans="1:9" ht="18.75" x14ac:dyDescent="0.3">
      <c r="A340" s="114"/>
      <c r="B340" s="8"/>
      <c r="C340" s="58"/>
      <c r="D340" s="60" t="s">
        <v>54</v>
      </c>
      <c r="E340" s="8"/>
      <c r="F340" s="8"/>
      <c r="G340" s="8"/>
      <c r="H340" s="8"/>
      <c r="I340" s="8"/>
    </row>
    <row r="341" spans="1:9" ht="18.75" x14ac:dyDescent="0.25">
      <c r="A341" s="115"/>
      <c r="B341" s="116" t="s">
        <v>3</v>
      </c>
      <c r="C341" s="117" t="s">
        <v>4</v>
      </c>
      <c r="D341" s="116" t="s">
        <v>5</v>
      </c>
      <c r="E341" s="115" t="s">
        <v>6</v>
      </c>
      <c r="F341" s="115" t="s">
        <v>7</v>
      </c>
      <c r="G341" s="115" t="s">
        <v>8</v>
      </c>
      <c r="H341" s="115" t="s">
        <v>9</v>
      </c>
      <c r="I341" s="8"/>
    </row>
    <row r="342" spans="1:9" ht="18" x14ac:dyDescent="0.25">
      <c r="A342" s="115" t="s">
        <v>262</v>
      </c>
      <c r="B342" s="118" t="s">
        <v>251</v>
      </c>
      <c r="C342" s="119" t="s">
        <v>29</v>
      </c>
      <c r="D342" s="120" t="s">
        <v>252</v>
      </c>
      <c r="E342" s="121" t="s">
        <v>11</v>
      </c>
      <c r="F342" s="120" t="s">
        <v>280</v>
      </c>
      <c r="G342" s="118">
        <v>722710338</v>
      </c>
      <c r="H342" s="122">
        <v>10440</v>
      </c>
      <c r="I342" s="8"/>
    </row>
    <row r="343" spans="1:9" ht="18" x14ac:dyDescent="0.25">
      <c r="A343" s="115"/>
      <c r="B343" s="118" t="s">
        <v>201</v>
      </c>
      <c r="C343" s="119" t="s">
        <v>29</v>
      </c>
      <c r="D343" s="123" t="s">
        <v>55</v>
      </c>
      <c r="E343" s="121" t="s">
        <v>264</v>
      </c>
      <c r="F343" s="120" t="s">
        <v>281</v>
      </c>
      <c r="G343" s="123">
        <v>721457488</v>
      </c>
      <c r="H343" s="122">
        <v>4800</v>
      </c>
      <c r="I343" s="8"/>
    </row>
    <row r="344" spans="1:9" ht="18" x14ac:dyDescent="0.25">
      <c r="A344" s="124"/>
      <c r="B344" s="118" t="s">
        <v>251</v>
      </c>
      <c r="C344" s="119" t="s">
        <v>29</v>
      </c>
      <c r="D344" s="120" t="s">
        <v>252</v>
      </c>
      <c r="E344" s="121" t="s">
        <v>11</v>
      </c>
      <c r="F344" s="120" t="s">
        <v>280</v>
      </c>
      <c r="G344" s="118">
        <v>722710338</v>
      </c>
      <c r="H344" s="122">
        <v>6960</v>
      </c>
      <c r="I344" s="8"/>
    </row>
    <row r="345" spans="1:9" ht="18" x14ac:dyDescent="0.25">
      <c r="A345" s="115"/>
      <c r="B345" s="118" t="s">
        <v>201</v>
      </c>
      <c r="C345" s="119" t="s">
        <v>29</v>
      </c>
      <c r="D345" s="123" t="s">
        <v>55</v>
      </c>
      <c r="E345" s="121" t="s">
        <v>264</v>
      </c>
      <c r="F345" s="120" t="s">
        <v>281</v>
      </c>
      <c r="G345" s="123">
        <v>721457488</v>
      </c>
      <c r="H345" s="122">
        <v>4800</v>
      </c>
      <c r="I345" s="8"/>
    </row>
    <row r="346" spans="1:9" ht="18" x14ac:dyDescent="0.25">
      <c r="A346" s="115"/>
      <c r="B346" s="118" t="s">
        <v>201</v>
      </c>
      <c r="C346" s="119" t="s">
        <v>29</v>
      </c>
      <c r="D346" s="123" t="s">
        <v>55</v>
      </c>
      <c r="E346" s="121" t="s">
        <v>264</v>
      </c>
      <c r="F346" s="120" t="s">
        <v>281</v>
      </c>
      <c r="G346" s="123">
        <v>721457488</v>
      </c>
      <c r="H346" s="122">
        <v>4800</v>
      </c>
      <c r="I346" s="8"/>
    </row>
    <row r="347" spans="1:9" ht="18" x14ac:dyDescent="0.25">
      <c r="A347" s="115"/>
      <c r="B347" s="118" t="s">
        <v>251</v>
      </c>
      <c r="C347" s="119" t="s">
        <v>29</v>
      </c>
      <c r="D347" s="120" t="s">
        <v>252</v>
      </c>
      <c r="E347" s="121" t="s">
        <v>11</v>
      </c>
      <c r="F347" s="120" t="s">
        <v>280</v>
      </c>
      <c r="G347" s="118">
        <v>722710338</v>
      </c>
      <c r="H347" s="122">
        <v>10440</v>
      </c>
      <c r="I347" s="8"/>
    </row>
    <row r="348" spans="1:9" ht="31.5" x14ac:dyDescent="0.25">
      <c r="A348" s="4"/>
      <c r="B348" s="33" t="s">
        <v>253</v>
      </c>
      <c r="C348" s="10" t="s">
        <v>29</v>
      </c>
      <c r="D348" s="102" t="s">
        <v>254</v>
      </c>
      <c r="E348" s="12" t="s">
        <v>11</v>
      </c>
      <c r="F348" s="33" t="s">
        <v>303</v>
      </c>
      <c r="G348" s="102">
        <v>721348117</v>
      </c>
      <c r="H348" s="35">
        <v>34104</v>
      </c>
      <c r="I348" s="8"/>
    </row>
    <row r="349" spans="1:9" ht="18" x14ac:dyDescent="0.25">
      <c r="A349" s="125"/>
      <c r="B349" s="126"/>
      <c r="C349" s="119"/>
      <c r="D349" s="127"/>
      <c r="E349" s="121"/>
      <c r="F349" s="126"/>
      <c r="G349" s="127"/>
      <c r="H349" s="128">
        <f>SUM(H342:H348)</f>
        <v>76344</v>
      </c>
      <c r="I349" s="8"/>
    </row>
    <row r="350" spans="1:9" ht="18" x14ac:dyDescent="0.25">
      <c r="I350" s="8"/>
    </row>
    <row r="351" spans="1:9" ht="18" x14ac:dyDescent="0.25">
      <c r="I351" s="8"/>
    </row>
    <row r="352" spans="1:9" ht="18" x14ac:dyDescent="0.25">
      <c r="I352" s="8"/>
    </row>
    <row r="353" spans="9:9" ht="18" x14ac:dyDescent="0.25">
      <c r="I353" s="8"/>
    </row>
    <row r="354" spans="9:9" ht="18" x14ac:dyDescent="0.25">
      <c r="I354" s="8"/>
    </row>
    <row r="355" spans="9:9" ht="18" x14ac:dyDescent="0.25">
      <c r="I355" s="8"/>
    </row>
    <row r="356" spans="9:9" ht="18" x14ac:dyDescent="0.25">
      <c r="I356" s="8"/>
    </row>
    <row r="357" spans="9:9" ht="18" x14ac:dyDescent="0.25">
      <c r="I357" s="8"/>
    </row>
    <row r="358" spans="9:9" ht="18" x14ac:dyDescent="0.25">
      <c r="I358" s="8"/>
    </row>
    <row r="359" spans="9:9" ht="18" x14ac:dyDescent="0.25">
      <c r="I359" s="8"/>
    </row>
    <row r="360" spans="9:9" ht="18" x14ac:dyDescent="0.25">
      <c r="I360" s="8"/>
    </row>
    <row r="361" spans="9:9" ht="18" x14ac:dyDescent="0.25">
      <c r="I361" s="8"/>
    </row>
    <row r="362" spans="9:9" ht="18" x14ac:dyDescent="0.25">
      <c r="I362" s="8"/>
    </row>
    <row r="363" spans="9:9" ht="18" x14ac:dyDescent="0.25">
      <c r="I363" s="8"/>
    </row>
    <row r="364" spans="9:9" ht="18" x14ac:dyDescent="0.25">
      <c r="I364" s="8"/>
    </row>
    <row r="365" spans="9:9" ht="18" x14ac:dyDescent="0.25">
      <c r="I365" s="8"/>
    </row>
    <row r="366" spans="9:9" ht="18" x14ac:dyDescent="0.25">
      <c r="I366" s="8"/>
    </row>
    <row r="367" spans="9:9" ht="18" x14ac:dyDescent="0.25">
      <c r="I367" s="8"/>
    </row>
    <row r="368" spans="9:9" ht="18" x14ac:dyDescent="0.25">
      <c r="I368" s="8"/>
    </row>
    <row r="369" spans="9:9" ht="18" x14ac:dyDescent="0.25">
      <c r="I369" s="8"/>
    </row>
    <row r="370" spans="9:9" ht="18" x14ac:dyDescent="0.25">
      <c r="I370" s="8"/>
    </row>
    <row r="371" spans="9:9" ht="18" x14ac:dyDescent="0.25">
      <c r="I371" s="8"/>
    </row>
    <row r="372" spans="9:9" ht="18" x14ac:dyDescent="0.25">
      <c r="I372" s="8"/>
    </row>
    <row r="373" spans="9:9" ht="18" x14ac:dyDescent="0.25">
      <c r="I373" s="8"/>
    </row>
    <row r="374" spans="9:9" ht="18" x14ac:dyDescent="0.25">
      <c r="I374" s="8"/>
    </row>
    <row r="375" spans="9:9" ht="18" x14ac:dyDescent="0.25">
      <c r="I375" s="8"/>
    </row>
    <row r="376" spans="9:9" ht="18" x14ac:dyDescent="0.25">
      <c r="I376" s="8"/>
    </row>
    <row r="377" spans="9:9" ht="18" x14ac:dyDescent="0.25">
      <c r="I377" s="8"/>
    </row>
    <row r="378" spans="9:9" ht="18" x14ac:dyDescent="0.25">
      <c r="I378" s="8"/>
    </row>
    <row r="379" spans="9:9" ht="18" x14ac:dyDescent="0.25">
      <c r="I379" s="8"/>
    </row>
    <row r="380" spans="9:9" ht="18" x14ac:dyDescent="0.25">
      <c r="I380" s="8"/>
    </row>
    <row r="381" spans="9:9" ht="18" x14ac:dyDescent="0.25">
      <c r="I381" s="8"/>
    </row>
    <row r="382" spans="9:9" ht="18" x14ac:dyDescent="0.25">
      <c r="I382" s="8"/>
    </row>
    <row r="383" spans="9:9" ht="18" x14ac:dyDescent="0.25">
      <c r="I383" s="8"/>
    </row>
    <row r="384" spans="9:9" ht="18" x14ac:dyDescent="0.25">
      <c r="I384" s="8"/>
    </row>
    <row r="385" spans="9:9" ht="18" x14ac:dyDescent="0.25">
      <c r="I385" s="8"/>
    </row>
    <row r="386" spans="9:9" ht="18" x14ac:dyDescent="0.25">
      <c r="I386" s="8"/>
    </row>
    <row r="387" spans="9:9" ht="18" x14ac:dyDescent="0.25">
      <c r="I387" s="8"/>
    </row>
    <row r="388" spans="9:9" ht="18" x14ac:dyDescent="0.25">
      <c r="I388" s="8"/>
    </row>
    <row r="389" spans="9:9" ht="18" x14ac:dyDescent="0.25">
      <c r="I389" s="8"/>
    </row>
    <row r="390" spans="9:9" ht="18" x14ac:dyDescent="0.25">
      <c r="I390" s="8"/>
    </row>
    <row r="391" spans="9:9" ht="18" x14ac:dyDescent="0.25">
      <c r="I391" s="8"/>
    </row>
    <row r="392" spans="9:9" ht="18" x14ac:dyDescent="0.25">
      <c r="I392" s="8"/>
    </row>
    <row r="393" spans="9:9" ht="18" x14ac:dyDescent="0.25">
      <c r="I393" s="8"/>
    </row>
    <row r="394" spans="9:9" ht="18" x14ac:dyDescent="0.25">
      <c r="I394" s="8"/>
    </row>
    <row r="395" spans="9:9" ht="18" x14ac:dyDescent="0.25">
      <c r="I395" s="8"/>
    </row>
    <row r="396" spans="9:9" ht="18" x14ac:dyDescent="0.25">
      <c r="I396" s="8"/>
    </row>
    <row r="397" spans="9:9" ht="18" x14ac:dyDescent="0.25">
      <c r="I397" s="8"/>
    </row>
    <row r="398" spans="9:9" ht="18" x14ac:dyDescent="0.25">
      <c r="I398" s="8"/>
    </row>
    <row r="399" spans="9:9" ht="18" x14ac:dyDescent="0.25">
      <c r="I399" s="8"/>
    </row>
    <row r="400" spans="9:9" ht="18" x14ac:dyDescent="0.25">
      <c r="I400" s="8"/>
    </row>
    <row r="401" spans="9:9" ht="18" x14ac:dyDescent="0.25">
      <c r="I401" s="8"/>
    </row>
    <row r="402" spans="9:9" ht="18" x14ac:dyDescent="0.25">
      <c r="I402" s="8"/>
    </row>
    <row r="403" spans="9:9" ht="18" x14ac:dyDescent="0.25">
      <c r="I403" s="8"/>
    </row>
    <row r="404" spans="9:9" ht="18" x14ac:dyDescent="0.25">
      <c r="I404" s="8"/>
    </row>
    <row r="405" spans="9:9" ht="18" x14ac:dyDescent="0.25">
      <c r="I405" s="8"/>
    </row>
    <row r="406" spans="9:9" ht="18" x14ac:dyDescent="0.25">
      <c r="I406" s="8"/>
    </row>
    <row r="407" spans="9:9" ht="18" x14ac:dyDescent="0.25">
      <c r="I407" s="8"/>
    </row>
    <row r="408" spans="9:9" ht="18" x14ac:dyDescent="0.25">
      <c r="I408" s="8"/>
    </row>
    <row r="409" spans="9:9" ht="18" x14ac:dyDescent="0.25">
      <c r="I409" s="8"/>
    </row>
    <row r="410" spans="9:9" ht="18" x14ac:dyDescent="0.25">
      <c r="I410" s="8"/>
    </row>
    <row r="411" spans="9:9" ht="18" x14ac:dyDescent="0.25">
      <c r="I411" s="8"/>
    </row>
    <row r="412" spans="9:9" ht="18" x14ac:dyDescent="0.25">
      <c r="I412" s="8"/>
    </row>
    <row r="413" spans="9:9" ht="18" x14ac:dyDescent="0.25">
      <c r="I413" s="8"/>
    </row>
    <row r="414" spans="9:9" ht="18" x14ac:dyDescent="0.25">
      <c r="I414" s="8"/>
    </row>
    <row r="415" spans="9:9" ht="18" x14ac:dyDescent="0.25">
      <c r="I415" s="8"/>
    </row>
    <row r="416" spans="9:9" ht="18" x14ac:dyDescent="0.25">
      <c r="I416" s="8"/>
    </row>
    <row r="417" spans="9:9" ht="18" x14ac:dyDescent="0.25">
      <c r="I417" s="8"/>
    </row>
    <row r="418" spans="9:9" ht="18" x14ac:dyDescent="0.25">
      <c r="I418" s="8"/>
    </row>
    <row r="419" spans="9:9" ht="18" x14ac:dyDescent="0.25">
      <c r="I419" s="8"/>
    </row>
    <row r="420" spans="9:9" ht="18" x14ac:dyDescent="0.25">
      <c r="I420" s="8"/>
    </row>
    <row r="421" spans="9:9" ht="18" x14ac:dyDescent="0.25">
      <c r="I421" s="8"/>
    </row>
    <row r="422" spans="9:9" ht="18" x14ac:dyDescent="0.25">
      <c r="I422" s="8"/>
    </row>
    <row r="423" spans="9:9" ht="18" x14ac:dyDescent="0.25">
      <c r="I423" s="8"/>
    </row>
    <row r="424" spans="9:9" ht="18" x14ac:dyDescent="0.25">
      <c r="I424" s="8"/>
    </row>
    <row r="425" spans="9:9" ht="18" x14ac:dyDescent="0.25">
      <c r="I425" s="8"/>
    </row>
    <row r="426" spans="9:9" ht="18" x14ac:dyDescent="0.25">
      <c r="I426" s="8"/>
    </row>
    <row r="427" spans="9:9" ht="18" x14ac:dyDescent="0.25">
      <c r="I427" s="8"/>
    </row>
    <row r="428" spans="9:9" ht="18" x14ac:dyDescent="0.25">
      <c r="I428" s="8"/>
    </row>
    <row r="429" spans="9:9" ht="18" x14ac:dyDescent="0.25">
      <c r="I429" s="8"/>
    </row>
    <row r="430" spans="9:9" ht="18" x14ac:dyDescent="0.25">
      <c r="I430" s="8"/>
    </row>
    <row r="431" spans="9:9" ht="18" x14ac:dyDescent="0.25">
      <c r="I431" s="8"/>
    </row>
    <row r="432" spans="9:9" ht="18" x14ac:dyDescent="0.25">
      <c r="I432" s="8"/>
    </row>
    <row r="433" spans="9:16" ht="18" x14ac:dyDescent="0.25">
      <c r="I433" s="8"/>
    </row>
    <row r="434" spans="9:16" ht="18" x14ac:dyDescent="0.25">
      <c r="I434" s="8"/>
    </row>
    <row r="435" spans="9:16" ht="18" x14ac:dyDescent="0.25">
      <c r="I435" s="8"/>
      <c r="P435" s="59"/>
    </row>
    <row r="436" spans="9:16" ht="18" x14ac:dyDescent="0.25">
      <c r="I436" s="8"/>
    </row>
    <row r="437" spans="9:16" ht="18" x14ac:dyDescent="0.25">
      <c r="I437" s="8"/>
    </row>
    <row r="438" spans="9:16" ht="18" x14ac:dyDescent="0.25">
      <c r="I438" s="8"/>
    </row>
    <row r="439" spans="9:16" ht="18" x14ac:dyDescent="0.25">
      <c r="I439" s="8"/>
    </row>
    <row r="440" spans="9:16" ht="18" x14ac:dyDescent="0.25">
      <c r="I440" s="8"/>
    </row>
    <row r="441" spans="9:16" ht="18" x14ac:dyDescent="0.25">
      <c r="I441" s="8"/>
    </row>
    <row r="442" spans="9:16" ht="18" x14ac:dyDescent="0.25">
      <c r="I442" s="8"/>
    </row>
    <row r="443" spans="9:16" ht="18" x14ac:dyDescent="0.25">
      <c r="I443" s="8"/>
    </row>
    <row r="444" spans="9:16" ht="18" x14ac:dyDescent="0.25">
      <c r="I444" s="8"/>
    </row>
    <row r="445" spans="9:16" ht="18" x14ac:dyDescent="0.25">
      <c r="I445" s="8"/>
    </row>
    <row r="446" spans="9:16" ht="18" x14ac:dyDescent="0.25">
      <c r="I446" s="8"/>
    </row>
    <row r="447" spans="9:16" ht="18" x14ac:dyDescent="0.25">
      <c r="I447" s="8"/>
    </row>
    <row r="448" spans="9:16" ht="18" x14ac:dyDescent="0.25">
      <c r="I448" s="8"/>
    </row>
    <row r="449" spans="9:9" ht="18" x14ac:dyDescent="0.25">
      <c r="I449" s="8"/>
    </row>
  </sheetData>
  <mergeCells count="8">
    <mergeCell ref="A31:H31"/>
    <mergeCell ref="A37:H37"/>
    <mergeCell ref="B2:H2"/>
    <mergeCell ref="B3:H3"/>
    <mergeCell ref="B5:F5"/>
    <mergeCell ref="A10:H10"/>
    <mergeCell ref="A19:H19"/>
    <mergeCell ref="A26:H26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>
      <selection activeCell="D59" sqref="D59"/>
    </sheetView>
  </sheetViews>
  <sheetFormatPr defaultRowHeight="15" x14ac:dyDescent="0.25"/>
  <cols>
    <col min="1" max="1" width="35.28515625" customWidth="1"/>
    <col min="2" max="2" width="20" customWidth="1"/>
    <col min="3" max="3" width="22.140625" customWidth="1"/>
    <col min="4" max="4" width="30.140625" customWidth="1"/>
    <col min="5" max="6" width="17" customWidth="1"/>
    <col min="7" max="7" width="20.85546875" customWidth="1"/>
  </cols>
  <sheetData>
    <row r="1" spans="1:7" x14ac:dyDescent="0.25">
      <c r="A1" s="67"/>
      <c r="B1" s="67"/>
      <c r="C1" s="67"/>
      <c r="D1" s="67"/>
      <c r="E1" s="67"/>
      <c r="F1" s="67"/>
      <c r="G1" s="67"/>
    </row>
    <row r="2" spans="1:7" ht="15.75" x14ac:dyDescent="0.25">
      <c r="A2" s="143" t="s">
        <v>338</v>
      </c>
      <c r="B2" s="143"/>
      <c r="C2" s="144"/>
      <c r="D2" s="145"/>
      <c r="E2" s="145"/>
      <c r="F2" s="146"/>
      <c r="G2" s="145"/>
    </row>
    <row r="3" spans="1:7" ht="15.75" x14ac:dyDescent="0.25">
      <c r="A3" s="143" t="s">
        <v>312</v>
      </c>
      <c r="B3" s="143"/>
      <c r="C3" s="147"/>
      <c r="D3" s="148"/>
      <c r="E3" s="145"/>
      <c r="F3" s="149"/>
      <c r="G3" s="145"/>
    </row>
    <row r="4" spans="1:7" ht="15.75" x14ac:dyDescent="0.25">
      <c r="A4" s="143" t="s">
        <v>313</v>
      </c>
      <c r="B4" s="143"/>
      <c r="C4" s="147"/>
      <c r="D4" s="148"/>
      <c r="E4" s="145"/>
      <c r="F4" s="149"/>
      <c r="G4" s="145"/>
    </row>
    <row r="5" spans="1:7" ht="60" x14ac:dyDescent="0.25">
      <c r="A5" s="150" t="s">
        <v>314</v>
      </c>
      <c r="B5" s="150" t="s">
        <v>315</v>
      </c>
      <c r="C5" s="151" t="s">
        <v>316</v>
      </c>
      <c r="D5" s="150" t="s">
        <v>317</v>
      </c>
      <c r="E5" s="150" t="s">
        <v>318</v>
      </c>
      <c r="F5" s="152" t="s">
        <v>319</v>
      </c>
      <c r="G5" s="150" t="s">
        <v>320</v>
      </c>
    </row>
    <row r="6" spans="1:7" x14ac:dyDescent="0.25">
      <c r="A6" s="153"/>
      <c r="B6" s="154"/>
      <c r="C6" s="151" t="s">
        <v>263</v>
      </c>
      <c r="D6" s="154"/>
      <c r="E6" s="155"/>
      <c r="F6" s="156"/>
      <c r="G6" s="157"/>
    </row>
    <row r="7" spans="1:7" ht="15.75" x14ac:dyDescent="0.25">
      <c r="A7" s="34" t="s">
        <v>163</v>
      </c>
      <c r="B7" s="34" t="s">
        <v>271</v>
      </c>
      <c r="C7" s="34" t="s">
        <v>323</v>
      </c>
      <c r="D7" s="33" t="s">
        <v>164</v>
      </c>
      <c r="E7" s="34" t="s">
        <v>324</v>
      </c>
      <c r="F7" s="10">
        <v>134454</v>
      </c>
      <c r="G7" s="35">
        <v>31000</v>
      </c>
    </row>
    <row r="8" spans="1:7" ht="15.75" x14ac:dyDescent="0.25">
      <c r="A8" s="34" t="s">
        <v>163</v>
      </c>
      <c r="B8" s="34" t="s">
        <v>271</v>
      </c>
      <c r="C8" s="34" t="s">
        <v>323</v>
      </c>
      <c r="D8" s="33" t="s">
        <v>162</v>
      </c>
      <c r="E8" s="34" t="s">
        <v>324</v>
      </c>
      <c r="F8" s="10">
        <v>134453</v>
      </c>
      <c r="G8" s="35">
        <v>150000</v>
      </c>
    </row>
    <row r="9" spans="1:7" ht="15.75" x14ac:dyDescent="0.25">
      <c r="A9" s="33" t="s">
        <v>209</v>
      </c>
      <c r="B9" s="33" t="s">
        <v>272</v>
      </c>
      <c r="C9" s="34" t="s">
        <v>323</v>
      </c>
      <c r="D9" s="34" t="s">
        <v>19</v>
      </c>
      <c r="E9" s="34" t="s">
        <v>324</v>
      </c>
      <c r="F9" s="10">
        <v>134475</v>
      </c>
      <c r="G9" s="135">
        <v>112290</v>
      </c>
    </row>
    <row r="10" spans="1:7" ht="15.75" x14ac:dyDescent="0.25">
      <c r="A10" s="33" t="s">
        <v>163</v>
      </c>
      <c r="B10" s="33" t="s">
        <v>271</v>
      </c>
      <c r="C10" s="34" t="s">
        <v>323</v>
      </c>
      <c r="D10" s="34" t="s">
        <v>19</v>
      </c>
      <c r="E10" s="34" t="s">
        <v>324</v>
      </c>
      <c r="F10" s="10">
        <v>134476</v>
      </c>
      <c r="G10" s="135">
        <v>30880</v>
      </c>
    </row>
    <row r="11" spans="1:7" ht="15.75" x14ac:dyDescent="0.25">
      <c r="A11" s="34" t="s">
        <v>125</v>
      </c>
      <c r="B11" s="33" t="s">
        <v>301</v>
      </c>
      <c r="C11" s="34" t="s">
        <v>323</v>
      </c>
      <c r="D11" s="33" t="s">
        <v>174</v>
      </c>
      <c r="E11" s="34" t="s">
        <v>324</v>
      </c>
      <c r="F11" s="10">
        <v>134461</v>
      </c>
      <c r="G11" s="35">
        <v>37500</v>
      </c>
    </row>
    <row r="12" spans="1:7" ht="15.75" x14ac:dyDescent="0.25">
      <c r="A12" s="34" t="s">
        <v>128</v>
      </c>
      <c r="B12" s="33" t="s">
        <v>300</v>
      </c>
      <c r="C12" s="34" t="s">
        <v>323</v>
      </c>
      <c r="D12" s="33" t="s">
        <v>175</v>
      </c>
      <c r="E12" s="34" t="s">
        <v>324</v>
      </c>
      <c r="F12" s="10">
        <v>134462</v>
      </c>
      <c r="G12" s="35">
        <v>40680</v>
      </c>
    </row>
    <row r="13" spans="1:7" ht="15.75" x14ac:dyDescent="0.25">
      <c r="A13" s="34" t="s">
        <v>176</v>
      </c>
      <c r="B13" s="33" t="s">
        <v>299</v>
      </c>
      <c r="C13" s="34" t="s">
        <v>323</v>
      </c>
      <c r="D13" s="33" t="s">
        <v>175</v>
      </c>
      <c r="E13" s="34" t="s">
        <v>324</v>
      </c>
      <c r="F13" s="10">
        <v>134463</v>
      </c>
      <c r="G13" s="35">
        <v>23280</v>
      </c>
    </row>
    <row r="14" spans="1:7" ht="15.75" x14ac:dyDescent="0.25">
      <c r="A14" s="9"/>
      <c r="B14" s="46"/>
      <c r="C14" s="158"/>
      <c r="D14" s="9"/>
      <c r="E14" s="155"/>
      <c r="F14" s="161"/>
      <c r="G14" s="159"/>
    </row>
    <row r="15" spans="1:7" ht="15.75" x14ac:dyDescent="0.25">
      <c r="A15" s="11"/>
      <c r="B15" s="11"/>
      <c r="C15" s="158"/>
      <c r="D15" s="11"/>
      <c r="E15" s="155"/>
      <c r="F15" s="11"/>
      <c r="G15" s="160"/>
    </row>
    <row r="16" spans="1:7" ht="15.75" x14ac:dyDescent="0.25">
      <c r="A16" s="9"/>
      <c r="B16" s="46"/>
      <c r="C16" s="158"/>
      <c r="D16" s="9"/>
      <c r="E16" s="155"/>
      <c r="F16" s="162"/>
      <c r="G16" s="159"/>
    </row>
    <row r="17" spans="1:7" ht="15.75" x14ac:dyDescent="0.25">
      <c r="A17" s="163" t="s">
        <v>321</v>
      </c>
      <c r="B17" s="164"/>
      <c r="C17" s="158"/>
      <c r="D17" s="9"/>
      <c r="E17" s="155"/>
      <c r="F17" s="165"/>
      <c r="G17" s="166">
        <f>SUM(G7:G16)</f>
        <v>425630</v>
      </c>
    </row>
    <row r="18" spans="1:7" ht="15.75" x14ac:dyDescent="0.25">
      <c r="A18" s="9"/>
      <c r="B18" s="43"/>
      <c r="C18" s="158"/>
      <c r="D18" s="9"/>
      <c r="E18" s="155"/>
      <c r="F18" s="167"/>
      <c r="G18" s="164"/>
    </row>
    <row r="19" spans="1:7" x14ac:dyDescent="0.25">
      <c r="A19" s="168"/>
      <c r="B19" s="169"/>
      <c r="C19" s="170" t="s">
        <v>322</v>
      </c>
      <c r="D19" s="169"/>
      <c r="E19" s="171"/>
      <c r="F19" s="172"/>
      <c r="G19" s="169"/>
    </row>
    <row r="20" spans="1:7" ht="15.75" x14ac:dyDescent="0.25">
      <c r="A20" s="11" t="s">
        <v>152</v>
      </c>
      <c r="B20" s="11" t="s">
        <v>274</v>
      </c>
      <c r="C20" s="9" t="s">
        <v>323</v>
      </c>
      <c r="D20" s="9" t="s">
        <v>151</v>
      </c>
      <c r="E20" s="9" t="s">
        <v>324</v>
      </c>
      <c r="F20" s="10">
        <v>133896</v>
      </c>
      <c r="G20" s="14">
        <v>75210</v>
      </c>
    </row>
    <row r="21" spans="1:7" ht="15.75" x14ac:dyDescent="0.25">
      <c r="A21" s="101" t="s">
        <v>154</v>
      </c>
      <c r="B21" s="101" t="s">
        <v>275</v>
      </c>
      <c r="C21" s="9" t="s">
        <v>323</v>
      </c>
      <c r="D21" s="9" t="s">
        <v>153</v>
      </c>
      <c r="E21" s="9" t="s">
        <v>324</v>
      </c>
      <c r="F21" s="10">
        <v>133897</v>
      </c>
      <c r="G21" s="14">
        <v>66000</v>
      </c>
    </row>
    <row r="22" spans="1:7" ht="15.75" x14ac:dyDescent="0.25">
      <c r="A22" s="34" t="s">
        <v>145</v>
      </c>
      <c r="B22" s="34" t="s">
        <v>273</v>
      </c>
      <c r="C22" s="9" t="s">
        <v>323</v>
      </c>
      <c r="D22" s="33" t="s">
        <v>177</v>
      </c>
      <c r="E22" s="9" t="s">
        <v>324</v>
      </c>
      <c r="F22" s="10">
        <v>134465</v>
      </c>
      <c r="G22" s="35">
        <v>24940</v>
      </c>
    </row>
    <row r="23" spans="1:7" ht="15.75" x14ac:dyDescent="0.25">
      <c r="A23" s="34" t="s">
        <v>145</v>
      </c>
      <c r="B23" s="34" t="s">
        <v>273</v>
      </c>
      <c r="C23" s="9" t="s">
        <v>323</v>
      </c>
      <c r="D23" s="33" t="s">
        <v>194</v>
      </c>
      <c r="E23" s="9" t="s">
        <v>324</v>
      </c>
      <c r="F23" s="10">
        <v>134467</v>
      </c>
      <c r="G23" s="35">
        <v>44870</v>
      </c>
    </row>
    <row r="24" spans="1:7" ht="18.75" x14ac:dyDescent="0.25">
      <c r="A24" s="5" t="s">
        <v>250</v>
      </c>
      <c r="B24" s="9" t="s">
        <v>270</v>
      </c>
      <c r="C24" s="34" t="s">
        <v>323</v>
      </c>
      <c r="D24" s="15" t="s">
        <v>19</v>
      </c>
      <c r="E24" s="34" t="s">
        <v>324</v>
      </c>
      <c r="F24" s="15">
        <v>134500</v>
      </c>
      <c r="G24" s="138">
        <v>180950</v>
      </c>
    </row>
    <row r="25" spans="1:7" ht="15.75" x14ac:dyDescent="0.25">
      <c r="A25" s="34" t="s">
        <v>205</v>
      </c>
      <c r="B25" s="33" t="s">
        <v>304</v>
      </c>
      <c r="C25" s="34" t="s">
        <v>323</v>
      </c>
      <c r="D25" s="33" t="s">
        <v>204</v>
      </c>
      <c r="E25" s="34" t="s">
        <v>324</v>
      </c>
      <c r="F25" s="10">
        <v>134472</v>
      </c>
      <c r="G25" s="35">
        <v>18676</v>
      </c>
    </row>
    <row r="26" spans="1:7" ht="15.75" x14ac:dyDescent="0.25">
      <c r="A26" s="34" t="s">
        <v>227</v>
      </c>
      <c r="B26" s="33" t="s">
        <v>302</v>
      </c>
      <c r="C26" s="34" t="s">
        <v>323</v>
      </c>
      <c r="D26" s="33" t="s">
        <v>226</v>
      </c>
      <c r="E26" s="34" t="s">
        <v>324</v>
      </c>
      <c r="F26" s="10">
        <v>134483</v>
      </c>
      <c r="G26" s="35">
        <v>21330</v>
      </c>
    </row>
    <row r="27" spans="1:7" ht="15.75" x14ac:dyDescent="0.25">
      <c r="A27" s="11" t="s">
        <v>139</v>
      </c>
      <c r="B27" s="9" t="s">
        <v>293</v>
      </c>
      <c r="C27" s="11" t="s">
        <v>341</v>
      </c>
      <c r="D27" s="9" t="s">
        <v>146</v>
      </c>
      <c r="E27" s="34" t="s">
        <v>324</v>
      </c>
      <c r="F27" s="10">
        <v>133891</v>
      </c>
      <c r="G27" s="14">
        <v>157600</v>
      </c>
    </row>
    <row r="28" spans="1:7" ht="15.75" x14ac:dyDescent="0.25">
      <c r="A28" s="34" t="s">
        <v>222</v>
      </c>
      <c r="B28" s="9" t="s">
        <v>293</v>
      </c>
      <c r="C28" s="11" t="s">
        <v>341</v>
      </c>
      <c r="D28" s="33" t="s">
        <v>221</v>
      </c>
      <c r="E28" s="34" t="s">
        <v>324</v>
      </c>
      <c r="F28" s="10">
        <v>134481</v>
      </c>
      <c r="G28" s="35">
        <v>30100</v>
      </c>
    </row>
    <row r="29" spans="1:7" ht="15.75" x14ac:dyDescent="0.25">
      <c r="A29" s="34" t="s">
        <v>222</v>
      </c>
      <c r="B29" s="9" t="s">
        <v>293</v>
      </c>
      <c r="C29" s="11" t="s">
        <v>341</v>
      </c>
      <c r="D29" s="33" t="s">
        <v>244</v>
      </c>
      <c r="E29" s="34" t="s">
        <v>324</v>
      </c>
      <c r="F29" s="10">
        <v>134496</v>
      </c>
      <c r="G29" s="35">
        <v>279600</v>
      </c>
    </row>
    <row r="30" spans="1:7" ht="15.75" x14ac:dyDescent="0.25">
      <c r="A30" s="33" t="s">
        <v>199</v>
      </c>
      <c r="B30" s="33" t="s">
        <v>279</v>
      </c>
      <c r="C30" s="34" t="s">
        <v>323</v>
      </c>
      <c r="D30" s="33" t="s">
        <v>39</v>
      </c>
      <c r="E30" s="33" t="s">
        <v>324</v>
      </c>
      <c r="F30" s="34" t="s">
        <v>29</v>
      </c>
      <c r="G30" s="35">
        <v>97000</v>
      </c>
    </row>
    <row r="31" spans="1:7" ht="15.75" x14ac:dyDescent="0.25">
      <c r="A31" s="33" t="s">
        <v>199</v>
      </c>
      <c r="B31" s="33" t="s">
        <v>279</v>
      </c>
      <c r="C31" s="34" t="s">
        <v>323</v>
      </c>
      <c r="D31" s="33" t="s">
        <v>39</v>
      </c>
      <c r="E31" s="33" t="s">
        <v>324</v>
      </c>
      <c r="F31" s="34" t="s">
        <v>29</v>
      </c>
      <c r="G31" s="35">
        <v>120800</v>
      </c>
    </row>
    <row r="32" spans="1:7" ht="15.75" x14ac:dyDescent="0.25">
      <c r="A32" s="33" t="s">
        <v>199</v>
      </c>
      <c r="B32" s="33" t="s">
        <v>279</v>
      </c>
      <c r="C32" s="34" t="s">
        <v>323</v>
      </c>
      <c r="D32" s="33" t="s">
        <v>39</v>
      </c>
      <c r="E32" s="33" t="s">
        <v>324</v>
      </c>
      <c r="F32" s="34" t="s">
        <v>29</v>
      </c>
      <c r="G32" s="35">
        <v>97600</v>
      </c>
    </row>
    <row r="33" spans="1:7" ht="15.75" x14ac:dyDescent="0.25">
      <c r="A33" s="34" t="s">
        <v>37</v>
      </c>
      <c r="B33" s="33" t="s">
        <v>292</v>
      </c>
      <c r="C33" s="34" t="s">
        <v>323</v>
      </c>
      <c r="D33" s="33" t="s">
        <v>169</v>
      </c>
      <c r="E33" s="33" t="s">
        <v>324</v>
      </c>
      <c r="F33" s="10">
        <v>134457</v>
      </c>
      <c r="G33" s="35">
        <v>18620</v>
      </c>
    </row>
    <row r="34" spans="1:7" ht="15.75" x14ac:dyDescent="0.25">
      <c r="A34" s="123" t="s">
        <v>55</v>
      </c>
      <c r="B34" s="120" t="s">
        <v>281</v>
      </c>
      <c r="C34" s="123" t="s">
        <v>341</v>
      </c>
      <c r="D34" s="118" t="s">
        <v>201</v>
      </c>
      <c r="E34" s="120" t="s">
        <v>281</v>
      </c>
      <c r="F34" s="123" t="s">
        <v>29</v>
      </c>
      <c r="G34" s="122">
        <v>4800</v>
      </c>
    </row>
    <row r="35" spans="1:7" ht="15.75" x14ac:dyDescent="0.25">
      <c r="A35" s="123" t="s">
        <v>55</v>
      </c>
      <c r="B35" s="120" t="s">
        <v>281</v>
      </c>
      <c r="C35" s="123" t="s">
        <v>341</v>
      </c>
      <c r="D35" s="118" t="s">
        <v>201</v>
      </c>
      <c r="E35" s="120" t="s">
        <v>281</v>
      </c>
      <c r="F35" s="123" t="s">
        <v>29</v>
      </c>
      <c r="G35" s="122">
        <v>4800</v>
      </c>
    </row>
    <row r="36" spans="1:7" ht="15.75" x14ac:dyDescent="0.25">
      <c r="A36" s="123" t="s">
        <v>55</v>
      </c>
      <c r="B36" s="120" t="s">
        <v>281</v>
      </c>
      <c r="C36" s="123" t="s">
        <v>341</v>
      </c>
      <c r="D36" s="118" t="s">
        <v>201</v>
      </c>
      <c r="E36" s="120" t="s">
        <v>281</v>
      </c>
      <c r="F36" s="123" t="s">
        <v>29</v>
      </c>
      <c r="G36" s="122">
        <v>4800</v>
      </c>
    </row>
    <row r="37" spans="1:7" ht="15.75" x14ac:dyDescent="0.25">
      <c r="A37" s="33"/>
      <c r="B37" s="33"/>
      <c r="C37" s="34"/>
      <c r="D37" s="33"/>
      <c r="E37" s="33"/>
      <c r="F37" s="34"/>
      <c r="G37" s="35"/>
    </row>
    <row r="38" spans="1:7" ht="18" x14ac:dyDescent="0.25">
      <c r="A38" s="173" t="s">
        <v>321</v>
      </c>
      <c r="B38" s="174"/>
      <c r="C38" s="175"/>
      <c r="D38" s="176"/>
      <c r="E38" s="177"/>
      <c r="F38" s="178"/>
      <c r="G38" s="179">
        <f>SUM(G20:G37)</f>
        <v>1247696</v>
      </c>
    </row>
    <row r="39" spans="1:7" ht="18" x14ac:dyDescent="0.25">
      <c r="A39" s="180"/>
      <c r="B39" s="11"/>
      <c r="C39" s="181" t="s">
        <v>325</v>
      </c>
      <c r="D39" s="182"/>
      <c r="E39" s="182"/>
      <c r="F39" s="183"/>
      <c r="G39" s="184"/>
    </row>
    <row r="40" spans="1:7" ht="15.75" x14ac:dyDescent="0.25">
      <c r="A40" s="34" t="s">
        <v>224</v>
      </c>
      <c r="B40" s="11" t="s">
        <v>310</v>
      </c>
      <c r="C40" s="34" t="s">
        <v>323</v>
      </c>
      <c r="D40" s="33" t="s">
        <v>223</v>
      </c>
      <c r="E40" s="11" t="s">
        <v>324</v>
      </c>
      <c r="F40" s="34">
        <v>721755920</v>
      </c>
      <c r="G40" s="35">
        <v>39208</v>
      </c>
    </row>
    <row r="41" spans="1:7" ht="18.75" x14ac:dyDescent="0.25">
      <c r="A41" s="5" t="s">
        <v>248</v>
      </c>
      <c r="B41" s="5" t="s">
        <v>269</v>
      </c>
      <c r="C41" s="34" t="s">
        <v>323</v>
      </c>
      <c r="D41" s="15" t="s">
        <v>19</v>
      </c>
      <c r="E41" s="34" t="s">
        <v>324</v>
      </c>
      <c r="F41" s="15">
        <v>134499</v>
      </c>
      <c r="G41" s="137">
        <v>246680</v>
      </c>
    </row>
    <row r="42" spans="1:7" ht="18.75" x14ac:dyDescent="0.25">
      <c r="A42" s="101" t="s">
        <v>156</v>
      </c>
      <c r="B42" s="15" t="s">
        <v>308</v>
      </c>
      <c r="C42" s="34" t="s">
        <v>323</v>
      </c>
      <c r="D42" s="9" t="s">
        <v>155</v>
      </c>
      <c r="E42" s="34" t="s">
        <v>324</v>
      </c>
      <c r="F42" s="10">
        <v>133899</v>
      </c>
      <c r="G42" s="14">
        <v>27100</v>
      </c>
    </row>
    <row r="43" spans="1:7" ht="18.75" x14ac:dyDescent="0.25">
      <c r="A43" s="34" t="s">
        <v>156</v>
      </c>
      <c r="B43" s="15" t="s">
        <v>308</v>
      </c>
      <c r="C43" s="34" t="s">
        <v>323</v>
      </c>
      <c r="D43" s="33" t="s">
        <v>159</v>
      </c>
      <c r="E43" s="34" t="s">
        <v>324</v>
      </c>
      <c r="F43" s="10">
        <v>134451</v>
      </c>
      <c r="G43" s="35">
        <v>7870</v>
      </c>
    </row>
    <row r="44" spans="1:7" ht="15.75" x14ac:dyDescent="0.25">
      <c r="A44" s="34" t="s">
        <v>160</v>
      </c>
      <c r="B44" s="34" t="s">
        <v>290</v>
      </c>
      <c r="C44" s="34" t="s">
        <v>323</v>
      </c>
      <c r="D44" s="33" t="s">
        <v>161</v>
      </c>
      <c r="E44" s="34" t="s">
        <v>324</v>
      </c>
      <c r="F44" s="10">
        <v>134452</v>
      </c>
      <c r="G44" s="35">
        <v>65000</v>
      </c>
    </row>
    <row r="45" spans="1:7" ht="15.75" x14ac:dyDescent="0.25">
      <c r="A45" s="34" t="s">
        <v>238</v>
      </c>
      <c r="B45" s="34" t="s">
        <v>309</v>
      </c>
      <c r="C45" s="34" t="s">
        <v>323</v>
      </c>
      <c r="D45" s="33" t="s">
        <v>237</v>
      </c>
      <c r="E45" s="34" t="s">
        <v>324</v>
      </c>
      <c r="F45" s="10">
        <v>134491</v>
      </c>
      <c r="G45" s="35">
        <v>177500</v>
      </c>
    </row>
    <row r="46" spans="1:7" ht="18.75" x14ac:dyDescent="0.25">
      <c r="A46" s="34" t="s">
        <v>243</v>
      </c>
      <c r="B46" s="15" t="s">
        <v>308</v>
      </c>
      <c r="C46" s="34" t="s">
        <v>323</v>
      </c>
      <c r="D46" s="33" t="s">
        <v>242</v>
      </c>
      <c r="E46" s="34" t="s">
        <v>324</v>
      </c>
      <c r="F46" s="10">
        <v>134495</v>
      </c>
      <c r="G46" s="35">
        <v>96400</v>
      </c>
    </row>
    <row r="47" spans="1:7" ht="15.75" x14ac:dyDescent="0.25">
      <c r="A47" s="102" t="s">
        <v>158</v>
      </c>
      <c r="B47" s="33" t="s">
        <v>305</v>
      </c>
      <c r="C47" s="34" t="s">
        <v>323</v>
      </c>
      <c r="D47" s="33" t="s">
        <v>157</v>
      </c>
      <c r="E47" s="34" t="s">
        <v>324</v>
      </c>
      <c r="F47" s="10">
        <v>133900</v>
      </c>
      <c r="G47" s="35">
        <v>13500</v>
      </c>
    </row>
    <row r="48" spans="1:7" ht="15.75" x14ac:dyDescent="0.25">
      <c r="A48" s="102" t="s">
        <v>173</v>
      </c>
      <c r="B48" s="33" t="s">
        <v>305</v>
      </c>
      <c r="C48" s="34" t="s">
        <v>323</v>
      </c>
      <c r="D48" s="33" t="s">
        <v>172</v>
      </c>
      <c r="E48" s="34" t="s">
        <v>324</v>
      </c>
      <c r="F48" s="10">
        <v>134460</v>
      </c>
      <c r="G48" s="35">
        <v>47600</v>
      </c>
    </row>
    <row r="49" spans="1:7" ht="15.75" x14ac:dyDescent="0.25">
      <c r="A49" s="34" t="s">
        <v>191</v>
      </c>
      <c r="B49" s="33" t="s">
        <v>286</v>
      </c>
      <c r="C49" s="34" t="s">
        <v>323</v>
      </c>
      <c r="D49" s="33" t="s">
        <v>190</v>
      </c>
      <c r="E49" s="34" t="s">
        <v>324</v>
      </c>
      <c r="F49" s="10">
        <v>134466</v>
      </c>
      <c r="G49" s="35">
        <v>27840</v>
      </c>
    </row>
    <row r="50" spans="1:7" ht="15.75" x14ac:dyDescent="0.25">
      <c r="A50" s="34" t="s">
        <v>171</v>
      </c>
      <c r="B50" s="33" t="s">
        <v>290</v>
      </c>
      <c r="C50" s="34" t="s">
        <v>323</v>
      </c>
      <c r="D50" s="33" t="s">
        <v>169</v>
      </c>
      <c r="E50" s="34" t="s">
        <v>324</v>
      </c>
      <c r="F50" s="10">
        <v>134459</v>
      </c>
      <c r="G50" s="35">
        <v>17000</v>
      </c>
    </row>
    <row r="51" spans="1:7" ht="15.75" x14ac:dyDescent="0.25">
      <c r="A51" s="34" t="s">
        <v>156</v>
      </c>
      <c r="B51" s="33" t="s">
        <v>289</v>
      </c>
      <c r="C51" s="34" t="s">
        <v>323</v>
      </c>
      <c r="D51" s="33" t="s">
        <v>169</v>
      </c>
      <c r="E51" s="34" t="s">
        <v>324</v>
      </c>
      <c r="F51" s="10">
        <v>134490</v>
      </c>
      <c r="G51" s="35">
        <v>70800</v>
      </c>
    </row>
    <row r="52" spans="1:7" ht="15.75" x14ac:dyDescent="0.25">
      <c r="A52" s="176"/>
      <c r="B52" s="11"/>
      <c r="C52" s="88"/>
      <c r="D52" s="176"/>
      <c r="E52" s="185"/>
      <c r="F52" s="178"/>
      <c r="G52" s="186"/>
    </row>
    <row r="53" spans="1:7" ht="15.75" x14ac:dyDescent="0.25">
      <c r="A53" s="9"/>
      <c r="B53" s="46"/>
      <c r="C53" s="88"/>
      <c r="D53" s="9"/>
      <c r="E53" s="185"/>
      <c r="F53" s="11"/>
      <c r="G53" s="164"/>
    </row>
    <row r="54" spans="1:7" ht="15.75" x14ac:dyDescent="0.25">
      <c r="A54" s="9"/>
      <c r="B54" s="46"/>
      <c r="C54" s="88"/>
      <c r="D54" s="9"/>
      <c r="E54" s="185"/>
      <c r="F54" s="162"/>
      <c r="G54" s="164"/>
    </row>
    <row r="55" spans="1:7" ht="18" x14ac:dyDescent="0.25">
      <c r="A55" s="9"/>
      <c r="B55" s="46"/>
      <c r="C55" s="187"/>
      <c r="D55" s="9"/>
      <c r="E55" s="177"/>
      <c r="F55" s="162"/>
      <c r="G55" s="216"/>
    </row>
    <row r="56" spans="1:7" ht="18" x14ac:dyDescent="0.25">
      <c r="A56" s="188" t="s">
        <v>321</v>
      </c>
      <c r="B56" s="178"/>
      <c r="C56" s="187"/>
      <c r="D56" s="178"/>
      <c r="E56" s="177"/>
      <c r="F56" s="189"/>
      <c r="G56" s="190">
        <f>SUM(G40:G55)</f>
        <v>836498</v>
      </c>
    </row>
    <row r="57" spans="1:7" ht="18" x14ac:dyDescent="0.25">
      <c r="A57" s="191" t="s">
        <v>326</v>
      </c>
      <c r="B57" s="192"/>
      <c r="C57" s="193"/>
      <c r="D57" s="194"/>
      <c r="E57" s="195"/>
      <c r="F57" s="196"/>
      <c r="G57" s="197"/>
    </row>
    <row r="58" spans="1:7" ht="18" x14ac:dyDescent="0.25">
      <c r="A58" s="191" t="s">
        <v>327</v>
      </c>
      <c r="B58" s="191"/>
      <c r="C58" s="193"/>
      <c r="D58" s="198"/>
      <c r="E58" s="195"/>
      <c r="F58" s="196"/>
      <c r="G58" s="197"/>
    </row>
    <row r="59" spans="1:7" x14ac:dyDescent="0.25">
      <c r="A59" s="198"/>
      <c r="B59" s="191"/>
      <c r="C59" s="199"/>
      <c r="D59" s="191"/>
      <c r="E59" s="145"/>
      <c r="F59" s="146"/>
      <c r="G59" s="200"/>
    </row>
    <row r="60" spans="1:7" ht="15.75" x14ac:dyDescent="0.25">
      <c r="A60" s="201"/>
      <c r="B60" s="143" t="s">
        <v>328</v>
      </c>
      <c r="C60" s="202"/>
      <c r="D60" s="145"/>
      <c r="E60" s="145"/>
      <c r="F60" s="146"/>
      <c r="G60" s="203"/>
    </row>
    <row r="61" spans="1:7" ht="45" x14ac:dyDescent="0.25">
      <c r="A61" s="150" t="s">
        <v>329</v>
      </c>
      <c r="B61" s="204" t="s">
        <v>330</v>
      </c>
      <c r="C61" s="151" t="s">
        <v>331</v>
      </c>
      <c r="D61" s="150" t="s">
        <v>332</v>
      </c>
      <c r="E61" s="150" t="s">
        <v>333</v>
      </c>
      <c r="F61" s="146"/>
      <c r="G61" s="203"/>
    </row>
    <row r="62" spans="1:7" x14ac:dyDescent="0.25">
      <c r="A62" s="154">
        <v>1</v>
      </c>
      <c r="B62" s="150" t="s">
        <v>263</v>
      </c>
      <c r="C62" s="205">
        <v>7</v>
      </c>
      <c r="D62" s="166">
        <v>425630</v>
      </c>
      <c r="E62" s="206"/>
      <c r="F62" s="146"/>
      <c r="G62" s="203"/>
    </row>
    <row r="63" spans="1:7" x14ac:dyDescent="0.25">
      <c r="A63" s="154">
        <v>2</v>
      </c>
      <c r="B63" s="155" t="s">
        <v>264</v>
      </c>
      <c r="C63" s="205">
        <v>17</v>
      </c>
      <c r="D63" s="207">
        <v>1247696</v>
      </c>
      <c r="E63" s="208"/>
      <c r="F63" s="209"/>
      <c r="G63" s="67"/>
    </row>
    <row r="64" spans="1:7" x14ac:dyDescent="0.25">
      <c r="A64" s="154">
        <v>3</v>
      </c>
      <c r="B64" s="155" t="s">
        <v>12</v>
      </c>
      <c r="C64" s="205">
        <v>12</v>
      </c>
      <c r="D64" s="207">
        <v>836498</v>
      </c>
      <c r="E64" s="208"/>
      <c r="F64" s="209"/>
      <c r="G64" s="67"/>
    </row>
    <row r="65" spans="1:7" x14ac:dyDescent="0.25">
      <c r="A65" s="154"/>
      <c r="B65" s="155" t="s">
        <v>334</v>
      </c>
      <c r="C65" s="210">
        <f>SUM(C62:C64)</f>
        <v>36</v>
      </c>
      <c r="D65" s="211">
        <f>SUM(D62:D64)</f>
        <v>2509824</v>
      </c>
      <c r="E65" s="208"/>
      <c r="F65" s="209"/>
      <c r="G65" s="67"/>
    </row>
    <row r="66" spans="1:7" x14ac:dyDescent="0.25">
      <c r="A66" s="67"/>
      <c r="B66" s="67"/>
      <c r="C66" s="67"/>
      <c r="D66" s="67"/>
      <c r="E66" s="67"/>
      <c r="F66" s="67"/>
      <c r="G66" s="67"/>
    </row>
    <row r="67" spans="1:7" x14ac:dyDescent="0.25">
      <c r="A67" s="67" t="s">
        <v>335</v>
      </c>
      <c r="B67" s="67"/>
      <c r="C67" s="67"/>
      <c r="D67" s="67" t="s">
        <v>336</v>
      </c>
      <c r="E67" s="67"/>
      <c r="F67" s="67"/>
      <c r="G67" s="67"/>
    </row>
    <row r="68" spans="1:7" x14ac:dyDescent="0.25">
      <c r="A68" s="67"/>
      <c r="B68" s="67"/>
      <c r="C68" s="67"/>
      <c r="D68" s="67"/>
      <c r="E68" s="67"/>
      <c r="F68" s="67"/>
      <c r="G68" s="67"/>
    </row>
    <row r="69" spans="1:7" x14ac:dyDescent="0.25">
      <c r="A69" s="67"/>
      <c r="B69" s="67"/>
      <c r="C69" s="67"/>
      <c r="D69" s="67"/>
      <c r="E69" s="67"/>
      <c r="F69" s="67"/>
      <c r="G69" s="67"/>
    </row>
    <row r="70" spans="1:7" x14ac:dyDescent="0.25">
      <c r="A70" s="67" t="s">
        <v>337</v>
      </c>
      <c r="B70" s="67"/>
      <c r="C70" s="67"/>
      <c r="D70" s="67"/>
      <c r="E70" s="67"/>
      <c r="F70" s="67"/>
      <c r="G70" s="67"/>
    </row>
    <row r="71" spans="1:7" x14ac:dyDescent="0.25">
      <c r="A71" s="67"/>
      <c r="B71" s="67"/>
      <c r="C71" s="67"/>
      <c r="D71" s="67"/>
      <c r="E71" s="67"/>
      <c r="F71" s="67"/>
      <c r="G71" s="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06"/>
  <sheetViews>
    <sheetView tabSelected="1" topLeftCell="A4" workbookViewId="0">
      <selection activeCell="E56" sqref="E56"/>
    </sheetView>
  </sheetViews>
  <sheetFormatPr defaultRowHeight="15" x14ac:dyDescent="0.25"/>
  <cols>
    <col min="1" max="1" width="14" customWidth="1"/>
    <col min="2" max="2" width="17.5703125" customWidth="1"/>
    <col min="3" max="3" width="18" customWidth="1"/>
    <col min="4" max="4" width="21" customWidth="1"/>
    <col min="5" max="5" width="54.42578125" customWidth="1"/>
    <col min="6" max="6" width="27.42578125" customWidth="1"/>
    <col min="7" max="7" width="21.7109375" customWidth="1"/>
    <col min="8" max="8" width="19.140625" customWidth="1"/>
  </cols>
  <sheetData>
    <row r="3" spans="1:9" ht="28.5" x14ac:dyDescent="0.45">
      <c r="A3" s="67"/>
      <c r="B3" s="67"/>
      <c r="C3" s="67"/>
      <c r="D3" s="67"/>
      <c r="E3" s="68" t="s">
        <v>111</v>
      </c>
      <c r="F3" s="67"/>
      <c r="G3" s="67"/>
      <c r="H3" s="67"/>
      <c r="I3" s="67"/>
    </row>
    <row r="4" spans="1:9" ht="15.75" x14ac:dyDescent="0.25">
      <c r="A4" s="67"/>
      <c r="B4" s="67"/>
      <c r="C4" s="67"/>
      <c r="D4" s="67"/>
      <c r="E4" s="67"/>
      <c r="F4" s="69" t="s">
        <v>112</v>
      </c>
      <c r="G4" s="67"/>
      <c r="H4" s="67"/>
      <c r="I4" s="67"/>
    </row>
    <row r="5" spans="1:9" ht="47.25" x14ac:dyDescent="0.25">
      <c r="A5" s="69"/>
      <c r="B5" s="70"/>
      <c r="C5" s="70"/>
      <c r="D5" s="70" t="s">
        <v>346</v>
      </c>
      <c r="E5" s="71" t="s">
        <v>345</v>
      </c>
      <c r="G5" s="70"/>
      <c r="H5" s="72" t="s">
        <v>342</v>
      </c>
      <c r="I5" s="67"/>
    </row>
    <row r="6" spans="1:9" ht="15.75" x14ac:dyDescent="0.25">
      <c r="A6" s="73"/>
      <c r="B6" s="74"/>
      <c r="C6" s="74"/>
      <c r="D6" s="74"/>
      <c r="E6" s="75"/>
      <c r="F6" s="76"/>
      <c r="G6" s="77"/>
      <c r="H6" s="78"/>
      <c r="I6" s="67"/>
    </row>
    <row r="7" spans="1:9" ht="31.5" x14ac:dyDescent="0.25">
      <c r="A7" s="79" t="s">
        <v>113</v>
      </c>
      <c r="B7" s="79" t="s">
        <v>114</v>
      </c>
      <c r="C7" s="79" t="s">
        <v>115</v>
      </c>
      <c r="D7" s="79" t="s">
        <v>116</v>
      </c>
      <c r="E7" s="79" t="s">
        <v>137</v>
      </c>
      <c r="F7" s="79" t="s">
        <v>117</v>
      </c>
      <c r="G7" s="79" t="s">
        <v>118</v>
      </c>
      <c r="H7" s="79" t="s">
        <v>119</v>
      </c>
      <c r="I7" s="67"/>
    </row>
    <row r="8" spans="1:9" ht="18.75" x14ac:dyDescent="0.25">
      <c r="A8" s="80">
        <v>45017</v>
      </c>
      <c r="B8" s="28">
        <v>14432</v>
      </c>
      <c r="C8" s="21">
        <v>134847</v>
      </c>
      <c r="D8" s="12" t="s">
        <v>351</v>
      </c>
      <c r="E8" s="15" t="s">
        <v>352</v>
      </c>
      <c r="F8" s="15" t="s">
        <v>348</v>
      </c>
      <c r="G8" s="217">
        <v>8100</v>
      </c>
      <c r="H8" s="81"/>
      <c r="I8" s="67"/>
    </row>
    <row r="9" spans="1:9" ht="18.75" x14ac:dyDescent="0.25">
      <c r="A9" s="80">
        <v>45017</v>
      </c>
      <c r="B9" s="28">
        <v>14433</v>
      </c>
      <c r="C9" s="21">
        <v>134848</v>
      </c>
      <c r="D9" s="12" t="s">
        <v>353</v>
      </c>
      <c r="E9" s="15" t="s">
        <v>354</v>
      </c>
      <c r="F9" s="15" t="s">
        <v>348</v>
      </c>
      <c r="G9" s="217">
        <v>8100</v>
      </c>
      <c r="H9" s="81"/>
      <c r="I9" s="67"/>
    </row>
    <row r="10" spans="1:9" ht="18.75" x14ac:dyDescent="0.25">
      <c r="A10" s="80">
        <v>44930</v>
      </c>
      <c r="B10" s="82">
        <v>14433</v>
      </c>
      <c r="C10" s="21">
        <v>134849</v>
      </c>
      <c r="D10" s="12" t="s">
        <v>353</v>
      </c>
      <c r="E10" s="15" t="s">
        <v>355</v>
      </c>
      <c r="F10" s="15" t="s">
        <v>348</v>
      </c>
      <c r="G10" s="217">
        <v>8100</v>
      </c>
      <c r="H10" s="83"/>
      <c r="I10" s="67"/>
    </row>
    <row r="11" spans="1:9" ht="18.75" x14ac:dyDescent="0.25">
      <c r="A11" s="80">
        <v>45017</v>
      </c>
      <c r="B11" s="82">
        <v>14432</v>
      </c>
      <c r="C11" s="21">
        <v>134850</v>
      </c>
      <c r="D11" s="12" t="s">
        <v>353</v>
      </c>
      <c r="E11" s="15" t="s">
        <v>356</v>
      </c>
      <c r="F11" s="15" t="s">
        <v>348</v>
      </c>
      <c r="G11" s="217">
        <v>8100</v>
      </c>
      <c r="H11" s="84"/>
      <c r="I11" s="67"/>
    </row>
    <row r="12" spans="1:9" ht="18.75" x14ac:dyDescent="0.25">
      <c r="A12" s="80">
        <v>45020</v>
      </c>
      <c r="B12" s="82">
        <v>13713</v>
      </c>
      <c r="C12" s="21">
        <v>134905</v>
      </c>
      <c r="D12" s="12" t="s">
        <v>120</v>
      </c>
      <c r="E12" s="15" t="s">
        <v>357</v>
      </c>
      <c r="F12" s="15" t="s">
        <v>348</v>
      </c>
      <c r="G12" s="217">
        <v>10750</v>
      </c>
      <c r="H12" s="84"/>
      <c r="I12" s="67"/>
    </row>
    <row r="13" spans="1:9" ht="18.75" x14ac:dyDescent="0.25">
      <c r="A13" s="80">
        <v>45021</v>
      </c>
      <c r="B13" s="82">
        <v>13715</v>
      </c>
      <c r="C13" s="21">
        <v>134906</v>
      </c>
      <c r="D13" s="12" t="s">
        <v>120</v>
      </c>
      <c r="E13" s="15" t="s">
        <v>350</v>
      </c>
      <c r="F13" s="15" t="s">
        <v>348</v>
      </c>
      <c r="G13" s="217">
        <v>10758</v>
      </c>
      <c r="H13" s="84"/>
      <c r="I13" s="67"/>
    </row>
    <row r="14" spans="1:9" ht="18.75" x14ac:dyDescent="0.25">
      <c r="A14" s="80">
        <v>45021</v>
      </c>
      <c r="B14" s="82"/>
      <c r="C14" s="21">
        <v>134907</v>
      </c>
      <c r="D14" s="12" t="s">
        <v>120</v>
      </c>
      <c r="E14" s="15" t="s">
        <v>358</v>
      </c>
      <c r="F14" s="15" t="s">
        <v>348</v>
      </c>
      <c r="G14" s="217">
        <v>8965</v>
      </c>
      <c r="H14" s="84"/>
      <c r="I14" s="67"/>
    </row>
    <row r="15" spans="1:9" ht="18.75" x14ac:dyDescent="0.25">
      <c r="A15" s="80">
        <v>45021</v>
      </c>
      <c r="B15" s="82">
        <v>13714</v>
      </c>
      <c r="C15" s="21">
        <v>134908</v>
      </c>
      <c r="D15" s="12" t="s">
        <v>120</v>
      </c>
      <c r="E15" s="15" t="s">
        <v>359</v>
      </c>
      <c r="F15" s="15" t="s">
        <v>348</v>
      </c>
      <c r="G15" s="217">
        <v>7172</v>
      </c>
      <c r="H15" s="84"/>
      <c r="I15" s="67"/>
    </row>
    <row r="16" spans="1:9" ht="18.75" x14ac:dyDescent="0.25">
      <c r="A16" s="80">
        <v>45021</v>
      </c>
      <c r="B16" s="82">
        <v>13714</v>
      </c>
      <c r="C16" s="21">
        <v>134909</v>
      </c>
      <c r="D16" s="12" t="s">
        <v>120</v>
      </c>
      <c r="E16" s="15" t="s">
        <v>359</v>
      </c>
      <c r="F16" s="15" t="s">
        <v>348</v>
      </c>
      <c r="G16" s="217">
        <v>7172</v>
      </c>
      <c r="H16" s="84"/>
      <c r="I16" s="67"/>
    </row>
    <row r="17" spans="1:9" ht="18.75" x14ac:dyDescent="0.25">
      <c r="A17" s="80">
        <v>45027</v>
      </c>
      <c r="B17" s="82">
        <v>13720</v>
      </c>
      <c r="C17" s="21">
        <v>134910</v>
      </c>
      <c r="D17" s="12" t="s">
        <v>120</v>
      </c>
      <c r="E17" s="15" t="s">
        <v>359</v>
      </c>
      <c r="F17" s="15" t="s">
        <v>348</v>
      </c>
      <c r="G17" s="217">
        <v>7172</v>
      </c>
      <c r="H17" s="84"/>
      <c r="I17" s="67"/>
    </row>
    <row r="18" spans="1:9" ht="18.75" x14ac:dyDescent="0.25">
      <c r="A18" s="80">
        <v>45035</v>
      </c>
      <c r="B18" s="82">
        <v>14435</v>
      </c>
      <c r="C18" s="21">
        <v>134911</v>
      </c>
      <c r="D18" s="12" t="s">
        <v>360</v>
      </c>
      <c r="E18" s="15" t="s">
        <v>361</v>
      </c>
      <c r="F18" s="15" t="s">
        <v>348</v>
      </c>
      <c r="G18" s="217">
        <v>64800</v>
      </c>
      <c r="H18" s="84"/>
      <c r="I18" s="67"/>
    </row>
    <row r="19" spans="1:9" ht="18.75" x14ac:dyDescent="0.25">
      <c r="A19" s="80">
        <v>45021</v>
      </c>
      <c r="B19" s="82">
        <v>13716</v>
      </c>
      <c r="C19" s="21">
        <v>134912</v>
      </c>
      <c r="D19" s="12" t="s">
        <v>120</v>
      </c>
      <c r="E19" s="15" t="s">
        <v>358</v>
      </c>
      <c r="F19" s="15" t="s">
        <v>348</v>
      </c>
      <c r="G19" s="217">
        <v>8659</v>
      </c>
      <c r="H19" s="84"/>
      <c r="I19" s="67"/>
    </row>
    <row r="20" spans="1:9" ht="18.75" x14ac:dyDescent="0.25">
      <c r="A20" s="80">
        <v>45027</v>
      </c>
      <c r="B20" s="82">
        <v>13717</v>
      </c>
      <c r="C20" s="21">
        <v>134913</v>
      </c>
      <c r="D20" s="12" t="s">
        <v>120</v>
      </c>
      <c r="E20" s="15" t="s">
        <v>362</v>
      </c>
      <c r="F20" s="15" t="s">
        <v>348</v>
      </c>
      <c r="G20" s="217">
        <v>24300</v>
      </c>
      <c r="H20" s="84"/>
      <c r="I20" s="67"/>
    </row>
    <row r="21" spans="1:9" ht="18.75" x14ac:dyDescent="0.25">
      <c r="A21" s="80">
        <v>45048</v>
      </c>
      <c r="B21" s="82">
        <v>14437</v>
      </c>
      <c r="C21" s="21">
        <v>134914</v>
      </c>
      <c r="D21" s="12" t="s">
        <v>353</v>
      </c>
      <c r="E21" s="15" t="s">
        <v>363</v>
      </c>
      <c r="F21" s="15" t="s">
        <v>348</v>
      </c>
      <c r="G21" s="217">
        <v>8100</v>
      </c>
      <c r="H21" s="83"/>
      <c r="I21" s="67"/>
    </row>
    <row r="22" spans="1:9" ht="18.75" x14ac:dyDescent="0.25">
      <c r="A22" s="80">
        <v>45027</v>
      </c>
      <c r="B22" s="82">
        <v>13719</v>
      </c>
      <c r="C22" s="21">
        <v>134915</v>
      </c>
      <c r="D22" s="12" t="s">
        <v>120</v>
      </c>
      <c r="E22" s="15" t="s">
        <v>350</v>
      </c>
      <c r="F22" s="15" t="s">
        <v>348</v>
      </c>
      <c r="G22" s="217">
        <v>10758</v>
      </c>
      <c r="H22" s="83"/>
      <c r="I22" s="67"/>
    </row>
    <row r="23" spans="1:9" ht="18.75" x14ac:dyDescent="0.25">
      <c r="A23" s="80">
        <v>45027</v>
      </c>
      <c r="B23" s="82">
        <v>13718</v>
      </c>
      <c r="C23" s="21">
        <v>134916</v>
      </c>
      <c r="D23" s="12" t="s">
        <v>120</v>
      </c>
      <c r="E23" s="15" t="s">
        <v>364</v>
      </c>
      <c r="F23" s="15" t="s">
        <v>348</v>
      </c>
      <c r="G23" s="217">
        <v>9720</v>
      </c>
      <c r="H23" s="83"/>
      <c r="I23" s="67"/>
    </row>
    <row r="24" spans="1:9" ht="18.75" x14ac:dyDescent="0.25">
      <c r="A24" s="80">
        <v>45034</v>
      </c>
      <c r="B24" s="82">
        <v>13723</v>
      </c>
      <c r="C24" s="21">
        <v>134917</v>
      </c>
      <c r="D24" s="12" t="s">
        <v>120</v>
      </c>
      <c r="E24" s="15" t="s">
        <v>365</v>
      </c>
      <c r="F24" s="15" t="s">
        <v>348</v>
      </c>
      <c r="G24" s="217">
        <v>9720</v>
      </c>
      <c r="H24" s="83"/>
      <c r="I24" s="67"/>
    </row>
    <row r="25" spans="1:9" ht="18.75" x14ac:dyDescent="0.25">
      <c r="A25" s="80">
        <v>45034</v>
      </c>
      <c r="B25" s="82">
        <v>13725</v>
      </c>
      <c r="C25" s="21">
        <v>134918</v>
      </c>
      <c r="D25" s="12" t="s">
        <v>120</v>
      </c>
      <c r="E25" s="15" t="s">
        <v>362</v>
      </c>
      <c r="F25" s="15" t="s">
        <v>348</v>
      </c>
      <c r="G25" s="217">
        <v>24300</v>
      </c>
      <c r="H25" s="83"/>
      <c r="I25" s="67"/>
    </row>
    <row r="26" spans="1:9" ht="18.75" x14ac:dyDescent="0.25">
      <c r="A26" s="80">
        <v>45034</v>
      </c>
      <c r="B26" s="28">
        <v>13727</v>
      </c>
      <c r="C26" s="21">
        <v>134919</v>
      </c>
      <c r="D26" s="12" t="s">
        <v>120</v>
      </c>
      <c r="E26" s="15" t="s">
        <v>358</v>
      </c>
      <c r="F26" s="15" t="s">
        <v>348</v>
      </c>
      <c r="G26" s="217">
        <v>8965</v>
      </c>
      <c r="H26" s="81"/>
      <c r="I26" s="67"/>
    </row>
    <row r="27" spans="1:9" ht="18.75" x14ac:dyDescent="0.3">
      <c r="A27" s="80">
        <v>45034</v>
      </c>
      <c r="B27" s="82">
        <v>13724</v>
      </c>
      <c r="C27" s="21">
        <v>134920</v>
      </c>
      <c r="D27" s="12" t="s">
        <v>120</v>
      </c>
      <c r="E27" s="23" t="s">
        <v>359</v>
      </c>
      <c r="F27" s="15" t="s">
        <v>348</v>
      </c>
      <c r="G27" s="217">
        <v>7172</v>
      </c>
      <c r="H27" s="83"/>
      <c r="I27" s="67"/>
    </row>
    <row r="28" spans="1:9" ht="18.75" x14ac:dyDescent="0.25">
      <c r="A28" s="80">
        <v>45034</v>
      </c>
      <c r="B28" s="82">
        <v>13726</v>
      </c>
      <c r="C28" s="21">
        <v>134921</v>
      </c>
      <c r="D28" s="12" t="s">
        <v>120</v>
      </c>
      <c r="E28" s="15" t="s">
        <v>349</v>
      </c>
      <c r="F28" s="15" t="s">
        <v>348</v>
      </c>
      <c r="G28" s="217">
        <v>25970</v>
      </c>
      <c r="H28" s="83"/>
      <c r="I28" s="67"/>
    </row>
    <row r="29" spans="1:9" ht="18.75" x14ac:dyDescent="0.25">
      <c r="A29" s="80">
        <v>45048</v>
      </c>
      <c r="B29" s="82">
        <v>14436</v>
      </c>
      <c r="C29" s="21">
        <v>134922</v>
      </c>
      <c r="D29" s="12" t="s">
        <v>353</v>
      </c>
      <c r="E29" s="15" t="s">
        <v>361</v>
      </c>
      <c r="F29" s="15" t="s">
        <v>348</v>
      </c>
      <c r="G29" s="217">
        <v>64800</v>
      </c>
      <c r="H29" s="83"/>
      <c r="I29" s="67"/>
    </row>
    <row r="30" spans="1:9" ht="18.75" x14ac:dyDescent="0.25">
      <c r="A30" s="80">
        <v>45034</v>
      </c>
      <c r="B30" s="82">
        <v>13722</v>
      </c>
      <c r="C30" s="21">
        <v>134923</v>
      </c>
      <c r="D30" s="12" t="s">
        <v>120</v>
      </c>
      <c r="E30" s="15" t="s">
        <v>350</v>
      </c>
      <c r="F30" s="15" t="s">
        <v>348</v>
      </c>
      <c r="G30" s="217">
        <v>8965</v>
      </c>
      <c r="H30" s="83"/>
      <c r="I30" s="67"/>
    </row>
    <row r="31" spans="1:9" ht="18.75" x14ac:dyDescent="0.25">
      <c r="A31" s="80">
        <v>45042</v>
      </c>
      <c r="B31" s="82">
        <v>13732</v>
      </c>
      <c r="C31" s="21">
        <v>134924</v>
      </c>
      <c r="D31" s="12" t="s">
        <v>120</v>
      </c>
      <c r="E31" s="15" t="s">
        <v>366</v>
      </c>
      <c r="F31" s="15" t="s">
        <v>348</v>
      </c>
      <c r="G31" s="217">
        <v>12960</v>
      </c>
      <c r="H31" s="83"/>
      <c r="I31" s="67"/>
    </row>
    <row r="32" spans="1:9" ht="18.75" x14ac:dyDescent="0.25">
      <c r="A32" s="80">
        <v>45027</v>
      </c>
      <c r="B32" s="82">
        <v>13721</v>
      </c>
      <c r="C32" s="21">
        <v>134925</v>
      </c>
      <c r="D32" s="12" t="s">
        <v>120</v>
      </c>
      <c r="E32" s="15" t="s">
        <v>358</v>
      </c>
      <c r="F32" s="15" t="s">
        <v>348</v>
      </c>
      <c r="G32" s="217">
        <v>8965</v>
      </c>
      <c r="H32" s="83"/>
      <c r="I32" s="67"/>
    </row>
    <row r="33" spans="1:9" ht="18.75" x14ac:dyDescent="0.25">
      <c r="A33" s="80">
        <v>45042</v>
      </c>
      <c r="B33" s="82">
        <v>13730</v>
      </c>
      <c r="C33" s="21">
        <v>134926</v>
      </c>
      <c r="D33" s="12" t="s">
        <v>120</v>
      </c>
      <c r="E33" s="15" t="s">
        <v>359</v>
      </c>
      <c r="F33" s="15" t="s">
        <v>348</v>
      </c>
      <c r="G33" s="217">
        <v>7172</v>
      </c>
      <c r="H33" s="83"/>
      <c r="I33" s="67"/>
    </row>
    <row r="34" spans="1:9" ht="18.75" x14ac:dyDescent="0.25">
      <c r="A34" s="80">
        <v>45035</v>
      </c>
      <c r="B34" s="82">
        <v>14435</v>
      </c>
      <c r="C34" s="21">
        <v>134927</v>
      </c>
      <c r="D34" s="12" t="s">
        <v>120</v>
      </c>
      <c r="E34" s="15" t="s">
        <v>361</v>
      </c>
      <c r="F34" s="15" t="s">
        <v>348</v>
      </c>
      <c r="G34" s="217">
        <v>64800</v>
      </c>
      <c r="H34" s="83"/>
      <c r="I34" s="67"/>
    </row>
    <row r="35" spans="1:9" ht="18.75" x14ac:dyDescent="0.25">
      <c r="A35" s="80">
        <v>45042</v>
      </c>
      <c r="B35" s="82">
        <v>13729</v>
      </c>
      <c r="C35" s="21">
        <v>134928</v>
      </c>
      <c r="D35" s="12" t="s">
        <v>120</v>
      </c>
      <c r="E35" s="15" t="s">
        <v>364</v>
      </c>
      <c r="F35" s="15" t="s">
        <v>348</v>
      </c>
      <c r="G35" s="217">
        <v>10758</v>
      </c>
      <c r="H35" s="83"/>
      <c r="I35" s="67"/>
    </row>
    <row r="36" spans="1:9" ht="18.75" x14ac:dyDescent="0.25">
      <c r="A36" s="80">
        <v>45042</v>
      </c>
      <c r="B36" s="85">
        <v>13728</v>
      </c>
      <c r="C36" s="21">
        <v>134929</v>
      </c>
      <c r="D36" s="12" t="s">
        <v>120</v>
      </c>
      <c r="E36" s="15" t="s">
        <v>362</v>
      </c>
      <c r="F36" s="15" t="s">
        <v>348</v>
      </c>
      <c r="G36" s="217">
        <v>24300</v>
      </c>
      <c r="H36" s="86"/>
      <c r="I36" s="67"/>
    </row>
    <row r="37" spans="1:9" ht="18.75" x14ac:dyDescent="0.25">
      <c r="A37" s="80"/>
      <c r="B37" s="82"/>
      <c r="C37" s="21"/>
      <c r="D37" s="12"/>
      <c r="E37" s="15"/>
      <c r="F37" s="15"/>
      <c r="G37" s="5"/>
      <c r="H37" s="87"/>
      <c r="I37" s="67"/>
    </row>
    <row r="38" spans="1:9" ht="18.75" x14ac:dyDescent="0.25">
      <c r="A38" s="80">
        <v>45027</v>
      </c>
      <c r="B38" s="88">
        <v>13721</v>
      </c>
      <c r="C38" s="21">
        <v>134931</v>
      </c>
      <c r="D38" s="12" t="s">
        <v>120</v>
      </c>
      <c r="E38" s="15" t="s">
        <v>358</v>
      </c>
      <c r="F38" s="15" t="s">
        <v>348</v>
      </c>
      <c r="G38" s="217">
        <v>8965</v>
      </c>
      <c r="H38" s="89"/>
      <c r="I38" s="67"/>
    </row>
    <row r="39" spans="1:9" ht="18.75" x14ac:dyDescent="0.25">
      <c r="A39" s="80">
        <v>45048</v>
      </c>
      <c r="B39" s="88">
        <v>14437</v>
      </c>
      <c r="C39" s="21">
        <v>134933</v>
      </c>
      <c r="D39" s="12" t="s">
        <v>120</v>
      </c>
      <c r="E39" s="15" t="s">
        <v>354</v>
      </c>
      <c r="F39" s="15" t="s">
        <v>348</v>
      </c>
      <c r="G39" s="217">
        <v>8100</v>
      </c>
      <c r="H39" s="89"/>
      <c r="I39" s="67"/>
    </row>
    <row r="40" spans="1:9" ht="18.75" x14ac:dyDescent="0.25">
      <c r="A40" s="80">
        <v>45068</v>
      </c>
      <c r="B40" s="88">
        <v>14438</v>
      </c>
      <c r="C40" s="21">
        <v>134934</v>
      </c>
      <c r="D40" s="12" t="s">
        <v>120</v>
      </c>
      <c r="E40" s="15" t="s">
        <v>367</v>
      </c>
      <c r="F40" s="15" t="s">
        <v>348</v>
      </c>
      <c r="G40" s="217">
        <v>8100</v>
      </c>
      <c r="H40" s="90"/>
      <c r="I40" s="67"/>
    </row>
    <row r="41" spans="1:9" ht="18.75" x14ac:dyDescent="0.25">
      <c r="A41" s="80">
        <v>45042</v>
      </c>
      <c r="B41" s="88">
        <v>13731</v>
      </c>
      <c r="C41" s="21">
        <v>134935</v>
      </c>
      <c r="D41" s="12" t="s">
        <v>120</v>
      </c>
      <c r="E41" s="15" t="s">
        <v>368</v>
      </c>
      <c r="F41" s="15" t="s">
        <v>348</v>
      </c>
      <c r="G41" s="217">
        <v>8965</v>
      </c>
      <c r="H41" s="90"/>
      <c r="I41" s="67"/>
    </row>
    <row r="42" spans="1:9" ht="18.75" x14ac:dyDescent="0.25">
      <c r="A42" s="80">
        <v>45049</v>
      </c>
      <c r="B42" s="88">
        <v>13644</v>
      </c>
      <c r="C42" s="21">
        <v>134936</v>
      </c>
      <c r="D42" s="12" t="s">
        <v>360</v>
      </c>
      <c r="E42" s="15" t="s">
        <v>361</v>
      </c>
      <c r="F42" s="15" t="s">
        <v>348</v>
      </c>
      <c r="G42" s="217">
        <v>64800</v>
      </c>
      <c r="H42" s="90"/>
      <c r="I42" s="67"/>
    </row>
    <row r="43" spans="1:9" ht="18.75" x14ac:dyDescent="0.25">
      <c r="A43" s="80">
        <v>45076</v>
      </c>
      <c r="B43" s="88">
        <v>13650</v>
      </c>
      <c r="C43" s="21">
        <v>134937</v>
      </c>
      <c r="D43" s="12" t="s">
        <v>360</v>
      </c>
      <c r="E43" s="15" t="s">
        <v>369</v>
      </c>
      <c r="F43" s="15" t="s">
        <v>348</v>
      </c>
      <c r="G43" s="217">
        <v>67360</v>
      </c>
      <c r="H43" s="90"/>
      <c r="I43" s="67"/>
    </row>
    <row r="44" spans="1:9" ht="18.75" x14ac:dyDescent="0.25">
      <c r="A44" s="80">
        <v>45050</v>
      </c>
      <c r="B44" s="88">
        <v>13733</v>
      </c>
      <c r="C44" s="21">
        <v>134938</v>
      </c>
      <c r="D44" s="12" t="s">
        <v>120</v>
      </c>
      <c r="E44" s="15" t="s">
        <v>347</v>
      </c>
      <c r="F44" s="15" t="s">
        <v>348</v>
      </c>
      <c r="G44" s="217">
        <v>7172</v>
      </c>
      <c r="H44" s="90"/>
      <c r="I44" s="67"/>
    </row>
    <row r="45" spans="1:9" ht="18.75" x14ac:dyDescent="0.25">
      <c r="A45" s="80">
        <v>44684</v>
      </c>
      <c r="B45" s="88">
        <v>13644</v>
      </c>
      <c r="C45" s="21">
        <v>134939</v>
      </c>
      <c r="D45" s="12" t="s">
        <v>360</v>
      </c>
      <c r="E45" s="15" t="s">
        <v>361</v>
      </c>
      <c r="F45" s="15" t="s">
        <v>348</v>
      </c>
      <c r="G45" s="217">
        <v>64800</v>
      </c>
      <c r="H45" s="89"/>
      <c r="I45" s="67"/>
    </row>
    <row r="46" spans="1:9" ht="18.75" x14ac:dyDescent="0.25">
      <c r="A46" s="80">
        <v>45050</v>
      </c>
      <c r="B46" s="88">
        <v>13734</v>
      </c>
      <c r="C46" s="21">
        <v>134940</v>
      </c>
      <c r="D46" s="12" t="s">
        <v>120</v>
      </c>
      <c r="E46" s="15" t="s">
        <v>358</v>
      </c>
      <c r="F46" s="15" t="s">
        <v>348</v>
      </c>
      <c r="G46" s="217">
        <v>9135</v>
      </c>
      <c r="H46" s="89"/>
      <c r="I46" s="67"/>
    </row>
    <row r="47" spans="1:9" ht="18.75" x14ac:dyDescent="0.25">
      <c r="A47" s="80">
        <v>45061</v>
      </c>
      <c r="B47" s="88">
        <v>13736</v>
      </c>
      <c r="C47" s="21">
        <v>134941</v>
      </c>
      <c r="D47" s="12" t="s">
        <v>120</v>
      </c>
      <c r="E47" s="15" t="s">
        <v>347</v>
      </c>
      <c r="F47" s="15" t="s">
        <v>348</v>
      </c>
      <c r="G47" s="217">
        <v>7308</v>
      </c>
      <c r="H47" s="89"/>
      <c r="I47" s="67"/>
    </row>
    <row r="48" spans="1:9" ht="18.75" x14ac:dyDescent="0.25">
      <c r="A48" s="80">
        <v>45068</v>
      </c>
      <c r="B48" s="88">
        <v>14439</v>
      </c>
      <c r="C48" s="21">
        <v>134943</v>
      </c>
      <c r="D48" s="12" t="s">
        <v>120</v>
      </c>
      <c r="E48" s="15" t="s">
        <v>354</v>
      </c>
      <c r="F48" s="15" t="s">
        <v>348</v>
      </c>
      <c r="G48" s="217">
        <v>8420</v>
      </c>
      <c r="H48" s="89"/>
      <c r="I48" s="67"/>
    </row>
    <row r="49" spans="1:9" ht="18.75" x14ac:dyDescent="0.25">
      <c r="A49" s="80">
        <v>45061</v>
      </c>
      <c r="B49" s="88">
        <v>13737</v>
      </c>
      <c r="C49" s="21">
        <v>134944</v>
      </c>
      <c r="D49" s="12" t="s">
        <v>120</v>
      </c>
      <c r="E49" s="15" t="s">
        <v>371</v>
      </c>
      <c r="F49" s="15" t="s">
        <v>348</v>
      </c>
      <c r="G49" s="217">
        <v>25260</v>
      </c>
      <c r="H49" s="89"/>
      <c r="I49" s="67"/>
    </row>
    <row r="50" spans="1:9" ht="18.75" x14ac:dyDescent="0.25">
      <c r="A50" s="80">
        <v>45061</v>
      </c>
      <c r="B50" s="88">
        <v>13735</v>
      </c>
      <c r="C50" s="21">
        <v>134945</v>
      </c>
      <c r="D50" s="12" t="s">
        <v>120</v>
      </c>
      <c r="E50" s="15" t="s">
        <v>370</v>
      </c>
      <c r="F50" s="15" t="s">
        <v>348</v>
      </c>
      <c r="G50" s="217">
        <v>10962</v>
      </c>
      <c r="H50" s="89"/>
      <c r="I50" s="67"/>
    </row>
    <row r="51" spans="1:9" ht="18.75" x14ac:dyDescent="0.25">
      <c r="A51" s="80">
        <v>45077</v>
      </c>
      <c r="B51" s="88">
        <v>13735</v>
      </c>
      <c r="C51" s="21">
        <v>134946</v>
      </c>
      <c r="D51" s="12" t="s">
        <v>120</v>
      </c>
      <c r="E51" s="15" t="s">
        <v>371</v>
      </c>
      <c r="F51" s="15" t="s">
        <v>348</v>
      </c>
      <c r="G51" s="217">
        <v>25260</v>
      </c>
      <c r="H51" s="89"/>
      <c r="I51" s="67"/>
    </row>
    <row r="52" spans="1:9" ht="18.75" x14ac:dyDescent="0.25">
      <c r="A52" s="80">
        <v>45050</v>
      </c>
      <c r="B52" s="88">
        <v>13742</v>
      </c>
      <c r="C52" s="21">
        <v>134947</v>
      </c>
      <c r="D52" s="12" t="s">
        <v>120</v>
      </c>
      <c r="E52" s="15" t="s">
        <v>358</v>
      </c>
      <c r="F52" s="15" t="s">
        <v>348</v>
      </c>
      <c r="G52" s="217">
        <v>9135</v>
      </c>
      <c r="H52" s="89"/>
      <c r="I52" s="67"/>
    </row>
    <row r="53" spans="1:9" ht="18.75" x14ac:dyDescent="0.25">
      <c r="A53" s="80">
        <v>45071</v>
      </c>
      <c r="B53" s="88">
        <v>13740</v>
      </c>
      <c r="C53" s="21">
        <v>134948</v>
      </c>
      <c r="D53" s="12" t="s">
        <v>120</v>
      </c>
      <c r="E53" s="15" t="s">
        <v>347</v>
      </c>
      <c r="F53" s="15" t="s">
        <v>348</v>
      </c>
      <c r="G53" s="217">
        <v>7308</v>
      </c>
      <c r="H53" s="89"/>
      <c r="I53" s="67"/>
    </row>
    <row r="54" spans="1:9" ht="18.75" x14ac:dyDescent="0.25">
      <c r="A54" s="80">
        <v>45076</v>
      </c>
      <c r="B54" s="88">
        <v>13744</v>
      </c>
      <c r="C54" s="21">
        <v>134949</v>
      </c>
      <c r="D54" s="12" t="s">
        <v>120</v>
      </c>
      <c r="E54" s="15" t="s">
        <v>371</v>
      </c>
      <c r="F54" s="15" t="s">
        <v>348</v>
      </c>
      <c r="G54" s="217">
        <v>25260</v>
      </c>
      <c r="H54" s="89"/>
      <c r="I54" s="67"/>
    </row>
    <row r="55" spans="1:9" ht="18.75" x14ac:dyDescent="0.25">
      <c r="A55" s="80">
        <v>45085</v>
      </c>
      <c r="B55" s="88">
        <v>13748</v>
      </c>
      <c r="C55" s="21">
        <v>134950</v>
      </c>
      <c r="D55" s="12" t="s">
        <v>120</v>
      </c>
      <c r="E55" s="15" t="s">
        <v>370</v>
      </c>
      <c r="F55" s="15" t="s">
        <v>348</v>
      </c>
      <c r="G55" s="217">
        <v>5481</v>
      </c>
      <c r="H55" s="89"/>
      <c r="I55" s="67"/>
    </row>
    <row r="56" spans="1:9" ht="18.75" x14ac:dyDescent="0.25">
      <c r="A56" s="80"/>
      <c r="B56" s="88"/>
      <c r="C56" s="21"/>
      <c r="D56" s="12"/>
      <c r="E56" s="15"/>
      <c r="F56" s="15"/>
      <c r="G56" s="5"/>
      <c r="H56" s="89"/>
      <c r="I56" s="67"/>
    </row>
    <row r="57" spans="1:9" ht="18.75" x14ac:dyDescent="0.25">
      <c r="A57" s="80"/>
      <c r="B57" s="88"/>
      <c r="C57" s="21"/>
      <c r="D57" s="12"/>
      <c r="E57" s="15"/>
      <c r="F57" s="15"/>
      <c r="G57" s="5"/>
      <c r="H57" s="89"/>
      <c r="I57" s="67"/>
    </row>
    <row r="58" spans="1:9" ht="18.75" x14ac:dyDescent="0.25">
      <c r="A58" s="80"/>
      <c r="B58" s="88"/>
      <c r="C58" s="21"/>
      <c r="D58" s="12"/>
      <c r="E58" s="15"/>
      <c r="F58" s="15"/>
      <c r="G58" s="5"/>
      <c r="H58" s="89"/>
      <c r="I58" s="67"/>
    </row>
    <row r="59" spans="1:9" ht="18.75" x14ac:dyDescent="0.25">
      <c r="A59" s="80"/>
      <c r="B59" s="88"/>
      <c r="C59" s="21"/>
      <c r="D59" s="12"/>
      <c r="E59" s="15"/>
      <c r="F59" s="15"/>
      <c r="G59" s="5"/>
      <c r="H59" s="89"/>
      <c r="I59" s="67"/>
    </row>
    <row r="60" spans="1:9" ht="18.75" x14ac:dyDescent="0.25">
      <c r="A60" s="80"/>
      <c r="B60" s="88"/>
      <c r="C60" s="21"/>
      <c r="D60" s="12"/>
      <c r="E60" s="15"/>
      <c r="F60" s="15"/>
      <c r="G60" s="5"/>
      <c r="H60" s="89"/>
      <c r="I60" s="67"/>
    </row>
    <row r="61" spans="1:9" ht="18.75" x14ac:dyDescent="0.25">
      <c r="A61" s="80"/>
      <c r="B61" s="88"/>
      <c r="C61" s="21"/>
      <c r="D61" s="12"/>
      <c r="E61" s="15"/>
      <c r="F61" s="15"/>
      <c r="G61" s="5"/>
      <c r="H61" s="89"/>
      <c r="I61" s="67"/>
    </row>
    <row r="62" spans="1:9" ht="18.75" x14ac:dyDescent="0.25">
      <c r="A62" s="80"/>
      <c r="B62" s="88"/>
      <c r="C62" s="21"/>
      <c r="D62" s="12"/>
      <c r="E62" s="15"/>
      <c r="F62" s="15"/>
      <c r="G62" s="5"/>
      <c r="H62" s="89"/>
      <c r="I62" s="67"/>
    </row>
    <row r="63" spans="1:9" ht="18.75" x14ac:dyDescent="0.25">
      <c r="A63" s="80"/>
      <c r="B63" s="88"/>
      <c r="C63" s="21"/>
      <c r="D63" s="12"/>
      <c r="E63" s="15"/>
      <c r="F63" s="15"/>
      <c r="G63" s="5"/>
      <c r="H63" s="89"/>
      <c r="I63" s="67"/>
    </row>
    <row r="64" spans="1:9" ht="18.75" x14ac:dyDescent="0.25">
      <c r="A64" s="80"/>
      <c r="B64" s="88"/>
      <c r="C64" s="21"/>
      <c r="D64" s="12"/>
      <c r="E64" s="15"/>
      <c r="F64" s="15"/>
      <c r="G64" s="5"/>
      <c r="H64" s="89"/>
      <c r="I64" s="67"/>
    </row>
    <row r="65" spans="1:9" ht="18.75" x14ac:dyDescent="0.25">
      <c r="A65" s="80"/>
      <c r="B65" s="88"/>
      <c r="C65" s="21"/>
      <c r="D65" s="12"/>
      <c r="E65" s="15"/>
      <c r="F65" s="15"/>
      <c r="G65" s="5"/>
      <c r="H65" s="89"/>
      <c r="I65" s="67"/>
    </row>
    <row r="66" spans="1:9" ht="18.75" x14ac:dyDescent="0.25">
      <c r="A66" s="80"/>
      <c r="B66" s="88"/>
      <c r="C66" s="21"/>
      <c r="D66" s="12"/>
      <c r="E66" s="15"/>
      <c r="F66" s="15"/>
      <c r="G66" s="5"/>
      <c r="H66" s="91"/>
      <c r="I66" s="67"/>
    </row>
    <row r="67" spans="1:9" ht="18.75" x14ac:dyDescent="0.25">
      <c r="A67" s="80"/>
      <c r="B67" s="88"/>
      <c r="C67" s="21"/>
      <c r="D67" s="12"/>
      <c r="E67" s="15"/>
      <c r="F67" s="15"/>
      <c r="G67" s="5"/>
      <c r="H67" s="91"/>
      <c r="I67" s="67"/>
    </row>
    <row r="68" spans="1:9" ht="18.75" x14ac:dyDescent="0.25">
      <c r="A68" s="80"/>
      <c r="B68" s="88"/>
      <c r="C68" s="21"/>
      <c r="D68" s="12"/>
      <c r="E68" s="15"/>
      <c r="F68" s="15"/>
      <c r="G68" s="5"/>
      <c r="H68" s="91"/>
      <c r="I68" s="67"/>
    </row>
    <row r="69" spans="1:9" ht="18.75" x14ac:dyDescent="0.25">
      <c r="A69" s="80"/>
      <c r="B69" s="88"/>
      <c r="C69" s="21"/>
      <c r="D69" s="12"/>
      <c r="E69" s="15"/>
      <c r="F69" s="15"/>
      <c r="G69" s="5"/>
      <c r="H69" s="89"/>
      <c r="I69" s="67"/>
    </row>
    <row r="70" spans="1:9" ht="18.75" x14ac:dyDescent="0.25">
      <c r="A70" s="80"/>
      <c r="B70" s="88"/>
      <c r="C70" s="21"/>
      <c r="D70" s="12"/>
      <c r="E70" s="15"/>
      <c r="F70" s="15"/>
      <c r="G70" s="5"/>
      <c r="H70" s="89"/>
      <c r="I70" s="67"/>
    </row>
    <row r="71" spans="1:9" ht="18.75" x14ac:dyDescent="0.25">
      <c r="A71" s="80"/>
      <c r="B71" s="88"/>
      <c r="C71" s="21"/>
      <c r="D71" s="12"/>
      <c r="E71" s="15"/>
      <c r="F71" s="15"/>
      <c r="G71" s="5"/>
      <c r="H71" s="89"/>
      <c r="I71" s="67"/>
    </row>
    <row r="72" spans="1:9" ht="18.75" x14ac:dyDescent="0.25">
      <c r="A72" s="80"/>
      <c r="B72" s="88"/>
      <c r="C72" s="21"/>
      <c r="D72" s="12"/>
      <c r="E72" s="15"/>
      <c r="F72" s="15"/>
      <c r="G72" s="5"/>
      <c r="H72" s="89"/>
      <c r="I72" s="67"/>
    </row>
    <row r="73" spans="1:9" ht="18.75" x14ac:dyDescent="0.25">
      <c r="A73" s="80"/>
      <c r="B73" s="88"/>
      <c r="C73" s="21"/>
      <c r="D73" s="12"/>
      <c r="E73" s="15"/>
      <c r="F73" s="15"/>
      <c r="G73" s="5"/>
      <c r="H73" s="89"/>
      <c r="I73" s="67"/>
    </row>
    <row r="74" spans="1:9" ht="18.75" x14ac:dyDescent="0.25">
      <c r="A74" s="80"/>
      <c r="B74" s="88"/>
      <c r="C74" s="21"/>
      <c r="D74" s="12"/>
      <c r="E74" s="15"/>
      <c r="F74" s="15"/>
      <c r="G74" s="5"/>
      <c r="H74" s="89"/>
      <c r="I74" s="67"/>
    </row>
    <row r="75" spans="1:9" ht="18.75" x14ac:dyDescent="0.25">
      <c r="A75" s="80"/>
      <c r="B75" s="46"/>
      <c r="C75" s="21"/>
      <c r="D75" s="12"/>
      <c r="E75" s="15"/>
      <c r="F75" s="15"/>
      <c r="G75" s="5"/>
      <c r="H75" s="89"/>
    </row>
    <row r="76" spans="1:9" ht="18.75" x14ac:dyDescent="0.25">
      <c r="A76" s="80"/>
      <c r="B76" s="46"/>
      <c r="C76" s="21"/>
      <c r="D76" s="12"/>
      <c r="E76" s="15"/>
      <c r="F76" s="15"/>
      <c r="G76" s="5"/>
      <c r="H76" s="89"/>
    </row>
    <row r="77" spans="1:9" ht="18.75" x14ac:dyDescent="0.25">
      <c r="A77" s="80"/>
      <c r="B77" s="46"/>
      <c r="C77" s="21"/>
      <c r="D77" s="12"/>
      <c r="E77" s="15"/>
      <c r="F77" s="15"/>
      <c r="G77" s="5"/>
      <c r="H77" s="89"/>
    </row>
    <row r="78" spans="1:9" ht="18.75" x14ac:dyDescent="0.25">
      <c r="A78" s="80"/>
      <c r="B78" s="46"/>
      <c r="C78" s="21"/>
      <c r="D78" s="12"/>
      <c r="E78" s="15"/>
      <c r="F78" s="15"/>
      <c r="G78" s="5"/>
      <c r="H78" s="89"/>
    </row>
    <row r="79" spans="1:9" ht="18.75" x14ac:dyDescent="0.25">
      <c r="A79" s="80"/>
      <c r="B79" s="46"/>
      <c r="C79" s="21"/>
      <c r="D79" s="12"/>
      <c r="E79" s="15"/>
      <c r="F79" s="15"/>
      <c r="G79" s="5"/>
      <c r="H79" s="89"/>
    </row>
    <row r="80" spans="1:9" ht="18.75" x14ac:dyDescent="0.25">
      <c r="A80" s="80"/>
      <c r="B80" s="46"/>
      <c r="C80" s="21"/>
      <c r="D80" s="12"/>
      <c r="E80" s="15"/>
      <c r="F80" s="15"/>
      <c r="G80" s="5"/>
      <c r="H80" s="89"/>
    </row>
    <row r="81" spans="1:8" ht="18.75" x14ac:dyDescent="0.25">
      <c r="A81" s="80"/>
      <c r="B81" s="46"/>
      <c r="C81" s="21"/>
      <c r="D81" s="12"/>
      <c r="E81" s="15"/>
      <c r="F81" s="15"/>
      <c r="G81" s="5"/>
      <c r="H81" s="89"/>
    </row>
    <row r="82" spans="1:8" ht="18.75" x14ac:dyDescent="0.25">
      <c r="A82" s="80"/>
      <c r="B82" s="46"/>
      <c r="C82" s="21"/>
      <c r="D82" s="12"/>
      <c r="E82" s="15"/>
      <c r="F82" s="15"/>
      <c r="G82" s="5"/>
      <c r="H82" s="89"/>
    </row>
    <row r="83" spans="1:8" ht="18.75" x14ac:dyDescent="0.25">
      <c r="A83" s="80"/>
      <c r="B83" s="46"/>
      <c r="C83" s="21"/>
      <c r="D83" s="12"/>
      <c r="E83" s="15"/>
      <c r="F83" s="15"/>
      <c r="G83" s="5"/>
      <c r="H83" s="89"/>
    </row>
    <row r="84" spans="1:8" ht="18.75" x14ac:dyDescent="0.25">
      <c r="A84" s="80"/>
      <c r="B84" s="46"/>
      <c r="C84" s="21"/>
      <c r="D84" s="12"/>
      <c r="E84" s="15"/>
      <c r="F84" s="15"/>
      <c r="G84" s="5"/>
      <c r="H84" s="89"/>
    </row>
    <row r="85" spans="1:8" ht="18.75" x14ac:dyDescent="0.25">
      <c r="A85" s="80"/>
      <c r="B85" s="46"/>
      <c r="C85" s="21"/>
      <c r="D85" s="12"/>
      <c r="E85" s="5"/>
      <c r="F85" s="15"/>
      <c r="G85" s="212"/>
      <c r="H85" s="89"/>
    </row>
    <row r="86" spans="1:8" ht="18.75" x14ac:dyDescent="0.25">
      <c r="A86" s="80"/>
      <c r="B86" s="46"/>
      <c r="C86" s="21"/>
      <c r="D86" s="12"/>
      <c r="E86" s="5"/>
      <c r="F86" s="15"/>
      <c r="G86" s="212"/>
      <c r="H86" s="89"/>
    </row>
    <row r="87" spans="1:8" ht="18.75" x14ac:dyDescent="0.25">
      <c r="A87" s="80"/>
      <c r="B87" s="46"/>
      <c r="C87" s="21"/>
      <c r="D87" s="12"/>
      <c r="E87" s="5"/>
      <c r="F87" s="15"/>
      <c r="G87" s="212"/>
      <c r="H87" s="89"/>
    </row>
    <row r="88" spans="1:8" ht="18.75" x14ac:dyDescent="0.25">
      <c r="A88" s="80"/>
      <c r="B88" s="46"/>
      <c r="C88" s="21"/>
      <c r="D88" s="12"/>
      <c r="E88" s="5"/>
      <c r="F88" s="15"/>
      <c r="G88" s="212"/>
      <c r="H88" s="89"/>
    </row>
    <row r="89" spans="1:8" ht="18.75" x14ac:dyDescent="0.25">
      <c r="A89" s="80"/>
      <c r="B89" s="46"/>
      <c r="C89" s="21"/>
      <c r="D89" s="12"/>
      <c r="E89" s="5"/>
      <c r="F89" s="15"/>
      <c r="G89" s="212"/>
      <c r="H89" s="89"/>
    </row>
    <row r="90" spans="1:8" ht="18.75" x14ac:dyDescent="0.25">
      <c r="A90" s="80"/>
      <c r="B90" s="46"/>
      <c r="C90" s="21"/>
      <c r="D90" s="12"/>
      <c r="E90" s="5"/>
      <c r="F90" s="15"/>
      <c r="G90" s="212"/>
      <c r="H90" s="89"/>
    </row>
    <row r="91" spans="1:8" ht="18.75" x14ac:dyDescent="0.25">
      <c r="A91" s="80"/>
      <c r="B91" s="46"/>
      <c r="C91" s="21"/>
      <c r="D91" s="12"/>
      <c r="E91" s="5"/>
      <c r="F91" s="15"/>
      <c r="G91" s="212"/>
      <c r="H91" s="89"/>
    </row>
    <row r="92" spans="1:8" ht="18.75" x14ac:dyDescent="0.25">
      <c r="A92" s="80"/>
      <c r="B92" s="46"/>
      <c r="C92" s="21"/>
      <c r="D92" s="12"/>
      <c r="E92" s="5"/>
      <c r="F92" s="15"/>
      <c r="G92" s="212"/>
      <c r="H92" s="89"/>
    </row>
    <row r="93" spans="1:8" ht="18.75" x14ac:dyDescent="0.25">
      <c r="A93" s="80"/>
      <c r="B93" s="46"/>
      <c r="C93" s="21"/>
      <c r="D93" s="12"/>
      <c r="E93" s="5"/>
      <c r="F93" s="15"/>
      <c r="G93" s="212"/>
      <c r="H93" s="89"/>
    </row>
    <row r="94" spans="1:8" ht="18.75" x14ac:dyDescent="0.25">
      <c r="A94" s="80"/>
      <c r="B94" s="46"/>
      <c r="C94" s="21"/>
      <c r="D94" s="12"/>
      <c r="E94" s="5"/>
      <c r="F94" s="15"/>
      <c r="G94" s="212"/>
      <c r="H94" s="89"/>
    </row>
    <row r="95" spans="1:8" ht="18.75" x14ac:dyDescent="0.25">
      <c r="A95" s="80"/>
      <c r="B95" s="46"/>
      <c r="C95" s="21"/>
      <c r="D95" s="12"/>
      <c r="E95" s="5"/>
      <c r="F95" s="15"/>
      <c r="G95" s="212"/>
      <c r="H95" s="89"/>
    </row>
    <row r="96" spans="1:8" ht="18.75" x14ac:dyDescent="0.25">
      <c r="A96" s="80"/>
      <c r="B96" s="46"/>
      <c r="C96" s="21"/>
      <c r="D96" s="12"/>
      <c r="E96" s="5"/>
      <c r="F96" s="15"/>
      <c r="G96" s="212"/>
      <c r="H96" s="89"/>
    </row>
    <row r="97" spans="1:8" ht="18.75" x14ac:dyDescent="0.25">
      <c r="A97" s="80"/>
      <c r="B97" s="46"/>
      <c r="C97" s="21"/>
      <c r="D97" s="12"/>
      <c r="E97" s="5"/>
      <c r="F97" s="15"/>
      <c r="G97" s="212"/>
      <c r="H97" s="89"/>
    </row>
    <row r="98" spans="1:8" ht="18.75" x14ac:dyDescent="0.25">
      <c r="A98" s="80"/>
      <c r="B98" s="46"/>
      <c r="C98" s="21"/>
      <c r="D98" s="12"/>
      <c r="E98" s="5"/>
      <c r="F98" s="15"/>
      <c r="G98" s="212"/>
      <c r="H98" s="89"/>
    </row>
    <row r="99" spans="1:8" ht="18.75" x14ac:dyDescent="0.25">
      <c r="A99" s="80"/>
      <c r="B99" s="46"/>
      <c r="C99" s="21"/>
      <c r="D99" s="12"/>
      <c r="E99" s="5"/>
      <c r="F99" s="15"/>
      <c r="G99" s="212"/>
      <c r="H99" s="89"/>
    </row>
    <row r="100" spans="1:8" ht="18.75" x14ac:dyDescent="0.25">
      <c r="A100" s="80"/>
      <c r="B100" s="46"/>
      <c r="C100" s="21"/>
      <c r="D100" s="12"/>
      <c r="E100" s="5"/>
      <c r="F100" s="15"/>
      <c r="G100" s="212"/>
      <c r="H100" s="89"/>
    </row>
    <row r="101" spans="1:8" ht="18.75" x14ac:dyDescent="0.25">
      <c r="A101" s="80"/>
      <c r="B101" s="46"/>
      <c r="C101" s="21"/>
      <c r="D101" s="12"/>
      <c r="E101" s="5"/>
      <c r="F101" s="15"/>
      <c r="G101" s="212"/>
      <c r="H101" s="89"/>
    </row>
    <row r="102" spans="1:8" ht="18.75" x14ac:dyDescent="0.25">
      <c r="A102" s="80"/>
      <c r="B102" s="46"/>
      <c r="C102" s="21"/>
      <c r="D102" s="12"/>
      <c r="E102" s="5"/>
      <c r="F102" s="15"/>
      <c r="G102" s="212"/>
      <c r="H102" s="89"/>
    </row>
    <row r="103" spans="1:8" ht="18.75" x14ac:dyDescent="0.25">
      <c r="A103" s="80"/>
      <c r="B103" s="46"/>
      <c r="C103" s="21"/>
      <c r="D103" s="12"/>
      <c r="E103" s="5"/>
      <c r="F103" s="15"/>
      <c r="G103" s="212"/>
      <c r="H103" s="91"/>
    </row>
    <row r="104" spans="1:8" ht="18.75" x14ac:dyDescent="0.25">
      <c r="A104" s="80"/>
      <c r="B104" s="46"/>
      <c r="C104" s="21"/>
      <c r="D104" s="12"/>
      <c r="E104" s="5"/>
      <c r="F104" s="15"/>
      <c r="G104" s="212"/>
      <c r="H104" s="91"/>
    </row>
    <row r="105" spans="1:8" ht="18.75" x14ac:dyDescent="0.25">
      <c r="A105" s="80"/>
      <c r="B105" s="46"/>
      <c r="C105" s="21"/>
      <c r="D105" s="12"/>
      <c r="E105" s="5"/>
      <c r="F105" s="15"/>
      <c r="G105" s="212"/>
      <c r="H105" s="91"/>
    </row>
    <row r="106" spans="1:8" ht="18.75" x14ac:dyDescent="0.25">
      <c r="A106" s="80"/>
      <c r="B106" s="46"/>
      <c r="C106" s="21"/>
      <c r="D106" s="12"/>
      <c r="E106" s="5"/>
      <c r="F106" s="15"/>
      <c r="G106" s="212"/>
      <c r="H106" s="89"/>
    </row>
    <row r="107" spans="1:8" ht="18.75" x14ac:dyDescent="0.25">
      <c r="A107" s="80"/>
      <c r="B107" s="46"/>
      <c r="C107" s="21"/>
      <c r="D107" s="12"/>
      <c r="E107" s="5"/>
      <c r="F107" s="15"/>
      <c r="G107" s="212"/>
      <c r="H107" s="89"/>
    </row>
    <row r="108" spans="1:8" ht="18.75" x14ac:dyDescent="0.25">
      <c r="A108" s="80"/>
      <c r="B108" s="46"/>
      <c r="C108" s="21"/>
      <c r="D108" s="12"/>
      <c r="E108" s="5"/>
      <c r="F108" s="15"/>
      <c r="G108" s="212"/>
      <c r="H108" s="89"/>
    </row>
    <row r="109" spans="1:8" ht="18.75" x14ac:dyDescent="0.25">
      <c r="A109" s="80"/>
      <c r="B109" s="46"/>
      <c r="C109" s="21"/>
      <c r="D109" s="12"/>
      <c r="E109" s="5"/>
      <c r="F109" s="15"/>
      <c r="G109" s="212"/>
      <c r="H109" s="89"/>
    </row>
    <row r="110" spans="1:8" ht="18.75" x14ac:dyDescent="0.25">
      <c r="A110" s="80"/>
      <c r="B110" s="46"/>
      <c r="C110" s="21"/>
      <c r="D110" s="12"/>
      <c r="E110" s="5"/>
      <c r="F110" s="15"/>
      <c r="G110" s="212"/>
      <c r="H110" s="89"/>
    </row>
    <row r="111" spans="1:8" ht="18.75" x14ac:dyDescent="0.25">
      <c r="A111" s="80"/>
      <c r="B111" s="46"/>
      <c r="C111" s="21"/>
      <c r="D111" s="12"/>
      <c r="E111" s="5"/>
      <c r="F111" s="15"/>
      <c r="G111" s="212"/>
      <c r="H111" s="89"/>
    </row>
    <row r="112" spans="1:8" ht="18.75" x14ac:dyDescent="0.25">
      <c r="A112" s="80"/>
      <c r="B112" s="46"/>
      <c r="C112" s="21"/>
      <c r="D112" s="12"/>
      <c r="E112" s="5"/>
      <c r="F112" s="15"/>
      <c r="G112" s="212"/>
      <c r="H112" s="89"/>
    </row>
    <row r="113" spans="1:8" ht="18.75" x14ac:dyDescent="0.25">
      <c r="A113" s="80"/>
      <c r="B113" s="46"/>
      <c r="C113" s="21"/>
      <c r="D113" s="12"/>
      <c r="E113" s="5"/>
      <c r="F113" s="15"/>
      <c r="G113" s="212"/>
      <c r="H113" s="89"/>
    </row>
    <row r="114" spans="1:8" ht="18.75" x14ac:dyDescent="0.25">
      <c r="A114" s="80"/>
      <c r="B114" s="46"/>
      <c r="C114" s="21"/>
      <c r="D114" s="12"/>
      <c r="E114" s="5"/>
      <c r="F114" s="15"/>
      <c r="G114" s="212"/>
      <c r="H114" s="89"/>
    </row>
    <row r="115" spans="1:8" ht="18.75" x14ac:dyDescent="0.25">
      <c r="A115" s="80"/>
      <c r="B115" s="46"/>
      <c r="C115" s="21"/>
      <c r="D115" s="12"/>
      <c r="E115" s="5"/>
      <c r="F115" s="15"/>
      <c r="G115" s="212"/>
      <c r="H115" s="89"/>
    </row>
    <row r="116" spans="1:8" ht="18.75" x14ac:dyDescent="0.25">
      <c r="A116" s="80"/>
      <c r="B116" s="46"/>
      <c r="C116" s="21"/>
      <c r="D116" s="12"/>
      <c r="E116" s="5"/>
      <c r="F116" s="15"/>
      <c r="G116" s="212"/>
      <c r="H116" s="89"/>
    </row>
    <row r="117" spans="1:8" ht="18.75" x14ac:dyDescent="0.25">
      <c r="A117" s="80"/>
      <c r="B117" s="46"/>
      <c r="C117" s="21"/>
      <c r="D117" s="12"/>
      <c r="E117" s="5"/>
      <c r="F117" s="15"/>
      <c r="G117" s="212"/>
      <c r="H117" s="89"/>
    </row>
    <row r="118" spans="1:8" ht="18.75" x14ac:dyDescent="0.25">
      <c r="A118" s="80"/>
      <c r="B118" s="46"/>
      <c r="C118" s="21"/>
      <c r="D118" s="12"/>
      <c r="E118" s="5"/>
      <c r="F118" s="15"/>
      <c r="G118" s="212"/>
      <c r="H118" s="89"/>
    </row>
    <row r="119" spans="1:8" ht="18.75" x14ac:dyDescent="0.25">
      <c r="A119" s="80"/>
      <c r="B119" s="46"/>
      <c r="C119" s="21"/>
      <c r="D119" s="12"/>
      <c r="E119" s="5"/>
      <c r="F119" s="15"/>
      <c r="G119" s="212"/>
      <c r="H119" s="89"/>
    </row>
    <row r="120" spans="1:8" ht="18.75" x14ac:dyDescent="0.25">
      <c r="A120" s="80"/>
      <c r="B120" s="46"/>
      <c r="C120" s="21"/>
      <c r="D120" s="12"/>
      <c r="E120" s="5"/>
      <c r="F120" s="15"/>
      <c r="G120" s="212"/>
      <c r="H120" s="89"/>
    </row>
    <row r="121" spans="1:8" ht="18.75" x14ac:dyDescent="0.25">
      <c r="A121" s="80"/>
      <c r="B121" s="46"/>
      <c r="C121" s="21"/>
      <c r="D121" s="12"/>
      <c r="E121" s="5"/>
      <c r="F121" s="15"/>
      <c r="G121" s="212"/>
      <c r="H121" s="89"/>
    </row>
    <row r="122" spans="1:8" ht="18.75" x14ac:dyDescent="0.25">
      <c r="A122" s="80"/>
      <c r="B122" s="46"/>
      <c r="C122" s="21"/>
      <c r="D122" s="12"/>
      <c r="E122" s="5"/>
      <c r="F122" s="15"/>
      <c r="G122" s="212"/>
      <c r="H122" s="89"/>
    </row>
    <row r="123" spans="1:8" ht="18.75" x14ac:dyDescent="0.25">
      <c r="A123" s="80"/>
      <c r="B123" s="46"/>
      <c r="C123" s="21"/>
      <c r="D123" s="12"/>
      <c r="E123" s="5"/>
      <c r="F123" s="15"/>
      <c r="G123" s="212"/>
      <c r="H123" s="89"/>
    </row>
    <row r="124" spans="1:8" ht="18.75" x14ac:dyDescent="0.25">
      <c r="A124" s="80"/>
      <c r="B124" s="46"/>
      <c r="C124" s="21"/>
      <c r="D124" s="12"/>
      <c r="E124" s="5"/>
      <c r="F124" s="15"/>
      <c r="G124" s="212"/>
      <c r="H124" s="89"/>
    </row>
    <row r="125" spans="1:8" ht="18.75" x14ac:dyDescent="0.25">
      <c r="A125" s="80"/>
      <c r="B125" s="46"/>
      <c r="C125" s="21"/>
      <c r="D125" s="12"/>
      <c r="E125" s="5"/>
      <c r="F125" s="15"/>
      <c r="G125" s="212">
        <f ca="1">C49:G125</f>
        <v>0</v>
      </c>
      <c r="H125" s="89"/>
    </row>
    <row r="126" spans="1:8" ht="15.75" x14ac:dyDescent="0.25">
      <c r="A126" s="29"/>
      <c r="B126" s="46">
        <v>14236</v>
      </c>
      <c r="C126" s="10">
        <v>133891</v>
      </c>
      <c r="D126" s="12" t="s">
        <v>138</v>
      </c>
      <c r="E126" s="9" t="s">
        <v>146</v>
      </c>
      <c r="F126" s="11" t="s">
        <v>139</v>
      </c>
      <c r="G126" s="213">
        <v>157600</v>
      </c>
      <c r="H126" s="89">
        <v>157600</v>
      </c>
    </row>
    <row r="127" spans="1:8" ht="31.5" x14ac:dyDescent="0.25">
      <c r="A127" s="29" t="s">
        <v>178</v>
      </c>
      <c r="B127" s="46">
        <v>14235</v>
      </c>
      <c r="C127" s="10">
        <v>133892</v>
      </c>
      <c r="D127" s="12" t="s">
        <v>140</v>
      </c>
      <c r="E127" s="9" t="s">
        <v>42</v>
      </c>
      <c r="F127" s="101" t="s">
        <v>147</v>
      </c>
      <c r="G127" s="213">
        <v>29000</v>
      </c>
      <c r="H127" s="89">
        <v>29000</v>
      </c>
    </row>
    <row r="128" spans="1:8" ht="15.75" x14ac:dyDescent="0.25">
      <c r="A128" s="29" t="s">
        <v>178</v>
      </c>
      <c r="B128" s="46">
        <v>13294</v>
      </c>
      <c r="C128" s="10">
        <v>133893</v>
      </c>
      <c r="D128" s="12" t="s">
        <v>124</v>
      </c>
      <c r="E128" s="9" t="s">
        <v>148</v>
      </c>
      <c r="F128" s="11" t="s">
        <v>149</v>
      </c>
      <c r="G128" s="213">
        <v>1600000</v>
      </c>
      <c r="H128" s="89"/>
    </row>
    <row r="129" spans="1:8" ht="15.75" x14ac:dyDescent="0.25">
      <c r="A129" s="29" t="s">
        <v>178</v>
      </c>
      <c r="B129" s="46">
        <v>13295</v>
      </c>
      <c r="C129" s="10">
        <v>133894</v>
      </c>
      <c r="D129" s="12" t="s">
        <v>124</v>
      </c>
      <c r="E129" s="9" t="s">
        <v>150</v>
      </c>
      <c r="F129" s="11" t="s">
        <v>149</v>
      </c>
      <c r="G129" s="213">
        <v>37300</v>
      </c>
      <c r="H129" s="89"/>
    </row>
    <row r="130" spans="1:8" ht="15.75" x14ac:dyDescent="0.25">
      <c r="A130" s="29" t="s">
        <v>178</v>
      </c>
      <c r="B130" s="46">
        <v>13296</v>
      </c>
      <c r="C130" s="10">
        <v>133895</v>
      </c>
      <c r="D130" s="12" t="s">
        <v>124</v>
      </c>
      <c r="E130" s="9" t="s">
        <v>21</v>
      </c>
      <c r="F130" s="11" t="s">
        <v>149</v>
      </c>
      <c r="G130" s="213">
        <v>120700</v>
      </c>
      <c r="H130" s="89"/>
    </row>
    <row r="131" spans="1:8" ht="15.75" x14ac:dyDescent="0.25">
      <c r="A131" s="29" t="s">
        <v>178</v>
      </c>
      <c r="B131" s="46">
        <v>12495</v>
      </c>
      <c r="C131" s="10">
        <v>133896</v>
      </c>
      <c r="D131" s="12" t="s">
        <v>126</v>
      </c>
      <c r="E131" s="9" t="s">
        <v>151</v>
      </c>
      <c r="F131" s="11" t="s">
        <v>152</v>
      </c>
      <c r="G131" s="213">
        <v>75210</v>
      </c>
      <c r="H131" s="89"/>
    </row>
    <row r="132" spans="1:8" ht="31.5" x14ac:dyDescent="0.25">
      <c r="A132" s="29" t="s">
        <v>178</v>
      </c>
      <c r="B132" s="46">
        <v>12496</v>
      </c>
      <c r="C132" s="10">
        <v>133897</v>
      </c>
      <c r="D132" s="12" t="s">
        <v>126</v>
      </c>
      <c r="E132" s="9" t="s">
        <v>153</v>
      </c>
      <c r="F132" s="101" t="s">
        <v>154</v>
      </c>
      <c r="G132" s="213">
        <v>66000</v>
      </c>
      <c r="H132" s="89"/>
    </row>
    <row r="133" spans="1:8" ht="15.75" x14ac:dyDescent="0.25">
      <c r="A133" s="29" t="s">
        <v>178</v>
      </c>
      <c r="B133" s="46">
        <v>14158</v>
      </c>
      <c r="C133" s="10">
        <v>133898</v>
      </c>
      <c r="D133" s="12" t="s">
        <v>121</v>
      </c>
      <c r="E133" s="9" t="s">
        <v>142</v>
      </c>
      <c r="F133" s="101" t="s">
        <v>127</v>
      </c>
      <c r="G133" s="213">
        <v>56705</v>
      </c>
      <c r="H133" s="89"/>
    </row>
    <row r="134" spans="1:8" ht="15.75" x14ac:dyDescent="0.25">
      <c r="A134" s="29" t="s">
        <v>178</v>
      </c>
      <c r="B134" s="46">
        <v>14158</v>
      </c>
      <c r="C134" s="10">
        <v>133899</v>
      </c>
      <c r="D134" s="12" t="s">
        <v>121</v>
      </c>
      <c r="E134" s="9" t="s">
        <v>155</v>
      </c>
      <c r="F134" s="101" t="s">
        <v>156</v>
      </c>
      <c r="G134" s="213">
        <v>27100</v>
      </c>
      <c r="H134" s="89">
        <v>27100</v>
      </c>
    </row>
    <row r="135" spans="1:8" ht="31.5" x14ac:dyDescent="0.25">
      <c r="A135" s="29" t="s">
        <v>178</v>
      </c>
      <c r="B135" s="46">
        <v>5170</v>
      </c>
      <c r="C135" s="10">
        <v>133900</v>
      </c>
      <c r="D135" s="12" t="s">
        <v>141</v>
      </c>
      <c r="E135" s="33" t="s">
        <v>157</v>
      </c>
      <c r="F135" s="102" t="s">
        <v>158</v>
      </c>
      <c r="G135" s="135">
        <v>13500</v>
      </c>
      <c r="H135" s="89">
        <v>13500</v>
      </c>
    </row>
    <row r="136" spans="1:8" ht="15.75" x14ac:dyDescent="0.25">
      <c r="A136" s="29" t="s">
        <v>178</v>
      </c>
      <c r="B136" s="46">
        <v>14240</v>
      </c>
      <c r="C136" s="10">
        <v>134451</v>
      </c>
      <c r="D136" s="12" t="s">
        <v>124</v>
      </c>
      <c r="E136" s="33" t="s">
        <v>159</v>
      </c>
      <c r="F136" s="34" t="s">
        <v>156</v>
      </c>
      <c r="G136" s="135">
        <v>7870</v>
      </c>
      <c r="H136" s="89"/>
    </row>
    <row r="137" spans="1:8" ht="15.75" x14ac:dyDescent="0.25">
      <c r="A137" s="29" t="s">
        <v>178</v>
      </c>
      <c r="B137" s="46">
        <v>14240</v>
      </c>
      <c r="C137" s="10">
        <v>134452</v>
      </c>
      <c r="D137" s="12" t="s">
        <v>124</v>
      </c>
      <c r="E137" s="33" t="s">
        <v>161</v>
      </c>
      <c r="F137" s="34" t="s">
        <v>160</v>
      </c>
      <c r="G137" s="135">
        <v>65000</v>
      </c>
      <c r="H137" s="89"/>
    </row>
    <row r="138" spans="1:8" ht="15.75" x14ac:dyDescent="0.25">
      <c r="A138" s="29" t="s">
        <v>179</v>
      </c>
      <c r="B138" s="46">
        <v>12490</v>
      </c>
      <c r="C138" s="10">
        <v>134453</v>
      </c>
      <c r="D138" s="12" t="s">
        <v>126</v>
      </c>
      <c r="E138" s="33" t="s">
        <v>162</v>
      </c>
      <c r="F138" s="34" t="s">
        <v>163</v>
      </c>
      <c r="G138" s="135">
        <v>150000</v>
      </c>
      <c r="H138" s="89"/>
    </row>
    <row r="139" spans="1:8" ht="15.75" x14ac:dyDescent="0.25">
      <c r="A139" s="29" t="s">
        <v>180</v>
      </c>
      <c r="B139" s="46">
        <v>11188</v>
      </c>
      <c r="C139" s="10">
        <v>134454</v>
      </c>
      <c r="D139" s="12" t="s">
        <v>143</v>
      </c>
      <c r="E139" s="33" t="s">
        <v>164</v>
      </c>
      <c r="F139" s="34" t="s">
        <v>163</v>
      </c>
      <c r="G139" s="135">
        <v>31000</v>
      </c>
      <c r="H139" s="89"/>
    </row>
    <row r="140" spans="1:8" ht="15.75" x14ac:dyDescent="0.25">
      <c r="A140" s="29" t="s">
        <v>181</v>
      </c>
      <c r="B140" s="46">
        <v>14234</v>
      </c>
      <c r="C140" s="10">
        <v>134455</v>
      </c>
      <c r="D140" s="12" t="s">
        <v>124</v>
      </c>
      <c r="E140" s="33" t="s">
        <v>165</v>
      </c>
      <c r="F140" s="34" t="s">
        <v>166</v>
      </c>
      <c r="G140" s="135">
        <v>14060</v>
      </c>
      <c r="H140" s="89">
        <v>14060</v>
      </c>
    </row>
    <row r="141" spans="1:8" ht="15.75" x14ac:dyDescent="0.25">
      <c r="A141" s="29" t="s">
        <v>182</v>
      </c>
      <c r="B141" s="46">
        <v>14222</v>
      </c>
      <c r="C141" s="10">
        <v>134456</v>
      </c>
      <c r="D141" s="12" t="s">
        <v>124</v>
      </c>
      <c r="E141" s="33" t="s">
        <v>167</v>
      </c>
      <c r="F141" s="102" t="s">
        <v>168</v>
      </c>
      <c r="G141" s="135">
        <v>287923.92</v>
      </c>
      <c r="H141" s="89"/>
    </row>
    <row r="142" spans="1:8" ht="15.75" x14ac:dyDescent="0.25">
      <c r="A142" s="29" t="s">
        <v>183</v>
      </c>
      <c r="B142" s="46">
        <v>14222</v>
      </c>
      <c r="C142" s="10">
        <v>134457</v>
      </c>
      <c r="D142" s="12" t="s">
        <v>124</v>
      </c>
      <c r="E142" s="33" t="s">
        <v>169</v>
      </c>
      <c r="F142" s="34" t="s">
        <v>37</v>
      </c>
      <c r="G142" s="135">
        <v>18620</v>
      </c>
      <c r="H142" s="89"/>
    </row>
    <row r="143" spans="1:8" ht="15.75" x14ac:dyDescent="0.25">
      <c r="A143" s="29" t="s">
        <v>184</v>
      </c>
      <c r="B143" s="46" t="s">
        <v>144</v>
      </c>
      <c r="C143" s="10">
        <v>134458</v>
      </c>
      <c r="D143" s="12" t="s">
        <v>124</v>
      </c>
      <c r="E143" s="33" t="s">
        <v>169</v>
      </c>
      <c r="F143" s="34" t="s">
        <v>170</v>
      </c>
      <c r="G143" s="135">
        <v>626000</v>
      </c>
      <c r="H143" s="89"/>
    </row>
    <row r="144" spans="1:8" ht="15.75" x14ac:dyDescent="0.25">
      <c r="A144" s="29" t="s">
        <v>185</v>
      </c>
      <c r="B144" s="46">
        <v>14222</v>
      </c>
      <c r="C144" s="10">
        <v>134459</v>
      </c>
      <c r="D144" s="12" t="s">
        <v>124</v>
      </c>
      <c r="E144" s="33" t="s">
        <v>169</v>
      </c>
      <c r="F144" s="34" t="s">
        <v>171</v>
      </c>
      <c r="G144" s="135">
        <v>17000</v>
      </c>
      <c r="H144" s="89"/>
    </row>
    <row r="145" spans="1:8" ht="31.5" x14ac:dyDescent="0.25">
      <c r="A145" s="29" t="s">
        <v>186</v>
      </c>
      <c r="B145" s="46">
        <v>11045</v>
      </c>
      <c r="C145" s="10">
        <v>134460</v>
      </c>
      <c r="D145" s="12" t="s">
        <v>122</v>
      </c>
      <c r="E145" s="33" t="s">
        <v>172</v>
      </c>
      <c r="F145" s="102" t="s">
        <v>173</v>
      </c>
      <c r="G145" s="135">
        <v>47600</v>
      </c>
      <c r="H145" s="89">
        <v>47600</v>
      </c>
    </row>
    <row r="146" spans="1:8" ht="15.75" x14ac:dyDescent="0.25">
      <c r="A146" s="29" t="s">
        <v>187</v>
      </c>
      <c r="B146" s="46">
        <v>10749</v>
      </c>
      <c r="C146" s="10">
        <v>134461</v>
      </c>
      <c r="D146" s="12" t="s">
        <v>122</v>
      </c>
      <c r="E146" s="33" t="s">
        <v>174</v>
      </c>
      <c r="F146" s="34" t="s">
        <v>125</v>
      </c>
      <c r="G146" s="135">
        <v>37500</v>
      </c>
      <c r="H146" s="89"/>
    </row>
    <row r="147" spans="1:8" ht="15.75" x14ac:dyDescent="0.25">
      <c r="A147" s="29" t="s">
        <v>187</v>
      </c>
      <c r="B147" s="46">
        <v>10749</v>
      </c>
      <c r="C147" s="10">
        <v>134462</v>
      </c>
      <c r="D147" s="12" t="s">
        <v>122</v>
      </c>
      <c r="E147" s="33" t="s">
        <v>175</v>
      </c>
      <c r="F147" s="34" t="s">
        <v>128</v>
      </c>
      <c r="G147" s="135">
        <v>40680</v>
      </c>
      <c r="H147" s="89">
        <v>40680</v>
      </c>
    </row>
    <row r="148" spans="1:8" ht="15.75" x14ac:dyDescent="0.25">
      <c r="A148" s="29" t="s">
        <v>188</v>
      </c>
      <c r="B148" s="46">
        <v>10749</v>
      </c>
      <c r="C148" s="10">
        <v>134463</v>
      </c>
      <c r="D148" s="12" t="s">
        <v>122</v>
      </c>
      <c r="E148" s="33" t="s">
        <v>175</v>
      </c>
      <c r="F148" s="34" t="s">
        <v>176</v>
      </c>
      <c r="G148" s="135">
        <v>23280</v>
      </c>
      <c r="H148" s="89">
        <v>23280</v>
      </c>
    </row>
    <row r="149" spans="1:8" ht="15.75" x14ac:dyDescent="0.25">
      <c r="A149" s="29" t="s">
        <v>187</v>
      </c>
      <c r="B149" s="46">
        <v>14159</v>
      </c>
      <c r="C149" s="10">
        <v>134464</v>
      </c>
      <c r="D149" s="12" t="s">
        <v>121</v>
      </c>
      <c r="E149" s="33" t="s">
        <v>167</v>
      </c>
      <c r="F149" s="102" t="s">
        <v>168</v>
      </c>
      <c r="G149" s="135">
        <v>57773.86</v>
      </c>
      <c r="H149" s="89"/>
    </row>
    <row r="150" spans="1:8" ht="15.75" x14ac:dyDescent="0.25">
      <c r="A150" s="29" t="s">
        <v>188</v>
      </c>
      <c r="B150" s="46">
        <v>12607</v>
      </c>
      <c r="C150" s="10">
        <v>134465</v>
      </c>
      <c r="D150" s="12" t="s">
        <v>123</v>
      </c>
      <c r="E150" s="33" t="s">
        <v>177</v>
      </c>
      <c r="F150" s="34" t="s">
        <v>145</v>
      </c>
      <c r="G150" s="135">
        <v>24940</v>
      </c>
      <c r="H150" s="89"/>
    </row>
    <row r="151" spans="1:8" ht="15.75" x14ac:dyDescent="0.25">
      <c r="A151" s="29" t="s">
        <v>189</v>
      </c>
      <c r="B151" s="46">
        <v>12491</v>
      </c>
      <c r="C151" s="10">
        <v>134466</v>
      </c>
      <c r="D151" s="12" t="s">
        <v>126</v>
      </c>
      <c r="E151" s="33" t="s">
        <v>190</v>
      </c>
      <c r="F151" s="34" t="s">
        <v>191</v>
      </c>
      <c r="G151" s="135">
        <v>27840</v>
      </c>
      <c r="H151" s="89"/>
    </row>
    <row r="152" spans="1:8" ht="15.75" x14ac:dyDescent="0.25">
      <c r="A152" s="29" t="s">
        <v>189</v>
      </c>
      <c r="B152" s="46" t="s">
        <v>192</v>
      </c>
      <c r="C152" s="10">
        <v>134467</v>
      </c>
      <c r="D152" s="12" t="s">
        <v>193</v>
      </c>
      <c r="E152" s="33" t="s">
        <v>194</v>
      </c>
      <c r="F152" s="34" t="s">
        <v>145</v>
      </c>
      <c r="G152" s="135">
        <v>44870</v>
      </c>
      <c r="H152" s="89"/>
    </row>
    <row r="153" spans="1:8" ht="15.75" x14ac:dyDescent="0.25">
      <c r="A153" s="29" t="s">
        <v>195</v>
      </c>
      <c r="B153" s="46"/>
      <c r="C153" s="10" t="s">
        <v>29</v>
      </c>
      <c r="D153" s="12" t="s">
        <v>196</v>
      </c>
      <c r="E153" s="33" t="s">
        <v>197</v>
      </c>
      <c r="F153" s="34" t="s">
        <v>49</v>
      </c>
      <c r="G153" s="135">
        <v>29098</v>
      </c>
      <c r="H153" s="89">
        <v>29098</v>
      </c>
    </row>
    <row r="154" spans="1:8" ht="13.5" customHeight="1" x14ac:dyDescent="0.25">
      <c r="A154" s="29" t="s">
        <v>195</v>
      </c>
      <c r="B154" s="46"/>
      <c r="C154" s="10" t="s">
        <v>29</v>
      </c>
      <c r="D154" s="12" t="s">
        <v>198</v>
      </c>
      <c r="E154" s="33" t="s">
        <v>39</v>
      </c>
      <c r="F154" s="34" t="s">
        <v>199</v>
      </c>
      <c r="G154" s="135">
        <v>97000</v>
      </c>
      <c r="H154" s="89">
        <v>97000</v>
      </c>
    </row>
    <row r="155" spans="1:8" ht="31.5" x14ac:dyDescent="0.25">
      <c r="A155" s="29" t="s">
        <v>195</v>
      </c>
      <c r="B155" s="46"/>
      <c r="C155" s="10" t="s">
        <v>29</v>
      </c>
      <c r="D155" s="12" t="s">
        <v>129</v>
      </c>
      <c r="E155" s="33" t="s">
        <v>253</v>
      </c>
      <c r="F155" s="102" t="s">
        <v>254</v>
      </c>
      <c r="G155" s="135">
        <v>34104</v>
      </c>
      <c r="H155" s="89">
        <v>34104</v>
      </c>
    </row>
    <row r="156" spans="1:8" ht="15.75" x14ac:dyDescent="0.25">
      <c r="A156" s="29" t="s">
        <v>195</v>
      </c>
      <c r="B156" s="46"/>
      <c r="C156" s="10" t="s">
        <v>29</v>
      </c>
      <c r="D156" s="12" t="s">
        <v>200</v>
      </c>
      <c r="E156" s="33" t="s">
        <v>251</v>
      </c>
      <c r="F156" s="34" t="s">
        <v>252</v>
      </c>
      <c r="G156" s="135">
        <v>10440</v>
      </c>
      <c r="H156" s="89">
        <v>10440</v>
      </c>
    </row>
    <row r="157" spans="1:8" ht="31.5" x14ac:dyDescent="0.25">
      <c r="A157" s="29" t="s">
        <v>195</v>
      </c>
      <c r="B157" s="46"/>
      <c r="C157" s="10" t="s">
        <v>29</v>
      </c>
      <c r="D157" s="12" t="s">
        <v>200</v>
      </c>
      <c r="E157" s="33" t="s">
        <v>201</v>
      </c>
      <c r="F157" s="103" t="s">
        <v>55</v>
      </c>
      <c r="G157" s="135">
        <v>4800</v>
      </c>
      <c r="H157" s="89">
        <v>4800</v>
      </c>
    </row>
    <row r="158" spans="1:8" ht="15.75" x14ac:dyDescent="0.25">
      <c r="A158" s="29" t="s">
        <v>202</v>
      </c>
      <c r="B158" s="46">
        <v>14242</v>
      </c>
      <c r="C158" s="10">
        <v>134468</v>
      </c>
      <c r="D158" s="12" t="s">
        <v>140</v>
      </c>
      <c r="E158" s="33" t="s">
        <v>203</v>
      </c>
      <c r="F158" s="34" t="s">
        <v>149</v>
      </c>
      <c r="G158" s="135">
        <v>2000000</v>
      </c>
      <c r="H158" s="89"/>
    </row>
    <row r="159" spans="1:8" ht="15.75" x14ac:dyDescent="0.25">
      <c r="A159" s="29" t="s">
        <v>202</v>
      </c>
      <c r="B159" s="46">
        <v>14241</v>
      </c>
      <c r="C159" s="10">
        <v>134469</v>
      </c>
      <c r="D159" s="12" t="s">
        <v>140</v>
      </c>
      <c r="E159" s="33" t="s">
        <v>21</v>
      </c>
      <c r="F159" s="34" t="s">
        <v>149</v>
      </c>
      <c r="G159" s="135">
        <v>133850</v>
      </c>
      <c r="H159" s="89"/>
    </row>
    <row r="160" spans="1:8" ht="15.75" x14ac:dyDescent="0.25">
      <c r="A160" s="29" t="s">
        <v>202</v>
      </c>
      <c r="B160" s="46">
        <v>11048</v>
      </c>
      <c r="C160" s="10">
        <v>134472</v>
      </c>
      <c r="D160" s="12" t="s">
        <v>122</v>
      </c>
      <c r="E160" s="33" t="s">
        <v>204</v>
      </c>
      <c r="F160" s="34" t="s">
        <v>205</v>
      </c>
      <c r="G160" s="135">
        <v>18676</v>
      </c>
      <c r="H160" s="89">
        <v>18676</v>
      </c>
    </row>
    <row r="161" spans="1:8" ht="15.75" x14ac:dyDescent="0.25">
      <c r="A161" s="29" t="s">
        <v>206</v>
      </c>
      <c r="B161" s="46">
        <v>14036</v>
      </c>
      <c r="C161" s="10">
        <v>134475</v>
      </c>
      <c r="D161" s="12" t="s">
        <v>208</v>
      </c>
      <c r="E161" s="33" t="s">
        <v>19</v>
      </c>
      <c r="F161" s="34" t="s">
        <v>209</v>
      </c>
      <c r="G161" s="135">
        <v>112290</v>
      </c>
      <c r="H161" s="89">
        <v>112290</v>
      </c>
    </row>
    <row r="162" spans="1:8" ht="15.75" x14ac:dyDescent="0.25">
      <c r="A162" s="29" t="s">
        <v>206</v>
      </c>
      <c r="B162" s="46">
        <v>14036</v>
      </c>
      <c r="C162" s="10">
        <v>134476</v>
      </c>
      <c r="D162" s="12" t="s">
        <v>210</v>
      </c>
      <c r="E162" s="33" t="s">
        <v>19</v>
      </c>
      <c r="F162" s="34" t="s">
        <v>163</v>
      </c>
      <c r="G162" s="135">
        <v>30880</v>
      </c>
      <c r="H162" s="89">
        <v>30880</v>
      </c>
    </row>
    <row r="163" spans="1:8" ht="15.75" x14ac:dyDescent="0.25">
      <c r="A163" s="29" t="s">
        <v>211</v>
      </c>
      <c r="B163" s="46">
        <v>14039</v>
      </c>
      <c r="C163" s="10">
        <v>134477</v>
      </c>
      <c r="D163" s="12" t="s">
        <v>198</v>
      </c>
      <c r="E163" s="33" t="s">
        <v>165</v>
      </c>
      <c r="F163" s="34" t="s">
        <v>166</v>
      </c>
      <c r="G163" s="135">
        <v>35622.449999999997</v>
      </c>
      <c r="H163" s="89">
        <v>35622.449999999997</v>
      </c>
    </row>
    <row r="164" spans="1:8" ht="15.75" x14ac:dyDescent="0.25">
      <c r="A164" s="29" t="s">
        <v>211</v>
      </c>
      <c r="B164" s="46">
        <v>13401</v>
      </c>
      <c r="C164" s="10">
        <v>134478</v>
      </c>
      <c r="D164" s="12" t="s">
        <v>210</v>
      </c>
      <c r="E164" s="33" t="s">
        <v>212</v>
      </c>
      <c r="F164" s="34" t="s">
        <v>213</v>
      </c>
      <c r="G164" s="135">
        <v>234070</v>
      </c>
      <c r="H164" s="89">
        <v>234070</v>
      </c>
    </row>
    <row r="165" spans="1:8" ht="15.75" x14ac:dyDescent="0.25">
      <c r="A165" s="29" t="s">
        <v>214</v>
      </c>
      <c r="B165" s="46">
        <v>13355</v>
      </c>
      <c r="C165" s="10">
        <v>134479</v>
      </c>
      <c r="D165" s="12" t="s">
        <v>140</v>
      </c>
      <c r="E165" s="33" t="s">
        <v>215</v>
      </c>
      <c r="F165" s="34" t="s">
        <v>216</v>
      </c>
      <c r="G165" s="135">
        <v>100400</v>
      </c>
      <c r="H165" s="89"/>
    </row>
    <row r="166" spans="1:8" ht="31.5" x14ac:dyDescent="0.25">
      <c r="A166" s="29" t="s">
        <v>217</v>
      </c>
      <c r="B166" s="46">
        <v>13347</v>
      </c>
      <c r="C166" s="10">
        <v>134480</v>
      </c>
      <c r="D166" s="12" t="s">
        <v>200</v>
      </c>
      <c r="E166" s="33" t="s">
        <v>218</v>
      </c>
      <c r="F166" s="102" t="s">
        <v>219</v>
      </c>
      <c r="G166" s="135">
        <v>322480</v>
      </c>
      <c r="H166" s="89">
        <v>322480</v>
      </c>
    </row>
    <row r="167" spans="1:8" ht="15.75" x14ac:dyDescent="0.25">
      <c r="A167" s="29" t="s">
        <v>220</v>
      </c>
      <c r="B167" s="46">
        <v>12498</v>
      </c>
      <c r="C167" s="10">
        <v>134481</v>
      </c>
      <c r="D167" s="12" t="s">
        <v>126</v>
      </c>
      <c r="E167" s="33" t="s">
        <v>221</v>
      </c>
      <c r="F167" s="34" t="s">
        <v>222</v>
      </c>
      <c r="G167" s="135">
        <v>30100</v>
      </c>
      <c r="H167" s="89">
        <v>30100</v>
      </c>
    </row>
    <row r="168" spans="1:8" ht="15.75" x14ac:dyDescent="0.25">
      <c r="A168" s="29" t="s">
        <v>220</v>
      </c>
      <c r="B168" s="46">
        <v>11094</v>
      </c>
      <c r="C168" s="10">
        <v>134482</v>
      </c>
      <c r="D168" s="12" t="s">
        <v>196</v>
      </c>
      <c r="E168" s="33" t="s">
        <v>223</v>
      </c>
      <c r="F168" s="34" t="s">
        <v>224</v>
      </c>
      <c r="G168" s="135">
        <v>39208</v>
      </c>
      <c r="H168" s="89"/>
    </row>
    <row r="169" spans="1:8" ht="15.75" x14ac:dyDescent="0.25">
      <c r="A169" s="29" t="s">
        <v>220</v>
      </c>
      <c r="B169" s="46">
        <v>12567</v>
      </c>
      <c r="C169" s="10">
        <v>134483</v>
      </c>
      <c r="D169" s="12" t="s">
        <v>225</v>
      </c>
      <c r="E169" s="33" t="s">
        <v>226</v>
      </c>
      <c r="F169" s="34" t="s">
        <v>227</v>
      </c>
      <c r="G169" s="135">
        <v>21330</v>
      </c>
      <c r="H169" s="89">
        <v>21330</v>
      </c>
    </row>
    <row r="170" spans="1:8" ht="15.75" x14ac:dyDescent="0.25">
      <c r="A170" s="29" t="s">
        <v>228</v>
      </c>
      <c r="B170" s="46">
        <v>13363</v>
      </c>
      <c r="C170" s="10">
        <v>134485</v>
      </c>
      <c r="D170" s="12" t="s">
        <v>140</v>
      </c>
      <c r="E170" s="33" t="s">
        <v>165</v>
      </c>
      <c r="F170" s="34" t="s">
        <v>166</v>
      </c>
      <c r="G170" s="135">
        <v>22034.9</v>
      </c>
      <c r="H170" s="89">
        <v>22034</v>
      </c>
    </row>
    <row r="171" spans="1:8" ht="15.75" x14ac:dyDescent="0.25">
      <c r="A171" s="29" t="s">
        <v>229</v>
      </c>
      <c r="B171" s="46"/>
      <c r="C171" s="10" t="s">
        <v>29</v>
      </c>
      <c r="D171" s="12" t="s">
        <v>196</v>
      </c>
      <c r="E171" s="33" t="s">
        <v>197</v>
      </c>
      <c r="F171" s="34" t="s">
        <v>49</v>
      </c>
      <c r="G171" s="135">
        <v>29098</v>
      </c>
      <c r="H171" s="89">
        <v>29098</v>
      </c>
    </row>
    <row r="172" spans="1:8" ht="15.75" x14ac:dyDescent="0.25">
      <c r="A172" s="29" t="s">
        <v>229</v>
      </c>
      <c r="B172" s="46"/>
      <c r="C172" s="10" t="s">
        <v>29</v>
      </c>
      <c r="D172" s="12" t="s">
        <v>200</v>
      </c>
      <c r="E172" s="33" t="s">
        <v>251</v>
      </c>
      <c r="F172" s="34" t="s">
        <v>252</v>
      </c>
      <c r="G172" s="135">
        <v>6960</v>
      </c>
      <c r="H172" s="89">
        <v>6960</v>
      </c>
    </row>
    <row r="173" spans="1:8" ht="15.75" x14ac:dyDescent="0.25">
      <c r="A173" s="29" t="s">
        <v>229</v>
      </c>
      <c r="B173" s="46"/>
      <c r="C173" s="10" t="s">
        <v>29</v>
      </c>
      <c r="D173" s="12" t="s">
        <v>198</v>
      </c>
      <c r="E173" s="33" t="s">
        <v>39</v>
      </c>
      <c r="F173" s="34" t="s">
        <v>199</v>
      </c>
      <c r="G173" s="135">
        <v>120800</v>
      </c>
      <c r="H173" s="89">
        <v>120800</v>
      </c>
    </row>
    <row r="174" spans="1:8" ht="31.5" x14ac:dyDescent="0.25">
      <c r="A174" s="29" t="s">
        <v>229</v>
      </c>
      <c r="B174" s="46"/>
      <c r="C174" s="10" t="s">
        <v>29</v>
      </c>
      <c r="D174" s="12" t="s">
        <v>200</v>
      </c>
      <c r="E174" s="33" t="s">
        <v>201</v>
      </c>
      <c r="F174" s="103" t="s">
        <v>55</v>
      </c>
      <c r="G174" s="135">
        <v>4800</v>
      </c>
      <c r="H174" s="89">
        <v>4800</v>
      </c>
    </row>
    <row r="175" spans="1:8" ht="15.75" x14ac:dyDescent="0.25">
      <c r="A175" s="29" t="s">
        <v>230</v>
      </c>
      <c r="B175" s="46">
        <v>14357</v>
      </c>
      <c r="C175" s="10">
        <v>134487</v>
      </c>
      <c r="D175" s="12" t="s">
        <v>200</v>
      </c>
      <c r="E175" s="33" t="s">
        <v>231</v>
      </c>
      <c r="F175" s="34" t="s">
        <v>232</v>
      </c>
      <c r="G175" s="135">
        <v>4836063.2</v>
      </c>
      <c r="H175" s="89">
        <v>4836063</v>
      </c>
    </row>
    <row r="176" spans="1:8" ht="15.75" x14ac:dyDescent="0.25">
      <c r="A176" s="29" t="s">
        <v>233</v>
      </c>
      <c r="B176" s="46">
        <v>13369</v>
      </c>
      <c r="C176" s="10">
        <v>134488</v>
      </c>
      <c r="D176" s="12" t="s">
        <v>140</v>
      </c>
      <c r="E176" s="33" t="s">
        <v>234</v>
      </c>
      <c r="F176" s="34" t="s">
        <v>235</v>
      </c>
      <c r="G176" s="135">
        <v>36076.5</v>
      </c>
      <c r="H176" s="89"/>
    </row>
    <row r="177" spans="1:8" ht="15.75" x14ac:dyDescent="0.25">
      <c r="A177" s="29" t="s">
        <v>233</v>
      </c>
      <c r="B177" s="46">
        <v>14040</v>
      </c>
      <c r="C177" s="10">
        <v>134489</v>
      </c>
      <c r="D177" s="12" t="s">
        <v>198</v>
      </c>
      <c r="E177" s="33" t="s">
        <v>40</v>
      </c>
      <c r="F177" s="34" t="s">
        <v>166</v>
      </c>
      <c r="G177" s="135">
        <v>597547.5</v>
      </c>
      <c r="H177" s="89">
        <v>597547.5</v>
      </c>
    </row>
    <row r="178" spans="1:8" ht="15.75" x14ac:dyDescent="0.25">
      <c r="A178" s="29" t="s">
        <v>236</v>
      </c>
      <c r="B178" s="46">
        <v>14537</v>
      </c>
      <c r="C178" s="10">
        <v>134490</v>
      </c>
      <c r="D178" s="12" t="s">
        <v>198</v>
      </c>
      <c r="E178" s="33" t="s">
        <v>169</v>
      </c>
      <c r="F178" s="34" t="s">
        <v>156</v>
      </c>
      <c r="G178" s="135">
        <v>70800</v>
      </c>
      <c r="H178" s="89"/>
    </row>
    <row r="179" spans="1:8" ht="15.75" x14ac:dyDescent="0.25">
      <c r="A179" s="29" t="s">
        <v>236</v>
      </c>
      <c r="B179" s="46">
        <v>14038</v>
      </c>
      <c r="C179" s="10">
        <v>134491</v>
      </c>
      <c r="D179" s="12" t="s">
        <v>198</v>
      </c>
      <c r="E179" s="33" t="s">
        <v>237</v>
      </c>
      <c r="F179" s="34" t="s">
        <v>238</v>
      </c>
      <c r="G179" s="135">
        <v>177500</v>
      </c>
      <c r="H179" s="89"/>
    </row>
    <row r="180" spans="1:8" ht="31.5" x14ac:dyDescent="0.25">
      <c r="A180" s="29" t="s">
        <v>239</v>
      </c>
      <c r="B180" s="46">
        <v>14161</v>
      </c>
      <c r="C180" s="10">
        <v>134492</v>
      </c>
      <c r="D180" s="12" t="s">
        <v>198</v>
      </c>
      <c r="E180" s="33" t="s">
        <v>240</v>
      </c>
      <c r="F180" s="102" t="s">
        <v>241</v>
      </c>
      <c r="G180" s="135">
        <v>52942.94</v>
      </c>
      <c r="H180" s="89"/>
    </row>
    <row r="181" spans="1:8" ht="15.75" x14ac:dyDescent="0.25">
      <c r="A181" s="29" t="s">
        <v>239</v>
      </c>
      <c r="B181" s="46">
        <v>13953</v>
      </c>
      <c r="C181" s="10">
        <v>134495</v>
      </c>
      <c r="D181" s="12" t="s">
        <v>207</v>
      </c>
      <c r="E181" s="33" t="s">
        <v>242</v>
      </c>
      <c r="F181" s="34" t="s">
        <v>243</v>
      </c>
      <c r="G181" s="135">
        <v>96400</v>
      </c>
      <c r="H181" s="89"/>
    </row>
    <row r="182" spans="1:8" ht="15.75" x14ac:dyDescent="0.25">
      <c r="A182" s="29" t="s">
        <v>239</v>
      </c>
      <c r="B182" s="46">
        <v>12608</v>
      </c>
      <c r="C182" s="10">
        <v>134496</v>
      </c>
      <c r="D182" s="12" t="s">
        <v>207</v>
      </c>
      <c r="E182" s="33" t="s">
        <v>244</v>
      </c>
      <c r="F182" s="34" t="s">
        <v>222</v>
      </c>
      <c r="G182" s="135">
        <v>279600</v>
      </c>
      <c r="H182" s="89">
        <v>279600</v>
      </c>
    </row>
    <row r="183" spans="1:8" ht="15.75" x14ac:dyDescent="0.25">
      <c r="A183" s="29" t="s">
        <v>239</v>
      </c>
      <c r="B183" s="46">
        <v>13403</v>
      </c>
      <c r="C183" s="10">
        <v>134497</v>
      </c>
      <c r="D183" s="12" t="s">
        <v>122</v>
      </c>
      <c r="E183" s="33" t="s">
        <v>19</v>
      </c>
      <c r="F183" s="34" t="s">
        <v>245</v>
      </c>
      <c r="G183" s="135">
        <v>138145</v>
      </c>
      <c r="H183" s="89">
        <v>138145</v>
      </c>
    </row>
    <row r="184" spans="1:8" ht="31.5" x14ac:dyDescent="0.25">
      <c r="A184" s="29" t="s">
        <v>239</v>
      </c>
      <c r="B184" s="46">
        <v>13373</v>
      </c>
      <c r="C184" s="10">
        <v>134498</v>
      </c>
      <c r="D184" s="12" t="s">
        <v>246</v>
      </c>
      <c r="E184" s="33" t="s">
        <v>42</v>
      </c>
      <c r="F184" s="102" t="s">
        <v>147</v>
      </c>
      <c r="G184" s="135">
        <v>29000</v>
      </c>
      <c r="H184" s="89">
        <v>29000</v>
      </c>
    </row>
    <row r="185" spans="1:8" ht="15.75" x14ac:dyDescent="0.25">
      <c r="A185" s="29" t="s">
        <v>239</v>
      </c>
      <c r="B185" s="46" t="s">
        <v>247</v>
      </c>
      <c r="C185" s="10">
        <v>134499</v>
      </c>
      <c r="D185" s="12" t="s">
        <v>122</v>
      </c>
      <c r="E185" s="33" t="s">
        <v>19</v>
      </c>
      <c r="F185" s="34" t="s">
        <v>248</v>
      </c>
      <c r="G185" s="135">
        <v>246680</v>
      </c>
      <c r="H185" s="89">
        <v>246680</v>
      </c>
    </row>
    <row r="186" spans="1:8" ht="15.75" x14ac:dyDescent="0.25">
      <c r="A186" s="29" t="s">
        <v>239</v>
      </c>
      <c r="B186" s="46" t="s">
        <v>249</v>
      </c>
      <c r="C186" s="10">
        <v>134500</v>
      </c>
      <c r="D186" s="12" t="s">
        <v>122</v>
      </c>
      <c r="E186" s="33" t="s">
        <v>19</v>
      </c>
      <c r="F186" s="34" t="s">
        <v>250</v>
      </c>
      <c r="G186" s="135">
        <v>180950</v>
      </c>
      <c r="H186" s="89">
        <v>180950</v>
      </c>
    </row>
    <row r="187" spans="1:8" ht="15.75" x14ac:dyDescent="0.25">
      <c r="A187" s="29" t="s">
        <v>255</v>
      </c>
      <c r="B187" s="46"/>
      <c r="C187" s="10" t="s">
        <v>29</v>
      </c>
      <c r="D187" s="12" t="s">
        <v>196</v>
      </c>
      <c r="E187" s="33" t="s">
        <v>197</v>
      </c>
      <c r="F187" s="34" t="s">
        <v>49</v>
      </c>
      <c r="G187" s="135">
        <v>29098</v>
      </c>
      <c r="H187" s="89">
        <v>29098</v>
      </c>
    </row>
    <row r="188" spans="1:8" ht="15.75" x14ac:dyDescent="0.25">
      <c r="A188" s="29" t="s">
        <v>255</v>
      </c>
      <c r="B188" s="46"/>
      <c r="C188" s="10" t="s">
        <v>29</v>
      </c>
      <c r="D188" s="12" t="s">
        <v>198</v>
      </c>
      <c r="E188" s="33" t="s">
        <v>39</v>
      </c>
      <c r="F188" s="34" t="s">
        <v>199</v>
      </c>
      <c r="G188" s="135">
        <v>97600</v>
      </c>
      <c r="H188" s="89">
        <v>97600</v>
      </c>
    </row>
    <row r="189" spans="1:8" ht="31.5" x14ac:dyDescent="0.25">
      <c r="A189" s="29" t="s">
        <v>255</v>
      </c>
      <c r="B189" s="46"/>
      <c r="C189" s="10" t="s">
        <v>29</v>
      </c>
      <c r="D189" s="12" t="s">
        <v>200</v>
      </c>
      <c r="E189" s="33" t="s">
        <v>201</v>
      </c>
      <c r="F189" s="103" t="s">
        <v>55</v>
      </c>
      <c r="G189" s="135">
        <v>4800</v>
      </c>
      <c r="H189" s="89">
        <v>4800</v>
      </c>
    </row>
    <row r="190" spans="1:8" ht="15.75" x14ac:dyDescent="0.25">
      <c r="A190" s="29" t="s">
        <v>255</v>
      </c>
      <c r="B190" s="46"/>
      <c r="C190" s="10" t="s">
        <v>29</v>
      </c>
      <c r="D190" s="12" t="s">
        <v>200</v>
      </c>
      <c r="E190" s="33" t="s">
        <v>251</v>
      </c>
      <c r="F190" s="34" t="s">
        <v>252</v>
      </c>
      <c r="G190" s="135">
        <v>10440</v>
      </c>
      <c r="H190" s="89">
        <v>10440</v>
      </c>
    </row>
    <row r="191" spans="1:8" ht="15.75" x14ac:dyDescent="0.25">
      <c r="A191" s="29">
        <v>44834</v>
      </c>
      <c r="B191" s="46"/>
      <c r="C191" s="10" t="s">
        <v>29</v>
      </c>
      <c r="D191" s="12" t="s">
        <v>200</v>
      </c>
      <c r="E191" s="33" t="s">
        <v>256</v>
      </c>
      <c r="F191" s="34"/>
      <c r="G191" s="135">
        <v>23600</v>
      </c>
      <c r="H191" s="89">
        <v>23600</v>
      </c>
    </row>
    <row r="192" spans="1:8" ht="15.75" x14ac:dyDescent="0.25">
      <c r="A192" s="29" t="s">
        <v>255</v>
      </c>
      <c r="B192" s="46"/>
      <c r="C192" s="10" t="s">
        <v>29</v>
      </c>
      <c r="D192" s="12" t="s">
        <v>200</v>
      </c>
      <c r="E192" s="33" t="s">
        <v>257</v>
      </c>
      <c r="F192" s="34" t="s">
        <v>258</v>
      </c>
      <c r="G192" s="135">
        <v>143900</v>
      </c>
      <c r="H192" s="89">
        <v>143900</v>
      </c>
    </row>
    <row r="193" spans="1:8" ht="15.75" x14ac:dyDescent="0.25">
      <c r="A193" s="29"/>
      <c r="B193" s="46"/>
      <c r="C193" s="10"/>
      <c r="D193" s="12"/>
      <c r="E193" s="33"/>
      <c r="F193" s="34"/>
      <c r="G193" s="135"/>
      <c r="H193" s="89"/>
    </row>
    <row r="194" spans="1:8" ht="15.75" x14ac:dyDescent="0.25">
      <c r="A194" s="29"/>
      <c r="B194" s="46"/>
      <c r="C194" s="10"/>
      <c r="D194" s="12"/>
      <c r="E194" s="9"/>
      <c r="F194" s="11"/>
      <c r="G194" s="214"/>
      <c r="H194" s="91"/>
    </row>
    <row r="195" spans="1:8" ht="15.75" x14ac:dyDescent="0.25">
      <c r="A195" s="29" t="s">
        <v>130</v>
      </c>
      <c r="B195" s="46"/>
      <c r="C195" s="10"/>
      <c r="D195" s="12"/>
      <c r="E195" s="33"/>
      <c r="F195" s="34"/>
      <c r="G195" s="215">
        <f ca="1">SUM(G8:G194)</f>
        <v>14867909.270000001</v>
      </c>
      <c r="H195" s="90">
        <f>SUM(H8:H194)</f>
        <v>8134825.9500000002</v>
      </c>
    </row>
    <row r="196" spans="1:8" ht="15.75" x14ac:dyDescent="0.25">
      <c r="A196" s="29"/>
      <c r="B196" s="46"/>
      <c r="C196" s="10"/>
      <c r="D196" s="12"/>
      <c r="E196" s="33"/>
      <c r="F196" s="34"/>
      <c r="G196" s="35"/>
      <c r="H196" s="89"/>
    </row>
    <row r="197" spans="1:8" ht="15.75" x14ac:dyDescent="0.25">
      <c r="A197" s="93"/>
      <c r="B197" s="46"/>
      <c r="C197" s="10"/>
      <c r="D197" s="12"/>
      <c r="E197" s="33"/>
      <c r="F197" s="34"/>
      <c r="G197" s="92"/>
      <c r="H197" s="94"/>
    </row>
    <row r="198" spans="1:8" ht="15.75" x14ac:dyDescent="0.25">
      <c r="A198" s="95"/>
      <c r="B198" s="43"/>
      <c r="C198" s="10"/>
      <c r="D198" s="12"/>
      <c r="E198" s="33"/>
      <c r="F198" s="34"/>
      <c r="G198" s="35"/>
      <c r="H198" s="94"/>
    </row>
    <row r="199" spans="1:8" x14ac:dyDescent="0.25">
      <c r="A199" s="43"/>
      <c r="B199" s="43"/>
      <c r="C199" s="46"/>
      <c r="D199" s="43"/>
      <c r="E199" s="43"/>
      <c r="F199" s="43"/>
      <c r="G199" s="92"/>
      <c r="H199" s="96"/>
    </row>
    <row r="200" spans="1:8" x14ac:dyDescent="0.25">
      <c r="A200" t="s">
        <v>131</v>
      </c>
    </row>
    <row r="202" spans="1:8" x14ac:dyDescent="0.25">
      <c r="A202" t="s">
        <v>132</v>
      </c>
      <c r="C202" s="97">
        <v>8134825.9500000002</v>
      </c>
      <c r="D202" s="98" t="s">
        <v>343</v>
      </c>
    </row>
    <row r="203" spans="1:8" x14ac:dyDescent="0.25">
      <c r="A203" t="s">
        <v>133</v>
      </c>
      <c r="C203" s="35">
        <v>15826767.27</v>
      </c>
    </row>
    <row r="204" spans="1:8" ht="15.75" x14ac:dyDescent="0.25">
      <c r="A204" t="s">
        <v>134</v>
      </c>
      <c r="E204" s="99" t="s">
        <v>135</v>
      </c>
    </row>
    <row r="206" spans="1:8" x14ac:dyDescent="0.25">
      <c r="A206" t="s">
        <v>136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PPRA</vt:lpstr>
      <vt:lpstr>local Goods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IPR</cp:lastModifiedBy>
  <dcterms:created xsi:type="dcterms:W3CDTF">2022-09-30T09:58:42Z</dcterms:created>
  <dcterms:modified xsi:type="dcterms:W3CDTF">2023-09-12T10:51:40Z</dcterms:modified>
</cp:coreProperties>
</file>