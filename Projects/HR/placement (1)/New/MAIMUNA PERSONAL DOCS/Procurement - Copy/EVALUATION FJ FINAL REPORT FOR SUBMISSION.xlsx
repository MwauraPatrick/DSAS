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480" yWindow="690" windowWidth="14880" windowHeight="6255" tabRatio="897"/>
  </bookViews>
  <sheets>
    <sheet name="CATEGORY 1" sheetId="49" r:id="rId1"/>
    <sheet name="CATEGORY 2" sheetId="48" r:id="rId2"/>
    <sheet name="CATEGORY 3" sheetId="3" r:id="rId3"/>
    <sheet name="CATEGORY 4" sheetId="50" r:id="rId4"/>
    <sheet name="CATEGORY 5" sheetId="51" r:id="rId5"/>
    <sheet name="CATEGORY 6" sheetId="6" r:id="rId6"/>
    <sheet name="CATEGORY 7" sheetId="52" r:id="rId7"/>
    <sheet name="CATEGORY 8" sheetId="53" r:id="rId8"/>
    <sheet name="CATEGORY 9" sheetId="9" r:id="rId9"/>
    <sheet name="CATEGORY 10" sheetId="10" r:id="rId10"/>
    <sheet name="CATEGORY 11" sheetId="11" r:id="rId11"/>
    <sheet name="Sheet1" sheetId="71" r:id="rId12"/>
    <sheet name="Sheet2" sheetId="72" r:id="rId13"/>
    <sheet name="Sheet3" sheetId="73" r:id="rId14"/>
    <sheet name="CATEGORY 12" sheetId="54" r:id="rId15"/>
    <sheet name="CATEGORY 13" sheetId="55" r:id="rId16"/>
    <sheet name="CATEGORY 14" sheetId="56" r:id="rId17"/>
    <sheet name="CATEGORY 15" sheetId="15" r:id="rId18"/>
    <sheet name="CATEGORY 16" sheetId="57" r:id="rId19"/>
    <sheet name="CATEGORY 17" sheetId="17" r:id="rId20"/>
    <sheet name="CATEGORY 18" sheetId="58" r:id="rId21"/>
    <sheet name="CATEGORY 19" sheetId="19" r:id="rId22"/>
    <sheet name="CATEGORY 20" sheetId="20" r:id="rId23"/>
    <sheet name="CATEGORY 21" sheetId="62" r:id="rId24"/>
    <sheet name="CATEGORY 22" sheetId="61" r:id="rId25"/>
    <sheet name="CATEGORY 23" sheetId="60" r:id="rId26"/>
    <sheet name="CATEGORY 24." sheetId="70" r:id="rId27"/>
    <sheet name="CATEGORY 25" sheetId="25" r:id="rId28"/>
    <sheet name="CATEGORY 26" sheetId="63" r:id="rId29"/>
    <sheet name="CATEGORY 27" sheetId="27" r:id="rId30"/>
    <sheet name="CATEGORY 28" sheetId="28" r:id="rId31"/>
    <sheet name="CATEGORY 29" sheetId="29" r:id="rId32"/>
    <sheet name="CATEGORY 30" sheetId="64" r:id="rId33"/>
    <sheet name="CATEGORY 31" sheetId="31" r:id="rId34"/>
    <sheet name="CATEGORY 32" sheetId="32" r:id="rId35"/>
    <sheet name="CATEGORY 33" sheetId="65" r:id="rId36"/>
    <sheet name="CATEGORY 34" sheetId="47" r:id="rId37"/>
    <sheet name="CATEGORY 35" sheetId="66" r:id="rId38"/>
    <sheet name="CATEGORY 36" sheetId="36" r:id="rId39"/>
    <sheet name="CATEGORY 37" sheetId="37" r:id="rId40"/>
    <sheet name="CATEGORY 38" sheetId="69" r:id="rId41"/>
    <sheet name="CATEGORY 39" sheetId="68" r:id="rId42"/>
    <sheet name="CATEGORY 40" sheetId="67" r:id="rId43"/>
    <sheet name="Sheet4" sheetId="74" r:id="rId44"/>
    <sheet name="CATEGORY 41" sheetId="41" r:id="rId45"/>
    <sheet name="CATEGORY 42" sheetId="42" r:id="rId46"/>
  </sheets>
  <definedNames>
    <definedName name="_xlnm.Print_Area" localSheetId="27">'CATEGORY 25'!$A$1:$Q$15</definedName>
    <definedName name="_xlnm.Print_Area" localSheetId="8">'CATEGORY 9'!$A$1:$U$59</definedName>
  </definedNames>
  <calcPr calcId="152511"/>
</workbook>
</file>

<file path=xl/calcChain.xml><?xml version="1.0" encoding="utf-8"?>
<calcChain xmlns="http://schemas.openxmlformats.org/spreadsheetml/2006/main">
  <c r="P13" i="64" l="1"/>
  <c r="P12" i="64"/>
  <c r="P11" i="64"/>
  <c r="P4" i="64"/>
  <c r="P5" i="64"/>
  <c r="P6" i="64"/>
  <c r="P7" i="64"/>
  <c r="P8" i="64"/>
  <c r="P9" i="64"/>
  <c r="P10" i="64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S4" i="66"/>
  <c r="S5" i="66"/>
  <c r="S4" i="19"/>
  <c r="S5" i="19"/>
  <c r="S4" i="41"/>
  <c r="S4" i="32"/>
  <c r="S5" i="32"/>
  <c r="S6" i="32"/>
  <c r="S7" i="32"/>
  <c r="S8" i="32"/>
  <c r="P4" i="37"/>
  <c r="S4" i="17"/>
  <c r="P5" i="55"/>
  <c r="P6" i="55"/>
  <c r="P4" i="15"/>
  <c r="P6" i="29" l="1"/>
  <c r="O7" i="42"/>
  <c r="O6" i="42"/>
  <c r="Q4" i="63"/>
  <c r="S6" i="65"/>
  <c r="P4" i="60"/>
  <c r="P8" i="53"/>
  <c r="P2" i="52"/>
  <c r="P4" i="47"/>
  <c r="P9" i="54"/>
  <c r="P8" i="54"/>
  <c r="P7" i="54"/>
  <c r="P6" i="54"/>
  <c r="Q6" i="27"/>
  <c r="Q5" i="27"/>
  <c r="Q4" i="27"/>
  <c r="Q6" i="36"/>
  <c r="Q5" i="36"/>
  <c r="Q4" i="36"/>
  <c r="Q34" i="10" l="1"/>
  <c r="Q33" i="10"/>
  <c r="Q31" i="10"/>
  <c r="Q32" i="10"/>
  <c r="F37" i="10"/>
  <c r="G37" i="10"/>
  <c r="H37" i="10"/>
  <c r="I37" i="10"/>
  <c r="K37" i="10"/>
  <c r="M37" i="10"/>
  <c r="N37" i="10"/>
  <c r="O37" i="10"/>
  <c r="P37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9" i="10"/>
  <c r="Q8" i="10"/>
  <c r="Q7" i="10"/>
  <c r="Q6" i="10"/>
  <c r="Q37" i="10" l="1"/>
  <c r="Q8" i="31"/>
  <c r="Q7" i="31"/>
  <c r="Q6" i="31"/>
  <c r="Q5" i="31"/>
  <c r="Q4" i="31"/>
  <c r="Q9" i="28"/>
  <c r="Q8" i="28"/>
  <c r="Q7" i="28"/>
  <c r="Q6" i="28"/>
  <c r="Q5" i="28"/>
  <c r="Q4" i="28"/>
  <c r="N15" i="6"/>
  <c r="N14" i="6"/>
  <c r="N13" i="6"/>
  <c r="N12" i="6"/>
  <c r="N11" i="6"/>
  <c r="N10" i="6"/>
  <c r="N9" i="6"/>
  <c r="N8" i="6"/>
  <c r="N7" i="6"/>
  <c r="N6" i="6"/>
  <c r="N5" i="6"/>
  <c r="N4" i="6"/>
  <c r="Q13" i="51"/>
  <c r="Q12" i="51"/>
  <c r="Q11" i="51"/>
  <c r="Q10" i="51"/>
  <c r="Q9" i="51"/>
  <c r="Q8" i="51"/>
  <c r="Q7" i="51"/>
  <c r="Q6" i="51"/>
  <c r="Q5" i="51"/>
  <c r="Q4" i="51"/>
  <c r="Q18" i="50"/>
  <c r="Q17" i="50"/>
  <c r="Q16" i="50"/>
  <c r="Q15" i="50"/>
  <c r="Q14" i="50"/>
  <c r="Q13" i="50"/>
  <c r="Q12" i="50"/>
  <c r="Q11" i="50"/>
  <c r="Q10" i="50"/>
  <c r="Q9" i="50"/>
  <c r="Q8" i="50"/>
  <c r="Q7" i="50"/>
  <c r="Q6" i="50"/>
  <c r="Q5" i="50"/>
  <c r="Q4" i="50"/>
  <c r="P19" i="48"/>
  <c r="N7" i="3"/>
  <c r="N6" i="3"/>
  <c r="N5" i="3"/>
  <c r="N4" i="3"/>
  <c r="P23" i="48"/>
  <c r="P22" i="48"/>
  <c r="P21" i="48"/>
  <c r="P20" i="48"/>
  <c r="P18" i="48"/>
  <c r="P17" i="48"/>
  <c r="P16" i="48"/>
  <c r="P15" i="48"/>
  <c r="P14" i="48"/>
  <c r="P13" i="48"/>
  <c r="P12" i="48"/>
  <c r="P11" i="48"/>
  <c r="P10" i="48"/>
  <c r="P9" i="48"/>
  <c r="P8" i="48"/>
  <c r="P6" i="48"/>
  <c r="P5" i="48"/>
  <c r="P4" i="48"/>
  <c r="P32" i="49"/>
  <c r="P33" i="49" l="1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P8" i="29" l="1"/>
  <c r="P7" i="29"/>
  <c r="P4" i="55"/>
  <c r="P4" i="11"/>
</calcChain>
</file>

<file path=xl/sharedStrings.xml><?xml version="1.0" encoding="utf-8"?>
<sst xmlns="http://schemas.openxmlformats.org/spreadsheetml/2006/main" count="1320" uniqueCount="441">
  <si>
    <t>EVALUATION OF SUPPLIERS OF GOODS AND SERVICES FOR  2016-2018 FY</t>
  </si>
  <si>
    <t>MAIN DIRECTORS NAME</t>
  </si>
  <si>
    <t>AGE</t>
  </si>
  <si>
    <t>INCORP./ REG. CERT.</t>
  </si>
  <si>
    <t>AUDITED ACCOUNTS</t>
  </si>
  <si>
    <t>SPECIAL GROUP (Y,W,PWD/)</t>
  </si>
  <si>
    <t>TENDER DOCUMENT NUMBER</t>
  </si>
  <si>
    <t>W</t>
  </si>
  <si>
    <t>DETAILED CO PROFILE</t>
  </si>
  <si>
    <t xml:space="preserve">REFEREES </t>
  </si>
  <si>
    <t>NHIF</t>
  </si>
  <si>
    <t>NSSF</t>
  </si>
  <si>
    <t>REG WITH CERTIFIED BODY</t>
  </si>
  <si>
    <t>TOTAL MARKS</t>
  </si>
  <si>
    <t>CLARITY OF DOCUMENT</t>
  </si>
  <si>
    <t>PRESENTATION OF DOCUMENT</t>
  </si>
  <si>
    <t>KEY PERSONNEL INVOLVED</t>
  </si>
  <si>
    <t>NAME OF COMPANY/PARTNERSHIP/BUSINESS</t>
  </si>
  <si>
    <t>Y</t>
  </si>
  <si>
    <t xml:space="preserve"> SUPPLY OF GENERAL   OFFICE STATIONERY AND PRINTING WORKS</t>
  </si>
  <si>
    <t>PWD</t>
  </si>
  <si>
    <t>REMARKS</t>
  </si>
  <si>
    <t>VALID SPECIAL GROUP (Y,W,PWD/)</t>
  </si>
  <si>
    <t>VALID TAX COMP. CERT.</t>
  </si>
  <si>
    <t>RELEVANTCURRENT BUSINESS PERMIT</t>
  </si>
  <si>
    <t xml:space="preserve"> SUPPLY OF COMPUTERS SERVERS, LAPTOPS , PRINTERS, UPS, ACCESSORIES AND OTHER ICT CONSUMABLES</t>
  </si>
  <si>
    <t>NAME OF COMPANY/           PARTNERSHIP/                   BUSINESS</t>
  </si>
  <si>
    <t>RELEVANT CURRENT BUSINESS PERMIT</t>
  </si>
  <si>
    <t xml:space="preserve"> SUPPLY OF AND MAINTAINANCE OF FURNITURE AND FITTINGS </t>
  </si>
  <si>
    <t>NO BUSINESS PERMIT</t>
  </si>
  <si>
    <t>EXPIRED BUSINESS PERMIT</t>
  </si>
  <si>
    <t xml:space="preserve"> SUPPLY OF STAFF UNIFORMS AND PROTECTIVE GEARS</t>
  </si>
  <si>
    <t>DESIGNING,BRANDING AND PRODUCTION OF PROMOTIONAL MATERIALS LIKE BANNERS,CAPS ETC</t>
  </si>
  <si>
    <t>NO NMK DOCUMENTS</t>
  </si>
  <si>
    <t xml:space="preserve"> SUPPLY OF ELECTRICAL ITEMS,EQUIPMENT AND ACCESSORIES</t>
  </si>
  <si>
    <t>NO TAX COMPLIANCE CERTIFICATE</t>
  </si>
  <si>
    <t>SECURITY PRINTING SERVICES</t>
  </si>
  <si>
    <t>TOTAL MARKS*100/93</t>
  </si>
  <si>
    <t>TOTAL MARKS *100/93</t>
  </si>
  <si>
    <t>TOTAL MARKS*100/83</t>
  </si>
  <si>
    <t>TOTAL MARKS *100/83</t>
  </si>
  <si>
    <t>SUPPLY OF HARDWARE MATERIALS</t>
  </si>
  <si>
    <t>SUPPLY OF LABORATORY CHEMICALS,LABORATORY EQUIPMENT AND MAINTENANCE</t>
  </si>
  <si>
    <t>REG WITH CERTIFIED BODY (KENYA MEDICAL , LAB, TECH BOARD)</t>
  </si>
  <si>
    <t>SUPPLY MOTOR VEHICLE SPARE PARTS, TYREE,TUBES AND BATTERIES</t>
  </si>
  <si>
    <t>SUPPLY AND MAINTAINANCE OF PHOTOCOPIERS AND FAX MACHINES</t>
  </si>
  <si>
    <t>SUPPLY OF AUDIO VISUAL EQUIPMENT AND PHOTOGRAPHIC MATERIALS</t>
  </si>
  <si>
    <t>PROVISION OF AIR TRAVEL AGENCIES SERVICES</t>
  </si>
  <si>
    <t>PROVISION OF ASSET NUMBERING AND TAGGING SERVICES</t>
  </si>
  <si>
    <t>PROVISION OF LAUNDRY SERVICES</t>
  </si>
  <si>
    <t xml:space="preserve">SERVICE AND REPAIR OF AIR CONDITIONERS,GENERATORS AND INCINERATOR </t>
  </si>
  <si>
    <t>REPAIR AND MAINTENANCE OF MOTOR VEHICLES</t>
  </si>
  <si>
    <t>PROVISION OF FUMIGATION AND PEST CONTROL SERVICES</t>
  </si>
  <si>
    <t>REG WITH CERTIFIED BODY (NEMA, PEST CONTROL PRODUCTS BOARD)</t>
  </si>
  <si>
    <t>PROVISION OF ORGANIZATION AND EVENTS MANAGEMENT</t>
  </si>
  <si>
    <t>SUPPLY OF BOTTLED DRINKING MINERAL WATER AND MAINTENANCE OF DISPENSERS</t>
  </si>
  <si>
    <t>SPECIAL GROUP (YOUTH)</t>
  </si>
  <si>
    <t>PROVISION OF TAXI SERVICES</t>
  </si>
  <si>
    <t>SUPPLY OF MOBILE PHONE AIR TIME</t>
  </si>
  <si>
    <t>SUPPLY AND DELIVERY OF NEWSPAPERS</t>
  </si>
  <si>
    <t>REG WITH CERTIFIED BODY (KENYA SURVEYORS BOARD)</t>
  </si>
  <si>
    <t>PROVISION OF INTERNET DATA SERVICES</t>
  </si>
  <si>
    <t>SERVICE,REPAIR AND MAINTENANCE OF ICT DEVICES</t>
  </si>
  <si>
    <t>PROVISION OF CATERING SERVICES</t>
  </si>
  <si>
    <t>SUPPLY AND MAINTENANCE OF SECURITY INSTALLATIONS - CCTV,ALARM SERVICES,KEYLESS DOOR ENTRY ETC</t>
  </si>
  <si>
    <t>PROVISION  AND MAINTENANCE OF WEB SERVICES</t>
  </si>
  <si>
    <t>REPAIR AND MAINTENANCE OF COMPUTERS, SERVERS,LAPTOPS,PRINTERS,UPS,ACCESSORIES AND OTHER ICT RELATED CONSUMABLES</t>
  </si>
  <si>
    <t>HART TRADERS</t>
  </si>
  <si>
    <t>LOISE WANGECI</t>
  </si>
  <si>
    <t>CRISM ENTERPRISES</t>
  </si>
  <si>
    <t>LUTFAT MAJID</t>
  </si>
  <si>
    <t>HART TRADERS LTD</t>
  </si>
  <si>
    <t>ZEIRUQ AGENCIESLTD</t>
  </si>
  <si>
    <t>ZEINAB ABASS</t>
  </si>
  <si>
    <t>SHALLOMS CO. LTD</t>
  </si>
  <si>
    <t>BACTLAB EAST AFRICA LTD</t>
  </si>
  <si>
    <t>JOSEPH NDUNGU</t>
  </si>
  <si>
    <t>DENNIS OWEYA</t>
  </si>
  <si>
    <t>DENIS OWEYA</t>
  </si>
  <si>
    <t>SHALLOMS COMPANY LTD</t>
  </si>
  <si>
    <t>NO CERTIFICATE</t>
  </si>
  <si>
    <t>EXPIRED CERTIFICATE</t>
  </si>
  <si>
    <t>NO PROOF OF AGE</t>
  </si>
  <si>
    <t>EXPIRED CERTIFICATE, ABOVE YOUTH AGE</t>
  </si>
  <si>
    <t>NO EVIDENCE OF AGE</t>
  </si>
  <si>
    <t>NO PROOF OF AGE, EXPIRED CERTIFICATE</t>
  </si>
  <si>
    <t>NO NMK TENDER DOCUMENT, EXPIRED CERTIFICATE</t>
  </si>
  <si>
    <t>FORGED DOCUMENT (LPO OF REFEREES)</t>
  </si>
  <si>
    <t>FORGED DOCUMENT (LPO OF REFEREESBUSINESS PERMIT)</t>
  </si>
  <si>
    <t>NO NMK TENDER DOCUMENT</t>
  </si>
  <si>
    <t>y</t>
  </si>
  <si>
    <t>w</t>
  </si>
  <si>
    <t>TOP SHOP LIMITED</t>
  </si>
  <si>
    <t>Mohammed A.Shakur</t>
  </si>
  <si>
    <t>COASTAL IMAGE TECHNOLOGY LTD</t>
  </si>
  <si>
    <t>Dennis Oweya</t>
  </si>
  <si>
    <t>PROVISION OF BUILDING AND CONSTRUCTION SERVICES</t>
  </si>
  <si>
    <t>REG WITH CERTIFIED BODY (NCA)</t>
  </si>
  <si>
    <t>AMOS ELECRICAL</t>
  </si>
  <si>
    <t>Amos Wera</t>
  </si>
  <si>
    <t>NGWAE COMPANY</t>
  </si>
  <si>
    <t>Albert .M.Mbiti</t>
  </si>
  <si>
    <t>monets limited</t>
  </si>
  <si>
    <t>shadrack wanyoike</t>
  </si>
  <si>
    <t xml:space="preserve">REG WITH CERTIFIED BODY </t>
  </si>
  <si>
    <t>v</t>
  </si>
  <si>
    <t>NHIF N NSSF</t>
  </si>
  <si>
    <t>zedeka commodities</t>
  </si>
  <si>
    <t>Nduta Ruth</t>
  </si>
  <si>
    <t>Dalim company limited</t>
  </si>
  <si>
    <t>Lina Kombo</t>
  </si>
  <si>
    <t>Anrodah Investments</t>
  </si>
  <si>
    <t>Roe Wangechi</t>
  </si>
  <si>
    <t>Citrine Investments</t>
  </si>
  <si>
    <t>Zainab Malik</t>
  </si>
  <si>
    <t>Top  Shop Ltd</t>
  </si>
  <si>
    <t>Mohd Abdulla</t>
  </si>
  <si>
    <t>Kosyin Supplies</t>
  </si>
  <si>
    <t>Peter Nyange</t>
  </si>
  <si>
    <t>Sulnas Enterprises</t>
  </si>
  <si>
    <t>Suleiman Mtumi</t>
  </si>
  <si>
    <t>Sisnel Enterprises</t>
  </si>
  <si>
    <t>Jenifer Chemutaiw</t>
  </si>
  <si>
    <t>One drop supplies and contractors ltd</t>
  </si>
  <si>
    <t>Forsure General supplies</t>
  </si>
  <si>
    <t>Caroline Achieng</t>
  </si>
  <si>
    <t>Joybex Traders</t>
  </si>
  <si>
    <t>Amoba Agencies</t>
  </si>
  <si>
    <t>Hart Traders</t>
  </si>
  <si>
    <t>Generic Enterprises</t>
  </si>
  <si>
    <t>Naomi Okeyo</t>
  </si>
  <si>
    <t xml:space="preserve">            W</t>
  </si>
  <si>
    <t>Messi Enterprises</t>
  </si>
  <si>
    <t>Amina Karoni</t>
  </si>
  <si>
    <t>Novak solutions</t>
  </si>
  <si>
    <t>Benard Nzai</t>
  </si>
  <si>
    <t xml:space="preserve">             Y</t>
  </si>
  <si>
    <t>Salisab Enterprises</t>
  </si>
  <si>
    <t>Real deal solutions</t>
  </si>
  <si>
    <t>Nonny Traders</t>
  </si>
  <si>
    <t>Crism Enterprises</t>
  </si>
  <si>
    <t>Beacham General</t>
  </si>
  <si>
    <t>Shiloh Right Supplies</t>
  </si>
  <si>
    <t>The Odosia paper work</t>
  </si>
  <si>
    <t>Jacob MWANGI</t>
  </si>
  <si>
    <t>No Agpo certificate</t>
  </si>
  <si>
    <t>Parklane Ventures</t>
  </si>
  <si>
    <t>Oceanlink system technology</t>
  </si>
  <si>
    <t>Dominicious kondo w</t>
  </si>
  <si>
    <t>Altambri Enterprises</t>
  </si>
  <si>
    <t>Lutfat Majid</t>
  </si>
  <si>
    <t>Shalloms co.Ltd</t>
  </si>
  <si>
    <t>Ahsam Ventures</t>
  </si>
  <si>
    <t>Mohd Ahmed</t>
  </si>
  <si>
    <t>Husnaina Enterprises</t>
  </si>
  <si>
    <t>Garden Design and solution</t>
  </si>
  <si>
    <t>No nmk prequalification form</t>
  </si>
  <si>
    <t>The Odosia Paper WORKS</t>
  </si>
  <si>
    <t>Jacob  Mwangi</t>
  </si>
  <si>
    <t>Husna Seif</t>
  </si>
  <si>
    <t>Rose Wangechi</t>
  </si>
  <si>
    <t>Real deal Solutions</t>
  </si>
  <si>
    <t>Kennedy Gitonga</t>
  </si>
  <si>
    <t>Citrine Investments ltd</t>
  </si>
  <si>
    <t>Beacham General supplies</t>
  </si>
  <si>
    <t>Beatrice Nduta</t>
  </si>
  <si>
    <t>Coastal image technology</t>
  </si>
  <si>
    <t>limited company</t>
  </si>
  <si>
    <t>No nmk prequalification document/no special certificate</t>
  </si>
  <si>
    <t>Warira investments</t>
  </si>
  <si>
    <t>Jane Warira</t>
  </si>
  <si>
    <t>Oceanlink systems technologies</t>
  </si>
  <si>
    <t>Dominicious Kondo</t>
  </si>
  <si>
    <t>Dalim company ltd</t>
  </si>
  <si>
    <t>One drop suppliers and contractor</t>
  </si>
  <si>
    <t>Leah Muigai</t>
  </si>
  <si>
    <t>Zedeka commodities</t>
  </si>
  <si>
    <t>Ruth Nduta</t>
  </si>
  <si>
    <t>Gleneric Enterprises</t>
  </si>
  <si>
    <t>Salisab Enterprise</t>
  </si>
  <si>
    <t>Esha Abdalla</t>
  </si>
  <si>
    <t>Top SHOP LTD</t>
  </si>
  <si>
    <t>Mohammed abdulla</t>
  </si>
  <si>
    <t>ltd</t>
  </si>
  <si>
    <t>No special group certificate</t>
  </si>
  <si>
    <t>Pan africa links ltd</t>
  </si>
  <si>
    <t>Sheila mukami</t>
  </si>
  <si>
    <t>mayfair ventures</t>
  </si>
  <si>
    <t>Francis MWEMA</t>
  </si>
  <si>
    <t>Amoba  Agencies</t>
  </si>
  <si>
    <t>Ann Adhiambo</t>
  </si>
  <si>
    <t>Mesi Enterprises</t>
  </si>
  <si>
    <t>Amina Karuni</t>
  </si>
  <si>
    <t>Suleiman mtsumi</t>
  </si>
  <si>
    <t>Hart Traders ltd</t>
  </si>
  <si>
    <t>ISSAC Mwangi</t>
  </si>
  <si>
    <t>TOTAL MARKS*100/90</t>
  </si>
  <si>
    <t>Fair deal Furnitures</t>
  </si>
  <si>
    <t>TOM OLOO</t>
  </si>
  <si>
    <t>Top shop ltd</t>
  </si>
  <si>
    <t>Mohammed Abdullah</t>
  </si>
  <si>
    <t>Pentokas Enterprises</t>
  </si>
  <si>
    <t>Tom Okoth</t>
  </si>
  <si>
    <t>Industri-tech limited</t>
  </si>
  <si>
    <t>Devilini Desouza</t>
  </si>
  <si>
    <t>Dalim Company limited</t>
  </si>
  <si>
    <t>Zedeka Commodities</t>
  </si>
  <si>
    <t>no special group certificate</t>
  </si>
  <si>
    <t>Messi Enterprise</t>
  </si>
  <si>
    <t>Coast Palm Services</t>
  </si>
  <si>
    <t>Josephine Wangare</t>
  </si>
  <si>
    <t>Jennifer Chemutai</t>
  </si>
  <si>
    <t>Forsure General Supplies</t>
  </si>
  <si>
    <t>Mugwathi General supplies</t>
  </si>
  <si>
    <t>Grace Nganga</t>
  </si>
  <si>
    <t>Al-tambri Enterprises</t>
  </si>
  <si>
    <t>Lutfat majid</t>
  </si>
  <si>
    <t>Ahsam Ventures Enterprises</t>
  </si>
  <si>
    <t>Louise Wangechi</t>
  </si>
  <si>
    <t>Bernard NZAI</t>
  </si>
  <si>
    <t>Citrine investments limited</t>
  </si>
  <si>
    <t>Parklane ventures</t>
  </si>
  <si>
    <t>Evan Mungai</t>
  </si>
  <si>
    <t>Al-Tambri ENTERPRISE</t>
  </si>
  <si>
    <t>Parklane ventures ltd</t>
  </si>
  <si>
    <t>NAME OF DIRECTORS</t>
  </si>
  <si>
    <t>LUTFAT Majid</t>
  </si>
  <si>
    <t>Eva Mungai</t>
  </si>
  <si>
    <t>Oceanlink Technology</t>
  </si>
  <si>
    <t>Crism  Enterprise</t>
  </si>
  <si>
    <t>Christine Mwaluma</t>
  </si>
  <si>
    <t>The Odosia Paper works</t>
  </si>
  <si>
    <t>Beacham General Suppliers</t>
  </si>
  <si>
    <t>Beatrice Nganga</t>
  </si>
  <si>
    <t>No tax compliance certificate</t>
  </si>
  <si>
    <t>Powerlink Logistics</t>
  </si>
  <si>
    <t>James Waweru</t>
  </si>
  <si>
    <t>Anrodah Investment</t>
  </si>
  <si>
    <t>Citrine Investment ltd</t>
  </si>
  <si>
    <t>Greencon Investment</t>
  </si>
  <si>
    <t>Mogesa Elick</t>
  </si>
  <si>
    <t>Tamps Venture</t>
  </si>
  <si>
    <t>Naomi OUKO</t>
  </si>
  <si>
    <t xml:space="preserve">Powerlink Logistics </t>
  </si>
  <si>
    <t>Muchenda Jacob</t>
  </si>
  <si>
    <t>Peter Nyerere</t>
  </si>
  <si>
    <t>Oceanlink system technologies</t>
  </si>
  <si>
    <t>Issack Mwangi</t>
  </si>
  <si>
    <t>Coast industrial supplies ltd</t>
  </si>
  <si>
    <t>Entete Investment Limited</t>
  </si>
  <si>
    <t>Ivan Desouza</t>
  </si>
  <si>
    <t>Maureen Apiyo</t>
  </si>
  <si>
    <t>Alwex Elecricals Services</t>
  </si>
  <si>
    <t>Alfred Weku</t>
  </si>
  <si>
    <t>Fabrange Enterprises</t>
  </si>
  <si>
    <t>Fanuel Onditi</t>
  </si>
  <si>
    <t>Nashman Enterprises</t>
  </si>
  <si>
    <t>Mwanaharusi mambongwa</t>
  </si>
  <si>
    <t>Mohammed Ahmed</t>
  </si>
  <si>
    <t>Sulnas Enterprises Ltd</t>
  </si>
  <si>
    <t>Suleiman Mtsumi</t>
  </si>
  <si>
    <t>Jenifer Chemutai</t>
  </si>
  <si>
    <t>Dalim Enterprise ltd</t>
  </si>
  <si>
    <t>Rose Kiratu</t>
  </si>
  <si>
    <t>Husana Seif</t>
  </si>
  <si>
    <t>special category</t>
  </si>
  <si>
    <t>COAST PLAM SERVICES</t>
  </si>
  <si>
    <t>JOSEPHINE  WANGARE</t>
  </si>
  <si>
    <t>SPECIAL GROUP</t>
  </si>
  <si>
    <t>SALISAB ENTRTPRISES</t>
  </si>
  <si>
    <t>CHRISTINE MKIWAMWALUMAWW</t>
  </si>
  <si>
    <t>ESHA ABDALLAH</t>
  </si>
  <si>
    <t>GLENERIC ENTERPRISES</t>
  </si>
  <si>
    <t>NAOMIE ATIENO OKEYO</t>
  </si>
  <si>
    <t>PARKLANE VENTURES LTD</t>
  </si>
  <si>
    <t>EVA MWENDE MUNGAI</t>
  </si>
  <si>
    <t>ISSACK MWANGI MAINA &amp;WANGECH</t>
  </si>
  <si>
    <t>ZEDEKA COMMODITIES</t>
  </si>
  <si>
    <t>RUTH NDUTA MWANGI</t>
  </si>
  <si>
    <t>MUGWATHI GENERAL SUPP</t>
  </si>
  <si>
    <t>Grace,Beatrice,and Ann</t>
  </si>
  <si>
    <t>SEAWEED PEST CONTROL</t>
  </si>
  <si>
    <t>MISHI RAJAB SHABAN</t>
  </si>
  <si>
    <t>FABRANGE ENTERPRISES</t>
  </si>
  <si>
    <t>FANUEL BRYAN NGESA</t>
  </si>
  <si>
    <t>DALIM COMPANY LTD</t>
  </si>
  <si>
    <t>LINA KOMBO</t>
  </si>
  <si>
    <t>KOYSIN SUPPLIES</t>
  </si>
  <si>
    <t>PETER KIPKOECH NYERERE</t>
  </si>
  <si>
    <t>LOWELL LTD</t>
  </si>
  <si>
    <t>PHILIP KIPTOO CHEMIS</t>
  </si>
  <si>
    <t>JOYBEX TRADERS</t>
  </si>
  <si>
    <t>JOYCE BONARERI OMBACHO</t>
  </si>
  <si>
    <t>ARDEN DESIGN AND SOLUTION</t>
  </si>
  <si>
    <t>ASYA HASSAN</t>
  </si>
  <si>
    <t>CITRINE INVESTMENT</t>
  </si>
  <si>
    <t>ZAINAB MALIK &amp;SOFIYA Y.ALI</t>
  </si>
  <si>
    <t>SULNAS ENTERPRISES</t>
  </si>
  <si>
    <t>SULEIMAN KHALFAN</t>
  </si>
  <si>
    <t>MESI ENTERPRISES</t>
  </si>
  <si>
    <t>AL TAMBARI ENTERPRISES</t>
  </si>
  <si>
    <t>AMINA KARUNI</t>
  </si>
  <si>
    <t>HUSNAINA ENTERPRISES</t>
  </si>
  <si>
    <t>HUSNA SEIF</t>
  </si>
  <si>
    <t>ENTENTE INVESTMENT LTD</t>
  </si>
  <si>
    <t>MOREEN APIYO</t>
  </si>
  <si>
    <t xml:space="preserve">NO SPECIAL CERTICATE </t>
  </si>
  <si>
    <t>WARIRA INVESTMENT</t>
  </si>
  <si>
    <t>JANE WARIRA MWANGI</t>
  </si>
  <si>
    <t>NMK FORM NOT FILLED</t>
  </si>
  <si>
    <t>SISNEL ENTERPRISES</t>
  </si>
  <si>
    <t>JENNIFER CHIMUTAI</t>
  </si>
  <si>
    <t>ANRODAH</t>
  </si>
  <si>
    <t>INVESTMENT ROSE WANGECH</t>
  </si>
  <si>
    <t>LIGHT GREEN ENTERPRISES</t>
  </si>
  <si>
    <t>KENNEDY OBUYA</t>
  </si>
  <si>
    <t>NOVAK SOLUTION</t>
  </si>
  <si>
    <t>BERNARD NZAM</t>
  </si>
  <si>
    <t>AHSAM VENTURES</t>
  </si>
  <si>
    <t>MOHAMED AHMED</t>
  </si>
  <si>
    <t>BEACHAM General suppliers</t>
  </si>
  <si>
    <t>BEATRICE NDUTA</t>
  </si>
  <si>
    <t>EVALUATION OF SUPPLIERS OF GOODS AND SERVICES FOR  2018-2020FY</t>
  </si>
  <si>
    <t>wild intellect planet and consultant</t>
  </si>
  <si>
    <t>Husnaina Enteprises</t>
  </si>
  <si>
    <t>EVALUATION OF SUPPLIERS OF GOODS AND SERVICES FOR  2018-2020 FY</t>
  </si>
  <si>
    <t>Wild Intelect</t>
  </si>
  <si>
    <t>sisnel enterprises</t>
  </si>
  <si>
    <t>Jeniffer Chemutai</t>
  </si>
  <si>
    <t>CITRINE INVESTMENT LTD</t>
  </si>
  <si>
    <t>ZEINAB MALIK</t>
  </si>
  <si>
    <t>SHALLOMS CO.LTD</t>
  </si>
  <si>
    <t>DENNIS OWEA</t>
  </si>
  <si>
    <t>SULEIMAN MITSUMI</t>
  </si>
  <si>
    <t>CHAKA WORKSHOP</t>
  </si>
  <si>
    <t>CHARLES ORIEDO</t>
  </si>
  <si>
    <t>TAMS VENTURES</t>
  </si>
  <si>
    <t>MAKAN OTIENO</t>
  </si>
  <si>
    <t>OCEANLINK SYSTEM TECHNOLOGIES</t>
  </si>
  <si>
    <t>D.MAGANGI &amp;MENDELA KONDO</t>
  </si>
  <si>
    <t>PENTOKAS ENTERPRISES</t>
  </si>
  <si>
    <t>TOM ARUA OKOTH</t>
  </si>
  <si>
    <t>EVALUATION OF SUPPLIERS OF GOODS AND SERVICES FOR  2018- FY2020</t>
  </si>
  <si>
    <t>PROVISION O VALUATION SERVICES OF LAND ,ASSETS AND MUSEUMS COLLECTION</t>
  </si>
  <si>
    <t>FAIRLANE VALUERS LTD</t>
  </si>
  <si>
    <t>ANTHONY KHAEMBA</t>
  </si>
  <si>
    <t>REG WITH CERTIFIED BODY VALUERS</t>
  </si>
  <si>
    <t xml:space="preserve">Provision of Consultancy Services for undertaking Surveys on Customer Satisfaction, Employee Satisfaction, Work Environment </t>
  </si>
  <si>
    <t>RUTH NDUTA</t>
  </si>
  <si>
    <t>OCEANLINK SYSTEM</t>
  </si>
  <si>
    <t>D.M.KONDO</t>
  </si>
  <si>
    <t>MUGWATHI GENERAL SERVICE</t>
  </si>
  <si>
    <t>GRACE NGANGA</t>
  </si>
  <si>
    <t>HUSNAINA</t>
  </si>
  <si>
    <t>BEACHARM</t>
  </si>
  <si>
    <t>IATA CERTIFICATE</t>
  </si>
  <si>
    <t>OCEANLINK</t>
  </si>
  <si>
    <t>Mohammed Mustafa</t>
  </si>
  <si>
    <t>ZAINAB MALIK</t>
  </si>
  <si>
    <t xml:space="preserve">OCEANLINK </t>
  </si>
  <si>
    <t>DALIM CO.LTD</t>
  </si>
  <si>
    <t>AL TAMBRI ENTERPRISES</t>
  </si>
  <si>
    <t xml:space="preserve">HUSNAINA ENTERPRISES </t>
  </si>
  <si>
    <t>ROSE WANGECH</t>
  </si>
  <si>
    <t>D.M .KONDO</t>
  </si>
  <si>
    <t>OCEANLINK SYSTEM TECHNOLOGY</t>
  </si>
  <si>
    <t>INDUSTRIAL TECH LTD</t>
  </si>
  <si>
    <t>DAVIALIN DSOUZA</t>
  </si>
  <si>
    <t>MUGWATHI GENERAL SUPPLIES</t>
  </si>
  <si>
    <t>PROVISION  AND MAINTENANCE  OF SOFT WARE APPLICATIONS</t>
  </si>
  <si>
    <t>COASTAL IMAGE</t>
  </si>
  <si>
    <t>MOHAMED MUSTAFA</t>
  </si>
  <si>
    <t>NO TAX COMPLIANCE /AGPO</t>
  </si>
  <si>
    <t>SYSTEMS REENGINEERING LTD</t>
  </si>
  <si>
    <t>DANIEL KARANJA</t>
  </si>
  <si>
    <t>Mohamed Ahmed</t>
  </si>
  <si>
    <t>TOTAL MARKS *100/90</t>
  </si>
  <si>
    <t>ahsam ventures</t>
  </si>
  <si>
    <t>amos electricals</t>
  </si>
  <si>
    <t>Amos wera</t>
  </si>
  <si>
    <t>Tams ventures</t>
  </si>
  <si>
    <t>makei ochieng</t>
  </si>
  <si>
    <t>Novak</t>
  </si>
  <si>
    <t>Bernad Nzau</t>
  </si>
  <si>
    <t>Anarodah investments</t>
  </si>
  <si>
    <t>Rose wangech</t>
  </si>
  <si>
    <t>Coast  Industrial and Safety supplies</t>
  </si>
  <si>
    <t>Evan Dsouza</t>
  </si>
  <si>
    <t>Pentakas Enterprises</t>
  </si>
  <si>
    <t>Tom okoth</t>
  </si>
  <si>
    <t>Koysin supplies</t>
  </si>
  <si>
    <t>ZEDEKA COMODITIES</t>
  </si>
  <si>
    <t>TRUTH NDUTA</t>
  </si>
  <si>
    <t>POWERLINK LOGOSTIC</t>
  </si>
  <si>
    <t>JACOB MUCHENDI</t>
  </si>
  <si>
    <t>NONNY ENTERPRISES</t>
  </si>
  <si>
    <t>RUTH MWANGI</t>
  </si>
  <si>
    <t xml:space="preserve">SHALOMS </t>
  </si>
  <si>
    <t>BEANCON</t>
  </si>
  <si>
    <t>ELIKI MONGESA</t>
  </si>
  <si>
    <t>AMAT INVESTMENT</t>
  </si>
  <si>
    <t>AMANI MWENYI</t>
  </si>
  <si>
    <t>FRIZEL INVESTMENT</t>
  </si>
  <si>
    <t>HARON MAINA</t>
  </si>
  <si>
    <t>NONNY TRADERS</t>
  </si>
  <si>
    <t>POWERLINK LOGISTIC</t>
  </si>
  <si>
    <t>MUCHENDA JACOB</t>
  </si>
  <si>
    <t>TOM OKOTH</t>
  </si>
  <si>
    <t>NAOMI APONDI</t>
  </si>
  <si>
    <t>NO NCA CERTIFICATE</t>
  </si>
  <si>
    <t xml:space="preserve">Leah mumbi </t>
  </si>
  <si>
    <t xml:space="preserve">Joyce Ombacho  </t>
  </si>
  <si>
    <t xml:space="preserve">Ann ADIAMBO     </t>
  </si>
  <si>
    <t xml:space="preserve">LOUISE Wangeci   </t>
  </si>
  <si>
    <t xml:space="preserve">    W</t>
  </si>
  <si>
    <t xml:space="preserve">EshaAbdallah        </t>
  </si>
  <si>
    <t xml:space="preserve">Kennedy Gitonga    </t>
  </si>
  <si>
    <t xml:space="preserve">Ruth Mwangi          </t>
  </si>
  <si>
    <t xml:space="preserve">Christine mkiwa    </t>
  </si>
  <si>
    <t xml:space="preserve">Beatrice Nduta      </t>
  </si>
  <si>
    <t xml:space="preserve">Martha Githinji      </t>
  </si>
  <si>
    <t xml:space="preserve">Eva Mwenda        </t>
  </si>
  <si>
    <t xml:space="preserve">Asya Hassan         </t>
  </si>
  <si>
    <t xml:space="preserve">HusnaSeif             </t>
  </si>
  <si>
    <t xml:space="preserve">      w</t>
  </si>
  <si>
    <t>CATEGORY</t>
  </si>
  <si>
    <t xml:space="preserve">COMPANY PROFILE </t>
  </si>
  <si>
    <t>INCORP/REG. CERT</t>
  </si>
  <si>
    <t>CR 12</t>
  </si>
  <si>
    <t>RELEVANT CURRENT BUSINESS PERMI</t>
  </si>
  <si>
    <t>SIGNED &amp;STAMPED SUBMMISION LETTER</t>
  </si>
  <si>
    <t>CONFIDENTIAl QUESTIONARE</t>
  </si>
  <si>
    <t xml:space="preserve">SELF DECLARATION </t>
  </si>
  <si>
    <t xml:space="preserve">AUDITED ACCOUNTS </t>
  </si>
  <si>
    <t>FORM FIN 3.2</t>
  </si>
  <si>
    <t>REF</t>
  </si>
  <si>
    <t>LITIGATION</t>
  </si>
  <si>
    <t>ELIGIBILITY YAGPO</t>
  </si>
  <si>
    <t>PAGINATION</t>
  </si>
  <si>
    <t xml:space="preserve">EVALUATION OF SUPPLIERS OF GOODS AND SERVICES FOR  2023-2025 </t>
  </si>
  <si>
    <t>REGISTERED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</si>
</sst>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textRotation="90" wrapText="1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left" wrapText="1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0" xfId="0" applyBorder="1"/>
    <xf numFmtId="0" fontId="0" fillId="0" borderId="1" xfId="0" applyFill="1" applyBorder="1"/>
    <xf numFmtId="0" fontId="0" fillId="0" borderId="0" xfId="0" applyFill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0" borderId="2" xfId="0" applyBorder="1"/>
    <xf numFmtId="1" fontId="1" fillId="0" borderId="1" xfId="0" applyNumberFormat="1" applyFont="1" applyBorder="1" applyAlignment="1">
      <alignment textRotation="90" wrapText="1"/>
    </xf>
    <xf numFmtId="1" fontId="0" fillId="0" borderId="1" xfId="0" applyNumberFormat="1" applyBorder="1"/>
    <xf numFmtId="1" fontId="0" fillId="2" borderId="1" xfId="0" applyNumberFormat="1" applyFill="1" applyBorder="1"/>
    <xf numFmtId="1" fontId="0" fillId="0" borderId="0" xfId="0" applyNumberFormat="1" applyBorder="1"/>
    <xf numFmtId="1" fontId="0" fillId="0" borderId="0" xfId="0" applyNumberFormat="1"/>
    <xf numFmtId="1" fontId="1" fillId="0" borderId="1" xfId="0" applyNumberFormat="1" applyFont="1" applyBorder="1" applyAlignment="1">
      <alignment textRotation="90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/>
    <xf numFmtId="1" fontId="3" fillId="3" borderId="1" xfId="0" applyNumberFormat="1" applyFont="1" applyFill="1" applyBorder="1"/>
    <xf numFmtId="0" fontId="3" fillId="3" borderId="0" xfId="0" applyFont="1" applyFill="1"/>
    <xf numFmtId="0" fontId="0" fillId="2" borderId="2" xfId="0" applyFill="1" applyBorder="1"/>
    <xf numFmtId="0" fontId="0" fillId="0" borderId="2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textRotation="90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>
      <alignment vertical="center"/>
    </xf>
    <xf numFmtId="0" fontId="0" fillId="3" borderId="0" xfId="0" applyFill="1" applyAlignment="1">
      <alignment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1" fontId="4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1" xfId="0" applyFill="1" applyBorder="1"/>
    <xf numFmtId="1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0" fillId="7" borderId="0" xfId="0" applyFill="1"/>
    <xf numFmtId="0" fontId="0" fillId="5" borderId="2" xfId="0" applyFill="1" applyBorder="1"/>
    <xf numFmtId="0" fontId="1" fillId="0" borderId="1" xfId="0" applyFont="1" applyBorder="1" applyAlignment="1">
      <alignment wrapText="1"/>
    </xf>
    <xf numFmtId="0" fontId="0" fillId="7" borderId="0" xfId="0" applyFill="1" applyBorder="1" applyAlignment="1">
      <alignment wrapText="1"/>
    </xf>
    <xf numFmtId="0" fontId="0" fillId="7" borderId="2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5" borderId="0" xfId="0" applyFont="1" applyFill="1"/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5" borderId="0" xfId="0" applyFill="1" applyAlignment="1">
      <alignment wrapText="1"/>
    </xf>
    <xf numFmtId="1" fontId="3" fillId="5" borderId="1" xfId="0" applyNumberFormat="1" applyFont="1" applyFill="1" applyBorder="1"/>
    <xf numFmtId="0" fontId="0" fillId="5" borderId="2" xfId="0" applyFill="1" applyBorder="1" applyAlignment="1">
      <alignment vertical="center"/>
    </xf>
    <xf numFmtId="0" fontId="0" fillId="7" borderId="0" xfId="0" applyFill="1" applyBorder="1"/>
    <xf numFmtId="0" fontId="0" fillId="5" borderId="0" xfId="0" applyFill="1" applyBorder="1"/>
    <xf numFmtId="0" fontId="0" fillId="5" borderId="0" xfId="0" applyFill="1" applyBorder="1" applyAlignment="1">
      <alignment wrapText="1"/>
    </xf>
    <xf numFmtId="1" fontId="0" fillId="5" borderId="0" xfId="0" applyNumberFormat="1" applyFill="1" applyBorder="1"/>
    <xf numFmtId="1" fontId="0" fillId="7" borderId="2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8" borderId="0" xfId="0" applyFill="1"/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0" fillId="0" borderId="2" xfId="0" applyFill="1" applyBorder="1" applyAlignment="1">
      <alignment horizontal="left" wrapText="1"/>
    </xf>
    <xf numFmtId="0" fontId="4" fillId="6" borderId="1" xfId="0" applyFont="1" applyFill="1" applyBorder="1"/>
    <xf numFmtId="1" fontId="4" fillId="6" borderId="1" xfId="0" applyNumberFormat="1" applyFont="1" applyFill="1" applyBorder="1"/>
    <xf numFmtId="0" fontId="4" fillId="6" borderId="1" xfId="0" applyFont="1" applyFill="1" applyBorder="1" applyAlignment="1">
      <alignment wrapText="1"/>
    </xf>
    <xf numFmtId="0" fontId="0" fillId="0" borderId="0" xfId="0" applyFill="1" applyBorder="1"/>
    <xf numFmtId="0" fontId="0" fillId="0" borderId="4" xfId="0" applyBorder="1" applyAlignment="1"/>
    <xf numFmtId="0" fontId="0" fillId="0" borderId="2" xfId="0" applyFill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 wrapText="1"/>
    </xf>
    <xf numFmtId="0" fontId="6" fillId="5" borderId="1" xfId="0" applyFont="1" applyFill="1" applyBorder="1"/>
    <xf numFmtId="0" fontId="6" fillId="5" borderId="0" xfId="0" applyFont="1" applyFill="1" applyBorder="1"/>
    <xf numFmtId="0" fontId="6" fillId="5" borderId="0" xfId="0" applyFont="1" applyFill="1"/>
    <xf numFmtId="0" fontId="6" fillId="5" borderId="1" xfId="0" applyFont="1" applyFill="1" applyBorder="1" applyAlignment="1">
      <alignment wrapText="1"/>
    </xf>
    <xf numFmtId="1" fontId="6" fillId="5" borderId="1" xfId="0" applyNumberFormat="1" applyFont="1" applyFill="1" applyBorder="1"/>
    <xf numFmtId="0" fontId="0" fillId="5" borderId="1" xfId="0" applyFont="1" applyFill="1" applyBorder="1"/>
    <xf numFmtId="0" fontId="0" fillId="5" borderId="1" xfId="0" applyFont="1" applyFill="1" applyBorder="1" applyAlignment="1">
      <alignment wrapText="1"/>
    </xf>
    <xf numFmtId="1" fontId="0" fillId="5" borderId="1" xfId="0" applyNumberFormat="1" applyFont="1" applyFill="1" applyBorder="1"/>
    <xf numFmtId="1" fontId="0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87" zoomScaleNormal="55" workbookViewId="0">
      <selection activeCell="E17" sqref="E17"/>
    </sheetView>
  </sheetViews>
  <sheetFormatPr defaultRowHeight="15" x14ac:dyDescent="0.25"/>
  <cols>
    <col min="2" max="2" width="20.85546875" customWidth="1"/>
    <col min="3" max="3" width="21" customWidth="1"/>
    <col min="17" max="17" width="17" customWidth="1"/>
  </cols>
  <sheetData>
    <row r="1" spans="1:17" ht="21" x14ac:dyDescent="0.35">
      <c r="A1" s="122" t="s">
        <v>325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ht="21" x14ac:dyDescent="0.35">
      <c r="A2" s="123" t="s">
        <v>19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</row>
    <row r="3" spans="1:17" ht="147.75" customHeight="1" x14ac:dyDescent="0.25">
      <c r="A3" s="1" t="s">
        <v>6</v>
      </c>
      <c r="B3" s="2" t="s">
        <v>17</v>
      </c>
      <c r="C3" s="2" t="s">
        <v>1</v>
      </c>
      <c r="D3" s="1" t="s">
        <v>2</v>
      </c>
      <c r="E3" s="1" t="s">
        <v>23</v>
      </c>
      <c r="F3" s="1" t="s">
        <v>3</v>
      </c>
      <c r="G3" s="1" t="s">
        <v>8</v>
      </c>
      <c r="H3" s="1" t="s">
        <v>24</v>
      </c>
      <c r="I3" s="1" t="s">
        <v>4</v>
      </c>
      <c r="J3" s="1" t="s">
        <v>9</v>
      </c>
      <c r="K3" s="2" t="s">
        <v>106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7" x14ac:dyDescent="0.25">
      <c r="A4" s="4">
        <v>22</v>
      </c>
      <c r="B4" s="6" t="s">
        <v>107</v>
      </c>
      <c r="C4" s="4" t="s">
        <v>108</v>
      </c>
      <c r="D4" s="4" t="s">
        <v>91</v>
      </c>
      <c r="E4" s="4">
        <v>5</v>
      </c>
      <c r="F4" s="4">
        <v>3</v>
      </c>
      <c r="G4" s="4">
        <v>0</v>
      </c>
      <c r="H4" s="4">
        <v>3</v>
      </c>
      <c r="I4" s="4">
        <v>0</v>
      </c>
      <c r="J4" s="4">
        <v>0</v>
      </c>
      <c r="K4" s="4">
        <v>3</v>
      </c>
      <c r="L4" s="4">
        <v>0</v>
      </c>
      <c r="M4" s="4">
        <v>15</v>
      </c>
      <c r="N4" s="4">
        <v>15</v>
      </c>
      <c r="O4" s="4">
        <v>10</v>
      </c>
      <c r="P4" s="4">
        <f t="shared" ref="P4:P33" si="0">SUM(E4:O4)</f>
        <v>54</v>
      </c>
      <c r="Q4" s="19"/>
    </row>
    <row r="5" spans="1:17" ht="39.75" customHeight="1" x14ac:dyDescent="0.25">
      <c r="A5" s="4">
        <v>9</v>
      </c>
      <c r="B5" s="6" t="s">
        <v>109</v>
      </c>
      <c r="C5" s="4" t="s">
        <v>110</v>
      </c>
      <c r="D5" s="4" t="s">
        <v>91</v>
      </c>
      <c r="E5" s="4">
        <v>5</v>
      </c>
      <c r="F5" s="4">
        <v>3</v>
      </c>
      <c r="G5" s="4">
        <v>10</v>
      </c>
      <c r="H5" s="4">
        <v>3</v>
      </c>
      <c r="I5" s="4">
        <v>0</v>
      </c>
      <c r="J5" s="4">
        <v>3</v>
      </c>
      <c r="K5" s="4">
        <v>0</v>
      </c>
      <c r="L5" s="4">
        <v>10</v>
      </c>
      <c r="M5" s="4">
        <v>20</v>
      </c>
      <c r="N5" s="4">
        <v>20</v>
      </c>
      <c r="O5" s="4">
        <v>0</v>
      </c>
      <c r="P5" s="4">
        <f t="shared" si="0"/>
        <v>74</v>
      </c>
      <c r="Q5" s="19"/>
    </row>
    <row r="6" spans="1:17" ht="36.75" customHeight="1" x14ac:dyDescent="0.25">
      <c r="A6" s="4">
        <v>17</v>
      </c>
      <c r="B6" s="6" t="s">
        <v>111</v>
      </c>
      <c r="C6" s="4" t="s">
        <v>112</v>
      </c>
      <c r="D6" s="4" t="s">
        <v>91</v>
      </c>
      <c r="E6" s="4">
        <v>5</v>
      </c>
      <c r="F6" s="4">
        <v>3</v>
      </c>
      <c r="G6" s="4">
        <v>10</v>
      </c>
      <c r="H6" s="4">
        <v>3</v>
      </c>
      <c r="I6" s="4">
        <v>0</v>
      </c>
      <c r="J6" s="4">
        <v>3</v>
      </c>
      <c r="K6" s="4">
        <v>0</v>
      </c>
      <c r="L6" s="4">
        <v>10</v>
      </c>
      <c r="M6" s="4">
        <v>20</v>
      </c>
      <c r="N6" s="4">
        <v>20</v>
      </c>
      <c r="O6" s="4">
        <v>10</v>
      </c>
      <c r="P6" s="4">
        <f t="shared" si="0"/>
        <v>84</v>
      </c>
      <c r="Q6" s="19"/>
    </row>
    <row r="7" spans="1:17" ht="35.25" customHeight="1" x14ac:dyDescent="0.25">
      <c r="A7" s="4">
        <v>24</v>
      </c>
      <c r="B7" s="6" t="s">
        <v>113</v>
      </c>
      <c r="C7" s="4" t="s">
        <v>114</v>
      </c>
      <c r="D7" s="4" t="s">
        <v>91</v>
      </c>
      <c r="E7" s="4">
        <v>5</v>
      </c>
      <c r="F7" s="4">
        <v>3</v>
      </c>
      <c r="G7" s="4">
        <v>10</v>
      </c>
      <c r="H7" s="4">
        <v>3</v>
      </c>
      <c r="I7" s="4">
        <v>3</v>
      </c>
      <c r="J7" s="4">
        <v>0</v>
      </c>
      <c r="K7" s="4">
        <v>3</v>
      </c>
      <c r="L7" s="4">
        <v>10</v>
      </c>
      <c r="M7" s="4">
        <v>10</v>
      </c>
      <c r="N7" s="4">
        <v>15</v>
      </c>
      <c r="O7" s="4">
        <v>20</v>
      </c>
      <c r="P7" s="4">
        <f t="shared" si="0"/>
        <v>82</v>
      </c>
      <c r="Q7" s="19"/>
    </row>
    <row r="8" spans="1:17" ht="34.5" customHeight="1" x14ac:dyDescent="0.25">
      <c r="A8" s="4">
        <v>15</v>
      </c>
      <c r="B8" s="6" t="s">
        <v>115</v>
      </c>
      <c r="C8" s="4" t="s">
        <v>116</v>
      </c>
      <c r="D8" s="4"/>
      <c r="E8" s="4">
        <v>5</v>
      </c>
      <c r="F8" s="4">
        <v>3</v>
      </c>
      <c r="G8" s="4">
        <v>10</v>
      </c>
      <c r="H8" s="4">
        <v>3</v>
      </c>
      <c r="I8" s="4">
        <v>0</v>
      </c>
      <c r="J8" s="4">
        <v>3</v>
      </c>
      <c r="K8" s="4">
        <v>0</v>
      </c>
      <c r="L8" s="4">
        <v>0</v>
      </c>
      <c r="M8" s="4">
        <v>5</v>
      </c>
      <c r="N8" s="4">
        <v>5</v>
      </c>
      <c r="O8" s="4">
        <v>5</v>
      </c>
      <c r="P8" s="4">
        <f t="shared" si="0"/>
        <v>39</v>
      </c>
      <c r="Q8" s="19"/>
    </row>
    <row r="9" spans="1:17" ht="33" customHeight="1" x14ac:dyDescent="0.25">
      <c r="A9" s="4">
        <v>7</v>
      </c>
      <c r="B9" s="6" t="s">
        <v>117</v>
      </c>
      <c r="C9" s="4" t="s">
        <v>118</v>
      </c>
      <c r="D9" s="4" t="s">
        <v>90</v>
      </c>
      <c r="E9" s="4">
        <v>5</v>
      </c>
      <c r="F9" s="4">
        <v>3</v>
      </c>
      <c r="G9" s="4">
        <v>10</v>
      </c>
      <c r="H9" s="4">
        <v>3</v>
      </c>
      <c r="I9" s="4">
        <v>0</v>
      </c>
      <c r="J9" s="4">
        <v>3</v>
      </c>
      <c r="K9" s="4">
        <v>0</v>
      </c>
      <c r="L9" s="4">
        <v>10</v>
      </c>
      <c r="M9" s="4">
        <v>10</v>
      </c>
      <c r="N9" s="4">
        <v>10</v>
      </c>
      <c r="O9" s="4">
        <v>10</v>
      </c>
      <c r="P9" s="4">
        <f t="shared" si="0"/>
        <v>64</v>
      </c>
      <c r="Q9" s="19"/>
    </row>
    <row r="10" spans="1:17" ht="36.75" customHeight="1" x14ac:dyDescent="0.25">
      <c r="A10" s="4">
        <v>3</v>
      </c>
      <c r="B10" s="6" t="s">
        <v>119</v>
      </c>
      <c r="C10" s="4" t="s">
        <v>120</v>
      </c>
      <c r="D10" s="4" t="s">
        <v>18</v>
      </c>
      <c r="E10" s="4">
        <v>5</v>
      </c>
      <c r="F10" s="4">
        <v>3</v>
      </c>
      <c r="G10" s="4">
        <v>7</v>
      </c>
      <c r="H10" s="4">
        <v>3</v>
      </c>
      <c r="I10" s="4">
        <v>0</v>
      </c>
      <c r="J10" s="4">
        <v>3</v>
      </c>
      <c r="K10" s="4">
        <v>0</v>
      </c>
      <c r="L10" s="4">
        <v>10</v>
      </c>
      <c r="M10" s="4">
        <v>12</v>
      </c>
      <c r="N10" s="4">
        <v>12</v>
      </c>
      <c r="O10" s="4">
        <v>15</v>
      </c>
      <c r="P10" s="4">
        <f t="shared" si="0"/>
        <v>70</v>
      </c>
      <c r="Q10" s="19"/>
    </row>
    <row r="11" spans="1:17" ht="35.25" customHeight="1" x14ac:dyDescent="0.25">
      <c r="A11" s="4">
        <v>5</v>
      </c>
      <c r="B11" s="6" t="s">
        <v>121</v>
      </c>
      <c r="C11" s="4" t="s">
        <v>122</v>
      </c>
      <c r="D11" s="4"/>
      <c r="E11" s="4">
        <v>5</v>
      </c>
      <c r="F11" s="4">
        <v>0</v>
      </c>
      <c r="G11" s="4">
        <v>10</v>
      </c>
      <c r="H11" s="4">
        <v>0</v>
      </c>
      <c r="I11" s="4">
        <v>0</v>
      </c>
      <c r="J11" s="4">
        <v>1</v>
      </c>
      <c r="K11" s="4">
        <v>0</v>
      </c>
      <c r="L11" s="4">
        <v>10</v>
      </c>
      <c r="M11" s="4">
        <v>10</v>
      </c>
      <c r="N11" s="4">
        <v>10</v>
      </c>
      <c r="O11" s="4">
        <v>0</v>
      </c>
      <c r="P11" s="4">
        <f t="shared" si="0"/>
        <v>46</v>
      </c>
      <c r="Q11" s="19"/>
    </row>
    <row r="12" spans="1:17" ht="31.5" customHeight="1" x14ac:dyDescent="0.25">
      <c r="A12" s="4">
        <v>2</v>
      </c>
      <c r="B12" s="6" t="s">
        <v>123</v>
      </c>
      <c r="C12" s="4" t="s">
        <v>410</v>
      </c>
      <c r="D12" s="4" t="s">
        <v>91</v>
      </c>
      <c r="E12" s="4">
        <v>5</v>
      </c>
      <c r="F12" s="4">
        <v>3</v>
      </c>
      <c r="G12" s="4">
        <v>6</v>
      </c>
      <c r="H12" s="4">
        <v>3</v>
      </c>
      <c r="I12" s="4">
        <v>0</v>
      </c>
      <c r="J12" s="4">
        <v>3</v>
      </c>
      <c r="K12" s="4">
        <v>3</v>
      </c>
      <c r="L12" s="4">
        <v>10</v>
      </c>
      <c r="M12" s="4">
        <v>15</v>
      </c>
      <c r="N12" s="4">
        <v>17</v>
      </c>
      <c r="O12" s="4">
        <v>16</v>
      </c>
      <c r="P12" s="4">
        <f t="shared" si="0"/>
        <v>81</v>
      </c>
      <c r="Q12" s="19"/>
    </row>
    <row r="13" spans="1:17" ht="35.25" customHeight="1" x14ac:dyDescent="0.25">
      <c r="A13" s="4">
        <v>10</v>
      </c>
      <c r="B13" s="6" t="s">
        <v>124</v>
      </c>
      <c r="C13" s="4" t="s">
        <v>125</v>
      </c>
      <c r="D13" s="4" t="s">
        <v>91</v>
      </c>
      <c r="E13" s="4">
        <v>5</v>
      </c>
      <c r="F13" s="4">
        <v>3</v>
      </c>
      <c r="G13" s="4">
        <v>10</v>
      </c>
      <c r="H13" s="4">
        <v>3</v>
      </c>
      <c r="I13" s="4">
        <v>0</v>
      </c>
      <c r="J13" s="4">
        <v>3</v>
      </c>
      <c r="K13" s="4">
        <v>0</v>
      </c>
      <c r="L13" s="4">
        <v>10</v>
      </c>
      <c r="M13" s="4">
        <v>10</v>
      </c>
      <c r="N13" s="4">
        <v>15</v>
      </c>
      <c r="O13" s="4">
        <v>10</v>
      </c>
      <c r="P13" s="4">
        <f t="shared" si="0"/>
        <v>69</v>
      </c>
      <c r="Q13" s="19"/>
    </row>
    <row r="14" spans="1:17" x14ac:dyDescent="0.25">
      <c r="A14" s="4">
        <v>11</v>
      </c>
      <c r="B14" s="6" t="s">
        <v>126</v>
      </c>
      <c r="C14" s="4" t="s">
        <v>411</v>
      </c>
      <c r="D14" s="4" t="s">
        <v>91</v>
      </c>
      <c r="E14" s="4">
        <v>5</v>
      </c>
      <c r="F14" s="4">
        <v>3</v>
      </c>
      <c r="G14" s="4">
        <v>10</v>
      </c>
      <c r="H14" s="4">
        <v>3</v>
      </c>
      <c r="I14" s="4">
        <v>3</v>
      </c>
      <c r="J14" s="4">
        <v>3</v>
      </c>
      <c r="K14" s="4">
        <v>3</v>
      </c>
      <c r="L14" s="4">
        <v>10</v>
      </c>
      <c r="M14" s="4">
        <v>15</v>
      </c>
      <c r="N14" s="4">
        <v>10</v>
      </c>
      <c r="O14" s="4">
        <v>10</v>
      </c>
      <c r="P14" s="4">
        <f t="shared" si="0"/>
        <v>75</v>
      </c>
      <c r="Q14" s="19"/>
    </row>
    <row r="15" spans="1:17" x14ac:dyDescent="0.25">
      <c r="A15" s="11">
        <v>26</v>
      </c>
      <c r="B15" s="100" t="s">
        <v>127</v>
      </c>
      <c r="C15" s="11" t="s">
        <v>412</v>
      </c>
      <c r="D15" s="11" t="s">
        <v>91</v>
      </c>
      <c r="E15" s="11">
        <v>5</v>
      </c>
      <c r="F15" s="11">
        <v>0</v>
      </c>
      <c r="G15" s="11">
        <v>10</v>
      </c>
      <c r="H15" s="11">
        <v>0</v>
      </c>
      <c r="I15" s="11">
        <v>0</v>
      </c>
      <c r="J15" s="11">
        <v>0</v>
      </c>
      <c r="K15" s="11">
        <v>0</v>
      </c>
      <c r="L15" s="11">
        <v>10</v>
      </c>
      <c r="M15" s="11">
        <v>10</v>
      </c>
      <c r="N15" s="11">
        <v>20</v>
      </c>
      <c r="O15" s="11">
        <v>10</v>
      </c>
      <c r="P15" s="11">
        <f t="shared" si="0"/>
        <v>65</v>
      </c>
      <c r="Q15" s="31"/>
    </row>
    <row r="16" spans="1:17" x14ac:dyDescent="0.25">
      <c r="A16" s="111">
        <v>13</v>
      </c>
      <c r="B16" s="112" t="s">
        <v>128</v>
      </c>
      <c r="C16" s="111" t="s">
        <v>413</v>
      </c>
      <c r="D16" s="111" t="s">
        <v>91</v>
      </c>
      <c r="E16" s="111">
        <v>5</v>
      </c>
      <c r="F16" s="111">
        <v>3</v>
      </c>
      <c r="G16" s="111">
        <v>10</v>
      </c>
      <c r="H16" s="111">
        <v>3</v>
      </c>
      <c r="I16" s="111">
        <v>3</v>
      </c>
      <c r="J16" s="111">
        <v>3</v>
      </c>
      <c r="K16" s="111">
        <v>0</v>
      </c>
      <c r="L16" s="111">
        <v>10</v>
      </c>
      <c r="M16" s="111">
        <v>15</v>
      </c>
      <c r="N16" s="111">
        <v>15</v>
      </c>
      <c r="O16" s="111">
        <v>10</v>
      </c>
      <c r="P16" s="111">
        <f t="shared" si="0"/>
        <v>77</v>
      </c>
      <c r="Q16" s="101"/>
    </row>
    <row r="17" spans="1:17" x14ac:dyDescent="0.25">
      <c r="A17" s="111">
        <v>25</v>
      </c>
      <c r="B17" s="112" t="s">
        <v>129</v>
      </c>
      <c r="C17" s="111" t="s">
        <v>130</v>
      </c>
      <c r="D17" s="111" t="s">
        <v>424</v>
      </c>
      <c r="E17" s="111">
        <v>5</v>
      </c>
      <c r="F17" s="111">
        <v>3</v>
      </c>
      <c r="G17" s="111">
        <v>10</v>
      </c>
      <c r="H17" s="111">
        <v>0</v>
      </c>
      <c r="I17" s="111">
        <v>0</v>
      </c>
      <c r="J17" s="111">
        <v>3</v>
      </c>
      <c r="K17" s="111">
        <v>3</v>
      </c>
      <c r="L17" s="111">
        <v>10</v>
      </c>
      <c r="M17" s="111">
        <v>5</v>
      </c>
      <c r="N17" s="111">
        <v>10</v>
      </c>
      <c r="O17" s="111">
        <v>20</v>
      </c>
      <c r="P17" s="111">
        <f t="shared" si="0"/>
        <v>69</v>
      </c>
      <c r="Q17" s="101"/>
    </row>
    <row r="18" spans="1:17" x14ac:dyDescent="0.25">
      <c r="A18" s="111">
        <v>1</v>
      </c>
      <c r="B18" s="112" t="s">
        <v>132</v>
      </c>
      <c r="C18" s="111" t="s">
        <v>133</v>
      </c>
      <c r="D18" s="111" t="s">
        <v>131</v>
      </c>
      <c r="E18" s="111">
        <v>5</v>
      </c>
      <c r="F18" s="111">
        <v>3</v>
      </c>
      <c r="G18" s="111">
        <v>8</v>
      </c>
      <c r="H18" s="111">
        <v>3</v>
      </c>
      <c r="I18" s="111">
        <v>0</v>
      </c>
      <c r="J18" s="111">
        <v>0</v>
      </c>
      <c r="K18" s="111">
        <v>0</v>
      </c>
      <c r="L18" s="111">
        <v>10</v>
      </c>
      <c r="M18" s="111">
        <v>18</v>
      </c>
      <c r="N18" s="111">
        <v>17</v>
      </c>
      <c r="O18" s="111">
        <v>10</v>
      </c>
      <c r="P18" s="111">
        <f t="shared" si="0"/>
        <v>74</v>
      </c>
      <c r="Q18" s="101"/>
    </row>
    <row r="19" spans="1:17" x14ac:dyDescent="0.25">
      <c r="A19" s="111">
        <v>4</v>
      </c>
      <c r="B19" s="112" t="s">
        <v>134</v>
      </c>
      <c r="C19" s="111" t="s">
        <v>135</v>
      </c>
      <c r="D19" s="111" t="s">
        <v>136</v>
      </c>
      <c r="E19" s="111">
        <v>5</v>
      </c>
      <c r="F19" s="111">
        <v>3</v>
      </c>
      <c r="G19" s="111">
        <v>6</v>
      </c>
      <c r="H19" s="111">
        <v>3</v>
      </c>
      <c r="I19" s="111">
        <v>0</v>
      </c>
      <c r="J19" s="111">
        <v>3</v>
      </c>
      <c r="K19" s="111">
        <v>0</v>
      </c>
      <c r="L19" s="111">
        <v>10</v>
      </c>
      <c r="M19" s="111">
        <v>17</v>
      </c>
      <c r="N19" s="111">
        <v>16</v>
      </c>
      <c r="O19" s="111">
        <v>19</v>
      </c>
      <c r="P19" s="111">
        <f t="shared" si="0"/>
        <v>82</v>
      </c>
      <c r="Q19" s="101"/>
    </row>
    <row r="20" spans="1:17" x14ac:dyDescent="0.25">
      <c r="A20" s="111">
        <v>16</v>
      </c>
      <c r="B20" s="112" t="s">
        <v>137</v>
      </c>
      <c r="C20" s="111" t="s">
        <v>415</v>
      </c>
      <c r="D20" s="111" t="s">
        <v>91</v>
      </c>
      <c r="E20" s="111">
        <v>5</v>
      </c>
      <c r="F20" s="111">
        <v>3</v>
      </c>
      <c r="G20" s="111">
        <v>10</v>
      </c>
      <c r="H20" s="111">
        <v>0</v>
      </c>
      <c r="I20" s="111">
        <v>0</v>
      </c>
      <c r="J20" s="111">
        <v>0</v>
      </c>
      <c r="K20" s="111">
        <v>0</v>
      </c>
      <c r="L20" s="111">
        <v>10</v>
      </c>
      <c r="M20" s="111">
        <v>5</v>
      </c>
      <c r="N20" s="111">
        <v>5</v>
      </c>
      <c r="O20" s="111">
        <v>5</v>
      </c>
      <c r="P20" s="111">
        <f t="shared" si="0"/>
        <v>43</v>
      </c>
      <c r="Q20" s="101"/>
    </row>
    <row r="21" spans="1:17" x14ac:dyDescent="0.25">
      <c r="A21" s="111">
        <v>18</v>
      </c>
      <c r="B21" s="112" t="s">
        <v>138</v>
      </c>
      <c r="C21" s="111" t="s">
        <v>416</v>
      </c>
      <c r="D21" s="111" t="s">
        <v>90</v>
      </c>
      <c r="E21" s="111">
        <v>5</v>
      </c>
      <c r="F21" s="111">
        <v>3</v>
      </c>
      <c r="G21" s="111">
        <v>10</v>
      </c>
      <c r="H21" s="111">
        <v>3</v>
      </c>
      <c r="I21" s="111">
        <v>0</v>
      </c>
      <c r="J21" s="111">
        <v>0</v>
      </c>
      <c r="K21" s="111">
        <v>0</v>
      </c>
      <c r="L21" s="111">
        <v>10</v>
      </c>
      <c r="M21" s="111">
        <v>15</v>
      </c>
      <c r="N21" s="111">
        <v>15</v>
      </c>
      <c r="O21" s="111">
        <v>10</v>
      </c>
      <c r="P21" s="111">
        <f t="shared" si="0"/>
        <v>71</v>
      </c>
      <c r="Q21" s="101"/>
    </row>
    <row r="22" spans="1:17" x14ac:dyDescent="0.25">
      <c r="A22" s="11">
        <v>23</v>
      </c>
      <c r="B22" s="100" t="s">
        <v>139</v>
      </c>
      <c r="C22" s="11" t="s">
        <v>417</v>
      </c>
      <c r="D22" s="11" t="s">
        <v>91</v>
      </c>
      <c r="E22" s="11">
        <v>5</v>
      </c>
      <c r="F22" s="11">
        <v>3</v>
      </c>
      <c r="G22" s="11">
        <v>10</v>
      </c>
      <c r="H22" s="11">
        <v>3</v>
      </c>
      <c r="I22" s="11">
        <v>0</v>
      </c>
      <c r="J22" s="11">
        <v>3</v>
      </c>
      <c r="K22" s="11">
        <v>3</v>
      </c>
      <c r="L22" s="11">
        <v>10</v>
      </c>
      <c r="M22" s="11">
        <v>5</v>
      </c>
      <c r="N22" s="11">
        <v>10</v>
      </c>
      <c r="O22" s="11">
        <v>10</v>
      </c>
      <c r="P22" s="11">
        <f t="shared" si="0"/>
        <v>62</v>
      </c>
      <c r="Q22" s="31"/>
    </row>
    <row r="23" spans="1:17" x14ac:dyDescent="0.25">
      <c r="A23" s="11">
        <v>12</v>
      </c>
      <c r="B23" s="100" t="s">
        <v>140</v>
      </c>
      <c r="C23" s="11" t="s">
        <v>418</v>
      </c>
      <c r="D23" s="11" t="s">
        <v>91</v>
      </c>
      <c r="E23" s="11">
        <v>5</v>
      </c>
      <c r="F23" s="11">
        <v>3</v>
      </c>
      <c r="G23" s="11">
        <v>10</v>
      </c>
      <c r="H23" s="11">
        <v>0</v>
      </c>
      <c r="I23" s="11">
        <v>0</v>
      </c>
      <c r="J23" s="11">
        <v>0</v>
      </c>
      <c r="K23" s="11">
        <v>0</v>
      </c>
      <c r="L23" s="11">
        <v>10</v>
      </c>
      <c r="M23" s="11">
        <v>10</v>
      </c>
      <c r="N23" s="11">
        <v>10</v>
      </c>
      <c r="O23" s="11">
        <v>10</v>
      </c>
      <c r="P23" s="11">
        <f t="shared" si="0"/>
        <v>58</v>
      </c>
      <c r="Q23" s="31"/>
    </row>
    <row r="24" spans="1:17" x14ac:dyDescent="0.25">
      <c r="A24" s="11">
        <v>29</v>
      </c>
      <c r="B24" s="100" t="s">
        <v>141</v>
      </c>
      <c r="C24" s="11" t="s">
        <v>419</v>
      </c>
      <c r="D24" s="11" t="s">
        <v>91</v>
      </c>
      <c r="E24" s="11">
        <v>5</v>
      </c>
      <c r="F24" s="11">
        <v>3</v>
      </c>
      <c r="G24" s="11">
        <v>10</v>
      </c>
      <c r="H24" s="11">
        <v>3</v>
      </c>
      <c r="I24" s="11">
        <v>0</v>
      </c>
      <c r="J24" s="11">
        <v>0</v>
      </c>
      <c r="K24" s="11">
        <v>0</v>
      </c>
      <c r="L24" s="11">
        <v>10</v>
      </c>
      <c r="M24" s="11">
        <v>10</v>
      </c>
      <c r="N24" s="11">
        <v>10</v>
      </c>
      <c r="O24" s="11">
        <v>0</v>
      </c>
      <c r="P24" s="11">
        <f t="shared" si="0"/>
        <v>51</v>
      </c>
      <c r="Q24" s="31"/>
    </row>
    <row r="25" spans="1:17" x14ac:dyDescent="0.25">
      <c r="A25" s="11">
        <v>30</v>
      </c>
      <c r="B25" s="100" t="s">
        <v>142</v>
      </c>
      <c r="C25" s="11" t="s">
        <v>420</v>
      </c>
      <c r="D25" s="11" t="s">
        <v>91</v>
      </c>
      <c r="E25" s="11">
        <v>5</v>
      </c>
      <c r="F25" s="11">
        <v>3</v>
      </c>
      <c r="G25" s="11">
        <v>10</v>
      </c>
      <c r="H25" s="11">
        <v>3</v>
      </c>
      <c r="I25" s="11">
        <v>0</v>
      </c>
      <c r="J25" s="11">
        <v>3</v>
      </c>
      <c r="K25" s="11">
        <v>0</v>
      </c>
      <c r="L25" s="11">
        <v>10</v>
      </c>
      <c r="M25" s="11">
        <v>15</v>
      </c>
      <c r="N25" s="11">
        <v>20</v>
      </c>
      <c r="O25" s="11">
        <v>0</v>
      </c>
      <c r="P25" s="11">
        <f t="shared" si="0"/>
        <v>69</v>
      </c>
      <c r="Q25" s="31"/>
    </row>
    <row r="26" spans="1:17" ht="30" x14ac:dyDescent="0.25">
      <c r="A26" s="11">
        <v>28</v>
      </c>
      <c r="B26" s="100" t="s">
        <v>143</v>
      </c>
      <c r="C26" s="11" t="s">
        <v>144</v>
      </c>
      <c r="D26" s="11"/>
      <c r="E26" s="11">
        <v>5</v>
      </c>
      <c r="F26" s="11">
        <v>3</v>
      </c>
      <c r="G26" s="11">
        <v>10</v>
      </c>
      <c r="H26" s="11">
        <v>3</v>
      </c>
      <c r="I26" s="11">
        <v>0</v>
      </c>
      <c r="J26" s="11">
        <v>0</v>
      </c>
      <c r="K26" s="11">
        <v>3</v>
      </c>
      <c r="L26" s="11">
        <v>0</v>
      </c>
      <c r="M26" s="11">
        <v>10</v>
      </c>
      <c r="N26" s="11">
        <v>15</v>
      </c>
      <c r="O26" s="11">
        <v>0</v>
      </c>
      <c r="P26" s="11">
        <f t="shared" si="0"/>
        <v>49</v>
      </c>
      <c r="Q26" s="31" t="s">
        <v>145</v>
      </c>
    </row>
    <row r="27" spans="1:17" x14ac:dyDescent="0.25">
      <c r="A27" s="11">
        <v>27</v>
      </c>
      <c r="B27" s="100" t="s">
        <v>146</v>
      </c>
      <c r="C27" s="11" t="s">
        <v>421</v>
      </c>
      <c r="D27" s="11" t="s">
        <v>91</v>
      </c>
      <c r="E27" s="11">
        <v>5</v>
      </c>
      <c r="F27" s="11">
        <v>3</v>
      </c>
      <c r="G27" s="11">
        <v>10</v>
      </c>
      <c r="H27" s="11">
        <v>3</v>
      </c>
      <c r="I27" s="11">
        <v>0</v>
      </c>
      <c r="J27" s="11">
        <v>3</v>
      </c>
      <c r="K27" s="11">
        <v>0</v>
      </c>
      <c r="L27" s="11">
        <v>10</v>
      </c>
      <c r="M27" s="11">
        <v>20</v>
      </c>
      <c r="N27" s="11">
        <v>15</v>
      </c>
      <c r="O27" s="11">
        <v>20</v>
      </c>
      <c r="P27" s="11">
        <f t="shared" si="0"/>
        <v>89</v>
      </c>
      <c r="Q27" s="31"/>
    </row>
    <row r="28" spans="1:17" ht="30" x14ac:dyDescent="0.25">
      <c r="A28" s="11">
        <v>20</v>
      </c>
      <c r="B28" s="100" t="s">
        <v>147</v>
      </c>
      <c r="C28" s="11" t="s">
        <v>148</v>
      </c>
      <c r="D28" s="11"/>
      <c r="E28" s="11">
        <v>5</v>
      </c>
      <c r="F28" s="11">
        <v>3</v>
      </c>
      <c r="G28" s="11">
        <v>10</v>
      </c>
      <c r="H28" s="11">
        <v>3</v>
      </c>
      <c r="I28" s="11">
        <v>3</v>
      </c>
      <c r="J28" s="11">
        <v>0</v>
      </c>
      <c r="K28" s="11">
        <v>3</v>
      </c>
      <c r="L28" s="11">
        <v>10</v>
      </c>
      <c r="M28" s="11">
        <v>20</v>
      </c>
      <c r="N28" s="11">
        <v>20</v>
      </c>
      <c r="O28" s="11">
        <v>20</v>
      </c>
      <c r="P28" s="11">
        <f t="shared" si="0"/>
        <v>97</v>
      </c>
      <c r="Q28" s="31"/>
    </row>
    <row r="29" spans="1:17" x14ac:dyDescent="0.25">
      <c r="A29" s="11">
        <v>6</v>
      </c>
      <c r="B29" s="100" t="s">
        <v>149</v>
      </c>
      <c r="C29" s="11" t="s">
        <v>150</v>
      </c>
      <c r="D29" s="11" t="s">
        <v>414</v>
      </c>
      <c r="E29" s="11">
        <v>5</v>
      </c>
      <c r="F29" s="11">
        <v>3</v>
      </c>
      <c r="G29" s="11">
        <v>10</v>
      </c>
      <c r="H29" s="11">
        <v>0</v>
      </c>
      <c r="I29" s="11">
        <v>3</v>
      </c>
      <c r="J29" s="11">
        <v>3</v>
      </c>
      <c r="K29" s="11">
        <v>3</v>
      </c>
      <c r="L29" s="11">
        <v>10</v>
      </c>
      <c r="M29" s="11">
        <v>15</v>
      </c>
      <c r="N29" s="11">
        <v>15</v>
      </c>
      <c r="O29" s="11">
        <v>10</v>
      </c>
      <c r="P29" s="11">
        <f t="shared" si="0"/>
        <v>77</v>
      </c>
      <c r="Q29" s="31"/>
    </row>
    <row r="30" spans="1:17" x14ac:dyDescent="0.25">
      <c r="A30" s="11">
        <v>21</v>
      </c>
      <c r="B30" s="100" t="s">
        <v>151</v>
      </c>
      <c r="C30" s="11" t="s">
        <v>95</v>
      </c>
      <c r="D30" s="11"/>
      <c r="E30" s="11">
        <v>5</v>
      </c>
      <c r="F30" s="11">
        <v>3</v>
      </c>
      <c r="G30" s="11">
        <v>10</v>
      </c>
      <c r="H30" s="11">
        <v>3</v>
      </c>
      <c r="I30" s="11">
        <v>3</v>
      </c>
      <c r="J30" s="11">
        <v>3</v>
      </c>
      <c r="K30" s="11">
        <v>0</v>
      </c>
      <c r="L30" s="11">
        <v>10</v>
      </c>
      <c r="M30" s="11">
        <v>16</v>
      </c>
      <c r="N30" s="11">
        <v>10</v>
      </c>
      <c r="O30" s="11">
        <v>20</v>
      </c>
      <c r="P30" s="11">
        <f t="shared" si="0"/>
        <v>83</v>
      </c>
      <c r="Q30" s="31"/>
    </row>
    <row r="31" spans="1:17" x14ac:dyDescent="0.25">
      <c r="A31" s="11">
        <v>8</v>
      </c>
      <c r="B31" s="100" t="s">
        <v>152</v>
      </c>
      <c r="C31" s="11" t="s">
        <v>153</v>
      </c>
      <c r="D31" s="11"/>
      <c r="E31" s="11">
        <v>5</v>
      </c>
      <c r="F31" s="11">
        <v>3</v>
      </c>
      <c r="G31" s="11">
        <v>10</v>
      </c>
      <c r="H31" s="11">
        <v>0</v>
      </c>
      <c r="I31" s="11">
        <v>0</v>
      </c>
      <c r="J31" s="11">
        <v>3</v>
      </c>
      <c r="K31" s="11">
        <v>3</v>
      </c>
      <c r="L31" s="11">
        <v>0</v>
      </c>
      <c r="M31" s="11">
        <v>20</v>
      </c>
      <c r="N31" s="11">
        <v>20</v>
      </c>
      <c r="O31" s="11">
        <v>20</v>
      </c>
      <c r="P31" s="11">
        <f t="shared" si="0"/>
        <v>84</v>
      </c>
      <c r="Q31" s="31"/>
    </row>
    <row r="32" spans="1:17" ht="45" x14ac:dyDescent="0.25">
      <c r="A32" s="11">
        <v>14</v>
      </c>
      <c r="B32" s="100" t="s">
        <v>155</v>
      </c>
      <c r="C32" s="11" t="s">
        <v>422</v>
      </c>
      <c r="D32" s="11" t="s">
        <v>91</v>
      </c>
      <c r="E32" s="11">
        <v>5</v>
      </c>
      <c r="F32" s="11">
        <v>3</v>
      </c>
      <c r="G32" s="11">
        <v>10</v>
      </c>
      <c r="H32" s="11">
        <v>3</v>
      </c>
      <c r="I32" s="11">
        <v>0</v>
      </c>
      <c r="J32" s="11">
        <v>3</v>
      </c>
      <c r="K32" s="11">
        <v>0</v>
      </c>
      <c r="L32" s="11">
        <v>10</v>
      </c>
      <c r="M32" s="11">
        <v>20</v>
      </c>
      <c r="N32" s="11">
        <v>20</v>
      </c>
      <c r="O32" s="11">
        <v>10</v>
      </c>
      <c r="P32" s="11">
        <f t="shared" si="0"/>
        <v>84</v>
      </c>
      <c r="Q32" s="31" t="s">
        <v>156</v>
      </c>
    </row>
    <row r="33" spans="1:17" x14ac:dyDescent="0.25">
      <c r="A33" s="4">
        <v>19</v>
      </c>
      <c r="B33" s="6" t="s">
        <v>154</v>
      </c>
      <c r="C33" s="4" t="s">
        <v>423</v>
      </c>
      <c r="D33" s="4" t="s">
        <v>91</v>
      </c>
      <c r="E33" s="4">
        <v>5</v>
      </c>
      <c r="F33" s="4">
        <v>3</v>
      </c>
      <c r="G33" s="4">
        <v>10</v>
      </c>
      <c r="H33" s="4">
        <v>3</v>
      </c>
      <c r="I33" s="4">
        <v>3</v>
      </c>
      <c r="J33" s="4">
        <v>0</v>
      </c>
      <c r="K33" s="4">
        <v>0</v>
      </c>
      <c r="L33" s="4">
        <v>10</v>
      </c>
      <c r="M33" s="4">
        <v>20</v>
      </c>
      <c r="N33" s="4">
        <v>20</v>
      </c>
      <c r="O33" s="4">
        <v>0</v>
      </c>
      <c r="P33" s="4">
        <f t="shared" si="0"/>
        <v>74</v>
      </c>
      <c r="Q33" s="19"/>
    </row>
    <row r="34" spans="1:17" x14ac:dyDescent="0.25">
      <c r="A34" s="37"/>
      <c r="B34" s="104"/>
    </row>
  </sheetData>
  <mergeCells count="2">
    <mergeCell ref="A1:Q1"/>
    <mergeCell ref="A2: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"/>
  <sheetViews>
    <sheetView topLeftCell="B1" zoomScale="90" zoomScaleNormal="55" workbookViewId="0">
      <selection activeCell="Q9" sqref="Q9"/>
    </sheetView>
  </sheetViews>
  <sheetFormatPr defaultRowHeight="15" x14ac:dyDescent="0.25"/>
  <cols>
    <col min="2" max="2" width="39" customWidth="1"/>
    <col min="3" max="3" width="30.85546875" customWidth="1"/>
    <col min="17" max="17" width="36.85546875" style="27" customWidth="1"/>
  </cols>
  <sheetData>
    <row r="1" spans="1:17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s="5" customFormat="1" ht="21" x14ac:dyDescent="0.35">
      <c r="A2" s="124" t="s">
        <v>25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7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23</v>
      </c>
      <c r="F3" s="1" t="s">
        <v>3</v>
      </c>
      <c r="G3" s="1" t="s">
        <v>8</v>
      </c>
      <c r="H3" s="1" t="s">
        <v>27</v>
      </c>
      <c r="I3" s="1" t="s">
        <v>4</v>
      </c>
      <c r="J3" s="1" t="s">
        <v>9</v>
      </c>
      <c r="K3" s="2" t="s">
        <v>10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7" x14ac:dyDescent="0.25">
      <c r="A4" s="4">
        <v>1</v>
      </c>
      <c r="B4" s="4" t="s">
        <v>157</v>
      </c>
      <c r="C4" s="4" t="s">
        <v>158</v>
      </c>
      <c r="D4" s="4"/>
      <c r="E4" s="4">
        <v>5</v>
      </c>
      <c r="F4" s="4">
        <v>3</v>
      </c>
      <c r="G4" s="4">
        <v>0</v>
      </c>
      <c r="H4" s="4">
        <v>3</v>
      </c>
      <c r="I4" s="4">
        <v>0</v>
      </c>
      <c r="J4" s="4">
        <v>0</v>
      </c>
      <c r="K4" s="4">
        <v>3</v>
      </c>
      <c r="L4" s="4">
        <v>0</v>
      </c>
      <c r="M4" s="4">
        <v>16</v>
      </c>
      <c r="N4" s="4">
        <v>16</v>
      </c>
      <c r="O4" s="4">
        <v>14</v>
      </c>
      <c r="P4" s="4">
        <f>SUM(E4:O4)</f>
        <v>60</v>
      </c>
      <c r="Q4" s="19" t="s">
        <v>184</v>
      </c>
    </row>
    <row r="5" spans="1:17" x14ac:dyDescent="0.25">
      <c r="A5" s="4">
        <v>2</v>
      </c>
      <c r="B5" s="4" t="s">
        <v>154</v>
      </c>
      <c r="C5" s="4" t="s">
        <v>159</v>
      </c>
      <c r="D5" s="4">
        <v>25</v>
      </c>
      <c r="E5" s="4">
        <v>5</v>
      </c>
      <c r="F5" s="4">
        <v>3</v>
      </c>
      <c r="G5" s="4">
        <v>4</v>
      </c>
      <c r="H5" s="4">
        <v>3</v>
      </c>
      <c r="I5" s="4">
        <v>0</v>
      </c>
      <c r="J5" s="4">
        <v>3</v>
      </c>
      <c r="K5" s="4">
        <v>0</v>
      </c>
      <c r="L5" s="4">
        <v>10</v>
      </c>
      <c r="M5" s="4">
        <v>10</v>
      </c>
      <c r="N5" s="4">
        <v>10</v>
      </c>
      <c r="O5" s="4">
        <v>10</v>
      </c>
      <c r="P5" s="4">
        <f>SUM(E5:O5)</f>
        <v>58</v>
      </c>
      <c r="Q5" s="19"/>
    </row>
    <row r="6" spans="1:17" x14ac:dyDescent="0.25">
      <c r="A6" s="4">
        <v>3</v>
      </c>
      <c r="B6" s="11" t="s">
        <v>111</v>
      </c>
      <c r="C6" s="11" t="s">
        <v>160</v>
      </c>
      <c r="D6" s="4" t="s">
        <v>91</v>
      </c>
      <c r="E6" s="11">
        <v>5</v>
      </c>
      <c r="F6" s="11">
        <v>3</v>
      </c>
      <c r="G6" s="11">
        <v>4</v>
      </c>
      <c r="H6" s="11">
        <v>3</v>
      </c>
      <c r="I6" s="11">
        <v>2</v>
      </c>
      <c r="J6" s="11">
        <v>2</v>
      </c>
      <c r="K6" s="11">
        <v>0</v>
      </c>
      <c r="L6" s="11">
        <v>10</v>
      </c>
      <c r="M6" s="11">
        <v>14</v>
      </c>
      <c r="N6" s="11">
        <v>12</v>
      </c>
      <c r="O6" s="11">
        <v>10</v>
      </c>
      <c r="P6" s="4">
        <f>SUM(E6:O6)</f>
        <v>65</v>
      </c>
      <c r="Q6" s="19"/>
    </row>
    <row r="7" spans="1:17" x14ac:dyDescent="0.25">
      <c r="A7" s="4">
        <v>4</v>
      </c>
      <c r="B7" s="11" t="s">
        <v>161</v>
      </c>
      <c r="C7" s="11" t="s">
        <v>162</v>
      </c>
      <c r="D7" s="4" t="s">
        <v>18</v>
      </c>
      <c r="E7" s="4">
        <v>5</v>
      </c>
      <c r="F7" s="4">
        <v>3</v>
      </c>
      <c r="G7" s="4">
        <v>3</v>
      </c>
      <c r="H7" s="4">
        <v>3</v>
      </c>
      <c r="I7" s="4">
        <v>0</v>
      </c>
      <c r="J7" s="4">
        <v>0</v>
      </c>
      <c r="K7" s="4">
        <v>0</v>
      </c>
      <c r="L7" s="4">
        <v>10</v>
      </c>
      <c r="M7" s="4">
        <v>14</v>
      </c>
      <c r="N7" s="4">
        <v>10</v>
      </c>
      <c r="O7" s="4">
        <v>10</v>
      </c>
      <c r="P7" s="4"/>
      <c r="Q7" s="19"/>
    </row>
    <row r="8" spans="1:17" x14ac:dyDescent="0.25">
      <c r="A8" s="4">
        <v>5</v>
      </c>
      <c r="B8" s="4" t="s">
        <v>163</v>
      </c>
      <c r="C8" s="4" t="s">
        <v>114</v>
      </c>
      <c r="D8" s="4" t="s">
        <v>91</v>
      </c>
      <c r="E8" s="4">
        <v>5</v>
      </c>
      <c r="F8" s="4">
        <v>3</v>
      </c>
      <c r="G8" s="4">
        <v>10</v>
      </c>
      <c r="H8" s="4">
        <v>3</v>
      </c>
      <c r="I8" s="4">
        <v>3</v>
      </c>
      <c r="J8" s="4">
        <v>3</v>
      </c>
      <c r="K8" s="4">
        <v>3</v>
      </c>
      <c r="L8" s="4">
        <v>10</v>
      </c>
      <c r="M8" s="4">
        <v>18</v>
      </c>
      <c r="N8" s="4">
        <v>19</v>
      </c>
      <c r="O8" s="4">
        <v>18</v>
      </c>
      <c r="P8" s="4">
        <f t="shared" ref="P8:P23" si="0">SUM(E8:O8)</f>
        <v>95</v>
      </c>
      <c r="Q8" s="19"/>
    </row>
    <row r="9" spans="1:17" x14ac:dyDescent="0.25">
      <c r="A9" s="4">
        <v>6</v>
      </c>
      <c r="B9" s="4" t="s">
        <v>164</v>
      </c>
      <c r="C9" s="4" t="s">
        <v>165</v>
      </c>
      <c r="D9" s="4" t="s">
        <v>91</v>
      </c>
      <c r="E9" s="4">
        <v>5</v>
      </c>
      <c r="F9" s="4">
        <v>3</v>
      </c>
      <c r="G9" s="4">
        <v>10</v>
      </c>
      <c r="H9" s="4">
        <v>3</v>
      </c>
      <c r="I9" s="4">
        <v>0</v>
      </c>
      <c r="J9" s="4">
        <v>0</v>
      </c>
      <c r="K9" s="4">
        <v>0</v>
      </c>
      <c r="L9" s="4">
        <v>10</v>
      </c>
      <c r="M9" s="4">
        <v>10</v>
      </c>
      <c r="N9" s="4">
        <v>15</v>
      </c>
      <c r="O9" s="4">
        <v>5</v>
      </c>
      <c r="P9" s="4">
        <f t="shared" si="0"/>
        <v>61</v>
      </c>
      <c r="Q9" s="19"/>
    </row>
    <row r="10" spans="1:17" ht="30" x14ac:dyDescent="0.25">
      <c r="A10" s="4">
        <v>7</v>
      </c>
      <c r="B10" s="4" t="s">
        <v>166</v>
      </c>
      <c r="C10" s="4" t="s">
        <v>167</v>
      </c>
      <c r="D10" s="4"/>
      <c r="E10" s="4">
        <v>5</v>
      </c>
      <c r="F10" s="4">
        <v>3</v>
      </c>
      <c r="G10" s="4">
        <v>10</v>
      </c>
      <c r="H10" s="4">
        <v>3</v>
      </c>
      <c r="I10" s="4">
        <v>0</v>
      </c>
      <c r="J10" s="4">
        <v>0</v>
      </c>
      <c r="K10" s="4">
        <v>0</v>
      </c>
      <c r="L10" s="4">
        <v>0</v>
      </c>
      <c r="M10" s="4">
        <v>10</v>
      </c>
      <c r="N10" s="4">
        <v>10</v>
      </c>
      <c r="O10" s="4">
        <v>0</v>
      </c>
      <c r="P10" s="4">
        <f t="shared" si="0"/>
        <v>41</v>
      </c>
      <c r="Q10" s="19" t="s">
        <v>168</v>
      </c>
    </row>
    <row r="11" spans="1:17" x14ac:dyDescent="0.25">
      <c r="A11" s="4">
        <v>8</v>
      </c>
      <c r="B11" s="4" t="s">
        <v>169</v>
      </c>
      <c r="C11" s="4" t="s">
        <v>170</v>
      </c>
      <c r="D11" s="4" t="s">
        <v>91</v>
      </c>
      <c r="E11" s="4">
        <v>5</v>
      </c>
      <c r="F11" s="4">
        <v>3</v>
      </c>
      <c r="G11" s="4">
        <v>0</v>
      </c>
      <c r="H11" s="4">
        <v>3</v>
      </c>
      <c r="I11" s="4">
        <v>0</v>
      </c>
      <c r="J11" s="4">
        <v>0</v>
      </c>
      <c r="K11" s="4">
        <v>0</v>
      </c>
      <c r="L11" s="4">
        <v>10</v>
      </c>
      <c r="M11" s="4">
        <v>10</v>
      </c>
      <c r="N11" s="4">
        <v>10</v>
      </c>
      <c r="O11" s="4">
        <v>10</v>
      </c>
      <c r="P11" s="4">
        <f t="shared" si="0"/>
        <v>51</v>
      </c>
      <c r="Q11" s="19"/>
    </row>
    <row r="12" spans="1:17" s="70" customFormat="1" x14ac:dyDescent="0.25">
      <c r="A12" s="4">
        <v>9</v>
      </c>
      <c r="B12" s="67" t="s">
        <v>171</v>
      </c>
      <c r="C12" s="67" t="s">
        <v>172</v>
      </c>
      <c r="D12" s="67" t="s">
        <v>91</v>
      </c>
      <c r="E12" s="67">
        <v>5</v>
      </c>
      <c r="F12" s="67">
        <v>3</v>
      </c>
      <c r="G12" s="67">
        <v>10</v>
      </c>
      <c r="H12" s="67">
        <v>3</v>
      </c>
      <c r="I12" s="67">
        <v>3</v>
      </c>
      <c r="J12" s="67">
        <v>0</v>
      </c>
      <c r="K12" s="67">
        <v>3</v>
      </c>
      <c r="L12" s="67">
        <v>10</v>
      </c>
      <c r="M12" s="67">
        <v>10</v>
      </c>
      <c r="N12" s="67">
        <v>20</v>
      </c>
      <c r="O12" s="67">
        <v>20</v>
      </c>
      <c r="P12" s="67">
        <f t="shared" si="0"/>
        <v>87</v>
      </c>
      <c r="Q12" s="69"/>
    </row>
    <row r="13" spans="1:17" x14ac:dyDescent="0.25">
      <c r="A13" s="4">
        <v>10</v>
      </c>
      <c r="B13" s="4" t="s">
        <v>173</v>
      </c>
      <c r="C13" s="4" t="s">
        <v>110</v>
      </c>
      <c r="D13" s="4" t="s">
        <v>91</v>
      </c>
      <c r="E13" s="4">
        <v>5</v>
      </c>
      <c r="F13" s="4">
        <v>3</v>
      </c>
      <c r="G13" s="4">
        <v>10</v>
      </c>
      <c r="H13" s="4">
        <v>3</v>
      </c>
      <c r="I13" s="4">
        <v>0</v>
      </c>
      <c r="J13" s="4">
        <v>3</v>
      </c>
      <c r="K13" s="4">
        <v>0</v>
      </c>
      <c r="L13" s="4">
        <v>10</v>
      </c>
      <c r="M13" s="4">
        <v>10</v>
      </c>
      <c r="N13" s="4">
        <v>10</v>
      </c>
      <c r="O13" s="4">
        <v>10</v>
      </c>
      <c r="P13" s="4">
        <f t="shared" si="0"/>
        <v>64</v>
      </c>
      <c r="Q13" s="19"/>
    </row>
    <row r="14" spans="1:17" s="12" customFormat="1" x14ac:dyDescent="0.25">
      <c r="A14" s="4">
        <v>11</v>
      </c>
      <c r="B14" s="4" t="s">
        <v>174</v>
      </c>
      <c r="C14" s="4" t="s">
        <v>175</v>
      </c>
      <c r="D14" s="4" t="s">
        <v>91</v>
      </c>
      <c r="E14" s="4">
        <v>5</v>
      </c>
      <c r="F14" s="4">
        <v>3</v>
      </c>
      <c r="G14" s="4">
        <v>10</v>
      </c>
      <c r="H14" s="4">
        <v>3</v>
      </c>
      <c r="I14" s="4">
        <v>0</v>
      </c>
      <c r="J14" s="4">
        <v>3</v>
      </c>
      <c r="K14" s="4">
        <v>3</v>
      </c>
      <c r="L14" s="4">
        <v>10</v>
      </c>
      <c r="M14" s="4">
        <v>15</v>
      </c>
      <c r="N14" s="4">
        <v>10</v>
      </c>
      <c r="O14" s="4">
        <v>10</v>
      </c>
      <c r="P14" s="4">
        <f t="shared" si="0"/>
        <v>72</v>
      </c>
      <c r="Q14" s="19"/>
    </row>
    <row r="15" spans="1:17" s="59" customFormat="1" x14ac:dyDescent="0.25">
      <c r="A15" s="4">
        <v>12</v>
      </c>
      <c r="B15" s="4" t="s">
        <v>176</v>
      </c>
      <c r="C15" s="4" t="s">
        <v>177</v>
      </c>
      <c r="D15" s="4" t="s">
        <v>91</v>
      </c>
      <c r="E15" s="4">
        <v>5</v>
      </c>
      <c r="F15" s="4">
        <v>3</v>
      </c>
      <c r="G15" s="4">
        <v>10</v>
      </c>
      <c r="H15" s="4">
        <v>3</v>
      </c>
      <c r="I15" s="4">
        <v>0</v>
      </c>
      <c r="J15" s="4">
        <v>0</v>
      </c>
      <c r="K15" s="4">
        <v>3</v>
      </c>
      <c r="L15" s="4">
        <v>10</v>
      </c>
      <c r="M15" s="4">
        <v>10</v>
      </c>
      <c r="N15" s="4">
        <v>10</v>
      </c>
      <c r="O15" s="4">
        <v>0</v>
      </c>
      <c r="P15" s="4">
        <f t="shared" si="0"/>
        <v>54</v>
      </c>
      <c r="Q15" s="19"/>
    </row>
    <row r="16" spans="1:17" s="75" customFormat="1" x14ac:dyDescent="0.25">
      <c r="A16" s="4">
        <v>13</v>
      </c>
      <c r="B16" s="67" t="s">
        <v>178</v>
      </c>
      <c r="C16" s="67" t="s">
        <v>130</v>
      </c>
      <c r="D16" s="67" t="s">
        <v>91</v>
      </c>
      <c r="E16" s="67">
        <v>5</v>
      </c>
      <c r="F16" s="67">
        <v>3</v>
      </c>
      <c r="G16" s="67">
        <v>10</v>
      </c>
      <c r="H16" s="67">
        <v>0</v>
      </c>
      <c r="I16" s="67">
        <v>0</v>
      </c>
      <c r="J16" s="67">
        <v>3</v>
      </c>
      <c r="K16" s="67">
        <v>3</v>
      </c>
      <c r="L16" s="67">
        <v>10</v>
      </c>
      <c r="M16" s="67">
        <v>5</v>
      </c>
      <c r="N16" s="67">
        <v>10</v>
      </c>
      <c r="O16" s="67">
        <v>10</v>
      </c>
      <c r="P16" s="67">
        <f t="shared" si="0"/>
        <v>59</v>
      </c>
      <c r="Q16" s="69"/>
    </row>
    <row r="17" spans="1:17" s="75" customFormat="1" x14ac:dyDescent="0.25">
      <c r="A17" s="4">
        <v>14</v>
      </c>
      <c r="B17" s="67" t="s">
        <v>179</v>
      </c>
      <c r="C17" s="67" t="s">
        <v>180</v>
      </c>
      <c r="D17" s="67" t="s">
        <v>91</v>
      </c>
      <c r="E17" s="67">
        <v>5</v>
      </c>
      <c r="F17" s="67">
        <v>3</v>
      </c>
      <c r="G17" s="67">
        <v>10</v>
      </c>
      <c r="H17" s="67">
        <v>0</v>
      </c>
      <c r="I17" s="67">
        <v>0</v>
      </c>
      <c r="J17" s="67">
        <v>0</v>
      </c>
      <c r="K17" s="67">
        <v>0</v>
      </c>
      <c r="L17" s="67">
        <v>10</v>
      </c>
      <c r="M17" s="67">
        <v>5</v>
      </c>
      <c r="N17" s="67">
        <v>10</v>
      </c>
      <c r="O17" s="67">
        <v>0</v>
      </c>
      <c r="P17" s="67">
        <f t="shared" si="0"/>
        <v>43</v>
      </c>
      <c r="Q17" s="69"/>
    </row>
    <row r="18" spans="1:17" s="75" customFormat="1" x14ac:dyDescent="0.25">
      <c r="A18" s="4">
        <v>15</v>
      </c>
      <c r="B18" s="67" t="s">
        <v>181</v>
      </c>
      <c r="C18" s="67" t="s">
        <v>182</v>
      </c>
      <c r="D18" s="67" t="s">
        <v>183</v>
      </c>
      <c r="E18" s="67">
        <v>5</v>
      </c>
      <c r="F18" s="67">
        <v>0</v>
      </c>
      <c r="G18" s="67">
        <v>10</v>
      </c>
      <c r="H18" s="67">
        <v>0</v>
      </c>
      <c r="I18" s="67">
        <v>0</v>
      </c>
      <c r="J18" s="67">
        <v>3</v>
      </c>
      <c r="K18" s="67">
        <v>0</v>
      </c>
      <c r="L18" s="67">
        <v>0</v>
      </c>
      <c r="M18" s="67">
        <v>10</v>
      </c>
      <c r="N18" s="67">
        <v>10</v>
      </c>
      <c r="O18" s="67">
        <v>10</v>
      </c>
      <c r="P18" s="67">
        <f t="shared" si="0"/>
        <v>48</v>
      </c>
      <c r="Q18" s="69" t="s">
        <v>184</v>
      </c>
    </row>
    <row r="19" spans="1:17" s="75" customFormat="1" x14ac:dyDescent="0.25">
      <c r="A19" s="4">
        <v>16</v>
      </c>
      <c r="B19" s="102" t="s">
        <v>185</v>
      </c>
      <c r="C19" s="102" t="s">
        <v>186</v>
      </c>
      <c r="D19" s="102" t="s">
        <v>90</v>
      </c>
      <c r="E19" s="102">
        <v>5</v>
      </c>
      <c r="F19" s="102">
        <v>3</v>
      </c>
      <c r="G19" s="102">
        <v>10</v>
      </c>
      <c r="H19" s="102">
        <v>0</v>
      </c>
      <c r="I19" s="102">
        <v>0</v>
      </c>
      <c r="J19" s="102">
        <v>0</v>
      </c>
      <c r="K19" s="102">
        <v>0</v>
      </c>
      <c r="L19" s="102">
        <v>10</v>
      </c>
      <c r="M19" s="102">
        <v>10</v>
      </c>
      <c r="N19" s="102">
        <v>5</v>
      </c>
      <c r="O19" s="102">
        <v>5</v>
      </c>
      <c r="P19" s="67">
        <f t="shared" si="0"/>
        <v>48</v>
      </c>
      <c r="Q19" s="103"/>
    </row>
    <row r="20" spans="1:17" s="75" customFormat="1" x14ac:dyDescent="0.25">
      <c r="A20" s="4">
        <v>17</v>
      </c>
      <c r="B20" s="67" t="s">
        <v>187</v>
      </c>
      <c r="C20" s="67" t="s">
        <v>188</v>
      </c>
      <c r="D20" s="67" t="s">
        <v>20</v>
      </c>
      <c r="E20" s="67">
        <v>5</v>
      </c>
      <c r="F20" s="67">
        <v>3</v>
      </c>
      <c r="G20" s="67">
        <v>10</v>
      </c>
      <c r="H20" s="67">
        <v>3</v>
      </c>
      <c r="I20" s="67">
        <v>3</v>
      </c>
      <c r="J20" s="67">
        <v>3</v>
      </c>
      <c r="K20" s="67">
        <v>3</v>
      </c>
      <c r="L20" s="67">
        <v>10</v>
      </c>
      <c r="M20" s="67">
        <v>20</v>
      </c>
      <c r="N20" s="67">
        <v>15</v>
      </c>
      <c r="O20" s="67">
        <v>10</v>
      </c>
      <c r="P20" s="67">
        <f t="shared" si="0"/>
        <v>85</v>
      </c>
      <c r="Q20" s="69"/>
    </row>
    <row r="21" spans="1:17" s="75" customFormat="1" x14ac:dyDescent="0.25">
      <c r="A21" s="4">
        <v>18</v>
      </c>
      <c r="B21" s="67" t="s">
        <v>189</v>
      </c>
      <c r="C21" s="67" t="s">
        <v>190</v>
      </c>
      <c r="D21" s="67" t="s">
        <v>91</v>
      </c>
      <c r="E21" s="67">
        <v>5</v>
      </c>
      <c r="F21" s="67">
        <v>3</v>
      </c>
      <c r="G21" s="67">
        <v>10</v>
      </c>
      <c r="H21" s="67">
        <v>0</v>
      </c>
      <c r="I21" s="67">
        <v>0</v>
      </c>
      <c r="J21" s="67">
        <v>0</v>
      </c>
      <c r="K21" s="67">
        <v>0</v>
      </c>
      <c r="L21" s="67">
        <v>10</v>
      </c>
      <c r="M21" s="67">
        <v>15</v>
      </c>
      <c r="N21" s="67">
        <v>15</v>
      </c>
      <c r="O21" s="67">
        <v>0</v>
      </c>
      <c r="P21" s="67">
        <f t="shared" si="0"/>
        <v>58</v>
      </c>
      <c r="Q21" s="89"/>
    </row>
    <row r="22" spans="1:17" s="75" customFormat="1" x14ac:dyDescent="0.25">
      <c r="A22" s="4">
        <v>19</v>
      </c>
      <c r="B22" s="67" t="s">
        <v>191</v>
      </c>
      <c r="C22" s="67" t="s">
        <v>192</v>
      </c>
      <c r="D22" s="67" t="s">
        <v>91</v>
      </c>
      <c r="E22" s="67">
        <v>5</v>
      </c>
      <c r="F22" s="67">
        <v>3</v>
      </c>
      <c r="G22" s="67">
        <v>10</v>
      </c>
      <c r="H22" s="67">
        <v>3</v>
      </c>
      <c r="I22" s="67">
        <v>0</v>
      </c>
      <c r="J22" s="67">
        <v>0</v>
      </c>
      <c r="K22" s="67">
        <v>0</v>
      </c>
      <c r="L22" s="67">
        <v>10</v>
      </c>
      <c r="M22" s="67">
        <v>15</v>
      </c>
      <c r="N22" s="67">
        <v>15</v>
      </c>
      <c r="O22" s="67">
        <v>0</v>
      </c>
      <c r="P22" s="67">
        <f t="shared" si="0"/>
        <v>61</v>
      </c>
      <c r="Q22" s="69"/>
    </row>
    <row r="23" spans="1:17" x14ac:dyDescent="0.25">
      <c r="A23" s="4">
        <v>20</v>
      </c>
      <c r="B23" s="4" t="s">
        <v>119</v>
      </c>
      <c r="C23" s="4" t="s">
        <v>193</v>
      </c>
      <c r="D23" s="4" t="s">
        <v>90</v>
      </c>
      <c r="E23" s="4">
        <v>5</v>
      </c>
      <c r="F23" s="4">
        <v>3</v>
      </c>
      <c r="G23" s="4">
        <v>10</v>
      </c>
      <c r="H23" s="4">
        <v>3</v>
      </c>
      <c r="I23" s="4">
        <v>0</v>
      </c>
      <c r="J23" s="4">
        <v>3</v>
      </c>
      <c r="K23" s="4">
        <v>0</v>
      </c>
      <c r="L23" s="4">
        <v>10</v>
      </c>
      <c r="M23" s="4">
        <v>10</v>
      </c>
      <c r="N23" s="4">
        <v>15</v>
      </c>
      <c r="O23" s="4">
        <v>10</v>
      </c>
      <c r="P23" s="4">
        <f t="shared" si="0"/>
        <v>69</v>
      </c>
      <c r="Q23" s="19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 t="s">
        <v>105</v>
      </c>
      <c r="K24" s="4"/>
      <c r="L24" s="4"/>
      <c r="M24" s="4"/>
      <c r="N24" s="4"/>
      <c r="O24" s="4"/>
      <c r="P24" s="4"/>
      <c r="Q24" s="19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9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9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9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9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9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9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9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19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9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9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9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9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19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19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19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19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19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19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19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9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9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19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19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9"/>
    </row>
    <row r="49" spans="1:1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19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19"/>
    </row>
    <row r="51" spans="1:17" x14ac:dyDescent="0.25">
      <c r="A51" s="4"/>
      <c r="B51" s="1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19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19"/>
    </row>
    <row r="53" spans="1:1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19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19"/>
    </row>
    <row r="55" spans="1:1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19"/>
    </row>
    <row r="56" spans="1:17" x14ac:dyDescent="0.25">
      <c r="A56" s="4"/>
      <c r="B56" s="1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19"/>
    </row>
    <row r="57" spans="1:1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19"/>
    </row>
    <row r="58" spans="1:1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19"/>
    </row>
    <row r="59" spans="1:17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19"/>
    </row>
    <row r="60" spans="1:1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19"/>
    </row>
    <row r="61" spans="1:17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19"/>
    </row>
    <row r="62" spans="1:1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19"/>
    </row>
    <row r="63" spans="1:17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19"/>
    </row>
    <row r="64" spans="1:17" x14ac:dyDescent="0.25">
      <c r="A64" s="11"/>
      <c r="B64" s="11"/>
      <c r="C64" s="1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1"/>
      <c r="Q64" s="19"/>
    </row>
    <row r="65" spans="1:17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19"/>
    </row>
    <row r="66" spans="1:17" s="12" customForma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31"/>
    </row>
    <row r="67" spans="1:17" s="18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29"/>
    </row>
    <row r="68" spans="1:1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19"/>
    </row>
    <row r="69" spans="1:17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19"/>
    </row>
    <row r="70" spans="1:1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19"/>
    </row>
    <row r="71" spans="1:17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19"/>
    </row>
    <row r="72" spans="1:1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19"/>
    </row>
    <row r="73" spans="1:17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19"/>
    </row>
    <row r="74" spans="1:1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19"/>
    </row>
    <row r="75" spans="1:17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19"/>
    </row>
    <row r="76" spans="1:1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19"/>
    </row>
    <row r="77" spans="1:1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19"/>
    </row>
    <row r="78" spans="1:1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19"/>
    </row>
    <row r="79" spans="1:17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19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19"/>
    </row>
    <row r="81" spans="1:17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9"/>
    </row>
    <row r="82" spans="1:1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9"/>
    </row>
    <row r="83" spans="1:17" s="59" customFormat="1" x14ac:dyDescent="0.2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60"/>
    </row>
    <row r="84" spans="1:17" s="14" customForma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28"/>
    </row>
    <row r="85" spans="1:17" s="59" customFormat="1" x14ac:dyDescent="0.2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60"/>
    </row>
    <row r="86" spans="1:17" s="12" customForma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31"/>
    </row>
    <row r="87" spans="1:17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9"/>
    </row>
    <row r="88" spans="1:1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9"/>
    </row>
    <row r="89" spans="1:17" x14ac:dyDescent="0.25">
      <c r="A89" s="4"/>
      <c r="B89" s="20"/>
      <c r="C89" s="20"/>
      <c r="D89" s="1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9"/>
    </row>
    <row r="90" spans="1:1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9"/>
    </row>
    <row r="91" spans="1:1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9"/>
    </row>
    <row r="92" spans="1:1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9"/>
    </row>
    <row r="93" spans="1:1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9"/>
    </row>
    <row r="94" spans="1:1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9"/>
    </row>
    <row r="95" spans="1:1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9"/>
    </row>
    <row r="96" spans="1:1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9"/>
    </row>
    <row r="97" spans="1:1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9"/>
    </row>
    <row r="98" spans="1:1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9"/>
    </row>
    <row r="99" spans="1:1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9"/>
    </row>
    <row r="100" spans="1:1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9"/>
    </row>
    <row r="101" spans="1:1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9"/>
    </row>
    <row r="102" spans="1:1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9"/>
    </row>
    <row r="103" spans="1:1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9"/>
    </row>
    <row r="104" spans="1:1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9"/>
    </row>
    <row r="105" spans="1:1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9"/>
    </row>
    <row r="106" spans="1:1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9"/>
    </row>
    <row r="107" spans="1:1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9"/>
    </row>
    <row r="108" spans="1:1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9"/>
    </row>
    <row r="109" spans="1:1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9"/>
    </row>
    <row r="110" spans="1:1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9"/>
    </row>
    <row r="111" spans="1:1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9"/>
    </row>
    <row r="112" spans="1:1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9"/>
    </row>
    <row r="113" spans="1:1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9"/>
    </row>
    <row r="114" spans="1:1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9"/>
    </row>
    <row r="115" spans="1:17" s="12" customForma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31"/>
    </row>
    <row r="116" spans="1:17" s="12" customForma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31"/>
    </row>
    <row r="117" spans="1:1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9"/>
    </row>
    <row r="118" spans="1:1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9"/>
    </row>
    <row r="119" spans="1:1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9"/>
    </row>
    <row r="120" spans="1:17" s="63" customForma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</row>
    <row r="121" spans="1:1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9"/>
    </row>
    <row r="122" spans="1:17" s="16" customForma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32"/>
    </row>
    <row r="123" spans="1:17" s="16" customForma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32"/>
    </row>
    <row r="124" spans="1:1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9" t="s">
        <v>81</v>
      </c>
    </row>
    <row r="125" spans="1:17" s="12" customForma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31" t="s">
        <v>82</v>
      </c>
    </row>
    <row r="126" spans="1:17" s="12" customForma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31" t="s">
        <v>81</v>
      </c>
    </row>
    <row r="127" spans="1:1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9" t="s">
        <v>81</v>
      </c>
    </row>
    <row r="128" spans="1:1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9" t="s">
        <v>81</v>
      </c>
    </row>
    <row r="129" spans="1:1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9" t="s">
        <v>81</v>
      </c>
    </row>
    <row r="130" spans="1:1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9" t="s">
        <v>81</v>
      </c>
    </row>
    <row r="131" spans="1:17" ht="3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9" t="s">
        <v>83</v>
      </c>
    </row>
    <row r="132" spans="1:1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9" t="s">
        <v>82</v>
      </c>
    </row>
    <row r="133" spans="1:1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9" t="s">
        <v>84</v>
      </c>
    </row>
    <row r="134" spans="1:1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9" t="s">
        <v>82</v>
      </c>
    </row>
    <row r="135" spans="1:17" ht="3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9" t="s">
        <v>83</v>
      </c>
    </row>
    <row r="136" spans="1:17" ht="30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9" t="s">
        <v>85</v>
      </c>
    </row>
    <row r="137" spans="1:1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9" t="s">
        <v>82</v>
      </c>
    </row>
    <row r="138" spans="1:17" ht="3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9" t="s">
        <v>86</v>
      </c>
    </row>
    <row r="139" spans="1:1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9" t="s">
        <v>80</v>
      </c>
    </row>
    <row r="140" spans="1:1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9" t="s">
        <v>87</v>
      </c>
    </row>
    <row r="141" spans="1:1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9" t="s">
        <v>80</v>
      </c>
    </row>
    <row r="142" spans="1:17" s="12" customForma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31" t="s">
        <v>80</v>
      </c>
    </row>
    <row r="143" spans="1:1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9" t="s">
        <v>80</v>
      </c>
    </row>
    <row r="144" spans="1:17" ht="3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9" t="s">
        <v>88</v>
      </c>
    </row>
    <row r="145" spans="1:17" s="12" customFormat="1" ht="30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31" t="s">
        <v>88</v>
      </c>
    </row>
    <row r="146" spans="1:1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9" t="s">
        <v>80</v>
      </c>
    </row>
    <row r="147" spans="1:1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9" t="s">
        <v>89</v>
      </c>
    </row>
    <row r="148" spans="1:17" s="12" customForma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31" t="s">
        <v>81</v>
      </c>
    </row>
    <row r="149" spans="1:17" x14ac:dyDescent="0.25">
      <c r="A149" s="11"/>
      <c r="B149" s="11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1"/>
      <c r="Q149" s="31" t="s">
        <v>81</v>
      </c>
    </row>
    <row r="150" spans="1:17" x14ac:dyDescent="0.25">
      <c r="A150" s="4"/>
      <c r="B150" s="11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9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view="pageBreakPreview" zoomScale="60" zoomScaleNormal="100" workbookViewId="0">
      <selection activeCell="N26" sqref="N26"/>
    </sheetView>
  </sheetViews>
  <sheetFormatPr defaultRowHeight="15" x14ac:dyDescent="0.25"/>
  <cols>
    <col min="2" max="2" width="39.42578125" customWidth="1"/>
    <col min="3" max="3" width="27.5703125" customWidth="1"/>
    <col min="15" max="15" width="9.140625" style="25"/>
    <col min="16" max="16" width="29" style="27" customWidth="1"/>
  </cols>
  <sheetData>
    <row r="1" spans="1:16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s="5" customFormat="1" ht="21" x14ac:dyDescent="0.35">
      <c r="A2" s="124" t="s">
        <v>28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</row>
    <row r="3" spans="1:16" s="3" customFormat="1" ht="108.7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1" t="s">
        <v>14</v>
      </c>
      <c r="L3" s="1" t="s">
        <v>15</v>
      </c>
      <c r="M3" s="1" t="s">
        <v>16</v>
      </c>
      <c r="N3" s="1" t="s">
        <v>13</v>
      </c>
      <c r="O3" s="21" t="s">
        <v>196</v>
      </c>
      <c r="P3" s="1" t="s">
        <v>21</v>
      </c>
    </row>
    <row r="4" spans="1:16" s="71" customFormat="1" x14ac:dyDescent="0.25">
      <c r="A4" s="105">
        <v>1</v>
      </c>
      <c r="B4" s="105" t="s">
        <v>194</v>
      </c>
      <c r="C4" s="105" t="s">
        <v>195</v>
      </c>
      <c r="D4" s="105">
        <v>5</v>
      </c>
      <c r="E4" s="105">
        <v>0</v>
      </c>
      <c r="F4" s="105">
        <v>8</v>
      </c>
      <c r="G4" s="105">
        <v>3</v>
      </c>
      <c r="H4" s="105">
        <v>3</v>
      </c>
      <c r="I4" s="105">
        <v>3</v>
      </c>
      <c r="J4" s="105">
        <v>3</v>
      </c>
      <c r="K4" s="105">
        <v>20</v>
      </c>
      <c r="L4" s="105">
        <v>10</v>
      </c>
      <c r="M4" s="105">
        <v>16</v>
      </c>
      <c r="N4" s="105">
        <f>SUM(D4:M4)</f>
        <v>71</v>
      </c>
      <c r="O4" s="106"/>
      <c r="P4" s="107"/>
    </row>
    <row r="5" spans="1:16" s="71" customFormat="1" x14ac:dyDescent="0.25">
      <c r="A5" s="105">
        <v>2</v>
      </c>
      <c r="B5" s="105" t="s">
        <v>197</v>
      </c>
      <c r="C5" s="105" t="s">
        <v>198</v>
      </c>
      <c r="D5" s="105">
        <v>5</v>
      </c>
      <c r="E5" s="105">
        <v>3</v>
      </c>
      <c r="F5" s="105">
        <v>4</v>
      </c>
      <c r="G5" s="105">
        <v>3</v>
      </c>
      <c r="H5" s="105">
        <v>3</v>
      </c>
      <c r="I5" s="105">
        <v>3</v>
      </c>
      <c r="J5" s="105">
        <v>3</v>
      </c>
      <c r="K5" s="105">
        <v>20</v>
      </c>
      <c r="L5" s="105">
        <v>20</v>
      </c>
      <c r="M5" s="105">
        <v>20</v>
      </c>
      <c r="N5" s="105">
        <f>SUM(D5:M5)</f>
        <v>84</v>
      </c>
      <c r="O5" s="106"/>
      <c r="P5" s="107"/>
    </row>
    <row r="6" spans="1:16" s="71" customFormat="1" x14ac:dyDescent="0.25">
      <c r="A6" s="105">
        <v>3</v>
      </c>
      <c r="B6" s="105" t="s">
        <v>199</v>
      </c>
      <c r="C6" s="105" t="s">
        <v>200</v>
      </c>
      <c r="D6" s="105">
        <v>5</v>
      </c>
      <c r="E6" s="105">
        <v>3</v>
      </c>
      <c r="F6" s="105">
        <v>0</v>
      </c>
      <c r="G6" s="105">
        <v>3</v>
      </c>
      <c r="H6" s="105">
        <v>2</v>
      </c>
      <c r="I6" s="105">
        <v>3</v>
      </c>
      <c r="J6" s="105">
        <v>0</v>
      </c>
      <c r="K6" s="105">
        <v>6</v>
      </c>
      <c r="L6" s="105">
        <v>10</v>
      </c>
      <c r="M6" s="105">
        <v>18</v>
      </c>
      <c r="N6" s="105">
        <f>SUM(D6:M6)</f>
        <v>50</v>
      </c>
      <c r="O6" s="106"/>
      <c r="P6" s="107"/>
    </row>
    <row r="7" spans="1:16" s="71" customFormat="1" x14ac:dyDescent="0.25">
      <c r="A7" s="105">
        <v>4</v>
      </c>
      <c r="B7" s="105" t="s">
        <v>201</v>
      </c>
      <c r="C7" s="105" t="s">
        <v>202</v>
      </c>
      <c r="D7" s="105">
        <v>5</v>
      </c>
      <c r="E7" s="105">
        <v>3</v>
      </c>
      <c r="F7" s="105">
        <v>8</v>
      </c>
      <c r="G7" s="105">
        <v>3</v>
      </c>
      <c r="H7" s="105">
        <v>0</v>
      </c>
      <c r="I7" s="105">
        <v>3</v>
      </c>
      <c r="J7" s="105">
        <v>3</v>
      </c>
      <c r="K7" s="105">
        <v>20</v>
      </c>
      <c r="L7" s="105">
        <v>20</v>
      </c>
      <c r="M7" s="105">
        <v>20</v>
      </c>
      <c r="N7" s="105">
        <f>SUM(D7:M7)</f>
        <v>85</v>
      </c>
      <c r="O7" s="106"/>
      <c r="P7" s="107"/>
    </row>
    <row r="8" spans="1:16" x14ac:dyDescent="0.25">
      <c r="A8" s="105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8"/>
      <c r="P8" s="60"/>
    </row>
    <row r="9" spans="1:16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60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2"/>
      <c r="P10" s="19"/>
    </row>
    <row r="11" spans="1:1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2"/>
      <c r="P11" s="19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2"/>
      <c r="P12" s="19"/>
    </row>
    <row r="13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2"/>
      <c r="P13" s="19"/>
    </row>
    <row r="14" spans="1:16" s="70" customFormat="1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8"/>
      <c r="P14" s="69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2"/>
      <c r="P15" s="19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2"/>
      <c r="P16" s="19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2"/>
      <c r="P17" s="19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2"/>
      <c r="P18" s="19"/>
    </row>
    <row r="19" spans="1: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2"/>
      <c r="P19" s="19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2"/>
      <c r="P20" s="19"/>
    </row>
    <row r="21" spans="1:1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2"/>
      <c r="P21" s="19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2"/>
      <c r="P22" s="19"/>
    </row>
    <row r="23" spans="1:1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2"/>
      <c r="P23" s="19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2"/>
      <c r="P24" s="19"/>
    </row>
    <row r="25" spans="1:1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2"/>
      <c r="P25" s="19"/>
    </row>
    <row r="26" spans="1:1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2"/>
      <c r="P26" s="19"/>
    </row>
    <row r="27" spans="1:16" s="70" customFormat="1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  <c r="P27" s="69"/>
    </row>
    <row r="28" spans="1:16" s="70" customFormat="1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8"/>
      <c r="P28" s="69"/>
    </row>
    <row r="29" spans="1:1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2"/>
      <c r="P29" s="19"/>
    </row>
    <row r="30" spans="1:1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2"/>
      <c r="P30" s="19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2"/>
      <c r="P31" s="19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2"/>
      <c r="P32" s="19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2"/>
      <c r="P33" s="19"/>
    </row>
    <row r="34" spans="1:16" s="10" customFormat="1" x14ac:dyDescent="0.25">
      <c r="O34" s="24"/>
      <c r="P34" s="30"/>
    </row>
    <row r="35" spans="1:16" s="10" customFormat="1" x14ac:dyDescent="0.25">
      <c r="O35" s="24"/>
      <c r="P35" s="30"/>
    </row>
    <row r="36" spans="1:16" s="10" customFormat="1" x14ac:dyDescent="0.25">
      <c r="O36" s="24"/>
      <c r="P36" s="30"/>
    </row>
  </sheetData>
  <sortState ref="A4:R8">
    <sortCondition descending="1" ref="N4:N8"/>
  </sortState>
  <mergeCells count="2">
    <mergeCell ref="A1:P1"/>
    <mergeCell ref="A2:P2"/>
  </mergeCells>
  <pageMargins left="0.7" right="0.7" top="0.75" bottom="0.75" header="0.3" footer="0.3"/>
  <pageSetup paperSize="8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zoomScale="85" zoomScaleNormal="85" workbookViewId="0">
      <selection activeCell="Q18" sqref="Q18"/>
    </sheetView>
  </sheetViews>
  <sheetFormatPr defaultRowHeight="15" x14ac:dyDescent="0.25"/>
  <cols>
    <col min="2" max="2" width="38.7109375" customWidth="1"/>
    <col min="3" max="3" width="19.5703125" customWidth="1"/>
    <col min="18" max="18" width="32.5703125" style="27" customWidth="1"/>
  </cols>
  <sheetData>
    <row r="1" spans="1:18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31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1" t="s">
        <v>21</v>
      </c>
    </row>
    <row r="4" spans="1:18" x14ac:dyDescent="0.25">
      <c r="A4" s="4">
        <v>1</v>
      </c>
      <c r="B4" s="4" t="s">
        <v>203</v>
      </c>
      <c r="C4" s="4" t="s">
        <v>204</v>
      </c>
      <c r="D4" s="4" t="s">
        <v>91</v>
      </c>
      <c r="E4" s="4"/>
      <c r="F4" s="4">
        <v>5</v>
      </c>
      <c r="G4" s="4">
        <v>3</v>
      </c>
      <c r="H4" s="4">
        <v>10</v>
      </c>
      <c r="I4" s="4">
        <v>3</v>
      </c>
      <c r="J4" s="4">
        <v>3</v>
      </c>
      <c r="K4" s="4">
        <v>3</v>
      </c>
      <c r="L4" s="4">
        <v>0</v>
      </c>
      <c r="M4" s="4">
        <v>10</v>
      </c>
      <c r="N4" s="4">
        <v>15</v>
      </c>
      <c r="O4" s="4">
        <v>15</v>
      </c>
      <c r="P4" s="4">
        <v>5</v>
      </c>
      <c r="Q4" s="4">
        <f t="shared" ref="Q4:Q18" si="0">SUM(F4:P4)</f>
        <v>72</v>
      </c>
      <c r="R4" s="19"/>
    </row>
    <row r="5" spans="1:18" x14ac:dyDescent="0.25">
      <c r="A5" s="4">
        <v>2</v>
      </c>
      <c r="B5" s="4" t="s">
        <v>205</v>
      </c>
      <c r="C5" s="4" t="s">
        <v>110</v>
      </c>
      <c r="D5" s="4" t="s">
        <v>91</v>
      </c>
      <c r="E5" s="4"/>
      <c r="F5" s="4">
        <v>5</v>
      </c>
      <c r="G5" s="4">
        <v>3</v>
      </c>
      <c r="H5" s="4">
        <v>10</v>
      </c>
      <c r="I5" s="4">
        <v>3</v>
      </c>
      <c r="J5" s="4">
        <v>0</v>
      </c>
      <c r="K5" s="4">
        <v>3</v>
      </c>
      <c r="L5" s="4">
        <v>0</v>
      </c>
      <c r="M5" s="4">
        <v>10</v>
      </c>
      <c r="N5" s="4">
        <v>10</v>
      </c>
      <c r="O5" s="4">
        <v>15</v>
      </c>
      <c r="P5" s="4">
        <v>15</v>
      </c>
      <c r="Q5" s="4">
        <f t="shared" si="0"/>
        <v>74</v>
      </c>
      <c r="R5" s="19"/>
    </row>
    <row r="6" spans="1:18" x14ac:dyDescent="0.25">
      <c r="A6" s="4">
        <v>3</v>
      </c>
      <c r="B6" s="4" t="s">
        <v>206</v>
      </c>
      <c r="C6" s="4" t="s">
        <v>177</v>
      </c>
      <c r="D6" s="4" t="s">
        <v>91</v>
      </c>
      <c r="E6" s="4"/>
      <c r="F6" s="4">
        <v>5</v>
      </c>
      <c r="G6" s="4">
        <v>3</v>
      </c>
      <c r="H6" s="4">
        <v>10</v>
      </c>
      <c r="I6" s="4">
        <v>3</v>
      </c>
      <c r="J6" s="4">
        <v>0</v>
      </c>
      <c r="K6" s="4">
        <v>0</v>
      </c>
      <c r="L6" s="4">
        <v>3</v>
      </c>
      <c r="M6" s="4">
        <v>0</v>
      </c>
      <c r="N6" s="4">
        <v>15</v>
      </c>
      <c r="O6" s="4">
        <v>15</v>
      </c>
      <c r="P6" s="4">
        <v>5</v>
      </c>
      <c r="Q6" s="4">
        <f t="shared" si="0"/>
        <v>59</v>
      </c>
      <c r="R6" s="19" t="s">
        <v>207</v>
      </c>
    </row>
    <row r="7" spans="1:18" s="18" customFormat="1" x14ac:dyDescent="0.25">
      <c r="A7" s="67">
        <v>4</v>
      </c>
      <c r="B7" s="67" t="s">
        <v>164</v>
      </c>
      <c r="C7" s="67" t="s">
        <v>165</v>
      </c>
      <c r="D7" s="67" t="s">
        <v>91</v>
      </c>
      <c r="E7" s="67"/>
      <c r="F7" s="67">
        <v>5</v>
      </c>
      <c r="G7" s="67">
        <v>3</v>
      </c>
      <c r="H7" s="67">
        <v>10</v>
      </c>
      <c r="I7" s="67">
        <v>3</v>
      </c>
      <c r="J7" s="67">
        <v>0</v>
      </c>
      <c r="K7" s="67">
        <v>0</v>
      </c>
      <c r="L7" s="67">
        <v>0</v>
      </c>
      <c r="M7" s="76">
        <v>10</v>
      </c>
      <c r="N7" s="67">
        <v>10</v>
      </c>
      <c r="O7" s="67">
        <v>15</v>
      </c>
      <c r="P7" s="67">
        <v>5</v>
      </c>
      <c r="Q7" s="4">
        <f t="shared" si="0"/>
        <v>61</v>
      </c>
      <c r="R7" s="69"/>
    </row>
    <row r="8" spans="1:18" x14ac:dyDescent="0.25">
      <c r="A8" s="67">
        <v>5</v>
      </c>
      <c r="B8" s="67" t="s">
        <v>208</v>
      </c>
      <c r="C8" s="67" t="s">
        <v>192</v>
      </c>
      <c r="D8" s="67" t="s">
        <v>91</v>
      </c>
      <c r="E8" s="67"/>
      <c r="F8" s="67">
        <v>5</v>
      </c>
      <c r="G8" s="67">
        <v>3</v>
      </c>
      <c r="H8" s="67">
        <v>10</v>
      </c>
      <c r="I8" s="67">
        <v>3</v>
      </c>
      <c r="J8" s="67">
        <v>0</v>
      </c>
      <c r="K8" s="67">
        <v>0</v>
      </c>
      <c r="L8" s="67">
        <v>0</v>
      </c>
      <c r="M8" s="76">
        <v>10</v>
      </c>
      <c r="N8" s="67">
        <v>15</v>
      </c>
      <c r="O8" s="67">
        <v>15</v>
      </c>
      <c r="P8" s="67">
        <v>0</v>
      </c>
      <c r="Q8" s="67">
        <f t="shared" si="0"/>
        <v>61</v>
      </c>
      <c r="R8" s="69"/>
    </row>
    <row r="9" spans="1:18" s="75" customFormat="1" x14ac:dyDescent="0.25">
      <c r="A9" s="67">
        <v>6</v>
      </c>
      <c r="B9" s="67" t="s">
        <v>209</v>
      </c>
      <c r="C9" s="67" t="s">
        <v>210</v>
      </c>
      <c r="D9" s="67" t="s">
        <v>91</v>
      </c>
      <c r="E9" s="67"/>
      <c r="F9" s="67">
        <v>5</v>
      </c>
      <c r="G9" s="67">
        <v>3</v>
      </c>
      <c r="H9" s="67">
        <v>10</v>
      </c>
      <c r="I9" s="67">
        <v>3</v>
      </c>
      <c r="J9" s="67">
        <v>0</v>
      </c>
      <c r="K9" s="67">
        <v>3</v>
      </c>
      <c r="L9" s="67">
        <v>0</v>
      </c>
      <c r="M9" s="67">
        <v>10</v>
      </c>
      <c r="N9" s="67">
        <v>15</v>
      </c>
      <c r="O9" s="67">
        <v>10</v>
      </c>
      <c r="P9" s="67">
        <v>0</v>
      </c>
      <c r="Q9" s="67">
        <f t="shared" si="0"/>
        <v>59</v>
      </c>
      <c r="R9" s="69"/>
    </row>
    <row r="10" spans="1:18" s="75" customFormat="1" x14ac:dyDescent="0.25">
      <c r="A10" s="67">
        <v>7</v>
      </c>
      <c r="B10" s="67" t="s">
        <v>121</v>
      </c>
      <c r="C10" s="67" t="s">
        <v>211</v>
      </c>
      <c r="D10" s="67" t="s">
        <v>91</v>
      </c>
      <c r="E10" s="67"/>
      <c r="F10" s="67">
        <v>5</v>
      </c>
      <c r="G10" s="67">
        <v>3</v>
      </c>
      <c r="H10" s="67">
        <v>10</v>
      </c>
      <c r="I10" s="67">
        <v>0</v>
      </c>
      <c r="J10" s="67">
        <v>0</v>
      </c>
      <c r="K10" s="67">
        <v>0</v>
      </c>
      <c r="L10" s="67">
        <v>0</v>
      </c>
      <c r="M10" s="67">
        <v>10</v>
      </c>
      <c r="N10" s="67">
        <v>10</v>
      </c>
      <c r="O10" s="67">
        <v>15</v>
      </c>
      <c r="P10" s="67">
        <v>0</v>
      </c>
      <c r="Q10" s="67">
        <f t="shared" si="0"/>
        <v>53</v>
      </c>
      <c r="R10" s="69"/>
    </row>
    <row r="11" spans="1:18" s="75" customFormat="1" x14ac:dyDescent="0.25">
      <c r="A11" s="67">
        <v>8</v>
      </c>
      <c r="B11" s="67" t="s">
        <v>212</v>
      </c>
      <c r="C11" s="67" t="s">
        <v>125</v>
      </c>
      <c r="D11" s="67" t="s">
        <v>91</v>
      </c>
      <c r="E11" s="67"/>
      <c r="F11" s="67">
        <v>5</v>
      </c>
      <c r="G11" s="67">
        <v>3</v>
      </c>
      <c r="H11" s="67">
        <v>10</v>
      </c>
      <c r="I11" s="67">
        <v>3</v>
      </c>
      <c r="J11" s="67">
        <v>0</v>
      </c>
      <c r="K11" s="67">
        <v>3</v>
      </c>
      <c r="L11" s="67">
        <v>0</v>
      </c>
      <c r="M11" s="67">
        <v>10</v>
      </c>
      <c r="N11" s="67">
        <v>15</v>
      </c>
      <c r="O11" s="67">
        <v>15</v>
      </c>
      <c r="P11" s="67">
        <v>0</v>
      </c>
      <c r="Q11" s="67">
        <f t="shared" si="0"/>
        <v>64</v>
      </c>
      <c r="R11" s="69"/>
    </row>
    <row r="12" spans="1:18" s="75" customFormat="1" x14ac:dyDescent="0.25">
      <c r="A12" s="67">
        <v>9</v>
      </c>
      <c r="B12" s="67" t="s">
        <v>213</v>
      </c>
      <c r="C12" s="67" t="s">
        <v>214</v>
      </c>
      <c r="D12" s="67" t="s">
        <v>91</v>
      </c>
      <c r="E12" s="67"/>
      <c r="F12" s="67">
        <v>5</v>
      </c>
      <c r="G12" s="67">
        <v>3</v>
      </c>
      <c r="H12" s="67">
        <v>7</v>
      </c>
      <c r="I12" s="67">
        <v>3</v>
      </c>
      <c r="J12" s="67">
        <v>0</v>
      </c>
      <c r="K12" s="67">
        <v>0</v>
      </c>
      <c r="L12" s="67">
        <v>0</v>
      </c>
      <c r="M12" s="67">
        <v>10</v>
      </c>
      <c r="N12" s="67">
        <v>14</v>
      </c>
      <c r="O12" s="67">
        <v>14</v>
      </c>
      <c r="P12" s="67">
        <v>12</v>
      </c>
      <c r="Q12" s="67">
        <f t="shared" si="0"/>
        <v>68</v>
      </c>
      <c r="R12" s="69"/>
    </row>
    <row r="13" spans="1:18" s="75" customFormat="1" x14ac:dyDescent="0.25">
      <c r="A13" s="67">
        <v>10</v>
      </c>
      <c r="B13" s="67" t="s">
        <v>215</v>
      </c>
      <c r="C13" s="67" t="s">
        <v>216</v>
      </c>
      <c r="D13" s="67" t="s">
        <v>91</v>
      </c>
      <c r="E13" s="67"/>
      <c r="F13" s="67">
        <v>5</v>
      </c>
      <c r="G13" s="67">
        <v>3</v>
      </c>
      <c r="H13" s="67">
        <v>10</v>
      </c>
      <c r="I13" s="67">
        <v>0</v>
      </c>
      <c r="J13" s="67">
        <v>0</v>
      </c>
      <c r="K13" s="67">
        <v>3</v>
      </c>
      <c r="L13" s="67">
        <v>3</v>
      </c>
      <c r="M13" s="67">
        <v>10</v>
      </c>
      <c r="N13" s="67">
        <v>20</v>
      </c>
      <c r="O13" s="67">
        <v>20</v>
      </c>
      <c r="P13" s="67">
        <v>15</v>
      </c>
      <c r="Q13" s="67">
        <f t="shared" si="0"/>
        <v>89</v>
      </c>
      <c r="R13" s="69"/>
    </row>
    <row r="14" spans="1:18" s="75" customFormat="1" x14ac:dyDescent="0.25">
      <c r="A14" s="67">
        <v>11</v>
      </c>
      <c r="B14" s="67" t="s">
        <v>217</v>
      </c>
      <c r="C14" s="67" t="s">
        <v>153</v>
      </c>
      <c r="D14" s="67" t="s">
        <v>90</v>
      </c>
      <c r="E14" s="67">
        <v>32</v>
      </c>
      <c r="F14" s="67">
        <v>5</v>
      </c>
      <c r="G14" s="67">
        <v>3</v>
      </c>
      <c r="H14" s="67">
        <v>10</v>
      </c>
      <c r="I14" s="67">
        <v>0</v>
      </c>
      <c r="J14" s="67">
        <v>0</v>
      </c>
      <c r="K14" s="67">
        <v>0</v>
      </c>
      <c r="L14" s="67">
        <v>3</v>
      </c>
      <c r="M14" s="67">
        <v>10</v>
      </c>
      <c r="N14" s="67">
        <v>10</v>
      </c>
      <c r="O14" s="67">
        <v>15</v>
      </c>
      <c r="P14" s="67">
        <v>5</v>
      </c>
      <c r="Q14" s="67">
        <f t="shared" si="0"/>
        <v>61</v>
      </c>
      <c r="R14" s="69"/>
    </row>
    <row r="15" spans="1:18" s="75" customFormat="1" x14ac:dyDescent="0.25">
      <c r="A15" s="67">
        <v>12</v>
      </c>
      <c r="B15" s="67" t="s">
        <v>128</v>
      </c>
      <c r="C15" s="67" t="s">
        <v>218</v>
      </c>
      <c r="D15" s="67" t="s">
        <v>91</v>
      </c>
      <c r="E15" s="67"/>
      <c r="F15" s="67">
        <v>5</v>
      </c>
      <c r="G15" s="67">
        <v>3</v>
      </c>
      <c r="H15" s="67">
        <v>10</v>
      </c>
      <c r="I15" s="67">
        <v>3</v>
      </c>
      <c r="J15" s="67">
        <v>3</v>
      </c>
      <c r="K15" s="67">
        <v>3</v>
      </c>
      <c r="L15" s="67">
        <v>3</v>
      </c>
      <c r="M15" s="67">
        <v>10</v>
      </c>
      <c r="N15" s="67">
        <v>10</v>
      </c>
      <c r="O15" s="67">
        <v>15</v>
      </c>
      <c r="P15" s="67">
        <v>10</v>
      </c>
      <c r="Q15" s="67">
        <f t="shared" si="0"/>
        <v>75</v>
      </c>
      <c r="R15" s="69"/>
    </row>
    <row r="16" spans="1:18" s="75" customFormat="1" x14ac:dyDescent="0.25">
      <c r="A16" s="67">
        <v>13</v>
      </c>
      <c r="B16" s="67" t="s">
        <v>134</v>
      </c>
      <c r="C16" s="67" t="s">
        <v>219</v>
      </c>
      <c r="D16" s="67" t="s">
        <v>18</v>
      </c>
      <c r="E16" s="67">
        <v>33</v>
      </c>
      <c r="F16" s="67">
        <v>5</v>
      </c>
      <c r="G16" s="67">
        <v>3</v>
      </c>
      <c r="H16" s="67">
        <v>10</v>
      </c>
      <c r="I16" s="67">
        <v>3</v>
      </c>
      <c r="J16" s="67">
        <v>0</v>
      </c>
      <c r="K16" s="67">
        <v>3</v>
      </c>
      <c r="L16" s="67">
        <v>3</v>
      </c>
      <c r="M16" s="67">
        <v>10</v>
      </c>
      <c r="N16" s="67">
        <v>15</v>
      </c>
      <c r="O16" s="67">
        <v>20</v>
      </c>
      <c r="P16" s="67">
        <v>20</v>
      </c>
      <c r="Q16" s="67">
        <f t="shared" si="0"/>
        <v>92</v>
      </c>
      <c r="R16" s="69"/>
    </row>
    <row r="17" spans="1:18" s="75" customFormat="1" x14ac:dyDescent="0.25">
      <c r="A17" s="67">
        <v>14</v>
      </c>
      <c r="B17" s="67" t="s">
        <v>220</v>
      </c>
      <c r="C17" s="67" t="s">
        <v>114</v>
      </c>
      <c r="D17" s="67" t="s">
        <v>91</v>
      </c>
      <c r="E17" s="67"/>
      <c r="F17" s="67">
        <v>5</v>
      </c>
      <c r="G17" s="67">
        <v>3</v>
      </c>
      <c r="H17" s="67">
        <v>10</v>
      </c>
      <c r="I17" s="67">
        <v>3</v>
      </c>
      <c r="J17" s="67">
        <v>3</v>
      </c>
      <c r="K17" s="67">
        <v>3</v>
      </c>
      <c r="L17" s="67">
        <v>3</v>
      </c>
      <c r="M17" s="67">
        <v>10</v>
      </c>
      <c r="N17" s="67">
        <v>15</v>
      </c>
      <c r="O17" s="67">
        <v>15</v>
      </c>
      <c r="P17" s="67">
        <v>15</v>
      </c>
      <c r="Q17" s="67">
        <f t="shared" si="0"/>
        <v>85</v>
      </c>
      <c r="R17" s="69"/>
    </row>
    <row r="18" spans="1:18" s="75" customFormat="1" x14ac:dyDescent="0.25">
      <c r="A18" s="67">
        <v>15</v>
      </c>
      <c r="B18" s="67" t="s">
        <v>221</v>
      </c>
      <c r="C18" s="67" t="s">
        <v>222</v>
      </c>
      <c r="D18" s="67" t="s">
        <v>91</v>
      </c>
      <c r="E18" s="67"/>
      <c r="F18" s="67">
        <v>5</v>
      </c>
      <c r="G18" s="67">
        <v>3</v>
      </c>
      <c r="H18" s="67">
        <v>10</v>
      </c>
      <c r="I18" s="67">
        <v>3</v>
      </c>
      <c r="J18" s="67">
        <v>0</v>
      </c>
      <c r="K18" s="67">
        <v>3</v>
      </c>
      <c r="L18" s="67">
        <v>0</v>
      </c>
      <c r="M18" s="67">
        <v>10</v>
      </c>
      <c r="N18" s="67">
        <v>20</v>
      </c>
      <c r="O18" s="67">
        <v>15</v>
      </c>
      <c r="P18" s="67">
        <v>10</v>
      </c>
      <c r="Q18" s="67">
        <f t="shared" si="0"/>
        <v>79</v>
      </c>
      <c r="R18" s="69"/>
    </row>
    <row r="19" spans="1:18" s="75" customFormat="1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9"/>
    </row>
    <row r="20" spans="1:18" x14ac:dyDescent="0.2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9"/>
    </row>
    <row r="21" spans="1:18" x14ac:dyDescent="0.2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9"/>
    </row>
    <row r="22" spans="1:1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9"/>
    </row>
    <row r="23" spans="1:1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9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9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9"/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9"/>
    </row>
    <row r="27" spans="1:1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9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9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9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19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9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9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9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1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9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9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9"/>
    </row>
    <row r="41" spans="1:18" s="18" customForma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29"/>
    </row>
    <row r="42" spans="1:18" s="18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29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9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9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9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1"/>
      <c r="N46" s="4"/>
      <c r="O46" s="4"/>
      <c r="P46" s="4"/>
      <c r="Q46" s="4"/>
      <c r="R46" s="19"/>
    </row>
    <row r="47" spans="1:18" s="14" customForma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28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19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9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9"/>
    </row>
    <row r="51" spans="1:18" s="12" customForma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9"/>
    </row>
    <row r="52" spans="1:18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9"/>
    </row>
    <row r="53" spans="1:1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9"/>
    </row>
    <row r="54" spans="1:1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9"/>
    </row>
    <row r="55" spans="1: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9"/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9"/>
    </row>
    <row r="57" spans="1: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9"/>
    </row>
    <row r="58" spans="1: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9"/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9"/>
    </row>
    <row r="60" spans="1: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9"/>
    </row>
    <row r="61" spans="1: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9"/>
    </row>
    <row r="62" spans="1: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9"/>
    </row>
    <row r="63" spans="1: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9"/>
    </row>
    <row r="64" spans="1:1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9"/>
    </row>
    <row r="65" spans="1:1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9"/>
    </row>
    <row r="66" spans="1:1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9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9"/>
    </row>
    <row r="68" spans="1:1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19"/>
    </row>
    <row r="69" spans="1:1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19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9"/>
    </row>
    <row r="71" spans="1:1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9"/>
    </row>
    <row r="72" spans="1:1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9"/>
    </row>
    <row r="73" spans="1:1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9"/>
    </row>
    <row r="74" spans="1:1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9"/>
    </row>
  </sheetData>
  <sortState ref="A4:U14">
    <sortCondition descending="1" ref="Q4:Q14"/>
  </sortState>
  <mergeCells count="2">
    <mergeCell ref="A1:R1"/>
    <mergeCell ref="A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zoomScale="70" zoomScaleNormal="70" workbookViewId="0">
      <selection activeCell="Q13" sqref="Q13"/>
    </sheetView>
  </sheetViews>
  <sheetFormatPr defaultRowHeight="15" x14ac:dyDescent="0.25"/>
  <cols>
    <col min="2" max="3" width="29.140625" customWidth="1"/>
  </cols>
  <sheetData>
    <row r="1" spans="1:18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1" x14ac:dyDescent="0.35">
      <c r="A2" s="124" t="s">
        <v>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02" x14ac:dyDescent="0.25">
      <c r="A3" s="1" t="s">
        <v>6</v>
      </c>
      <c r="B3" s="2" t="s">
        <v>26</v>
      </c>
      <c r="C3" s="2" t="s">
        <v>225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1"/>
    </row>
    <row r="4" spans="1:18" s="75" customFormat="1" x14ac:dyDescent="0.25">
      <c r="A4" s="67">
        <v>1</v>
      </c>
      <c r="B4" s="67" t="s">
        <v>223</v>
      </c>
      <c r="C4" s="67" t="s">
        <v>226</v>
      </c>
      <c r="D4" s="67"/>
      <c r="E4" s="67" t="s">
        <v>7</v>
      </c>
      <c r="F4" s="67">
        <v>5</v>
      </c>
      <c r="G4" s="67">
        <v>3</v>
      </c>
      <c r="H4" s="67">
        <v>10</v>
      </c>
      <c r="I4" s="67">
        <v>0</v>
      </c>
      <c r="J4" s="67">
        <v>0</v>
      </c>
      <c r="K4" s="67">
        <v>3</v>
      </c>
      <c r="L4" s="67">
        <v>3</v>
      </c>
      <c r="M4" s="67">
        <v>10</v>
      </c>
      <c r="N4" s="67">
        <v>20</v>
      </c>
      <c r="O4" s="67">
        <v>19</v>
      </c>
      <c r="P4" s="67">
        <v>20</v>
      </c>
      <c r="Q4" s="67">
        <f t="shared" ref="Q4:Q13" si="0">SUM(F4:P4)</f>
        <v>93</v>
      </c>
      <c r="R4" s="69"/>
    </row>
    <row r="5" spans="1:18" s="75" customFormat="1" x14ac:dyDescent="0.25">
      <c r="A5" s="67">
        <v>2</v>
      </c>
      <c r="B5" s="67" t="s">
        <v>224</v>
      </c>
      <c r="C5" s="67" t="s">
        <v>227</v>
      </c>
      <c r="D5" s="67"/>
      <c r="E5" s="67" t="s">
        <v>91</v>
      </c>
      <c r="F5" s="67">
        <v>5</v>
      </c>
      <c r="G5" s="67">
        <v>3</v>
      </c>
      <c r="H5" s="67">
        <v>10</v>
      </c>
      <c r="I5" s="67">
        <v>3</v>
      </c>
      <c r="J5" s="67">
        <v>0</v>
      </c>
      <c r="K5" s="67">
        <v>0</v>
      </c>
      <c r="L5" s="67">
        <v>0</v>
      </c>
      <c r="M5" s="67">
        <v>10</v>
      </c>
      <c r="N5" s="67">
        <v>10</v>
      </c>
      <c r="O5" s="67">
        <v>15</v>
      </c>
      <c r="P5" s="67">
        <v>10</v>
      </c>
      <c r="Q5" s="67">
        <f t="shared" si="0"/>
        <v>66</v>
      </c>
      <c r="R5" s="69"/>
    </row>
    <row r="6" spans="1:18" s="75" customFormat="1" x14ac:dyDescent="0.25">
      <c r="A6" s="67">
        <v>3</v>
      </c>
      <c r="B6" s="67" t="s">
        <v>228</v>
      </c>
      <c r="C6" s="67" t="s">
        <v>172</v>
      </c>
      <c r="D6" s="67"/>
      <c r="E6" s="67" t="s">
        <v>91</v>
      </c>
      <c r="F6" s="67">
        <v>5</v>
      </c>
      <c r="G6" s="67">
        <v>3</v>
      </c>
      <c r="H6" s="67">
        <v>10</v>
      </c>
      <c r="I6" s="67">
        <v>3</v>
      </c>
      <c r="J6" s="67">
        <v>3</v>
      </c>
      <c r="K6" s="67">
        <v>0</v>
      </c>
      <c r="L6" s="67">
        <v>3</v>
      </c>
      <c r="M6" s="67">
        <v>10</v>
      </c>
      <c r="N6" s="67">
        <v>10</v>
      </c>
      <c r="O6" s="67">
        <v>20</v>
      </c>
      <c r="P6" s="67">
        <v>15</v>
      </c>
      <c r="Q6" s="67">
        <f t="shared" si="0"/>
        <v>82</v>
      </c>
      <c r="R6" s="69"/>
    </row>
    <row r="7" spans="1:18" s="75" customFormat="1" x14ac:dyDescent="0.25">
      <c r="A7" s="67">
        <v>4</v>
      </c>
      <c r="B7" s="67" t="s">
        <v>229</v>
      </c>
      <c r="C7" s="67" t="s">
        <v>230</v>
      </c>
      <c r="D7" s="67"/>
      <c r="E7" s="67" t="s">
        <v>91</v>
      </c>
      <c r="F7" s="67">
        <v>5</v>
      </c>
      <c r="G7" s="67">
        <v>3</v>
      </c>
      <c r="H7" s="67">
        <v>8</v>
      </c>
      <c r="I7" s="67">
        <v>0</v>
      </c>
      <c r="J7" s="67">
        <v>0</v>
      </c>
      <c r="K7" s="67">
        <v>0</v>
      </c>
      <c r="L7" s="67">
        <v>0</v>
      </c>
      <c r="M7" s="67">
        <v>10</v>
      </c>
      <c r="N7" s="67">
        <v>5</v>
      </c>
      <c r="O7" s="67">
        <v>8</v>
      </c>
      <c r="P7" s="67">
        <v>4</v>
      </c>
      <c r="Q7" s="67">
        <f t="shared" si="0"/>
        <v>43</v>
      </c>
      <c r="R7" s="69"/>
    </row>
    <row r="8" spans="1:18" s="75" customFormat="1" ht="75" x14ac:dyDescent="0.25">
      <c r="A8" s="67">
        <v>5</v>
      </c>
      <c r="B8" s="67" t="s">
        <v>231</v>
      </c>
      <c r="C8" s="67" t="s">
        <v>144</v>
      </c>
      <c r="D8" s="67"/>
      <c r="E8" s="67"/>
      <c r="F8" s="67">
        <v>5</v>
      </c>
      <c r="G8" s="67">
        <v>3</v>
      </c>
      <c r="H8" s="67">
        <v>0</v>
      </c>
      <c r="I8" s="67">
        <v>3</v>
      </c>
      <c r="J8" s="67">
        <v>0</v>
      </c>
      <c r="K8" s="67">
        <v>0</v>
      </c>
      <c r="L8" s="67">
        <v>3</v>
      </c>
      <c r="M8" s="67">
        <v>0</v>
      </c>
      <c r="N8" s="67">
        <v>10</v>
      </c>
      <c r="O8" s="67">
        <v>10</v>
      </c>
      <c r="P8" s="67">
        <v>10</v>
      </c>
      <c r="Q8" s="67">
        <f t="shared" si="0"/>
        <v>44</v>
      </c>
      <c r="R8" s="69" t="s">
        <v>184</v>
      </c>
    </row>
    <row r="9" spans="1:18" s="75" customFormat="1" ht="75" x14ac:dyDescent="0.25">
      <c r="A9" s="67">
        <v>6</v>
      </c>
      <c r="B9" s="67" t="s">
        <v>232</v>
      </c>
      <c r="C9" s="67" t="s">
        <v>233</v>
      </c>
      <c r="D9" s="67"/>
      <c r="E9" s="67" t="s">
        <v>91</v>
      </c>
      <c r="F9" s="67">
        <v>0</v>
      </c>
      <c r="G9" s="67">
        <v>3</v>
      </c>
      <c r="H9" s="67">
        <v>10</v>
      </c>
      <c r="I9" s="67">
        <v>3</v>
      </c>
      <c r="J9" s="67">
        <v>0</v>
      </c>
      <c r="K9" s="67">
        <v>0</v>
      </c>
      <c r="L9" s="67">
        <v>0</v>
      </c>
      <c r="M9" s="67">
        <v>10</v>
      </c>
      <c r="N9" s="67">
        <v>5</v>
      </c>
      <c r="O9" s="67">
        <v>5</v>
      </c>
      <c r="P9" s="67">
        <v>10</v>
      </c>
      <c r="Q9" s="67">
        <f t="shared" si="0"/>
        <v>46</v>
      </c>
      <c r="R9" s="69" t="s">
        <v>234</v>
      </c>
    </row>
    <row r="10" spans="1:18" s="75" customFormat="1" ht="75" x14ac:dyDescent="0.25">
      <c r="A10" s="67">
        <v>7</v>
      </c>
      <c r="B10" s="67" t="s">
        <v>235</v>
      </c>
      <c r="C10" s="67" t="s">
        <v>236</v>
      </c>
      <c r="D10" s="67"/>
      <c r="E10" s="67"/>
      <c r="F10" s="67">
        <v>5</v>
      </c>
      <c r="G10" s="67">
        <v>3</v>
      </c>
      <c r="H10" s="67">
        <v>10</v>
      </c>
      <c r="I10" s="67">
        <v>3</v>
      </c>
      <c r="J10" s="67">
        <v>0</v>
      </c>
      <c r="K10" s="67">
        <v>0</v>
      </c>
      <c r="L10" s="67">
        <v>3</v>
      </c>
      <c r="M10" s="67">
        <v>0</v>
      </c>
      <c r="N10" s="67">
        <v>5</v>
      </c>
      <c r="O10" s="67">
        <v>15</v>
      </c>
      <c r="P10" s="67">
        <v>5</v>
      </c>
      <c r="Q10" s="67">
        <f t="shared" si="0"/>
        <v>49</v>
      </c>
      <c r="R10" s="69" t="s">
        <v>184</v>
      </c>
    </row>
    <row r="11" spans="1:18" s="75" customFormat="1" x14ac:dyDescent="0.25">
      <c r="A11" s="67">
        <v>8</v>
      </c>
      <c r="B11" s="67" t="s">
        <v>237</v>
      </c>
      <c r="C11" s="67" t="s">
        <v>160</v>
      </c>
      <c r="D11" s="67"/>
      <c r="E11" s="67" t="s">
        <v>91</v>
      </c>
      <c r="F11" s="67">
        <v>5</v>
      </c>
      <c r="G11" s="67">
        <v>3</v>
      </c>
      <c r="H11" s="67">
        <v>7</v>
      </c>
      <c r="I11" s="67">
        <v>3</v>
      </c>
      <c r="J11" s="67">
        <v>1</v>
      </c>
      <c r="K11" s="67">
        <v>2</v>
      </c>
      <c r="L11" s="67">
        <v>0</v>
      </c>
      <c r="M11" s="67">
        <v>10</v>
      </c>
      <c r="N11" s="67">
        <v>16</v>
      </c>
      <c r="O11" s="67">
        <v>10</v>
      </c>
      <c r="P11" s="67">
        <v>10</v>
      </c>
      <c r="Q11" s="67">
        <f t="shared" si="0"/>
        <v>67</v>
      </c>
      <c r="R11" s="69"/>
    </row>
    <row r="12" spans="1:18" s="75" customFormat="1" x14ac:dyDescent="0.25">
      <c r="A12" s="67">
        <v>9</v>
      </c>
      <c r="B12" s="67" t="s">
        <v>124</v>
      </c>
      <c r="C12" s="67" t="s">
        <v>125</v>
      </c>
      <c r="D12" s="67"/>
      <c r="E12" s="67" t="s">
        <v>91</v>
      </c>
      <c r="F12" s="67">
        <v>5</v>
      </c>
      <c r="G12" s="67">
        <v>3</v>
      </c>
      <c r="H12" s="67">
        <v>9</v>
      </c>
      <c r="I12" s="67">
        <v>3</v>
      </c>
      <c r="J12" s="67">
        <v>0</v>
      </c>
      <c r="K12" s="67">
        <v>3</v>
      </c>
      <c r="L12" s="67">
        <v>0</v>
      </c>
      <c r="M12" s="67">
        <v>10</v>
      </c>
      <c r="N12" s="67">
        <v>20</v>
      </c>
      <c r="O12" s="67">
        <v>20</v>
      </c>
      <c r="P12" s="67">
        <v>16</v>
      </c>
      <c r="Q12" s="67">
        <f t="shared" si="0"/>
        <v>89</v>
      </c>
      <c r="R12" s="69"/>
    </row>
    <row r="13" spans="1:18" s="75" customFormat="1" x14ac:dyDescent="0.25">
      <c r="A13" s="67">
        <v>10</v>
      </c>
      <c r="B13" s="67" t="s">
        <v>238</v>
      </c>
      <c r="C13" s="67" t="s">
        <v>114</v>
      </c>
      <c r="D13" s="67"/>
      <c r="E13" s="67" t="s">
        <v>91</v>
      </c>
      <c r="F13" s="67">
        <v>5</v>
      </c>
      <c r="G13" s="67">
        <v>3</v>
      </c>
      <c r="H13" s="67">
        <v>10</v>
      </c>
      <c r="I13" s="67">
        <v>3</v>
      </c>
      <c r="J13" s="67">
        <v>3</v>
      </c>
      <c r="K13" s="67">
        <v>3</v>
      </c>
      <c r="L13" s="67">
        <v>3</v>
      </c>
      <c r="M13" s="67">
        <v>10</v>
      </c>
      <c r="N13" s="67">
        <v>18</v>
      </c>
      <c r="O13" s="67">
        <v>18</v>
      </c>
      <c r="P13" s="67">
        <v>20</v>
      </c>
      <c r="Q13" s="67">
        <f t="shared" si="0"/>
        <v>96</v>
      </c>
      <c r="R13" s="69"/>
    </row>
    <row r="14" spans="1:18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</row>
    <row r="15" spans="1:18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</row>
    <row r="16" spans="1:18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</row>
  </sheetData>
  <mergeCells count="2">
    <mergeCell ref="A1:R1"/>
    <mergeCell ref="A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view="pageBreakPreview" topLeftCell="A2" zoomScale="70" zoomScaleNormal="90" zoomScaleSheetLayoutView="70" workbookViewId="0">
      <pane ySplit="2" topLeftCell="A4" activePane="bottomLeft" state="frozen"/>
      <selection activeCell="F26" sqref="F26"/>
      <selection pane="bottomLeft" activeCell="B25" sqref="B25"/>
    </sheetView>
  </sheetViews>
  <sheetFormatPr defaultRowHeight="15" x14ac:dyDescent="0.25"/>
  <cols>
    <col min="2" max="2" width="36.7109375" customWidth="1"/>
    <col min="3" max="3" width="29.5703125" customWidth="1"/>
    <col min="16" max="16" width="28.140625" style="27" customWidth="1"/>
  </cols>
  <sheetData>
    <row r="1" spans="1:16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</row>
    <row r="2" spans="1:16" s="5" customFormat="1" ht="21" x14ac:dyDescent="0.35">
      <c r="A2" s="124" t="s">
        <v>34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</row>
    <row r="3" spans="1:16" s="3" customFormat="1" ht="108.7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1" t="s">
        <v>14</v>
      </c>
      <c r="L3" s="1" t="s">
        <v>15</v>
      </c>
      <c r="M3" s="1" t="s">
        <v>16</v>
      </c>
      <c r="N3" s="1" t="s">
        <v>13</v>
      </c>
      <c r="O3" s="21" t="s">
        <v>196</v>
      </c>
      <c r="P3" s="1" t="s">
        <v>21</v>
      </c>
    </row>
    <row r="4" spans="1:16" x14ac:dyDescent="0.25">
      <c r="A4">
        <v>1</v>
      </c>
      <c r="B4" t="s">
        <v>239</v>
      </c>
      <c r="C4" t="s">
        <v>240</v>
      </c>
      <c r="D4">
        <v>5</v>
      </c>
      <c r="E4">
        <v>3</v>
      </c>
      <c r="F4">
        <v>10</v>
      </c>
      <c r="G4">
        <v>3</v>
      </c>
      <c r="H4">
        <v>3</v>
      </c>
      <c r="I4">
        <v>3</v>
      </c>
      <c r="J4">
        <v>3</v>
      </c>
      <c r="K4">
        <v>5</v>
      </c>
      <c r="L4">
        <v>10</v>
      </c>
      <c r="M4">
        <v>5</v>
      </c>
      <c r="N4">
        <f t="shared" ref="N4:N15" si="0">SUM(D4:M4)</f>
        <v>50</v>
      </c>
      <c r="P4"/>
    </row>
    <row r="5" spans="1:16" x14ac:dyDescent="0.25">
      <c r="A5">
        <v>2</v>
      </c>
      <c r="B5" t="s">
        <v>241</v>
      </c>
      <c r="C5" t="s">
        <v>242</v>
      </c>
      <c r="D5">
        <v>5</v>
      </c>
      <c r="E5">
        <v>3</v>
      </c>
      <c r="F5">
        <v>10</v>
      </c>
      <c r="G5">
        <v>3</v>
      </c>
      <c r="H5">
        <v>3</v>
      </c>
      <c r="I5">
        <v>3</v>
      </c>
      <c r="J5">
        <v>3</v>
      </c>
      <c r="K5">
        <v>15</v>
      </c>
      <c r="L5">
        <v>15</v>
      </c>
      <c r="M5">
        <v>10</v>
      </c>
      <c r="N5">
        <f t="shared" si="0"/>
        <v>70</v>
      </c>
      <c r="P5"/>
    </row>
    <row r="6" spans="1:16" x14ac:dyDescent="0.25">
      <c r="A6">
        <v>3</v>
      </c>
      <c r="B6" t="s">
        <v>243</v>
      </c>
      <c r="C6" t="s">
        <v>244</v>
      </c>
      <c r="D6">
        <v>5</v>
      </c>
      <c r="E6">
        <v>3</v>
      </c>
      <c r="F6">
        <v>10</v>
      </c>
      <c r="G6">
        <v>3</v>
      </c>
      <c r="H6">
        <v>0</v>
      </c>
      <c r="I6">
        <v>0</v>
      </c>
      <c r="J6">
        <v>3</v>
      </c>
      <c r="K6">
        <v>15</v>
      </c>
      <c r="L6">
        <v>15</v>
      </c>
      <c r="M6">
        <v>10</v>
      </c>
      <c r="N6">
        <f t="shared" si="0"/>
        <v>64</v>
      </c>
      <c r="P6"/>
    </row>
    <row r="7" spans="1:16" x14ac:dyDescent="0.25">
      <c r="A7">
        <v>4</v>
      </c>
      <c r="B7" t="s">
        <v>119</v>
      </c>
      <c r="C7" t="s">
        <v>193</v>
      </c>
      <c r="D7">
        <v>5</v>
      </c>
      <c r="E7">
        <v>3</v>
      </c>
      <c r="F7">
        <v>10</v>
      </c>
      <c r="G7">
        <v>3</v>
      </c>
      <c r="H7">
        <v>0</v>
      </c>
      <c r="I7">
        <v>3</v>
      </c>
      <c r="J7">
        <v>0</v>
      </c>
      <c r="K7">
        <v>15</v>
      </c>
      <c r="L7">
        <v>15</v>
      </c>
      <c r="M7">
        <v>20</v>
      </c>
      <c r="N7">
        <f t="shared" si="0"/>
        <v>74</v>
      </c>
      <c r="P7"/>
    </row>
    <row r="8" spans="1:16" x14ac:dyDescent="0.25">
      <c r="A8">
        <v>5</v>
      </c>
      <c r="B8" t="s">
        <v>117</v>
      </c>
      <c r="C8" t="s">
        <v>245</v>
      </c>
      <c r="D8">
        <v>5</v>
      </c>
      <c r="E8">
        <v>0</v>
      </c>
      <c r="F8">
        <v>10</v>
      </c>
      <c r="G8">
        <v>3</v>
      </c>
      <c r="H8">
        <v>0</v>
      </c>
      <c r="I8">
        <v>0</v>
      </c>
      <c r="J8">
        <v>0</v>
      </c>
      <c r="K8">
        <v>10</v>
      </c>
      <c r="L8">
        <v>10</v>
      </c>
      <c r="M8">
        <v>10</v>
      </c>
      <c r="N8" s="108">
        <f t="shared" si="0"/>
        <v>48</v>
      </c>
      <c r="P8"/>
    </row>
    <row r="9" spans="1:16" x14ac:dyDescent="0.25">
      <c r="A9">
        <v>6</v>
      </c>
      <c r="B9" t="s">
        <v>246</v>
      </c>
      <c r="C9" t="s">
        <v>172</v>
      </c>
      <c r="D9">
        <v>5</v>
      </c>
      <c r="E9">
        <v>3</v>
      </c>
      <c r="F9">
        <v>10</v>
      </c>
      <c r="G9">
        <v>3</v>
      </c>
      <c r="H9">
        <v>0</v>
      </c>
      <c r="I9">
        <v>0</v>
      </c>
      <c r="J9">
        <v>3</v>
      </c>
      <c r="K9">
        <v>10</v>
      </c>
      <c r="L9">
        <v>20</v>
      </c>
      <c r="M9">
        <v>20</v>
      </c>
      <c r="N9" s="108">
        <f t="shared" si="0"/>
        <v>74</v>
      </c>
      <c r="P9"/>
    </row>
    <row r="10" spans="1:16" x14ac:dyDescent="0.25">
      <c r="A10">
        <v>7</v>
      </c>
      <c r="B10" t="s">
        <v>128</v>
      </c>
      <c r="C10" t="s">
        <v>247</v>
      </c>
      <c r="D10">
        <v>5</v>
      </c>
      <c r="E10">
        <v>3</v>
      </c>
      <c r="F10">
        <v>8</v>
      </c>
      <c r="G10">
        <v>3</v>
      </c>
      <c r="H10">
        <v>3</v>
      </c>
      <c r="I10">
        <v>3</v>
      </c>
      <c r="J10">
        <v>3</v>
      </c>
      <c r="K10">
        <v>15</v>
      </c>
      <c r="L10">
        <v>15</v>
      </c>
      <c r="M10">
        <v>10</v>
      </c>
      <c r="N10" s="108">
        <f t="shared" si="0"/>
        <v>68</v>
      </c>
      <c r="P10"/>
    </row>
    <row r="11" spans="1:16" x14ac:dyDescent="0.25">
      <c r="A11">
        <v>8</v>
      </c>
      <c r="B11" t="s">
        <v>248</v>
      </c>
      <c r="C11" t="s">
        <v>250</v>
      </c>
      <c r="D11">
        <v>5</v>
      </c>
      <c r="E11">
        <v>3</v>
      </c>
      <c r="F11">
        <v>10</v>
      </c>
      <c r="G11">
        <v>3</v>
      </c>
      <c r="H11">
        <v>3</v>
      </c>
      <c r="I11">
        <v>3</v>
      </c>
      <c r="J11">
        <v>3</v>
      </c>
      <c r="K11">
        <v>10</v>
      </c>
      <c r="L11">
        <v>20</v>
      </c>
      <c r="M11">
        <v>10</v>
      </c>
      <c r="N11" s="108">
        <f t="shared" si="0"/>
        <v>70</v>
      </c>
      <c r="P11"/>
    </row>
    <row r="12" spans="1:16" x14ac:dyDescent="0.25">
      <c r="A12">
        <v>9</v>
      </c>
      <c r="B12" t="s">
        <v>249</v>
      </c>
      <c r="C12" t="s">
        <v>251</v>
      </c>
      <c r="D12">
        <v>5</v>
      </c>
      <c r="E12">
        <v>3</v>
      </c>
      <c r="F12">
        <v>10</v>
      </c>
      <c r="G12">
        <v>3</v>
      </c>
      <c r="H12">
        <v>3</v>
      </c>
      <c r="I12">
        <v>3</v>
      </c>
      <c r="J12">
        <v>0</v>
      </c>
      <c r="K12">
        <v>20</v>
      </c>
      <c r="L12">
        <v>20</v>
      </c>
      <c r="M12">
        <v>20</v>
      </c>
      <c r="N12" s="108">
        <f t="shared" si="0"/>
        <v>87</v>
      </c>
      <c r="P12"/>
    </row>
    <row r="13" spans="1:16" x14ac:dyDescent="0.25">
      <c r="A13">
        <v>10</v>
      </c>
      <c r="B13" t="s">
        <v>201</v>
      </c>
      <c r="C13" t="s">
        <v>202</v>
      </c>
      <c r="D13">
        <v>5</v>
      </c>
      <c r="E13">
        <v>3</v>
      </c>
      <c r="F13">
        <v>8</v>
      </c>
      <c r="G13">
        <v>3</v>
      </c>
      <c r="H13">
        <v>0</v>
      </c>
      <c r="I13">
        <v>0</v>
      </c>
      <c r="J13">
        <v>3</v>
      </c>
      <c r="K13">
        <v>15</v>
      </c>
      <c r="L13">
        <v>10</v>
      </c>
      <c r="M13">
        <v>10</v>
      </c>
      <c r="N13" s="108">
        <f t="shared" si="0"/>
        <v>57</v>
      </c>
      <c r="P13"/>
    </row>
    <row r="14" spans="1:16" x14ac:dyDescent="0.25">
      <c r="A14">
        <v>11</v>
      </c>
      <c r="B14" t="s">
        <v>252</v>
      </c>
      <c r="C14" t="s">
        <v>253</v>
      </c>
      <c r="D14">
        <v>5</v>
      </c>
      <c r="E14">
        <v>3</v>
      </c>
      <c r="F14">
        <v>10</v>
      </c>
      <c r="G14">
        <v>3</v>
      </c>
      <c r="H14">
        <v>3</v>
      </c>
      <c r="I14">
        <v>3</v>
      </c>
      <c r="J14">
        <v>0</v>
      </c>
      <c r="K14">
        <v>20</v>
      </c>
      <c r="L14">
        <v>20</v>
      </c>
      <c r="M14">
        <v>20</v>
      </c>
      <c r="N14" s="108">
        <f t="shared" si="0"/>
        <v>87</v>
      </c>
      <c r="P14"/>
    </row>
    <row r="15" spans="1:16" x14ac:dyDescent="0.25">
      <c r="A15">
        <v>12</v>
      </c>
      <c r="B15" t="s">
        <v>111</v>
      </c>
      <c r="C15" t="s">
        <v>160</v>
      </c>
      <c r="D15">
        <v>5</v>
      </c>
      <c r="E15">
        <v>3</v>
      </c>
      <c r="F15">
        <v>10</v>
      </c>
      <c r="G15">
        <v>3</v>
      </c>
      <c r="H15">
        <v>0</v>
      </c>
      <c r="I15">
        <v>3</v>
      </c>
      <c r="J15">
        <v>0</v>
      </c>
      <c r="K15">
        <v>10</v>
      </c>
      <c r="L15">
        <v>10</v>
      </c>
      <c r="M15">
        <v>5</v>
      </c>
      <c r="N15" s="108">
        <f t="shared" si="0"/>
        <v>49</v>
      </c>
      <c r="P15"/>
    </row>
    <row r="16" spans="1:16" x14ac:dyDescent="0.25">
      <c r="P16"/>
    </row>
    <row r="17" spans="1:18" x14ac:dyDescent="0.25">
      <c r="P17"/>
    </row>
    <row r="18" spans="1:18" x14ac:dyDescent="0.25">
      <c r="P18"/>
    </row>
    <row r="19" spans="1:18" x14ac:dyDescent="0.25">
      <c r="P19"/>
    </row>
    <row r="20" spans="1:18" s="59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8" x14ac:dyDescent="0.25">
      <c r="P21"/>
    </row>
    <row r="22" spans="1:18" x14ac:dyDescent="0.25">
      <c r="P22"/>
    </row>
    <row r="23" spans="1:18" x14ac:dyDescent="0.25">
      <c r="P23"/>
    </row>
    <row r="24" spans="1:18" x14ac:dyDescent="0.25">
      <c r="P24"/>
    </row>
    <row r="25" spans="1:18" x14ac:dyDescent="0.25">
      <c r="P25"/>
    </row>
    <row r="26" spans="1:18" x14ac:dyDescent="0.25">
      <c r="P26"/>
    </row>
    <row r="27" spans="1:18" s="14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P28"/>
    </row>
    <row r="29" spans="1:18" x14ac:dyDescent="0.25">
      <c r="P29"/>
    </row>
    <row r="30" spans="1:18" x14ac:dyDescent="0.25">
      <c r="P30"/>
    </row>
    <row r="31" spans="1:18" x14ac:dyDescent="0.25">
      <c r="P31"/>
    </row>
    <row r="32" spans="1:18" x14ac:dyDescent="0.25">
      <c r="P32"/>
    </row>
    <row r="33" spans="1:17" s="75" customForma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s="75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 s="75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s="75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 s="75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 x14ac:dyDescent="0.25">
      <c r="P38"/>
    </row>
    <row r="39" spans="1:17" ht="18" customHeight="1" x14ac:dyDescent="0.25">
      <c r="P39"/>
    </row>
    <row r="40" spans="1:17" s="70" customForma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2"/>
      <c r="P40" s="19"/>
    </row>
    <row r="41" spans="1:17" s="70" customForma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8"/>
      <c r="P41" s="69"/>
    </row>
    <row r="42" spans="1:17" s="59" customFormat="1" x14ac:dyDescent="0.2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8"/>
      <c r="P42" s="60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2"/>
      <c r="P43" s="19"/>
    </row>
    <row r="44" spans="1:17" s="63" customForma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5"/>
      <c r="P44" s="66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2"/>
      <c r="P45" s="19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2"/>
      <c r="P46" s="19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/>
      <c r="P47" s="19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2"/>
      <c r="P48" s="19"/>
    </row>
    <row r="49" spans="1:16" x14ac:dyDescent="0.25">
      <c r="A49" s="1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2"/>
      <c r="P49" s="19"/>
    </row>
    <row r="50" spans="1:16" x14ac:dyDescent="0.25">
      <c r="A50" s="1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2"/>
      <c r="P50" s="19"/>
    </row>
    <row r="51" spans="1:16" x14ac:dyDescent="0.25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2"/>
      <c r="P51" s="19"/>
    </row>
    <row r="52" spans="1:16" x14ac:dyDescent="0.25">
      <c r="A52" s="1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2"/>
      <c r="P52" s="19"/>
    </row>
    <row r="53" spans="1:16" x14ac:dyDescent="0.25">
      <c r="A53" s="1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2"/>
      <c r="P53" s="19"/>
    </row>
    <row r="54" spans="1:16" x14ac:dyDescent="0.25">
      <c r="A54" s="1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2"/>
      <c r="P54" s="19"/>
    </row>
  </sheetData>
  <sortState ref="A33:R40">
    <sortCondition descending="1" ref="N33:N40"/>
  </sortState>
  <mergeCells count="2">
    <mergeCell ref="A1:P1"/>
    <mergeCell ref="A2:P2"/>
  </mergeCells>
  <pageMargins left="0.7" right="0.7" top="0.75" bottom="0.75" header="0.3" footer="0.3"/>
  <pageSetup paperSize="8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A7" sqref="A7:T49"/>
    </sheetView>
  </sheetViews>
  <sheetFormatPr defaultRowHeight="15" x14ac:dyDescent="0.25"/>
  <sheetData>
    <row r="1" spans="1:17" s="3" customFormat="1" ht="119.25" customHeight="1" x14ac:dyDescent="0.25">
      <c r="A1" s="1" t="s">
        <v>6</v>
      </c>
      <c r="B1" s="2" t="s">
        <v>26</v>
      </c>
      <c r="C1" s="2" t="s">
        <v>1</v>
      </c>
      <c r="D1" s="1" t="s">
        <v>23</v>
      </c>
      <c r="E1" s="1" t="s">
        <v>3</v>
      </c>
      <c r="F1" s="1" t="s">
        <v>8</v>
      </c>
      <c r="G1" s="1" t="s">
        <v>27</v>
      </c>
      <c r="H1" s="1" t="s">
        <v>4</v>
      </c>
      <c r="I1" s="1" t="s">
        <v>9</v>
      </c>
      <c r="J1" s="2" t="s">
        <v>10</v>
      </c>
      <c r="K1" s="2" t="s">
        <v>11</v>
      </c>
      <c r="L1" s="1" t="s">
        <v>104</v>
      </c>
      <c r="M1" s="1" t="s">
        <v>14</v>
      </c>
      <c r="N1" s="1" t="s">
        <v>15</v>
      </c>
      <c r="O1" s="1" t="s">
        <v>16</v>
      </c>
      <c r="P1" s="1" t="s">
        <v>13</v>
      </c>
      <c r="Q1" s="1" t="s">
        <v>21</v>
      </c>
    </row>
    <row r="2" spans="1:17" s="75" customFormat="1" x14ac:dyDescent="0.25">
      <c r="A2" s="72">
        <v>1</v>
      </c>
      <c r="B2" s="72" t="s">
        <v>102</v>
      </c>
      <c r="C2" s="72" t="s">
        <v>103</v>
      </c>
      <c r="D2" s="72">
        <v>5</v>
      </c>
      <c r="E2" s="72">
        <v>3</v>
      </c>
      <c r="F2" s="72">
        <v>10</v>
      </c>
      <c r="G2" s="72">
        <v>3</v>
      </c>
      <c r="H2" s="72">
        <v>3</v>
      </c>
      <c r="I2" s="72">
        <v>3</v>
      </c>
      <c r="J2" s="72">
        <v>0</v>
      </c>
      <c r="K2" s="72">
        <v>0</v>
      </c>
      <c r="L2" s="72">
        <v>5</v>
      </c>
      <c r="M2" s="72">
        <v>9</v>
      </c>
      <c r="N2" s="72">
        <v>12</v>
      </c>
      <c r="O2" s="72">
        <v>15</v>
      </c>
      <c r="P2" s="72">
        <f>SUM(D2:O2)+12</f>
        <v>80</v>
      </c>
      <c r="Q2" s="74"/>
    </row>
    <row r="3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9"/>
    </row>
    <row r="4" spans="1:17" s="70" customFormat="1" x14ac:dyDescent="0.25"/>
    <row r="5" spans="1:17" s="70" customFormat="1" x14ac:dyDescent="0.25"/>
    <row r="6" spans="1:17" s="70" customFormat="1" x14ac:dyDescent="0.25"/>
    <row r="7" spans="1:17" s="70" customFormat="1" x14ac:dyDescent="0.25"/>
    <row r="8" spans="1:17" s="70" customFormat="1" x14ac:dyDescent="0.25"/>
    <row r="9" spans="1:17" s="70" customFormat="1" x14ac:dyDescent="0.25"/>
    <row r="10" spans="1:17" s="70" customFormat="1" x14ac:dyDescent="0.25"/>
    <row r="11" spans="1:17" s="70" customFormat="1" x14ac:dyDescent="0.25"/>
    <row r="12" spans="1:17" s="70" customFormat="1" x14ac:dyDescent="0.25"/>
    <row r="13" spans="1:17" s="70" customFormat="1" x14ac:dyDescent="0.25"/>
    <row r="14" spans="1:17" s="70" customFormat="1" x14ac:dyDescent="0.25"/>
    <row r="15" spans="1:17" s="70" customFormat="1" x14ac:dyDescent="0.25"/>
    <row r="16" spans="1:17" s="70" customFormat="1" x14ac:dyDescent="0.25"/>
    <row r="17" s="70" customFormat="1" x14ac:dyDescent="0.25"/>
    <row r="18" s="70" customFormat="1" x14ac:dyDescent="0.25"/>
    <row r="19" s="70" customFormat="1" x14ac:dyDescent="0.25"/>
    <row r="20" s="70" customFormat="1" x14ac:dyDescent="0.25"/>
    <row r="21" s="70" customFormat="1" x14ac:dyDescent="0.25"/>
    <row r="22" s="70" customFormat="1" x14ac:dyDescent="0.25"/>
    <row r="23" s="70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46"/>
  <sheetViews>
    <sheetView workbookViewId="0">
      <selection activeCell="M16" sqref="M16"/>
    </sheetView>
  </sheetViews>
  <sheetFormatPr defaultRowHeight="15" x14ac:dyDescent="0.25"/>
  <cols>
    <col min="2" max="2" width="17.28515625" customWidth="1"/>
    <col min="3" max="3" width="14.28515625" customWidth="1"/>
  </cols>
  <sheetData>
    <row r="4" spans="1:20" ht="21" x14ac:dyDescent="0.35">
      <c r="A4" s="124" t="s">
        <v>325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5"/>
      <c r="T4" s="5"/>
    </row>
    <row r="5" spans="1:20" ht="21" x14ac:dyDescent="0.35">
      <c r="A5" s="124" t="s">
        <v>36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5"/>
      <c r="T5" s="5"/>
    </row>
    <row r="6" spans="1:20" ht="110.25" x14ac:dyDescent="0.25">
      <c r="A6" s="1" t="s">
        <v>6</v>
      </c>
      <c r="B6" s="2" t="s">
        <v>26</v>
      </c>
      <c r="C6" s="2" t="s">
        <v>1</v>
      </c>
      <c r="D6" s="1" t="s">
        <v>23</v>
      </c>
      <c r="E6" s="1" t="s">
        <v>3</v>
      </c>
      <c r="F6" s="1" t="s">
        <v>8</v>
      </c>
      <c r="G6" s="1" t="s">
        <v>27</v>
      </c>
      <c r="H6" s="1" t="s">
        <v>4</v>
      </c>
      <c r="I6" s="1" t="s">
        <v>9</v>
      </c>
      <c r="J6" s="2" t="s">
        <v>10</v>
      </c>
      <c r="K6" s="2" t="s">
        <v>11</v>
      </c>
      <c r="L6" s="1" t="s">
        <v>12</v>
      </c>
      <c r="M6" s="1" t="s">
        <v>14</v>
      </c>
      <c r="N6" s="1" t="s">
        <v>15</v>
      </c>
      <c r="O6" s="1" t="s">
        <v>16</v>
      </c>
      <c r="P6" s="1" t="s">
        <v>13</v>
      </c>
      <c r="Q6" s="26" t="s">
        <v>40</v>
      </c>
      <c r="R6" s="1" t="s">
        <v>21</v>
      </c>
      <c r="S6" s="3"/>
      <c r="T6" s="3"/>
    </row>
    <row r="7" spans="1:20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8"/>
      <c r="R7" s="69"/>
      <c r="S7" s="70"/>
      <c r="T7" s="70"/>
    </row>
    <row r="8" spans="1:20" x14ac:dyDescent="0.25">
      <c r="A8" s="67">
        <v>1</v>
      </c>
      <c r="B8" s="67" t="s">
        <v>340</v>
      </c>
      <c r="C8" s="67" t="s">
        <v>341</v>
      </c>
      <c r="D8" s="67">
        <v>5</v>
      </c>
      <c r="E8" s="67">
        <v>3</v>
      </c>
      <c r="F8" s="67">
        <v>10</v>
      </c>
      <c r="G8" s="67">
        <v>3</v>
      </c>
      <c r="H8" s="67">
        <v>0</v>
      </c>
      <c r="I8" s="67">
        <v>3</v>
      </c>
      <c r="J8" s="67">
        <v>3</v>
      </c>
      <c r="K8" s="67"/>
      <c r="L8" s="67"/>
      <c r="M8" s="67">
        <v>10</v>
      </c>
      <c r="N8" s="67">
        <v>15</v>
      </c>
      <c r="O8" s="67">
        <v>5</v>
      </c>
      <c r="P8" s="67">
        <f>SUM(D8:O8)</f>
        <v>57</v>
      </c>
      <c r="Q8" s="68"/>
      <c r="R8" s="69"/>
      <c r="S8" s="70"/>
      <c r="T8" s="70"/>
    </row>
    <row r="9" spans="1:20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8"/>
      <c r="R9" s="69"/>
      <c r="S9" s="70"/>
      <c r="T9" s="70"/>
    </row>
    <row r="10" spans="1:20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8"/>
      <c r="R10" s="69"/>
      <c r="S10" s="70"/>
      <c r="T10" s="70"/>
    </row>
    <row r="11" spans="1:20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8"/>
      <c r="S11" s="94"/>
      <c r="T11" s="70"/>
    </row>
    <row r="12" spans="1:20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  <c r="R12" s="69"/>
      <c r="S12" s="70"/>
      <c r="T12" s="70"/>
    </row>
    <row r="13" spans="1:20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76"/>
      <c r="P13" s="67"/>
      <c r="Q13" s="68"/>
      <c r="R13" s="69"/>
      <c r="S13" s="67"/>
      <c r="T13" s="70"/>
    </row>
    <row r="14" spans="1:2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2"/>
      <c r="R14" s="19"/>
    </row>
    <row r="15" spans="1:2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2"/>
      <c r="R15" s="19"/>
    </row>
    <row r="16" spans="1:20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8"/>
      <c r="R16" s="60"/>
      <c r="S16" s="59"/>
      <c r="T16" s="59"/>
    </row>
    <row r="17" spans="1:2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2"/>
      <c r="R17" s="19"/>
    </row>
    <row r="18" spans="1:2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2"/>
      <c r="R18" s="19"/>
    </row>
    <row r="19" spans="1:2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2"/>
      <c r="R19" s="19"/>
    </row>
    <row r="20" spans="1:2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2"/>
      <c r="R20" s="19"/>
    </row>
    <row r="21" spans="1:20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36"/>
      <c r="M21" s="13"/>
      <c r="N21" s="13"/>
      <c r="O21" s="13"/>
      <c r="P21" s="13"/>
      <c r="Q21" s="23"/>
      <c r="R21" s="28"/>
      <c r="S21" s="14"/>
      <c r="T21" s="14"/>
    </row>
    <row r="22" spans="1:2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0"/>
      <c r="M22" s="4"/>
      <c r="N22" s="4"/>
      <c r="O22" s="4"/>
      <c r="P22" s="4"/>
      <c r="Q22" s="22"/>
      <c r="R22" s="19"/>
    </row>
    <row r="23" spans="1:2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2"/>
      <c r="R23" s="19"/>
    </row>
    <row r="24" spans="1:2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2"/>
      <c r="R24" s="19"/>
    </row>
    <row r="25" spans="1:2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22"/>
      <c r="R25" s="19"/>
    </row>
    <row r="26" spans="1:2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2"/>
      <c r="R26" s="19"/>
    </row>
    <row r="27" spans="1:2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2"/>
      <c r="R27" s="19"/>
    </row>
    <row r="28" spans="1:2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2"/>
      <c r="R28" s="19"/>
    </row>
    <row r="29" spans="1:2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2"/>
      <c r="R29" s="19"/>
    </row>
    <row r="30" spans="1:2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22"/>
      <c r="R30" s="19"/>
    </row>
    <row r="31" spans="1:2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2"/>
      <c r="R31" s="19"/>
    </row>
    <row r="32" spans="1:2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22"/>
      <c r="R32" s="19"/>
    </row>
    <row r="33" spans="1:2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2"/>
      <c r="R33" s="19"/>
    </row>
    <row r="34" spans="1:2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2"/>
      <c r="R34" s="19"/>
    </row>
    <row r="35" spans="1:2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2"/>
      <c r="R35" s="19"/>
    </row>
    <row r="36" spans="1:2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2"/>
      <c r="R36" s="19"/>
    </row>
    <row r="37" spans="1:2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2"/>
      <c r="R37" s="19"/>
    </row>
    <row r="38" spans="1:2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2"/>
      <c r="R38" s="19"/>
    </row>
    <row r="39" spans="1:2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22"/>
      <c r="R39" s="19"/>
    </row>
    <row r="40" spans="1:2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2"/>
      <c r="R40" s="19"/>
    </row>
    <row r="41" spans="1:2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2"/>
      <c r="R41" s="19"/>
    </row>
    <row r="42" spans="1:20" x14ac:dyDescent="0.2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8"/>
      <c r="R42" s="60"/>
      <c r="S42" s="59"/>
      <c r="T42" s="59"/>
    </row>
    <row r="43" spans="1:2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22"/>
      <c r="R43" s="19"/>
    </row>
    <row r="44" spans="1:2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22"/>
      <c r="R44" s="19"/>
    </row>
    <row r="45" spans="1:2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4"/>
      <c r="N45" s="4"/>
      <c r="O45" s="4"/>
      <c r="P45" s="4"/>
      <c r="Q45" s="22"/>
      <c r="R45" s="19"/>
    </row>
    <row r="46" spans="1:20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4"/>
      <c r="R46" s="52"/>
      <c r="S46" s="35"/>
      <c r="T46" s="35"/>
    </row>
  </sheetData>
  <mergeCells count="2">
    <mergeCell ref="A4:R4"/>
    <mergeCell ref="A5:R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view="pageBreakPreview" zoomScale="70" zoomScaleNormal="100" zoomScaleSheetLayoutView="70" workbookViewId="0">
      <selection activeCell="Y6" sqref="Y6"/>
    </sheetView>
  </sheetViews>
  <sheetFormatPr defaultRowHeight="15" x14ac:dyDescent="0.25"/>
  <cols>
    <col min="2" max="2" width="32.5703125" customWidth="1"/>
    <col min="3" max="3" width="19" customWidth="1"/>
    <col min="7" max="7" width="8.28515625" customWidth="1"/>
    <col min="18" max="18" width="31" style="27" customWidth="1"/>
  </cols>
  <sheetData>
    <row r="1" spans="1:19" s="5" customFormat="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9" s="5" customFormat="1" ht="21" x14ac:dyDescent="0.35">
      <c r="A2" s="124" t="s">
        <v>41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9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6" t="s">
        <v>376</v>
      </c>
      <c r="R3" s="1" t="s">
        <v>21</v>
      </c>
    </row>
    <row r="4" spans="1:19" s="70" customFormat="1" x14ac:dyDescent="0.25">
      <c r="A4" s="67">
        <v>1</v>
      </c>
      <c r="B4" s="67" t="s">
        <v>377</v>
      </c>
      <c r="C4" s="67" t="s">
        <v>375</v>
      </c>
      <c r="D4" s="67">
        <v>5</v>
      </c>
      <c r="E4" s="67">
        <v>3</v>
      </c>
      <c r="F4" s="67">
        <v>10</v>
      </c>
      <c r="G4" s="67">
        <v>0</v>
      </c>
      <c r="H4" s="67">
        <v>0</v>
      </c>
      <c r="I4" s="67">
        <v>0</v>
      </c>
      <c r="J4" s="67">
        <v>0</v>
      </c>
      <c r="K4" s="67">
        <v>3</v>
      </c>
      <c r="L4" s="67">
        <v>0</v>
      </c>
      <c r="M4" s="67">
        <v>10</v>
      </c>
      <c r="N4" s="67">
        <v>10</v>
      </c>
      <c r="O4" s="67">
        <v>10</v>
      </c>
      <c r="P4" s="67">
        <f t="shared" ref="P4:P17" si="0">SUM(D4:O4)</f>
        <v>51</v>
      </c>
      <c r="Q4" s="68"/>
      <c r="R4" s="69"/>
    </row>
    <row r="5" spans="1:19" s="70" customFormat="1" x14ac:dyDescent="0.25">
      <c r="A5" s="67">
        <v>2</v>
      </c>
      <c r="B5" s="67" t="s">
        <v>71</v>
      </c>
      <c r="C5" s="67" t="s">
        <v>68</v>
      </c>
      <c r="D5" s="67">
        <v>5</v>
      </c>
      <c r="E5" s="67">
        <v>3</v>
      </c>
      <c r="F5" s="67">
        <v>10</v>
      </c>
      <c r="G5" s="67">
        <v>3</v>
      </c>
      <c r="H5" s="67">
        <v>3</v>
      </c>
      <c r="I5" s="67">
        <v>3</v>
      </c>
      <c r="J5" s="67">
        <v>0</v>
      </c>
      <c r="K5" s="67">
        <v>0</v>
      </c>
      <c r="L5" s="67"/>
      <c r="M5" s="67">
        <v>10</v>
      </c>
      <c r="N5" s="67">
        <v>5</v>
      </c>
      <c r="O5" s="67">
        <v>5</v>
      </c>
      <c r="P5" s="67">
        <f t="shared" si="0"/>
        <v>47</v>
      </c>
      <c r="Q5" s="68"/>
      <c r="R5" s="69"/>
    </row>
    <row r="6" spans="1:19" s="70" customFormat="1" x14ac:dyDescent="0.25">
      <c r="A6" s="67">
        <v>3</v>
      </c>
      <c r="B6" s="70" t="s">
        <v>378</v>
      </c>
      <c r="C6" s="70" t="s">
        <v>379</v>
      </c>
      <c r="D6" s="70">
        <v>5</v>
      </c>
      <c r="E6" s="70">
        <v>3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M6" s="70">
        <v>5</v>
      </c>
      <c r="N6" s="70">
        <v>0</v>
      </c>
      <c r="O6" s="70">
        <v>5</v>
      </c>
      <c r="P6" s="70">
        <f t="shared" si="0"/>
        <v>18</v>
      </c>
      <c r="R6" s="69"/>
    </row>
    <row r="7" spans="1:19" s="70" customFormat="1" x14ac:dyDescent="0.25">
      <c r="A7" s="67">
        <v>4</v>
      </c>
      <c r="B7" s="70" t="s">
        <v>380</v>
      </c>
      <c r="C7" s="70" t="s">
        <v>381</v>
      </c>
      <c r="D7" s="67">
        <v>5</v>
      </c>
      <c r="E7" s="67">
        <v>3</v>
      </c>
      <c r="F7" s="67">
        <v>10</v>
      </c>
      <c r="G7" s="67">
        <v>3</v>
      </c>
      <c r="H7" s="67">
        <v>3</v>
      </c>
      <c r="I7" s="67">
        <v>3</v>
      </c>
      <c r="J7" s="67">
        <v>0</v>
      </c>
      <c r="K7" s="67">
        <v>3</v>
      </c>
      <c r="L7" s="67"/>
      <c r="M7" s="67">
        <v>20</v>
      </c>
      <c r="N7" s="67">
        <v>15</v>
      </c>
      <c r="O7" s="67">
        <v>15</v>
      </c>
      <c r="P7" s="67">
        <f t="shared" si="0"/>
        <v>80</v>
      </c>
      <c r="Q7" s="68"/>
      <c r="R7" s="69"/>
    </row>
    <row r="8" spans="1:19" s="70" customFormat="1" ht="15" customHeight="1" x14ac:dyDescent="0.25">
      <c r="A8" s="67">
        <v>5</v>
      </c>
      <c r="B8" s="67" t="s">
        <v>382</v>
      </c>
      <c r="C8" s="67" t="s">
        <v>383</v>
      </c>
      <c r="D8" s="67">
        <v>5</v>
      </c>
      <c r="E8" s="67">
        <v>3</v>
      </c>
      <c r="F8" s="67">
        <v>10</v>
      </c>
      <c r="G8" s="67">
        <v>0</v>
      </c>
      <c r="H8" s="67">
        <v>0</v>
      </c>
      <c r="I8" s="67">
        <v>3</v>
      </c>
      <c r="J8" s="67">
        <v>0</v>
      </c>
      <c r="K8" s="67">
        <v>0</v>
      </c>
      <c r="L8" s="67"/>
      <c r="M8" s="67">
        <v>15</v>
      </c>
      <c r="N8" s="67">
        <v>10</v>
      </c>
      <c r="O8" s="67">
        <v>10</v>
      </c>
      <c r="P8" s="67">
        <f t="shared" si="0"/>
        <v>56</v>
      </c>
      <c r="Q8" s="67"/>
      <c r="R8" s="68"/>
      <c r="S8" s="94"/>
    </row>
    <row r="9" spans="1:19" s="70" customFormat="1" x14ac:dyDescent="0.25">
      <c r="A9" s="67">
        <v>6</v>
      </c>
      <c r="B9" s="67" t="s">
        <v>384</v>
      </c>
      <c r="C9" s="67" t="s">
        <v>385</v>
      </c>
      <c r="D9" s="67">
        <v>5</v>
      </c>
      <c r="E9" s="67">
        <v>3</v>
      </c>
      <c r="F9" s="67">
        <v>10</v>
      </c>
      <c r="G9" s="67">
        <v>3</v>
      </c>
      <c r="H9" s="67">
        <v>3</v>
      </c>
      <c r="I9" s="67">
        <v>3</v>
      </c>
      <c r="J9" s="67">
        <v>0</v>
      </c>
      <c r="K9" s="67">
        <v>0</v>
      </c>
      <c r="L9" s="67"/>
      <c r="M9" s="67">
        <v>10</v>
      </c>
      <c r="N9" s="67">
        <v>10</v>
      </c>
      <c r="O9" s="67">
        <v>15</v>
      </c>
      <c r="P9" s="67">
        <f t="shared" si="0"/>
        <v>62</v>
      </c>
      <c r="Q9" s="68"/>
      <c r="R9" s="69"/>
    </row>
    <row r="10" spans="1:19" s="70" customFormat="1" ht="18.75" customHeight="1" x14ac:dyDescent="0.25">
      <c r="A10" s="67">
        <v>7</v>
      </c>
      <c r="B10" s="67" t="s">
        <v>386</v>
      </c>
      <c r="C10" s="67" t="s">
        <v>387</v>
      </c>
      <c r="D10" s="67">
        <v>5</v>
      </c>
      <c r="E10" s="67">
        <v>3</v>
      </c>
      <c r="F10" s="67">
        <v>10</v>
      </c>
      <c r="G10" s="67">
        <v>3</v>
      </c>
      <c r="H10" s="67">
        <v>3</v>
      </c>
      <c r="I10" s="67">
        <v>3</v>
      </c>
      <c r="J10" s="67">
        <v>3</v>
      </c>
      <c r="K10" s="67">
        <v>0</v>
      </c>
      <c r="L10" s="67"/>
      <c r="M10" s="67">
        <v>10</v>
      </c>
      <c r="N10" s="67">
        <v>15</v>
      </c>
      <c r="O10" s="76">
        <v>5</v>
      </c>
      <c r="P10" s="67">
        <f t="shared" si="0"/>
        <v>60</v>
      </c>
      <c r="Q10" s="68"/>
      <c r="R10" s="69"/>
      <c r="S10" s="67"/>
    </row>
    <row r="11" spans="1:19" x14ac:dyDescent="0.25">
      <c r="A11" s="67">
        <v>8</v>
      </c>
      <c r="B11" s="4" t="s">
        <v>388</v>
      </c>
      <c r="C11" s="4" t="s">
        <v>389</v>
      </c>
      <c r="D11" s="4">
        <v>5</v>
      </c>
      <c r="E11" s="4">
        <v>3</v>
      </c>
      <c r="F11" s="4">
        <v>10</v>
      </c>
      <c r="G11" s="4">
        <v>3</v>
      </c>
      <c r="H11" s="4">
        <v>0</v>
      </c>
      <c r="I11" s="4">
        <v>0</v>
      </c>
      <c r="J11" s="4">
        <v>3</v>
      </c>
      <c r="K11" s="4">
        <v>0</v>
      </c>
      <c r="L11" s="4"/>
      <c r="M11" s="4">
        <v>10</v>
      </c>
      <c r="N11" s="4">
        <v>10</v>
      </c>
      <c r="O11" s="4">
        <v>8</v>
      </c>
      <c r="P11" s="4">
        <f t="shared" si="0"/>
        <v>52</v>
      </c>
      <c r="Q11" s="22"/>
      <c r="R11" s="19"/>
    </row>
    <row r="12" spans="1:19" x14ac:dyDescent="0.25">
      <c r="A12" s="67">
        <v>9</v>
      </c>
      <c r="B12" s="4" t="s">
        <v>390</v>
      </c>
      <c r="C12" s="4" t="s">
        <v>245</v>
      </c>
      <c r="D12" s="4">
        <v>5</v>
      </c>
      <c r="E12" s="4">
        <v>3</v>
      </c>
      <c r="F12" s="4">
        <v>10</v>
      </c>
      <c r="G12" s="4">
        <v>3</v>
      </c>
      <c r="H12" s="4">
        <v>0</v>
      </c>
      <c r="I12" s="4">
        <v>3</v>
      </c>
      <c r="J12" s="4"/>
      <c r="K12" s="4"/>
      <c r="L12" s="4"/>
      <c r="M12" s="4">
        <v>10</v>
      </c>
      <c r="N12" s="4">
        <v>15</v>
      </c>
      <c r="O12" s="4">
        <v>10</v>
      </c>
      <c r="P12" s="4">
        <f t="shared" si="0"/>
        <v>59</v>
      </c>
      <c r="Q12" s="22"/>
      <c r="R12" s="19"/>
    </row>
    <row r="13" spans="1:19" s="59" customFormat="1" x14ac:dyDescent="0.25">
      <c r="A13" s="67">
        <v>10</v>
      </c>
      <c r="B13" s="57" t="s">
        <v>391</v>
      </c>
      <c r="C13" s="57" t="s">
        <v>392</v>
      </c>
      <c r="D13" s="57">
        <v>5</v>
      </c>
      <c r="E13" s="57">
        <v>3</v>
      </c>
      <c r="F13" s="57">
        <v>5</v>
      </c>
      <c r="G13" s="57">
        <v>3</v>
      </c>
      <c r="H13" s="57">
        <v>0</v>
      </c>
      <c r="I13" s="57">
        <v>0</v>
      </c>
      <c r="J13" s="57">
        <v>3</v>
      </c>
      <c r="K13" s="57"/>
      <c r="L13" s="57"/>
      <c r="M13" s="57">
        <v>10</v>
      </c>
      <c r="N13" s="57">
        <v>10</v>
      </c>
      <c r="O13" s="57">
        <v>5</v>
      </c>
      <c r="P13" s="57">
        <f t="shared" si="0"/>
        <v>44</v>
      </c>
      <c r="Q13" s="58"/>
      <c r="R13" s="60"/>
    </row>
    <row r="14" spans="1:19" x14ac:dyDescent="0.25">
      <c r="A14" s="67">
        <v>11</v>
      </c>
      <c r="B14" s="4" t="s">
        <v>393</v>
      </c>
      <c r="C14" s="4" t="s">
        <v>394</v>
      </c>
      <c r="D14" s="4">
        <v>5</v>
      </c>
      <c r="E14" s="4">
        <v>3</v>
      </c>
      <c r="F14" s="4">
        <v>5</v>
      </c>
      <c r="G14" s="4">
        <v>3</v>
      </c>
      <c r="H14" s="4">
        <v>3</v>
      </c>
      <c r="I14" s="4">
        <v>0</v>
      </c>
      <c r="J14" s="4">
        <v>3</v>
      </c>
      <c r="K14" s="4"/>
      <c r="L14" s="4"/>
      <c r="M14" s="4">
        <v>10</v>
      </c>
      <c r="N14" s="4">
        <v>10</v>
      </c>
      <c r="O14" s="4">
        <v>10</v>
      </c>
      <c r="P14" s="4">
        <f t="shared" si="0"/>
        <v>52</v>
      </c>
      <c r="Q14" s="22"/>
      <c r="R14" s="19"/>
    </row>
    <row r="15" spans="1:19" x14ac:dyDescent="0.25">
      <c r="A15" s="67">
        <v>12</v>
      </c>
      <c r="B15" s="4" t="s">
        <v>395</v>
      </c>
      <c r="C15" s="4" t="s">
        <v>396</v>
      </c>
      <c r="D15" s="4">
        <v>5</v>
      </c>
      <c r="E15" s="4">
        <v>3</v>
      </c>
      <c r="F15" s="4">
        <v>10</v>
      </c>
      <c r="G15" s="4">
        <v>3</v>
      </c>
      <c r="H15" s="4">
        <v>0</v>
      </c>
      <c r="I15" s="4">
        <v>3</v>
      </c>
      <c r="J15" s="4">
        <v>3</v>
      </c>
      <c r="K15" s="4"/>
      <c r="L15" s="4"/>
      <c r="M15" s="4">
        <v>20</v>
      </c>
      <c r="N15" s="4">
        <v>20</v>
      </c>
      <c r="O15" s="4">
        <v>20</v>
      </c>
      <c r="P15" s="4">
        <f t="shared" si="0"/>
        <v>87</v>
      </c>
      <c r="Q15" s="22"/>
      <c r="R15" s="19"/>
    </row>
    <row r="16" spans="1:19" x14ac:dyDescent="0.25">
      <c r="A16" s="67">
        <v>13</v>
      </c>
      <c r="B16" s="67" t="s">
        <v>74</v>
      </c>
      <c r="C16" s="67" t="s">
        <v>78</v>
      </c>
      <c r="D16" s="67">
        <v>5</v>
      </c>
      <c r="E16" s="67">
        <v>3</v>
      </c>
      <c r="F16" s="67">
        <v>0</v>
      </c>
      <c r="G16" s="67">
        <v>3</v>
      </c>
      <c r="H16" s="67">
        <v>3</v>
      </c>
      <c r="I16" s="67">
        <v>3</v>
      </c>
      <c r="J16" s="67">
        <v>0</v>
      </c>
      <c r="K16" s="67">
        <v>0</v>
      </c>
      <c r="L16" s="67"/>
      <c r="M16" s="67">
        <v>15</v>
      </c>
      <c r="N16" s="67">
        <v>16</v>
      </c>
      <c r="O16" s="67">
        <v>15</v>
      </c>
      <c r="P16" s="67">
        <f t="shared" si="0"/>
        <v>63</v>
      </c>
      <c r="Q16" s="68"/>
      <c r="R16" s="19"/>
    </row>
    <row r="17" spans="1:18" x14ac:dyDescent="0.25">
      <c r="A17" s="4">
        <v>14</v>
      </c>
      <c r="B17" s="4" t="s">
        <v>297</v>
      </c>
      <c r="C17" s="4" t="s">
        <v>333</v>
      </c>
      <c r="D17" s="4">
        <v>5</v>
      </c>
      <c r="E17" s="4">
        <v>3</v>
      </c>
      <c r="F17" s="4">
        <v>10</v>
      </c>
      <c r="G17" s="4">
        <v>3</v>
      </c>
      <c r="H17" s="4">
        <v>0</v>
      </c>
      <c r="I17" s="4">
        <v>3</v>
      </c>
      <c r="J17" s="4">
        <v>0</v>
      </c>
      <c r="K17" s="4"/>
      <c r="L17" s="4"/>
      <c r="M17" s="4">
        <v>20</v>
      </c>
      <c r="N17" s="4">
        <v>20</v>
      </c>
      <c r="O17" s="4">
        <v>20</v>
      </c>
      <c r="P17" s="4">
        <f t="shared" si="0"/>
        <v>84</v>
      </c>
      <c r="Q17" s="22"/>
      <c r="R17" s="19"/>
    </row>
    <row r="18" spans="1:18" s="14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36"/>
      <c r="M18" s="13"/>
      <c r="N18" s="13"/>
      <c r="O18" s="13"/>
      <c r="P18" s="13"/>
      <c r="Q18" s="23"/>
      <c r="R18" s="28"/>
    </row>
    <row r="19" spans="1:18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20"/>
      <c r="M19" s="4"/>
      <c r="N19" s="4"/>
      <c r="O19" s="4"/>
      <c r="P19" s="4"/>
      <c r="Q19" s="22"/>
      <c r="R19" s="19"/>
    </row>
    <row r="20" spans="1:18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2"/>
      <c r="R20" s="19"/>
    </row>
    <row r="21" spans="1:18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19"/>
    </row>
    <row r="22" spans="1:18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22"/>
      <c r="R22" s="19"/>
    </row>
    <row r="23" spans="1:18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22"/>
      <c r="R23" s="19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22"/>
      <c r="R24" s="19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22"/>
      <c r="R25" s="19"/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22"/>
      <c r="R26" s="19"/>
    </row>
    <row r="27" spans="1:18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2"/>
      <c r="R27" s="19"/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2"/>
      <c r="R28" s="19"/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2"/>
      <c r="R29" s="19"/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22"/>
      <c r="R30" s="19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2"/>
      <c r="R31" s="19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22"/>
      <c r="R32" s="19"/>
    </row>
    <row r="33" spans="1:18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2"/>
      <c r="R33" s="19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22"/>
      <c r="R34" s="1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2"/>
      <c r="R35" s="1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2"/>
      <c r="R36" s="19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2"/>
      <c r="R37" s="1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2"/>
      <c r="R38" s="19"/>
    </row>
    <row r="39" spans="1:18" s="59" customFormat="1" x14ac:dyDescent="0.2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  <c r="R39" s="60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22"/>
      <c r="R40" s="19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2"/>
      <c r="R41" s="19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4"/>
      <c r="N42" s="4"/>
      <c r="O42" s="4"/>
      <c r="P42" s="4"/>
      <c r="Q42" s="22"/>
      <c r="R42" s="19"/>
    </row>
    <row r="43" spans="1:18" s="35" customForma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4"/>
      <c r="R43" s="52"/>
    </row>
    <row r="44" spans="1:18" s="35" customForma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4"/>
      <c r="R44" s="52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22"/>
      <c r="R45" s="19" t="s">
        <v>30</v>
      </c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22"/>
      <c r="R46" s="19" t="s">
        <v>29</v>
      </c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22"/>
      <c r="R47" s="19" t="s">
        <v>29</v>
      </c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22"/>
      <c r="R48" s="19" t="s">
        <v>29</v>
      </c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22"/>
      <c r="R49" s="19" t="s">
        <v>29</v>
      </c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22"/>
      <c r="R50" s="19" t="s">
        <v>29</v>
      </c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22"/>
      <c r="R51" s="19" t="s">
        <v>30</v>
      </c>
    </row>
    <row r="52" spans="1:18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22"/>
      <c r="R52" s="19" t="s">
        <v>29</v>
      </c>
    </row>
    <row r="53" spans="1:1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22"/>
      <c r="R53" s="19" t="s">
        <v>29</v>
      </c>
    </row>
    <row r="54" spans="1:1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22"/>
      <c r="R54" s="19" t="s">
        <v>29</v>
      </c>
    </row>
    <row r="55" spans="1: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22"/>
      <c r="R55" s="19" t="s">
        <v>29</v>
      </c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22"/>
      <c r="R56" s="19" t="s">
        <v>29</v>
      </c>
    </row>
    <row r="57" spans="1:18" ht="3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22"/>
      <c r="R57" s="19" t="s">
        <v>35</v>
      </c>
    </row>
    <row r="58" spans="1: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22"/>
      <c r="R58" s="19" t="s">
        <v>29</v>
      </c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22"/>
      <c r="R59" s="19" t="s">
        <v>33</v>
      </c>
    </row>
  </sheetData>
  <sortState ref="A4:S12">
    <sortCondition descending="1" ref="P4:P12"/>
  </sortState>
  <mergeCells count="2">
    <mergeCell ref="A1:R1"/>
    <mergeCell ref="A2:R2"/>
  </mergeCells>
  <pageMargins left="0.7" right="0.7" top="0.75" bottom="0.75" header="0.3" footer="0.3"/>
  <pageSetup paperSize="8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0"/>
  <sheetViews>
    <sheetView view="pageBreakPreview" zoomScale="61" zoomScaleNormal="110" zoomScaleSheetLayoutView="55" workbookViewId="0">
      <selection activeCell="Q29" sqref="Q29"/>
    </sheetView>
  </sheetViews>
  <sheetFormatPr defaultRowHeight="15" x14ac:dyDescent="0.25"/>
  <cols>
    <col min="1" max="1" width="11.42578125" customWidth="1"/>
    <col min="2" max="2" width="29.7109375" customWidth="1"/>
    <col min="3" max="4" width="31.28515625" customWidth="1"/>
    <col min="18" max="18" width="32.140625" customWidth="1"/>
  </cols>
  <sheetData>
    <row r="1" spans="1:18" s="5" customFormat="1" ht="21" x14ac:dyDescent="0.35"/>
    <row r="2" spans="1:18" s="5" customFormat="1" ht="21" x14ac:dyDescent="0.35"/>
    <row r="3" spans="1:18" s="3" customFormat="1" ht="119.25" customHeight="1" x14ac:dyDescent="0.35">
      <c r="A3" s="124" t="s">
        <v>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4" spans="1:18" s="75" customFormat="1" ht="21" x14ac:dyDescent="0.35">
      <c r="A4" s="124" t="s">
        <v>25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</row>
    <row r="5" spans="1:18" s="75" customFormat="1" ht="101.25" x14ac:dyDescent="0.25">
      <c r="A5" s="1" t="s">
        <v>6</v>
      </c>
      <c r="B5" s="2" t="s">
        <v>26</v>
      </c>
      <c r="C5" s="2" t="s">
        <v>1</v>
      </c>
      <c r="D5" s="2" t="s">
        <v>268</v>
      </c>
      <c r="E5" s="1" t="s">
        <v>2</v>
      </c>
      <c r="F5" s="1" t="s">
        <v>23</v>
      </c>
      <c r="G5" s="1" t="s">
        <v>3</v>
      </c>
      <c r="H5" s="1" t="s">
        <v>8</v>
      </c>
      <c r="I5" s="1" t="s">
        <v>27</v>
      </c>
      <c r="J5" s="1" t="s">
        <v>4</v>
      </c>
      <c r="K5" s="1" t="s">
        <v>9</v>
      </c>
      <c r="L5" s="2" t="s">
        <v>10</v>
      </c>
      <c r="M5" s="1" t="s">
        <v>12</v>
      </c>
      <c r="N5" s="1" t="s">
        <v>14</v>
      </c>
      <c r="O5" s="1" t="s">
        <v>15</v>
      </c>
      <c r="P5" s="1" t="s">
        <v>16</v>
      </c>
      <c r="Q5" s="1" t="s">
        <v>13</v>
      </c>
      <c r="R5" s="1" t="s">
        <v>21</v>
      </c>
    </row>
    <row r="6" spans="1:18" s="75" customFormat="1" x14ac:dyDescent="0.25">
      <c r="A6" s="4">
        <v>1</v>
      </c>
      <c r="B6" s="4" t="s">
        <v>266</v>
      </c>
      <c r="C6" s="4" t="s">
        <v>267</v>
      </c>
      <c r="D6" s="4" t="s">
        <v>7</v>
      </c>
      <c r="E6" s="4"/>
      <c r="F6" s="4">
        <v>5</v>
      </c>
      <c r="G6" s="4">
        <v>3</v>
      </c>
      <c r="H6" s="4">
        <v>10</v>
      </c>
      <c r="I6" s="4">
        <v>3</v>
      </c>
      <c r="J6" s="4">
        <v>0</v>
      </c>
      <c r="K6" s="4">
        <v>3</v>
      </c>
      <c r="L6" s="4">
        <v>0</v>
      </c>
      <c r="M6" s="4">
        <v>10</v>
      </c>
      <c r="N6" s="4">
        <v>5</v>
      </c>
      <c r="O6" s="4">
        <v>5</v>
      </c>
      <c r="P6" s="4">
        <v>5</v>
      </c>
      <c r="Q6" s="4">
        <f>SUM(F6:P6)</f>
        <v>49</v>
      </c>
      <c r="R6" s="19"/>
    </row>
    <row r="7" spans="1:18" s="75" customFormat="1" x14ac:dyDescent="0.25">
      <c r="A7" s="4">
        <v>2</v>
      </c>
      <c r="B7" s="4" t="s">
        <v>69</v>
      </c>
      <c r="C7" s="4" t="s">
        <v>270</v>
      </c>
      <c r="D7" s="4" t="s">
        <v>7</v>
      </c>
      <c r="E7" s="4"/>
      <c r="F7" s="4">
        <v>5</v>
      </c>
      <c r="G7" s="4">
        <v>3</v>
      </c>
      <c r="H7" s="4">
        <v>10</v>
      </c>
      <c r="I7" s="4">
        <v>0</v>
      </c>
      <c r="J7" s="4">
        <v>0</v>
      </c>
      <c r="K7" s="4"/>
      <c r="L7" s="4"/>
      <c r="M7" s="4">
        <v>10</v>
      </c>
      <c r="N7" s="4">
        <v>7</v>
      </c>
      <c r="O7" s="4">
        <v>5</v>
      </c>
      <c r="P7" s="4">
        <v>5</v>
      </c>
      <c r="Q7" s="4">
        <f>SUM(F7:P7)</f>
        <v>45</v>
      </c>
      <c r="R7" s="19"/>
    </row>
    <row r="8" spans="1:18" s="75" customFormat="1" x14ac:dyDescent="0.25">
      <c r="A8" s="4">
        <v>3</v>
      </c>
      <c r="B8" s="11" t="s">
        <v>269</v>
      </c>
      <c r="C8" s="11" t="s">
        <v>271</v>
      </c>
      <c r="D8" s="11" t="s">
        <v>7</v>
      </c>
      <c r="E8" s="4"/>
      <c r="F8" s="11">
        <v>5</v>
      </c>
      <c r="G8" s="11">
        <v>3</v>
      </c>
      <c r="H8" s="11">
        <v>10</v>
      </c>
      <c r="I8" s="11">
        <v>0</v>
      </c>
      <c r="J8" s="11">
        <v>0</v>
      </c>
      <c r="K8" s="11">
        <v>0</v>
      </c>
      <c r="L8" s="11">
        <v>0</v>
      </c>
      <c r="M8" s="11">
        <v>10</v>
      </c>
      <c r="N8" s="11">
        <v>5</v>
      </c>
      <c r="O8" s="11">
        <v>5</v>
      </c>
      <c r="P8" s="11">
        <v>5</v>
      </c>
      <c r="Q8" s="4">
        <f>SUM(F8:P8)</f>
        <v>43</v>
      </c>
      <c r="R8" s="19"/>
    </row>
    <row r="9" spans="1:18" s="75" customFormat="1" x14ac:dyDescent="0.25">
      <c r="A9" s="4">
        <v>4</v>
      </c>
      <c r="B9" s="75" t="s">
        <v>274</v>
      </c>
      <c r="C9" s="75" t="s">
        <v>275</v>
      </c>
      <c r="D9" s="75" t="s">
        <v>7</v>
      </c>
      <c r="E9" s="4"/>
      <c r="F9" s="4">
        <v>5</v>
      </c>
      <c r="G9" s="4">
        <v>3</v>
      </c>
      <c r="H9" s="4">
        <v>10</v>
      </c>
      <c r="I9" s="4">
        <v>3</v>
      </c>
      <c r="J9" s="4">
        <v>0</v>
      </c>
      <c r="K9" s="4">
        <v>3</v>
      </c>
      <c r="L9" s="4">
        <v>0</v>
      </c>
      <c r="M9" s="4">
        <v>10</v>
      </c>
      <c r="N9" s="4">
        <v>10</v>
      </c>
      <c r="O9" s="4">
        <v>15</v>
      </c>
      <c r="P9" s="4">
        <v>10</v>
      </c>
      <c r="Q9" s="4">
        <f>SUM(F9:P9)</f>
        <v>69</v>
      </c>
      <c r="R9" s="19"/>
    </row>
    <row r="10" spans="1:18" s="75" customFormat="1" x14ac:dyDescent="0.25">
      <c r="A10" s="4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19"/>
    </row>
    <row r="11" spans="1:18" s="75" customFormat="1" x14ac:dyDescent="0.25">
      <c r="A11" s="4">
        <v>6</v>
      </c>
      <c r="B11" s="11" t="s">
        <v>272</v>
      </c>
      <c r="C11" s="11" t="s">
        <v>273</v>
      </c>
      <c r="D11" s="11" t="s">
        <v>7</v>
      </c>
      <c r="E11" s="4"/>
      <c r="F11" s="4">
        <v>5</v>
      </c>
      <c r="G11" s="4">
        <v>3</v>
      </c>
      <c r="H11" s="4">
        <v>8</v>
      </c>
      <c r="I11" s="4">
        <v>3</v>
      </c>
      <c r="J11" s="4">
        <v>0</v>
      </c>
      <c r="K11" s="4">
        <v>3</v>
      </c>
      <c r="L11" s="4">
        <v>3</v>
      </c>
      <c r="M11" s="4">
        <v>10</v>
      </c>
      <c r="N11" s="4">
        <v>8</v>
      </c>
      <c r="O11" s="4">
        <v>8</v>
      </c>
      <c r="P11" s="4">
        <v>15</v>
      </c>
      <c r="Q11" s="4">
        <f t="shared" ref="Q11:Q24" si="0">SUM(F11:P11)</f>
        <v>66</v>
      </c>
      <c r="R11" s="19"/>
    </row>
    <row r="12" spans="1:18" s="75" customFormat="1" x14ac:dyDescent="0.25">
      <c r="A12" s="4">
        <v>7</v>
      </c>
      <c r="B12" s="4" t="s">
        <v>67</v>
      </c>
      <c r="C12" s="4" t="s">
        <v>276</v>
      </c>
      <c r="D12" s="4" t="s">
        <v>7</v>
      </c>
      <c r="E12" s="4"/>
      <c r="F12" s="4">
        <v>5</v>
      </c>
      <c r="G12" s="4">
        <v>3</v>
      </c>
      <c r="H12" s="4">
        <v>10</v>
      </c>
      <c r="I12" s="4">
        <v>3</v>
      </c>
      <c r="J12" s="4">
        <v>3</v>
      </c>
      <c r="K12" s="4">
        <v>3</v>
      </c>
      <c r="L12" s="4">
        <v>0</v>
      </c>
      <c r="M12" s="4">
        <v>10</v>
      </c>
      <c r="N12" s="4">
        <v>10</v>
      </c>
      <c r="O12" s="4">
        <v>10</v>
      </c>
      <c r="P12" s="4">
        <v>5</v>
      </c>
      <c r="Q12" s="4">
        <f t="shared" si="0"/>
        <v>62</v>
      </c>
      <c r="R12" s="19"/>
    </row>
    <row r="13" spans="1:18" ht="19.149999999999999" customHeight="1" x14ac:dyDescent="0.25">
      <c r="A13" s="4">
        <v>8</v>
      </c>
      <c r="B13" s="4" t="s">
        <v>277</v>
      </c>
      <c r="C13" s="4" t="s">
        <v>278</v>
      </c>
      <c r="D13" s="4" t="s">
        <v>7</v>
      </c>
      <c r="E13" s="4"/>
      <c r="F13" s="4">
        <v>5</v>
      </c>
      <c r="G13" s="4">
        <v>3</v>
      </c>
      <c r="H13" s="4">
        <v>3</v>
      </c>
      <c r="I13" s="4">
        <v>3</v>
      </c>
      <c r="J13" s="4">
        <v>0</v>
      </c>
      <c r="K13" s="4">
        <v>0</v>
      </c>
      <c r="L13" s="4">
        <v>3</v>
      </c>
      <c r="M13" s="4"/>
      <c r="N13" s="4">
        <v>10</v>
      </c>
      <c r="O13" s="4">
        <v>14</v>
      </c>
      <c r="P13" s="4">
        <v>10</v>
      </c>
      <c r="Q13" s="4">
        <f t="shared" si="0"/>
        <v>51</v>
      </c>
      <c r="R13" s="19"/>
    </row>
    <row r="14" spans="1:18" s="75" customFormat="1" x14ac:dyDescent="0.25">
      <c r="A14" s="4">
        <v>9</v>
      </c>
      <c r="B14" s="67" t="s">
        <v>279</v>
      </c>
      <c r="C14" s="67" t="s">
        <v>280</v>
      </c>
      <c r="D14" s="67" t="s">
        <v>7</v>
      </c>
      <c r="E14" s="67"/>
      <c r="F14" s="67">
        <v>5</v>
      </c>
      <c r="G14" s="67">
        <v>3</v>
      </c>
      <c r="H14" s="67">
        <v>10</v>
      </c>
      <c r="I14" s="67">
        <v>3</v>
      </c>
      <c r="J14" s="67">
        <v>0</v>
      </c>
      <c r="K14" s="67"/>
      <c r="L14" s="67"/>
      <c r="M14" s="67">
        <v>10</v>
      </c>
      <c r="N14" s="67">
        <v>14</v>
      </c>
      <c r="O14" s="67">
        <v>14</v>
      </c>
      <c r="P14" s="67">
        <v>10</v>
      </c>
      <c r="Q14" s="75">
        <f t="shared" si="0"/>
        <v>69</v>
      </c>
      <c r="R14" s="69"/>
    </row>
    <row r="15" spans="1:18" x14ac:dyDescent="0.25">
      <c r="A15" s="4">
        <v>10</v>
      </c>
      <c r="B15" s="4" t="s">
        <v>281</v>
      </c>
      <c r="C15" s="4" t="s">
        <v>282</v>
      </c>
      <c r="D15" s="4" t="s">
        <v>7</v>
      </c>
      <c r="E15" s="4"/>
      <c r="F15" s="4">
        <v>5</v>
      </c>
      <c r="G15" s="4">
        <v>3</v>
      </c>
      <c r="H15" s="4">
        <v>8</v>
      </c>
      <c r="I15" s="4">
        <v>3</v>
      </c>
      <c r="J15" s="4">
        <v>0</v>
      </c>
      <c r="K15" s="4">
        <v>0</v>
      </c>
      <c r="L15" s="4">
        <v>3</v>
      </c>
      <c r="M15" s="4">
        <v>10</v>
      </c>
      <c r="N15" s="4">
        <v>14</v>
      </c>
      <c r="O15" s="4">
        <v>16</v>
      </c>
      <c r="P15" s="4">
        <v>20</v>
      </c>
      <c r="Q15" s="4">
        <f t="shared" si="0"/>
        <v>82</v>
      </c>
      <c r="R15" s="19"/>
    </row>
    <row r="16" spans="1:18" x14ac:dyDescent="0.25">
      <c r="A16" s="4">
        <v>11</v>
      </c>
      <c r="B16" s="4" t="s">
        <v>283</v>
      </c>
      <c r="C16" s="4" t="s">
        <v>284</v>
      </c>
      <c r="D16" s="4"/>
      <c r="E16" s="4" t="s">
        <v>18</v>
      </c>
      <c r="F16" s="4">
        <v>5</v>
      </c>
      <c r="G16" s="4">
        <v>3</v>
      </c>
      <c r="H16" s="4">
        <v>8</v>
      </c>
      <c r="I16" s="4">
        <v>0</v>
      </c>
      <c r="J16" s="4">
        <v>0</v>
      </c>
      <c r="K16" s="4">
        <v>0</v>
      </c>
      <c r="L16" s="4">
        <v>0</v>
      </c>
      <c r="M16" s="4">
        <v>10</v>
      </c>
      <c r="N16" s="4">
        <v>10</v>
      </c>
      <c r="O16" s="4">
        <v>15</v>
      </c>
      <c r="P16" s="4">
        <v>10</v>
      </c>
      <c r="Q16" s="4">
        <f t="shared" si="0"/>
        <v>61</v>
      </c>
      <c r="R16" s="19"/>
    </row>
    <row r="17" spans="1:18" ht="16.899999999999999" customHeight="1" x14ac:dyDescent="0.25">
      <c r="A17" s="4">
        <v>12</v>
      </c>
      <c r="B17" s="4" t="s">
        <v>285</v>
      </c>
      <c r="C17" s="4" t="s">
        <v>286</v>
      </c>
      <c r="D17" s="4" t="s">
        <v>7</v>
      </c>
      <c r="E17" s="4"/>
      <c r="F17" s="4">
        <v>5</v>
      </c>
      <c r="G17" s="4">
        <v>3</v>
      </c>
      <c r="H17" s="4">
        <v>10</v>
      </c>
      <c r="I17" s="4">
        <v>3</v>
      </c>
      <c r="J17" s="4">
        <v>0</v>
      </c>
      <c r="K17" s="4">
        <v>3</v>
      </c>
      <c r="L17" s="4"/>
      <c r="M17" s="4">
        <v>10</v>
      </c>
      <c r="N17" s="4">
        <v>18</v>
      </c>
      <c r="O17" s="4">
        <v>18</v>
      </c>
      <c r="P17" s="4">
        <v>16</v>
      </c>
      <c r="Q17" s="4">
        <f t="shared" si="0"/>
        <v>86</v>
      </c>
      <c r="R17" s="19"/>
    </row>
    <row r="18" spans="1:18" x14ac:dyDescent="0.25">
      <c r="A18" s="4">
        <v>13</v>
      </c>
      <c r="B18" s="67" t="s">
        <v>287</v>
      </c>
      <c r="C18" s="67" t="s">
        <v>288</v>
      </c>
      <c r="D18" s="67"/>
      <c r="E18" s="67" t="s">
        <v>18</v>
      </c>
      <c r="F18" s="67">
        <v>5</v>
      </c>
      <c r="G18" s="67">
        <v>3</v>
      </c>
      <c r="H18" s="67">
        <v>8</v>
      </c>
      <c r="I18" s="67">
        <v>3</v>
      </c>
      <c r="J18" s="67">
        <v>0</v>
      </c>
      <c r="K18" s="67">
        <v>0</v>
      </c>
      <c r="L18" s="67"/>
      <c r="M18" s="67">
        <v>10</v>
      </c>
      <c r="N18" s="67">
        <v>12</v>
      </c>
      <c r="O18" s="67">
        <v>10</v>
      </c>
      <c r="P18" s="67">
        <v>10</v>
      </c>
      <c r="Q18" s="67">
        <f t="shared" si="0"/>
        <v>61</v>
      </c>
      <c r="R18" s="69"/>
    </row>
    <row r="19" spans="1:18" x14ac:dyDescent="0.25">
      <c r="A19" s="4">
        <v>14</v>
      </c>
      <c r="B19" s="67" t="s">
        <v>289</v>
      </c>
      <c r="C19" s="67" t="s">
        <v>290</v>
      </c>
      <c r="D19" s="67"/>
      <c r="E19" s="67" t="s">
        <v>18</v>
      </c>
      <c r="F19" s="67">
        <v>5</v>
      </c>
      <c r="G19" s="67">
        <v>3</v>
      </c>
      <c r="H19" s="67">
        <v>10</v>
      </c>
      <c r="I19" s="67">
        <v>3</v>
      </c>
      <c r="J19" s="67">
        <v>0</v>
      </c>
      <c r="K19" s="67">
        <v>0</v>
      </c>
      <c r="L19" s="67">
        <v>0</v>
      </c>
      <c r="M19" s="67">
        <v>10</v>
      </c>
      <c r="N19" s="67">
        <v>10</v>
      </c>
      <c r="O19" s="67">
        <v>5</v>
      </c>
      <c r="P19" s="67">
        <v>5</v>
      </c>
      <c r="Q19" s="67">
        <f t="shared" si="0"/>
        <v>51</v>
      </c>
      <c r="R19" s="69"/>
    </row>
    <row r="20" spans="1:18" x14ac:dyDescent="0.25">
      <c r="A20" s="4">
        <v>15</v>
      </c>
      <c r="B20" s="67" t="s">
        <v>291</v>
      </c>
      <c r="C20" s="67" t="s">
        <v>292</v>
      </c>
      <c r="D20" s="67" t="s">
        <v>7</v>
      </c>
      <c r="E20" s="67"/>
      <c r="F20" s="67">
        <v>5</v>
      </c>
      <c r="G20" s="67">
        <v>3</v>
      </c>
      <c r="H20" s="67">
        <v>5</v>
      </c>
      <c r="I20" s="67">
        <v>3</v>
      </c>
      <c r="J20" s="67">
        <v>3</v>
      </c>
      <c r="K20" s="67">
        <v>3</v>
      </c>
      <c r="L20" s="67">
        <v>3</v>
      </c>
      <c r="M20" s="67">
        <v>10</v>
      </c>
      <c r="N20" s="67">
        <v>5</v>
      </c>
      <c r="O20" s="67">
        <v>5</v>
      </c>
      <c r="P20" s="67">
        <v>5</v>
      </c>
      <c r="Q20" s="67">
        <f t="shared" si="0"/>
        <v>50</v>
      </c>
      <c r="R20" s="69"/>
    </row>
    <row r="21" spans="1:18" x14ac:dyDescent="0.25">
      <c r="A21" s="4">
        <v>16</v>
      </c>
      <c r="B21" s="102" t="s">
        <v>293</v>
      </c>
      <c r="C21" s="102" t="s">
        <v>294</v>
      </c>
      <c r="D21" s="102" t="s">
        <v>7</v>
      </c>
      <c r="E21" s="102"/>
      <c r="F21" s="102">
        <v>5</v>
      </c>
      <c r="G21" s="102">
        <v>3</v>
      </c>
      <c r="H21" s="102">
        <v>10</v>
      </c>
      <c r="I21" s="102">
        <v>0</v>
      </c>
      <c r="J21" s="102">
        <v>0</v>
      </c>
      <c r="K21" s="102">
        <v>0</v>
      </c>
      <c r="L21" s="102"/>
      <c r="M21" s="102">
        <v>10</v>
      </c>
      <c r="N21" s="102">
        <v>10</v>
      </c>
      <c r="O21" s="102">
        <v>10</v>
      </c>
      <c r="P21" s="102">
        <v>5</v>
      </c>
      <c r="Q21" s="67">
        <f t="shared" si="0"/>
        <v>53</v>
      </c>
      <c r="R21" s="103"/>
    </row>
    <row r="22" spans="1:18" x14ac:dyDescent="0.25">
      <c r="A22" s="4">
        <v>17</v>
      </c>
      <c r="B22" s="67" t="s">
        <v>295</v>
      </c>
      <c r="C22" s="67" t="s">
        <v>296</v>
      </c>
      <c r="D22" s="67" t="s">
        <v>7</v>
      </c>
      <c r="E22" s="67"/>
      <c r="F22" s="67">
        <v>5</v>
      </c>
      <c r="G22" s="67">
        <v>3</v>
      </c>
      <c r="H22" s="67">
        <v>10</v>
      </c>
      <c r="I22" s="67">
        <v>3</v>
      </c>
      <c r="J22" s="67">
        <v>3</v>
      </c>
      <c r="K22" s="67">
        <v>3</v>
      </c>
      <c r="L22" s="67">
        <v>3</v>
      </c>
      <c r="M22" s="67">
        <v>10</v>
      </c>
      <c r="N22" s="67">
        <v>15</v>
      </c>
      <c r="O22" s="67">
        <v>10</v>
      </c>
      <c r="P22" s="67">
        <v>10</v>
      </c>
      <c r="Q22" s="67">
        <f t="shared" si="0"/>
        <v>75</v>
      </c>
      <c r="R22" s="69"/>
    </row>
    <row r="23" spans="1:18" x14ac:dyDescent="0.25">
      <c r="A23" s="4">
        <v>18</v>
      </c>
      <c r="B23" s="67" t="s">
        <v>297</v>
      </c>
      <c r="C23" s="67" t="s">
        <v>298</v>
      </c>
      <c r="D23" s="67"/>
      <c r="E23" s="67" t="s">
        <v>18</v>
      </c>
      <c r="F23" s="67">
        <v>5</v>
      </c>
      <c r="G23" s="67">
        <v>3</v>
      </c>
      <c r="H23" s="67">
        <v>10</v>
      </c>
      <c r="I23" s="67">
        <v>3</v>
      </c>
      <c r="J23" s="67">
        <v>0</v>
      </c>
      <c r="K23" s="67">
        <v>3</v>
      </c>
      <c r="L23" s="67">
        <v>0</v>
      </c>
      <c r="M23" s="67">
        <v>10</v>
      </c>
      <c r="N23" s="67">
        <v>10</v>
      </c>
      <c r="O23" s="67">
        <v>15</v>
      </c>
      <c r="P23" s="67">
        <v>10</v>
      </c>
      <c r="Q23" s="67">
        <f t="shared" si="0"/>
        <v>69</v>
      </c>
      <c r="R23" s="89"/>
    </row>
    <row r="24" spans="1:18" s="70" customFormat="1" x14ac:dyDescent="0.25">
      <c r="A24" s="4">
        <v>19</v>
      </c>
      <c r="B24" s="70" t="s">
        <v>300</v>
      </c>
      <c r="C24" s="67" t="s">
        <v>70</v>
      </c>
      <c r="D24" s="67" t="s">
        <v>7</v>
      </c>
      <c r="E24" s="67"/>
      <c r="F24" s="67">
        <v>5</v>
      </c>
      <c r="G24" s="67">
        <v>3</v>
      </c>
      <c r="H24" s="67">
        <v>10</v>
      </c>
      <c r="I24" s="67">
        <v>3</v>
      </c>
      <c r="J24" s="67">
        <v>3</v>
      </c>
      <c r="K24" s="67">
        <v>3</v>
      </c>
      <c r="L24" s="67">
        <v>3</v>
      </c>
      <c r="M24" s="67">
        <v>10</v>
      </c>
      <c r="N24" s="67">
        <v>15</v>
      </c>
      <c r="O24" s="67">
        <v>20</v>
      </c>
      <c r="P24" s="67">
        <v>15</v>
      </c>
      <c r="Q24" s="67">
        <f t="shared" si="0"/>
        <v>90</v>
      </c>
      <c r="R24" s="69"/>
    </row>
    <row r="25" spans="1:18" s="70" customFormat="1" x14ac:dyDescent="0.25">
      <c r="A25" s="4">
        <v>20</v>
      </c>
      <c r="B25" s="67" t="s">
        <v>299</v>
      </c>
      <c r="C25" s="4" t="s">
        <v>301</v>
      </c>
      <c r="D25" s="4" t="s">
        <v>7</v>
      </c>
      <c r="E25" s="4"/>
      <c r="F25" s="4">
        <v>5</v>
      </c>
      <c r="G25" s="4">
        <v>3</v>
      </c>
      <c r="H25" s="4">
        <v>10</v>
      </c>
      <c r="I25" s="4">
        <v>3</v>
      </c>
      <c r="J25" s="4">
        <v>0</v>
      </c>
      <c r="K25" s="4"/>
      <c r="L25" s="4"/>
      <c r="M25" s="4">
        <v>10</v>
      </c>
      <c r="N25" s="4">
        <v>10</v>
      </c>
      <c r="O25" s="4">
        <v>15</v>
      </c>
      <c r="P25" s="4">
        <v>5</v>
      </c>
      <c r="Q25" s="4">
        <f>SUM(G25:P25)</f>
        <v>56</v>
      </c>
      <c r="R25" s="19"/>
    </row>
    <row r="26" spans="1:18" x14ac:dyDescent="0.25">
      <c r="A26" s="4">
        <v>21</v>
      </c>
      <c r="B26" s="4" t="s">
        <v>302</v>
      </c>
      <c r="C26" s="4" t="s">
        <v>303</v>
      </c>
      <c r="D26" s="4" t="s">
        <v>7</v>
      </c>
      <c r="E26" s="4"/>
      <c r="F26" s="4">
        <v>5</v>
      </c>
      <c r="G26" s="4">
        <v>3</v>
      </c>
      <c r="H26" s="4">
        <v>8</v>
      </c>
      <c r="I26" s="4">
        <v>3</v>
      </c>
      <c r="J26" s="4"/>
      <c r="K26" s="4">
        <v>3</v>
      </c>
      <c r="L26" s="4"/>
      <c r="M26" s="4">
        <v>10</v>
      </c>
      <c r="N26" s="4">
        <v>14</v>
      </c>
      <c r="O26" s="4">
        <v>14</v>
      </c>
      <c r="P26" s="4">
        <v>15</v>
      </c>
      <c r="Q26" s="4">
        <f t="shared" ref="Q26:Q34" si="1">SUM(F26:P26)</f>
        <v>75</v>
      </c>
      <c r="R26" s="19"/>
    </row>
    <row r="27" spans="1:18" ht="19.149999999999999" customHeight="1" x14ac:dyDescent="0.25">
      <c r="A27" s="4">
        <v>22</v>
      </c>
      <c r="B27" s="4" t="s">
        <v>304</v>
      </c>
      <c r="C27" s="4" t="s">
        <v>305</v>
      </c>
      <c r="D27" s="4" t="s">
        <v>7</v>
      </c>
      <c r="E27" s="4"/>
      <c r="F27" s="4">
        <v>5</v>
      </c>
      <c r="G27" s="4">
        <v>0</v>
      </c>
      <c r="H27" s="4">
        <v>10</v>
      </c>
      <c r="I27" s="4">
        <v>3</v>
      </c>
      <c r="J27" s="4">
        <v>3</v>
      </c>
      <c r="K27" s="4">
        <v>3</v>
      </c>
      <c r="L27" s="4"/>
      <c r="M27" s="4">
        <v>0</v>
      </c>
      <c r="N27" s="4">
        <v>5</v>
      </c>
      <c r="O27" s="4">
        <v>8</v>
      </c>
      <c r="P27" s="4">
        <v>10</v>
      </c>
      <c r="Q27" s="4">
        <f t="shared" si="1"/>
        <v>47</v>
      </c>
      <c r="R27" s="19" t="s">
        <v>306</v>
      </c>
    </row>
    <row r="28" spans="1:18" x14ac:dyDescent="0.25">
      <c r="A28" s="4">
        <v>23</v>
      </c>
      <c r="B28" s="4" t="s">
        <v>307</v>
      </c>
      <c r="C28" s="4" t="s">
        <v>308</v>
      </c>
      <c r="D28" s="4" t="s">
        <v>7</v>
      </c>
      <c r="E28" s="4"/>
      <c r="F28" s="4">
        <v>5</v>
      </c>
      <c r="G28" s="4">
        <v>3</v>
      </c>
      <c r="H28" s="4">
        <v>0</v>
      </c>
      <c r="I28" s="4">
        <v>3</v>
      </c>
      <c r="J28" s="4"/>
      <c r="K28" s="4"/>
      <c r="L28" s="4"/>
      <c r="M28" s="4">
        <v>10</v>
      </c>
      <c r="N28" s="4">
        <v>8</v>
      </c>
      <c r="O28" s="4">
        <v>10</v>
      </c>
      <c r="P28" s="4">
        <v>5</v>
      </c>
      <c r="Q28" s="4">
        <f t="shared" si="1"/>
        <v>44</v>
      </c>
      <c r="R28" s="19" t="s">
        <v>309</v>
      </c>
    </row>
    <row r="29" spans="1:18" x14ac:dyDescent="0.25">
      <c r="A29" s="4">
        <v>24</v>
      </c>
      <c r="B29" s="4" t="s">
        <v>310</v>
      </c>
      <c r="C29" s="4" t="s">
        <v>311</v>
      </c>
      <c r="D29" s="4" t="s">
        <v>7</v>
      </c>
      <c r="E29" s="4"/>
      <c r="F29" s="4">
        <v>5</v>
      </c>
      <c r="G29" s="4">
        <v>3</v>
      </c>
      <c r="H29" s="4">
        <v>10</v>
      </c>
      <c r="I29" s="4"/>
      <c r="J29" s="4"/>
      <c r="K29" s="4">
        <v>3</v>
      </c>
      <c r="L29" s="4"/>
      <c r="M29" s="4">
        <v>10</v>
      </c>
      <c r="N29" s="4">
        <v>8</v>
      </c>
      <c r="O29" s="4">
        <v>10</v>
      </c>
      <c r="P29" s="4">
        <v>5</v>
      </c>
      <c r="Q29" s="4">
        <f t="shared" si="1"/>
        <v>54</v>
      </c>
      <c r="R29" s="19"/>
    </row>
    <row r="30" spans="1:18" x14ac:dyDescent="0.25">
      <c r="A30" s="4">
        <v>25</v>
      </c>
      <c r="B30" s="4" t="s">
        <v>312</v>
      </c>
      <c r="C30" s="4" t="s">
        <v>313</v>
      </c>
      <c r="D30" s="4" t="s">
        <v>7</v>
      </c>
      <c r="E30" s="4"/>
      <c r="F30" s="4">
        <v>5</v>
      </c>
      <c r="G30" s="4">
        <v>3</v>
      </c>
      <c r="H30" s="4">
        <v>8</v>
      </c>
      <c r="I30" s="4">
        <v>3</v>
      </c>
      <c r="J30" s="4"/>
      <c r="K30" s="4">
        <v>2</v>
      </c>
      <c r="L30" s="4"/>
      <c r="M30" s="4">
        <v>10</v>
      </c>
      <c r="N30" s="4">
        <v>15</v>
      </c>
      <c r="O30" s="4">
        <v>14</v>
      </c>
      <c r="P30" s="4">
        <v>15</v>
      </c>
      <c r="Q30" s="4">
        <f t="shared" si="1"/>
        <v>75</v>
      </c>
      <c r="R30" s="19"/>
    </row>
    <row r="31" spans="1:18" x14ac:dyDescent="0.25">
      <c r="A31" s="4">
        <v>26</v>
      </c>
      <c r="B31" s="4" t="s">
        <v>314</v>
      </c>
      <c r="C31" s="4" t="s">
        <v>315</v>
      </c>
      <c r="D31" s="4"/>
      <c r="E31" s="4" t="s">
        <v>18</v>
      </c>
      <c r="F31" s="4">
        <v>5</v>
      </c>
      <c r="G31" s="4">
        <v>3</v>
      </c>
      <c r="H31" s="4">
        <v>10</v>
      </c>
      <c r="I31" s="4">
        <v>3</v>
      </c>
      <c r="J31" s="4">
        <v>3</v>
      </c>
      <c r="K31" s="4">
        <v>3</v>
      </c>
      <c r="L31" s="4">
        <v>3</v>
      </c>
      <c r="M31" s="4">
        <v>10</v>
      </c>
      <c r="N31" s="4">
        <v>15</v>
      </c>
      <c r="O31" s="4">
        <v>15</v>
      </c>
      <c r="P31" s="4">
        <v>0</v>
      </c>
      <c r="Q31" s="4">
        <f t="shared" si="1"/>
        <v>70</v>
      </c>
      <c r="R31" s="19"/>
    </row>
    <row r="32" spans="1:18" x14ac:dyDescent="0.25">
      <c r="A32" s="4">
        <v>27</v>
      </c>
      <c r="B32" s="4" t="s">
        <v>316</v>
      </c>
      <c r="C32" s="4" t="s">
        <v>317</v>
      </c>
      <c r="D32" s="4"/>
      <c r="E32" s="4" t="s">
        <v>18</v>
      </c>
      <c r="F32" s="4">
        <v>5</v>
      </c>
      <c r="G32" s="4">
        <v>3</v>
      </c>
      <c r="H32" s="4">
        <v>10</v>
      </c>
      <c r="I32" s="4">
        <v>3</v>
      </c>
      <c r="J32" s="4">
        <v>3</v>
      </c>
      <c r="K32" s="4">
        <v>3</v>
      </c>
      <c r="L32" s="4"/>
      <c r="M32" s="4">
        <v>10</v>
      </c>
      <c r="N32" s="4">
        <v>15</v>
      </c>
      <c r="O32" s="4">
        <v>15</v>
      </c>
      <c r="P32" s="4">
        <v>20</v>
      </c>
      <c r="Q32" s="4">
        <f t="shared" si="1"/>
        <v>87</v>
      </c>
      <c r="R32" s="19"/>
    </row>
    <row r="33" spans="1:18" x14ac:dyDescent="0.25">
      <c r="A33" s="4">
        <v>28</v>
      </c>
      <c r="B33" s="4" t="s">
        <v>318</v>
      </c>
      <c r="C33" s="4" t="s">
        <v>319</v>
      </c>
      <c r="D33" s="4"/>
      <c r="E33" s="4" t="s">
        <v>18</v>
      </c>
      <c r="F33" s="4">
        <v>5</v>
      </c>
      <c r="G33" s="4">
        <v>0</v>
      </c>
      <c r="H33" s="4">
        <v>0</v>
      </c>
      <c r="I33" s="4">
        <v>3</v>
      </c>
      <c r="J33" s="4">
        <v>0</v>
      </c>
      <c r="K33" s="4"/>
      <c r="L33" s="4">
        <v>3</v>
      </c>
      <c r="M33" s="4">
        <v>10</v>
      </c>
      <c r="N33" s="4">
        <v>15</v>
      </c>
      <c r="O33" s="4">
        <v>10</v>
      </c>
      <c r="P33" s="4">
        <v>15</v>
      </c>
      <c r="Q33" s="4">
        <f t="shared" si="1"/>
        <v>61</v>
      </c>
      <c r="R33" s="19"/>
    </row>
    <row r="34" spans="1:18" x14ac:dyDescent="0.25">
      <c r="A34" s="4">
        <v>29</v>
      </c>
      <c r="B34" s="4" t="s">
        <v>320</v>
      </c>
      <c r="C34" s="4" t="s">
        <v>321</v>
      </c>
      <c r="D34" s="4" t="s">
        <v>7</v>
      </c>
      <c r="E34" s="4"/>
      <c r="F34" s="4">
        <v>5</v>
      </c>
      <c r="G34" s="4">
        <v>3</v>
      </c>
      <c r="H34" s="4">
        <v>10</v>
      </c>
      <c r="I34" s="4">
        <v>3</v>
      </c>
      <c r="J34" s="4"/>
      <c r="K34" s="4"/>
      <c r="L34" s="4"/>
      <c r="M34" s="4">
        <v>10</v>
      </c>
      <c r="N34" s="4">
        <v>15</v>
      </c>
      <c r="O34" s="4">
        <v>10</v>
      </c>
      <c r="P34" s="4">
        <v>0</v>
      </c>
      <c r="Q34" s="4">
        <f t="shared" si="1"/>
        <v>56</v>
      </c>
      <c r="R34" s="1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19"/>
    </row>
    <row r="37" spans="1:18" x14ac:dyDescent="0.25">
      <c r="A37" s="4"/>
      <c r="B37" s="4"/>
      <c r="C37" s="4"/>
      <c r="D37" s="4"/>
      <c r="E37" s="4"/>
      <c r="F37" s="4">
        <f>SUM(F30:F36)</f>
        <v>25</v>
      </c>
      <c r="G37" s="4">
        <f>SUM(G30:G36)</f>
        <v>12</v>
      </c>
      <c r="H37" s="4">
        <f>SUM(H30:H36)</f>
        <v>38</v>
      </c>
      <c r="I37" s="4">
        <f>SUM(I30:I36)</f>
        <v>15</v>
      </c>
      <c r="J37" s="4"/>
      <c r="K37" s="4">
        <f>SUM(K30:K36)</f>
        <v>8</v>
      </c>
      <c r="L37" s="4"/>
      <c r="M37" s="4">
        <f>SUM(M30:M36)</f>
        <v>50</v>
      </c>
      <c r="N37" s="4">
        <f>SUM(N30:N36)</f>
        <v>75</v>
      </c>
      <c r="O37" s="4">
        <f>SUM(O30:O36)</f>
        <v>64</v>
      </c>
      <c r="P37" s="4">
        <f>SUM(P30:P36)</f>
        <v>50</v>
      </c>
      <c r="Q37" s="4">
        <f>SUM(F37:P37)</f>
        <v>337</v>
      </c>
      <c r="R37" s="1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19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19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19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9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9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9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9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9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9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9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19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19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19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19"/>
    </row>
    <row r="52" spans="1:18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19"/>
    </row>
    <row r="53" spans="1:18" x14ac:dyDescent="0.25">
      <c r="A53" s="4"/>
      <c r="B53" s="1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19"/>
    </row>
    <row r="54" spans="1:18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9"/>
    </row>
    <row r="55" spans="1: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19"/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19"/>
    </row>
    <row r="57" spans="1: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19"/>
    </row>
    <row r="58" spans="1:18" x14ac:dyDescent="0.25">
      <c r="A58" s="4"/>
      <c r="B58" s="1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19"/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19"/>
    </row>
    <row r="60" spans="1: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19"/>
    </row>
    <row r="61" spans="1: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19"/>
    </row>
    <row r="62" spans="1: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19"/>
    </row>
    <row r="63" spans="1: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19"/>
    </row>
    <row r="64" spans="1:1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19"/>
    </row>
    <row r="65" spans="1:1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19"/>
    </row>
    <row r="66" spans="1:18" x14ac:dyDescent="0.25">
      <c r="A66" s="11"/>
      <c r="B66" s="11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11"/>
      <c r="R66" s="19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9"/>
    </row>
    <row r="68" spans="1:18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31"/>
    </row>
    <row r="69" spans="1:18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29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9"/>
    </row>
    <row r="71" spans="1:1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19"/>
    </row>
    <row r="72" spans="1:1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19"/>
    </row>
    <row r="73" spans="1:18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19"/>
    </row>
    <row r="74" spans="1:18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19"/>
    </row>
    <row r="75" spans="1:18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19"/>
    </row>
    <row r="76" spans="1:18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19"/>
    </row>
    <row r="77" spans="1:18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19"/>
    </row>
    <row r="78" spans="1:18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19"/>
    </row>
    <row r="79" spans="1:18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19"/>
    </row>
    <row r="80" spans="1:18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19"/>
    </row>
    <row r="81" spans="1:18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19"/>
    </row>
    <row r="82" spans="1:18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19"/>
    </row>
    <row r="83" spans="1:18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19"/>
    </row>
    <row r="84" spans="1:18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19"/>
    </row>
    <row r="85" spans="1:18" x14ac:dyDescent="0.2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60"/>
    </row>
    <row r="86" spans="1:18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28"/>
    </row>
    <row r="87" spans="1:18" x14ac:dyDescent="0.2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60"/>
    </row>
    <row r="88" spans="1:18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31"/>
    </row>
    <row r="89" spans="1:18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9"/>
    </row>
    <row r="90" spans="1:18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9"/>
    </row>
    <row r="91" spans="1:18" x14ac:dyDescent="0.25">
      <c r="A91" s="4"/>
      <c r="B91" s="20"/>
      <c r="C91" s="20"/>
      <c r="D91" s="10"/>
      <c r="E91" s="1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/>
    </row>
    <row r="92" spans="1:18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19"/>
    </row>
    <row r="93" spans="1:18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9"/>
    </row>
    <row r="94" spans="1:18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9"/>
    </row>
    <row r="95" spans="1:18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9"/>
    </row>
    <row r="96" spans="1:18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9"/>
    </row>
    <row r="97" spans="1:18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9"/>
    </row>
    <row r="98" spans="1:18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9"/>
    </row>
    <row r="99" spans="1:18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9"/>
    </row>
    <row r="100" spans="1:18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9"/>
    </row>
    <row r="101" spans="1:18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9"/>
    </row>
    <row r="102" spans="1:18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9"/>
    </row>
    <row r="103" spans="1:18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9"/>
    </row>
    <row r="104" spans="1:18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9"/>
    </row>
    <row r="105" spans="1:18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9"/>
    </row>
    <row r="106" spans="1:18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9"/>
    </row>
    <row r="107" spans="1:18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9"/>
    </row>
    <row r="108" spans="1:18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9"/>
    </row>
    <row r="109" spans="1:1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9"/>
    </row>
    <row r="110" spans="1:1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9"/>
    </row>
    <row r="111" spans="1:1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9"/>
    </row>
    <row r="112" spans="1:1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9"/>
    </row>
    <row r="113" spans="1:18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9"/>
    </row>
    <row r="114" spans="1:18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9"/>
    </row>
    <row r="115" spans="1:18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9"/>
    </row>
    <row r="116" spans="1:18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9"/>
    </row>
    <row r="117" spans="1:18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31"/>
    </row>
    <row r="118" spans="1:18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31"/>
    </row>
    <row r="119" spans="1:18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9"/>
    </row>
    <row r="120" spans="1:18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9"/>
    </row>
    <row r="121" spans="1:18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9"/>
    </row>
    <row r="122" spans="1:18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6"/>
    </row>
    <row r="123" spans="1:18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9"/>
    </row>
    <row r="124" spans="1:18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32"/>
    </row>
    <row r="125" spans="1:18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32"/>
    </row>
    <row r="126" spans="1:1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19" t="s">
        <v>81</v>
      </c>
    </row>
    <row r="127" spans="1:18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31" t="s">
        <v>82</v>
      </c>
    </row>
    <row r="128" spans="1:18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31" t="s">
        <v>81</v>
      </c>
    </row>
    <row r="129" spans="1:1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19" t="s">
        <v>81</v>
      </c>
    </row>
    <row r="130" spans="1:1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19" t="s">
        <v>81</v>
      </c>
    </row>
    <row r="131" spans="1:1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19" t="s">
        <v>81</v>
      </c>
    </row>
    <row r="132" spans="1:1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19" t="s">
        <v>81</v>
      </c>
    </row>
    <row r="133" spans="1:18" ht="3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19" t="s">
        <v>83</v>
      </c>
    </row>
    <row r="134" spans="1:1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9" t="s">
        <v>82</v>
      </c>
    </row>
    <row r="135" spans="1:1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19" t="s">
        <v>84</v>
      </c>
    </row>
    <row r="136" spans="1:1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19" t="s">
        <v>82</v>
      </c>
    </row>
    <row r="137" spans="1:18" ht="3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19" t="s">
        <v>83</v>
      </c>
    </row>
    <row r="138" spans="1:18" ht="3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19" t="s">
        <v>85</v>
      </c>
    </row>
    <row r="139" spans="1:1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9" t="s">
        <v>82</v>
      </c>
    </row>
    <row r="140" spans="1:18" ht="3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19" t="s">
        <v>86</v>
      </c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19" t="s">
        <v>80</v>
      </c>
    </row>
    <row r="142" spans="1:18" ht="3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19" t="s">
        <v>87</v>
      </c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19" t="s">
        <v>80</v>
      </c>
    </row>
    <row r="144" spans="1:18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31" t="s">
        <v>80</v>
      </c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19" t="s">
        <v>80</v>
      </c>
    </row>
    <row r="146" spans="1:18" ht="3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19" t="s">
        <v>88</v>
      </c>
    </row>
    <row r="147" spans="1:18" ht="30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31" t="s">
        <v>88</v>
      </c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19" t="s">
        <v>80</v>
      </c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19" t="s">
        <v>89</v>
      </c>
    </row>
    <row r="150" spans="1:18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31" t="s">
        <v>81</v>
      </c>
    </row>
    <row r="151" spans="1:18" x14ac:dyDescent="0.25">
      <c r="A151" s="11"/>
      <c r="B151" s="11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1"/>
      <c r="R151" s="31" t="s">
        <v>81</v>
      </c>
    </row>
    <row r="152" spans="1:18" x14ac:dyDescent="0.25">
      <c r="A152" s="4"/>
      <c r="B152" s="11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19"/>
    </row>
    <row r="153" spans="1:18" x14ac:dyDescent="0.25">
      <c r="R153" s="27"/>
    </row>
    <row r="154" spans="1:18" x14ac:dyDescent="0.25">
      <c r="R154" s="27"/>
    </row>
    <row r="155" spans="1:18" x14ac:dyDescent="0.25">
      <c r="R155" s="27"/>
    </row>
    <row r="156" spans="1:18" x14ac:dyDescent="0.25">
      <c r="R156" s="27"/>
    </row>
    <row r="157" spans="1:18" x14ac:dyDescent="0.25">
      <c r="R157" s="27"/>
    </row>
    <row r="158" spans="1:18" x14ac:dyDescent="0.25">
      <c r="R158" s="27"/>
    </row>
    <row r="159" spans="1:18" x14ac:dyDescent="0.25">
      <c r="R159" s="27"/>
    </row>
    <row r="160" spans="1:18" x14ac:dyDescent="0.25">
      <c r="R160" s="27"/>
    </row>
    <row r="161" spans="18:18" x14ac:dyDescent="0.25">
      <c r="R161" s="27"/>
    </row>
    <row r="162" spans="18:18" x14ac:dyDescent="0.25">
      <c r="R162" s="27"/>
    </row>
    <row r="163" spans="18:18" x14ac:dyDescent="0.25">
      <c r="R163" s="27"/>
    </row>
    <row r="164" spans="18:18" x14ac:dyDescent="0.25">
      <c r="R164" s="27"/>
    </row>
    <row r="165" spans="18:18" x14ac:dyDescent="0.25">
      <c r="R165" s="27"/>
    </row>
    <row r="166" spans="18:18" x14ac:dyDescent="0.25">
      <c r="R166" s="27"/>
    </row>
    <row r="167" spans="18:18" x14ac:dyDescent="0.25">
      <c r="R167" s="27"/>
    </row>
    <row r="168" spans="18:18" x14ac:dyDescent="0.25">
      <c r="R168" s="27"/>
    </row>
    <row r="169" spans="18:18" x14ac:dyDescent="0.25">
      <c r="R169" s="27"/>
    </row>
    <row r="170" spans="18:18" x14ac:dyDescent="0.25">
      <c r="R170" s="27"/>
    </row>
    <row r="171" spans="18:18" x14ac:dyDescent="0.25">
      <c r="R171" s="27"/>
    </row>
    <row r="172" spans="18:18" x14ac:dyDescent="0.25">
      <c r="R172" s="27"/>
    </row>
    <row r="173" spans="18:18" x14ac:dyDescent="0.25">
      <c r="R173" s="27"/>
    </row>
    <row r="174" spans="18:18" x14ac:dyDescent="0.25">
      <c r="R174" s="27"/>
    </row>
    <row r="175" spans="18:18" x14ac:dyDescent="0.25">
      <c r="R175" s="27"/>
    </row>
    <row r="176" spans="18:18" x14ac:dyDescent="0.25">
      <c r="R176" s="27"/>
    </row>
    <row r="177" spans="18:18" x14ac:dyDescent="0.25">
      <c r="R177" s="27"/>
    </row>
    <row r="178" spans="18:18" x14ac:dyDescent="0.25">
      <c r="R178" s="27"/>
    </row>
    <row r="179" spans="18:18" x14ac:dyDescent="0.25">
      <c r="R179" s="27"/>
    </row>
    <row r="180" spans="18:18" x14ac:dyDescent="0.25">
      <c r="R180" s="27"/>
    </row>
    <row r="181" spans="18:18" x14ac:dyDescent="0.25">
      <c r="R181" s="27"/>
    </row>
    <row r="182" spans="18:18" x14ac:dyDescent="0.25">
      <c r="R182" s="27"/>
    </row>
    <row r="183" spans="18:18" x14ac:dyDescent="0.25">
      <c r="R183" s="27"/>
    </row>
    <row r="184" spans="18:18" x14ac:dyDescent="0.25">
      <c r="R184" s="27"/>
    </row>
    <row r="185" spans="18:18" x14ac:dyDescent="0.25">
      <c r="R185" s="27"/>
    </row>
    <row r="186" spans="18:18" x14ac:dyDescent="0.25">
      <c r="R186" s="27"/>
    </row>
    <row r="187" spans="18:18" x14ac:dyDescent="0.25">
      <c r="R187" s="27"/>
    </row>
    <row r="188" spans="18:18" x14ac:dyDescent="0.25">
      <c r="R188" s="27"/>
    </row>
    <row r="189" spans="18:18" x14ac:dyDescent="0.25">
      <c r="R189" s="27"/>
    </row>
    <row r="190" spans="18:18" x14ac:dyDescent="0.25">
      <c r="R190" s="27"/>
    </row>
    <row r="191" spans="18:18" x14ac:dyDescent="0.25">
      <c r="R191" s="27"/>
    </row>
    <row r="192" spans="18:18" x14ac:dyDescent="0.25">
      <c r="R192" s="27"/>
    </row>
    <row r="193" spans="18:18" x14ac:dyDescent="0.25">
      <c r="R193" s="27"/>
    </row>
    <row r="194" spans="18:18" x14ac:dyDescent="0.25">
      <c r="R194" s="27"/>
    </row>
    <row r="195" spans="18:18" x14ac:dyDescent="0.25">
      <c r="R195" s="27"/>
    </row>
    <row r="196" spans="18:18" x14ac:dyDescent="0.25">
      <c r="R196" s="27"/>
    </row>
    <row r="197" spans="18:18" x14ac:dyDescent="0.25">
      <c r="R197" s="27"/>
    </row>
    <row r="198" spans="18:18" x14ac:dyDescent="0.25">
      <c r="R198" s="27"/>
    </row>
    <row r="199" spans="18:18" x14ac:dyDescent="0.25">
      <c r="R199" s="27"/>
    </row>
    <row r="200" spans="18:18" x14ac:dyDescent="0.25">
      <c r="R200" s="27"/>
    </row>
    <row r="201" spans="18:18" x14ac:dyDescent="0.25">
      <c r="R201" s="27"/>
    </row>
    <row r="202" spans="18:18" x14ac:dyDescent="0.25">
      <c r="R202" s="27"/>
    </row>
    <row r="203" spans="18:18" x14ac:dyDescent="0.25">
      <c r="R203" s="27"/>
    </row>
    <row r="204" spans="18:18" x14ac:dyDescent="0.25">
      <c r="R204" s="27"/>
    </row>
    <row r="205" spans="18:18" x14ac:dyDescent="0.25">
      <c r="R205" s="27"/>
    </row>
    <row r="206" spans="18:18" x14ac:dyDescent="0.25">
      <c r="R206" s="27"/>
    </row>
    <row r="207" spans="18:18" x14ac:dyDescent="0.25">
      <c r="R207" s="27"/>
    </row>
    <row r="208" spans="18:18" x14ac:dyDescent="0.25">
      <c r="R208" s="27"/>
    </row>
    <row r="209" spans="18:18" x14ac:dyDescent="0.25">
      <c r="R209" s="27"/>
    </row>
    <row r="210" spans="18:18" x14ac:dyDescent="0.25">
      <c r="R210" s="27"/>
    </row>
    <row r="211" spans="18:18" x14ac:dyDescent="0.25">
      <c r="R211" s="27"/>
    </row>
    <row r="212" spans="18:18" x14ac:dyDescent="0.25">
      <c r="R212" s="27"/>
    </row>
    <row r="213" spans="18:18" x14ac:dyDescent="0.25">
      <c r="R213" s="27"/>
    </row>
    <row r="214" spans="18:18" x14ac:dyDescent="0.25">
      <c r="R214" s="27"/>
    </row>
    <row r="215" spans="18:18" x14ac:dyDescent="0.25">
      <c r="R215" s="27"/>
    </row>
    <row r="216" spans="18:18" x14ac:dyDescent="0.25">
      <c r="R216" s="27"/>
    </row>
    <row r="217" spans="18:18" x14ac:dyDescent="0.25">
      <c r="R217" s="27"/>
    </row>
    <row r="218" spans="18:18" x14ac:dyDescent="0.25">
      <c r="R218" s="27"/>
    </row>
    <row r="219" spans="18:18" x14ac:dyDescent="0.25">
      <c r="R219" s="27"/>
    </row>
    <row r="220" spans="18:18" x14ac:dyDescent="0.25">
      <c r="R220" s="27"/>
    </row>
    <row r="221" spans="18:18" x14ac:dyDescent="0.25">
      <c r="R221" s="27"/>
    </row>
    <row r="222" spans="18:18" x14ac:dyDescent="0.25">
      <c r="R222" s="27"/>
    </row>
    <row r="223" spans="18:18" x14ac:dyDescent="0.25">
      <c r="R223" s="27"/>
    </row>
    <row r="224" spans="18:18" x14ac:dyDescent="0.25">
      <c r="R224" s="27"/>
    </row>
    <row r="225" spans="18:18" x14ac:dyDescent="0.25">
      <c r="R225" s="27"/>
    </row>
    <row r="226" spans="18:18" x14ac:dyDescent="0.25">
      <c r="R226" s="27"/>
    </row>
    <row r="227" spans="18:18" x14ac:dyDescent="0.25">
      <c r="R227" s="27"/>
    </row>
    <row r="228" spans="18:18" x14ac:dyDescent="0.25">
      <c r="R228" s="27"/>
    </row>
    <row r="229" spans="18:18" x14ac:dyDescent="0.25">
      <c r="R229" s="27"/>
    </row>
    <row r="230" spans="18:18" x14ac:dyDescent="0.25">
      <c r="R230" s="27"/>
    </row>
    <row r="231" spans="18:18" x14ac:dyDescent="0.25">
      <c r="R231" s="27"/>
    </row>
    <row r="232" spans="18:18" x14ac:dyDescent="0.25">
      <c r="R232" s="27"/>
    </row>
    <row r="233" spans="18:18" x14ac:dyDescent="0.25">
      <c r="R233" s="27"/>
    </row>
    <row r="234" spans="18:18" x14ac:dyDescent="0.25">
      <c r="R234" s="27"/>
    </row>
    <row r="235" spans="18:18" x14ac:dyDescent="0.25">
      <c r="R235" s="27"/>
    </row>
    <row r="236" spans="18:18" x14ac:dyDescent="0.25">
      <c r="R236" s="27"/>
    </row>
    <row r="237" spans="18:18" x14ac:dyDescent="0.25">
      <c r="R237" s="27"/>
    </row>
    <row r="238" spans="18:18" x14ac:dyDescent="0.25">
      <c r="R238" s="27"/>
    </row>
    <row r="239" spans="18:18" x14ac:dyDescent="0.25">
      <c r="R239" s="27"/>
    </row>
    <row r="240" spans="18:18" x14ac:dyDescent="0.25">
      <c r="R240" s="27"/>
    </row>
    <row r="241" spans="18:18" x14ac:dyDescent="0.25">
      <c r="R241" s="27"/>
    </row>
    <row r="242" spans="18:18" x14ac:dyDescent="0.25">
      <c r="R242" s="27"/>
    </row>
    <row r="243" spans="18:18" x14ac:dyDescent="0.25">
      <c r="R243" s="27"/>
    </row>
    <row r="244" spans="18:18" x14ac:dyDescent="0.25">
      <c r="R244" s="27"/>
    </row>
    <row r="245" spans="18:18" x14ac:dyDescent="0.25">
      <c r="R245" s="27"/>
    </row>
    <row r="246" spans="18:18" x14ac:dyDescent="0.25">
      <c r="R246" s="27"/>
    </row>
    <row r="247" spans="18:18" x14ac:dyDescent="0.25">
      <c r="R247" s="27"/>
    </row>
    <row r="248" spans="18:18" x14ac:dyDescent="0.25">
      <c r="R248" s="27"/>
    </row>
    <row r="249" spans="18:18" x14ac:dyDescent="0.25">
      <c r="R249" s="27"/>
    </row>
    <row r="250" spans="18:18" x14ac:dyDescent="0.25">
      <c r="R250" s="27"/>
    </row>
    <row r="251" spans="18:18" x14ac:dyDescent="0.25">
      <c r="R251" s="27"/>
    </row>
    <row r="252" spans="18:18" x14ac:dyDescent="0.25">
      <c r="R252" s="27"/>
    </row>
    <row r="253" spans="18:18" x14ac:dyDescent="0.25">
      <c r="R253" s="27"/>
    </row>
    <row r="254" spans="18:18" x14ac:dyDescent="0.25">
      <c r="R254" s="27"/>
    </row>
    <row r="255" spans="18:18" x14ac:dyDescent="0.25">
      <c r="R255" s="27"/>
    </row>
    <row r="256" spans="18:18" x14ac:dyDescent="0.25">
      <c r="R256" s="27"/>
    </row>
    <row r="257" spans="18:18" x14ac:dyDescent="0.25">
      <c r="R257" s="27"/>
    </row>
    <row r="258" spans="18:18" x14ac:dyDescent="0.25">
      <c r="R258" s="27"/>
    </row>
    <row r="259" spans="18:18" x14ac:dyDescent="0.25">
      <c r="R259" s="27"/>
    </row>
    <row r="260" spans="18:18" x14ac:dyDescent="0.25">
      <c r="R260" s="27"/>
    </row>
    <row r="261" spans="18:18" x14ac:dyDescent="0.25">
      <c r="R261" s="27"/>
    </row>
    <row r="262" spans="18:18" x14ac:dyDescent="0.25">
      <c r="R262" s="27"/>
    </row>
    <row r="263" spans="18:18" x14ac:dyDescent="0.25">
      <c r="R263" s="27"/>
    </row>
    <row r="264" spans="18:18" x14ac:dyDescent="0.25">
      <c r="R264" s="27"/>
    </row>
    <row r="265" spans="18:18" x14ac:dyDescent="0.25">
      <c r="R265" s="27"/>
    </row>
    <row r="266" spans="18:18" x14ac:dyDescent="0.25">
      <c r="R266" s="27"/>
    </row>
    <row r="267" spans="18:18" x14ac:dyDescent="0.25">
      <c r="R267" s="27"/>
    </row>
    <row r="268" spans="18:18" x14ac:dyDescent="0.25">
      <c r="R268" s="27"/>
    </row>
    <row r="269" spans="18:18" x14ac:dyDescent="0.25">
      <c r="R269" s="27"/>
    </row>
    <row r="270" spans="18:18" x14ac:dyDescent="0.25">
      <c r="R270" s="27"/>
    </row>
    <row r="271" spans="18:18" x14ac:dyDescent="0.25">
      <c r="R271" s="27"/>
    </row>
    <row r="272" spans="18:18" x14ac:dyDescent="0.25">
      <c r="R272" s="27"/>
    </row>
    <row r="273" spans="18:18" x14ac:dyDescent="0.25">
      <c r="R273" s="27"/>
    </row>
    <row r="274" spans="18:18" x14ac:dyDescent="0.25">
      <c r="R274" s="27"/>
    </row>
    <row r="275" spans="18:18" x14ac:dyDescent="0.25">
      <c r="R275" s="27"/>
    </row>
    <row r="276" spans="18:18" x14ac:dyDescent="0.25">
      <c r="R276" s="27"/>
    </row>
    <row r="277" spans="18:18" x14ac:dyDescent="0.25">
      <c r="R277" s="27"/>
    </row>
    <row r="278" spans="18:18" x14ac:dyDescent="0.25">
      <c r="R278" s="27"/>
    </row>
    <row r="279" spans="18:18" x14ac:dyDescent="0.25">
      <c r="R279" s="27"/>
    </row>
    <row r="280" spans="18:18" x14ac:dyDescent="0.25">
      <c r="R280" s="27"/>
    </row>
    <row r="281" spans="18:18" x14ac:dyDescent="0.25">
      <c r="R281" s="27"/>
    </row>
    <row r="282" spans="18:18" x14ac:dyDescent="0.25">
      <c r="R282" s="27"/>
    </row>
    <row r="283" spans="18:18" x14ac:dyDescent="0.25">
      <c r="R283" s="27"/>
    </row>
    <row r="284" spans="18:18" x14ac:dyDescent="0.25">
      <c r="R284" s="27"/>
    </row>
    <row r="285" spans="18:18" x14ac:dyDescent="0.25">
      <c r="R285" s="27"/>
    </row>
    <row r="286" spans="18:18" x14ac:dyDescent="0.25">
      <c r="R286" s="27"/>
    </row>
    <row r="287" spans="18:18" x14ac:dyDescent="0.25">
      <c r="R287" s="27"/>
    </row>
    <row r="288" spans="18:18" x14ac:dyDescent="0.25">
      <c r="R288" s="27"/>
    </row>
    <row r="289" spans="18:18" x14ac:dyDescent="0.25">
      <c r="R289" s="27"/>
    </row>
    <row r="290" spans="18:18" x14ac:dyDescent="0.25">
      <c r="R290" s="27"/>
    </row>
  </sheetData>
  <mergeCells count="2">
    <mergeCell ref="A3:R3"/>
    <mergeCell ref="A4:R4"/>
  </mergeCells>
  <pageMargins left="0.7" right="0.7" top="0.75" bottom="0.75" header="0.3" footer="0.3"/>
  <pageSetup paperSize="8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view="pageBreakPreview" zoomScale="60" zoomScaleNormal="100" workbookViewId="0">
      <selection activeCell="G10" sqref="G10"/>
    </sheetView>
  </sheetViews>
  <sheetFormatPr defaultRowHeight="15" x14ac:dyDescent="0.25"/>
  <cols>
    <col min="2" max="2" width="38.42578125" customWidth="1"/>
    <col min="3" max="3" width="26.85546875" customWidth="1"/>
    <col min="17" max="17" width="38.140625" style="27" customWidth="1"/>
  </cols>
  <sheetData>
    <row r="1" spans="1:17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s="5" customFormat="1" ht="21" x14ac:dyDescent="0.35">
      <c r="A2" s="124" t="s">
        <v>42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7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43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7" s="99" customFormat="1" x14ac:dyDescent="0.25">
      <c r="A4" s="97">
        <v>1</v>
      </c>
      <c r="B4" s="97" t="s">
        <v>75</v>
      </c>
      <c r="C4" s="97" t="s">
        <v>76</v>
      </c>
      <c r="D4" s="97">
        <v>5</v>
      </c>
      <c r="E4" s="97">
        <v>3</v>
      </c>
      <c r="F4" s="97">
        <v>10</v>
      </c>
      <c r="G4" s="97">
        <v>3</v>
      </c>
      <c r="H4" s="97">
        <v>3</v>
      </c>
      <c r="I4" s="97">
        <v>3</v>
      </c>
      <c r="J4" s="97">
        <v>3</v>
      </c>
      <c r="K4" s="97">
        <v>0</v>
      </c>
      <c r="L4" s="97">
        <v>10</v>
      </c>
      <c r="M4" s="97">
        <v>14</v>
      </c>
      <c r="N4" s="97">
        <v>9</v>
      </c>
      <c r="O4" s="97">
        <v>15</v>
      </c>
      <c r="P4" s="97">
        <f>SUM(D4:O4)+7</f>
        <v>85</v>
      </c>
      <c r="Q4" s="98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9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9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9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9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9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9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9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9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9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9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9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9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9"/>
    </row>
    <row r="19" spans="1:17" s="16" customForma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32"/>
    </row>
    <row r="20" spans="1:17" s="16" customForma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32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9"/>
    </row>
    <row r="22" spans="1:17" x14ac:dyDescent="0.25">
      <c r="A22" s="4"/>
      <c r="B22" s="1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9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9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9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9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9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9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19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9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9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9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19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9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9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9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9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19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19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19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19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19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19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19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9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19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19"/>
    </row>
    <row r="47" spans="1:17" x14ac:dyDescent="0.25">
      <c r="A47" s="4"/>
      <c r="Q47" s="19"/>
    </row>
  </sheetData>
  <sortState ref="A4:Q18">
    <sortCondition descending="1" ref="P4:P18"/>
  </sortState>
  <mergeCells count="2">
    <mergeCell ref="A1:Q1"/>
    <mergeCell ref="A2:Q2"/>
  </mergeCells>
  <pageMargins left="0.7" right="0.7" top="0.75" bottom="0.75" header="0.3" footer="0.3"/>
  <pageSetup paperSize="8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9"/>
  <sheetViews>
    <sheetView zoomScale="85" zoomScaleNormal="85" workbookViewId="0">
      <selection activeCell="I15" sqref="I15"/>
    </sheetView>
  </sheetViews>
  <sheetFormatPr defaultRowHeight="15" x14ac:dyDescent="0.25"/>
  <cols>
    <col min="1" max="1" width="4.7109375" customWidth="1"/>
    <col min="2" max="2" width="16.140625" customWidth="1"/>
    <col min="3" max="3" width="22.42578125" customWidth="1"/>
  </cols>
  <sheetData>
    <row r="2" spans="1:18" ht="21" x14ac:dyDescent="0.35">
      <c r="A2" s="124" t="s">
        <v>325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21" x14ac:dyDescent="0.35">
      <c r="A3" s="124" t="s">
        <v>44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4" spans="1:18" ht="147" x14ac:dyDescent="0.25">
      <c r="A4" s="1" t="s">
        <v>6</v>
      </c>
      <c r="B4" s="2" t="s">
        <v>26</v>
      </c>
      <c r="C4" s="2" t="s">
        <v>1</v>
      </c>
      <c r="D4" s="1" t="s">
        <v>23</v>
      </c>
      <c r="E4" s="1" t="s">
        <v>3</v>
      </c>
      <c r="F4" s="1" t="s">
        <v>8</v>
      </c>
      <c r="G4" s="1" t="s">
        <v>27</v>
      </c>
      <c r="H4" s="1" t="s">
        <v>4</v>
      </c>
      <c r="I4" s="1" t="s">
        <v>9</v>
      </c>
      <c r="J4" s="2" t="s">
        <v>10</v>
      </c>
      <c r="K4" s="2" t="s">
        <v>11</v>
      </c>
      <c r="L4" s="1" t="s">
        <v>12</v>
      </c>
      <c r="M4" s="1" t="s">
        <v>14</v>
      </c>
      <c r="N4" s="1" t="s">
        <v>15</v>
      </c>
      <c r="O4" s="1" t="s">
        <v>16</v>
      </c>
      <c r="P4" s="1" t="s">
        <v>13</v>
      </c>
      <c r="Q4" s="26" t="s">
        <v>40</v>
      </c>
      <c r="R4" s="1" t="s">
        <v>21</v>
      </c>
    </row>
    <row r="5" spans="1:18" ht="28.5" customHeight="1" x14ac:dyDescent="0.25">
      <c r="A5" s="4"/>
      <c r="B5" s="19"/>
      <c r="C5" s="4"/>
      <c r="D5" s="4"/>
      <c r="E5" s="4"/>
      <c r="F5" s="4"/>
      <c r="G5" s="4"/>
      <c r="H5" s="37"/>
      <c r="I5" s="4"/>
      <c r="J5" s="4"/>
      <c r="K5" s="4"/>
      <c r="L5" s="4"/>
      <c r="M5" s="4"/>
      <c r="N5" s="4"/>
      <c r="O5" s="4"/>
      <c r="P5" s="4"/>
      <c r="Q5" s="22"/>
      <c r="R5" s="19"/>
    </row>
    <row r="6" spans="1:18" s="75" customFormat="1" ht="30" customHeight="1" x14ac:dyDescent="0.25">
      <c r="A6" s="72">
        <v>1</v>
      </c>
      <c r="B6" s="74" t="s">
        <v>331</v>
      </c>
      <c r="C6" s="72" t="s">
        <v>332</v>
      </c>
      <c r="D6" s="72">
        <v>5</v>
      </c>
      <c r="E6" s="72">
        <v>3</v>
      </c>
      <c r="F6" s="72">
        <v>5</v>
      </c>
      <c r="G6" s="72">
        <v>3</v>
      </c>
      <c r="H6" s="75">
        <v>3</v>
      </c>
      <c r="I6" s="72">
        <v>3</v>
      </c>
      <c r="J6" s="72">
        <v>0</v>
      </c>
      <c r="K6" s="72">
        <v>0</v>
      </c>
      <c r="L6" s="72"/>
      <c r="M6" s="72">
        <v>5</v>
      </c>
      <c r="N6" s="72">
        <v>5</v>
      </c>
      <c r="O6" s="72">
        <v>10</v>
      </c>
      <c r="P6" s="72">
        <f>SUM(D6:O6)</f>
        <v>42</v>
      </c>
      <c r="Q6" s="73"/>
      <c r="R6" s="74"/>
    </row>
    <row r="7" spans="1:18" x14ac:dyDescent="0.25">
      <c r="A7">
        <v>2</v>
      </c>
      <c r="B7" t="s">
        <v>297</v>
      </c>
      <c r="C7" t="s">
        <v>333</v>
      </c>
      <c r="D7">
        <v>5</v>
      </c>
      <c r="E7">
        <v>3</v>
      </c>
      <c r="F7">
        <v>10</v>
      </c>
      <c r="G7">
        <v>3</v>
      </c>
      <c r="H7">
        <v>0</v>
      </c>
      <c r="I7">
        <v>3</v>
      </c>
      <c r="M7">
        <v>12</v>
      </c>
      <c r="N7">
        <v>10</v>
      </c>
      <c r="O7">
        <v>10</v>
      </c>
      <c r="P7">
        <f>SUM(D7:O7)</f>
        <v>56</v>
      </c>
    </row>
    <row r="8" spans="1:18" x14ac:dyDescent="0.25">
      <c r="A8">
        <v>3</v>
      </c>
      <c r="B8" t="s">
        <v>334</v>
      </c>
      <c r="C8" t="s">
        <v>335</v>
      </c>
      <c r="D8">
        <v>5</v>
      </c>
      <c r="E8">
        <v>0</v>
      </c>
      <c r="F8">
        <v>10</v>
      </c>
      <c r="G8">
        <v>3</v>
      </c>
      <c r="H8">
        <v>0</v>
      </c>
      <c r="I8">
        <v>3</v>
      </c>
      <c r="M8">
        <v>10</v>
      </c>
      <c r="N8">
        <v>7</v>
      </c>
      <c r="O8">
        <v>5</v>
      </c>
      <c r="P8">
        <f>SUM(D8:O8)</f>
        <v>43</v>
      </c>
    </row>
    <row r="9" spans="1:18" x14ac:dyDescent="0.25">
      <c r="A9">
        <v>4</v>
      </c>
      <c r="B9" t="s">
        <v>336</v>
      </c>
      <c r="C9" t="s">
        <v>337</v>
      </c>
      <c r="D9">
        <v>5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M9">
        <v>10</v>
      </c>
      <c r="N9">
        <v>15</v>
      </c>
      <c r="O9">
        <v>10</v>
      </c>
      <c r="P9">
        <f>SUM(D9:O9)</f>
        <v>58</v>
      </c>
    </row>
  </sheetData>
  <mergeCells count="2">
    <mergeCell ref="A2:R2"/>
    <mergeCell ref="A3:R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zoomScale="85" zoomScaleNormal="85" workbookViewId="0">
      <selection activeCell="J21" sqref="J21"/>
    </sheetView>
  </sheetViews>
  <sheetFormatPr defaultRowHeight="15" x14ac:dyDescent="0.25"/>
  <cols>
    <col min="2" max="2" width="14.28515625" customWidth="1"/>
    <col min="3" max="3" width="11.28515625" customWidth="1"/>
  </cols>
  <sheetData>
    <row r="1" spans="1:18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1" x14ac:dyDescent="0.35">
      <c r="A2" s="124" t="s">
        <v>45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1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6" t="s">
        <v>40</v>
      </c>
      <c r="R3" s="1" t="s">
        <v>21</v>
      </c>
    </row>
    <row r="4" spans="1:18" x14ac:dyDescent="0.25">
      <c r="A4" s="4">
        <v>1</v>
      </c>
      <c r="B4" s="4" t="s">
        <v>92</v>
      </c>
      <c r="C4" s="4" t="s">
        <v>93</v>
      </c>
      <c r="D4" s="4">
        <v>5</v>
      </c>
      <c r="E4" s="4">
        <v>3</v>
      </c>
      <c r="F4" s="4">
        <v>0</v>
      </c>
      <c r="G4" s="4">
        <v>3</v>
      </c>
      <c r="H4" s="4">
        <v>0</v>
      </c>
      <c r="I4" s="4">
        <v>3</v>
      </c>
      <c r="J4" s="4">
        <v>0</v>
      </c>
      <c r="K4" s="4">
        <v>0</v>
      </c>
      <c r="L4" s="4"/>
      <c r="M4" s="4">
        <v>10</v>
      </c>
      <c r="N4" s="4">
        <v>12</v>
      </c>
      <c r="O4" s="4">
        <v>10</v>
      </c>
      <c r="P4" s="4">
        <f>SUM(D4:O4)+7</f>
        <v>53</v>
      </c>
      <c r="Q4" s="22"/>
      <c r="R4" s="19"/>
    </row>
    <row r="5" spans="1:18" s="70" customFormat="1" x14ac:dyDescent="0.25">
      <c r="A5" s="84">
        <v>2</v>
      </c>
      <c r="B5" s="84" t="s">
        <v>356</v>
      </c>
      <c r="C5" s="84" t="s">
        <v>350</v>
      </c>
      <c r="D5" s="84">
        <v>5</v>
      </c>
      <c r="E5" s="84">
        <v>3</v>
      </c>
      <c r="F5" s="84">
        <v>10</v>
      </c>
      <c r="G5" s="84">
        <v>3</v>
      </c>
      <c r="H5" s="84">
        <v>3</v>
      </c>
      <c r="I5" s="84">
        <v>3</v>
      </c>
      <c r="J5" s="84">
        <v>0</v>
      </c>
      <c r="K5" s="84">
        <v>3</v>
      </c>
      <c r="L5" s="84"/>
      <c r="M5" s="84">
        <v>15</v>
      </c>
      <c r="N5" s="84">
        <v>20</v>
      </c>
      <c r="O5" s="84">
        <v>15</v>
      </c>
      <c r="P5" s="84">
        <f>SUM(D5:O5)</f>
        <v>80</v>
      </c>
      <c r="Q5" s="90"/>
      <c r="R5" s="85"/>
    </row>
    <row r="6" spans="1:18" s="70" customFormat="1" x14ac:dyDescent="0.25">
      <c r="A6" s="84">
        <v>4</v>
      </c>
      <c r="B6" s="84" t="s">
        <v>94</v>
      </c>
      <c r="C6" s="84" t="s">
        <v>357</v>
      </c>
      <c r="D6" s="84">
        <v>5</v>
      </c>
      <c r="E6" s="84">
        <v>3</v>
      </c>
      <c r="F6" s="84">
        <v>10</v>
      </c>
      <c r="G6" s="84">
        <v>3</v>
      </c>
      <c r="H6" s="84">
        <v>0</v>
      </c>
      <c r="I6" s="84">
        <v>3</v>
      </c>
      <c r="J6" s="84">
        <v>6</v>
      </c>
      <c r="K6" s="84">
        <v>9</v>
      </c>
      <c r="L6" s="84"/>
      <c r="M6" s="84">
        <v>8</v>
      </c>
      <c r="N6" s="84">
        <v>8</v>
      </c>
      <c r="O6" s="84">
        <v>9</v>
      </c>
      <c r="P6" s="84">
        <f>SUM(D6:O6)</f>
        <v>64</v>
      </c>
      <c r="Q6" s="90"/>
      <c r="R6" s="85"/>
    </row>
    <row r="7" spans="1:18" x14ac:dyDescent="0.25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</row>
    <row r="8" spans="1:18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</row>
    <row r="9" spans="1:18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</row>
  </sheetData>
  <mergeCells count="2">
    <mergeCell ref="A1:R1"/>
    <mergeCell ref="A2:R2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zoomScale="70" zoomScaleNormal="70" workbookViewId="0">
      <selection activeCell="A5" sqref="A4:Q5"/>
    </sheetView>
  </sheetViews>
  <sheetFormatPr defaultRowHeight="15" x14ac:dyDescent="0.25"/>
  <cols>
    <col min="2" max="2" width="31.7109375" style="27" customWidth="1"/>
    <col min="3" max="3" width="27.5703125" customWidth="1"/>
    <col min="18" max="18" width="38" customWidth="1"/>
  </cols>
  <sheetData>
    <row r="1" spans="1:18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46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11.75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6" t="s">
        <v>40</v>
      </c>
      <c r="R3" s="1" t="s">
        <v>21</v>
      </c>
    </row>
    <row r="4" spans="1:18" s="75" customFormat="1" x14ac:dyDescent="0.25">
      <c r="A4" s="72"/>
      <c r="B4" s="74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3"/>
      <c r="R4" s="72"/>
    </row>
    <row r="5" spans="1:18" x14ac:dyDescent="0.25">
      <c r="A5" s="4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2"/>
      <c r="R5" s="19"/>
    </row>
    <row r="6" spans="1:18" x14ac:dyDescent="0.25">
      <c r="A6" s="4"/>
      <c r="B6" s="1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2"/>
      <c r="R6" s="4"/>
    </row>
    <row r="7" spans="1:18" x14ac:dyDescent="0.25">
      <c r="A7" s="4"/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22"/>
      <c r="R7" s="4"/>
    </row>
    <row r="8" spans="1:18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2"/>
      <c r="R8" s="4"/>
    </row>
    <row r="9" spans="1:18" x14ac:dyDescent="0.25">
      <c r="A9" s="4"/>
      <c r="B9" s="1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2"/>
      <c r="R9" s="4"/>
    </row>
    <row r="10" spans="1:18" x14ac:dyDescent="0.25">
      <c r="A10" s="4"/>
      <c r="B10" s="1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2"/>
      <c r="R10" s="4"/>
    </row>
    <row r="11" spans="1:18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2"/>
      <c r="R11" s="4"/>
    </row>
    <row r="12" spans="1:18" x14ac:dyDescent="0.25">
      <c r="A12" s="4"/>
      <c r="B12" s="1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2"/>
      <c r="R12" s="4"/>
    </row>
  </sheetData>
  <mergeCells count="2">
    <mergeCell ref="A1:R1"/>
    <mergeCell ref="A2:R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view="pageBreakPreview" zoomScale="99" zoomScaleNormal="100" zoomScaleSheetLayoutView="70" workbookViewId="0">
      <selection activeCell="Q9" sqref="Q9"/>
    </sheetView>
  </sheetViews>
  <sheetFormatPr defaultRowHeight="15" x14ac:dyDescent="0.25"/>
  <cols>
    <col min="1" max="1" width="9.140625" style="47"/>
    <col min="2" max="2" width="25.85546875" style="41" customWidth="1"/>
    <col min="3" max="3" width="28.85546875" style="47" customWidth="1"/>
    <col min="17" max="17" width="23.5703125" style="27" customWidth="1"/>
  </cols>
  <sheetData>
    <row r="1" spans="1:17" s="5" customFormat="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s="5" customFormat="1" ht="21" x14ac:dyDescent="0.35">
      <c r="A2" s="124" t="s">
        <v>47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7" s="3" customFormat="1" ht="119.25" customHeight="1" x14ac:dyDescent="0.25">
      <c r="A3" s="44" t="s">
        <v>6</v>
      </c>
      <c r="B3" s="42" t="s">
        <v>26</v>
      </c>
      <c r="C3" s="4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355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7" s="75" customFormat="1" x14ac:dyDescent="0.25">
      <c r="A4" s="87">
        <v>4</v>
      </c>
      <c r="B4" s="88" t="s">
        <v>72</v>
      </c>
      <c r="C4" s="87" t="s">
        <v>73</v>
      </c>
      <c r="D4" s="72">
        <v>5</v>
      </c>
      <c r="E4" s="72">
        <v>3</v>
      </c>
      <c r="F4" s="72">
        <v>10</v>
      </c>
      <c r="G4" s="72">
        <v>3</v>
      </c>
      <c r="H4" s="72">
        <v>3</v>
      </c>
      <c r="I4" s="72">
        <v>3</v>
      </c>
      <c r="J4" s="72">
        <v>3</v>
      </c>
      <c r="K4" s="72"/>
      <c r="L4" s="72">
        <v>10</v>
      </c>
      <c r="M4" s="72">
        <v>12</v>
      </c>
      <c r="N4" s="72">
        <v>20</v>
      </c>
      <c r="O4" s="72">
        <v>15</v>
      </c>
      <c r="P4" s="72">
        <f>SUM(D4:O4)</f>
        <v>87</v>
      </c>
      <c r="Q4" s="74"/>
    </row>
    <row r="5" spans="1:17" x14ac:dyDescent="0.25">
      <c r="A5" s="46"/>
      <c r="B5" s="43"/>
      <c r="C5" s="4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9"/>
    </row>
    <row r="6" spans="1:17" x14ac:dyDescent="0.25">
      <c r="A6" s="45"/>
      <c r="B6" s="43"/>
      <c r="C6" s="4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1"/>
      <c r="Q6" s="19"/>
    </row>
    <row r="7" spans="1:17" x14ac:dyDescent="0.25">
      <c r="A7" s="45"/>
      <c r="B7" s="43"/>
      <c r="C7" s="4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9"/>
    </row>
    <row r="8" spans="1:17" x14ac:dyDescent="0.25">
      <c r="A8" s="45"/>
      <c r="B8" s="43"/>
      <c r="C8" s="4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</row>
    <row r="9" spans="1:17" x14ac:dyDescent="0.25">
      <c r="A9" s="46"/>
      <c r="B9" s="43"/>
      <c r="C9" s="4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9"/>
    </row>
    <row r="10" spans="1:17" x14ac:dyDescent="0.25">
      <c r="A10" s="45"/>
      <c r="B10" s="43"/>
      <c r="C10" s="4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9"/>
    </row>
    <row r="11" spans="1:17" x14ac:dyDescent="0.25">
      <c r="A11" s="45"/>
      <c r="B11" s="43"/>
      <c r="C11" s="4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9"/>
    </row>
    <row r="12" spans="1:17" x14ac:dyDescent="0.25">
      <c r="A12" s="45"/>
      <c r="B12" s="43"/>
      <c r="C12" s="4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9"/>
    </row>
    <row r="13" spans="1:17" s="8" customFormat="1" x14ac:dyDescent="0.25">
      <c r="A13" s="61"/>
      <c r="B13" s="62"/>
      <c r="C13" s="6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9"/>
    </row>
    <row r="14" spans="1:17" x14ac:dyDescent="0.25">
      <c r="A14" s="45"/>
      <c r="B14" s="43"/>
      <c r="C14" s="4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9"/>
    </row>
    <row r="15" spans="1:17" x14ac:dyDescent="0.25">
      <c r="A15" s="45"/>
      <c r="B15" s="43"/>
      <c r="C15" s="4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9"/>
    </row>
    <row r="16" spans="1:17" s="70" customFormat="1" x14ac:dyDescent="0.25">
      <c r="A16" s="80"/>
      <c r="B16" s="81"/>
      <c r="C16" s="80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9"/>
    </row>
    <row r="17" spans="1:17" x14ac:dyDescent="0.25">
      <c r="A17" s="46"/>
      <c r="B17" s="43"/>
      <c r="C17" s="46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9"/>
    </row>
    <row r="18" spans="1:17" x14ac:dyDescent="0.25">
      <c r="A18" s="45"/>
      <c r="B18" s="43"/>
      <c r="C18" s="4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9"/>
    </row>
    <row r="19" spans="1:17" x14ac:dyDescent="0.25">
      <c r="A19" s="46"/>
      <c r="B19" s="43"/>
      <c r="C19" s="4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9"/>
    </row>
    <row r="20" spans="1:17" x14ac:dyDescent="0.25">
      <c r="A20" s="45"/>
      <c r="B20" s="43"/>
      <c r="C20" s="4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9"/>
    </row>
    <row r="21" spans="1:17" x14ac:dyDescent="0.25">
      <c r="A21" s="46"/>
      <c r="B21" s="43"/>
      <c r="C21" s="46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9"/>
    </row>
    <row r="22" spans="1:17" x14ac:dyDescent="0.25">
      <c r="A22" s="46"/>
      <c r="B22" s="43"/>
      <c r="C22" s="45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8"/>
    </row>
    <row r="23" spans="1:17" x14ac:dyDescent="0.25">
      <c r="A23" s="46"/>
      <c r="B23" s="43"/>
      <c r="C23" s="46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9"/>
    </row>
    <row r="24" spans="1:17" s="40" customFormat="1" x14ac:dyDescent="0.25">
      <c r="A24" s="46"/>
      <c r="B24" s="43"/>
      <c r="C24" s="45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9"/>
    </row>
    <row r="25" spans="1:17" x14ac:dyDescent="0.25">
      <c r="A25" s="45"/>
      <c r="B25" s="43"/>
      <c r="C25" s="4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9"/>
    </row>
    <row r="26" spans="1:17" x14ac:dyDescent="0.25">
      <c r="A26" s="45"/>
      <c r="B26" s="43"/>
      <c r="C26" s="4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19"/>
    </row>
    <row r="27" spans="1:17" x14ac:dyDescent="0.25">
      <c r="A27" s="45"/>
      <c r="B27" s="43"/>
      <c r="C27" s="4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9"/>
    </row>
    <row r="28" spans="1:17" x14ac:dyDescent="0.25">
      <c r="A28" s="46"/>
      <c r="B28" s="43"/>
      <c r="C28" s="4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9"/>
    </row>
    <row r="29" spans="1:17" x14ac:dyDescent="0.25">
      <c r="A29" s="45"/>
      <c r="B29" s="43"/>
      <c r="C29" s="4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9"/>
    </row>
    <row r="30" spans="1:17" ht="32.25" customHeight="1" x14ac:dyDescent="0.25">
      <c r="A30" s="46"/>
      <c r="B30" s="43"/>
      <c r="C30" s="4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19"/>
    </row>
    <row r="31" spans="1:17" s="86" customFormat="1" x14ac:dyDescent="0.25">
      <c r="A31" s="82"/>
      <c r="B31" s="83"/>
      <c r="C31" s="82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5"/>
    </row>
    <row r="32" spans="1:17" s="86" customFormat="1" x14ac:dyDescent="0.25">
      <c r="A32" s="82"/>
      <c r="B32" s="83"/>
      <c r="C32" s="82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5"/>
    </row>
    <row r="33" spans="1:17" x14ac:dyDescent="0.25">
      <c r="A33" s="45"/>
      <c r="B33" s="43"/>
      <c r="C33" s="4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9"/>
    </row>
    <row r="35" spans="1:17" x14ac:dyDescent="0.25">
      <c r="A35" s="48"/>
      <c r="B35" s="49"/>
      <c r="C35" s="5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30"/>
    </row>
    <row r="36" spans="1:17" x14ac:dyDescent="0.25">
      <c r="A36" s="48"/>
      <c r="B36" s="49"/>
      <c r="C36" s="5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30"/>
    </row>
  </sheetData>
  <sortState ref="A4:Q7">
    <sortCondition descending="1" ref="P4:P7"/>
  </sortState>
  <mergeCells count="2">
    <mergeCell ref="A1:Q1"/>
    <mergeCell ref="A2:Q2"/>
  </mergeCells>
  <pageMargins left="0.7" right="0.7" top="0.75" bottom="0.75" header="0.3" footer="0.3"/>
  <pageSetup paperSize="8" scale="8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view="pageBreakPreview" zoomScale="70" zoomScaleNormal="100" zoomScaleSheetLayoutView="70" workbookViewId="0">
      <selection activeCell="V26" sqref="V26"/>
    </sheetView>
  </sheetViews>
  <sheetFormatPr defaultRowHeight="15" x14ac:dyDescent="0.25"/>
  <cols>
    <col min="2" max="2" width="36.42578125" customWidth="1"/>
    <col min="3" max="3" width="26.5703125" customWidth="1"/>
    <col min="21" max="21" width="27" style="27" customWidth="1"/>
  </cols>
  <sheetData>
    <row r="1" spans="1:21" ht="25.5" customHeight="1" x14ac:dyDescent="0.3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21" ht="25.5" customHeight="1" x14ac:dyDescent="0.35">
      <c r="A2" s="123" t="s">
        <v>48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66" customHeight="1" x14ac:dyDescent="0.25">
      <c r="A3" s="1" t="s">
        <v>6</v>
      </c>
      <c r="B3" s="2" t="s">
        <v>17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24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1" t="s">
        <v>37</v>
      </c>
      <c r="U3" s="1" t="s">
        <v>21</v>
      </c>
    </row>
    <row r="4" spans="1:21" s="75" customFormat="1" ht="25.5" customHeight="1" x14ac:dyDescent="0.25">
      <c r="A4" s="72">
        <v>2</v>
      </c>
      <c r="B4" s="72" t="s">
        <v>295</v>
      </c>
      <c r="C4" s="72" t="s">
        <v>358</v>
      </c>
      <c r="D4" s="72">
        <v>32</v>
      </c>
      <c r="E4" s="72" t="s">
        <v>18</v>
      </c>
      <c r="F4" s="72"/>
      <c r="G4" s="72">
        <v>5</v>
      </c>
      <c r="H4" s="72">
        <v>3</v>
      </c>
      <c r="I4" s="72">
        <v>10</v>
      </c>
      <c r="J4" s="72">
        <v>3</v>
      </c>
      <c r="K4" s="72">
        <v>3</v>
      </c>
      <c r="L4" s="72">
        <v>3</v>
      </c>
      <c r="M4" s="72">
        <v>3</v>
      </c>
      <c r="N4" s="72">
        <v>0</v>
      </c>
      <c r="O4" s="72">
        <v>10</v>
      </c>
      <c r="P4" s="72">
        <v>15</v>
      </c>
      <c r="Q4" s="72">
        <v>18</v>
      </c>
      <c r="R4" s="72">
        <v>20</v>
      </c>
      <c r="S4" s="72">
        <f>SUM(G4:R4)</f>
        <v>93</v>
      </c>
      <c r="T4" s="73"/>
      <c r="U4" s="74"/>
    </row>
    <row r="5" spans="1:21" s="70" customFormat="1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8"/>
      <c r="U5" s="69"/>
    </row>
    <row r="6" spans="1:21" s="70" customForma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8"/>
      <c r="U6" s="69"/>
    </row>
    <row r="7" spans="1:21" s="70" customFormat="1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8"/>
      <c r="U7" s="69"/>
    </row>
    <row r="8" spans="1:21" s="70" customFormat="1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9"/>
    </row>
    <row r="9" spans="1:21" s="70" customForma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s="70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69"/>
    </row>
    <row r="11" spans="1:21" s="70" customForma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s="70" customFormat="1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9"/>
    </row>
    <row r="13" spans="1:21" s="70" customFormat="1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9"/>
    </row>
    <row r="14" spans="1:21" s="70" customFormat="1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8"/>
      <c r="U14" s="69"/>
    </row>
    <row r="15" spans="1:21" s="70" customForma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9"/>
    </row>
    <row r="16" spans="1:21" s="70" customForma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8"/>
      <c r="U16" s="69"/>
    </row>
    <row r="17" spans="1:21" s="70" customFormat="1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8"/>
      <c r="U17" s="69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2"/>
      <c r="U18" s="19"/>
    </row>
  </sheetData>
  <sortState ref="A4:U9">
    <sortCondition descending="1" ref="S4:S9"/>
  </sortState>
  <mergeCells count="2">
    <mergeCell ref="A1:U1"/>
    <mergeCell ref="A2:U2"/>
  </mergeCells>
  <pageMargins left="0.7" right="0.7" top="0.75" bottom="0.75" header="0.3" footer="0.3"/>
  <pageSetup paperSize="8" scale="7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view="pageBreakPreview" zoomScale="70" zoomScaleNormal="100" zoomScaleSheetLayoutView="70" workbookViewId="0">
      <selection activeCell="P10" sqref="P10"/>
    </sheetView>
  </sheetViews>
  <sheetFormatPr defaultRowHeight="15" x14ac:dyDescent="0.25"/>
  <cols>
    <col min="2" max="2" width="35" style="27" customWidth="1"/>
    <col min="3" max="3" width="28.85546875" customWidth="1"/>
    <col min="21" max="21" width="28.7109375" style="27" customWidth="1"/>
  </cols>
  <sheetData>
    <row r="1" spans="1:21" ht="21" x14ac:dyDescent="0.3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21" ht="21" x14ac:dyDescent="0.35">
      <c r="A2" s="123" t="s">
        <v>49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110.25" x14ac:dyDescent="0.25">
      <c r="A3" s="1" t="s">
        <v>6</v>
      </c>
      <c r="B3" s="2" t="s">
        <v>17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24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1" t="s">
        <v>37</v>
      </c>
      <c r="U3" s="1" t="s">
        <v>21</v>
      </c>
    </row>
    <row r="4" spans="1:21" s="75" customFormat="1" x14ac:dyDescent="0.25">
      <c r="A4" s="72">
        <v>21</v>
      </c>
      <c r="B4" s="74" t="s">
        <v>366</v>
      </c>
      <c r="C4" s="72" t="s">
        <v>367</v>
      </c>
      <c r="D4" s="72"/>
      <c r="E4" s="72" t="s">
        <v>7</v>
      </c>
      <c r="F4" s="72"/>
      <c r="G4" s="72">
        <v>5</v>
      </c>
      <c r="H4" s="72">
        <v>3</v>
      </c>
      <c r="I4" s="72">
        <v>8</v>
      </c>
      <c r="J4" s="72">
        <v>3</v>
      </c>
      <c r="K4" s="72">
        <v>3</v>
      </c>
      <c r="L4" s="72">
        <v>3</v>
      </c>
      <c r="M4" s="72">
        <v>0</v>
      </c>
      <c r="N4" s="72">
        <v>0</v>
      </c>
      <c r="O4" s="72">
        <v>10</v>
      </c>
      <c r="P4" s="72">
        <v>16</v>
      </c>
      <c r="Q4" s="72">
        <v>16</v>
      </c>
      <c r="R4" s="72">
        <v>14</v>
      </c>
      <c r="S4" s="72">
        <f>SUM(G4:R4)</f>
        <v>81</v>
      </c>
      <c r="T4" s="73"/>
      <c r="U4" s="74"/>
    </row>
    <row r="5" spans="1:21" s="70" customFormat="1" x14ac:dyDescent="0.25">
      <c r="A5" s="67">
        <v>2</v>
      </c>
      <c r="B5" s="69" t="s">
        <v>368</v>
      </c>
      <c r="C5" s="67" t="s">
        <v>352</v>
      </c>
      <c r="D5" s="67"/>
      <c r="E5" s="67" t="s">
        <v>7</v>
      </c>
      <c r="F5" s="67"/>
      <c r="G5" s="67">
        <v>5</v>
      </c>
      <c r="H5" s="67">
        <v>3</v>
      </c>
      <c r="I5" s="67">
        <v>10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10</v>
      </c>
      <c r="P5" s="67">
        <v>10</v>
      </c>
      <c r="Q5" s="67">
        <v>10</v>
      </c>
      <c r="R5" s="67">
        <v>0</v>
      </c>
      <c r="S5" s="67">
        <f>SUM(G5:R5)</f>
        <v>48</v>
      </c>
      <c r="T5" s="68"/>
      <c r="U5" s="69"/>
    </row>
    <row r="6" spans="1:21" s="70" customFormat="1" x14ac:dyDescent="0.25">
      <c r="A6" s="67"/>
      <c r="B6" s="69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8"/>
      <c r="U6" s="69"/>
    </row>
    <row r="7" spans="1:21" s="70" customFormat="1" x14ac:dyDescent="0.25">
      <c r="A7" s="67"/>
      <c r="B7" s="69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8"/>
      <c r="U7" s="69"/>
    </row>
    <row r="8" spans="1:21" s="70" customFormat="1" x14ac:dyDescent="0.25">
      <c r="A8" s="67"/>
      <c r="B8" s="6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9"/>
    </row>
    <row r="9" spans="1:21" s="70" customFormat="1" x14ac:dyDescent="0.25">
      <c r="A9" s="67"/>
      <c r="B9" s="6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s="70" customFormat="1" x14ac:dyDescent="0.25">
      <c r="B10" s="89"/>
      <c r="U10" s="89"/>
    </row>
    <row r="11" spans="1:21" s="70" customFormat="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s="70" customFormat="1" x14ac:dyDescent="0.25">
      <c r="A12" s="67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9"/>
    </row>
    <row r="13" spans="1:21" s="70" customFormat="1" x14ac:dyDescent="0.25">
      <c r="A13" s="67"/>
      <c r="B13" s="69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9"/>
    </row>
    <row r="14" spans="1:21" s="86" customFormat="1" x14ac:dyDescent="0.25">
      <c r="A14" s="84"/>
      <c r="B14" s="85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90"/>
      <c r="U14" s="85"/>
    </row>
    <row r="15" spans="1:21" x14ac:dyDescent="0.25">
      <c r="A15" s="4"/>
      <c r="B15" s="1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2"/>
      <c r="U15" s="19"/>
    </row>
  </sheetData>
  <sortState ref="A4:U11">
    <sortCondition ref="E4:E11"/>
    <sortCondition descending="1" ref="T4:T11"/>
  </sortState>
  <mergeCells count="2">
    <mergeCell ref="A1:U1"/>
    <mergeCell ref="A2:U2"/>
  </mergeCells>
  <pageMargins left="0.7" right="0.7" top="0.75" bottom="0.75" header="0.3" footer="0.3"/>
  <pageSetup paperSize="8" scale="74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view="pageBreakPreview" zoomScale="70" zoomScaleNormal="100" zoomScaleSheetLayoutView="70" workbookViewId="0">
      <selection activeCell="A4" sqref="A4:R16"/>
    </sheetView>
  </sheetViews>
  <sheetFormatPr defaultRowHeight="15" x14ac:dyDescent="0.25"/>
  <cols>
    <col min="2" max="2" width="34.42578125" style="27" customWidth="1"/>
    <col min="3" max="3" width="27.5703125" customWidth="1"/>
    <col min="18" max="18" width="27.85546875" style="27" customWidth="1"/>
  </cols>
  <sheetData>
    <row r="1" spans="1:18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50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08.7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1" t="s">
        <v>39</v>
      </c>
      <c r="R3" s="1" t="s">
        <v>21</v>
      </c>
    </row>
    <row r="4" spans="1:18" s="75" customFormat="1" x14ac:dyDescent="0.25">
      <c r="A4" s="72"/>
      <c r="B4" s="74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3"/>
      <c r="R4" s="74"/>
    </row>
    <row r="5" spans="1:18" s="75" customFormat="1" x14ac:dyDescent="0.25">
      <c r="A5" s="72"/>
      <c r="B5" s="74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  <c r="R5" s="74"/>
    </row>
    <row r="6" spans="1:18" s="75" customFormat="1" x14ac:dyDescent="0.25">
      <c r="A6" s="72"/>
      <c r="B6" s="74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  <c r="R6" s="74"/>
    </row>
    <row r="7" spans="1:18" s="75" customFormat="1" x14ac:dyDescent="0.25">
      <c r="A7" s="72"/>
      <c r="B7" s="74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3"/>
      <c r="R7" s="74"/>
    </row>
    <row r="8" spans="1:18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2"/>
      <c r="R8" s="19"/>
    </row>
    <row r="9" spans="1:18" x14ac:dyDescent="0.25">
      <c r="A9" s="4"/>
      <c r="B9" s="1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2"/>
      <c r="R9" s="19"/>
    </row>
    <row r="10" spans="1:18" x14ac:dyDescent="0.25">
      <c r="A10" s="4"/>
      <c r="B10" s="1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2"/>
      <c r="R10" s="19"/>
    </row>
    <row r="11" spans="1:18" s="70" customFormat="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8"/>
      <c r="R11" s="69"/>
    </row>
    <row r="12" spans="1:18" s="70" customFormat="1" x14ac:dyDescent="0.25">
      <c r="A12" s="67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  <c r="R12" s="69"/>
    </row>
    <row r="13" spans="1:18" s="70" customFormat="1" x14ac:dyDescent="0.25">
      <c r="A13" s="67"/>
      <c r="B13" s="69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8"/>
      <c r="R13" s="69"/>
    </row>
    <row r="14" spans="1:18" s="70" customFormat="1" x14ac:dyDescent="0.25">
      <c r="A14" s="67"/>
      <c r="B14" s="69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8"/>
      <c r="R14" s="69"/>
    </row>
    <row r="15" spans="1:18" s="70" customFormat="1" x14ac:dyDescent="0.25">
      <c r="A15" s="67"/>
      <c r="B15" s="69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8"/>
      <c r="R15" s="69"/>
    </row>
    <row r="16" spans="1:18" s="70" customFormat="1" x14ac:dyDescent="0.25">
      <c r="A16" s="67"/>
      <c r="B16" s="69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8"/>
      <c r="R16" s="69"/>
    </row>
    <row r="17" spans="1:18" s="70" customFormat="1" x14ac:dyDescent="0.25">
      <c r="A17" s="67"/>
      <c r="B17" s="69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8"/>
      <c r="R17" s="69"/>
    </row>
    <row r="18" spans="1:18" x14ac:dyDescent="0.25">
      <c r="A18" s="4"/>
      <c r="B18" s="1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2"/>
      <c r="R18" s="19"/>
    </row>
    <row r="19" spans="1:18" x14ac:dyDescent="0.25">
      <c r="A19" s="4"/>
      <c r="B19" s="1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2"/>
      <c r="R19" s="19"/>
    </row>
    <row r="20" spans="1:18" x14ac:dyDescent="0.25">
      <c r="A20" s="4"/>
      <c r="B20" s="1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2"/>
      <c r="R20" s="19"/>
    </row>
  </sheetData>
  <sortState ref="A4:R9">
    <sortCondition descending="1" ref="P4:P9"/>
  </sortState>
  <mergeCells count="2">
    <mergeCell ref="A1:R1"/>
    <mergeCell ref="A2:R2"/>
  </mergeCells>
  <pageMargins left="0.7" right="0.7" top="0.75" bottom="0.75" header="0.3" footer="0.3"/>
  <pageSetup paperSize="8" scale="6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6" sqref="L26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zoomScale="70" zoomScaleNormal="70" workbookViewId="0">
      <selection activeCell="P20" sqref="P20"/>
    </sheetView>
  </sheetViews>
  <sheetFormatPr defaultRowHeight="15" x14ac:dyDescent="0.25"/>
  <cols>
    <col min="2" max="2" width="25.28515625" customWidth="1"/>
    <col min="3" max="3" width="11.5703125" customWidth="1"/>
  </cols>
  <sheetData>
    <row r="1" spans="1:18" ht="21" x14ac:dyDescent="0.35">
      <c r="A1" s="124" t="s">
        <v>342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1" x14ac:dyDescent="0.35">
      <c r="A2" s="124" t="s">
        <v>51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02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1" t="s">
        <v>39</v>
      </c>
      <c r="R3" s="1" t="s">
        <v>21</v>
      </c>
    </row>
    <row r="4" spans="1:18" s="75" customFormat="1" ht="36.75" customHeight="1" x14ac:dyDescent="0.25">
      <c r="A4" s="72">
        <v>1</v>
      </c>
      <c r="B4" s="74" t="s">
        <v>79</v>
      </c>
      <c r="C4" s="72" t="s">
        <v>95</v>
      </c>
      <c r="D4" s="72">
        <v>5</v>
      </c>
      <c r="E4" s="72">
        <v>3</v>
      </c>
      <c r="F4" s="72">
        <v>10</v>
      </c>
      <c r="G4" s="72">
        <v>3</v>
      </c>
      <c r="H4" s="72">
        <v>3</v>
      </c>
      <c r="I4" s="72">
        <v>3</v>
      </c>
      <c r="J4" s="72">
        <v>3</v>
      </c>
      <c r="K4" s="72">
        <v>0</v>
      </c>
      <c r="L4" s="72"/>
      <c r="M4" s="72">
        <v>15</v>
      </c>
      <c r="N4" s="72">
        <v>15</v>
      </c>
      <c r="O4" s="72">
        <v>10</v>
      </c>
      <c r="P4" s="72">
        <f>SUM(D4:O4)</f>
        <v>70</v>
      </c>
      <c r="Q4" s="73"/>
      <c r="R4" s="72"/>
    </row>
  </sheetData>
  <mergeCells count="2">
    <mergeCell ref="A1:R1"/>
    <mergeCell ref="A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M18" sqref="M18"/>
    </sheetView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view="pageBreakPreview" zoomScale="85" zoomScaleNormal="100" zoomScaleSheetLayoutView="85" workbookViewId="0">
      <selection activeCell="G29" sqref="G29"/>
    </sheetView>
  </sheetViews>
  <sheetFormatPr defaultRowHeight="15" x14ac:dyDescent="0.25"/>
  <cols>
    <col min="2" max="2" width="31.42578125" style="27" customWidth="1"/>
    <col min="3" max="3" width="30" customWidth="1"/>
    <col min="12" max="12" width="17.28515625" customWidth="1"/>
    <col min="17" max="17" width="37.140625" style="27" customWidth="1"/>
  </cols>
  <sheetData>
    <row r="1" spans="1:19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9" ht="21" x14ac:dyDescent="0.35">
      <c r="A2" s="124" t="s">
        <v>52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9" s="27" customFormat="1" ht="93.75" customHeight="1" x14ac:dyDescent="0.25">
      <c r="A3" s="44" t="s">
        <v>6</v>
      </c>
      <c r="B3" s="42" t="s">
        <v>26</v>
      </c>
      <c r="C3" s="4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53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9" s="75" customFormat="1" x14ac:dyDescent="0.25">
      <c r="A4" s="87"/>
      <c r="B4" s="74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4"/>
      <c r="R4" s="92"/>
      <c r="S4" s="78"/>
    </row>
    <row r="5" spans="1:19" x14ac:dyDescent="0.25">
      <c r="A5" s="54"/>
      <c r="C5" s="3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1"/>
    </row>
    <row r="6" spans="1:19" x14ac:dyDescent="0.25">
      <c r="A6" s="45"/>
      <c r="B6" s="19"/>
      <c r="C6" s="5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9"/>
    </row>
    <row r="7" spans="1:19" x14ac:dyDescent="0.25">
      <c r="A7" s="45"/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1"/>
      <c r="Q7" s="19"/>
    </row>
    <row r="8" spans="1:19" s="70" customFormat="1" x14ac:dyDescent="0.25">
      <c r="A8" s="80"/>
      <c r="B8" s="6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9"/>
    </row>
    <row r="9" spans="1:19" s="70" customFormat="1" x14ac:dyDescent="0.25">
      <c r="A9" s="80"/>
      <c r="B9" s="6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9"/>
    </row>
    <row r="10" spans="1:19" s="70" customFormat="1" x14ac:dyDescent="0.25">
      <c r="A10" s="80"/>
      <c r="B10" s="6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9"/>
    </row>
    <row r="11" spans="1:19" s="70" customFormat="1" x14ac:dyDescent="0.25">
      <c r="A11" s="91"/>
      <c r="B11" s="89"/>
      <c r="C11" s="76"/>
      <c r="P11" s="67"/>
      <c r="Q11" s="89"/>
    </row>
    <row r="12" spans="1:19" s="70" customFormat="1" x14ac:dyDescent="0.25">
      <c r="A12" s="80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9"/>
    </row>
    <row r="13" spans="1:19" x14ac:dyDescent="0.25">
      <c r="A13" s="45"/>
      <c r="B13" s="1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1"/>
      <c r="Q13" s="19"/>
    </row>
    <row r="14" spans="1:19" x14ac:dyDescent="0.25">
      <c r="A14" s="46"/>
      <c r="B14" s="19"/>
      <c r="C14" s="1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1"/>
      <c r="Q14" s="19"/>
    </row>
    <row r="15" spans="1:19" x14ac:dyDescent="0.25">
      <c r="A15" s="46"/>
      <c r="B15" s="19"/>
      <c r="C15" s="1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1"/>
      <c r="Q15" s="19"/>
    </row>
  </sheetData>
  <sortState ref="A4:Q11">
    <sortCondition descending="1" ref="P4:P11"/>
  </sortState>
  <mergeCells count="2">
    <mergeCell ref="A1:Q1"/>
    <mergeCell ref="A2:Q2"/>
  </mergeCells>
  <pageMargins left="0.7" right="0.7" top="0.75" bottom="0.75" header="0.3" footer="0.3"/>
  <pageSetup paperSize="8" scale="82" orientation="landscape" r:id="rId1"/>
  <colBreaks count="1" manualBreakCount="1">
    <brk id="17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A14" sqref="A14:XFD14"/>
    </sheetView>
  </sheetViews>
  <sheetFormatPr defaultRowHeight="15" x14ac:dyDescent="0.25"/>
  <sheetData>
    <row r="1" spans="1:19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 ht="21" x14ac:dyDescent="0.35">
      <c r="A2" s="124" t="s">
        <v>347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spans="1:19" ht="165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26" t="s">
        <v>38</v>
      </c>
      <c r="S3" s="1" t="s">
        <v>21</v>
      </c>
    </row>
    <row r="4" spans="1:19" x14ac:dyDescent="0.25">
      <c r="A4">
        <v>1</v>
      </c>
      <c r="B4" t="s">
        <v>326</v>
      </c>
      <c r="C4" t="s">
        <v>233</v>
      </c>
      <c r="E4" t="s">
        <v>91</v>
      </c>
      <c r="F4">
        <v>5</v>
      </c>
      <c r="G4">
        <v>3</v>
      </c>
      <c r="H4">
        <v>9</v>
      </c>
      <c r="I4">
        <v>3</v>
      </c>
      <c r="J4">
        <v>0</v>
      </c>
      <c r="K4">
        <v>0</v>
      </c>
      <c r="L4">
        <v>0</v>
      </c>
      <c r="M4">
        <v>0</v>
      </c>
      <c r="N4">
        <v>15</v>
      </c>
      <c r="O4">
        <v>15</v>
      </c>
      <c r="P4">
        <v>16</v>
      </c>
      <c r="Q4">
        <f>SUM(F4:P4)</f>
        <v>66</v>
      </c>
    </row>
    <row r="5" spans="1:19" x14ac:dyDescent="0.25">
      <c r="A5" s="67"/>
      <c r="B5" s="69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69"/>
    </row>
    <row r="6" spans="1:19" x14ac:dyDescent="0.25">
      <c r="A6" s="67"/>
      <c r="B6" s="69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  <c r="S6" s="69"/>
    </row>
    <row r="7" spans="1:19" x14ac:dyDescent="0.25">
      <c r="A7" s="67"/>
      <c r="B7" s="69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8"/>
      <c r="S7" s="69"/>
    </row>
    <row r="8" spans="1:19" x14ac:dyDescent="0.25">
      <c r="A8" s="67"/>
      <c r="B8" s="6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8"/>
      <c r="S8" s="69"/>
    </row>
    <row r="9" spans="1:19" x14ac:dyDescent="0.25">
      <c r="A9" s="67"/>
      <c r="B9" s="6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8"/>
      <c r="S9" s="69"/>
    </row>
    <row r="10" spans="1:19" x14ac:dyDescent="0.25">
      <c r="A10" s="67"/>
      <c r="B10" s="6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8"/>
      <c r="S10" s="69"/>
    </row>
    <row r="11" spans="1:19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8"/>
      <c r="S11" s="69"/>
    </row>
    <row r="12" spans="1:19" x14ac:dyDescent="0.25">
      <c r="A12" s="4"/>
      <c r="B12" s="1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22"/>
      <c r="S12" s="19"/>
    </row>
    <row r="13" spans="1:19" x14ac:dyDescent="0.25">
      <c r="A13" s="4"/>
      <c r="B13" s="1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2"/>
      <c r="S13" s="19"/>
    </row>
    <row r="14" spans="1:19" x14ac:dyDescent="0.25">
      <c r="A14" s="4"/>
      <c r="B14" s="1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2"/>
      <c r="S14" s="19"/>
    </row>
    <row r="15" spans="1:19" x14ac:dyDescent="0.25">
      <c r="A15" s="4"/>
      <c r="B15" s="19"/>
      <c r="C15" s="4">
        <v>10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2"/>
      <c r="S15" s="19"/>
    </row>
    <row r="16" spans="1:19" x14ac:dyDescent="0.25">
      <c r="A16" s="4"/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2"/>
      <c r="S16" s="19"/>
    </row>
  </sheetData>
  <mergeCells count="2">
    <mergeCell ref="A1:S1"/>
    <mergeCell ref="A2:S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view="pageBreakPreview" zoomScale="85" zoomScaleNormal="100" zoomScaleSheetLayoutView="85" workbookViewId="0">
      <selection sqref="A1:S22"/>
    </sheetView>
  </sheetViews>
  <sheetFormatPr defaultRowHeight="15" x14ac:dyDescent="0.25"/>
  <cols>
    <col min="1" max="1" width="5.7109375" customWidth="1"/>
    <col min="2" max="2" width="34.28515625" style="27" customWidth="1"/>
    <col min="3" max="3" width="29.140625" customWidth="1"/>
    <col min="19" max="19" width="28.42578125" style="27" customWidth="1"/>
  </cols>
  <sheetData>
    <row r="1" spans="1:19" s="5" customFormat="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 s="5" customFormat="1" ht="21" x14ac:dyDescent="0.35">
      <c r="A2" s="124" t="s">
        <v>54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spans="1:19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26" t="s">
        <v>38</v>
      </c>
      <c r="S3" s="1" t="s">
        <v>21</v>
      </c>
    </row>
    <row r="4" spans="1:19" s="75" customFormat="1" x14ac:dyDescent="0.25">
      <c r="A4">
        <v>1</v>
      </c>
      <c r="B4" t="s">
        <v>326</v>
      </c>
      <c r="C4" t="s">
        <v>233</v>
      </c>
      <c r="D4"/>
      <c r="E4" t="s">
        <v>91</v>
      </c>
      <c r="F4">
        <v>5</v>
      </c>
      <c r="G4">
        <v>3</v>
      </c>
      <c r="H4">
        <v>10</v>
      </c>
      <c r="I4">
        <v>3</v>
      </c>
      <c r="J4">
        <v>0</v>
      </c>
      <c r="K4">
        <v>3</v>
      </c>
      <c r="L4">
        <v>0</v>
      </c>
      <c r="M4">
        <v>10</v>
      </c>
      <c r="N4">
        <v>10</v>
      </c>
      <c r="O4">
        <v>10</v>
      </c>
      <c r="P4">
        <v>10</v>
      </c>
      <c r="Q4">
        <f>SUM(F4:P4)</f>
        <v>64</v>
      </c>
      <c r="R4"/>
      <c r="S4"/>
    </row>
    <row r="5" spans="1:19" s="75" customFormat="1" x14ac:dyDescent="0.25">
      <c r="A5">
        <v>2</v>
      </c>
      <c r="B5" t="s">
        <v>327</v>
      </c>
      <c r="C5" t="s">
        <v>328</v>
      </c>
      <c r="D5">
        <v>30</v>
      </c>
      <c r="E5" t="s">
        <v>90</v>
      </c>
      <c r="F5">
        <v>5</v>
      </c>
      <c r="G5">
        <v>3</v>
      </c>
      <c r="H5">
        <v>5</v>
      </c>
      <c r="I5">
        <v>0</v>
      </c>
      <c r="J5">
        <v>0</v>
      </c>
      <c r="K5">
        <v>2</v>
      </c>
      <c r="L5">
        <v>0</v>
      </c>
      <c r="M5">
        <v>10</v>
      </c>
      <c r="N5">
        <v>10</v>
      </c>
      <c r="O5">
        <v>10</v>
      </c>
      <c r="P5">
        <v>5</v>
      </c>
      <c r="Q5">
        <f>SUM(F5:P5)</f>
        <v>50</v>
      </c>
      <c r="R5"/>
      <c r="S5"/>
    </row>
    <row r="6" spans="1:19" s="75" customFormat="1" x14ac:dyDescent="0.25">
      <c r="A6">
        <v>3</v>
      </c>
      <c r="B6" t="s">
        <v>329</v>
      </c>
      <c r="C6" t="s">
        <v>330</v>
      </c>
      <c r="D6"/>
      <c r="E6" t="s">
        <v>7</v>
      </c>
      <c r="F6">
        <v>5</v>
      </c>
      <c r="G6">
        <v>3</v>
      </c>
      <c r="H6">
        <v>10</v>
      </c>
      <c r="I6">
        <v>3</v>
      </c>
      <c r="J6">
        <v>3</v>
      </c>
      <c r="K6">
        <v>3</v>
      </c>
      <c r="L6">
        <v>3</v>
      </c>
      <c r="M6">
        <v>10</v>
      </c>
      <c r="N6">
        <v>15</v>
      </c>
      <c r="O6">
        <v>20</v>
      </c>
      <c r="P6">
        <v>15</v>
      </c>
      <c r="Q6">
        <f>SUM(G6:P6)</f>
        <v>85</v>
      </c>
      <c r="R6"/>
      <c r="S6"/>
    </row>
    <row r="7" spans="1:19" s="75" customForma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5">
      <c r="B8"/>
      <c r="S8"/>
    </row>
    <row r="9" spans="1:19" s="70" customFormat="1" x14ac:dyDescent="0.25">
      <c r="A9" s="93"/>
      <c r="B9" s="94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5"/>
      <c r="S9" s="94"/>
    </row>
    <row r="10" spans="1:19" s="70" customFormat="1" x14ac:dyDescent="0.25">
      <c r="B10" s="89"/>
      <c r="S10" s="89"/>
    </row>
    <row r="11" spans="1:19" s="70" customFormat="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8"/>
      <c r="S11" s="69"/>
    </row>
    <row r="12" spans="1:19" s="70" customFormat="1" x14ac:dyDescent="0.25">
      <c r="A12" s="67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8"/>
      <c r="S12" s="69"/>
    </row>
    <row r="13" spans="1:19" s="70" customFormat="1" x14ac:dyDescent="0.25">
      <c r="A13" s="67"/>
      <c r="B13" s="69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8"/>
      <c r="S13" s="69"/>
    </row>
    <row r="14" spans="1:19" s="70" customFormat="1" x14ac:dyDescent="0.25">
      <c r="A14" s="67"/>
      <c r="B14" s="69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9"/>
    </row>
    <row r="15" spans="1:19" s="70" customFormat="1" x14ac:dyDescent="0.25">
      <c r="A15" s="67"/>
      <c r="B15" s="69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</row>
    <row r="16" spans="1:19" s="70" customFormat="1" x14ac:dyDescent="0.25">
      <c r="A16" s="67"/>
      <c r="B16" s="69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8"/>
      <c r="S16" s="69"/>
    </row>
    <row r="17" spans="1:19" s="70" customFormat="1" x14ac:dyDescent="0.25">
      <c r="A17" s="67"/>
      <c r="B17" s="69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8"/>
      <c r="S17" s="69"/>
    </row>
    <row r="18" spans="1:19" x14ac:dyDescent="0.25">
      <c r="A18" s="4"/>
      <c r="B18" s="1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2"/>
      <c r="S18" s="19"/>
    </row>
    <row r="19" spans="1:19" x14ac:dyDescent="0.25">
      <c r="A19" s="4"/>
      <c r="B19" s="1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2"/>
      <c r="S19" s="19"/>
    </row>
    <row r="20" spans="1:19" x14ac:dyDescent="0.25">
      <c r="A20" s="4"/>
      <c r="B20" s="1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2"/>
      <c r="S20" s="19"/>
    </row>
    <row r="21" spans="1:19" x14ac:dyDescent="0.25">
      <c r="A21" s="4"/>
      <c r="B21" s="19"/>
      <c r="C21" s="4">
        <v>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22"/>
      <c r="S21" s="19"/>
    </row>
    <row r="22" spans="1:19" x14ac:dyDescent="0.25">
      <c r="A22" s="4"/>
      <c r="B22" s="1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19"/>
    </row>
    <row r="23" spans="1:19" x14ac:dyDescent="0.25">
      <c r="A23" s="4"/>
      <c r="B23" s="1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22"/>
      <c r="S23" s="19"/>
    </row>
  </sheetData>
  <sortState ref="A4:U8">
    <sortCondition descending="1" ref="Q4:Q8"/>
  </sortState>
  <mergeCells count="2">
    <mergeCell ref="A1:S1"/>
    <mergeCell ref="A2:S2"/>
  </mergeCells>
  <pageMargins left="0.7" right="0.7" top="0.75" bottom="0.75" header="0.3" footer="0.3"/>
  <pageSetup paperSize="8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view="pageBreakPreview" zoomScale="70" zoomScaleNormal="100" zoomScaleSheetLayoutView="70" workbookViewId="0">
      <selection activeCell="Q9" sqref="Q9"/>
    </sheetView>
  </sheetViews>
  <sheetFormatPr defaultRowHeight="15" x14ac:dyDescent="0.25"/>
  <cols>
    <col min="2" max="2" width="39" style="27" customWidth="1"/>
    <col min="3" max="3" width="29.42578125" style="27" customWidth="1"/>
    <col min="18" max="18" width="29.28515625" style="27" customWidth="1"/>
  </cols>
  <sheetData>
    <row r="1" spans="1:18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55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56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1" t="s">
        <v>21</v>
      </c>
    </row>
    <row r="4" spans="1:18" s="75" customFormat="1" x14ac:dyDescent="0.25">
      <c r="A4">
        <v>1</v>
      </c>
      <c r="B4" t="s">
        <v>149</v>
      </c>
      <c r="C4" t="s">
        <v>150</v>
      </c>
      <c r="D4"/>
      <c r="E4" t="s">
        <v>91</v>
      </c>
      <c r="F4">
        <v>5</v>
      </c>
      <c r="G4">
        <v>3</v>
      </c>
      <c r="H4">
        <v>9</v>
      </c>
      <c r="I4">
        <v>0</v>
      </c>
      <c r="J4">
        <v>3</v>
      </c>
      <c r="K4">
        <v>2</v>
      </c>
      <c r="L4">
        <v>0</v>
      </c>
      <c r="M4">
        <v>10</v>
      </c>
      <c r="N4">
        <v>16</v>
      </c>
      <c r="O4">
        <v>15</v>
      </c>
      <c r="P4">
        <v>18</v>
      </c>
      <c r="Q4">
        <f t="shared" ref="Q4:Q9" si="0">SUM(F4:P4)</f>
        <v>81</v>
      </c>
      <c r="R4"/>
    </row>
    <row r="5" spans="1:18" s="75" customFormat="1" x14ac:dyDescent="0.25">
      <c r="A5">
        <v>3</v>
      </c>
      <c r="B5" t="s">
        <v>254</v>
      </c>
      <c r="C5" t="s">
        <v>255</v>
      </c>
      <c r="D5"/>
      <c r="E5" t="s">
        <v>18</v>
      </c>
      <c r="F5">
        <v>5</v>
      </c>
      <c r="G5">
        <v>3</v>
      </c>
      <c r="H5">
        <v>10</v>
      </c>
      <c r="I5">
        <v>0</v>
      </c>
      <c r="J5">
        <v>0</v>
      </c>
      <c r="K5">
        <v>0</v>
      </c>
      <c r="L5">
        <v>0</v>
      </c>
      <c r="M5">
        <v>10</v>
      </c>
      <c r="N5">
        <v>10</v>
      </c>
      <c r="O5">
        <v>15</v>
      </c>
      <c r="P5">
        <v>5</v>
      </c>
      <c r="Q5">
        <f t="shared" si="0"/>
        <v>58</v>
      </c>
      <c r="R5"/>
    </row>
    <row r="6" spans="1:18" s="75" customFormat="1" x14ac:dyDescent="0.25">
      <c r="A6">
        <v>2</v>
      </c>
      <c r="B6" t="s">
        <v>256</v>
      </c>
      <c r="C6" t="s">
        <v>257</v>
      </c>
      <c r="D6"/>
      <c r="E6" t="s">
        <v>91</v>
      </c>
      <c r="F6">
        <v>5</v>
      </c>
      <c r="G6">
        <v>3</v>
      </c>
      <c r="H6">
        <v>10</v>
      </c>
      <c r="I6">
        <v>3</v>
      </c>
      <c r="J6">
        <v>0</v>
      </c>
      <c r="K6">
        <v>0</v>
      </c>
      <c r="L6">
        <v>3</v>
      </c>
      <c r="M6">
        <v>10</v>
      </c>
      <c r="N6">
        <v>10</v>
      </c>
      <c r="O6">
        <v>10</v>
      </c>
      <c r="P6">
        <v>5</v>
      </c>
      <c r="Q6">
        <f t="shared" si="0"/>
        <v>59</v>
      </c>
      <c r="R6"/>
    </row>
    <row r="7" spans="1:18" s="75" customFormat="1" x14ac:dyDescent="0.25">
      <c r="A7">
        <v>4</v>
      </c>
      <c r="B7" t="s">
        <v>154</v>
      </c>
      <c r="C7" t="s">
        <v>159</v>
      </c>
      <c r="D7"/>
      <c r="E7" t="s">
        <v>91</v>
      </c>
      <c r="F7">
        <v>5</v>
      </c>
      <c r="G7">
        <v>3</v>
      </c>
      <c r="H7">
        <v>10</v>
      </c>
      <c r="I7">
        <v>3</v>
      </c>
      <c r="J7">
        <v>0</v>
      </c>
      <c r="K7">
        <v>3</v>
      </c>
      <c r="L7">
        <v>0</v>
      </c>
      <c r="M7">
        <v>10</v>
      </c>
      <c r="N7">
        <v>15</v>
      </c>
      <c r="O7">
        <v>20</v>
      </c>
      <c r="P7">
        <v>20</v>
      </c>
      <c r="Q7">
        <f t="shared" si="0"/>
        <v>89</v>
      </c>
      <c r="R7"/>
    </row>
    <row r="8" spans="1:18" x14ac:dyDescent="0.25">
      <c r="A8">
        <v>5</v>
      </c>
      <c r="B8" t="s">
        <v>152</v>
      </c>
      <c r="C8" t="s">
        <v>258</v>
      </c>
      <c r="D8">
        <v>32</v>
      </c>
      <c r="E8" t="s">
        <v>90</v>
      </c>
      <c r="F8">
        <v>5</v>
      </c>
      <c r="G8">
        <v>3</v>
      </c>
      <c r="H8">
        <v>9</v>
      </c>
      <c r="I8">
        <v>3</v>
      </c>
      <c r="J8">
        <v>0</v>
      </c>
      <c r="K8">
        <v>0</v>
      </c>
      <c r="L8">
        <v>3</v>
      </c>
      <c r="M8">
        <v>10</v>
      </c>
      <c r="N8">
        <v>15</v>
      </c>
      <c r="O8">
        <v>15</v>
      </c>
      <c r="P8">
        <v>18</v>
      </c>
      <c r="Q8" s="108">
        <f t="shared" si="0"/>
        <v>81</v>
      </c>
      <c r="R8"/>
    </row>
    <row r="9" spans="1:18" x14ac:dyDescent="0.25">
      <c r="A9">
        <v>6</v>
      </c>
      <c r="B9" t="s">
        <v>259</v>
      </c>
      <c r="C9" t="s">
        <v>260</v>
      </c>
      <c r="D9">
        <v>32</v>
      </c>
      <c r="E9" t="s">
        <v>90</v>
      </c>
      <c r="F9">
        <v>5</v>
      </c>
      <c r="G9">
        <v>3</v>
      </c>
      <c r="H9">
        <v>9</v>
      </c>
      <c r="I9">
        <v>3</v>
      </c>
      <c r="J9">
        <v>3</v>
      </c>
      <c r="K9">
        <v>3</v>
      </c>
      <c r="L9">
        <v>0</v>
      </c>
      <c r="M9">
        <v>10</v>
      </c>
      <c r="N9">
        <v>20</v>
      </c>
      <c r="O9">
        <v>20</v>
      </c>
      <c r="P9">
        <v>18</v>
      </c>
      <c r="Q9" s="108">
        <f t="shared" si="0"/>
        <v>94</v>
      </c>
      <c r="R9"/>
    </row>
    <row r="10" spans="1:18" s="70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s="70" customFormat="1" x14ac:dyDescent="0.25">
      <c r="A11" s="67"/>
      <c r="B11" s="69"/>
      <c r="C11" s="69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9"/>
    </row>
    <row r="12" spans="1:18" s="70" customFormat="1" x14ac:dyDescent="0.25">
      <c r="A12" s="67"/>
      <c r="B12" s="69"/>
      <c r="C12" s="69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9"/>
    </row>
    <row r="13" spans="1:18" s="70" customFormat="1" x14ac:dyDescent="0.25">
      <c r="A13" s="67"/>
      <c r="B13" s="69"/>
      <c r="C13" s="69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9"/>
    </row>
    <row r="14" spans="1:18" x14ac:dyDescent="0.25">
      <c r="A14" s="4"/>
      <c r="B14" s="19"/>
      <c r="C14" s="1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9"/>
    </row>
    <row r="15" spans="1:18" x14ac:dyDescent="0.25">
      <c r="A15" s="4"/>
      <c r="B15" s="19"/>
      <c r="C15" s="1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9"/>
    </row>
    <row r="16" spans="1:18" x14ac:dyDescent="0.25">
      <c r="A16" s="4"/>
      <c r="B16" s="19"/>
      <c r="C16" s="1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9"/>
    </row>
    <row r="17" spans="1:18" x14ac:dyDescent="0.25">
      <c r="A17" s="4"/>
      <c r="B17" s="19"/>
      <c r="C17" s="1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9"/>
    </row>
    <row r="18" spans="1:18" x14ac:dyDescent="0.25">
      <c r="A18" s="4"/>
      <c r="B18" s="19"/>
      <c r="C18" s="1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9"/>
    </row>
    <row r="19" spans="1:18" x14ac:dyDescent="0.25">
      <c r="A19" s="4"/>
      <c r="B19" s="19"/>
      <c r="C19" s="1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9"/>
    </row>
    <row r="20" spans="1:18" x14ac:dyDescent="0.25">
      <c r="A20" s="4"/>
      <c r="B20" s="19"/>
      <c r="C20" s="1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9"/>
    </row>
    <row r="21" spans="1:18" x14ac:dyDescent="0.25">
      <c r="A21" s="4"/>
      <c r="B21" s="19"/>
      <c r="C21" s="1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9"/>
    </row>
    <row r="22" spans="1:18" x14ac:dyDescent="0.25">
      <c r="A22" s="11"/>
      <c r="B22" s="19"/>
      <c r="C22" s="1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9"/>
    </row>
  </sheetData>
  <sortState ref="A4:U8">
    <sortCondition descending="1" ref="Q4:Q8"/>
  </sortState>
  <mergeCells count="2">
    <mergeCell ref="A1:R1"/>
    <mergeCell ref="A2:R2"/>
  </mergeCells>
  <pageMargins left="0.7" right="0.7" top="0.75" bottom="0.75" header="0.3" footer="0.3"/>
  <pageSetup paperSize="8" scale="73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view="pageBreakPreview" topLeftCell="B1" zoomScale="70" zoomScaleNormal="100" zoomScaleSheetLayoutView="70" workbookViewId="0">
      <selection activeCell="F19" sqref="F19"/>
    </sheetView>
  </sheetViews>
  <sheetFormatPr defaultRowHeight="15" x14ac:dyDescent="0.25"/>
  <cols>
    <col min="2" max="2" width="30.42578125" style="27" customWidth="1"/>
    <col min="3" max="3" width="26.5703125" customWidth="1"/>
    <col min="18" max="18" width="26.28515625" style="27" customWidth="1"/>
  </cols>
  <sheetData>
    <row r="1" spans="1:18" s="5" customFormat="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57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08.7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1" t="s">
        <v>39</v>
      </c>
      <c r="R3" s="1" t="s">
        <v>21</v>
      </c>
    </row>
    <row r="4" spans="1:18" s="75" customFormat="1" x14ac:dyDescent="0.25">
      <c r="A4" s="72">
        <v>1</v>
      </c>
    </row>
    <row r="5" spans="1:18" s="75" customFormat="1" x14ac:dyDescent="0.25">
      <c r="A5" s="72">
        <v>2</v>
      </c>
    </row>
    <row r="6" spans="1:18" x14ac:dyDescent="0.25">
      <c r="A6" s="4"/>
      <c r="B6" s="19" t="s">
        <v>351</v>
      </c>
      <c r="C6" s="4" t="s">
        <v>352</v>
      </c>
      <c r="D6" s="4">
        <v>5</v>
      </c>
      <c r="E6" s="4">
        <v>3</v>
      </c>
      <c r="F6" s="4">
        <v>10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10</v>
      </c>
      <c r="M6" s="4">
        <v>8</v>
      </c>
      <c r="N6" s="4">
        <v>10</v>
      </c>
      <c r="O6" s="4">
        <v>10</v>
      </c>
      <c r="P6" s="4">
        <f>SUM(D6:O6)</f>
        <v>59</v>
      </c>
      <c r="Q6" s="22"/>
      <c r="R6" s="19"/>
    </row>
    <row r="7" spans="1:18" x14ac:dyDescent="0.25">
      <c r="A7" s="4"/>
      <c r="B7" s="74" t="s">
        <v>353</v>
      </c>
      <c r="C7" s="72" t="s">
        <v>303</v>
      </c>
      <c r="D7" s="72">
        <v>5</v>
      </c>
      <c r="E7" s="72">
        <v>3</v>
      </c>
      <c r="F7" s="72">
        <v>10</v>
      </c>
      <c r="G7" s="72">
        <v>3</v>
      </c>
      <c r="H7" s="72">
        <v>0</v>
      </c>
      <c r="I7" s="72">
        <v>0</v>
      </c>
      <c r="J7" s="72">
        <v>0</v>
      </c>
      <c r="K7" s="72">
        <v>0</v>
      </c>
      <c r="L7" s="72">
        <v>10</v>
      </c>
      <c r="M7" s="72">
        <v>10</v>
      </c>
      <c r="N7" s="72">
        <v>9</v>
      </c>
      <c r="O7" s="72">
        <v>15</v>
      </c>
      <c r="P7" s="72">
        <f>SUM(D7:O7)+7</f>
        <v>72</v>
      </c>
      <c r="Q7" s="75"/>
      <c r="R7" s="74"/>
    </row>
    <row r="8" spans="1:18" x14ac:dyDescent="0.25">
      <c r="A8" s="4"/>
      <c r="B8" s="74" t="s">
        <v>354</v>
      </c>
      <c r="C8" s="72" t="s">
        <v>321</v>
      </c>
      <c r="D8" s="72">
        <v>5</v>
      </c>
      <c r="E8" s="72">
        <v>3</v>
      </c>
      <c r="F8" s="72">
        <v>10</v>
      </c>
      <c r="G8" s="72">
        <v>3</v>
      </c>
      <c r="H8" s="72">
        <v>0</v>
      </c>
      <c r="I8" s="72">
        <v>0</v>
      </c>
      <c r="J8" s="72">
        <v>0</v>
      </c>
      <c r="K8" s="72">
        <v>0</v>
      </c>
      <c r="L8" s="72">
        <v>10</v>
      </c>
      <c r="M8" s="72">
        <v>5</v>
      </c>
      <c r="N8" s="72">
        <v>10</v>
      </c>
      <c r="O8" s="72">
        <v>10</v>
      </c>
      <c r="P8" s="72">
        <f>SUM(D8:O8)+7</f>
        <v>63</v>
      </c>
      <c r="Q8" s="75"/>
      <c r="R8" s="74"/>
    </row>
    <row r="9" spans="1:18" x14ac:dyDescent="0.25">
      <c r="A9" s="4"/>
      <c r="B9" s="1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2"/>
      <c r="R9" s="19"/>
    </row>
    <row r="10" spans="1:18" s="70" customFormat="1" x14ac:dyDescent="0.25">
      <c r="A10" s="67"/>
      <c r="B10" s="6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8"/>
      <c r="R10" s="69"/>
    </row>
    <row r="11" spans="1:18" s="70" customFormat="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8"/>
      <c r="R11" s="94"/>
    </row>
    <row r="12" spans="1:18" x14ac:dyDescent="0.25">
      <c r="A12" s="11"/>
      <c r="B12" s="19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4"/>
      <c r="Q12" s="22"/>
    </row>
  </sheetData>
  <sortState ref="A4:R9">
    <sortCondition descending="1" ref="Q4:Q9"/>
  </sortState>
  <mergeCells count="2">
    <mergeCell ref="A1:R1"/>
    <mergeCell ref="A2:R2"/>
  </mergeCells>
  <pageMargins left="0.7" right="0.7" top="0.75" bottom="0.75" header="0.3" footer="0.3"/>
  <pageSetup paperSize="8" scale="87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85" zoomScaleNormal="85" workbookViewId="0">
      <selection activeCell="C7" sqref="C7"/>
    </sheetView>
  </sheetViews>
  <sheetFormatPr defaultRowHeight="15" x14ac:dyDescent="0.25"/>
  <cols>
    <col min="1" max="1" width="5.28515625" customWidth="1"/>
    <col min="2" max="2" width="21.140625" customWidth="1"/>
    <col min="3" max="3" width="29.42578125" customWidth="1"/>
  </cols>
  <sheetData>
    <row r="1" spans="1:17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ht="21" x14ac:dyDescent="0.35">
      <c r="A2" s="124" t="s">
        <v>96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7" ht="147" x14ac:dyDescent="0.25">
      <c r="A3" s="44" t="s">
        <v>6</v>
      </c>
      <c r="B3" s="42" t="s">
        <v>26</v>
      </c>
      <c r="C3" s="4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97</v>
      </c>
      <c r="M3" s="1" t="s">
        <v>14</v>
      </c>
      <c r="N3" s="1" t="s">
        <v>15</v>
      </c>
      <c r="O3" s="1" t="s">
        <v>16</v>
      </c>
      <c r="P3" s="1" t="s">
        <v>13</v>
      </c>
      <c r="Q3" s="77" t="s">
        <v>21</v>
      </c>
    </row>
    <row r="4" spans="1:17" s="75" customFormat="1" ht="25.5" customHeight="1" x14ac:dyDescent="0.25">
      <c r="A4" s="87">
        <v>1</v>
      </c>
      <c r="B4" s="74" t="s">
        <v>100</v>
      </c>
      <c r="C4" s="72" t="s">
        <v>101</v>
      </c>
      <c r="D4" s="72">
        <v>5</v>
      </c>
      <c r="E4" s="72">
        <v>3</v>
      </c>
      <c r="F4" s="72">
        <v>10</v>
      </c>
      <c r="G4" s="72">
        <v>3</v>
      </c>
      <c r="H4" s="72">
        <v>3</v>
      </c>
      <c r="I4" s="72">
        <v>3</v>
      </c>
      <c r="J4" s="72">
        <v>3</v>
      </c>
      <c r="K4" s="72">
        <v>0</v>
      </c>
      <c r="L4" s="72">
        <v>10</v>
      </c>
      <c r="M4" s="72">
        <v>10</v>
      </c>
      <c r="N4" s="72">
        <v>15</v>
      </c>
      <c r="O4" s="72">
        <v>20</v>
      </c>
      <c r="P4" s="72">
        <f t="shared" ref="P4:P13" si="0">SUM(D4:O4)</f>
        <v>85</v>
      </c>
      <c r="Q4" s="72"/>
    </row>
    <row r="5" spans="1:17" s="75" customFormat="1" ht="27" customHeight="1" x14ac:dyDescent="0.25">
      <c r="A5" s="87">
        <v>2</v>
      </c>
      <c r="B5" s="19" t="s">
        <v>397</v>
      </c>
      <c r="C5" s="4" t="s">
        <v>77</v>
      </c>
      <c r="D5" s="72">
        <v>5</v>
      </c>
      <c r="E5" s="72">
        <v>3</v>
      </c>
      <c r="F5" s="72">
        <v>10</v>
      </c>
      <c r="G5" s="72">
        <v>3</v>
      </c>
      <c r="H5" s="72">
        <v>3</v>
      </c>
      <c r="I5" s="72">
        <v>3</v>
      </c>
      <c r="J5" s="72">
        <v>3</v>
      </c>
      <c r="K5" s="72">
        <v>0</v>
      </c>
      <c r="L5" s="72">
        <v>10</v>
      </c>
      <c r="M5" s="72">
        <v>15</v>
      </c>
      <c r="N5" s="72">
        <v>20</v>
      </c>
      <c r="O5" s="72">
        <v>10</v>
      </c>
      <c r="P5" s="72">
        <f t="shared" si="0"/>
        <v>85</v>
      </c>
      <c r="Q5" s="74"/>
    </row>
    <row r="6" spans="1:17" s="75" customFormat="1" ht="25.5" customHeight="1" x14ac:dyDescent="0.25">
      <c r="A6" s="87">
        <v>3</v>
      </c>
      <c r="B6" s="74" t="s">
        <v>398</v>
      </c>
      <c r="C6" s="72" t="s">
        <v>399</v>
      </c>
      <c r="D6" s="72">
        <v>5</v>
      </c>
      <c r="E6" s="72">
        <v>3</v>
      </c>
      <c r="F6" s="72">
        <v>7</v>
      </c>
      <c r="G6" s="72">
        <v>3</v>
      </c>
      <c r="H6" s="72">
        <v>3</v>
      </c>
      <c r="I6" s="72">
        <v>3</v>
      </c>
      <c r="J6" s="72">
        <v>0</v>
      </c>
      <c r="K6" s="72">
        <v>0</v>
      </c>
      <c r="L6" s="72">
        <v>10</v>
      </c>
      <c r="M6" s="72">
        <v>10</v>
      </c>
      <c r="N6" s="72">
        <v>10</v>
      </c>
      <c r="O6" s="72">
        <v>10</v>
      </c>
      <c r="P6" s="72">
        <f t="shared" si="0"/>
        <v>64</v>
      </c>
      <c r="Q6" s="72"/>
    </row>
    <row r="7" spans="1:17" ht="27" customHeight="1" x14ac:dyDescent="0.25">
      <c r="A7" s="45">
        <v>4</v>
      </c>
      <c r="B7" s="19" t="s">
        <v>400</v>
      </c>
      <c r="C7" s="4" t="s">
        <v>401</v>
      </c>
      <c r="D7" s="4">
        <v>5</v>
      </c>
      <c r="E7" s="4">
        <v>3</v>
      </c>
      <c r="F7" s="4">
        <v>7</v>
      </c>
      <c r="G7" s="4">
        <v>3</v>
      </c>
      <c r="H7" s="4">
        <v>0</v>
      </c>
      <c r="I7" s="4">
        <v>0</v>
      </c>
      <c r="J7" s="4">
        <v>0</v>
      </c>
      <c r="K7" s="4">
        <v>0</v>
      </c>
      <c r="L7" s="4">
        <v>10</v>
      </c>
      <c r="M7" s="4">
        <v>10</v>
      </c>
      <c r="N7" s="4">
        <v>15</v>
      </c>
      <c r="O7" s="4">
        <v>10</v>
      </c>
      <c r="P7" s="11">
        <f t="shared" si="0"/>
        <v>63</v>
      </c>
      <c r="Q7" s="4"/>
    </row>
    <row r="8" spans="1:17" ht="20.25" customHeight="1" x14ac:dyDescent="0.25">
      <c r="A8" s="45">
        <v>5</v>
      </c>
      <c r="B8" s="19" t="s">
        <v>402</v>
      </c>
      <c r="C8" s="4" t="s">
        <v>403</v>
      </c>
      <c r="D8" s="4">
        <v>5</v>
      </c>
      <c r="E8" s="4">
        <v>3</v>
      </c>
      <c r="F8" s="4">
        <v>10</v>
      </c>
      <c r="G8" s="4">
        <v>3</v>
      </c>
      <c r="H8" s="4">
        <v>3</v>
      </c>
      <c r="I8" s="4">
        <v>3</v>
      </c>
      <c r="J8" s="4">
        <v>3</v>
      </c>
      <c r="K8" s="4">
        <v>0</v>
      </c>
      <c r="L8" s="4">
        <v>10</v>
      </c>
      <c r="M8" s="4">
        <v>15</v>
      </c>
      <c r="N8" s="4">
        <v>15</v>
      </c>
      <c r="O8" s="4">
        <v>20</v>
      </c>
      <c r="P8" s="11">
        <f t="shared" si="0"/>
        <v>90</v>
      </c>
      <c r="Q8" s="4"/>
    </row>
    <row r="9" spans="1:17" ht="18.75" customHeight="1" x14ac:dyDescent="0.25">
      <c r="A9" s="45">
        <v>6</v>
      </c>
      <c r="B9" s="110" t="s">
        <v>404</v>
      </c>
      <c r="C9" s="37" t="s">
        <v>396</v>
      </c>
      <c r="D9" s="4">
        <v>5</v>
      </c>
      <c r="E9" s="4">
        <v>3</v>
      </c>
      <c r="F9" s="4">
        <v>4</v>
      </c>
      <c r="G9" s="4">
        <v>3</v>
      </c>
      <c r="H9" s="4">
        <v>0</v>
      </c>
      <c r="I9" s="4">
        <v>0</v>
      </c>
      <c r="J9" s="4">
        <v>0</v>
      </c>
      <c r="K9" s="4">
        <v>3</v>
      </c>
      <c r="L9" s="4">
        <v>10</v>
      </c>
      <c r="M9" s="4">
        <v>14</v>
      </c>
      <c r="N9" s="4">
        <v>16</v>
      </c>
      <c r="O9" s="4">
        <v>17</v>
      </c>
      <c r="P9" s="11">
        <f t="shared" si="0"/>
        <v>75</v>
      </c>
      <c r="Q9" s="4"/>
    </row>
    <row r="10" spans="1:17" ht="25.5" customHeight="1" x14ac:dyDescent="0.25">
      <c r="A10" s="45">
        <v>7</v>
      </c>
      <c r="B10" s="110" t="s">
        <v>336</v>
      </c>
      <c r="C10" s="37" t="s">
        <v>408</v>
      </c>
      <c r="D10" s="4">
        <v>5</v>
      </c>
      <c r="E10" s="4">
        <v>3</v>
      </c>
      <c r="F10" s="4">
        <v>9</v>
      </c>
      <c r="G10" s="4">
        <v>3</v>
      </c>
      <c r="H10" s="4">
        <v>3</v>
      </c>
      <c r="I10" s="4">
        <v>3</v>
      </c>
      <c r="J10" s="4">
        <v>3</v>
      </c>
      <c r="K10" s="4">
        <v>0</v>
      </c>
      <c r="L10" s="4">
        <v>10</v>
      </c>
      <c r="M10" s="4">
        <v>18</v>
      </c>
      <c r="N10" s="4">
        <v>18</v>
      </c>
      <c r="O10" s="4">
        <v>18</v>
      </c>
      <c r="P10" s="11">
        <f t="shared" si="0"/>
        <v>93</v>
      </c>
      <c r="Q10" s="4"/>
    </row>
    <row r="11" spans="1:17" x14ac:dyDescent="0.25">
      <c r="A11" s="54">
        <v>8</v>
      </c>
      <c r="B11" s="19" t="s">
        <v>98</v>
      </c>
      <c r="C11" s="4" t="s">
        <v>99</v>
      </c>
      <c r="D11" s="37">
        <v>5</v>
      </c>
      <c r="E11" s="37">
        <v>3</v>
      </c>
      <c r="F11" s="37">
        <v>6</v>
      </c>
      <c r="G11" s="37">
        <v>0</v>
      </c>
      <c r="H11" s="37">
        <v>0</v>
      </c>
      <c r="I11" s="37">
        <v>0</v>
      </c>
      <c r="J11" s="37">
        <v>0</v>
      </c>
      <c r="L11" s="37">
        <v>10</v>
      </c>
      <c r="M11" s="37">
        <v>12</v>
      </c>
      <c r="N11" s="37">
        <v>12</v>
      </c>
      <c r="O11" s="37">
        <v>0</v>
      </c>
      <c r="P11" s="37">
        <f t="shared" si="0"/>
        <v>48</v>
      </c>
    </row>
    <row r="12" spans="1:17" x14ac:dyDescent="0.25">
      <c r="A12" s="54">
        <v>9</v>
      </c>
      <c r="B12" s="110" t="s">
        <v>405</v>
      </c>
      <c r="C12" s="37" t="s">
        <v>406</v>
      </c>
      <c r="D12" s="37">
        <v>5</v>
      </c>
      <c r="E12" s="37">
        <v>3</v>
      </c>
      <c r="F12" s="37">
        <v>10</v>
      </c>
      <c r="G12" s="37">
        <v>3</v>
      </c>
      <c r="H12" s="37">
        <v>0</v>
      </c>
      <c r="I12" s="37">
        <v>0</v>
      </c>
      <c r="J12" s="37">
        <v>3</v>
      </c>
      <c r="L12" s="37">
        <v>0</v>
      </c>
      <c r="M12" s="37">
        <v>10</v>
      </c>
      <c r="N12" s="37">
        <v>15</v>
      </c>
      <c r="O12" s="37">
        <v>10</v>
      </c>
      <c r="P12" s="37">
        <f t="shared" si="0"/>
        <v>59</v>
      </c>
      <c r="Q12" t="s">
        <v>409</v>
      </c>
    </row>
    <row r="13" spans="1:17" ht="30" x14ac:dyDescent="0.25">
      <c r="A13" s="54">
        <v>10</v>
      </c>
      <c r="B13" s="110" t="s">
        <v>340</v>
      </c>
      <c r="C13" s="37" t="s">
        <v>407</v>
      </c>
      <c r="D13" s="37">
        <v>5</v>
      </c>
      <c r="E13" s="37">
        <v>3</v>
      </c>
      <c r="F13" s="37">
        <v>4</v>
      </c>
      <c r="G13" s="37">
        <v>3</v>
      </c>
      <c r="H13" s="37">
        <v>3</v>
      </c>
      <c r="I13" s="37">
        <v>0</v>
      </c>
      <c r="J13" s="37">
        <v>3</v>
      </c>
      <c r="L13" s="37">
        <v>10</v>
      </c>
      <c r="M13" s="37">
        <v>13</v>
      </c>
      <c r="N13" s="37">
        <v>12</v>
      </c>
      <c r="O13" s="37">
        <v>0</v>
      </c>
      <c r="P13" s="37">
        <f t="shared" si="0"/>
        <v>56</v>
      </c>
    </row>
    <row r="14" spans="1:17" x14ac:dyDescent="0.25">
      <c r="A14" s="54">
        <v>11</v>
      </c>
    </row>
  </sheetData>
  <sortState ref="A4:Q14">
    <sortCondition descending="1" ref="P4:P14"/>
  </sortState>
  <mergeCells count="2">
    <mergeCell ref="A1:Q1"/>
    <mergeCell ref="A2:Q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view="pageBreakPreview" zoomScale="85" zoomScaleNormal="100" zoomScaleSheetLayoutView="85" workbookViewId="0">
      <selection activeCell="Q8" sqref="Q8"/>
    </sheetView>
  </sheetViews>
  <sheetFormatPr defaultRowHeight="15" x14ac:dyDescent="0.25"/>
  <cols>
    <col min="2" max="2" width="30.85546875" customWidth="1"/>
    <col min="3" max="3" width="20.140625" customWidth="1"/>
    <col min="4" max="4" width="6.85546875" customWidth="1"/>
    <col min="18" max="18" width="35.42578125" style="27" customWidth="1"/>
  </cols>
  <sheetData>
    <row r="1" spans="1:18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58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17.7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1" t="s">
        <v>21</v>
      </c>
    </row>
    <row r="4" spans="1:18" s="75" customFormat="1" x14ac:dyDescent="0.25">
      <c r="A4">
        <v>1</v>
      </c>
      <c r="B4" t="s">
        <v>121</v>
      </c>
      <c r="C4" t="s">
        <v>261</v>
      </c>
      <c r="D4"/>
      <c r="E4" t="s">
        <v>91</v>
      </c>
      <c r="F4">
        <v>5</v>
      </c>
      <c r="G4">
        <v>3</v>
      </c>
      <c r="H4">
        <v>10</v>
      </c>
      <c r="I4">
        <v>0</v>
      </c>
      <c r="J4">
        <v>0</v>
      </c>
      <c r="K4">
        <v>0</v>
      </c>
      <c r="L4">
        <v>0</v>
      </c>
      <c r="M4">
        <v>10</v>
      </c>
      <c r="N4">
        <v>10</v>
      </c>
      <c r="O4">
        <v>10</v>
      </c>
      <c r="P4">
        <v>5</v>
      </c>
      <c r="Q4">
        <f>SUM(F4:P4)</f>
        <v>53</v>
      </c>
      <c r="R4"/>
    </row>
    <row r="5" spans="1:18" s="75" customFormat="1" x14ac:dyDescent="0.25">
      <c r="A5">
        <v>2</v>
      </c>
      <c r="B5" t="s">
        <v>262</v>
      </c>
      <c r="C5" t="s">
        <v>110</v>
      </c>
      <c r="D5"/>
      <c r="E5" t="s">
        <v>91</v>
      </c>
      <c r="F5">
        <v>5</v>
      </c>
      <c r="G5">
        <v>3</v>
      </c>
      <c r="H5">
        <v>10</v>
      </c>
      <c r="I5">
        <v>3</v>
      </c>
      <c r="J5">
        <v>0</v>
      </c>
      <c r="K5">
        <v>3</v>
      </c>
      <c r="L5">
        <v>0</v>
      </c>
      <c r="M5">
        <v>10</v>
      </c>
      <c r="N5">
        <v>10</v>
      </c>
      <c r="O5">
        <v>10</v>
      </c>
      <c r="P5">
        <v>5</v>
      </c>
      <c r="Q5">
        <f>SUM(F5:P5)</f>
        <v>59</v>
      </c>
      <c r="R5"/>
    </row>
    <row r="6" spans="1:18" s="75" customFormat="1" x14ac:dyDescent="0.25">
      <c r="A6">
        <v>3</v>
      </c>
      <c r="B6" t="s">
        <v>111</v>
      </c>
      <c r="C6" t="s">
        <v>263</v>
      </c>
      <c r="D6"/>
      <c r="E6" t="s">
        <v>91</v>
      </c>
      <c r="F6">
        <v>5</v>
      </c>
      <c r="G6">
        <v>3</v>
      </c>
      <c r="H6">
        <v>10</v>
      </c>
      <c r="I6">
        <v>3</v>
      </c>
      <c r="J6">
        <v>0</v>
      </c>
      <c r="K6">
        <v>3</v>
      </c>
      <c r="L6">
        <v>0</v>
      </c>
      <c r="M6">
        <v>10</v>
      </c>
      <c r="N6">
        <v>10</v>
      </c>
      <c r="O6">
        <v>10</v>
      </c>
      <c r="P6">
        <v>5</v>
      </c>
      <c r="Q6">
        <f>SUM(F6:P6)</f>
        <v>59</v>
      </c>
      <c r="R6"/>
    </row>
    <row r="7" spans="1:18" s="75" customFormat="1" x14ac:dyDescent="0.25">
      <c r="A7">
        <v>4</v>
      </c>
      <c r="B7" t="s">
        <v>152</v>
      </c>
      <c r="C7" t="s">
        <v>258</v>
      </c>
      <c r="D7">
        <v>32</v>
      </c>
      <c r="E7" t="s">
        <v>18</v>
      </c>
      <c r="F7">
        <v>5</v>
      </c>
      <c r="G7">
        <v>3</v>
      </c>
      <c r="H7">
        <v>10</v>
      </c>
      <c r="I7">
        <v>0</v>
      </c>
      <c r="J7">
        <v>0</v>
      </c>
      <c r="K7">
        <v>0</v>
      </c>
      <c r="L7">
        <v>3</v>
      </c>
      <c r="M7">
        <v>10</v>
      </c>
      <c r="N7">
        <v>15</v>
      </c>
      <c r="O7">
        <v>15</v>
      </c>
      <c r="P7">
        <v>5</v>
      </c>
      <c r="Q7">
        <f>SUM(F7:P7)</f>
        <v>66</v>
      </c>
      <c r="R7"/>
    </row>
    <row r="8" spans="1:18" s="70" customFormat="1" x14ac:dyDescent="0.25">
      <c r="A8">
        <v>5</v>
      </c>
      <c r="B8" t="s">
        <v>154</v>
      </c>
      <c r="C8" t="s">
        <v>264</v>
      </c>
      <c r="D8"/>
      <c r="E8" t="s">
        <v>91</v>
      </c>
      <c r="F8">
        <v>5</v>
      </c>
      <c r="G8">
        <v>3</v>
      </c>
      <c r="H8">
        <v>10</v>
      </c>
      <c r="I8">
        <v>3</v>
      </c>
      <c r="J8">
        <v>0</v>
      </c>
      <c r="K8">
        <v>0</v>
      </c>
      <c r="L8">
        <v>0</v>
      </c>
      <c r="M8">
        <v>10</v>
      </c>
      <c r="N8">
        <v>15</v>
      </c>
      <c r="O8">
        <v>15</v>
      </c>
      <c r="P8">
        <v>5</v>
      </c>
      <c r="Q8" s="108">
        <f>SUM(F8:P8)</f>
        <v>66</v>
      </c>
      <c r="R8"/>
    </row>
    <row r="9" spans="1:18" s="70" customForma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s="70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9"/>
    </row>
    <row r="11" spans="1:18" s="70" customForma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9"/>
    </row>
    <row r="12" spans="1:18" s="70" customFormat="1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9"/>
    </row>
    <row r="13" spans="1:18" s="70" customFormat="1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9"/>
    </row>
    <row r="14" spans="1:18" s="70" customFormat="1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9"/>
    </row>
    <row r="15" spans="1:18" s="70" customForma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9"/>
    </row>
    <row r="16" spans="1:18" s="70" customForma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9"/>
    </row>
    <row r="17" spans="1:18" s="70" customFormat="1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9"/>
    </row>
    <row r="18" spans="1:18" s="70" customFormat="1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9"/>
    </row>
    <row r="19" spans="1:18" s="70" customFormat="1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9"/>
    </row>
  </sheetData>
  <sortState ref="A4:U8">
    <sortCondition descending="1" ref="Q4:Q8"/>
  </sortState>
  <mergeCells count="2">
    <mergeCell ref="A1:R1"/>
    <mergeCell ref="A2:R2"/>
  </mergeCells>
  <pageMargins left="0.7" right="0.7" top="0.75" bottom="0.75" header="0.3" footer="0.3"/>
  <pageSetup paperSize="8" scale="74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view="pageBreakPreview" zoomScale="85" zoomScaleNormal="100" zoomScaleSheetLayoutView="85" workbookViewId="0">
      <selection activeCell="I23" sqref="I23"/>
    </sheetView>
  </sheetViews>
  <sheetFormatPr defaultRowHeight="15" x14ac:dyDescent="0.25"/>
  <cols>
    <col min="2" max="2" width="31.85546875" customWidth="1"/>
    <col min="3" max="3" width="17.140625" customWidth="1"/>
    <col min="13" max="13" width="5.7109375" customWidth="1"/>
    <col min="14" max="14" width="7.140625" customWidth="1"/>
    <col min="21" max="21" width="29.42578125" style="27" customWidth="1"/>
  </cols>
  <sheetData>
    <row r="1" spans="1:21" s="5" customFormat="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s="5" customFormat="1" ht="21" x14ac:dyDescent="0.35">
      <c r="A2" s="124" t="s">
        <v>59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</row>
    <row r="3" spans="1:21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27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6" t="s">
        <v>38</v>
      </c>
      <c r="U3" s="1" t="s">
        <v>21</v>
      </c>
    </row>
    <row r="4" spans="1:21" s="75" customFormat="1" x14ac:dyDescent="0.25">
      <c r="A4" s="72">
        <v>3</v>
      </c>
      <c r="B4" s="72" t="s">
        <v>360</v>
      </c>
      <c r="C4" s="72" t="s">
        <v>286</v>
      </c>
      <c r="D4" s="72">
        <v>35</v>
      </c>
      <c r="E4" s="72" t="s">
        <v>7</v>
      </c>
      <c r="F4" s="72"/>
      <c r="G4" s="72">
        <v>5</v>
      </c>
      <c r="H4" s="72">
        <v>3</v>
      </c>
      <c r="I4" s="72">
        <v>10</v>
      </c>
      <c r="J4" s="72">
        <v>3</v>
      </c>
      <c r="K4" s="72">
        <v>0</v>
      </c>
      <c r="L4" s="72">
        <v>3</v>
      </c>
      <c r="M4" s="72">
        <v>3</v>
      </c>
      <c r="N4" s="72"/>
      <c r="O4" s="72">
        <v>10</v>
      </c>
      <c r="P4" s="72">
        <v>10</v>
      </c>
      <c r="Q4" s="72">
        <v>10</v>
      </c>
      <c r="R4" s="72">
        <v>10</v>
      </c>
      <c r="S4" s="72">
        <f>SUM(G4:R4)</f>
        <v>67</v>
      </c>
      <c r="T4" s="73"/>
      <c r="U4" s="74"/>
    </row>
    <row r="5" spans="1:21" s="75" customFormat="1" x14ac:dyDescent="0.25">
      <c r="A5" s="72">
        <v>1</v>
      </c>
      <c r="B5" s="74" t="s">
        <v>361</v>
      </c>
      <c r="C5" s="72" t="s">
        <v>70</v>
      </c>
      <c r="D5" s="72"/>
      <c r="E5" s="72" t="s">
        <v>7</v>
      </c>
      <c r="F5" s="72"/>
      <c r="G5" s="72">
        <v>5</v>
      </c>
      <c r="H5" s="72">
        <v>3</v>
      </c>
      <c r="I5" s="72">
        <v>10</v>
      </c>
      <c r="J5" s="72">
        <v>0</v>
      </c>
      <c r="K5" s="72">
        <v>3</v>
      </c>
      <c r="L5" s="72">
        <v>3</v>
      </c>
      <c r="M5" s="72">
        <v>3</v>
      </c>
      <c r="N5" s="72"/>
      <c r="O5" s="72">
        <v>10</v>
      </c>
      <c r="P5" s="72">
        <v>10</v>
      </c>
      <c r="Q5" s="72">
        <v>17</v>
      </c>
      <c r="R5" s="72">
        <v>15</v>
      </c>
      <c r="S5" s="72">
        <f>SUM(G5:R5)</f>
        <v>79</v>
      </c>
      <c r="T5" s="73"/>
      <c r="U5" s="74"/>
    </row>
    <row r="6" spans="1:21" s="70" customFormat="1" x14ac:dyDescent="0.25">
      <c r="A6" s="67">
        <v>2</v>
      </c>
      <c r="B6" s="67" t="s">
        <v>362</v>
      </c>
      <c r="C6" s="67" t="s">
        <v>303</v>
      </c>
      <c r="D6" s="67">
        <v>25</v>
      </c>
      <c r="E6" s="67" t="s">
        <v>18</v>
      </c>
      <c r="F6" s="67"/>
      <c r="G6" s="67">
        <v>5</v>
      </c>
      <c r="H6" s="67">
        <v>3</v>
      </c>
      <c r="I6" s="67">
        <v>5</v>
      </c>
      <c r="J6" s="67">
        <v>3</v>
      </c>
      <c r="K6" s="67">
        <v>0</v>
      </c>
      <c r="L6" s="67">
        <v>3</v>
      </c>
      <c r="M6" s="67">
        <v>0</v>
      </c>
      <c r="N6" s="67"/>
      <c r="O6" s="67">
        <v>10</v>
      </c>
      <c r="P6" s="67">
        <v>14</v>
      </c>
      <c r="Q6" s="67">
        <v>15</v>
      </c>
      <c r="R6" s="67">
        <v>15</v>
      </c>
      <c r="S6" s="67">
        <f>SUM(G6:R6)</f>
        <v>73</v>
      </c>
      <c r="T6" s="68"/>
      <c r="U6" s="69"/>
    </row>
    <row r="7" spans="1:21" s="70" customFormat="1" x14ac:dyDescent="0.25">
      <c r="A7" s="67">
        <v>4</v>
      </c>
      <c r="B7" s="67" t="s">
        <v>318</v>
      </c>
      <c r="C7" s="67" t="s">
        <v>319</v>
      </c>
      <c r="D7" s="67">
        <v>32</v>
      </c>
      <c r="E7" s="67" t="s">
        <v>18</v>
      </c>
      <c r="F7" s="67"/>
      <c r="G7" s="67">
        <v>5</v>
      </c>
      <c r="H7" s="67">
        <v>3</v>
      </c>
      <c r="I7" s="67">
        <v>7</v>
      </c>
      <c r="J7" s="67">
        <v>0</v>
      </c>
      <c r="K7" s="67">
        <v>0</v>
      </c>
      <c r="L7" s="67">
        <v>0</v>
      </c>
      <c r="M7" s="67">
        <v>3</v>
      </c>
      <c r="N7" s="67"/>
      <c r="O7" s="67">
        <v>10</v>
      </c>
      <c r="P7" s="67">
        <v>7</v>
      </c>
      <c r="Q7" s="67">
        <v>7</v>
      </c>
      <c r="R7" s="67">
        <v>5</v>
      </c>
      <c r="S7" s="67">
        <f>SUM(G7:R7)</f>
        <v>47</v>
      </c>
      <c r="T7" s="68"/>
      <c r="U7" s="69"/>
    </row>
    <row r="8" spans="1:21" s="70" customFormat="1" x14ac:dyDescent="0.25">
      <c r="A8" s="70">
        <v>5</v>
      </c>
      <c r="B8" s="70" t="s">
        <v>312</v>
      </c>
      <c r="C8" s="70" t="s">
        <v>363</v>
      </c>
      <c r="E8" s="70" t="s">
        <v>7</v>
      </c>
      <c r="G8" s="70">
        <v>5</v>
      </c>
      <c r="H8" s="70">
        <v>3</v>
      </c>
      <c r="I8" s="70">
        <v>9</v>
      </c>
      <c r="J8" s="70">
        <v>3</v>
      </c>
      <c r="K8" s="70">
        <v>2</v>
      </c>
      <c r="L8" s="70">
        <v>2</v>
      </c>
      <c r="M8" s="70">
        <v>0</v>
      </c>
      <c r="O8" s="70">
        <v>10</v>
      </c>
      <c r="P8" s="70">
        <v>16</v>
      </c>
      <c r="Q8" s="70">
        <v>16</v>
      </c>
      <c r="R8" s="70">
        <v>18</v>
      </c>
      <c r="S8" s="70">
        <f>SUM(G8:R8)</f>
        <v>84</v>
      </c>
      <c r="U8" s="89"/>
    </row>
    <row r="9" spans="1:21" s="70" customForma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s="70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69"/>
    </row>
    <row r="11" spans="1:21" s="70" customForma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22"/>
      <c r="U12" s="19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22"/>
      <c r="U13" s="19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22"/>
      <c r="U14" s="19"/>
    </row>
  </sheetData>
  <sortState ref="A4:U6">
    <sortCondition descending="1" ref="S4:S6"/>
  </sortState>
  <mergeCells count="2">
    <mergeCell ref="A1:U1"/>
    <mergeCell ref="A2:U2"/>
  </mergeCells>
  <pageMargins left="0.7" right="0.7" top="0.75" bottom="0.75" header="0.3" footer="0.3"/>
  <pageSetup paperSize="8" scale="7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J15" sqref="J15"/>
    </sheetView>
  </sheetViews>
  <sheetFormatPr defaultRowHeight="15" x14ac:dyDescent="0.25"/>
  <cols>
    <col min="2" max="2" width="20.28515625" customWidth="1"/>
    <col min="3" max="3" width="16.140625" customWidth="1"/>
  </cols>
  <sheetData>
    <row r="1" spans="1:21" ht="21" x14ac:dyDescent="0.3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ht="21" customHeight="1" x14ac:dyDescent="0.3">
      <c r="A2" s="125" t="s">
        <v>343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7"/>
    </row>
    <row r="3" spans="1:21" ht="110.25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27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346</v>
      </c>
      <c r="P3" s="1" t="s">
        <v>14</v>
      </c>
      <c r="Q3" s="1" t="s">
        <v>15</v>
      </c>
      <c r="R3" s="1" t="s">
        <v>16</v>
      </c>
      <c r="S3" s="1" t="s">
        <v>13</v>
      </c>
      <c r="T3" s="26" t="s">
        <v>38</v>
      </c>
      <c r="U3" s="1" t="s">
        <v>21</v>
      </c>
    </row>
    <row r="4" spans="1:21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74"/>
    </row>
    <row r="5" spans="1:21" x14ac:dyDescent="0.25">
      <c r="A5" s="72"/>
      <c r="B5" s="74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  <c r="U5" s="74"/>
    </row>
    <row r="6" spans="1:21" x14ac:dyDescent="0.25">
      <c r="A6" s="67">
        <v>1</v>
      </c>
      <c r="B6" s="67" t="s">
        <v>344</v>
      </c>
      <c r="C6" s="67" t="s">
        <v>345</v>
      </c>
      <c r="D6" s="67"/>
      <c r="E6" s="67"/>
      <c r="F6" s="67"/>
      <c r="G6" s="67">
        <v>5</v>
      </c>
      <c r="H6" s="67">
        <v>3</v>
      </c>
      <c r="I6" s="67">
        <v>10</v>
      </c>
      <c r="J6" s="67">
        <v>3</v>
      </c>
      <c r="K6" s="67">
        <v>3</v>
      </c>
      <c r="L6" s="67">
        <v>3</v>
      </c>
      <c r="M6" s="67">
        <v>3</v>
      </c>
      <c r="N6" s="67"/>
      <c r="O6" s="67">
        <v>10</v>
      </c>
      <c r="P6" s="67">
        <v>15</v>
      </c>
      <c r="Q6" s="67">
        <v>16</v>
      </c>
      <c r="R6" s="67">
        <v>18</v>
      </c>
      <c r="S6" s="67">
        <f>SUM(G6:R6)</f>
        <v>89</v>
      </c>
      <c r="T6" s="68"/>
      <c r="U6" s="69"/>
    </row>
    <row r="7" spans="1:21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8"/>
      <c r="U7" s="69"/>
    </row>
    <row r="8" spans="1:21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89"/>
    </row>
    <row r="9" spans="1:2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69"/>
    </row>
    <row r="11" spans="1:2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22"/>
      <c r="U12" s="19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22"/>
      <c r="U13" s="19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22"/>
      <c r="U14" s="19"/>
    </row>
    <row r="15" spans="1:21" x14ac:dyDescent="0.25">
      <c r="U15" s="27"/>
    </row>
    <row r="19" spans="7:7" x14ac:dyDescent="0.25">
      <c r="G19" s="109"/>
    </row>
  </sheetData>
  <mergeCells count="2">
    <mergeCell ref="A1:U1"/>
    <mergeCell ref="A2:U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view="pageBreakPreview" zoomScale="85" zoomScaleNormal="100" zoomScaleSheetLayoutView="85" workbookViewId="0">
      <selection activeCell="B11" sqref="B11"/>
    </sheetView>
  </sheetViews>
  <sheetFormatPr defaultRowHeight="15" x14ac:dyDescent="0.25"/>
  <cols>
    <col min="2" max="2" width="30.85546875" customWidth="1"/>
    <col min="3" max="3" width="27.28515625" customWidth="1"/>
    <col min="18" max="18" width="35.42578125" style="27" customWidth="1"/>
  </cols>
  <sheetData>
    <row r="1" spans="1:18" s="5" customFormat="1" ht="21" x14ac:dyDescent="0.35">
      <c r="A1" s="124" t="s">
        <v>322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s="5" customFormat="1" ht="21" x14ac:dyDescent="0.35">
      <c r="A2" s="124" t="s">
        <v>61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s="3" customFormat="1" ht="117.75" customHeight="1" x14ac:dyDescent="0.25">
      <c r="A3" s="1" t="s">
        <v>6</v>
      </c>
      <c r="B3" s="2" t="s">
        <v>26</v>
      </c>
      <c r="C3" s="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12</v>
      </c>
      <c r="M3" s="1" t="s">
        <v>14</v>
      </c>
      <c r="N3" s="1" t="s">
        <v>15</v>
      </c>
      <c r="O3" s="1" t="s">
        <v>16</v>
      </c>
      <c r="P3" s="1" t="s">
        <v>13</v>
      </c>
      <c r="Q3" s="26" t="s">
        <v>38</v>
      </c>
      <c r="R3" s="1" t="s">
        <v>21</v>
      </c>
    </row>
    <row r="4" spans="1:18" s="75" customFormat="1" x14ac:dyDescent="0.25">
      <c r="A4" s="72">
        <v>1</v>
      </c>
      <c r="B4" s="72" t="s">
        <v>338</v>
      </c>
      <c r="C4" s="72" t="s">
        <v>339</v>
      </c>
      <c r="D4" s="72">
        <v>5</v>
      </c>
      <c r="E4" s="72">
        <v>3</v>
      </c>
      <c r="F4" s="72">
        <v>10</v>
      </c>
      <c r="G4" s="72">
        <v>0</v>
      </c>
      <c r="H4" s="72">
        <v>3</v>
      </c>
      <c r="I4" s="72">
        <v>0</v>
      </c>
      <c r="J4" s="72">
        <v>3</v>
      </c>
      <c r="K4" s="72"/>
      <c r="L4" s="72"/>
      <c r="M4" s="72">
        <v>15</v>
      </c>
      <c r="N4" s="72">
        <v>20</v>
      </c>
      <c r="O4" s="72">
        <v>15</v>
      </c>
      <c r="P4" s="72">
        <f>SUM(D4:O4)</f>
        <v>74</v>
      </c>
      <c r="Q4" s="73"/>
      <c r="R4" s="74"/>
    </row>
    <row r="5" spans="1:18" s="70" customFormat="1" x14ac:dyDescent="0.2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  <c r="R5" s="69"/>
    </row>
    <row r="6" spans="1:18" s="70" customForma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8"/>
      <c r="R6" s="69"/>
    </row>
    <row r="7" spans="1:18" s="70" customFormat="1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8"/>
      <c r="R7" s="69"/>
    </row>
    <row r="8" spans="1:18" s="70" customFormat="1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  <c r="R8" s="69"/>
    </row>
    <row r="9" spans="1:18" s="70" customForma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8"/>
      <c r="R9" s="69"/>
    </row>
    <row r="10" spans="1:18" s="70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8"/>
      <c r="R10" s="69"/>
    </row>
    <row r="11" spans="1:18" s="70" customForma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8"/>
      <c r="R11" s="69"/>
    </row>
    <row r="12" spans="1:18" s="70" customFormat="1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  <c r="R12" s="69"/>
    </row>
    <row r="13" spans="1:18" s="70" customFormat="1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8"/>
      <c r="R13" s="69"/>
    </row>
    <row r="14" spans="1:18" s="70" customFormat="1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8"/>
      <c r="R14" s="69"/>
    </row>
    <row r="15" spans="1:18" s="70" customForma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8"/>
      <c r="R15" s="69"/>
    </row>
    <row r="16" spans="1:18" s="70" customForma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8"/>
      <c r="R16" s="69"/>
    </row>
    <row r="17" spans="1:18" s="70" customFormat="1" x14ac:dyDescent="0.2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8"/>
      <c r="R17" s="69"/>
    </row>
    <row r="18" spans="1:18" s="70" customFormat="1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8"/>
      <c r="R18" s="69"/>
    </row>
    <row r="19" spans="1:18" s="70" customFormat="1" x14ac:dyDescent="0.2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/>
      <c r="R19" s="69"/>
    </row>
  </sheetData>
  <mergeCells count="2">
    <mergeCell ref="A1:R1"/>
    <mergeCell ref="A2:R2"/>
  </mergeCells>
  <pageMargins left="0.7" right="0.7" top="0.75" bottom="0.75" header="0.3" footer="0.3"/>
  <pageSetup paperSize="8" scale="74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="70" zoomScaleNormal="70" workbookViewId="0">
      <selection activeCell="L19" sqref="L19"/>
    </sheetView>
  </sheetViews>
  <sheetFormatPr defaultRowHeight="15" x14ac:dyDescent="0.25"/>
  <cols>
    <col min="2" max="2" width="17.85546875" customWidth="1"/>
    <col min="3" max="3" width="19.28515625" customWidth="1"/>
  </cols>
  <sheetData>
    <row r="1" spans="1:2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ht="21" x14ac:dyDescent="0.35">
      <c r="A2" s="124" t="s">
        <v>62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</row>
    <row r="3" spans="1:21" ht="111.75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27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6" t="s">
        <v>38</v>
      </c>
      <c r="U3" s="1" t="s">
        <v>21</v>
      </c>
    </row>
    <row r="4" spans="1:21" s="75" customFormat="1" x14ac:dyDescent="0.25">
      <c r="A4" s="79">
        <v>1</v>
      </c>
      <c r="B4" s="78" t="s">
        <v>356</v>
      </c>
      <c r="C4" s="79" t="s">
        <v>350</v>
      </c>
      <c r="D4" s="92"/>
      <c r="E4" s="79"/>
      <c r="F4" s="79"/>
      <c r="G4" s="79">
        <v>5</v>
      </c>
      <c r="H4" s="79">
        <v>3</v>
      </c>
      <c r="I4" s="79">
        <v>10</v>
      </c>
      <c r="J4" s="79">
        <v>3</v>
      </c>
      <c r="K4" s="79">
        <v>3</v>
      </c>
      <c r="L4" s="79"/>
      <c r="M4" s="79"/>
      <c r="N4" s="79"/>
      <c r="O4" s="79">
        <v>10</v>
      </c>
      <c r="P4" s="79">
        <v>18</v>
      </c>
      <c r="Q4" s="79">
        <v>18</v>
      </c>
      <c r="R4" s="79">
        <v>20</v>
      </c>
      <c r="S4" s="79">
        <f>SUM(G4:R4)</f>
        <v>90</v>
      </c>
      <c r="T4" s="96"/>
      <c r="U4" s="78"/>
    </row>
    <row r="5" spans="1:21" s="75" customFormat="1" ht="60" x14ac:dyDescent="0.25">
      <c r="A5" s="72">
        <v>2</v>
      </c>
      <c r="B5" s="74" t="s">
        <v>370</v>
      </c>
      <c r="C5" s="72" t="s">
        <v>371</v>
      </c>
      <c r="D5" s="72"/>
      <c r="E5" s="72"/>
      <c r="F5" s="72"/>
      <c r="G5" s="72">
        <v>0</v>
      </c>
      <c r="H5" s="72">
        <v>3</v>
      </c>
      <c r="I5" s="72">
        <v>4</v>
      </c>
      <c r="J5" s="72">
        <v>3</v>
      </c>
      <c r="K5" s="72">
        <v>0</v>
      </c>
      <c r="L5" s="72">
        <v>3</v>
      </c>
      <c r="M5" s="72"/>
      <c r="N5" s="72"/>
      <c r="O5" s="72">
        <v>0</v>
      </c>
      <c r="P5" s="72">
        <v>8</v>
      </c>
      <c r="Q5" s="72">
        <v>12</v>
      </c>
      <c r="R5" s="72">
        <v>18</v>
      </c>
      <c r="S5" s="79">
        <f>SUM(G5:R5)</f>
        <v>51</v>
      </c>
      <c r="T5" s="73"/>
      <c r="U5" s="74" t="s">
        <v>372</v>
      </c>
    </row>
    <row r="6" spans="1:21" s="75" customFormat="1" x14ac:dyDescent="0.25">
      <c r="A6" s="72"/>
      <c r="B6" s="74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9"/>
      <c r="T6" s="73"/>
      <c r="U6" s="74"/>
    </row>
    <row r="7" spans="1:21" s="75" customFormat="1" x14ac:dyDescent="0.25">
      <c r="A7" s="72"/>
      <c r="B7" s="74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9"/>
      <c r="T7" s="73"/>
      <c r="U7" s="74"/>
    </row>
  </sheetData>
  <sortState ref="A4:U7">
    <sortCondition descending="1" ref="S4:S7"/>
  </sortState>
  <mergeCells count="2">
    <mergeCell ref="A1:U1"/>
    <mergeCell ref="A2:U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view="pageBreakPreview" zoomScale="85" zoomScaleNormal="100" zoomScaleSheetLayoutView="85" workbookViewId="0">
      <selection activeCell="R7" sqref="R7"/>
    </sheetView>
  </sheetViews>
  <sheetFormatPr defaultRowHeight="15" x14ac:dyDescent="0.25"/>
  <cols>
    <col min="2" max="2" width="34.7109375" customWidth="1"/>
    <col min="3" max="3" width="30.85546875" customWidth="1"/>
    <col min="18" max="18" width="30" style="27" customWidth="1"/>
  </cols>
  <sheetData>
    <row r="1" spans="1:21" s="5" customFormat="1" ht="21" x14ac:dyDescent="0.35">
      <c r="A1" s="124" t="s">
        <v>322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21" s="5" customFormat="1" ht="21" x14ac:dyDescent="0.35">
      <c r="A2" s="124" t="s">
        <v>63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21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23</v>
      </c>
      <c r="G3" s="1" t="s">
        <v>3</v>
      </c>
      <c r="H3" s="1" t="s">
        <v>8</v>
      </c>
      <c r="I3" s="1" t="s">
        <v>27</v>
      </c>
      <c r="J3" s="1" t="s">
        <v>4</v>
      </c>
      <c r="K3" s="1" t="s">
        <v>9</v>
      </c>
      <c r="L3" s="2" t="s">
        <v>10</v>
      </c>
      <c r="M3" s="1" t="s">
        <v>12</v>
      </c>
      <c r="N3" s="1" t="s">
        <v>14</v>
      </c>
      <c r="O3" s="1" t="s">
        <v>15</v>
      </c>
      <c r="P3" s="1" t="s">
        <v>16</v>
      </c>
      <c r="Q3" s="1" t="s">
        <v>13</v>
      </c>
      <c r="R3" s="1" t="s">
        <v>21</v>
      </c>
    </row>
    <row r="4" spans="1:21" s="75" customFormat="1" x14ac:dyDescent="0.25">
      <c r="A4">
        <v>1</v>
      </c>
      <c r="B4" t="s">
        <v>323</v>
      </c>
      <c r="C4" t="s">
        <v>233</v>
      </c>
      <c r="D4"/>
      <c r="E4" t="s">
        <v>91</v>
      </c>
      <c r="F4">
        <v>5</v>
      </c>
      <c r="G4">
        <v>3</v>
      </c>
      <c r="H4">
        <v>10</v>
      </c>
      <c r="I4">
        <v>3</v>
      </c>
      <c r="J4">
        <v>0</v>
      </c>
      <c r="K4">
        <v>0</v>
      </c>
      <c r="L4">
        <v>0</v>
      </c>
      <c r="M4">
        <v>10</v>
      </c>
      <c r="N4">
        <v>10</v>
      </c>
      <c r="O4">
        <v>10</v>
      </c>
      <c r="P4">
        <v>10</v>
      </c>
      <c r="Q4">
        <f>SUM(F4:P4)</f>
        <v>61</v>
      </c>
      <c r="R4"/>
      <c r="S4"/>
      <c r="T4"/>
      <c r="U4"/>
    </row>
    <row r="5" spans="1:21" s="70" customFormat="1" ht="21" customHeight="1" x14ac:dyDescent="0.25">
      <c r="A5" s="67">
        <v>2</v>
      </c>
      <c r="B5" s="67" t="s">
        <v>324</v>
      </c>
      <c r="C5" s="67" t="s">
        <v>159</v>
      </c>
      <c r="D5" s="67">
        <v>25</v>
      </c>
      <c r="E5" s="67" t="s">
        <v>90</v>
      </c>
      <c r="F5" s="67">
        <v>5</v>
      </c>
      <c r="G5" s="67">
        <v>3</v>
      </c>
      <c r="H5" s="67">
        <v>8</v>
      </c>
      <c r="I5" s="67">
        <v>3</v>
      </c>
      <c r="J5" s="67">
        <v>0</v>
      </c>
      <c r="K5" s="67">
        <v>0</v>
      </c>
      <c r="L5" s="67">
        <v>0</v>
      </c>
      <c r="M5" s="67">
        <v>10</v>
      </c>
      <c r="N5" s="67">
        <v>12</v>
      </c>
      <c r="O5" s="67">
        <v>15</v>
      </c>
      <c r="P5" s="67">
        <v>5</v>
      </c>
      <c r="Q5" s="67">
        <f>SUM(F5:P5)</f>
        <v>61</v>
      </c>
      <c r="R5" s="69"/>
    </row>
    <row r="6" spans="1:21" s="70" customFormat="1" x14ac:dyDescent="0.25">
      <c r="A6" s="67">
        <v>3</v>
      </c>
      <c r="B6" s="67" t="s">
        <v>132</v>
      </c>
      <c r="C6" s="67" t="s">
        <v>192</v>
      </c>
      <c r="D6" s="67"/>
      <c r="E6" s="67" t="s">
        <v>91</v>
      </c>
      <c r="F6" s="67">
        <v>5</v>
      </c>
      <c r="G6" s="67">
        <v>3</v>
      </c>
      <c r="H6" s="67">
        <v>9</v>
      </c>
      <c r="I6" s="67">
        <v>3</v>
      </c>
      <c r="J6" s="67">
        <v>0</v>
      </c>
      <c r="K6" s="67">
        <v>0</v>
      </c>
      <c r="L6" s="67">
        <v>0</v>
      </c>
      <c r="M6" s="67">
        <v>10</v>
      </c>
      <c r="N6" s="67">
        <v>10</v>
      </c>
      <c r="O6" s="67">
        <v>12</v>
      </c>
      <c r="P6" s="67">
        <v>10</v>
      </c>
      <c r="Q6" s="67">
        <f>SUM(F6:P6)</f>
        <v>62</v>
      </c>
      <c r="R6" s="69"/>
    </row>
    <row r="7" spans="1:21" s="70" customFormat="1" x14ac:dyDescent="0.25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9"/>
    </row>
    <row r="8" spans="1:21" s="70" customFormat="1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9"/>
    </row>
    <row r="9" spans="1:21" s="70" customForma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9"/>
    </row>
    <row r="10" spans="1:21" s="70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9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9"/>
    </row>
    <row r="12" spans="1:21" x14ac:dyDescent="0.25">
      <c r="A12" s="11"/>
      <c r="B12" s="11"/>
      <c r="C12" s="1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9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9"/>
    </row>
  </sheetData>
  <mergeCells count="2">
    <mergeCell ref="A1:R1"/>
    <mergeCell ref="A2:R2"/>
  </mergeCells>
  <pageMargins left="0.7" right="0.7" top="0.75" bottom="0.75" header="0.3" footer="0.3"/>
  <pageSetup paperSize="8" scale="74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view="pageBreakPreview" zoomScale="60" zoomScaleNormal="100" workbookViewId="0">
      <selection activeCell="T37" sqref="T37"/>
    </sheetView>
  </sheetViews>
  <sheetFormatPr defaultRowHeight="15" x14ac:dyDescent="0.25"/>
  <cols>
    <col min="2" max="2" width="33.140625" style="27" customWidth="1"/>
    <col min="3" max="3" width="26.85546875" customWidth="1"/>
    <col min="17" max="17" width="24" style="27" customWidth="1"/>
  </cols>
  <sheetData>
    <row r="1" spans="1:19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9" ht="21" x14ac:dyDescent="0.35">
      <c r="A2" s="124" t="s">
        <v>64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9" s="27" customFormat="1" ht="93.75" customHeight="1" x14ac:dyDescent="0.25">
      <c r="A3" s="44" t="s">
        <v>6</v>
      </c>
      <c r="B3" s="42" t="s">
        <v>26</v>
      </c>
      <c r="C3" s="42" t="s">
        <v>1</v>
      </c>
      <c r="D3" s="1" t="s">
        <v>23</v>
      </c>
      <c r="E3" s="1" t="s">
        <v>3</v>
      </c>
      <c r="F3" s="1" t="s">
        <v>8</v>
      </c>
      <c r="G3" s="1" t="s">
        <v>27</v>
      </c>
      <c r="H3" s="1" t="s">
        <v>4</v>
      </c>
      <c r="I3" s="1" t="s">
        <v>9</v>
      </c>
      <c r="J3" s="2" t="s">
        <v>10</v>
      </c>
      <c r="K3" s="2" t="s">
        <v>11</v>
      </c>
      <c r="L3" s="1" t="s">
        <v>60</v>
      </c>
      <c r="M3" s="1" t="s">
        <v>14</v>
      </c>
      <c r="N3" s="1" t="s">
        <v>15</v>
      </c>
      <c r="O3" s="1" t="s">
        <v>16</v>
      </c>
      <c r="P3" s="1" t="s">
        <v>13</v>
      </c>
      <c r="Q3" s="1" t="s">
        <v>21</v>
      </c>
    </row>
    <row r="4" spans="1:19" ht="22.5" customHeight="1" x14ac:dyDescent="0.25">
      <c r="A4" s="56">
        <v>1</v>
      </c>
      <c r="B4" s="6" t="s">
        <v>359</v>
      </c>
      <c r="C4" s="4" t="s">
        <v>350</v>
      </c>
      <c r="D4" s="4">
        <v>5</v>
      </c>
      <c r="E4" s="4">
        <v>3</v>
      </c>
      <c r="F4" s="4">
        <v>9</v>
      </c>
      <c r="G4" s="4">
        <v>3</v>
      </c>
      <c r="H4" s="4">
        <v>0</v>
      </c>
      <c r="I4" s="4">
        <v>0</v>
      </c>
      <c r="J4" s="4">
        <v>0</v>
      </c>
      <c r="K4" s="4"/>
      <c r="L4" s="4">
        <v>10</v>
      </c>
      <c r="M4" s="4">
        <v>18</v>
      </c>
      <c r="N4" s="4">
        <v>20</v>
      </c>
      <c r="O4" s="4">
        <v>18</v>
      </c>
      <c r="P4" s="11">
        <f>SUM(D4:O4)</f>
        <v>86</v>
      </c>
      <c r="Q4" s="19"/>
    </row>
    <row r="5" spans="1:19" x14ac:dyDescent="0.25">
      <c r="A5" s="45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1"/>
      <c r="Q5" s="4"/>
      <c r="R5" s="10"/>
      <c r="S5" s="30"/>
    </row>
    <row r="6" spans="1:19" x14ac:dyDescent="0.25">
      <c r="A6" s="45"/>
      <c r="B6" s="1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1"/>
      <c r="Q6" s="4"/>
    </row>
    <row r="7" spans="1:19" x14ac:dyDescent="0.25">
      <c r="A7" s="45"/>
      <c r="B7" s="1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1"/>
      <c r="Q7" s="4"/>
    </row>
    <row r="8" spans="1:19" x14ac:dyDescent="0.25">
      <c r="A8" s="45"/>
      <c r="B8" s="1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1"/>
      <c r="Q8" s="19"/>
    </row>
    <row r="9" spans="1:19" x14ac:dyDescent="0.25">
      <c r="A9" s="45"/>
      <c r="B9" s="1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1"/>
      <c r="Q9" s="19"/>
    </row>
    <row r="10" spans="1:19" x14ac:dyDescent="0.25">
      <c r="A10" s="45"/>
      <c r="B10" s="1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1"/>
      <c r="Q10" s="4"/>
    </row>
    <row r="11" spans="1:19" x14ac:dyDescent="0.25">
      <c r="A11" s="45"/>
      <c r="B11" s="1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1"/>
      <c r="Q11" s="4"/>
    </row>
    <row r="12" spans="1:19" x14ac:dyDescent="0.25">
      <c r="A12" s="45"/>
      <c r="B12" s="1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1"/>
      <c r="Q12" s="19"/>
    </row>
    <row r="13" spans="1:19" x14ac:dyDescent="0.25">
      <c r="A13" s="45"/>
      <c r="B13" s="1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1"/>
      <c r="Q13" s="4"/>
    </row>
    <row r="14" spans="1:19" x14ac:dyDescent="0.25">
      <c r="A14" s="45"/>
      <c r="B14" s="1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1"/>
      <c r="Q14" s="4"/>
    </row>
    <row r="15" spans="1:19" x14ac:dyDescent="0.25">
      <c r="A15" s="45"/>
      <c r="B15" s="1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1"/>
      <c r="Q15" s="19"/>
    </row>
    <row r="16" spans="1:19" x14ac:dyDescent="0.25">
      <c r="A16" s="45"/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1"/>
      <c r="Q16" s="4"/>
    </row>
    <row r="17" spans="1:17" x14ac:dyDescent="0.25">
      <c r="A17" s="45"/>
      <c r="B17" s="1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1"/>
      <c r="Q17" s="4"/>
    </row>
    <row r="18" spans="1:17" s="14" customFormat="1" x14ac:dyDescent="0.25">
      <c r="A18" s="51"/>
      <c r="B18" s="2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45"/>
      <c r="B19" s="1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1"/>
      <c r="Q19" s="19"/>
    </row>
    <row r="20" spans="1:17" x14ac:dyDescent="0.25">
      <c r="A20" s="45"/>
      <c r="B20" s="1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1"/>
      <c r="Q20" s="19"/>
    </row>
    <row r="21" spans="1:17" s="16" customFormat="1" x14ac:dyDescent="0.25">
      <c r="B21" s="55"/>
      <c r="Q21" s="55"/>
    </row>
    <row r="22" spans="1:17" s="12" customFormat="1" x14ac:dyDescent="0.25">
      <c r="A22" s="45"/>
      <c r="B22" s="1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1"/>
      <c r="Q22" s="31"/>
    </row>
    <row r="23" spans="1:17" x14ac:dyDescent="0.25">
      <c r="A23" s="45"/>
      <c r="B23" s="1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1"/>
      <c r="Q23" s="19"/>
    </row>
    <row r="24" spans="1:17" x14ac:dyDescent="0.25">
      <c r="A24" s="45"/>
      <c r="B24" s="1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1"/>
      <c r="Q24" s="19"/>
    </row>
    <row r="25" spans="1:17" x14ac:dyDescent="0.25">
      <c r="A25" s="45"/>
      <c r="B25" s="1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1"/>
      <c r="Q25" s="19"/>
    </row>
    <row r="26" spans="1:17" x14ac:dyDescent="0.25">
      <c r="A26" s="45"/>
      <c r="B26" s="1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1"/>
      <c r="Q26" s="19"/>
    </row>
    <row r="27" spans="1:17" x14ac:dyDescent="0.25">
      <c r="A27" s="46"/>
      <c r="B27" s="3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9"/>
    </row>
    <row r="28" spans="1:17" x14ac:dyDescent="0.25">
      <c r="A28" s="45"/>
      <c r="B28" s="1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1"/>
      <c r="Q28" s="19"/>
    </row>
    <row r="29" spans="1:17" x14ac:dyDescent="0.25">
      <c r="A29" s="45"/>
      <c r="B29" s="1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1"/>
      <c r="Q29" s="19"/>
    </row>
    <row r="30" spans="1:17" x14ac:dyDescent="0.25">
      <c r="A30" s="45"/>
      <c r="B30" s="1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1"/>
      <c r="Q30" s="19"/>
    </row>
    <row r="31" spans="1:17" x14ac:dyDescent="0.25">
      <c r="A31" s="45"/>
      <c r="B31" s="1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1"/>
      <c r="Q31" s="19"/>
    </row>
  </sheetData>
  <sortState ref="A4:Q18">
    <sortCondition descending="1" ref="P4:P18"/>
  </sortState>
  <mergeCells count="2">
    <mergeCell ref="A1:Q1"/>
    <mergeCell ref="A2:Q2"/>
  </mergeCells>
  <pageMargins left="0.7" right="0.7" top="0.75" bottom="0.75" header="0.3" footer="0.3"/>
  <pageSetup paperSize="8" scale="91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P30" sqref="P30"/>
    </sheetView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T7" sqref="T7"/>
    </sheetView>
  </sheetViews>
  <sheetFormatPr defaultRowHeight="15" x14ac:dyDescent="0.25"/>
  <cols>
    <col min="1" max="1" width="4.7109375" customWidth="1"/>
    <col min="2" max="2" width="21.42578125" customWidth="1"/>
    <col min="3" max="3" width="18.140625" customWidth="1"/>
  </cols>
  <sheetData>
    <row r="1" spans="1:2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ht="21" x14ac:dyDescent="0.35">
      <c r="A2" s="124" t="s">
        <v>369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</row>
    <row r="3" spans="1:21" ht="146.25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27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6" t="s">
        <v>38</v>
      </c>
      <c r="U3" s="1" t="s">
        <v>21</v>
      </c>
    </row>
    <row r="4" spans="1:21" x14ac:dyDescent="0.25">
      <c r="A4" s="72">
        <v>1</v>
      </c>
      <c r="B4" s="75" t="s">
        <v>338</v>
      </c>
      <c r="C4" s="74" t="s">
        <v>350</v>
      </c>
      <c r="D4" s="72">
        <v>29</v>
      </c>
      <c r="E4" s="72" t="s">
        <v>18</v>
      </c>
      <c r="F4" s="72"/>
      <c r="G4" s="72">
        <v>5</v>
      </c>
      <c r="H4" s="72">
        <v>3</v>
      </c>
      <c r="I4" s="72">
        <v>10</v>
      </c>
      <c r="J4" s="72">
        <v>3</v>
      </c>
      <c r="K4" s="72">
        <v>3</v>
      </c>
      <c r="L4" s="72">
        <v>0</v>
      </c>
      <c r="M4" s="72">
        <v>0</v>
      </c>
      <c r="N4" s="72"/>
      <c r="O4" s="72">
        <v>10</v>
      </c>
      <c r="P4" s="72">
        <v>18</v>
      </c>
      <c r="Q4" s="72">
        <v>18</v>
      </c>
      <c r="R4" s="72">
        <v>20</v>
      </c>
      <c r="S4" s="72"/>
      <c r="T4" s="73"/>
      <c r="U4" s="74"/>
    </row>
    <row r="5" spans="1:21" ht="60" x14ac:dyDescent="0.25">
      <c r="A5" s="4">
        <v>2</v>
      </c>
      <c r="B5" s="19" t="s">
        <v>370</v>
      </c>
      <c r="C5" s="4" t="s">
        <v>371</v>
      </c>
      <c r="D5" s="4"/>
      <c r="E5" s="4"/>
      <c r="F5" s="4"/>
      <c r="G5" s="4">
        <v>0</v>
      </c>
      <c r="H5" s="4">
        <v>3</v>
      </c>
      <c r="I5" s="4">
        <v>4</v>
      </c>
      <c r="J5" s="4">
        <v>3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8</v>
      </c>
      <c r="Q5" s="4">
        <v>12</v>
      </c>
      <c r="R5" s="4">
        <v>18</v>
      </c>
      <c r="S5" s="4"/>
      <c r="T5" s="22"/>
      <c r="U5" s="19" t="s">
        <v>372</v>
      </c>
    </row>
    <row r="6" spans="1:21" ht="30" x14ac:dyDescent="0.25">
      <c r="A6" s="67">
        <v>3</v>
      </c>
      <c r="B6" s="69" t="s">
        <v>373</v>
      </c>
      <c r="C6" s="67" t="s">
        <v>374</v>
      </c>
      <c r="D6" s="67"/>
      <c r="E6" s="67"/>
      <c r="F6" s="67"/>
      <c r="G6" s="67">
        <v>5</v>
      </c>
      <c r="H6" s="67">
        <v>3</v>
      </c>
      <c r="I6" s="67">
        <v>10</v>
      </c>
      <c r="J6" s="67">
        <v>3</v>
      </c>
      <c r="K6" s="67">
        <v>3</v>
      </c>
      <c r="L6" s="67">
        <v>3</v>
      </c>
      <c r="M6" s="67">
        <v>0</v>
      </c>
      <c r="N6" s="67"/>
      <c r="O6" s="67">
        <v>10</v>
      </c>
      <c r="P6" s="67">
        <v>18</v>
      </c>
      <c r="Q6" s="67">
        <v>18</v>
      </c>
      <c r="R6" s="67">
        <v>20</v>
      </c>
      <c r="S6" s="67"/>
      <c r="T6" s="68"/>
      <c r="U6" s="69"/>
    </row>
    <row r="7" spans="1:21" x14ac:dyDescent="0.25">
      <c r="A7" s="67"/>
      <c r="B7" s="69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8"/>
      <c r="U7" s="69"/>
    </row>
    <row r="8" spans="1:21" x14ac:dyDescent="0.25">
      <c r="A8" s="67"/>
      <c r="B8" s="6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9"/>
    </row>
    <row r="9" spans="1:21" x14ac:dyDescent="0.25">
      <c r="A9" s="67"/>
      <c r="B9" s="6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x14ac:dyDescent="0.25">
      <c r="A10" s="67"/>
      <c r="B10" s="6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69"/>
    </row>
    <row r="11" spans="1:2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x14ac:dyDescent="0.25">
      <c r="A12" s="67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9"/>
    </row>
    <row r="13" spans="1:21" x14ac:dyDescent="0.25">
      <c r="A13" s="67"/>
      <c r="B13" s="69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9"/>
    </row>
    <row r="14" spans="1:21" x14ac:dyDescent="0.25">
      <c r="A14" s="67"/>
      <c r="B14" s="69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8"/>
      <c r="U14" s="69"/>
    </row>
    <row r="15" spans="1:21" x14ac:dyDescent="0.25">
      <c r="A15" s="67"/>
      <c r="B15" s="69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9"/>
    </row>
    <row r="16" spans="1:21" x14ac:dyDescent="0.25">
      <c r="A16" s="4"/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22"/>
      <c r="U16" s="19"/>
    </row>
  </sheetData>
  <mergeCells count="2">
    <mergeCell ref="A1:U1"/>
    <mergeCell ref="A2:U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workbookViewId="0">
      <selection sqref="A1:T20"/>
    </sheetView>
  </sheetViews>
  <sheetFormatPr defaultRowHeight="15" x14ac:dyDescent="0.25"/>
  <cols>
    <col min="1" max="1" width="4.7109375" style="8" customWidth="1"/>
    <col min="2" max="2" width="17.140625" style="8" customWidth="1"/>
    <col min="3" max="3" width="21.42578125" style="8" customWidth="1"/>
    <col min="4" max="4" width="5.140625" style="8" customWidth="1"/>
    <col min="5" max="5" width="7" style="8" customWidth="1"/>
    <col min="6" max="7" width="5.140625" style="8" customWidth="1"/>
    <col min="8" max="8" width="4.140625" style="8" customWidth="1"/>
    <col min="9" max="9" width="6.5703125" style="8" bestFit="1" customWidth="1"/>
    <col min="10" max="10" width="5" style="8" customWidth="1"/>
    <col min="11" max="11" width="3.5703125" style="8" customWidth="1"/>
    <col min="12" max="12" width="5.7109375" style="8" customWidth="1"/>
    <col min="13" max="13" width="4.140625" style="8" customWidth="1"/>
    <col min="14" max="14" width="4.42578125" style="8" customWidth="1"/>
    <col min="15" max="15" width="4" style="8" customWidth="1"/>
    <col min="16" max="16" width="3.42578125" style="8" customWidth="1"/>
    <col min="17" max="17" width="5.5703125" style="8" customWidth="1"/>
    <col min="18" max="18" width="2.85546875" style="8" customWidth="1"/>
    <col min="19" max="19" width="5.5703125" style="8" customWidth="1"/>
    <col min="20" max="16384" width="9.140625" style="8"/>
  </cols>
  <sheetData>
    <row r="1" spans="1:20" x14ac:dyDescent="0.25">
      <c r="A1" s="128" t="s">
        <v>439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0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</row>
    <row r="3" spans="1:20" ht="189.75" customHeight="1" x14ac:dyDescent="0.25">
      <c r="A3" s="1" t="s">
        <v>6</v>
      </c>
      <c r="B3" s="1" t="s">
        <v>425</v>
      </c>
      <c r="C3" s="2" t="s">
        <v>26</v>
      </c>
      <c r="D3" s="2" t="s">
        <v>426</v>
      </c>
      <c r="E3" s="1" t="s">
        <v>427</v>
      </c>
      <c r="F3" s="1" t="s">
        <v>428</v>
      </c>
      <c r="G3" s="1" t="s">
        <v>23</v>
      </c>
      <c r="H3" s="1" t="s">
        <v>429</v>
      </c>
      <c r="I3" s="1" t="s">
        <v>430</v>
      </c>
      <c r="J3" s="1" t="s">
        <v>431</v>
      </c>
      <c r="K3" s="1" t="s">
        <v>432</v>
      </c>
      <c r="L3" s="2" t="s">
        <v>440</v>
      </c>
      <c r="M3" s="2" t="s">
        <v>433</v>
      </c>
      <c r="N3" s="1" t="s">
        <v>434</v>
      </c>
      <c r="O3" s="1" t="s">
        <v>435</v>
      </c>
      <c r="P3" s="1" t="s">
        <v>436</v>
      </c>
      <c r="Q3" s="1" t="s">
        <v>437</v>
      </c>
      <c r="R3" s="1" t="s">
        <v>438</v>
      </c>
      <c r="S3" s="26" t="s">
        <v>13</v>
      </c>
      <c r="T3" s="1" t="s">
        <v>21</v>
      </c>
    </row>
    <row r="4" spans="1:20" s="115" customFormat="1" x14ac:dyDescent="0.25">
      <c r="A4" s="113"/>
      <c r="B4" s="114"/>
      <c r="D4" s="116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7"/>
      <c r="T4" s="116"/>
    </row>
    <row r="5" spans="1:20" x14ac:dyDescent="0.25">
      <c r="A5" s="118"/>
      <c r="B5" s="118"/>
      <c r="C5" s="119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20"/>
      <c r="T5" s="119"/>
    </row>
    <row r="6" spans="1:20" x14ac:dyDescent="0.25">
      <c r="A6" s="118"/>
      <c r="B6" s="118"/>
      <c r="C6" s="119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20"/>
      <c r="T6" s="119"/>
    </row>
    <row r="7" spans="1:20" x14ac:dyDescent="0.25">
      <c r="A7" s="118"/>
      <c r="B7" s="118"/>
      <c r="C7" s="119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20"/>
      <c r="T7" s="119"/>
    </row>
    <row r="8" spans="1:20" x14ac:dyDescent="0.25">
      <c r="A8" s="118"/>
      <c r="B8" s="118"/>
      <c r="C8" s="119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20"/>
      <c r="T8" s="119"/>
    </row>
    <row r="9" spans="1:20" x14ac:dyDescent="0.25">
      <c r="A9" s="118"/>
      <c r="B9" s="118"/>
      <c r="C9" s="119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0"/>
      <c r="T9" s="119"/>
    </row>
    <row r="10" spans="1:20" x14ac:dyDescent="0.25">
      <c r="A10" s="118"/>
      <c r="B10" s="118"/>
      <c r="C10" s="119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20"/>
      <c r="T10" s="119"/>
    </row>
    <row r="11" spans="1:20" x14ac:dyDescent="0.25">
      <c r="A11" s="118"/>
      <c r="B11" s="118"/>
      <c r="C11" s="119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20"/>
      <c r="T11" s="119"/>
    </row>
    <row r="12" spans="1:20" x14ac:dyDescent="0.25">
      <c r="A12" s="118"/>
      <c r="B12" s="118"/>
      <c r="C12" s="119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20"/>
      <c r="T12" s="119"/>
    </row>
    <row r="13" spans="1:20" x14ac:dyDescent="0.25">
      <c r="A13" s="118"/>
      <c r="B13" s="118"/>
      <c r="C13" s="119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20"/>
      <c r="T13" s="119"/>
    </row>
    <row r="14" spans="1:20" x14ac:dyDescent="0.25">
      <c r="A14" s="7"/>
      <c r="B14" s="7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21"/>
      <c r="T14" s="9"/>
    </row>
    <row r="15" spans="1:20" x14ac:dyDescent="0.25">
      <c r="A15" s="7"/>
      <c r="B15" s="7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21"/>
      <c r="T15" s="9"/>
    </row>
    <row r="16" spans="1:20" x14ac:dyDescent="0.25">
      <c r="A16" s="7"/>
      <c r="B16" s="7"/>
      <c r="C16" s="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21"/>
      <c r="T16" s="9"/>
    </row>
    <row r="17" spans="1:20" x14ac:dyDescent="0.25">
      <c r="A17" s="7"/>
      <c r="B17" s="7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21"/>
      <c r="T17" s="9"/>
    </row>
    <row r="18" spans="1:20" x14ac:dyDescent="0.25">
      <c r="A18" s="7"/>
      <c r="B18" s="7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21"/>
      <c r="T18" s="9"/>
    </row>
    <row r="19" spans="1:20" x14ac:dyDescent="0.25">
      <c r="A19" s="7"/>
      <c r="B19" s="7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21"/>
      <c r="T19" s="9"/>
    </row>
    <row r="20" spans="1:20" x14ac:dyDescent="0.25">
      <c r="A20" s="7"/>
      <c r="B20" s="7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21"/>
      <c r="T20" s="9"/>
    </row>
    <row r="21" spans="1:20" x14ac:dyDescent="0.25">
      <c r="A21" s="7"/>
      <c r="B21" s="7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21"/>
      <c r="T21" s="9"/>
    </row>
    <row r="22" spans="1:20" x14ac:dyDescent="0.25">
      <c r="A22" s="7"/>
      <c r="B22" s="7"/>
      <c r="C22" s="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21"/>
      <c r="T22" s="9"/>
    </row>
    <row r="23" spans="1:20" x14ac:dyDescent="0.25">
      <c r="A23" s="7"/>
      <c r="B23" s="7"/>
      <c r="C23" s="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21"/>
      <c r="T23" s="9"/>
    </row>
    <row r="24" spans="1:20" x14ac:dyDescent="0.25">
      <c r="A24" s="7"/>
      <c r="B24" s="7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21"/>
      <c r="T24" s="9"/>
    </row>
  </sheetData>
  <mergeCells count="2">
    <mergeCell ref="A1:T1"/>
    <mergeCell ref="A2:T2"/>
  </mergeCell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view="pageBreakPreview" zoomScale="85" zoomScaleNormal="100" zoomScaleSheetLayoutView="85" workbookViewId="0">
      <selection sqref="A1:U16"/>
    </sheetView>
  </sheetViews>
  <sheetFormatPr defaultRowHeight="15" x14ac:dyDescent="0.25"/>
  <cols>
    <col min="2" max="2" width="30.140625" style="27" customWidth="1"/>
    <col min="3" max="3" width="27.5703125" customWidth="1"/>
    <col min="21" max="21" width="27.5703125" style="27" customWidth="1"/>
  </cols>
  <sheetData>
    <row r="1" spans="1:21" s="5" customFormat="1" ht="21" x14ac:dyDescent="0.35">
      <c r="A1" s="124" t="s">
        <v>325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</row>
    <row r="2" spans="1:21" s="5" customFormat="1" ht="21" x14ac:dyDescent="0.35">
      <c r="A2" s="124" t="s">
        <v>65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</row>
    <row r="3" spans="1:21" s="3" customFormat="1" ht="119.25" customHeight="1" x14ac:dyDescent="0.25">
      <c r="A3" s="1" t="s">
        <v>6</v>
      </c>
      <c r="B3" s="2" t="s">
        <v>26</v>
      </c>
      <c r="C3" s="2" t="s">
        <v>1</v>
      </c>
      <c r="D3" s="1" t="s">
        <v>2</v>
      </c>
      <c r="E3" s="1" t="s">
        <v>5</v>
      </c>
      <c r="F3" s="1" t="s">
        <v>22</v>
      </c>
      <c r="G3" s="1" t="s">
        <v>23</v>
      </c>
      <c r="H3" s="1" t="s">
        <v>3</v>
      </c>
      <c r="I3" s="1" t="s">
        <v>8</v>
      </c>
      <c r="J3" s="1" t="s">
        <v>27</v>
      </c>
      <c r="K3" s="1" t="s">
        <v>4</v>
      </c>
      <c r="L3" s="1" t="s">
        <v>9</v>
      </c>
      <c r="M3" s="2" t="s">
        <v>10</v>
      </c>
      <c r="N3" s="2" t="s">
        <v>11</v>
      </c>
      <c r="O3" s="1" t="s">
        <v>12</v>
      </c>
      <c r="P3" s="1" t="s">
        <v>14</v>
      </c>
      <c r="Q3" s="1" t="s">
        <v>15</v>
      </c>
      <c r="R3" s="1" t="s">
        <v>16</v>
      </c>
      <c r="S3" s="1" t="s">
        <v>13</v>
      </c>
      <c r="T3" s="26" t="s">
        <v>38</v>
      </c>
      <c r="U3" s="1" t="s">
        <v>21</v>
      </c>
    </row>
    <row r="4" spans="1:21" s="75" customFormat="1" x14ac:dyDescent="0.25">
      <c r="A4" s="72">
        <v>1</v>
      </c>
      <c r="B4" s="75" t="s">
        <v>365</v>
      </c>
      <c r="C4" s="74" t="s">
        <v>364</v>
      </c>
      <c r="D4" s="72">
        <v>29</v>
      </c>
      <c r="E4" s="72" t="s">
        <v>18</v>
      </c>
      <c r="F4" s="72"/>
      <c r="G4" s="72">
        <v>5</v>
      </c>
      <c r="H4" s="72">
        <v>3</v>
      </c>
      <c r="I4" s="72">
        <v>9</v>
      </c>
      <c r="J4" s="72">
        <v>3</v>
      </c>
      <c r="K4" s="72">
        <v>3</v>
      </c>
      <c r="L4" s="72">
        <v>0</v>
      </c>
      <c r="M4" s="72">
        <v>0</v>
      </c>
      <c r="N4" s="72">
        <v>0</v>
      </c>
      <c r="O4" s="72">
        <v>10</v>
      </c>
      <c r="P4" s="72">
        <v>17</v>
      </c>
      <c r="Q4" s="72">
        <v>18</v>
      </c>
      <c r="R4" s="72">
        <v>20</v>
      </c>
      <c r="S4" s="72">
        <f>SUM(G4:R4)</f>
        <v>88</v>
      </c>
      <c r="T4" s="73"/>
      <c r="U4" s="74"/>
    </row>
    <row r="5" spans="1:21" x14ac:dyDescent="0.25">
      <c r="A5" s="4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2"/>
      <c r="U5" s="19"/>
    </row>
    <row r="6" spans="1:21" s="70" customFormat="1" x14ac:dyDescent="0.25">
      <c r="A6" s="67"/>
      <c r="B6" s="69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8"/>
      <c r="U6" s="69"/>
    </row>
    <row r="7" spans="1:21" s="70" customFormat="1" x14ac:dyDescent="0.25">
      <c r="A7" s="67"/>
      <c r="B7" s="69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8"/>
      <c r="U7" s="69"/>
    </row>
    <row r="8" spans="1:21" s="70" customFormat="1" x14ac:dyDescent="0.25">
      <c r="A8" s="67"/>
      <c r="B8" s="69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69"/>
    </row>
    <row r="9" spans="1:21" s="70" customFormat="1" x14ac:dyDescent="0.25">
      <c r="A9" s="67"/>
      <c r="B9" s="69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8"/>
      <c r="U9" s="69"/>
    </row>
    <row r="10" spans="1:21" s="70" customFormat="1" x14ac:dyDescent="0.25">
      <c r="A10" s="67"/>
      <c r="B10" s="69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69"/>
    </row>
    <row r="11" spans="1:21" s="70" customFormat="1" x14ac:dyDescent="0.25">
      <c r="A11" s="67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9"/>
    </row>
    <row r="12" spans="1:21" s="70" customFormat="1" x14ac:dyDescent="0.25">
      <c r="A12" s="67"/>
      <c r="B12" s="69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9"/>
    </row>
    <row r="13" spans="1:21" s="70" customFormat="1" x14ac:dyDescent="0.25">
      <c r="A13" s="67"/>
      <c r="B13" s="69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9"/>
    </row>
    <row r="14" spans="1:21" s="70" customFormat="1" x14ac:dyDescent="0.25">
      <c r="A14" s="67"/>
      <c r="B14" s="69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8"/>
      <c r="U14" s="69"/>
    </row>
    <row r="15" spans="1:21" s="70" customFormat="1" x14ac:dyDescent="0.25">
      <c r="A15" s="67"/>
      <c r="B15" s="69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9"/>
    </row>
    <row r="16" spans="1:21" x14ac:dyDescent="0.25">
      <c r="A16" s="4"/>
      <c r="B16" s="1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22"/>
      <c r="U16" s="19"/>
    </row>
  </sheetData>
  <sortState ref="A4:U12">
    <sortCondition ref="E4:E12"/>
    <sortCondition descending="1" ref="T4:T12"/>
  </sortState>
  <mergeCells count="2">
    <mergeCell ref="A1:U1"/>
    <mergeCell ref="A2:U2"/>
  </mergeCells>
  <pageMargins left="0.7" right="0.7" top="0.75" bottom="0.75" header="0.3" footer="0.3"/>
  <pageSetup paperSize="8" scale="7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view="pageBreakPreview" zoomScale="85" zoomScaleNormal="100" zoomScaleSheetLayoutView="85" workbookViewId="0">
      <selection activeCell="B27" sqref="B27"/>
    </sheetView>
  </sheetViews>
  <sheetFormatPr defaultRowHeight="15" x14ac:dyDescent="0.25"/>
  <cols>
    <col min="2" max="3" width="30.7109375" customWidth="1"/>
    <col min="17" max="17" width="31.5703125" customWidth="1"/>
  </cols>
  <sheetData>
    <row r="1" spans="1:17" s="5" customFormat="1" ht="21" x14ac:dyDescent="0.35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</row>
    <row r="2" spans="1:17" s="5" customFormat="1" ht="21" x14ac:dyDescent="0.35">
      <c r="A2" s="124" t="s">
        <v>325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7" s="5" customFormat="1" ht="21" x14ac:dyDescent="0.35">
      <c r="A3" s="124" t="s">
        <v>66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</row>
    <row r="4" spans="1:17" s="3" customFormat="1" ht="108.75" customHeight="1" x14ac:dyDescent="0.25">
      <c r="A4" s="1" t="s">
        <v>6</v>
      </c>
      <c r="B4" s="2" t="s">
        <v>26</v>
      </c>
      <c r="C4" s="2" t="s">
        <v>265</v>
      </c>
      <c r="D4" s="1" t="s">
        <v>23</v>
      </c>
      <c r="E4" s="1" t="s">
        <v>3</v>
      </c>
      <c r="F4" s="1" t="s">
        <v>8</v>
      </c>
      <c r="G4" s="1" t="s">
        <v>27</v>
      </c>
      <c r="H4" s="1" t="s">
        <v>4</v>
      </c>
      <c r="I4" s="1" t="s">
        <v>9</v>
      </c>
      <c r="J4" s="2" t="s">
        <v>10</v>
      </c>
      <c r="K4" s="1" t="s">
        <v>12</v>
      </c>
      <c r="L4" s="1" t="s">
        <v>14</v>
      </c>
      <c r="M4" s="1" t="s">
        <v>15</v>
      </c>
      <c r="N4" s="1" t="s">
        <v>16</v>
      </c>
      <c r="O4" s="1" t="s">
        <v>13</v>
      </c>
      <c r="P4" s="21" t="s">
        <v>39</v>
      </c>
      <c r="Q4" s="1" t="s">
        <v>21</v>
      </c>
    </row>
    <row r="5" spans="1:17" s="75" customFormat="1" ht="29.25" customHeight="1" x14ac:dyDescent="0.25">
      <c r="A5" s="72"/>
      <c r="B5" s="74"/>
      <c r="C5" s="74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3"/>
      <c r="Q5" s="72"/>
    </row>
    <row r="6" spans="1:17" s="75" customFormat="1" x14ac:dyDescent="0.25">
      <c r="A6" s="72">
        <v>1</v>
      </c>
      <c r="B6" s="74" t="s">
        <v>277</v>
      </c>
      <c r="C6" s="74" t="s">
        <v>348</v>
      </c>
      <c r="D6" s="72">
        <v>5</v>
      </c>
      <c r="E6" s="72">
        <v>3</v>
      </c>
      <c r="F6" s="72">
        <v>5</v>
      </c>
      <c r="G6" s="72">
        <v>3</v>
      </c>
      <c r="H6" s="72">
        <v>0</v>
      </c>
      <c r="I6" s="72">
        <v>3</v>
      </c>
      <c r="J6" s="72"/>
      <c r="K6" s="72"/>
      <c r="L6" s="72">
        <v>10</v>
      </c>
      <c r="M6" s="72">
        <v>14</v>
      </c>
      <c r="N6" s="72">
        <v>7</v>
      </c>
      <c r="O6" s="72">
        <f>SUM(D6:N6)</f>
        <v>50</v>
      </c>
      <c r="P6" s="73"/>
      <c r="Q6" s="72"/>
    </row>
    <row r="7" spans="1:17" s="75" customFormat="1" x14ac:dyDescent="0.25">
      <c r="A7" s="72">
        <v>2</v>
      </c>
      <c r="B7" s="74" t="s">
        <v>349</v>
      </c>
      <c r="C7" s="74" t="s">
        <v>350</v>
      </c>
      <c r="D7" s="72">
        <v>5</v>
      </c>
      <c r="E7" s="72">
        <v>3</v>
      </c>
      <c r="F7" s="72">
        <v>10</v>
      </c>
      <c r="G7" s="72">
        <v>3</v>
      </c>
      <c r="H7" s="72">
        <v>0</v>
      </c>
      <c r="I7" s="72">
        <v>0</v>
      </c>
      <c r="J7" s="72">
        <v>0</v>
      </c>
      <c r="K7" s="72">
        <v>10</v>
      </c>
      <c r="L7" s="72">
        <v>10</v>
      </c>
      <c r="M7" s="72">
        <v>20</v>
      </c>
      <c r="N7" s="72">
        <v>15</v>
      </c>
      <c r="O7" s="72">
        <f>SUM(D7:N7)</f>
        <v>76</v>
      </c>
      <c r="P7" s="73"/>
      <c r="Q7" s="72"/>
    </row>
    <row r="8" spans="1:17" s="75" customFormat="1" x14ac:dyDescent="0.25">
      <c r="A8" s="72"/>
      <c r="B8" s="74"/>
      <c r="C8" s="74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3"/>
      <c r="Q8" s="72"/>
    </row>
    <row r="9" spans="1:17" s="75" customFormat="1" x14ac:dyDescent="0.25">
      <c r="A9" s="72"/>
      <c r="B9" s="74"/>
      <c r="C9" s="74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3"/>
      <c r="Q9" s="72"/>
    </row>
    <row r="10" spans="1:17" x14ac:dyDescent="0.25">
      <c r="A10" s="4"/>
      <c r="B10" s="19"/>
      <c r="C10" s="1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2"/>
      <c r="Q10" s="4"/>
    </row>
    <row r="11" spans="1:17" x14ac:dyDescent="0.25">
      <c r="A11" s="4"/>
      <c r="B11" s="19"/>
      <c r="C11" s="1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2"/>
      <c r="Q11" s="4"/>
    </row>
    <row r="12" spans="1:17" x14ac:dyDescent="0.25">
      <c r="A12" s="4"/>
      <c r="B12" s="19"/>
      <c r="C12" s="1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22"/>
      <c r="Q12" s="4"/>
    </row>
    <row r="13" spans="1:17" x14ac:dyDescent="0.25">
      <c r="A13" s="4"/>
      <c r="B13" s="19"/>
      <c r="C13" s="1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2"/>
      <c r="Q13" s="4"/>
    </row>
    <row r="14" spans="1:17" x14ac:dyDescent="0.25">
      <c r="A14" s="4"/>
      <c r="B14" s="19"/>
      <c r="C14" s="1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2"/>
      <c r="Q14" s="4"/>
    </row>
    <row r="15" spans="1:17" s="70" customFormat="1" x14ac:dyDescent="0.25">
      <c r="A15" s="67"/>
      <c r="B15" s="69"/>
      <c r="C15" s="69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8"/>
      <c r="Q15" s="67"/>
    </row>
    <row r="16" spans="1:17" s="70" customFormat="1" x14ac:dyDescent="0.25">
      <c r="A16" s="67"/>
      <c r="B16" s="69"/>
      <c r="C16" s="69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8"/>
      <c r="Q16" s="67"/>
    </row>
    <row r="17" spans="1:17" s="70" customFormat="1" x14ac:dyDescent="0.25">
      <c r="A17" s="67"/>
      <c r="B17" s="69"/>
      <c r="C17" s="69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  <c r="Q17" s="67"/>
    </row>
    <row r="18" spans="1:17" s="70" customFormat="1" x14ac:dyDescent="0.25">
      <c r="A18" s="67"/>
      <c r="B18" s="69"/>
      <c r="C18" s="69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Q18" s="67"/>
    </row>
    <row r="19" spans="1:17" s="70" customFormat="1" x14ac:dyDescent="0.25">
      <c r="A19" s="67"/>
      <c r="B19" s="69"/>
      <c r="C19" s="69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Q19" s="67"/>
    </row>
    <row r="20" spans="1:17" s="70" customFormat="1" x14ac:dyDescent="0.25">
      <c r="A20" s="67"/>
      <c r="B20" s="69"/>
      <c r="C20" s="69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67"/>
    </row>
    <row r="21" spans="1:17" s="70" customFormat="1" x14ac:dyDescent="0.25">
      <c r="A21" s="67"/>
      <c r="B21" s="69"/>
      <c r="C21" s="69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8"/>
      <c r="Q21" s="67"/>
    </row>
    <row r="22" spans="1:17" s="70" customFormat="1" x14ac:dyDescent="0.25">
      <c r="A22" s="67"/>
      <c r="B22" s="69"/>
      <c r="C22" s="69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8"/>
      <c r="Q22" s="67"/>
    </row>
    <row r="23" spans="1:17" s="70" customFormat="1" x14ac:dyDescent="0.25">
      <c r="A23" s="67"/>
      <c r="B23" s="69"/>
      <c r="C23" s="69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8"/>
      <c r="Q23" s="67"/>
    </row>
    <row r="24" spans="1:17" s="70" customFormat="1" x14ac:dyDescent="0.25">
      <c r="A24" s="67"/>
      <c r="B24" s="69"/>
      <c r="C24" s="69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8"/>
      <c r="Q24" s="67"/>
    </row>
    <row r="25" spans="1:17" s="70" customFormat="1" x14ac:dyDescent="0.25">
      <c r="A25" s="67"/>
      <c r="B25" s="69"/>
      <c r="C25" s="69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8"/>
      <c r="Q25" s="67"/>
    </row>
    <row r="26" spans="1:17" s="70" customFormat="1" x14ac:dyDescent="0.25">
      <c r="A26" s="67"/>
      <c r="B26" s="69"/>
      <c r="C26" s="69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8"/>
      <c r="Q26" s="67"/>
    </row>
    <row r="27" spans="1:17" s="70" customFormat="1" x14ac:dyDescent="0.25">
      <c r="A27" s="67"/>
      <c r="B27" s="69"/>
      <c r="C27" s="69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8"/>
      <c r="Q27" s="67"/>
    </row>
    <row r="28" spans="1:17" s="70" customFormat="1" x14ac:dyDescent="0.25">
      <c r="A28" s="67"/>
      <c r="B28" s="69"/>
      <c r="C28" s="69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8"/>
      <c r="Q28" s="67"/>
    </row>
    <row r="29" spans="1:17" s="70" customFormat="1" x14ac:dyDescent="0.25">
      <c r="A29" s="67"/>
      <c r="B29" s="69"/>
      <c r="C29" s="69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8"/>
      <c r="Q29" s="67"/>
    </row>
    <row r="30" spans="1:17" s="70" customFormat="1" x14ac:dyDescent="0.25">
      <c r="A30" s="67"/>
      <c r="B30" s="69"/>
      <c r="C30" s="69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8"/>
      <c r="Q30" s="67"/>
    </row>
    <row r="31" spans="1:17" s="70" customFormat="1" x14ac:dyDescent="0.25">
      <c r="A31" s="67"/>
      <c r="B31" s="69"/>
      <c r="C31" s="69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8"/>
      <c r="Q31" s="67"/>
    </row>
    <row r="32" spans="1:17" s="70" customFormat="1" x14ac:dyDescent="0.25">
      <c r="A32" s="67"/>
      <c r="B32" s="69"/>
      <c r="C32" s="69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8"/>
      <c r="Q32" s="67"/>
    </row>
    <row r="33" spans="1:17" s="70" customFormat="1" x14ac:dyDescent="0.25">
      <c r="A33" s="67"/>
      <c r="B33" s="69"/>
      <c r="C33" s="69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8"/>
      <c r="Q33" s="67"/>
    </row>
    <row r="34" spans="1:17" s="70" customFormat="1" x14ac:dyDescent="0.25">
      <c r="A34" s="67"/>
      <c r="B34" s="69"/>
      <c r="C34" s="69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8"/>
      <c r="Q34" s="67"/>
    </row>
    <row r="35" spans="1:17" x14ac:dyDescent="0.25">
      <c r="A35" s="4"/>
      <c r="B35" s="19"/>
      <c r="C35" s="1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22"/>
      <c r="Q35" s="4"/>
    </row>
    <row r="36" spans="1:17" x14ac:dyDescent="0.25">
      <c r="A36" s="4"/>
      <c r="B36" s="19"/>
      <c r="C36" s="1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22"/>
      <c r="Q36" s="4"/>
    </row>
    <row r="37" spans="1:17" x14ac:dyDescent="0.25">
      <c r="A37" s="4"/>
      <c r="B37" s="19"/>
      <c r="C37" s="1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22"/>
      <c r="Q37" s="4"/>
    </row>
  </sheetData>
  <sortState ref="A5:S10">
    <sortCondition descending="1" ref="O5:O10"/>
  </sortState>
  <mergeCells count="3">
    <mergeCell ref="A1:Q1"/>
    <mergeCell ref="A2:Q2"/>
    <mergeCell ref="A3:Q3"/>
  </mergeCells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</vt:i4>
      </vt:variant>
    </vt:vector>
  </HeadingPairs>
  <TitlesOfParts>
    <vt:vector size="48" baseType="lpstr">
      <vt:lpstr>CATEGORY 1</vt:lpstr>
      <vt:lpstr>CATEGORY 2</vt:lpstr>
      <vt:lpstr>CATEGORY 3</vt:lpstr>
      <vt:lpstr>CATEGORY 4</vt:lpstr>
      <vt:lpstr>CATEGORY 5</vt:lpstr>
      <vt:lpstr>CATEGORY 6</vt:lpstr>
      <vt:lpstr>CATEGORY 7</vt:lpstr>
      <vt:lpstr>CATEGORY 8</vt:lpstr>
      <vt:lpstr>CATEGORY 9</vt:lpstr>
      <vt:lpstr>CATEGORY 10</vt:lpstr>
      <vt:lpstr>CATEGORY 11</vt:lpstr>
      <vt:lpstr>Sheet1</vt:lpstr>
      <vt:lpstr>Sheet2</vt:lpstr>
      <vt:lpstr>Sheet3</vt:lpstr>
      <vt:lpstr>CATEGORY 12</vt:lpstr>
      <vt:lpstr>CATEGORY 13</vt:lpstr>
      <vt:lpstr>CATEGORY 14</vt:lpstr>
      <vt:lpstr>CATEGORY 15</vt:lpstr>
      <vt:lpstr>CATEGORY 16</vt:lpstr>
      <vt:lpstr>CATEGORY 17</vt:lpstr>
      <vt:lpstr>CATEGORY 18</vt:lpstr>
      <vt:lpstr>CATEGORY 19</vt:lpstr>
      <vt:lpstr>CATEGORY 20</vt:lpstr>
      <vt:lpstr>CATEGORY 21</vt:lpstr>
      <vt:lpstr>CATEGORY 22</vt:lpstr>
      <vt:lpstr>CATEGORY 23</vt:lpstr>
      <vt:lpstr>CATEGORY 24.</vt:lpstr>
      <vt:lpstr>CATEGORY 25</vt:lpstr>
      <vt:lpstr>CATEGORY 26</vt:lpstr>
      <vt:lpstr>CATEGORY 27</vt:lpstr>
      <vt:lpstr>CATEGORY 28</vt:lpstr>
      <vt:lpstr>CATEGORY 29</vt:lpstr>
      <vt:lpstr>CATEGORY 30</vt:lpstr>
      <vt:lpstr>CATEGORY 31</vt:lpstr>
      <vt:lpstr>CATEGORY 32</vt:lpstr>
      <vt:lpstr>CATEGORY 33</vt:lpstr>
      <vt:lpstr>CATEGORY 34</vt:lpstr>
      <vt:lpstr>CATEGORY 35</vt:lpstr>
      <vt:lpstr>CATEGORY 36</vt:lpstr>
      <vt:lpstr>CATEGORY 37</vt:lpstr>
      <vt:lpstr>CATEGORY 38</vt:lpstr>
      <vt:lpstr>CATEGORY 39</vt:lpstr>
      <vt:lpstr>CATEGORY 40</vt:lpstr>
      <vt:lpstr>Sheet4</vt:lpstr>
      <vt:lpstr>CATEGORY 41</vt:lpstr>
      <vt:lpstr>CATEGORY 42</vt:lpstr>
      <vt:lpstr>'CATEGORY 25'!Print_Area</vt:lpstr>
      <vt:lpstr>'CATEGORY 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ADEN</dc:creator>
  <cp:lastModifiedBy>IPR</cp:lastModifiedBy>
  <cp:lastPrinted>2023-05-31T07:05:41Z</cp:lastPrinted>
  <dcterms:created xsi:type="dcterms:W3CDTF">2016-06-06T07:26:57Z</dcterms:created>
  <dcterms:modified xsi:type="dcterms:W3CDTF">2023-06-29T07:31:45Z</dcterms:modified>
</cp:coreProperties>
</file>