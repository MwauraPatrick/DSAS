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RECURRENT BUDGET" sheetId="1" r:id="rId1"/>
    <sheet name="DEPERTMENTAL BUDGETS" sheetId="5" r:id="rId2"/>
    <sheet name="SALARIES" sheetId="2" r:id="rId3"/>
    <sheet name="DEVELOPMENT" sheetId="3" r:id="rId4"/>
    <sheet name="SALARIES BY DEPERTMENT" sheetId="4" r:id="rId5"/>
  </sheets>
  <calcPr calcId="144525"/>
</workbook>
</file>

<file path=xl/sharedStrings.xml><?xml version="1.0" encoding="utf-8"?>
<sst xmlns="http://schemas.openxmlformats.org/spreadsheetml/2006/main" count="222" uniqueCount="211">
  <si>
    <t>KIPRE  STRATEGIC BUDGET</t>
  </si>
  <si>
    <t>2023/2024</t>
  </si>
  <si>
    <t>RECURRENT  ACTIVITY BUDGET</t>
  </si>
  <si>
    <t>ADMINISTARATION</t>
  </si>
  <si>
    <t>TRAINING/CONFERENCES/SEMINARS</t>
  </si>
  <si>
    <t xml:space="preserve"> LOCAL TRAINING SEMINARS</t>
  </si>
  <si>
    <t>STAFF TRAINING EXTERNAL</t>
  </si>
  <si>
    <t>PROFESSIONAL DEVELOPMENT/ SHORT COURSES</t>
  </si>
  <si>
    <t>TOTAL TRAINING/CONFERENCES/SEMINARS</t>
  </si>
  <si>
    <t>CENTRAL STRORES</t>
  </si>
  <si>
    <t>Janitorials</t>
  </si>
  <si>
    <t>Stationery</t>
  </si>
  <si>
    <t>STAFF  WELFARE EXPENSE</t>
  </si>
  <si>
    <t>STAFF RELATION / ANNUAL MEETINGS</t>
  </si>
  <si>
    <t>FAST AID KITS</t>
  </si>
  <si>
    <t xml:space="preserve"> HEALTH CLINIC/GYM SUPPORT</t>
  </si>
  <si>
    <t>PURCHASE OF UNIFORMS AND CLOTHING</t>
  </si>
  <si>
    <t>GIFTS PRESENTS AND AWARDS</t>
  </si>
  <si>
    <t>STAFF T,B,TESTING</t>
  </si>
  <si>
    <t>TOTAL STAFF WELFARE EXPENSES</t>
  </si>
  <si>
    <t>BOARD  EXPENSES</t>
  </si>
  <si>
    <t>BOARD MEMBERS SITTING ALLOWANCE</t>
  </si>
  <si>
    <t xml:space="preserve">BOARD MEMBERS  AIRTIME </t>
  </si>
  <si>
    <t>BOARD MEMBERS ENTERTAINMENT</t>
  </si>
  <si>
    <t>BOARD MEMBERS ACCOMODATION</t>
  </si>
  <si>
    <t>BOARD MILEAGE ALLOWANCE</t>
  </si>
  <si>
    <t>BOARD MEMBERS INSURANCE</t>
  </si>
  <si>
    <t>INPATIENT MEDICAL INSURANCE COVER - BOARD</t>
  </si>
  <si>
    <t>BOARD HONORARIA</t>
  </si>
  <si>
    <t>EXTERNAL TRAVEL FOR BOARD MEMBERS</t>
  </si>
  <si>
    <t>TOTAL BOARD EXPENSES</t>
  </si>
  <si>
    <t>OPERATING EXPENSES</t>
  </si>
  <si>
    <t>MAINTENANCE</t>
  </si>
  <si>
    <t>MAINTENANCE OF PLANT /EQUIPMENT</t>
  </si>
  <si>
    <t>CALIBRATION OF EQUIPMENT</t>
  </si>
  <si>
    <t>MAINTENANCE OF BUILDINGS</t>
  </si>
  <si>
    <t>MAINTENANCE AND IMPROVEMENT OF INTERNAL ROADS</t>
  </si>
  <si>
    <t>CAGE MAINTENANCE</t>
  </si>
  <si>
    <t>ANIMAL WELFARES/MAINTENANCE</t>
  </si>
  <si>
    <t>TOTAL OPERATING EXPENSES</t>
  </si>
  <si>
    <t>UTILITY BILLS</t>
  </si>
  <si>
    <t xml:space="preserve">ELECTRICITY </t>
  </si>
  <si>
    <t>TELEPHONE  AIR TIME</t>
  </si>
  <si>
    <t>INTERNET</t>
  </si>
  <si>
    <t>WATER &amp; CONSERVANCY</t>
  </si>
  <si>
    <t>POSTAGE</t>
  </si>
  <si>
    <t>TOTAL UTILITY EXPENSES</t>
  </si>
  <si>
    <t>TRANSPORT/ MOTOR VEHICLES OPERATING EXPENSES</t>
  </si>
  <si>
    <t>FUEL &amp; OILS</t>
  </si>
  <si>
    <t>PURCHASE OF MOTOR VEHICLES</t>
  </si>
  <si>
    <t>FUEL &amp; OILS FOR GENERATOR</t>
  </si>
  <si>
    <t>MAINTENANCE &amp; REPAIRS</t>
  </si>
  <si>
    <t>TOTAL VEHICLE OPERATING EXPENSES</t>
  </si>
  <si>
    <t>FINANCE  AND ADMINISTRATIVE COSTS</t>
  </si>
  <si>
    <t>BANK CHARGES</t>
  </si>
  <si>
    <t>STANDING IMPRESTS</t>
  </si>
  <si>
    <t>RATES AND LOCAL TAXES</t>
  </si>
  <si>
    <t>LOCAL TRAVEL</t>
  </si>
  <si>
    <t xml:space="preserve">SUBSISTENCE ALLOWANCES </t>
  </si>
  <si>
    <t>PURCHASE OF ACCOUNTING SOFWARE</t>
  </si>
  <si>
    <t>AUDIT FEES- KENAO</t>
  </si>
  <si>
    <t>INSTITUTIONAL COMMITTEES</t>
  </si>
  <si>
    <t xml:space="preserve">IRC </t>
  </si>
  <si>
    <t>PRINTING EXPENSES -ACCOUNTABLE DOCUMENTS</t>
  </si>
  <si>
    <t>BOARD OF SURVEY</t>
  </si>
  <si>
    <t>ANNUAL ACCOUNTS</t>
  </si>
  <si>
    <t>SUBSCRIPTION TO PROFESSIONAL BODIES</t>
  </si>
  <si>
    <t>SUBSCRIPTION TO ACCREDITATION BODIES</t>
  </si>
  <si>
    <t>NEWS PAPERS AND JOURNAL SUBSCRIPTIONS</t>
  </si>
  <si>
    <t>ERP SYSTEM</t>
  </si>
  <si>
    <t>ERP MAINTENANCE/LICENCES</t>
  </si>
  <si>
    <t>MEDIA/ADVERTISEMENT/COMMUNICATION</t>
  </si>
  <si>
    <t xml:space="preserve"> INTERNATIONAL OBLIGATIONS AAALAC</t>
  </si>
  <si>
    <t>REGULATORY COMMITTEES</t>
  </si>
  <si>
    <t>RESEARCH ENABLERS</t>
  </si>
  <si>
    <t>TOTAL FINANCE AND ADMINISTRATIVE COSTS</t>
  </si>
  <si>
    <t>CONTRACTED PROFFESSIONAL SERVICES</t>
  </si>
  <si>
    <t>SANITARY SERVICES</t>
  </si>
  <si>
    <t>FUMIGATION OF BUILDINGS</t>
  </si>
  <si>
    <t>CLEANING OF BUILDINGS</t>
  </si>
  <si>
    <t>MAINTENACE OF ACCOUNTING SOFTWARE</t>
  </si>
  <si>
    <t>COLD ROOMS , REFREGRATORS AND FRIDGES</t>
  </si>
  <si>
    <t>SECURITY ACCESSORIES/OH</t>
  </si>
  <si>
    <t>SECURITY SERVICES</t>
  </si>
  <si>
    <t>INPATIENT MEDICAL INSURANCE COVER - STAFF</t>
  </si>
  <si>
    <t>FIRE &amp; PERILS - BUILDINGS</t>
  </si>
  <si>
    <t>ALL RISKS COVER</t>
  </si>
  <si>
    <t>GROUP LIFE</t>
  </si>
  <si>
    <t>FIRE &amp; PERILS - DOMESTIC</t>
  </si>
  <si>
    <t>GPA/WIBA</t>
  </si>
  <si>
    <t>MOTOR INSURANCE</t>
  </si>
  <si>
    <t>MONEY COVER</t>
  </si>
  <si>
    <t>PUBLIC LIABILITY</t>
  </si>
  <si>
    <t>GABBAGE COLLECTIONS</t>
  </si>
  <si>
    <t>PABX</t>
  </si>
  <si>
    <t>GARBAGE COLLECTION</t>
  </si>
  <si>
    <t>FIRE EQUIPMENT SERVICES</t>
  </si>
  <si>
    <t>MAINTENANCE OF COPIER</t>
  </si>
  <si>
    <t>LICENCE AND TAXES</t>
  </si>
  <si>
    <t>MAINTENCE OF GENERATORS</t>
  </si>
  <si>
    <t>MAINTENANCE OF AIR CONDITIONERS</t>
  </si>
  <si>
    <t>QUALITY MANAGEMENT SYSTEMS</t>
  </si>
  <si>
    <t>MAINTENANCE OF VOLTAGE STABILIZER</t>
  </si>
  <si>
    <t>MAINTENANCE OF INCINERATOR</t>
  </si>
  <si>
    <t>MAINTENANCE OF WATER PUMP</t>
  </si>
  <si>
    <t>PROVISION OF WEB &amp; DOMAIN HOSTING</t>
  </si>
  <si>
    <t>TOTAL CONTRACTED SERVICES</t>
  </si>
  <si>
    <t>RECURRENT TOTAL ALLOCATIONS</t>
  </si>
  <si>
    <t>TOTAL ANNUAL RECURRENT BUDGETS</t>
  </si>
  <si>
    <t>RESEARCH GRANT</t>
  </si>
  <si>
    <t>RESEARCH FUNDING</t>
  </si>
  <si>
    <t>TOTAL RESEARCH GRANT</t>
  </si>
  <si>
    <t>RESEARCH AND ANIMAL MANAGEMENT</t>
  </si>
  <si>
    <t>COLONY SUPPLIES</t>
  </si>
  <si>
    <t>LABORATORY SUPPLIES</t>
  </si>
  <si>
    <t xml:space="preserve">MEDICAL ( DRUGS)  AND SURGICAL SUPPLIES </t>
  </si>
  <si>
    <t>ANIMAL EXPENSES( LOCATION AND UTHINISATION)</t>
  </si>
  <si>
    <t>FOOD FOR PRIMATES</t>
  </si>
  <si>
    <t>A.S.D STORES</t>
  </si>
  <si>
    <t>JANITORIAL &amp; STORES CONSUMABLES</t>
  </si>
  <si>
    <t>TOTAL RESEARCH  AND ANIMAL</t>
  </si>
  <si>
    <t>CONSERVATION BIOLOGY</t>
  </si>
  <si>
    <t>SNAKE BITE CENTER</t>
  </si>
  <si>
    <t xml:space="preserve">TROPICAL BIOLOGY </t>
  </si>
  <si>
    <t>GRAND TOTAL  BUDGET</t>
  </si>
  <si>
    <t>PROCUREMENT</t>
  </si>
  <si>
    <t>TOTAL</t>
  </si>
  <si>
    <t>PROCUREMENT DEPARTMENT</t>
  </si>
  <si>
    <t>Desktop Computer</t>
  </si>
  <si>
    <t>Laptop</t>
  </si>
  <si>
    <t>Color Printer</t>
  </si>
  <si>
    <t>Balck &amp; White 3 in 1 Printer</t>
  </si>
  <si>
    <t>850 VA UPS</t>
  </si>
  <si>
    <t>Casio Caculator</t>
  </si>
  <si>
    <t>Printing of Documents(LPOs/DOFs/Gate Pass etc)</t>
  </si>
  <si>
    <t>Fire Proof Filling Cabinet</t>
  </si>
  <si>
    <t>Mettalic Filling Cabinet</t>
  </si>
  <si>
    <t>Executive office Chair</t>
  </si>
  <si>
    <t>Office Chair</t>
  </si>
  <si>
    <t>Executive Office Desk</t>
  </si>
  <si>
    <t>Office Desk</t>
  </si>
  <si>
    <t>Training &amp; Seminars and Subscriptions to Professional Bodies</t>
  </si>
  <si>
    <t>BUDGET CATEGORIES/                                                                       BUDGET ITEMS DESCRIPTION</t>
  </si>
  <si>
    <t>CURRENT BUDGETARY ALLOCATION</t>
  </si>
  <si>
    <t xml:space="preserve"> PROPOSED BUDGETARY ALLOCATION</t>
  </si>
  <si>
    <t>BUDGETARY ALLOCATION</t>
  </si>
  <si>
    <t>2023-2024</t>
  </si>
  <si>
    <t>2024-2025</t>
  </si>
  <si>
    <t>2025-2026</t>
  </si>
  <si>
    <t>2026-2027</t>
  </si>
  <si>
    <t>2021-2022</t>
  </si>
  <si>
    <t>INCOME</t>
  </si>
  <si>
    <t>KSHS</t>
  </si>
  <si>
    <t>Grants from the Ministry- Personnel Emoluments</t>
  </si>
  <si>
    <t>Grants from the Ministry-Development</t>
  </si>
  <si>
    <t>TOTAL INCOME</t>
  </si>
  <si>
    <t>PERSONNEL EMOLUMENTS</t>
  </si>
  <si>
    <t>n</t>
  </si>
  <si>
    <t>BASIC SALARY</t>
  </si>
  <si>
    <t>HOUSE ALLOWANCE</t>
  </si>
  <si>
    <t>COMMUTER ALLOWANCES</t>
  </si>
  <si>
    <t xml:space="preserve">RESEARCH ALLOWANCE </t>
  </si>
  <si>
    <t>RISK ALLOWANCE</t>
  </si>
  <si>
    <t>ACTING ALLOWANCE</t>
  </si>
  <si>
    <t>RESPONSIBILITY ALLOWANCE</t>
  </si>
  <si>
    <t>EXTRANEOUS ALLOWANCE</t>
  </si>
  <si>
    <t>SEVERENCE PAY</t>
  </si>
  <si>
    <t>CASUAL LABOUR WAGES</t>
  </si>
  <si>
    <t>OVERTIME</t>
  </si>
  <si>
    <t>ENTERTAINMENT ALLOWANCE</t>
  </si>
  <si>
    <t>STUDENT ALLOWANCE (NON PAYROLL) NITA PROG</t>
  </si>
  <si>
    <t xml:space="preserve"> LEAVE ALLOWANCE</t>
  </si>
  <si>
    <t>MEDICAL ALLOWANCES OUTPATIENT</t>
  </si>
  <si>
    <t>HOPING WE SHALL GET FULL UNLIMITED MEDICAL COVER</t>
  </si>
  <si>
    <t>NON PRACTISE ALLOWANCE/ LEGAL/ACCOUNTANTS</t>
  </si>
  <si>
    <t>RETIREMENT BAGGAGE</t>
  </si>
  <si>
    <t>EMPLOYER N.S.S.F CONTRIBUTION</t>
  </si>
  <si>
    <t>SPECIAL DUTY ALLOWANCE</t>
  </si>
  <si>
    <t>EMPLOYER PENSION  CONTRIBUTION</t>
  </si>
  <si>
    <t>GRATUITY</t>
  </si>
  <si>
    <t>TOTAL PE</t>
  </si>
  <si>
    <t>LONG TERM DEVELOPMENT GRANTS</t>
  </si>
  <si>
    <t>FULLY FURNISHED CONFERENCE FACILITY</t>
  </si>
  <si>
    <t xml:space="preserve">KIPRE SIGNAGE </t>
  </si>
  <si>
    <t>INSTALLATION OF CAGES &amp; EQUIPMENT IN NYANI HOUSE</t>
  </si>
  <si>
    <t>CAGE CONSTRUCTION - IPR</t>
  </si>
  <si>
    <t xml:space="preserve"> PURCHASE MOTOR VEHICLES</t>
  </si>
  <si>
    <t>BOUNDARY WALL</t>
  </si>
  <si>
    <t>EXPANSION OF ADMIN BLOCK</t>
  </si>
  <si>
    <t>NATIONAL INCUBATION CENTER</t>
  </si>
  <si>
    <t>CONSTRUCTIONOF NEW OFFICES &amp; LABS</t>
  </si>
  <si>
    <t xml:space="preserve">OFFICE &amp; LAB RENOVATION </t>
  </si>
  <si>
    <t>APPROXIMATION</t>
  </si>
  <si>
    <t>DEPERTMENTS</t>
  </si>
  <si>
    <t>DESIGNATIONS</t>
  </si>
  <si>
    <t>JOB GROUP</t>
  </si>
  <si>
    <t>PROPOSED NO OF EMPLOYESS</t>
  </si>
  <si>
    <t>CURRENT NO OF EMPLOYEES</t>
  </si>
  <si>
    <t>PROPOSED SALARY</t>
  </si>
  <si>
    <t>VARIANCE</t>
  </si>
  <si>
    <t>H/A</t>
  </si>
  <si>
    <t>M/A</t>
  </si>
  <si>
    <t>C/A</t>
  </si>
  <si>
    <t>L/A</t>
  </si>
  <si>
    <t>R/A</t>
  </si>
  <si>
    <t>A/A</t>
  </si>
  <si>
    <t>E/A</t>
  </si>
  <si>
    <t>FINANCE  DEPERTMENT</t>
  </si>
  <si>
    <t>CHIEF MANAGER</t>
  </si>
  <si>
    <t>DEPUTY</t>
  </si>
  <si>
    <t>PRINCIPAL ACCOUNTANT</t>
  </si>
</sst>
</file>

<file path=xl/styles.xml><?xml version="1.0" encoding="utf-8"?>
<styleSheet xmlns="http://schemas.openxmlformats.org/spreadsheetml/2006/main">
  <numFmts count="5">
    <numFmt numFmtId="176" formatCode="_-* #,##0.00_-;\-* #,##0.00_-;_-* &quot;-&quot;??_-;_-@_-"/>
    <numFmt numFmtId="43" formatCode="_(* #,##0.00_);_(* \(#,##0.00\);_(* &quot;-&quot;??_);_(@_)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4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u/>
      <sz val="10"/>
      <name val="Arial"/>
      <charset val="134"/>
    </font>
    <font>
      <b/>
      <sz val="11"/>
      <color rgb="FFFF0000"/>
      <name val="Calibri"/>
      <charset val="134"/>
      <scheme val="minor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1"/>
      <color rgb="FFC00000"/>
      <name val="Calibri"/>
      <charset val="134"/>
      <scheme val="minor"/>
    </font>
    <font>
      <b/>
      <sz val="16"/>
      <name val="Calibri"/>
      <charset val="134"/>
      <scheme val="minor"/>
    </font>
    <font>
      <b/>
      <sz val="14"/>
      <name val="Calibri"/>
      <charset val="134"/>
      <scheme val="minor"/>
    </font>
    <font>
      <b/>
      <u/>
      <sz val="10"/>
      <color theme="0"/>
      <name val="Arial"/>
      <charset val="134"/>
    </font>
    <font>
      <sz val="11"/>
      <color theme="0"/>
      <name val="Calibri"/>
      <charset val="134"/>
      <scheme val="minor"/>
    </font>
    <font>
      <u/>
      <sz val="10"/>
      <name val="Arial"/>
      <charset val="134"/>
    </font>
    <font>
      <sz val="10"/>
      <color rgb="FFC00000"/>
      <name val="Arial"/>
      <charset val="134"/>
    </font>
    <font>
      <b/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4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6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0" fillId="20" borderId="10" applyNumberFormat="0" applyFont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26" borderId="11" applyNumberFormat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6" fillId="27" borderId="13" applyNumberFormat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37" fillId="27" borderId="11" applyNumberForma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ill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43" fontId="3" fillId="2" borderId="2" xfId="49" applyFont="1" applyFill="1" applyBorder="1" applyAlignment="1">
      <alignment horizontal="right" vertical="center" wrapText="1"/>
    </xf>
    <xf numFmtId="43" fontId="4" fillId="2" borderId="1" xfId="0" applyNumberFormat="1" applyFont="1" applyFill="1" applyBorder="1" applyAlignment="1">
      <alignment horizontal="right"/>
    </xf>
    <xf numFmtId="43" fontId="4" fillId="2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43" fontId="3" fillId="0" borderId="2" xfId="49" applyFont="1" applyFill="1" applyBorder="1" applyAlignment="1">
      <alignment horizontal="right" vertical="center" wrapText="1"/>
    </xf>
    <xf numFmtId="43" fontId="4" fillId="0" borderId="2" xfId="0" applyNumberFormat="1" applyFont="1" applyFill="1" applyBorder="1" applyAlignment="1">
      <alignment horizontal="right"/>
    </xf>
    <xf numFmtId="43" fontId="4" fillId="0" borderId="2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43" fontId="5" fillId="3" borderId="2" xfId="49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43" fontId="5" fillId="0" borderId="2" xfId="49" applyFont="1" applyFill="1" applyBorder="1" applyAlignment="1">
      <alignment horizontal="right" vertical="center" wrapText="1"/>
    </xf>
    <xf numFmtId="0" fontId="0" fillId="3" borderId="0" xfId="0" applyFill="1"/>
    <xf numFmtId="0" fontId="0" fillId="3" borderId="0" xfId="0" applyFont="1" applyFill="1"/>
    <xf numFmtId="0" fontId="6" fillId="3" borderId="0" xfId="0" applyFont="1" applyFill="1"/>
    <xf numFmtId="0" fontId="0" fillId="0" borderId="0" xfId="0" applyFont="1"/>
    <xf numFmtId="0" fontId="6" fillId="0" borderId="0" xfId="0" applyFont="1"/>
    <xf numFmtId="0" fontId="7" fillId="0" borderId="0" xfId="0" applyFont="1"/>
    <xf numFmtId="0" fontId="8" fillId="0" borderId="3" xfId="0" applyFont="1" applyFill="1" applyBorder="1" applyAlignment="1">
      <alignment horizontal="center" wrapText="1"/>
    </xf>
    <xf numFmtId="0" fontId="9" fillId="4" borderId="4" xfId="0" applyFont="1" applyFill="1" applyBorder="1" applyAlignment="1">
      <alignment horizontal="center" wrapText="1"/>
    </xf>
    <xf numFmtId="43" fontId="8" fillId="4" borderId="4" xfId="49" applyFont="1" applyFill="1" applyBorder="1" applyAlignment="1">
      <alignment horizontal="center" wrapText="1"/>
    </xf>
    <xf numFmtId="43" fontId="9" fillId="4" borderId="4" xfId="49" applyFont="1" applyFill="1" applyBorder="1" applyAlignment="1">
      <alignment horizontal="center" wrapText="1"/>
    </xf>
    <xf numFmtId="0" fontId="8" fillId="0" borderId="5" xfId="0" applyFont="1" applyFill="1" applyBorder="1" applyAlignment="1">
      <alignment horizontal="center" wrapText="1"/>
    </xf>
    <xf numFmtId="0" fontId="9" fillId="4" borderId="6" xfId="0" applyFont="1" applyFill="1" applyBorder="1" applyAlignment="1">
      <alignment horizontal="center" wrapText="1"/>
    </xf>
    <xf numFmtId="43" fontId="8" fillId="4" borderId="6" xfId="49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 wrapText="1"/>
    </xf>
    <xf numFmtId="0" fontId="3" fillId="0" borderId="1" xfId="0" applyFont="1" applyFill="1" applyBorder="1" applyAlignment="1"/>
    <xf numFmtId="0" fontId="10" fillId="2" borderId="5" xfId="0" applyFont="1" applyFill="1" applyBorder="1" applyAlignment="1"/>
    <xf numFmtId="43" fontId="3" fillId="2" borderId="5" xfId="49" applyFont="1" applyFill="1" applyBorder="1" applyAlignment="1"/>
    <xf numFmtId="0" fontId="8" fillId="0" borderId="5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center" wrapText="1"/>
    </xf>
    <xf numFmtId="43" fontId="8" fillId="3" borderId="5" xfId="49" applyFont="1" applyFill="1" applyBorder="1" applyAlignment="1">
      <alignment horizontal="center" wrapText="1"/>
    </xf>
    <xf numFmtId="43" fontId="8" fillId="3" borderId="5" xfId="0" applyNumberFormat="1" applyFont="1" applyFill="1" applyBorder="1" applyAlignment="1">
      <alignment horizontal="center" wrapText="1"/>
    </xf>
    <xf numFmtId="43" fontId="4" fillId="3" borderId="6" xfId="0" applyNumberFormat="1" applyFont="1" applyFill="1" applyBorder="1" applyAlignment="1">
      <alignment horizontal="center" wrapText="1"/>
    </xf>
    <xf numFmtId="0" fontId="11" fillId="3" borderId="5" xfId="0" applyFont="1" applyFill="1" applyBorder="1" applyAlignment="1">
      <alignment horizontal="center" wrapText="1"/>
    </xf>
    <xf numFmtId="176" fontId="8" fillId="3" borderId="5" xfId="0" applyNumberFormat="1" applyFont="1" applyFill="1" applyBorder="1" applyAlignment="1">
      <alignment horizontal="center" wrapText="1"/>
    </xf>
    <xf numFmtId="176" fontId="11" fillId="3" borderId="5" xfId="0" applyNumberFormat="1" applyFont="1" applyFill="1" applyBorder="1" applyAlignment="1">
      <alignment horizontal="center" wrapText="1"/>
    </xf>
    <xf numFmtId="176" fontId="4" fillId="3" borderId="5" xfId="0" applyNumberFormat="1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wrapText="1"/>
    </xf>
    <xf numFmtId="0" fontId="9" fillId="3" borderId="6" xfId="0" applyFont="1" applyFill="1" applyBorder="1" applyAlignment="1">
      <alignment horizontal="center" wrapText="1"/>
    </xf>
    <xf numFmtId="0" fontId="10" fillId="0" borderId="1" xfId="0" applyFont="1" applyFill="1" applyBorder="1" applyAlignment="1"/>
    <xf numFmtId="0" fontId="7" fillId="2" borderId="1" xfId="0" applyFont="1" applyFill="1" applyBorder="1" applyAlignment="1">
      <alignment horizontal="right"/>
    </xf>
    <xf numFmtId="43" fontId="5" fillId="0" borderId="2" xfId="49" applyFont="1" applyFill="1" applyBorder="1" applyAlignment="1">
      <alignment horizontal="right" vertical="center"/>
    </xf>
    <xf numFmtId="0" fontId="12" fillId="0" borderId="2" xfId="0" applyFont="1" applyFill="1" applyBorder="1" applyAlignment="1">
      <alignment vertical="center"/>
    </xf>
    <xf numFmtId="43" fontId="12" fillId="0" borderId="2" xfId="49" applyFont="1" applyFill="1" applyBorder="1" applyAlignment="1">
      <alignment horizontal="right" vertical="center"/>
    </xf>
    <xf numFmtId="0" fontId="13" fillId="0" borderId="1" xfId="0" applyFont="1" applyFill="1" applyBorder="1" applyAlignment="1">
      <alignment vertical="center"/>
    </xf>
    <xf numFmtId="0" fontId="13" fillId="0" borderId="2" xfId="0" applyFont="1" applyFill="1" applyBorder="1" applyAlignment="1">
      <alignment vertical="center"/>
    </xf>
    <xf numFmtId="43" fontId="13" fillId="0" borderId="2" xfId="49" applyFont="1" applyFill="1" applyBorder="1" applyAlignment="1">
      <alignment horizontal="right" vertical="center" wrapText="1"/>
    </xf>
    <xf numFmtId="43" fontId="13" fillId="0" borderId="2" xfId="49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justify" vertical="center"/>
    </xf>
    <xf numFmtId="0" fontId="5" fillId="0" borderId="2" xfId="0" applyFont="1" applyFill="1" applyBorder="1" applyAlignment="1">
      <alignment horizontal="justify" vertical="center"/>
    </xf>
    <xf numFmtId="0" fontId="5" fillId="0" borderId="7" xfId="0" applyFont="1" applyFill="1" applyBorder="1" applyAlignment="1">
      <alignment horizontal="justify" vertical="center"/>
    </xf>
    <xf numFmtId="43" fontId="5" fillId="0" borderId="7" xfId="49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justify" vertical="center"/>
    </xf>
    <xf numFmtId="43" fontId="5" fillId="0" borderId="3" xfId="49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vertical="center"/>
    </xf>
    <xf numFmtId="43" fontId="3" fillId="5" borderId="1" xfId="49" applyFont="1" applyFill="1" applyBorder="1" applyAlignment="1">
      <alignment horizontal="right" vertical="center" wrapText="1"/>
    </xf>
    <xf numFmtId="0" fontId="0" fillId="0" borderId="1" xfId="0" applyBorder="1"/>
    <xf numFmtId="0" fontId="10" fillId="0" borderId="1" xfId="0" applyFont="1" applyFill="1" applyBorder="1" applyAlignment="1">
      <alignment horizontal="justify" vertical="center"/>
    </xf>
    <xf numFmtId="0" fontId="10" fillId="0" borderId="2" xfId="0" applyFont="1" applyFill="1" applyBorder="1" applyAlignment="1">
      <alignment horizontal="justify" vertical="center"/>
    </xf>
    <xf numFmtId="0" fontId="0" fillId="0" borderId="1" xfId="0" applyFill="1" applyBorder="1" applyAlignment="1">
      <alignment horizontal="right"/>
    </xf>
    <xf numFmtId="0" fontId="10" fillId="0" borderId="1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43" fontId="3" fillId="0" borderId="2" xfId="49" applyNumberFormat="1" applyFont="1" applyFill="1" applyBorder="1" applyAlignment="1">
      <alignment horizontal="right" vertical="center" wrapText="1"/>
    </xf>
    <xf numFmtId="43" fontId="5" fillId="0" borderId="2" xfId="49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justify" vertical="center"/>
    </xf>
    <xf numFmtId="0" fontId="3" fillId="0" borderId="2" xfId="0" applyFont="1" applyFill="1" applyBorder="1" applyAlignment="1">
      <alignment horizontal="justify" vertical="center"/>
    </xf>
    <xf numFmtId="0" fontId="0" fillId="0" borderId="1" xfId="0" applyFill="1" applyBorder="1" applyAlignment="1">
      <alignment horizontal="center"/>
    </xf>
    <xf numFmtId="0" fontId="14" fillId="3" borderId="0" xfId="0" applyFont="1" applyFill="1"/>
    <xf numFmtId="0" fontId="4" fillId="0" borderId="0" xfId="0" applyFont="1"/>
    <xf numFmtId="0" fontId="7" fillId="0" borderId="0" xfId="0" applyFont="1" applyFill="1"/>
    <xf numFmtId="0" fontId="15" fillId="0" borderId="0" xfId="0" applyFont="1" applyFill="1" applyAlignment="1">
      <alignment horizontal="center"/>
    </xf>
    <xf numFmtId="0" fontId="16" fillId="0" borderId="0" xfId="0" applyFont="1" applyFill="1" applyAlignment="1"/>
    <xf numFmtId="0" fontId="1" fillId="0" borderId="0" xfId="0" applyFont="1" applyFill="1" applyAlignment="1"/>
    <xf numFmtId="0" fontId="10" fillId="0" borderId="5" xfId="0" applyFont="1" applyFill="1" applyBorder="1" applyAlignment="1">
      <alignment vertical="center"/>
    </xf>
    <xf numFmtId="43" fontId="3" fillId="0" borderId="5" xfId="49" applyFont="1" applyFill="1" applyBorder="1" applyAlignment="1">
      <alignment horizontal="right" vertical="center" wrapText="1"/>
    </xf>
    <xf numFmtId="0" fontId="5" fillId="0" borderId="5" xfId="0" applyFont="1" applyFill="1" applyBorder="1" applyAlignment="1">
      <alignment vertical="center"/>
    </xf>
    <xf numFmtId="43" fontId="5" fillId="0" borderId="5" xfId="49" applyFont="1" applyFill="1" applyBorder="1" applyAlignment="1">
      <alignment horizontal="right" vertical="center" wrapText="1"/>
    </xf>
    <xf numFmtId="0" fontId="17" fillId="0" borderId="1" xfId="0" applyFont="1" applyFill="1" applyBorder="1" applyAlignment="1">
      <alignment vertical="center"/>
    </xf>
    <xf numFmtId="43" fontId="3" fillId="0" borderId="1" xfId="49" applyFont="1" applyFill="1" applyBorder="1" applyAlignment="1">
      <alignment horizontal="right" vertical="center" wrapText="1"/>
    </xf>
    <xf numFmtId="0" fontId="18" fillId="0" borderId="1" xfId="0" applyFont="1" applyFill="1" applyBorder="1" applyAlignment="1">
      <alignment horizontal="right"/>
    </xf>
    <xf numFmtId="0" fontId="18" fillId="0" borderId="1" xfId="0" applyFont="1" applyFill="1" applyBorder="1" applyAlignment="1">
      <alignment horizontal="center"/>
    </xf>
    <xf numFmtId="43" fontId="8" fillId="0" borderId="1" xfId="49" applyFont="1" applyFill="1" applyBorder="1" applyAlignment="1">
      <alignment wrapText="1"/>
    </xf>
    <xf numFmtId="0" fontId="5" fillId="0" borderId="5" xfId="0" applyFont="1" applyFill="1" applyBorder="1" applyAlignment="1">
      <alignment horizontal="justify" vertical="center"/>
    </xf>
    <xf numFmtId="0" fontId="19" fillId="0" borderId="2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20" fillId="0" borderId="2" xfId="0" applyFont="1" applyFill="1" applyBorder="1" applyAlignment="1">
      <alignment vertical="center"/>
    </xf>
    <xf numFmtId="43" fontId="20" fillId="0" borderId="2" xfId="49" applyFont="1" applyFill="1" applyBorder="1" applyAlignment="1">
      <alignment horizontal="right" vertical="center" wrapText="1"/>
    </xf>
    <xf numFmtId="176" fontId="0" fillId="0" borderId="1" xfId="2" applyFont="1" applyFill="1" applyBorder="1" applyAlignment="1">
      <alignment horizontal="right"/>
    </xf>
    <xf numFmtId="176" fontId="0" fillId="0" borderId="1" xfId="2" applyFont="1" applyFill="1" applyBorder="1" applyAlignment="1">
      <alignment horizontal="center"/>
    </xf>
    <xf numFmtId="43" fontId="4" fillId="0" borderId="1" xfId="0" applyNumberFormat="1" applyFont="1" applyFill="1" applyBorder="1" applyAlignment="1">
      <alignment horizontal="right"/>
    </xf>
    <xf numFmtId="43" fontId="4" fillId="0" borderId="1" xfId="0" applyNumberFormat="1" applyFont="1" applyFill="1" applyBorder="1" applyAlignment="1">
      <alignment horizontal="center"/>
    </xf>
    <xf numFmtId="0" fontId="21" fillId="0" borderId="0" xfId="0" applyFont="1" applyFill="1"/>
    <xf numFmtId="0" fontId="4" fillId="0" borderId="0" xfId="0" applyFont="1" applyFill="1"/>
    <xf numFmtId="0" fontId="8" fillId="0" borderId="0" xfId="0" applyFont="1" applyFill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Comma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0"/>
  <sheetViews>
    <sheetView tabSelected="1" topLeftCell="A78" workbookViewId="0">
      <selection activeCell="A105" sqref="A105"/>
    </sheetView>
  </sheetViews>
  <sheetFormatPr defaultColWidth="9" defaultRowHeight="15" outlineLevelCol="7"/>
  <cols>
    <col min="1" max="1" width="54.2666666666667" style="80" customWidth="1"/>
    <col min="2" max="2" width="9.54285714285714" style="4" customWidth="1"/>
    <col min="3" max="3" width="15.5428571428571" style="80" customWidth="1"/>
    <col min="4" max="4" width="21.1809523809524" style="80" customWidth="1"/>
    <col min="5" max="5" width="17.2666666666667" style="80" customWidth="1"/>
    <col min="6" max="6" width="17.5428571428571" style="4" customWidth="1"/>
    <col min="7" max="7" width="16.7238095238095" style="4" customWidth="1"/>
    <col min="8" max="8" width="17.2666666666667" style="4" customWidth="1"/>
    <col min="257" max="257" width="54.2666666666667" customWidth="1"/>
    <col min="258" max="258" width="9.54285714285714" customWidth="1"/>
    <col min="259" max="259" width="15.5428571428571" customWidth="1"/>
    <col min="260" max="260" width="16" customWidth="1"/>
    <col min="261" max="261" width="17.2666666666667" customWidth="1"/>
    <col min="262" max="262" width="17.5428571428571" customWidth="1"/>
    <col min="263" max="263" width="16.7238095238095" customWidth="1"/>
    <col min="264" max="264" width="17.2666666666667" customWidth="1"/>
    <col min="513" max="513" width="54.2666666666667" customWidth="1"/>
    <col min="514" max="514" width="9.54285714285714" customWidth="1"/>
    <col min="515" max="515" width="15.5428571428571" customWidth="1"/>
    <col min="516" max="516" width="16" customWidth="1"/>
    <col min="517" max="517" width="17.2666666666667" customWidth="1"/>
    <col min="518" max="518" width="17.5428571428571" customWidth="1"/>
    <col min="519" max="519" width="16.7238095238095" customWidth="1"/>
    <col min="520" max="520" width="17.2666666666667" customWidth="1"/>
    <col min="769" max="769" width="54.2666666666667" customWidth="1"/>
    <col min="770" max="770" width="9.54285714285714" customWidth="1"/>
    <col min="771" max="771" width="15.5428571428571" customWidth="1"/>
    <col min="772" max="772" width="16" customWidth="1"/>
    <col min="773" max="773" width="17.2666666666667" customWidth="1"/>
    <col min="774" max="774" width="17.5428571428571" customWidth="1"/>
    <col min="775" max="775" width="16.7238095238095" customWidth="1"/>
    <col min="776" max="776" width="17.2666666666667" customWidth="1"/>
    <col min="1025" max="1025" width="54.2666666666667" customWidth="1"/>
    <col min="1026" max="1026" width="9.54285714285714" customWidth="1"/>
    <col min="1027" max="1027" width="15.5428571428571" customWidth="1"/>
    <col min="1028" max="1028" width="16" customWidth="1"/>
    <col min="1029" max="1029" width="17.2666666666667" customWidth="1"/>
    <col min="1030" max="1030" width="17.5428571428571" customWidth="1"/>
    <col min="1031" max="1031" width="16.7238095238095" customWidth="1"/>
    <col min="1032" max="1032" width="17.2666666666667" customWidth="1"/>
    <col min="1281" max="1281" width="54.2666666666667" customWidth="1"/>
    <col min="1282" max="1282" width="9.54285714285714" customWidth="1"/>
    <col min="1283" max="1283" width="15.5428571428571" customWidth="1"/>
    <col min="1284" max="1284" width="16" customWidth="1"/>
    <col min="1285" max="1285" width="17.2666666666667" customWidth="1"/>
    <col min="1286" max="1286" width="17.5428571428571" customWidth="1"/>
    <col min="1287" max="1287" width="16.7238095238095" customWidth="1"/>
    <col min="1288" max="1288" width="17.2666666666667" customWidth="1"/>
    <col min="1537" max="1537" width="54.2666666666667" customWidth="1"/>
    <col min="1538" max="1538" width="9.54285714285714" customWidth="1"/>
    <col min="1539" max="1539" width="15.5428571428571" customWidth="1"/>
    <col min="1540" max="1540" width="16" customWidth="1"/>
    <col min="1541" max="1541" width="17.2666666666667" customWidth="1"/>
    <col min="1542" max="1542" width="17.5428571428571" customWidth="1"/>
    <col min="1543" max="1543" width="16.7238095238095" customWidth="1"/>
    <col min="1544" max="1544" width="17.2666666666667" customWidth="1"/>
    <col min="1793" max="1793" width="54.2666666666667" customWidth="1"/>
    <col min="1794" max="1794" width="9.54285714285714" customWidth="1"/>
    <col min="1795" max="1795" width="15.5428571428571" customWidth="1"/>
    <col min="1796" max="1796" width="16" customWidth="1"/>
    <col min="1797" max="1797" width="17.2666666666667" customWidth="1"/>
    <col min="1798" max="1798" width="17.5428571428571" customWidth="1"/>
    <col min="1799" max="1799" width="16.7238095238095" customWidth="1"/>
    <col min="1800" max="1800" width="17.2666666666667" customWidth="1"/>
    <col min="2049" max="2049" width="54.2666666666667" customWidth="1"/>
    <col min="2050" max="2050" width="9.54285714285714" customWidth="1"/>
    <col min="2051" max="2051" width="15.5428571428571" customWidth="1"/>
    <col min="2052" max="2052" width="16" customWidth="1"/>
    <col min="2053" max="2053" width="17.2666666666667" customWidth="1"/>
    <col min="2054" max="2054" width="17.5428571428571" customWidth="1"/>
    <col min="2055" max="2055" width="16.7238095238095" customWidth="1"/>
    <col min="2056" max="2056" width="17.2666666666667" customWidth="1"/>
    <col min="2305" max="2305" width="54.2666666666667" customWidth="1"/>
    <col min="2306" max="2306" width="9.54285714285714" customWidth="1"/>
    <col min="2307" max="2307" width="15.5428571428571" customWidth="1"/>
    <col min="2308" max="2308" width="16" customWidth="1"/>
    <col min="2309" max="2309" width="17.2666666666667" customWidth="1"/>
    <col min="2310" max="2310" width="17.5428571428571" customWidth="1"/>
    <col min="2311" max="2311" width="16.7238095238095" customWidth="1"/>
    <col min="2312" max="2312" width="17.2666666666667" customWidth="1"/>
    <col min="2561" max="2561" width="54.2666666666667" customWidth="1"/>
    <col min="2562" max="2562" width="9.54285714285714" customWidth="1"/>
    <col min="2563" max="2563" width="15.5428571428571" customWidth="1"/>
    <col min="2564" max="2564" width="16" customWidth="1"/>
    <col min="2565" max="2565" width="17.2666666666667" customWidth="1"/>
    <col min="2566" max="2566" width="17.5428571428571" customWidth="1"/>
    <col min="2567" max="2567" width="16.7238095238095" customWidth="1"/>
    <col min="2568" max="2568" width="17.2666666666667" customWidth="1"/>
    <col min="2817" max="2817" width="54.2666666666667" customWidth="1"/>
    <col min="2818" max="2818" width="9.54285714285714" customWidth="1"/>
    <col min="2819" max="2819" width="15.5428571428571" customWidth="1"/>
    <col min="2820" max="2820" width="16" customWidth="1"/>
    <col min="2821" max="2821" width="17.2666666666667" customWidth="1"/>
    <col min="2822" max="2822" width="17.5428571428571" customWidth="1"/>
    <col min="2823" max="2823" width="16.7238095238095" customWidth="1"/>
    <col min="2824" max="2824" width="17.2666666666667" customWidth="1"/>
    <col min="3073" max="3073" width="54.2666666666667" customWidth="1"/>
    <col min="3074" max="3074" width="9.54285714285714" customWidth="1"/>
    <col min="3075" max="3075" width="15.5428571428571" customWidth="1"/>
    <col min="3076" max="3076" width="16" customWidth="1"/>
    <col min="3077" max="3077" width="17.2666666666667" customWidth="1"/>
    <col min="3078" max="3078" width="17.5428571428571" customWidth="1"/>
    <col min="3079" max="3079" width="16.7238095238095" customWidth="1"/>
    <col min="3080" max="3080" width="17.2666666666667" customWidth="1"/>
    <col min="3329" max="3329" width="54.2666666666667" customWidth="1"/>
    <col min="3330" max="3330" width="9.54285714285714" customWidth="1"/>
    <col min="3331" max="3331" width="15.5428571428571" customWidth="1"/>
    <col min="3332" max="3332" width="16" customWidth="1"/>
    <col min="3333" max="3333" width="17.2666666666667" customWidth="1"/>
    <col min="3334" max="3334" width="17.5428571428571" customWidth="1"/>
    <col min="3335" max="3335" width="16.7238095238095" customWidth="1"/>
    <col min="3336" max="3336" width="17.2666666666667" customWidth="1"/>
    <col min="3585" max="3585" width="54.2666666666667" customWidth="1"/>
    <col min="3586" max="3586" width="9.54285714285714" customWidth="1"/>
    <col min="3587" max="3587" width="15.5428571428571" customWidth="1"/>
    <col min="3588" max="3588" width="16" customWidth="1"/>
    <col min="3589" max="3589" width="17.2666666666667" customWidth="1"/>
    <col min="3590" max="3590" width="17.5428571428571" customWidth="1"/>
    <col min="3591" max="3591" width="16.7238095238095" customWidth="1"/>
    <col min="3592" max="3592" width="17.2666666666667" customWidth="1"/>
    <col min="3841" max="3841" width="54.2666666666667" customWidth="1"/>
    <col min="3842" max="3842" width="9.54285714285714" customWidth="1"/>
    <col min="3843" max="3843" width="15.5428571428571" customWidth="1"/>
    <col min="3844" max="3844" width="16" customWidth="1"/>
    <col min="3845" max="3845" width="17.2666666666667" customWidth="1"/>
    <col min="3846" max="3846" width="17.5428571428571" customWidth="1"/>
    <col min="3847" max="3847" width="16.7238095238095" customWidth="1"/>
    <col min="3848" max="3848" width="17.2666666666667" customWidth="1"/>
    <col min="4097" max="4097" width="54.2666666666667" customWidth="1"/>
    <col min="4098" max="4098" width="9.54285714285714" customWidth="1"/>
    <col min="4099" max="4099" width="15.5428571428571" customWidth="1"/>
    <col min="4100" max="4100" width="16" customWidth="1"/>
    <col min="4101" max="4101" width="17.2666666666667" customWidth="1"/>
    <col min="4102" max="4102" width="17.5428571428571" customWidth="1"/>
    <col min="4103" max="4103" width="16.7238095238095" customWidth="1"/>
    <col min="4104" max="4104" width="17.2666666666667" customWidth="1"/>
    <col min="4353" max="4353" width="54.2666666666667" customWidth="1"/>
    <col min="4354" max="4354" width="9.54285714285714" customWidth="1"/>
    <col min="4355" max="4355" width="15.5428571428571" customWidth="1"/>
    <col min="4356" max="4356" width="16" customWidth="1"/>
    <col min="4357" max="4357" width="17.2666666666667" customWidth="1"/>
    <col min="4358" max="4358" width="17.5428571428571" customWidth="1"/>
    <col min="4359" max="4359" width="16.7238095238095" customWidth="1"/>
    <col min="4360" max="4360" width="17.2666666666667" customWidth="1"/>
    <col min="4609" max="4609" width="54.2666666666667" customWidth="1"/>
    <col min="4610" max="4610" width="9.54285714285714" customWidth="1"/>
    <col min="4611" max="4611" width="15.5428571428571" customWidth="1"/>
    <col min="4612" max="4612" width="16" customWidth="1"/>
    <col min="4613" max="4613" width="17.2666666666667" customWidth="1"/>
    <col min="4614" max="4614" width="17.5428571428571" customWidth="1"/>
    <col min="4615" max="4615" width="16.7238095238095" customWidth="1"/>
    <col min="4616" max="4616" width="17.2666666666667" customWidth="1"/>
    <col min="4865" max="4865" width="54.2666666666667" customWidth="1"/>
    <col min="4866" max="4866" width="9.54285714285714" customWidth="1"/>
    <col min="4867" max="4867" width="15.5428571428571" customWidth="1"/>
    <col min="4868" max="4868" width="16" customWidth="1"/>
    <col min="4869" max="4869" width="17.2666666666667" customWidth="1"/>
    <col min="4870" max="4870" width="17.5428571428571" customWidth="1"/>
    <col min="4871" max="4871" width="16.7238095238095" customWidth="1"/>
    <col min="4872" max="4872" width="17.2666666666667" customWidth="1"/>
    <col min="5121" max="5121" width="54.2666666666667" customWidth="1"/>
    <col min="5122" max="5122" width="9.54285714285714" customWidth="1"/>
    <col min="5123" max="5123" width="15.5428571428571" customWidth="1"/>
    <col min="5124" max="5124" width="16" customWidth="1"/>
    <col min="5125" max="5125" width="17.2666666666667" customWidth="1"/>
    <col min="5126" max="5126" width="17.5428571428571" customWidth="1"/>
    <col min="5127" max="5127" width="16.7238095238095" customWidth="1"/>
    <col min="5128" max="5128" width="17.2666666666667" customWidth="1"/>
    <col min="5377" max="5377" width="54.2666666666667" customWidth="1"/>
    <col min="5378" max="5378" width="9.54285714285714" customWidth="1"/>
    <col min="5379" max="5379" width="15.5428571428571" customWidth="1"/>
    <col min="5380" max="5380" width="16" customWidth="1"/>
    <col min="5381" max="5381" width="17.2666666666667" customWidth="1"/>
    <col min="5382" max="5382" width="17.5428571428571" customWidth="1"/>
    <col min="5383" max="5383" width="16.7238095238095" customWidth="1"/>
    <col min="5384" max="5384" width="17.2666666666667" customWidth="1"/>
    <col min="5633" max="5633" width="54.2666666666667" customWidth="1"/>
    <col min="5634" max="5634" width="9.54285714285714" customWidth="1"/>
    <col min="5635" max="5635" width="15.5428571428571" customWidth="1"/>
    <col min="5636" max="5636" width="16" customWidth="1"/>
    <col min="5637" max="5637" width="17.2666666666667" customWidth="1"/>
    <col min="5638" max="5638" width="17.5428571428571" customWidth="1"/>
    <col min="5639" max="5639" width="16.7238095238095" customWidth="1"/>
    <col min="5640" max="5640" width="17.2666666666667" customWidth="1"/>
    <col min="5889" max="5889" width="54.2666666666667" customWidth="1"/>
    <col min="5890" max="5890" width="9.54285714285714" customWidth="1"/>
    <col min="5891" max="5891" width="15.5428571428571" customWidth="1"/>
    <col min="5892" max="5892" width="16" customWidth="1"/>
    <col min="5893" max="5893" width="17.2666666666667" customWidth="1"/>
    <col min="5894" max="5894" width="17.5428571428571" customWidth="1"/>
    <col min="5895" max="5895" width="16.7238095238095" customWidth="1"/>
    <col min="5896" max="5896" width="17.2666666666667" customWidth="1"/>
    <col min="6145" max="6145" width="54.2666666666667" customWidth="1"/>
    <col min="6146" max="6146" width="9.54285714285714" customWidth="1"/>
    <col min="6147" max="6147" width="15.5428571428571" customWidth="1"/>
    <col min="6148" max="6148" width="16" customWidth="1"/>
    <col min="6149" max="6149" width="17.2666666666667" customWidth="1"/>
    <col min="6150" max="6150" width="17.5428571428571" customWidth="1"/>
    <col min="6151" max="6151" width="16.7238095238095" customWidth="1"/>
    <col min="6152" max="6152" width="17.2666666666667" customWidth="1"/>
    <col min="6401" max="6401" width="54.2666666666667" customWidth="1"/>
    <col min="6402" max="6402" width="9.54285714285714" customWidth="1"/>
    <col min="6403" max="6403" width="15.5428571428571" customWidth="1"/>
    <col min="6404" max="6404" width="16" customWidth="1"/>
    <col min="6405" max="6405" width="17.2666666666667" customWidth="1"/>
    <col min="6406" max="6406" width="17.5428571428571" customWidth="1"/>
    <col min="6407" max="6407" width="16.7238095238095" customWidth="1"/>
    <col min="6408" max="6408" width="17.2666666666667" customWidth="1"/>
    <col min="6657" max="6657" width="54.2666666666667" customWidth="1"/>
    <col min="6658" max="6658" width="9.54285714285714" customWidth="1"/>
    <col min="6659" max="6659" width="15.5428571428571" customWidth="1"/>
    <col min="6660" max="6660" width="16" customWidth="1"/>
    <col min="6661" max="6661" width="17.2666666666667" customWidth="1"/>
    <col min="6662" max="6662" width="17.5428571428571" customWidth="1"/>
    <col min="6663" max="6663" width="16.7238095238095" customWidth="1"/>
    <col min="6664" max="6664" width="17.2666666666667" customWidth="1"/>
    <col min="6913" max="6913" width="54.2666666666667" customWidth="1"/>
    <col min="6914" max="6914" width="9.54285714285714" customWidth="1"/>
    <col min="6915" max="6915" width="15.5428571428571" customWidth="1"/>
    <col min="6916" max="6916" width="16" customWidth="1"/>
    <col min="6917" max="6917" width="17.2666666666667" customWidth="1"/>
    <col min="6918" max="6918" width="17.5428571428571" customWidth="1"/>
    <col min="6919" max="6919" width="16.7238095238095" customWidth="1"/>
    <col min="6920" max="6920" width="17.2666666666667" customWidth="1"/>
    <col min="7169" max="7169" width="54.2666666666667" customWidth="1"/>
    <col min="7170" max="7170" width="9.54285714285714" customWidth="1"/>
    <col min="7171" max="7171" width="15.5428571428571" customWidth="1"/>
    <col min="7172" max="7172" width="16" customWidth="1"/>
    <col min="7173" max="7173" width="17.2666666666667" customWidth="1"/>
    <col min="7174" max="7174" width="17.5428571428571" customWidth="1"/>
    <col min="7175" max="7175" width="16.7238095238095" customWidth="1"/>
    <col min="7176" max="7176" width="17.2666666666667" customWidth="1"/>
    <col min="7425" max="7425" width="54.2666666666667" customWidth="1"/>
    <col min="7426" max="7426" width="9.54285714285714" customWidth="1"/>
    <col min="7427" max="7427" width="15.5428571428571" customWidth="1"/>
    <col min="7428" max="7428" width="16" customWidth="1"/>
    <col min="7429" max="7429" width="17.2666666666667" customWidth="1"/>
    <col min="7430" max="7430" width="17.5428571428571" customWidth="1"/>
    <col min="7431" max="7431" width="16.7238095238095" customWidth="1"/>
    <col min="7432" max="7432" width="17.2666666666667" customWidth="1"/>
    <col min="7681" max="7681" width="54.2666666666667" customWidth="1"/>
    <col min="7682" max="7682" width="9.54285714285714" customWidth="1"/>
    <col min="7683" max="7683" width="15.5428571428571" customWidth="1"/>
    <col min="7684" max="7684" width="16" customWidth="1"/>
    <col min="7685" max="7685" width="17.2666666666667" customWidth="1"/>
    <col min="7686" max="7686" width="17.5428571428571" customWidth="1"/>
    <col min="7687" max="7687" width="16.7238095238095" customWidth="1"/>
    <col min="7688" max="7688" width="17.2666666666667" customWidth="1"/>
    <col min="7937" max="7937" width="54.2666666666667" customWidth="1"/>
    <col min="7938" max="7938" width="9.54285714285714" customWidth="1"/>
    <col min="7939" max="7939" width="15.5428571428571" customWidth="1"/>
    <col min="7940" max="7940" width="16" customWidth="1"/>
    <col min="7941" max="7941" width="17.2666666666667" customWidth="1"/>
    <col min="7942" max="7942" width="17.5428571428571" customWidth="1"/>
    <col min="7943" max="7943" width="16.7238095238095" customWidth="1"/>
    <col min="7944" max="7944" width="17.2666666666667" customWidth="1"/>
    <col min="8193" max="8193" width="54.2666666666667" customWidth="1"/>
    <col min="8194" max="8194" width="9.54285714285714" customWidth="1"/>
    <col min="8195" max="8195" width="15.5428571428571" customWidth="1"/>
    <col min="8196" max="8196" width="16" customWidth="1"/>
    <col min="8197" max="8197" width="17.2666666666667" customWidth="1"/>
    <col min="8198" max="8198" width="17.5428571428571" customWidth="1"/>
    <col min="8199" max="8199" width="16.7238095238095" customWidth="1"/>
    <col min="8200" max="8200" width="17.2666666666667" customWidth="1"/>
    <col min="8449" max="8449" width="54.2666666666667" customWidth="1"/>
    <col min="8450" max="8450" width="9.54285714285714" customWidth="1"/>
    <col min="8451" max="8451" width="15.5428571428571" customWidth="1"/>
    <col min="8452" max="8452" width="16" customWidth="1"/>
    <col min="8453" max="8453" width="17.2666666666667" customWidth="1"/>
    <col min="8454" max="8454" width="17.5428571428571" customWidth="1"/>
    <col min="8455" max="8455" width="16.7238095238095" customWidth="1"/>
    <col min="8456" max="8456" width="17.2666666666667" customWidth="1"/>
    <col min="8705" max="8705" width="54.2666666666667" customWidth="1"/>
    <col min="8706" max="8706" width="9.54285714285714" customWidth="1"/>
    <col min="8707" max="8707" width="15.5428571428571" customWidth="1"/>
    <col min="8708" max="8708" width="16" customWidth="1"/>
    <col min="8709" max="8709" width="17.2666666666667" customWidth="1"/>
    <col min="8710" max="8710" width="17.5428571428571" customWidth="1"/>
    <col min="8711" max="8711" width="16.7238095238095" customWidth="1"/>
    <col min="8712" max="8712" width="17.2666666666667" customWidth="1"/>
    <col min="8961" max="8961" width="54.2666666666667" customWidth="1"/>
    <col min="8962" max="8962" width="9.54285714285714" customWidth="1"/>
    <col min="8963" max="8963" width="15.5428571428571" customWidth="1"/>
    <col min="8964" max="8964" width="16" customWidth="1"/>
    <col min="8965" max="8965" width="17.2666666666667" customWidth="1"/>
    <col min="8966" max="8966" width="17.5428571428571" customWidth="1"/>
    <col min="8967" max="8967" width="16.7238095238095" customWidth="1"/>
    <col min="8968" max="8968" width="17.2666666666667" customWidth="1"/>
    <col min="9217" max="9217" width="54.2666666666667" customWidth="1"/>
    <col min="9218" max="9218" width="9.54285714285714" customWidth="1"/>
    <col min="9219" max="9219" width="15.5428571428571" customWidth="1"/>
    <col min="9220" max="9220" width="16" customWidth="1"/>
    <col min="9221" max="9221" width="17.2666666666667" customWidth="1"/>
    <col min="9222" max="9222" width="17.5428571428571" customWidth="1"/>
    <col min="9223" max="9223" width="16.7238095238095" customWidth="1"/>
    <col min="9224" max="9224" width="17.2666666666667" customWidth="1"/>
    <col min="9473" max="9473" width="54.2666666666667" customWidth="1"/>
    <col min="9474" max="9474" width="9.54285714285714" customWidth="1"/>
    <col min="9475" max="9475" width="15.5428571428571" customWidth="1"/>
    <col min="9476" max="9476" width="16" customWidth="1"/>
    <col min="9477" max="9477" width="17.2666666666667" customWidth="1"/>
    <col min="9478" max="9478" width="17.5428571428571" customWidth="1"/>
    <col min="9479" max="9479" width="16.7238095238095" customWidth="1"/>
    <col min="9480" max="9480" width="17.2666666666667" customWidth="1"/>
    <col min="9729" max="9729" width="54.2666666666667" customWidth="1"/>
    <col min="9730" max="9730" width="9.54285714285714" customWidth="1"/>
    <col min="9731" max="9731" width="15.5428571428571" customWidth="1"/>
    <col min="9732" max="9732" width="16" customWidth="1"/>
    <col min="9733" max="9733" width="17.2666666666667" customWidth="1"/>
    <col min="9734" max="9734" width="17.5428571428571" customWidth="1"/>
    <col min="9735" max="9735" width="16.7238095238095" customWidth="1"/>
    <col min="9736" max="9736" width="17.2666666666667" customWidth="1"/>
    <col min="9985" max="9985" width="54.2666666666667" customWidth="1"/>
    <col min="9986" max="9986" width="9.54285714285714" customWidth="1"/>
    <col min="9987" max="9987" width="15.5428571428571" customWidth="1"/>
    <col min="9988" max="9988" width="16" customWidth="1"/>
    <col min="9989" max="9989" width="17.2666666666667" customWidth="1"/>
    <col min="9990" max="9990" width="17.5428571428571" customWidth="1"/>
    <col min="9991" max="9991" width="16.7238095238095" customWidth="1"/>
    <col min="9992" max="9992" width="17.2666666666667" customWidth="1"/>
    <col min="10241" max="10241" width="54.2666666666667" customWidth="1"/>
    <col min="10242" max="10242" width="9.54285714285714" customWidth="1"/>
    <col min="10243" max="10243" width="15.5428571428571" customWidth="1"/>
    <col min="10244" max="10244" width="16" customWidth="1"/>
    <col min="10245" max="10245" width="17.2666666666667" customWidth="1"/>
    <col min="10246" max="10246" width="17.5428571428571" customWidth="1"/>
    <col min="10247" max="10247" width="16.7238095238095" customWidth="1"/>
    <col min="10248" max="10248" width="17.2666666666667" customWidth="1"/>
    <col min="10497" max="10497" width="54.2666666666667" customWidth="1"/>
    <col min="10498" max="10498" width="9.54285714285714" customWidth="1"/>
    <col min="10499" max="10499" width="15.5428571428571" customWidth="1"/>
    <col min="10500" max="10500" width="16" customWidth="1"/>
    <col min="10501" max="10501" width="17.2666666666667" customWidth="1"/>
    <col min="10502" max="10502" width="17.5428571428571" customWidth="1"/>
    <col min="10503" max="10503" width="16.7238095238095" customWidth="1"/>
    <col min="10504" max="10504" width="17.2666666666667" customWidth="1"/>
    <col min="10753" max="10753" width="54.2666666666667" customWidth="1"/>
    <col min="10754" max="10754" width="9.54285714285714" customWidth="1"/>
    <col min="10755" max="10755" width="15.5428571428571" customWidth="1"/>
    <col min="10756" max="10756" width="16" customWidth="1"/>
    <col min="10757" max="10757" width="17.2666666666667" customWidth="1"/>
    <col min="10758" max="10758" width="17.5428571428571" customWidth="1"/>
    <col min="10759" max="10759" width="16.7238095238095" customWidth="1"/>
    <col min="10760" max="10760" width="17.2666666666667" customWidth="1"/>
    <col min="11009" max="11009" width="54.2666666666667" customWidth="1"/>
    <col min="11010" max="11010" width="9.54285714285714" customWidth="1"/>
    <col min="11011" max="11011" width="15.5428571428571" customWidth="1"/>
    <col min="11012" max="11012" width="16" customWidth="1"/>
    <col min="11013" max="11013" width="17.2666666666667" customWidth="1"/>
    <col min="11014" max="11014" width="17.5428571428571" customWidth="1"/>
    <col min="11015" max="11015" width="16.7238095238095" customWidth="1"/>
    <col min="11016" max="11016" width="17.2666666666667" customWidth="1"/>
    <col min="11265" max="11265" width="54.2666666666667" customWidth="1"/>
    <col min="11266" max="11266" width="9.54285714285714" customWidth="1"/>
    <col min="11267" max="11267" width="15.5428571428571" customWidth="1"/>
    <col min="11268" max="11268" width="16" customWidth="1"/>
    <col min="11269" max="11269" width="17.2666666666667" customWidth="1"/>
    <col min="11270" max="11270" width="17.5428571428571" customWidth="1"/>
    <col min="11271" max="11271" width="16.7238095238095" customWidth="1"/>
    <col min="11272" max="11272" width="17.2666666666667" customWidth="1"/>
    <col min="11521" max="11521" width="54.2666666666667" customWidth="1"/>
    <col min="11522" max="11522" width="9.54285714285714" customWidth="1"/>
    <col min="11523" max="11523" width="15.5428571428571" customWidth="1"/>
    <col min="11524" max="11524" width="16" customWidth="1"/>
    <col min="11525" max="11525" width="17.2666666666667" customWidth="1"/>
    <col min="11526" max="11526" width="17.5428571428571" customWidth="1"/>
    <col min="11527" max="11527" width="16.7238095238095" customWidth="1"/>
    <col min="11528" max="11528" width="17.2666666666667" customWidth="1"/>
    <col min="11777" max="11777" width="54.2666666666667" customWidth="1"/>
    <col min="11778" max="11778" width="9.54285714285714" customWidth="1"/>
    <col min="11779" max="11779" width="15.5428571428571" customWidth="1"/>
    <col min="11780" max="11780" width="16" customWidth="1"/>
    <col min="11781" max="11781" width="17.2666666666667" customWidth="1"/>
    <col min="11782" max="11782" width="17.5428571428571" customWidth="1"/>
    <col min="11783" max="11783" width="16.7238095238095" customWidth="1"/>
    <col min="11784" max="11784" width="17.2666666666667" customWidth="1"/>
    <col min="12033" max="12033" width="54.2666666666667" customWidth="1"/>
    <col min="12034" max="12034" width="9.54285714285714" customWidth="1"/>
    <col min="12035" max="12035" width="15.5428571428571" customWidth="1"/>
    <col min="12036" max="12036" width="16" customWidth="1"/>
    <col min="12037" max="12037" width="17.2666666666667" customWidth="1"/>
    <col min="12038" max="12038" width="17.5428571428571" customWidth="1"/>
    <col min="12039" max="12039" width="16.7238095238095" customWidth="1"/>
    <col min="12040" max="12040" width="17.2666666666667" customWidth="1"/>
    <col min="12289" max="12289" width="54.2666666666667" customWidth="1"/>
    <col min="12290" max="12290" width="9.54285714285714" customWidth="1"/>
    <col min="12291" max="12291" width="15.5428571428571" customWidth="1"/>
    <col min="12292" max="12292" width="16" customWidth="1"/>
    <col min="12293" max="12293" width="17.2666666666667" customWidth="1"/>
    <col min="12294" max="12294" width="17.5428571428571" customWidth="1"/>
    <col min="12295" max="12295" width="16.7238095238095" customWidth="1"/>
    <col min="12296" max="12296" width="17.2666666666667" customWidth="1"/>
    <col min="12545" max="12545" width="54.2666666666667" customWidth="1"/>
    <col min="12546" max="12546" width="9.54285714285714" customWidth="1"/>
    <col min="12547" max="12547" width="15.5428571428571" customWidth="1"/>
    <col min="12548" max="12548" width="16" customWidth="1"/>
    <col min="12549" max="12549" width="17.2666666666667" customWidth="1"/>
    <col min="12550" max="12550" width="17.5428571428571" customWidth="1"/>
    <col min="12551" max="12551" width="16.7238095238095" customWidth="1"/>
    <col min="12552" max="12552" width="17.2666666666667" customWidth="1"/>
    <col min="12801" max="12801" width="54.2666666666667" customWidth="1"/>
    <col min="12802" max="12802" width="9.54285714285714" customWidth="1"/>
    <col min="12803" max="12803" width="15.5428571428571" customWidth="1"/>
    <col min="12804" max="12804" width="16" customWidth="1"/>
    <col min="12805" max="12805" width="17.2666666666667" customWidth="1"/>
    <col min="12806" max="12806" width="17.5428571428571" customWidth="1"/>
    <col min="12807" max="12807" width="16.7238095238095" customWidth="1"/>
    <col min="12808" max="12808" width="17.2666666666667" customWidth="1"/>
    <col min="13057" max="13057" width="54.2666666666667" customWidth="1"/>
    <col min="13058" max="13058" width="9.54285714285714" customWidth="1"/>
    <col min="13059" max="13059" width="15.5428571428571" customWidth="1"/>
    <col min="13060" max="13060" width="16" customWidth="1"/>
    <col min="13061" max="13061" width="17.2666666666667" customWidth="1"/>
    <col min="13062" max="13062" width="17.5428571428571" customWidth="1"/>
    <col min="13063" max="13063" width="16.7238095238095" customWidth="1"/>
    <col min="13064" max="13064" width="17.2666666666667" customWidth="1"/>
    <col min="13313" max="13313" width="54.2666666666667" customWidth="1"/>
    <col min="13314" max="13314" width="9.54285714285714" customWidth="1"/>
    <col min="13315" max="13315" width="15.5428571428571" customWidth="1"/>
    <col min="13316" max="13316" width="16" customWidth="1"/>
    <col min="13317" max="13317" width="17.2666666666667" customWidth="1"/>
    <col min="13318" max="13318" width="17.5428571428571" customWidth="1"/>
    <col min="13319" max="13319" width="16.7238095238095" customWidth="1"/>
    <col min="13320" max="13320" width="17.2666666666667" customWidth="1"/>
    <col min="13569" max="13569" width="54.2666666666667" customWidth="1"/>
    <col min="13570" max="13570" width="9.54285714285714" customWidth="1"/>
    <col min="13571" max="13571" width="15.5428571428571" customWidth="1"/>
    <col min="13572" max="13572" width="16" customWidth="1"/>
    <col min="13573" max="13573" width="17.2666666666667" customWidth="1"/>
    <col min="13574" max="13574" width="17.5428571428571" customWidth="1"/>
    <col min="13575" max="13575" width="16.7238095238095" customWidth="1"/>
    <col min="13576" max="13576" width="17.2666666666667" customWidth="1"/>
    <col min="13825" max="13825" width="54.2666666666667" customWidth="1"/>
    <col min="13826" max="13826" width="9.54285714285714" customWidth="1"/>
    <col min="13827" max="13827" width="15.5428571428571" customWidth="1"/>
    <col min="13828" max="13828" width="16" customWidth="1"/>
    <col min="13829" max="13829" width="17.2666666666667" customWidth="1"/>
    <col min="13830" max="13830" width="17.5428571428571" customWidth="1"/>
    <col min="13831" max="13831" width="16.7238095238095" customWidth="1"/>
    <col min="13832" max="13832" width="17.2666666666667" customWidth="1"/>
    <col min="14081" max="14081" width="54.2666666666667" customWidth="1"/>
    <col min="14082" max="14082" width="9.54285714285714" customWidth="1"/>
    <col min="14083" max="14083" width="15.5428571428571" customWidth="1"/>
    <col min="14084" max="14084" width="16" customWidth="1"/>
    <col min="14085" max="14085" width="17.2666666666667" customWidth="1"/>
    <col min="14086" max="14086" width="17.5428571428571" customWidth="1"/>
    <col min="14087" max="14087" width="16.7238095238095" customWidth="1"/>
    <col min="14088" max="14088" width="17.2666666666667" customWidth="1"/>
    <col min="14337" max="14337" width="54.2666666666667" customWidth="1"/>
    <col min="14338" max="14338" width="9.54285714285714" customWidth="1"/>
    <col min="14339" max="14339" width="15.5428571428571" customWidth="1"/>
    <col min="14340" max="14340" width="16" customWidth="1"/>
    <col min="14341" max="14341" width="17.2666666666667" customWidth="1"/>
    <col min="14342" max="14342" width="17.5428571428571" customWidth="1"/>
    <col min="14343" max="14343" width="16.7238095238095" customWidth="1"/>
    <col min="14344" max="14344" width="17.2666666666667" customWidth="1"/>
    <col min="14593" max="14593" width="54.2666666666667" customWidth="1"/>
    <col min="14594" max="14594" width="9.54285714285714" customWidth="1"/>
    <col min="14595" max="14595" width="15.5428571428571" customWidth="1"/>
    <col min="14596" max="14596" width="16" customWidth="1"/>
    <col min="14597" max="14597" width="17.2666666666667" customWidth="1"/>
    <col min="14598" max="14598" width="17.5428571428571" customWidth="1"/>
    <col min="14599" max="14599" width="16.7238095238095" customWidth="1"/>
    <col min="14600" max="14600" width="17.2666666666667" customWidth="1"/>
    <col min="14849" max="14849" width="54.2666666666667" customWidth="1"/>
    <col min="14850" max="14850" width="9.54285714285714" customWidth="1"/>
    <col min="14851" max="14851" width="15.5428571428571" customWidth="1"/>
    <col min="14852" max="14852" width="16" customWidth="1"/>
    <col min="14853" max="14853" width="17.2666666666667" customWidth="1"/>
    <col min="14854" max="14854" width="17.5428571428571" customWidth="1"/>
    <col min="14855" max="14855" width="16.7238095238095" customWidth="1"/>
    <col min="14856" max="14856" width="17.2666666666667" customWidth="1"/>
    <col min="15105" max="15105" width="54.2666666666667" customWidth="1"/>
    <col min="15106" max="15106" width="9.54285714285714" customWidth="1"/>
    <col min="15107" max="15107" width="15.5428571428571" customWidth="1"/>
    <col min="15108" max="15108" width="16" customWidth="1"/>
    <col min="15109" max="15109" width="17.2666666666667" customWidth="1"/>
    <col min="15110" max="15110" width="17.5428571428571" customWidth="1"/>
    <col min="15111" max="15111" width="16.7238095238095" customWidth="1"/>
    <col min="15112" max="15112" width="17.2666666666667" customWidth="1"/>
    <col min="15361" max="15361" width="54.2666666666667" customWidth="1"/>
    <col min="15362" max="15362" width="9.54285714285714" customWidth="1"/>
    <col min="15363" max="15363" width="15.5428571428571" customWidth="1"/>
    <col min="15364" max="15364" width="16" customWidth="1"/>
    <col min="15365" max="15365" width="17.2666666666667" customWidth="1"/>
    <col min="15366" max="15366" width="17.5428571428571" customWidth="1"/>
    <col min="15367" max="15367" width="16.7238095238095" customWidth="1"/>
    <col min="15368" max="15368" width="17.2666666666667" customWidth="1"/>
    <col min="15617" max="15617" width="54.2666666666667" customWidth="1"/>
    <col min="15618" max="15618" width="9.54285714285714" customWidth="1"/>
    <col min="15619" max="15619" width="15.5428571428571" customWidth="1"/>
    <col min="15620" max="15620" width="16" customWidth="1"/>
    <col min="15621" max="15621" width="17.2666666666667" customWidth="1"/>
    <col min="15622" max="15622" width="17.5428571428571" customWidth="1"/>
    <col min="15623" max="15623" width="16.7238095238095" customWidth="1"/>
    <col min="15624" max="15624" width="17.2666666666667" customWidth="1"/>
    <col min="15873" max="15873" width="54.2666666666667" customWidth="1"/>
    <col min="15874" max="15874" width="9.54285714285714" customWidth="1"/>
    <col min="15875" max="15875" width="15.5428571428571" customWidth="1"/>
    <col min="15876" max="15876" width="16" customWidth="1"/>
    <col min="15877" max="15877" width="17.2666666666667" customWidth="1"/>
    <col min="15878" max="15878" width="17.5428571428571" customWidth="1"/>
    <col min="15879" max="15879" width="16.7238095238095" customWidth="1"/>
    <col min="15880" max="15880" width="17.2666666666667" customWidth="1"/>
    <col min="16129" max="16129" width="54.2666666666667" customWidth="1"/>
    <col min="16130" max="16130" width="9.54285714285714" customWidth="1"/>
    <col min="16131" max="16131" width="15.5428571428571" customWidth="1"/>
    <col min="16132" max="16132" width="16" customWidth="1"/>
    <col min="16133" max="16133" width="17.2666666666667" customWidth="1"/>
    <col min="16134" max="16134" width="17.5428571428571" customWidth="1"/>
    <col min="16135" max="16135" width="16.7238095238095" customWidth="1"/>
    <col min="16136" max="16136" width="17.2666666666667" customWidth="1"/>
  </cols>
  <sheetData>
    <row r="1" ht="21" spans="4:5">
      <c r="D1" s="81" t="s">
        <v>0</v>
      </c>
      <c r="E1" s="81"/>
    </row>
    <row r="2" ht="21" spans="4:5">
      <c r="D2" s="81" t="s">
        <v>1</v>
      </c>
      <c r="E2" s="81"/>
    </row>
    <row r="3" ht="18.75" spans="3:4">
      <c r="C3" s="82" t="s">
        <v>2</v>
      </c>
      <c r="D3" s="83"/>
    </row>
    <row r="5" spans="1:8">
      <c r="A5" s="10" t="s">
        <v>3</v>
      </c>
      <c r="B5" s="10"/>
      <c r="C5" s="12"/>
      <c r="D5" s="12"/>
      <c r="E5" s="12"/>
      <c r="F5" s="70"/>
      <c r="G5" s="70"/>
      <c r="H5" s="77"/>
    </row>
    <row r="6" spans="1:8">
      <c r="A6" s="71" t="s">
        <v>4</v>
      </c>
      <c r="B6" s="84"/>
      <c r="C6" s="85"/>
      <c r="D6" s="85"/>
      <c r="E6" s="85"/>
      <c r="F6" s="70"/>
      <c r="G6" s="70"/>
      <c r="H6" s="77"/>
    </row>
    <row r="7" spans="1:8">
      <c r="A7" s="18" t="s">
        <v>5</v>
      </c>
      <c r="B7" s="19"/>
      <c r="C7" s="20"/>
      <c r="D7" s="20"/>
      <c r="E7" s="20"/>
      <c r="F7" s="20"/>
      <c r="G7" s="20"/>
      <c r="H7" s="20"/>
    </row>
    <row r="8" spans="1:7">
      <c r="A8" s="18" t="s">
        <v>6</v>
      </c>
      <c r="B8" s="19"/>
      <c r="C8" s="20"/>
      <c r="D8" s="20"/>
      <c r="E8" s="20"/>
      <c r="F8" s="20"/>
      <c r="G8" s="20"/>
    </row>
    <row r="9" spans="1:8">
      <c r="A9" s="18" t="s">
        <v>7</v>
      </c>
      <c r="B9" s="19"/>
      <c r="C9" s="20"/>
      <c r="D9" s="20"/>
      <c r="E9" s="20"/>
      <c r="F9" s="20"/>
      <c r="G9" s="20"/>
      <c r="H9" s="20"/>
    </row>
    <row r="10" spans="1:8">
      <c r="A10" s="18"/>
      <c r="B10" s="86"/>
      <c r="C10" s="87"/>
      <c r="D10" s="87"/>
      <c r="E10" s="87"/>
      <c r="F10" s="87"/>
      <c r="G10" s="87"/>
      <c r="H10" s="87"/>
    </row>
    <row r="11" spans="1:8">
      <c r="A11" s="10" t="s">
        <v>8</v>
      </c>
      <c r="B11" s="84"/>
      <c r="C11" s="85"/>
      <c r="D11" s="85"/>
      <c r="E11" s="85"/>
      <c r="F11" s="85"/>
      <c r="G11" s="85"/>
      <c r="H11" s="85"/>
    </row>
    <row r="12" spans="1:8">
      <c r="A12" s="10"/>
      <c r="B12" s="88"/>
      <c r="C12" s="89"/>
      <c r="D12" s="89"/>
      <c r="E12" s="89"/>
      <c r="F12" s="90"/>
      <c r="G12" s="90"/>
      <c r="H12" s="91"/>
    </row>
    <row r="13" spans="1:8">
      <c r="A13" s="10" t="s">
        <v>9</v>
      </c>
      <c r="B13" s="88"/>
      <c r="C13" s="89"/>
      <c r="D13" s="89"/>
      <c r="E13" s="89"/>
      <c r="F13" s="90"/>
      <c r="G13" s="90"/>
      <c r="H13" s="91"/>
    </row>
    <row r="14" spans="1:8">
      <c r="A14" s="71" t="s">
        <v>10</v>
      </c>
      <c r="B14" s="72"/>
      <c r="C14" s="73">
        <v>4800000</v>
      </c>
      <c r="D14" s="12"/>
      <c r="E14" s="12"/>
      <c r="F14" s="70"/>
      <c r="G14" s="70"/>
      <c r="H14" s="77"/>
    </row>
    <row r="15" ht="13" customHeight="1" spans="1:8">
      <c r="A15" s="18" t="s">
        <v>11</v>
      </c>
      <c r="B15" s="19"/>
      <c r="C15" s="74">
        <v>2200000</v>
      </c>
      <c r="D15" s="20"/>
      <c r="E15" s="20"/>
      <c r="F15" s="20"/>
      <c r="G15" s="20"/>
      <c r="H15" s="20"/>
    </row>
    <row r="16" spans="1:8">
      <c r="A16" s="10"/>
      <c r="B16" s="88"/>
      <c r="C16" s="89"/>
      <c r="D16" s="89"/>
      <c r="E16" s="89"/>
      <c r="F16" s="90"/>
      <c r="G16" s="90"/>
      <c r="H16" s="91"/>
    </row>
    <row r="17" spans="1:8">
      <c r="A17" s="68" t="s">
        <v>12</v>
      </c>
      <c r="B17" s="68"/>
      <c r="C17" s="92"/>
      <c r="D17" s="92"/>
      <c r="E17" s="92"/>
      <c r="F17" s="70"/>
      <c r="G17" s="70"/>
      <c r="H17" s="77"/>
    </row>
    <row r="18" spans="1:8">
      <c r="A18" s="59" t="s">
        <v>13</v>
      </c>
      <c r="B18" s="60"/>
      <c r="C18" s="20"/>
      <c r="D18" s="20"/>
      <c r="E18" s="20"/>
      <c r="F18" s="20"/>
      <c r="G18" s="20"/>
      <c r="H18" s="20"/>
    </row>
    <row r="19" spans="1:8">
      <c r="A19" s="59" t="s">
        <v>14</v>
      </c>
      <c r="B19" s="60"/>
      <c r="C19" s="20"/>
      <c r="D19" s="20"/>
      <c r="E19" s="20"/>
      <c r="F19" s="20"/>
      <c r="G19" s="20"/>
      <c r="H19" s="20"/>
    </row>
    <row r="20" spans="1:8">
      <c r="A20" s="59" t="s">
        <v>15</v>
      </c>
      <c r="B20" s="60"/>
      <c r="C20" s="20"/>
      <c r="D20" s="20"/>
      <c r="E20" s="20"/>
      <c r="F20" s="20"/>
      <c r="G20" s="20"/>
      <c r="H20" s="20"/>
    </row>
    <row r="21" spans="1:8">
      <c r="A21" s="59" t="s">
        <v>16</v>
      </c>
      <c r="B21" s="60"/>
      <c r="C21" s="20"/>
      <c r="D21" s="20"/>
      <c r="E21" s="20"/>
      <c r="F21" s="20"/>
      <c r="G21" s="20"/>
      <c r="H21" s="20"/>
    </row>
    <row r="22" spans="1:8">
      <c r="A22" s="59" t="s">
        <v>17</v>
      </c>
      <c r="B22" s="60"/>
      <c r="C22" s="20"/>
      <c r="D22" s="20"/>
      <c r="E22" s="20"/>
      <c r="F22" s="20"/>
      <c r="G22" s="20"/>
      <c r="H22" s="20"/>
    </row>
    <row r="23" spans="1:8">
      <c r="A23" s="59" t="s">
        <v>18</v>
      </c>
      <c r="B23" s="93"/>
      <c r="C23" s="87"/>
      <c r="D23" s="87"/>
      <c r="E23" s="87"/>
      <c r="F23" s="87"/>
      <c r="G23" s="87"/>
      <c r="H23" s="87"/>
    </row>
    <row r="24" spans="1:8">
      <c r="A24" s="10" t="s">
        <v>19</v>
      </c>
      <c r="B24" s="84"/>
      <c r="C24" s="85"/>
      <c r="D24" s="85"/>
      <c r="E24" s="85"/>
      <c r="F24" s="85"/>
      <c r="G24" s="85"/>
      <c r="H24" s="85"/>
    </row>
    <row r="25" spans="1:8">
      <c r="A25" s="68"/>
      <c r="B25" s="69"/>
      <c r="C25" s="12"/>
      <c r="D25" s="12"/>
      <c r="E25" s="12"/>
      <c r="F25" s="70"/>
      <c r="G25" s="70"/>
      <c r="H25" s="77"/>
    </row>
    <row r="26" spans="1:8">
      <c r="A26" s="71" t="s">
        <v>20</v>
      </c>
      <c r="B26" s="72"/>
      <c r="C26" s="12"/>
      <c r="D26" s="12"/>
      <c r="E26" s="12"/>
      <c r="F26" s="70"/>
      <c r="G26" s="70"/>
      <c r="H26" s="77"/>
    </row>
    <row r="27" spans="1:8">
      <c r="A27" s="18" t="s">
        <v>21</v>
      </c>
      <c r="B27" s="19"/>
      <c r="C27" s="20"/>
      <c r="D27" s="20"/>
      <c r="E27" s="20"/>
      <c r="F27" s="20"/>
      <c r="G27" s="20"/>
      <c r="H27" s="20"/>
    </row>
    <row r="28" spans="1:8">
      <c r="A28" s="18" t="s">
        <v>22</v>
      </c>
      <c r="B28" s="19"/>
      <c r="C28" s="20"/>
      <c r="D28" s="20"/>
      <c r="E28" s="20"/>
      <c r="F28" s="20"/>
      <c r="G28" s="20"/>
      <c r="H28" s="20"/>
    </row>
    <row r="29" spans="1:8">
      <c r="A29" s="18" t="s">
        <v>23</v>
      </c>
      <c r="B29" s="19"/>
      <c r="C29" s="20"/>
      <c r="D29" s="20"/>
      <c r="E29" s="20"/>
      <c r="F29" s="20"/>
      <c r="G29" s="20"/>
      <c r="H29" s="20"/>
    </row>
    <row r="30" spans="1:8">
      <c r="A30" s="18" t="s">
        <v>24</v>
      </c>
      <c r="B30" s="19"/>
      <c r="C30" s="20"/>
      <c r="D30" s="20"/>
      <c r="E30" s="20"/>
      <c r="F30" s="20"/>
      <c r="G30" s="20"/>
      <c r="H30" s="20"/>
    </row>
    <row r="31" spans="1:8">
      <c r="A31" s="18" t="s">
        <v>25</v>
      </c>
      <c r="B31" s="19"/>
      <c r="C31" s="20"/>
      <c r="D31" s="20"/>
      <c r="E31" s="20"/>
      <c r="F31" s="20"/>
      <c r="G31" s="20"/>
      <c r="H31" s="20"/>
    </row>
    <row r="32" spans="1:8">
      <c r="A32" s="18" t="s">
        <v>26</v>
      </c>
      <c r="B32" s="19"/>
      <c r="C32" s="20"/>
      <c r="D32" s="20"/>
      <c r="E32" s="20"/>
      <c r="F32" s="20"/>
      <c r="G32" s="20"/>
      <c r="H32" s="20"/>
    </row>
    <row r="33" spans="1:8">
      <c r="A33" s="18" t="s">
        <v>27</v>
      </c>
      <c r="B33" s="19"/>
      <c r="C33" s="20"/>
      <c r="D33" s="20"/>
      <c r="E33" s="20"/>
      <c r="F33" s="20"/>
      <c r="G33" s="20"/>
      <c r="H33" s="20"/>
    </row>
    <row r="34" spans="1:8">
      <c r="A34" s="18" t="s">
        <v>28</v>
      </c>
      <c r="B34" s="19"/>
      <c r="C34" s="20"/>
      <c r="D34" s="20"/>
      <c r="E34" s="20"/>
      <c r="F34" s="20"/>
      <c r="G34" s="20"/>
      <c r="H34" s="20"/>
    </row>
    <row r="35" spans="1:8">
      <c r="A35" s="59" t="s">
        <v>29</v>
      </c>
      <c r="B35" s="60"/>
      <c r="C35" s="20"/>
      <c r="D35" s="20"/>
      <c r="E35" s="20"/>
      <c r="F35" s="20"/>
      <c r="G35" s="20"/>
      <c r="H35" s="20"/>
    </row>
    <row r="36" spans="1:8">
      <c r="A36" s="59"/>
      <c r="B36" s="60"/>
      <c r="C36" s="20"/>
      <c r="D36" s="20"/>
      <c r="E36" s="20"/>
      <c r="F36" s="20"/>
      <c r="G36" s="20"/>
      <c r="H36" s="20"/>
    </row>
    <row r="37" spans="1:8">
      <c r="A37" s="75" t="s">
        <v>30</v>
      </c>
      <c r="B37" s="76"/>
      <c r="C37" s="12"/>
      <c r="D37" s="12"/>
      <c r="E37" s="12"/>
      <c r="F37" s="12"/>
      <c r="G37" s="12"/>
      <c r="H37" s="12"/>
    </row>
    <row r="38" spans="1:8">
      <c r="A38" s="18"/>
      <c r="B38" s="19"/>
      <c r="C38" s="20"/>
      <c r="D38" s="20"/>
      <c r="E38" s="20"/>
      <c r="F38" s="70"/>
      <c r="G38" s="70"/>
      <c r="H38" s="77"/>
    </row>
    <row r="39" spans="1:8">
      <c r="A39" s="71" t="s">
        <v>31</v>
      </c>
      <c r="B39" s="72"/>
      <c r="C39" s="12"/>
      <c r="D39" s="12"/>
      <c r="E39" s="12"/>
      <c r="F39" s="70"/>
      <c r="G39" s="70"/>
      <c r="H39" s="77"/>
    </row>
    <row r="40" spans="1:8">
      <c r="A40" s="71" t="s">
        <v>32</v>
      </c>
      <c r="B40" s="94"/>
      <c r="C40" s="20"/>
      <c r="D40" s="20"/>
      <c r="E40" s="20"/>
      <c r="F40" s="95"/>
      <c r="G40" s="95"/>
      <c r="H40" s="96"/>
    </row>
    <row r="41" spans="1:8">
      <c r="A41" s="18" t="s">
        <v>33</v>
      </c>
      <c r="B41" s="19"/>
      <c r="C41" s="20"/>
      <c r="D41" s="20"/>
      <c r="E41" s="20"/>
      <c r="F41" s="20"/>
      <c r="G41" s="20"/>
      <c r="H41" s="20"/>
    </row>
    <row r="42" spans="1:8">
      <c r="A42" s="18" t="s">
        <v>34</v>
      </c>
      <c r="B42" s="19"/>
      <c r="C42" s="74">
        <v>2000000</v>
      </c>
      <c r="D42" s="20"/>
      <c r="E42" s="20"/>
      <c r="F42" s="20"/>
      <c r="G42" s="20"/>
      <c r="H42" s="20"/>
    </row>
    <row r="43" spans="1:8">
      <c r="A43" s="18" t="s">
        <v>35</v>
      </c>
      <c r="B43" s="19"/>
      <c r="C43" s="20"/>
      <c r="D43" s="20"/>
      <c r="E43" s="20"/>
      <c r="F43" s="20"/>
      <c r="G43" s="20"/>
      <c r="H43" s="20"/>
    </row>
    <row r="44" s="25" customFormat="1" spans="1:8">
      <c r="A44" s="18" t="s">
        <v>36</v>
      </c>
      <c r="B44" s="56"/>
      <c r="C44" s="20"/>
      <c r="D44" s="20"/>
      <c r="E44" s="20"/>
      <c r="F44" s="57"/>
      <c r="G44" s="57"/>
      <c r="H44" s="57"/>
    </row>
    <row r="45" spans="1:8">
      <c r="A45" s="18" t="s">
        <v>37</v>
      </c>
      <c r="B45" s="19"/>
      <c r="C45" s="20"/>
      <c r="D45" s="20"/>
      <c r="E45" s="20"/>
      <c r="F45" s="20"/>
      <c r="G45" s="20"/>
      <c r="H45" s="20"/>
    </row>
    <row r="46" spans="1:8">
      <c r="A46" s="18" t="s">
        <v>38</v>
      </c>
      <c r="B46" s="19"/>
      <c r="C46" s="20"/>
      <c r="D46" s="20"/>
      <c r="E46" s="20"/>
      <c r="F46" s="20"/>
      <c r="G46" s="20"/>
      <c r="H46" s="20"/>
    </row>
    <row r="47" spans="1:8">
      <c r="A47" s="18"/>
      <c r="B47" s="72"/>
      <c r="C47" s="20"/>
      <c r="D47" s="20"/>
      <c r="E47" s="20"/>
      <c r="F47" s="20"/>
      <c r="G47" s="20"/>
      <c r="H47" s="20"/>
    </row>
    <row r="48" spans="1:8">
      <c r="A48" s="71" t="s">
        <v>39</v>
      </c>
      <c r="C48" s="12"/>
      <c r="D48" s="12"/>
      <c r="E48" s="12"/>
      <c r="F48" s="12"/>
      <c r="G48" s="12"/>
      <c r="H48" s="12"/>
    </row>
    <row r="49" spans="1:8">
      <c r="A49" s="71" t="s">
        <v>40</v>
      </c>
      <c r="B49" s="72"/>
      <c r="C49" s="12"/>
      <c r="D49" s="12"/>
      <c r="E49" s="12"/>
      <c r="F49" s="70"/>
      <c r="G49" s="70"/>
      <c r="H49" s="71"/>
    </row>
    <row r="50" spans="1:8">
      <c r="A50" s="18" t="s">
        <v>41</v>
      </c>
      <c r="B50" s="19"/>
      <c r="C50" s="20"/>
      <c r="D50" s="20"/>
      <c r="E50" s="20"/>
      <c r="F50" s="20"/>
      <c r="G50" s="20"/>
      <c r="H50" s="20"/>
    </row>
    <row r="51" spans="1:8">
      <c r="A51" s="18" t="s">
        <v>42</v>
      </c>
      <c r="B51" s="19"/>
      <c r="C51" s="20"/>
      <c r="D51" s="20"/>
      <c r="E51" s="20"/>
      <c r="F51" s="20"/>
      <c r="G51" s="20"/>
      <c r="H51" s="20"/>
    </row>
    <row r="52" spans="1:8">
      <c r="A52" s="18" t="s">
        <v>43</v>
      </c>
      <c r="B52" s="19"/>
      <c r="C52" s="20">
        <v>1000000</v>
      </c>
      <c r="D52" s="20"/>
      <c r="E52" s="20"/>
      <c r="F52" s="20"/>
      <c r="G52" s="20"/>
      <c r="H52" s="20"/>
    </row>
    <row r="53" spans="1:8">
      <c r="A53" s="18" t="s">
        <v>44</v>
      </c>
      <c r="B53" s="19"/>
      <c r="C53" s="20"/>
      <c r="D53" s="20"/>
      <c r="E53" s="20"/>
      <c r="F53" s="20"/>
      <c r="G53" s="20"/>
      <c r="H53" s="20"/>
    </row>
    <row r="54" spans="1:8">
      <c r="A54" s="18" t="s">
        <v>45</v>
      </c>
      <c r="B54" s="19"/>
      <c r="C54" s="20"/>
      <c r="D54" s="20"/>
      <c r="E54" s="20"/>
      <c r="F54" s="20"/>
      <c r="G54" s="20"/>
      <c r="H54" s="20"/>
    </row>
    <row r="55" spans="1:8">
      <c r="A55" s="10" t="s">
        <v>46</v>
      </c>
      <c r="B55" s="11"/>
      <c r="C55" s="12"/>
      <c r="D55" s="12"/>
      <c r="E55" s="12"/>
      <c r="F55" s="12"/>
      <c r="G55" s="12"/>
      <c r="H55" s="12"/>
    </row>
    <row r="56" spans="1:8">
      <c r="A56" s="18"/>
      <c r="B56" s="19"/>
      <c r="C56" s="20"/>
      <c r="D56" s="20"/>
      <c r="E56" s="20"/>
      <c r="F56" s="70"/>
      <c r="G56" s="70"/>
      <c r="H56" s="77"/>
    </row>
    <row r="57" spans="1:8">
      <c r="A57" s="10" t="s">
        <v>47</v>
      </c>
      <c r="B57" s="11"/>
      <c r="C57" s="12"/>
      <c r="D57" s="12"/>
      <c r="E57" s="12"/>
      <c r="F57" s="97"/>
      <c r="G57" s="97"/>
      <c r="H57" s="98"/>
    </row>
    <row r="58" spans="1:8">
      <c r="A58" s="18" t="s">
        <v>48</v>
      </c>
      <c r="B58" s="19"/>
      <c r="C58" s="20"/>
      <c r="D58" s="20"/>
      <c r="E58" s="20"/>
      <c r="F58" s="20"/>
      <c r="G58" s="20"/>
      <c r="H58" s="20"/>
    </row>
    <row r="59" spans="1:8">
      <c r="A59" s="18" t="s">
        <v>49</v>
      </c>
      <c r="B59" s="19"/>
      <c r="C59" s="20"/>
      <c r="D59" s="20"/>
      <c r="E59" s="20"/>
      <c r="F59" s="20"/>
      <c r="G59" s="20"/>
      <c r="H59" s="20"/>
    </row>
    <row r="60" spans="1:8">
      <c r="A60" s="18" t="s">
        <v>50</v>
      </c>
      <c r="B60" s="19"/>
      <c r="C60" s="20"/>
      <c r="D60" s="20"/>
      <c r="E60" s="20"/>
      <c r="F60" s="20"/>
      <c r="G60" s="20"/>
      <c r="H60" s="20"/>
    </row>
    <row r="61" spans="1:8">
      <c r="A61" s="18" t="s">
        <v>51</v>
      </c>
      <c r="B61" s="19"/>
      <c r="C61" s="20"/>
      <c r="D61" s="20"/>
      <c r="E61" s="20"/>
      <c r="F61" s="20"/>
      <c r="G61" s="20"/>
      <c r="H61" s="20"/>
    </row>
    <row r="62" spans="1:8">
      <c r="A62" s="10" t="s">
        <v>52</v>
      </c>
      <c r="B62" s="11"/>
      <c r="C62" s="12"/>
      <c r="D62" s="12"/>
      <c r="E62" s="12"/>
      <c r="F62" s="12"/>
      <c r="G62" s="12"/>
      <c r="H62" s="12"/>
    </row>
    <row r="63" s="21" customFormat="1" spans="1:8">
      <c r="A63" s="10"/>
      <c r="B63" s="11"/>
      <c r="C63" s="12"/>
      <c r="D63" s="12"/>
      <c r="E63" s="12"/>
      <c r="F63" s="12"/>
      <c r="G63" s="12"/>
      <c r="H63" s="12"/>
    </row>
    <row r="64" spans="1:8">
      <c r="A64" s="10" t="s">
        <v>53</v>
      </c>
      <c r="B64" s="11"/>
      <c r="C64" s="12"/>
      <c r="D64" s="12"/>
      <c r="E64" s="12"/>
      <c r="F64" s="12"/>
      <c r="G64" s="12"/>
      <c r="H64" s="12"/>
    </row>
    <row r="65" s="21" customFormat="1" spans="1:8">
      <c r="A65" s="18" t="s">
        <v>54</v>
      </c>
      <c r="B65" s="19"/>
      <c r="C65" s="20"/>
      <c r="D65" s="20"/>
      <c r="E65" s="20"/>
      <c r="F65" s="20"/>
      <c r="G65" s="20"/>
      <c r="H65" s="20"/>
    </row>
    <row r="66" s="23" customFormat="1" spans="1:8">
      <c r="A66" s="18" t="s">
        <v>55</v>
      </c>
      <c r="B66" s="56"/>
      <c r="C66" s="20"/>
      <c r="D66" s="20"/>
      <c r="E66" s="20"/>
      <c r="F66" s="57"/>
      <c r="G66" s="57"/>
      <c r="H66" s="57"/>
    </row>
    <row r="67" s="21" customFormat="1" spans="1:8">
      <c r="A67" s="18" t="s">
        <v>56</v>
      </c>
      <c r="B67" s="19"/>
      <c r="C67" s="20"/>
      <c r="D67" s="20"/>
      <c r="E67" s="20"/>
      <c r="F67" s="20"/>
      <c r="G67" s="20"/>
      <c r="H67" s="20"/>
    </row>
    <row r="68" s="21" customFormat="1" spans="1:8">
      <c r="A68" s="18" t="s">
        <v>57</v>
      </c>
      <c r="B68" s="19"/>
      <c r="C68" s="20"/>
      <c r="D68" s="20"/>
      <c r="E68" s="20"/>
      <c r="F68" s="20"/>
      <c r="G68" s="20"/>
      <c r="H68" s="20"/>
    </row>
    <row r="69" s="21" customFormat="1" spans="1:8">
      <c r="A69" s="18" t="s">
        <v>58</v>
      </c>
      <c r="B69" s="19"/>
      <c r="C69" s="20"/>
      <c r="D69" s="20"/>
      <c r="E69" s="20"/>
      <c r="F69" s="20"/>
      <c r="G69" s="20"/>
      <c r="H69" s="20"/>
    </row>
    <row r="70" s="21" customFormat="1" spans="1:8">
      <c r="A70" s="18" t="s">
        <v>59</v>
      </c>
      <c r="B70" s="19"/>
      <c r="C70" s="74">
        <v>70000000</v>
      </c>
      <c r="D70" s="20"/>
      <c r="E70" s="20"/>
      <c r="F70" s="20"/>
      <c r="G70" s="20"/>
      <c r="H70" s="20"/>
    </row>
    <row r="71" s="21" customFormat="1" spans="1:8">
      <c r="A71" s="18" t="s">
        <v>60</v>
      </c>
      <c r="B71" s="19"/>
      <c r="C71" s="20"/>
      <c r="D71" s="20"/>
      <c r="E71" s="20"/>
      <c r="F71" s="20"/>
      <c r="G71" s="20"/>
      <c r="H71" s="20"/>
    </row>
    <row r="72" s="78" customFormat="1" spans="1:8">
      <c r="A72" s="18" t="s">
        <v>61</v>
      </c>
      <c r="B72" s="99"/>
      <c r="C72" s="20"/>
      <c r="D72" s="20"/>
      <c r="E72" s="20"/>
      <c r="F72" s="100"/>
      <c r="G72" s="100"/>
      <c r="H72" s="100"/>
    </row>
    <row r="73" s="23" customFormat="1" spans="1:8">
      <c r="A73" s="18" t="s">
        <v>62</v>
      </c>
      <c r="B73" s="56"/>
      <c r="C73" s="20"/>
      <c r="D73" s="20"/>
      <c r="E73" s="20"/>
      <c r="F73" s="57"/>
      <c r="G73" s="57"/>
      <c r="H73" s="57"/>
    </row>
    <row r="74" s="21" customFormat="1" spans="1:8">
      <c r="A74" s="18" t="s">
        <v>63</v>
      </c>
      <c r="B74" s="19"/>
      <c r="C74" s="20"/>
      <c r="D74" s="20"/>
      <c r="E74" s="20"/>
      <c r="F74" s="20"/>
      <c r="G74" s="20"/>
      <c r="H74" s="20"/>
    </row>
    <row r="75" s="23" customFormat="1" spans="1:8">
      <c r="A75" s="18" t="s">
        <v>64</v>
      </c>
      <c r="B75" s="56"/>
      <c r="C75" s="20"/>
      <c r="D75" s="20"/>
      <c r="E75" s="20"/>
      <c r="F75" s="57"/>
      <c r="G75" s="57"/>
      <c r="H75" s="57"/>
    </row>
    <row r="76" s="23" customFormat="1" spans="1:8">
      <c r="A76" s="18" t="s">
        <v>65</v>
      </c>
      <c r="B76" s="56"/>
      <c r="C76" s="20"/>
      <c r="D76" s="20"/>
      <c r="E76" s="20"/>
      <c r="F76" s="57"/>
      <c r="G76" s="57"/>
      <c r="H76" s="57"/>
    </row>
    <row r="77" s="21" customFormat="1" spans="1:8">
      <c r="A77" s="18" t="s">
        <v>66</v>
      </c>
      <c r="B77" s="56"/>
      <c r="C77" s="20"/>
      <c r="D77" s="20"/>
      <c r="E77" s="20"/>
      <c r="F77" s="20"/>
      <c r="G77" s="20"/>
      <c r="H77" s="20"/>
    </row>
    <row r="78" s="21" customFormat="1" spans="1:8">
      <c r="A78" s="18" t="s">
        <v>67</v>
      </c>
      <c r="B78" s="56"/>
      <c r="C78" s="20"/>
      <c r="D78" s="20"/>
      <c r="E78" s="20"/>
      <c r="F78" s="20"/>
      <c r="G78" s="20"/>
      <c r="H78" s="20"/>
    </row>
    <row r="79" s="21" customFormat="1" spans="1:8">
      <c r="A79" s="18" t="s">
        <v>68</v>
      </c>
      <c r="B79" s="56"/>
      <c r="C79" s="20"/>
      <c r="D79" s="20"/>
      <c r="E79" s="20"/>
      <c r="F79" s="20"/>
      <c r="G79" s="20"/>
      <c r="H79" s="20"/>
    </row>
    <row r="80" s="21" customFormat="1" spans="1:8">
      <c r="A80" s="18" t="s">
        <v>69</v>
      </c>
      <c r="B80" s="56"/>
      <c r="C80" s="20"/>
      <c r="D80" s="20"/>
      <c r="E80" s="20"/>
      <c r="F80" s="20"/>
      <c r="G80" s="20"/>
      <c r="H80" s="20"/>
    </row>
    <row r="81" s="23" customFormat="1" spans="1:8">
      <c r="A81" s="18" t="s">
        <v>70</v>
      </c>
      <c r="B81" s="56"/>
      <c r="C81" s="20"/>
      <c r="D81" s="20"/>
      <c r="E81" s="20"/>
      <c r="F81" s="57"/>
      <c r="G81" s="57"/>
      <c r="H81" s="57"/>
    </row>
    <row r="82" spans="1:8">
      <c r="A82" s="18" t="s">
        <v>71</v>
      </c>
      <c r="B82" s="11"/>
      <c r="C82" s="20"/>
      <c r="D82" s="20"/>
      <c r="E82" s="20"/>
      <c r="F82" s="101"/>
      <c r="G82" s="101"/>
      <c r="H82" s="102"/>
    </row>
    <row r="83" ht="14" customHeight="1" spans="1:8">
      <c r="A83" s="18" t="s">
        <v>72</v>
      </c>
      <c r="B83" s="19"/>
      <c r="C83" s="20"/>
      <c r="D83" s="20"/>
      <c r="E83" s="20"/>
      <c r="F83" s="20"/>
      <c r="G83" s="20"/>
      <c r="H83" s="20"/>
    </row>
    <row r="84" spans="1:8">
      <c r="A84" s="18" t="s">
        <v>73</v>
      </c>
      <c r="B84" s="19"/>
      <c r="C84" s="20"/>
      <c r="D84" s="20"/>
      <c r="E84" s="20"/>
      <c r="F84" s="20"/>
      <c r="G84" s="20"/>
      <c r="H84" s="20"/>
    </row>
    <row r="85" spans="1:8">
      <c r="A85" s="18" t="s">
        <v>74</v>
      </c>
      <c r="B85" s="19"/>
      <c r="C85" s="20"/>
      <c r="D85" s="20"/>
      <c r="E85" s="20"/>
      <c r="F85" s="20"/>
      <c r="G85" s="20"/>
      <c r="H85" s="20"/>
    </row>
    <row r="86" spans="1:8">
      <c r="A86" s="18"/>
      <c r="B86" s="19"/>
      <c r="C86" s="20"/>
      <c r="D86" s="20"/>
      <c r="E86" s="20"/>
      <c r="F86" s="20"/>
      <c r="G86" s="20"/>
      <c r="H86" s="20"/>
    </row>
    <row r="87" spans="1:8">
      <c r="A87" s="10" t="s">
        <v>75</v>
      </c>
      <c r="B87" s="11"/>
      <c r="C87" s="12"/>
      <c r="D87" s="12"/>
      <c r="E87" s="12"/>
      <c r="F87" s="12"/>
      <c r="G87" s="12"/>
      <c r="H87" s="12"/>
    </row>
    <row r="88" s="21" customFormat="1" spans="1:8">
      <c r="A88" s="10"/>
      <c r="B88" s="11"/>
      <c r="C88" s="12"/>
      <c r="D88" s="12"/>
      <c r="E88" s="12"/>
      <c r="F88" s="12"/>
      <c r="G88" s="12"/>
      <c r="H88" s="12"/>
    </row>
    <row r="89" spans="1:8">
      <c r="A89" s="10" t="s">
        <v>76</v>
      </c>
      <c r="B89" s="11"/>
      <c r="C89" s="12"/>
      <c r="D89" s="12"/>
      <c r="E89" s="12"/>
      <c r="F89" s="97"/>
      <c r="G89" s="97"/>
      <c r="H89" s="98"/>
    </row>
    <row r="90" spans="1:8">
      <c r="A90" s="18" t="s">
        <v>77</v>
      </c>
      <c r="B90" s="19"/>
      <c r="C90" s="74">
        <v>500000</v>
      </c>
      <c r="D90" s="20"/>
      <c r="E90" s="20"/>
      <c r="F90" s="20"/>
      <c r="G90" s="20"/>
      <c r="H90" s="20"/>
    </row>
    <row r="91" spans="1:8">
      <c r="A91" s="18" t="s">
        <v>78</v>
      </c>
      <c r="B91" s="19"/>
      <c r="C91" s="74">
        <v>3000000</v>
      </c>
      <c r="D91" s="20"/>
      <c r="E91" s="20"/>
      <c r="F91" s="20"/>
      <c r="G91" s="20"/>
      <c r="H91" s="20"/>
    </row>
    <row r="92" spans="1:8">
      <c r="A92" s="18" t="s">
        <v>79</v>
      </c>
      <c r="B92" s="19"/>
      <c r="C92" s="20"/>
      <c r="D92" s="20"/>
      <c r="E92" s="20"/>
      <c r="F92" s="20"/>
      <c r="G92" s="20"/>
      <c r="H92" s="20"/>
    </row>
    <row r="93" spans="1:8">
      <c r="A93" s="18" t="s">
        <v>80</v>
      </c>
      <c r="B93" s="19"/>
      <c r="C93" s="20"/>
      <c r="D93" s="20"/>
      <c r="E93" s="20"/>
      <c r="F93" s="20"/>
      <c r="G93" s="20"/>
      <c r="H93" s="20"/>
    </row>
    <row r="94" s="25" customFormat="1" spans="1:8">
      <c r="A94" s="18" t="s">
        <v>81</v>
      </c>
      <c r="B94" s="56"/>
      <c r="C94" s="20">
        <v>3000000</v>
      </c>
      <c r="D94" s="20"/>
      <c r="E94" s="20"/>
      <c r="F94" s="57"/>
      <c r="G94" s="57"/>
      <c r="H94" s="57"/>
    </row>
    <row r="95" s="25" customFormat="1" spans="1:8">
      <c r="A95" s="18" t="s">
        <v>82</v>
      </c>
      <c r="B95" s="56"/>
      <c r="C95" s="20"/>
      <c r="D95" s="20"/>
      <c r="E95" s="20"/>
      <c r="F95" s="57"/>
      <c r="G95" s="57"/>
      <c r="H95" s="57"/>
    </row>
    <row r="96" spans="1:8">
      <c r="A96" s="18" t="s">
        <v>83</v>
      </c>
      <c r="B96" s="19"/>
      <c r="C96" s="20">
        <v>1000000</v>
      </c>
      <c r="D96" s="20"/>
      <c r="E96" s="20"/>
      <c r="F96" s="20"/>
      <c r="G96" s="20"/>
      <c r="H96" s="20"/>
    </row>
    <row r="97" spans="1:8">
      <c r="A97" s="18" t="s">
        <v>84</v>
      </c>
      <c r="B97" s="19"/>
      <c r="C97" s="20">
        <v>50000000</v>
      </c>
      <c r="D97" s="20"/>
      <c r="E97" s="20"/>
      <c r="F97" s="20"/>
      <c r="G97" s="20"/>
      <c r="H97" s="20"/>
    </row>
    <row r="98" spans="1:8">
      <c r="A98" s="18" t="s">
        <v>85</v>
      </c>
      <c r="B98" s="19"/>
      <c r="C98" s="20">
        <v>5000000</v>
      </c>
      <c r="D98" s="20"/>
      <c r="E98" s="20"/>
      <c r="F98" s="20"/>
      <c r="G98" s="20"/>
      <c r="H98" s="20"/>
    </row>
    <row r="99" spans="1:8">
      <c r="A99" s="18" t="s">
        <v>86</v>
      </c>
      <c r="B99" s="19"/>
      <c r="C99" s="20">
        <v>50000</v>
      </c>
      <c r="D99" s="20"/>
      <c r="E99" s="20"/>
      <c r="F99" s="20"/>
      <c r="G99" s="20"/>
      <c r="H99" s="20"/>
    </row>
    <row r="100" spans="1:8">
      <c r="A100" s="18" t="s">
        <v>87</v>
      </c>
      <c r="B100" s="19"/>
      <c r="C100" s="20">
        <v>5000000</v>
      </c>
      <c r="D100" s="20"/>
      <c r="E100" s="20"/>
      <c r="F100" s="20"/>
      <c r="G100" s="20"/>
      <c r="H100" s="20"/>
    </row>
    <row r="101" spans="1:8">
      <c r="A101" s="18" t="s">
        <v>88</v>
      </c>
      <c r="B101" s="19"/>
      <c r="C101" s="20">
        <v>40000</v>
      </c>
      <c r="D101" s="20"/>
      <c r="E101" s="20"/>
      <c r="F101" s="20"/>
      <c r="G101" s="20"/>
      <c r="H101" s="20"/>
    </row>
    <row r="102" spans="1:8">
      <c r="A102" s="18" t="s">
        <v>89</v>
      </c>
      <c r="B102" s="19"/>
      <c r="C102" s="20">
        <v>4000000</v>
      </c>
      <c r="D102" s="20"/>
      <c r="E102" s="20"/>
      <c r="F102" s="20"/>
      <c r="G102" s="20"/>
      <c r="H102" s="20"/>
    </row>
    <row r="103" spans="1:8">
      <c r="A103" s="18" t="s">
        <v>90</v>
      </c>
      <c r="B103" s="19"/>
      <c r="C103" s="20">
        <v>2500000</v>
      </c>
      <c r="D103" s="20"/>
      <c r="E103" s="20"/>
      <c r="F103" s="20"/>
      <c r="G103" s="20"/>
      <c r="H103" s="20"/>
    </row>
    <row r="104" spans="1:8">
      <c r="A104" s="18" t="s">
        <v>91</v>
      </c>
      <c r="B104" s="19"/>
      <c r="C104" s="20">
        <v>20000</v>
      </c>
      <c r="D104" s="20"/>
      <c r="E104" s="20"/>
      <c r="F104" s="20"/>
      <c r="G104" s="20"/>
      <c r="H104" s="20"/>
    </row>
    <row r="105" spans="1:8">
      <c r="A105" s="18" t="s">
        <v>92</v>
      </c>
      <c r="B105" s="19"/>
      <c r="C105" s="20">
        <v>30000</v>
      </c>
      <c r="D105" s="20"/>
      <c r="E105" s="20"/>
      <c r="F105" s="20"/>
      <c r="G105" s="20"/>
      <c r="H105" s="20"/>
    </row>
    <row r="106" spans="1:8">
      <c r="A106" s="18" t="s">
        <v>93</v>
      </c>
      <c r="B106" s="19"/>
      <c r="C106" s="74">
        <v>750000</v>
      </c>
      <c r="D106" s="20"/>
      <c r="E106" s="20"/>
      <c r="F106" s="20"/>
      <c r="G106" s="20"/>
      <c r="H106" s="20"/>
    </row>
    <row r="107" spans="1:8">
      <c r="A107" s="18" t="s">
        <v>94</v>
      </c>
      <c r="B107" s="19"/>
      <c r="C107" s="74">
        <v>400000</v>
      </c>
      <c r="D107" s="20"/>
      <c r="E107" s="20"/>
      <c r="F107" s="20"/>
      <c r="G107" s="20"/>
      <c r="H107" s="20"/>
    </row>
    <row r="108" spans="1:8">
      <c r="A108" s="18" t="s">
        <v>95</v>
      </c>
      <c r="B108" s="19"/>
      <c r="C108" s="20"/>
      <c r="D108" s="20"/>
      <c r="E108" s="20"/>
      <c r="F108" s="20"/>
      <c r="G108" s="20"/>
      <c r="H108" s="20"/>
    </row>
    <row r="109" spans="1:8">
      <c r="A109" s="18" t="s">
        <v>96</v>
      </c>
      <c r="B109" s="19"/>
      <c r="C109" s="20">
        <v>500000</v>
      </c>
      <c r="D109" s="20"/>
      <c r="E109" s="20"/>
      <c r="F109" s="20"/>
      <c r="G109" s="20"/>
      <c r="H109" s="20"/>
    </row>
    <row r="110" spans="1:8">
      <c r="A110" s="18" t="s">
        <v>97</v>
      </c>
      <c r="B110" s="19"/>
      <c r="C110" s="74">
        <v>400000</v>
      </c>
      <c r="D110" s="20"/>
      <c r="E110" s="20"/>
      <c r="F110" s="20"/>
      <c r="G110" s="20"/>
      <c r="H110" s="20"/>
    </row>
    <row r="111" spans="1:8">
      <c r="A111" s="18" t="s">
        <v>98</v>
      </c>
      <c r="B111" s="19"/>
      <c r="C111" s="20"/>
      <c r="D111" s="20"/>
      <c r="E111" s="20"/>
      <c r="F111" s="20"/>
      <c r="G111" s="20"/>
      <c r="H111" s="20"/>
    </row>
    <row r="112" spans="1:8">
      <c r="A112" s="18" t="s">
        <v>99</v>
      </c>
      <c r="B112" s="19"/>
      <c r="C112" s="74">
        <v>800000</v>
      </c>
      <c r="D112" s="20"/>
      <c r="E112" s="20"/>
      <c r="F112" s="20"/>
      <c r="G112" s="20"/>
      <c r="H112" s="20"/>
    </row>
    <row r="113" spans="1:8">
      <c r="A113" s="18" t="s">
        <v>100</v>
      </c>
      <c r="B113" s="19"/>
      <c r="C113" s="74">
        <v>3000000</v>
      </c>
      <c r="D113" s="20"/>
      <c r="E113" s="20"/>
      <c r="F113" s="20"/>
      <c r="G113" s="20"/>
      <c r="H113" s="20"/>
    </row>
    <row r="114" spans="1:8">
      <c r="A114" s="18" t="s">
        <v>101</v>
      </c>
      <c r="B114" s="56"/>
      <c r="C114" s="20"/>
      <c r="D114" s="20"/>
      <c r="E114" s="20"/>
      <c r="F114" s="20"/>
      <c r="G114" s="20"/>
      <c r="H114" s="20"/>
    </row>
    <row r="115" spans="1:8">
      <c r="A115" s="10" t="s">
        <v>102</v>
      </c>
      <c r="B115" s="11"/>
      <c r="C115" s="12">
        <v>500000</v>
      </c>
      <c r="D115" s="12"/>
      <c r="E115" s="12"/>
      <c r="F115" s="12"/>
      <c r="G115" s="12"/>
      <c r="H115" s="12"/>
    </row>
    <row r="116" spans="1:8">
      <c r="A116" s="18" t="s">
        <v>103</v>
      </c>
      <c r="B116" s="19"/>
      <c r="C116" s="74">
        <v>1000000</v>
      </c>
      <c r="D116" s="20"/>
      <c r="E116" s="20"/>
      <c r="F116" s="95"/>
      <c r="G116" s="95"/>
      <c r="H116" s="96"/>
    </row>
    <row r="117" spans="1:8">
      <c r="A117" s="10" t="s">
        <v>104</v>
      </c>
      <c r="B117" s="11"/>
      <c r="C117" s="73">
        <v>300000</v>
      </c>
      <c r="D117" s="12"/>
      <c r="E117" s="12"/>
      <c r="F117" s="12"/>
      <c r="G117" s="12"/>
      <c r="H117" s="12"/>
    </row>
    <row r="118" spans="1:8">
      <c r="A118" s="10" t="s">
        <v>105</v>
      </c>
      <c r="B118" s="11"/>
      <c r="C118" s="73">
        <v>200000</v>
      </c>
      <c r="D118" s="12"/>
      <c r="E118" s="12"/>
      <c r="F118" s="12"/>
      <c r="G118" s="12"/>
      <c r="H118" s="12"/>
    </row>
    <row r="119" spans="1:8">
      <c r="A119" s="10"/>
      <c r="B119" s="11"/>
      <c r="C119" s="12"/>
      <c r="D119" s="12"/>
      <c r="E119" s="12"/>
      <c r="F119" s="12"/>
      <c r="G119" s="12"/>
      <c r="H119" s="12"/>
    </row>
    <row r="120" spans="1:8">
      <c r="A120" s="10"/>
      <c r="B120" s="11"/>
      <c r="C120" s="12"/>
      <c r="D120" s="12"/>
      <c r="E120" s="12"/>
      <c r="F120" s="12"/>
      <c r="G120" s="12"/>
      <c r="H120" s="12"/>
    </row>
    <row r="121" spans="1:8">
      <c r="A121" s="10" t="s">
        <v>106</v>
      </c>
      <c r="B121" s="11"/>
      <c r="C121" s="12"/>
      <c r="D121" s="12"/>
      <c r="E121" s="12"/>
      <c r="F121" s="12"/>
      <c r="G121" s="12"/>
      <c r="H121" s="12"/>
    </row>
    <row r="122" spans="1:8">
      <c r="A122" s="10" t="s">
        <v>107</v>
      </c>
      <c r="B122" s="11"/>
      <c r="C122" s="12"/>
      <c r="D122" s="12"/>
      <c r="E122" s="12"/>
      <c r="F122" s="12"/>
      <c r="G122" s="12"/>
      <c r="H122" s="12"/>
    </row>
    <row r="123" spans="1:8">
      <c r="A123" s="18"/>
      <c r="B123" s="19"/>
      <c r="C123" s="20"/>
      <c r="D123" s="20"/>
      <c r="E123" s="20"/>
      <c r="F123" s="95"/>
      <c r="G123" s="95"/>
      <c r="H123" s="96"/>
    </row>
    <row r="124" spans="1:8">
      <c r="A124" s="10" t="s">
        <v>108</v>
      </c>
      <c r="B124" s="11"/>
      <c r="C124" s="12"/>
      <c r="D124" s="12"/>
      <c r="E124" s="12"/>
      <c r="F124" s="103"/>
      <c r="G124" s="103"/>
      <c r="H124" s="104"/>
    </row>
    <row r="127" spans="1:8">
      <c r="A127" s="10" t="s">
        <v>109</v>
      </c>
      <c r="B127" s="11"/>
      <c r="C127" s="12"/>
      <c r="D127" s="12"/>
      <c r="E127" s="12"/>
      <c r="F127" s="103"/>
      <c r="G127" s="103"/>
      <c r="H127" s="104"/>
    </row>
    <row r="128" spans="1:8">
      <c r="A128" s="18" t="s">
        <v>110</v>
      </c>
      <c r="B128" s="19"/>
      <c r="C128" s="20"/>
      <c r="D128" s="20"/>
      <c r="E128" s="20"/>
      <c r="F128" s="20"/>
      <c r="G128" s="20"/>
      <c r="H128" s="20"/>
    </row>
    <row r="129" spans="1:8">
      <c r="A129" s="10" t="s">
        <v>111</v>
      </c>
      <c r="B129" s="11"/>
      <c r="C129" s="12"/>
      <c r="D129" s="12"/>
      <c r="E129" s="12"/>
      <c r="F129" s="12"/>
      <c r="G129" s="12"/>
      <c r="H129" s="12"/>
    </row>
    <row r="130" ht="13" customHeight="1" spans="1:8">
      <c r="A130" s="18"/>
      <c r="B130" s="19"/>
      <c r="C130" s="20"/>
      <c r="D130" s="20"/>
      <c r="E130" s="20"/>
      <c r="F130" s="20"/>
      <c r="G130" s="20"/>
      <c r="H130" s="20"/>
    </row>
    <row r="131" spans="1:8">
      <c r="A131" s="10" t="s">
        <v>112</v>
      </c>
      <c r="B131" s="11"/>
      <c r="C131" s="12"/>
      <c r="D131" s="12"/>
      <c r="E131" s="12"/>
      <c r="F131" s="103"/>
      <c r="G131" s="103"/>
      <c r="H131" s="104"/>
    </row>
    <row r="132" spans="1:8">
      <c r="A132" s="18"/>
      <c r="B132" s="19"/>
      <c r="C132" s="20"/>
      <c r="D132" s="20"/>
      <c r="E132" s="20"/>
      <c r="F132" s="20"/>
      <c r="G132" s="20"/>
      <c r="H132" s="20"/>
    </row>
    <row r="133" spans="1:8">
      <c r="A133" s="18" t="s">
        <v>113</v>
      </c>
      <c r="B133" s="19"/>
      <c r="C133" s="20"/>
      <c r="D133" s="20"/>
      <c r="E133" s="20"/>
      <c r="F133" s="20"/>
      <c r="G133" s="20"/>
      <c r="H133" s="20"/>
    </row>
    <row r="134" spans="1:8">
      <c r="A134" s="18" t="s">
        <v>114</v>
      </c>
      <c r="B134" s="19"/>
      <c r="C134" s="20"/>
      <c r="D134" s="20"/>
      <c r="E134" s="20"/>
      <c r="F134" s="20"/>
      <c r="G134" s="20"/>
      <c r="H134" s="20"/>
    </row>
    <row r="135" spans="1:8">
      <c r="A135" s="18" t="s">
        <v>115</v>
      </c>
      <c r="B135" s="19"/>
      <c r="C135" s="20"/>
      <c r="D135" s="20"/>
      <c r="E135" s="20"/>
      <c r="F135" s="20"/>
      <c r="G135" s="20"/>
      <c r="H135" s="20"/>
    </row>
    <row r="136" spans="1:8">
      <c r="A136" s="18" t="s">
        <v>116</v>
      </c>
      <c r="B136" s="19"/>
      <c r="C136" s="20"/>
      <c r="D136" s="20"/>
      <c r="E136" s="20"/>
      <c r="F136" s="20"/>
      <c r="G136" s="20"/>
      <c r="H136" s="20"/>
    </row>
    <row r="137" spans="1:8">
      <c r="A137" s="18" t="s">
        <v>117</v>
      </c>
      <c r="B137" s="19"/>
      <c r="C137" s="20"/>
      <c r="D137" s="20"/>
      <c r="E137" s="20"/>
      <c r="F137" s="20"/>
      <c r="G137" s="20"/>
      <c r="H137" s="20"/>
    </row>
    <row r="138" s="79" customFormat="1" spans="1:8">
      <c r="A138" s="10" t="s">
        <v>118</v>
      </c>
      <c r="B138" s="11"/>
      <c r="C138" s="12"/>
      <c r="D138" s="12"/>
      <c r="E138" s="12"/>
      <c r="F138" s="12"/>
      <c r="G138" s="12"/>
      <c r="H138" s="12"/>
    </row>
    <row r="139" s="79" customFormat="1" spans="1:8">
      <c r="A139" s="10" t="s">
        <v>119</v>
      </c>
      <c r="B139" s="11"/>
      <c r="C139" s="12">
        <v>3200000</v>
      </c>
      <c r="D139" s="12"/>
      <c r="E139" s="12"/>
      <c r="F139" s="12"/>
      <c r="G139" s="12"/>
      <c r="H139" s="12"/>
    </row>
    <row r="140" s="79" customFormat="1" spans="1:8">
      <c r="A140" s="10"/>
      <c r="B140" s="11"/>
      <c r="C140" s="12"/>
      <c r="D140" s="12"/>
      <c r="E140" s="12"/>
      <c r="F140" s="12"/>
      <c r="G140" s="12"/>
      <c r="H140" s="12"/>
    </row>
    <row r="141" s="79" customFormat="1" spans="1:8">
      <c r="A141" s="10" t="s">
        <v>120</v>
      </c>
      <c r="B141" s="11"/>
      <c r="C141" s="12"/>
      <c r="D141" s="12"/>
      <c r="E141" s="12"/>
      <c r="F141" s="12"/>
      <c r="G141" s="12"/>
      <c r="H141" s="12"/>
    </row>
    <row r="142" spans="1:8">
      <c r="A142" s="18"/>
      <c r="B142" s="19"/>
      <c r="C142" s="20"/>
      <c r="D142" s="20"/>
      <c r="E142" s="20"/>
      <c r="F142" s="20"/>
      <c r="G142" s="20"/>
      <c r="H142" s="20"/>
    </row>
    <row r="143" s="79" customFormat="1" spans="1:8">
      <c r="A143" s="10" t="s">
        <v>121</v>
      </c>
      <c r="B143" s="11"/>
      <c r="C143" s="12"/>
      <c r="D143" s="12"/>
      <c r="E143" s="12"/>
      <c r="F143" s="12"/>
      <c r="G143" s="12"/>
      <c r="H143" s="12"/>
    </row>
    <row r="144" spans="1:8">
      <c r="A144" s="18"/>
      <c r="B144" s="19"/>
      <c r="C144" s="20"/>
      <c r="D144" s="20"/>
      <c r="E144" s="20"/>
      <c r="F144" s="20"/>
      <c r="G144" s="20"/>
      <c r="H144" s="20"/>
    </row>
    <row r="145" spans="1:8">
      <c r="A145" s="10"/>
      <c r="B145" s="11"/>
      <c r="C145" s="12"/>
      <c r="D145" s="12"/>
      <c r="E145" s="12"/>
      <c r="F145" s="12"/>
      <c r="G145" s="12"/>
      <c r="H145" s="12"/>
    </row>
    <row r="146" s="79" customFormat="1" spans="1:8">
      <c r="A146" s="105" t="s">
        <v>122</v>
      </c>
      <c r="B146" s="106"/>
      <c r="C146" s="107"/>
      <c r="D146" s="107"/>
      <c r="E146" s="107"/>
      <c r="F146" s="106"/>
      <c r="G146" s="106"/>
      <c r="H146" s="106"/>
    </row>
    <row r="148" s="79" customFormat="1" spans="1:8">
      <c r="A148" s="107" t="s">
        <v>123</v>
      </c>
      <c r="B148" s="106"/>
      <c r="C148" s="107"/>
      <c r="D148" s="107"/>
      <c r="E148" s="107"/>
      <c r="F148" s="106"/>
      <c r="G148" s="106"/>
      <c r="H148" s="106"/>
    </row>
    <row r="149" spans="1:8">
      <c r="A149" s="18"/>
      <c r="B149" s="19"/>
      <c r="C149" s="20"/>
      <c r="D149" s="20"/>
      <c r="E149" s="20"/>
      <c r="F149" s="20"/>
      <c r="G149" s="20"/>
      <c r="H149" s="20"/>
    </row>
    <row r="150" spans="1:8">
      <c r="A150" s="10" t="s">
        <v>124</v>
      </c>
      <c r="B150" s="11"/>
      <c r="C150" s="12"/>
      <c r="D150" s="12"/>
      <c r="E150" s="12"/>
      <c r="F150" s="12"/>
      <c r="G150" s="12"/>
      <c r="H150" s="12"/>
    </row>
  </sheetData>
  <mergeCells count="1">
    <mergeCell ref="C3:D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C36" sqref="C36"/>
    </sheetView>
  </sheetViews>
  <sheetFormatPr defaultColWidth="9" defaultRowHeight="15"/>
  <cols>
    <col min="1" max="1" width="4" customWidth="1"/>
    <col min="2" max="2" width="53.4285714285714" customWidth="1"/>
    <col min="3" max="3" width="12" customWidth="1"/>
    <col min="4" max="4" width="13.5714285714286" customWidth="1"/>
    <col min="5" max="5" width="11.7142857142857" customWidth="1"/>
  </cols>
  <sheetData>
    <row r="1" spans="1:4">
      <c r="A1" s="67"/>
      <c r="B1" s="67" t="s">
        <v>125</v>
      </c>
      <c r="D1" t="s">
        <v>126</v>
      </c>
    </row>
    <row r="2" spans="1:9">
      <c r="A2" s="67"/>
      <c r="B2" s="68"/>
      <c r="C2" s="69"/>
      <c r="D2" s="12"/>
      <c r="E2" s="12"/>
      <c r="F2" s="12"/>
      <c r="G2" s="70"/>
      <c r="H2" s="70"/>
      <c r="I2" s="77"/>
    </row>
    <row r="3" spans="1:9">
      <c r="A3" s="67"/>
      <c r="B3" s="71"/>
      <c r="C3" s="72"/>
      <c r="D3" s="73"/>
      <c r="E3" s="12"/>
      <c r="F3" s="12"/>
      <c r="G3" s="70"/>
      <c r="H3" s="70"/>
      <c r="I3" s="77"/>
    </row>
    <row r="4" spans="1:9">
      <c r="A4" s="67"/>
      <c r="B4" s="18"/>
      <c r="C4" s="19"/>
      <c r="D4" s="20"/>
      <c r="E4" s="20"/>
      <c r="F4" s="20"/>
      <c r="G4" s="20"/>
      <c r="H4" s="20"/>
      <c r="I4" s="20"/>
    </row>
    <row r="5" spans="1:9">
      <c r="A5" s="67"/>
      <c r="B5" s="18"/>
      <c r="C5" s="19"/>
      <c r="D5" s="20"/>
      <c r="E5" s="20"/>
      <c r="F5" s="20"/>
      <c r="G5" s="20"/>
      <c r="H5" s="20"/>
      <c r="I5" s="20"/>
    </row>
    <row r="6" spans="1:9">
      <c r="A6" s="67"/>
      <c r="B6" s="18" t="s">
        <v>127</v>
      </c>
      <c r="C6" s="19"/>
      <c r="D6" s="20"/>
      <c r="E6" s="20"/>
      <c r="F6" s="20"/>
      <c r="G6" s="20"/>
      <c r="H6" s="20"/>
      <c r="I6" s="20"/>
    </row>
    <row r="7" spans="1:9">
      <c r="A7" s="67"/>
      <c r="B7" s="18" t="s">
        <v>128</v>
      </c>
      <c r="C7" s="19">
        <v>6</v>
      </c>
      <c r="D7" s="20">
        <v>1250000</v>
      </c>
      <c r="E7" s="20"/>
      <c r="F7" s="20"/>
      <c r="G7" s="20"/>
      <c r="H7" s="20"/>
      <c r="I7" s="20"/>
    </row>
    <row r="8" spans="1:9">
      <c r="A8" s="67"/>
      <c r="B8" s="18" t="s">
        <v>129</v>
      </c>
      <c r="C8" s="19">
        <v>1</v>
      </c>
      <c r="D8" s="74">
        <v>300000</v>
      </c>
      <c r="E8" s="20"/>
      <c r="F8" s="20"/>
      <c r="G8" s="20"/>
      <c r="H8" s="20"/>
      <c r="I8" s="20"/>
    </row>
    <row r="9" spans="1:9">
      <c r="A9" s="67"/>
      <c r="B9" s="18" t="s">
        <v>130</v>
      </c>
      <c r="C9" s="19">
        <v>2</v>
      </c>
      <c r="D9" s="74">
        <v>340000</v>
      </c>
      <c r="E9" s="20"/>
      <c r="F9" s="20"/>
      <c r="G9" s="20"/>
      <c r="H9" s="20"/>
      <c r="I9" s="20"/>
    </row>
    <row r="10" spans="1:9">
      <c r="A10" s="67"/>
      <c r="B10" s="18" t="s">
        <v>131</v>
      </c>
      <c r="C10" s="19">
        <v>2</v>
      </c>
      <c r="D10" s="74">
        <v>80000</v>
      </c>
      <c r="E10" s="20"/>
      <c r="F10" s="20"/>
      <c r="G10" s="20"/>
      <c r="H10" s="20"/>
      <c r="I10" s="20"/>
    </row>
    <row r="11" spans="1:9">
      <c r="A11" s="67"/>
      <c r="B11" s="18" t="s">
        <v>132</v>
      </c>
      <c r="C11" s="19">
        <v>5</v>
      </c>
      <c r="D11" s="74">
        <v>100000</v>
      </c>
      <c r="E11" s="20"/>
      <c r="F11" s="20"/>
      <c r="G11" s="20"/>
      <c r="H11" s="20"/>
      <c r="I11" s="20"/>
    </row>
    <row r="12" spans="1:9">
      <c r="A12" s="67"/>
      <c r="B12" s="18" t="s">
        <v>133</v>
      </c>
      <c r="C12" s="19">
        <v>4</v>
      </c>
      <c r="D12" s="74">
        <v>60000</v>
      </c>
      <c r="E12" s="20"/>
      <c r="F12" s="20"/>
      <c r="G12" s="20"/>
      <c r="H12" s="20"/>
      <c r="I12" s="20"/>
    </row>
    <row r="13" spans="1:9">
      <c r="A13" s="67"/>
      <c r="B13" s="18" t="s">
        <v>134</v>
      </c>
      <c r="C13" s="19"/>
      <c r="D13" s="74">
        <v>3000000</v>
      </c>
      <c r="E13" s="20"/>
      <c r="F13" s="20"/>
      <c r="G13" s="20"/>
      <c r="H13" s="20"/>
      <c r="I13" s="20"/>
    </row>
    <row r="14" spans="1:9">
      <c r="A14" s="67"/>
      <c r="B14" s="18" t="s">
        <v>135</v>
      </c>
      <c r="C14" s="19">
        <v>4</v>
      </c>
      <c r="D14" s="20">
        <v>1500000</v>
      </c>
      <c r="E14" s="20"/>
      <c r="F14" s="20"/>
      <c r="G14" s="20"/>
      <c r="H14" s="20"/>
      <c r="I14" s="20"/>
    </row>
    <row r="15" spans="1:9">
      <c r="A15" s="67"/>
      <c r="B15" s="18" t="s">
        <v>136</v>
      </c>
      <c r="C15" s="19">
        <v>8</v>
      </c>
      <c r="D15" s="20">
        <v>200000</v>
      </c>
      <c r="E15" s="20"/>
      <c r="F15" s="20"/>
      <c r="G15" s="20"/>
      <c r="H15" s="20"/>
      <c r="I15" s="20"/>
    </row>
    <row r="16" spans="1:9">
      <c r="A16" s="67"/>
      <c r="B16" s="18" t="s">
        <v>137</v>
      </c>
      <c r="C16" s="19">
        <v>2</v>
      </c>
      <c r="D16" s="74">
        <v>160000</v>
      </c>
      <c r="E16" s="20"/>
      <c r="F16" s="20"/>
      <c r="G16" s="20"/>
      <c r="H16" s="20"/>
      <c r="I16" s="20"/>
    </row>
    <row r="17" spans="1:9">
      <c r="A17" s="67"/>
      <c r="B17" s="18" t="s">
        <v>138</v>
      </c>
      <c r="C17" s="19">
        <v>10</v>
      </c>
      <c r="D17" s="20">
        <v>300000</v>
      </c>
      <c r="E17" s="20"/>
      <c r="F17" s="20"/>
      <c r="G17" s="20"/>
      <c r="H17" s="20"/>
      <c r="I17" s="20"/>
    </row>
    <row r="18" spans="1:9">
      <c r="A18" s="67"/>
      <c r="B18" s="18" t="s">
        <v>139</v>
      </c>
      <c r="C18" s="19">
        <v>2</v>
      </c>
      <c r="D18" s="74">
        <v>240000</v>
      </c>
      <c r="E18" s="20"/>
      <c r="F18" s="20"/>
      <c r="G18" s="20"/>
      <c r="H18" s="20"/>
      <c r="I18" s="20"/>
    </row>
    <row r="19" spans="1:9">
      <c r="A19" s="67"/>
      <c r="B19" s="18" t="s">
        <v>140</v>
      </c>
      <c r="C19" s="19">
        <v>4</v>
      </c>
      <c r="D19" s="20">
        <v>200000</v>
      </c>
      <c r="E19" s="20"/>
      <c r="F19" s="20"/>
      <c r="G19" s="20"/>
      <c r="H19" s="20"/>
      <c r="I19" s="20"/>
    </row>
    <row r="20" spans="1:9">
      <c r="A20" s="67"/>
      <c r="B20" s="18"/>
      <c r="C20" s="19"/>
      <c r="D20" s="20"/>
      <c r="E20" s="20"/>
      <c r="F20" s="20"/>
      <c r="G20" s="20"/>
      <c r="H20" s="20"/>
      <c r="I20" s="20"/>
    </row>
    <row r="21" spans="1:9">
      <c r="A21" s="67"/>
      <c r="B21" s="18"/>
      <c r="C21" s="19"/>
      <c r="D21" s="20"/>
      <c r="E21" s="20"/>
      <c r="F21" s="20"/>
      <c r="G21" s="20"/>
      <c r="H21" s="20"/>
      <c r="I21" s="20"/>
    </row>
    <row r="22" spans="1:9">
      <c r="A22" s="67"/>
      <c r="B22" s="18" t="s">
        <v>141</v>
      </c>
      <c r="C22" s="19"/>
      <c r="D22" s="20">
        <v>3000000</v>
      </c>
      <c r="E22" s="20"/>
      <c r="F22" s="20"/>
      <c r="G22" s="20"/>
      <c r="H22" s="20"/>
      <c r="I22" s="20"/>
    </row>
    <row r="23" spans="1:9">
      <c r="A23" s="67"/>
      <c r="B23" s="18"/>
      <c r="C23" s="19"/>
      <c r="D23" s="20"/>
      <c r="E23" s="20"/>
      <c r="F23" s="20"/>
      <c r="G23" s="20"/>
      <c r="H23" s="20"/>
      <c r="I23" s="20"/>
    </row>
    <row r="24" spans="1:9">
      <c r="A24" s="67"/>
      <c r="B24" s="18"/>
      <c r="C24" s="19"/>
      <c r="D24" s="20">
        <f>SUM(D6:D23)</f>
        <v>10730000</v>
      </c>
      <c r="E24" s="20"/>
      <c r="F24" s="20"/>
      <c r="G24" s="20"/>
      <c r="H24" s="20"/>
      <c r="I24" s="20"/>
    </row>
    <row r="25" spans="1:9">
      <c r="A25" s="67"/>
      <c r="B25" s="18"/>
      <c r="C25" s="19"/>
      <c r="D25" s="20"/>
      <c r="E25" s="20"/>
      <c r="F25" s="20"/>
      <c r="G25" s="20"/>
      <c r="H25" s="20"/>
      <c r="I25" s="20"/>
    </row>
    <row r="26" spans="1:9">
      <c r="A26" s="67"/>
      <c r="B26" s="59"/>
      <c r="C26" s="60"/>
      <c r="D26" s="20"/>
      <c r="E26" s="20"/>
      <c r="F26" s="20"/>
      <c r="G26" s="20"/>
      <c r="H26" s="20"/>
      <c r="I26" s="20"/>
    </row>
    <row r="27" spans="1:9">
      <c r="A27" s="67"/>
      <c r="B27" s="59"/>
      <c r="C27" s="60"/>
      <c r="D27" s="20"/>
      <c r="E27" s="20"/>
      <c r="F27" s="20"/>
      <c r="G27" s="20"/>
      <c r="H27" s="20"/>
      <c r="I27" s="20"/>
    </row>
    <row r="28" spans="1:9">
      <c r="A28" s="67"/>
      <c r="B28" s="75" t="s">
        <v>30</v>
      </c>
      <c r="C28" s="76"/>
      <c r="D28" s="12"/>
      <c r="E28" s="12"/>
      <c r="F28" s="12"/>
      <c r="G28" s="12"/>
      <c r="H28" s="12"/>
      <c r="I28" s="12"/>
    </row>
    <row r="29" spans="1:9">
      <c r="A29" s="67"/>
      <c r="B29" s="18"/>
      <c r="C29" s="19"/>
      <c r="D29" s="20"/>
      <c r="E29" s="20"/>
      <c r="F29" s="20"/>
      <c r="G29" s="70"/>
      <c r="H29" s="70"/>
      <c r="I29" s="77"/>
    </row>
  </sheetData>
  <pageMargins left="0.7" right="0.7" top="0.75" bottom="0.75" header="0.3" footer="0.3"/>
  <pageSetup paperSize="25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33"/>
  <sheetViews>
    <sheetView workbookViewId="0">
      <selection activeCell="B26" sqref="B26"/>
    </sheetView>
  </sheetViews>
  <sheetFormatPr defaultColWidth="9" defaultRowHeight="15"/>
  <cols>
    <col min="1" max="1" width="47.3619047619048" customWidth="1"/>
    <col min="2" max="2" width="17.4571428571429" customWidth="1"/>
    <col min="3" max="3" width="21" customWidth="1"/>
    <col min="4" max="4" width="19" customWidth="1"/>
    <col min="5" max="5" width="17.2666666666667" customWidth="1"/>
    <col min="6" max="6" width="16.1809523809524" customWidth="1"/>
    <col min="7" max="7" width="16" customWidth="1"/>
    <col min="256" max="256" width="47.3619047619048" customWidth="1"/>
    <col min="257" max="257" width="17.4571428571429" customWidth="1"/>
    <col min="258" max="258" width="21" customWidth="1"/>
    <col min="259" max="259" width="18" customWidth="1"/>
    <col min="260" max="263" width="11.4571428571429" customWidth="1"/>
    <col min="512" max="512" width="47.3619047619048" customWidth="1"/>
    <col min="513" max="513" width="17.4571428571429" customWidth="1"/>
    <col min="514" max="514" width="21" customWidth="1"/>
    <col min="515" max="515" width="18" customWidth="1"/>
    <col min="516" max="519" width="11.4571428571429" customWidth="1"/>
    <col min="768" max="768" width="47.3619047619048" customWidth="1"/>
    <col min="769" max="769" width="17.4571428571429" customWidth="1"/>
    <col min="770" max="770" width="21" customWidth="1"/>
    <col min="771" max="771" width="18" customWidth="1"/>
    <col min="772" max="775" width="11.4571428571429" customWidth="1"/>
    <col min="1024" max="1024" width="47.3619047619048" customWidth="1"/>
    <col min="1025" max="1025" width="17.4571428571429" customWidth="1"/>
    <col min="1026" max="1026" width="21" customWidth="1"/>
    <col min="1027" max="1027" width="18" customWidth="1"/>
    <col min="1028" max="1031" width="11.4571428571429" customWidth="1"/>
    <col min="1280" max="1280" width="47.3619047619048" customWidth="1"/>
    <col min="1281" max="1281" width="17.4571428571429" customWidth="1"/>
    <col min="1282" max="1282" width="21" customWidth="1"/>
    <col min="1283" max="1283" width="18" customWidth="1"/>
    <col min="1284" max="1287" width="11.4571428571429" customWidth="1"/>
    <col min="1536" max="1536" width="47.3619047619048" customWidth="1"/>
    <col min="1537" max="1537" width="17.4571428571429" customWidth="1"/>
    <col min="1538" max="1538" width="21" customWidth="1"/>
    <col min="1539" max="1539" width="18" customWidth="1"/>
    <col min="1540" max="1543" width="11.4571428571429" customWidth="1"/>
    <col min="1792" max="1792" width="47.3619047619048" customWidth="1"/>
    <col min="1793" max="1793" width="17.4571428571429" customWidth="1"/>
    <col min="1794" max="1794" width="21" customWidth="1"/>
    <col min="1795" max="1795" width="18" customWidth="1"/>
    <col min="1796" max="1799" width="11.4571428571429" customWidth="1"/>
    <col min="2048" max="2048" width="47.3619047619048" customWidth="1"/>
    <col min="2049" max="2049" width="17.4571428571429" customWidth="1"/>
    <col min="2050" max="2050" width="21" customWidth="1"/>
    <col min="2051" max="2051" width="18" customWidth="1"/>
    <col min="2052" max="2055" width="11.4571428571429" customWidth="1"/>
    <col min="2304" max="2304" width="47.3619047619048" customWidth="1"/>
    <col min="2305" max="2305" width="17.4571428571429" customWidth="1"/>
    <col min="2306" max="2306" width="21" customWidth="1"/>
    <col min="2307" max="2307" width="18" customWidth="1"/>
    <col min="2308" max="2311" width="11.4571428571429" customWidth="1"/>
    <col min="2560" max="2560" width="47.3619047619048" customWidth="1"/>
    <col min="2561" max="2561" width="17.4571428571429" customWidth="1"/>
    <col min="2562" max="2562" width="21" customWidth="1"/>
    <col min="2563" max="2563" width="18" customWidth="1"/>
    <col min="2564" max="2567" width="11.4571428571429" customWidth="1"/>
    <col min="2816" max="2816" width="47.3619047619048" customWidth="1"/>
    <col min="2817" max="2817" width="17.4571428571429" customWidth="1"/>
    <col min="2818" max="2818" width="21" customWidth="1"/>
    <col min="2819" max="2819" width="18" customWidth="1"/>
    <col min="2820" max="2823" width="11.4571428571429" customWidth="1"/>
    <col min="3072" max="3072" width="47.3619047619048" customWidth="1"/>
    <col min="3073" max="3073" width="17.4571428571429" customWidth="1"/>
    <col min="3074" max="3074" width="21" customWidth="1"/>
    <col min="3075" max="3075" width="18" customWidth="1"/>
    <col min="3076" max="3079" width="11.4571428571429" customWidth="1"/>
    <col min="3328" max="3328" width="47.3619047619048" customWidth="1"/>
    <col min="3329" max="3329" width="17.4571428571429" customWidth="1"/>
    <col min="3330" max="3330" width="21" customWidth="1"/>
    <col min="3331" max="3331" width="18" customWidth="1"/>
    <col min="3332" max="3335" width="11.4571428571429" customWidth="1"/>
    <col min="3584" max="3584" width="47.3619047619048" customWidth="1"/>
    <col min="3585" max="3585" width="17.4571428571429" customWidth="1"/>
    <col min="3586" max="3586" width="21" customWidth="1"/>
    <col min="3587" max="3587" width="18" customWidth="1"/>
    <col min="3588" max="3591" width="11.4571428571429" customWidth="1"/>
    <col min="3840" max="3840" width="47.3619047619048" customWidth="1"/>
    <col min="3841" max="3841" width="17.4571428571429" customWidth="1"/>
    <col min="3842" max="3842" width="21" customWidth="1"/>
    <col min="3843" max="3843" width="18" customWidth="1"/>
    <col min="3844" max="3847" width="11.4571428571429" customWidth="1"/>
    <col min="4096" max="4096" width="47.3619047619048" customWidth="1"/>
    <col min="4097" max="4097" width="17.4571428571429" customWidth="1"/>
    <col min="4098" max="4098" width="21" customWidth="1"/>
    <col min="4099" max="4099" width="18" customWidth="1"/>
    <col min="4100" max="4103" width="11.4571428571429" customWidth="1"/>
    <col min="4352" max="4352" width="47.3619047619048" customWidth="1"/>
    <col min="4353" max="4353" width="17.4571428571429" customWidth="1"/>
    <col min="4354" max="4354" width="21" customWidth="1"/>
    <col min="4355" max="4355" width="18" customWidth="1"/>
    <col min="4356" max="4359" width="11.4571428571429" customWidth="1"/>
    <col min="4608" max="4608" width="47.3619047619048" customWidth="1"/>
    <col min="4609" max="4609" width="17.4571428571429" customWidth="1"/>
    <col min="4610" max="4610" width="21" customWidth="1"/>
    <col min="4611" max="4611" width="18" customWidth="1"/>
    <col min="4612" max="4615" width="11.4571428571429" customWidth="1"/>
    <col min="4864" max="4864" width="47.3619047619048" customWidth="1"/>
    <col min="4865" max="4865" width="17.4571428571429" customWidth="1"/>
    <col min="4866" max="4866" width="21" customWidth="1"/>
    <col min="4867" max="4867" width="18" customWidth="1"/>
    <col min="4868" max="4871" width="11.4571428571429" customWidth="1"/>
    <col min="5120" max="5120" width="47.3619047619048" customWidth="1"/>
    <col min="5121" max="5121" width="17.4571428571429" customWidth="1"/>
    <col min="5122" max="5122" width="21" customWidth="1"/>
    <col min="5123" max="5123" width="18" customWidth="1"/>
    <col min="5124" max="5127" width="11.4571428571429" customWidth="1"/>
    <col min="5376" max="5376" width="47.3619047619048" customWidth="1"/>
    <col min="5377" max="5377" width="17.4571428571429" customWidth="1"/>
    <col min="5378" max="5378" width="21" customWidth="1"/>
    <col min="5379" max="5379" width="18" customWidth="1"/>
    <col min="5380" max="5383" width="11.4571428571429" customWidth="1"/>
    <col min="5632" max="5632" width="47.3619047619048" customWidth="1"/>
    <col min="5633" max="5633" width="17.4571428571429" customWidth="1"/>
    <col min="5634" max="5634" width="21" customWidth="1"/>
    <col min="5635" max="5635" width="18" customWidth="1"/>
    <col min="5636" max="5639" width="11.4571428571429" customWidth="1"/>
    <col min="5888" max="5888" width="47.3619047619048" customWidth="1"/>
    <col min="5889" max="5889" width="17.4571428571429" customWidth="1"/>
    <col min="5890" max="5890" width="21" customWidth="1"/>
    <col min="5891" max="5891" width="18" customWidth="1"/>
    <col min="5892" max="5895" width="11.4571428571429" customWidth="1"/>
    <col min="6144" max="6144" width="47.3619047619048" customWidth="1"/>
    <col min="6145" max="6145" width="17.4571428571429" customWidth="1"/>
    <col min="6146" max="6146" width="21" customWidth="1"/>
    <col min="6147" max="6147" width="18" customWidth="1"/>
    <col min="6148" max="6151" width="11.4571428571429" customWidth="1"/>
    <col min="6400" max="6400" width="47.3619047619048" customWidth="1"/>
    <col min="6401" max="6401" width="17.4571428571429" customWidth="1"/>
    <col min="6402" max="6402" width="21" customWidth="1"/>
    <col min="6403" max="6403" width="18" customWidth="1"/>
    <col min="6404" max="6407" width="11.4571428571429" customWidth="1"/>
    <col min="6656" max="6656" width="47.3619047619048" customWidth="1"/>
    <col min="6657" max="6657" width="17.4571428571429" customWidth="1"/>
    <col min="6658" max="6658" width="21" customWidth="1"/>
    <col min="6659" max="6659" width="18" customWidth="1"/>
    <col min="6660" max="6663" width="11.4571428571429" customWidth="1"/>
    <col min="6912" max="6912" width="47.3619047619048" customWidth="1"/>
    <col min="6913" max="6913" width="17.4571428571429" customWidth="1"/>
    <col min="6914" max="6914" width="21" customWidth="1"/>
    <col min="6915" max="6915" width="18" customWidth="1"/>
    <col min="6916" max="6919" width="11.4571428571429" customWidth="1"/>
    <col min="7168" max="7168" width="47.3619047619048" customWidth="1"/>
    <col min="7169" max="7169" width="17.4571428571429" customWidth="1"/>
    <col min="7170" max="7170" width="21" customWidth="1"/>
    <col min="7171" max="7171" width="18" customWidth="1"/>
    <col min="7172" max="7175" width="11.4571428571429" customWidth="1"/>
    <col min="7424" max="7424" width="47.3619047619048" customWidth="1"/>
    <col min="7425" max="7425" width="17.4571428571429" customWidth="1"/>
    <col min="7426" max="7426" width="21" customWidth="1"/>
    <col min="7427" max="7427" width="18" customWidth="1"/>
    <col min="7428" max="7431" width="11.4571428571429" customWidth="1"/>
    <col min="7680" max="7680" width="47.3619047619048" customWidth="1"/>
    <col min="7681" max="7681" width="17.4571428571429" customWidth="1"/>
    <col min="7682" max="7682" width="21" customWidth="1"/>
    <col min="7683" max="7683" width="18" customWidth="1"/>
    <col min="7684" max="7687" width="11.4571428571429" customWidth="1"/>
    <col min="7936" max="7936" width="47.3619047619048" customWidth="1"/>
    <col min="7937" max="7937" width="17.4571428571429" customWidth="1"/>
    <col min="7938" max="7938" width="21" customWidth="1"/>
    <col min="7939" max="7939" width="18" customWidth="1"/>
    <col min="7940" max="7943" width="11.4571428571429" customWidth="1"/>
    <col min="8192" max="8192" width="47.3619047619048" customWidth="1"/>
    <col min="8193" max="8193" width="17.4571428571429" customWidth="1"/>
    <col min="8194" max="8194" width="21" customWidth="1"/>
    <col min="8195" max="8195" width="18" customWidth="1"/>
    <col min="8196" max="8199" width="11.4571428571429" customWidth="1"/>
    <col min="8448" max="8448" width="47.3619047619048" customWidth="1"/>
    <col min="8449" max="8449" width="17.4571428571429" customWidth="1"/>
    <col min="8450" max="8450" width="21" customWidth="1"/>
    <col min="8451" max="8451" width="18" customWidth="1"/>
    <col min="8452" max="8455" width="11.4571428571429" customWidth="1"/>
    <col min="8704" max="8704" width="47.3619047619048" customWidth="1"/>
    <col min="8705" max="8705" width="17.4571428571429" customWidth="1"/>
    <col min="8706" max="8706" width="21" customWidth="1"/>
    <col min="8707" max="8707" width="18" customWidth="1"/>
    <col min="8708" max="8711" width="11.4571428571429" customWidth="1"/>
    <col min="8960" max="8960" width="47.3619047619048" customWidth="1"/>
    <col min="8961" max="8961" width="17.4571428571429" customWidth="1"/>
    <col min="8962" max="8962" width="21" customWidth="1"/>
    <col min="8963" max="8963" width="18" customWidth="1"/>
    <col min="8964" max="8967" width="11.4571428571429" customWidth="1"/>
    <col min="9216" max="9216" width="47.3619047619048" customWidth="1"/>
    <col min="9217" max="9217" width="17.4571428571429" customWidth="1"/>
    <col min="9218" max="9218" width="21" customWidth="1"/>
    <col min="9219" max="9219" width="18" customWidth="1"/>
    <col min="9220" max="9223" width="11.4571428571429" customWidth="1"/>
    <col min="9472" max="9472" width="47.3619047619048" customWidth="1"/>
    <col min="9473" max="9473" width="17.4571428571429" customWidth="1"/>
    <col min="9474" max="9474" width="21" customWidth="1"/>
    <col min="9475" max="9475" width="18" customWidth="1"/>
    <col min="9476" max="9479" width="11.4571428571429" customWidth="1"/>
    <col min="9728" max="9728" width="47.3619047619048" customWidth="1"/>
    <col min="9729" max="9729" width="17.4571428571429" customWidth="1"/>
    <col min="9730" max="9730" width="21" customWidth="1"/>
    <col min="9731" max="9731" width="18" customWidth="1"/>
    <col min="9732" max="9735" width="11.4571428571429" customWidth="1"/>
    <col min="9984" max="9984" width="47.3619047619048" customWidth="1"/>
    <col min="9985" max="9985" width="17.4571428571429" customWidth="1"/>
    <col min="9986" max="9986" width="21" customWidth="1"/>
    <col min="9987" max="9987" width="18" customWidth="1"/>
    <col min="9988" max="9991" width="11.4571428571429" customWidth="1"/>
    <col min="10240" max="10240" width="47.3619047619048" customWidth="1"/>
    <col min="10241" max="10241" width="17.4571428571429" customWidth="1"/>
    <col min="10242" max="10242" width="21" customWidth="1"/>
    <col min="10243" max="10243" width="18" customWidth="1"/>
    <col min="10244" max="10247" width="11.4571428571429" customWidth="1"/>
    <col min="10496" max="10496" width="47.3619047619048" customWidth="1"/>
    <col min="10497" max="10497" width="17.4571428571429" customWidth="1"/>
    <col min="10498" max="10498" width="21" customWidth="1"/>
    <col min="10499" max="10499" width="18" customWidth="1"/>
    <col min="10500" max="10503" width="11.4571428571429" customWidth="1"/>
    <col min="10752" max="10752" width="47.3619047619048" customWidth="1"/>
    <col min="10753" max="10753" width="17.4571428571429" customWidth="1"/>
    <col min="10754" max="10754" width="21" customWidth="1"/>
    <col min="10755" max="10755" width="18" customWidth="1"/>
    <col min="10756" max="10759" width="11.4571428571429" customWidth="1"/>
    <col min="11008" max="11008" width="47.3619047619048" customWidth="1"/>
    <col min="11009" max="11009" width="17.4571428571429" customWidth="1"/>
    <col min="11010" max="11010" width="21" customWidth="1"/>
    <col min="11011" max="11011" width="18" customWidth="1"/>
    <col min="11012" max="11015" width="11.4571428571429" customWidth="1"/>
    <col min="11264" max="11264" width="47.3619047619048" customWidth="1"/>
    <col min="11265" max="11265" width="17.4571428571429" customWidth="1"/>
    <col min="11266" max="11266" width="21" customWidth="1"/>
    <col min="11267" max="11267" width="18" customWidth="1"/>
    <col min="11268" max="11271" width="11.4571428571429" customWidth="1"/>
    <col min="11520" max="11520" width="47.3619047619048" customWidth="1"/>
    <col min="11521" max="11521" width="17.4571428571429" customWidth="1"/>
    <col min="11522" max="11522" width="21" customWidth="1"/>
    <col min="11523" max="11523" width="18" customWidth="1"/>
    <col min="11524" max="11527" width="11.4571428571429" customWidth="1"/>
    <col min="11776" max="11776" width="47.3619047619048" customWidth="1"/>
    <col min="11777" max="11777" width="17.4571428571429" customWidth="1"/>
    <col min="11778" max="11778" width="21" customWidth="1"/>
    <col min="11779" max="11779" width="18" customWidth="1"/>
    <col min="11780" max="11783" width="11.4571428571429" customWidth="1"/>
    <col min="12032" max="12032" width="47.3619047619048" customWidth="1"/>
    <col min="12033" max="12033" width="17.4571428571429" customWidth="1"/>
    <col min="12034" max="12034" width="21" customWidth="1"/>
    <col min="12035" max="12035" width="18" customWidth="1"/>
    <col min="12036" max="12039" width="11.4571428571429" customWidth="1"/>
    <col min="12288" max="12288" width="47.3619047619048" customWidth="1"/>
    <col min="12289" max="12289" width="17.4571428571429" customWidth="1"/>
    <col min="12290" max="12290" width="21" customWidth="1"/>
    <col min="12291" max="12291" width="18" customWidth="1"/>
    <col min="12292" max="12295" width="11.4571428571429" customWidth="1"/>
    <col min="12544" max="12544" width="47.3619047619048" customWidth="1"/>
    <col min="12545" max="12545" width="17.4571428571429" customWidth="1"/>
    <col min="12546" max="12546" width="21" customWidth="1"/>
    <col min="12547" max="12547" width="18" customWidth="1"/>
    <col min="12548" max="12551" width="11.4571428571429" customWidth="1"/>
    <col min="12800" max="12800" width="47.3619047619048" customWidth="1"/>
    <col min="12801" max="12801" width="17.4571428571429" customWidth="1"/>
    <col min="12802" max="12802" width="21" customWidth="1"/>
    <col min="12803" max="12803" width="18" customWidth="1"/>
    <col min="12804" max="12807" width="11.4571428571429" customWidth="1"/>
    <col min="13056" max="13056" width="47.3619047619048" customWidth="1"/>
    <col min="13057" max="13057" width="17.4571428571429" customWidth="1"/>
    <col min="13058" max="13058" width="21" customWidth="1"/>
    <col min="13059" max="13059" width="18" customWidth="1"/>
    <col min="13060" max="13063" width="11.4571428571429" customWidth="1"/>
    <col min="13312" max="13312" width="47.3619047619048" customWidth="1"/>
    <col min="13313" max="13313" width="17.4571428571429" customWidth="1"/>
    <col min="13314" max="13314" width="21" customWidth="1"/>
    <col min="13315" max="13315" width="18" customWidth="1"/>
    <col min="13316" max="13319" width="11.4571428571429" customWidth="1"/>
    <col min="13568" max="13568" width="47.3619047619048" customWidth="1"/>
    <col min="13569" max="13569" width="17.4571428571429" customWidth="1"/>
    <col min="13570" max="13570" width="21" customWidth="1"/>
    <col min="13571" max="13571" width="18" customWidth="1"/>
    <col min="13572" max="13575" width="11.4571428571429" customWidth="1"/>
    <col min="13824" max="13824" width="47.3619047619048" customWidth="1"/>
    <col min="13825" max="13825" width="17.4571428571429" customWidth="1"/>
    <col min="13826" max="13826" width="21" customWidth="1"/>
    <col min="13827" max="13827" width="18" customWidth="1"/>
    <col min="13828" max="13831" width="11.4571428571429" customWidth="1"/>
    <col min="14080" max="14080" width="47.3619047619048" customWidth="1"/>
    <col min="14081" max="14081" width="17.4571428571429" customWidth="1"/>
    <col min="14082" max="14082" width="21" customWidth="1"/>
    <col min="14083" max="14083" width="18" customWidth="1"/>
    <col min="14084" max="14087" width="11.4571428571429" customWidth="1"/>
    <col min="14336" max="14336" width="47.3619047619048" customWidth="1"/>
    <col min="14337" max="14337" width="17.4571428571429" customWidth="1"/>
    <col min="14338" max="14338" width="21" customWidth="1"/>
    <col min="14339" max="14339" width="18" customWidth="1"/>
    <col min="14340" max="14343" width="11.4571428571429" customWidth="1"/>
    <col min="14592" max="14592" width="47.3619047619048" customWidth="1"/>
    <col min="14593" max="14593" width="17.4571428571429" customWidth="1"/>
    <col min="14594" max="14594" width="21" customWidth="1"/>
    <col min="14595" max="14595" width="18" customWidth="1"/>
    <col min="14596" max="14599" width="11.4571428571429" customWidth="1"/>
    <col min="14848" max="14848" width="47.3619047619048" customWidth="1"/>
    <col min="14849" max="14849" width="17.4571428571429" customWidth="1"/>
    <col min="14850" max="14850" width="21" customWidth="1"/>
    <col min="14851" max="14851" width="18" customWidth="1"/>
    <col min="14852" max="14855" width="11.4571428571429" customWidth="1"/>
    <col min="15104" max="15104" width="47.3619047619048" customWidth="1"/>
    <col min="15105" max="15105" width="17.4571428571429" customWidth="1"/>
    <col min="15106" max="15106" width="21" customWidth="1"/>
    <col min="15107" max="15107" width="18" customWidth="1"/>
    <col min="15108" max="15111" width="11.4571428571429" customWidth="1"/>
    <col min="15360" max="15360" width="47.3619047619048" customWidth="1"/>
    <col min="15361" max="15361" width="17.4571428571429" customWidth="1"/>
    <col min="15362" max="15362" width="21" customWidth="1"/>
    <col min="15363" max="15363" width="18" customWidth="1"/>
    <col min="15364" max="15367" width="11.4571428571429" customWidth="1"/>
    <col min="15616" max="15616" width="47.3619047619048" customWidth="1"/>
    <col min="15617" max="15617" width="17.4571428571429" customWidth="1"/>
    <col min="15618" max="15618" width="21" customWidth="1"/>
    <col min="15619" max="15619" width="18" customWidth="1"/>
    <col min="15620" max="15623" width="11.4571428571429" customWidth="1"/>
    <col min="15872" max="15872" width="47.3619047619048" customWidth="1"/>
    <col min="15873" max="15873" width="17.4571428571429" customWidth="1"/>
    <col min="15874" max="15874" width="21" customWidth="1"/>
    <col min="15875" max="15875" width="18" customWidth="1"/>
    <col min="15876" max="15879" width="11.4571428571429" customWidth="1"/>
    <col min="16128" max="16128" width="47.3619047619048" customWidth="1"/>
    <col min="16129" max="16129" width="17.4571428571429" customWidth="1"/>
    <col min="16130" max="16130" width="21" customWidth="1"/>
    <col min="16131" max="16131" width="18" customWidth="1"/>
    <col min="16132" max="16135" width="11.4571428571429" customWidth="1"/>
  </cols>
  <sheetData>
    <row r="3" ht="45" spans="1:7">
      <c r="A3" s="27" t="s">
        <v>142</v>
      </c>
      <c r="B3" s="28" t="s">
        <v>143</v>
      </c>
      <c r="C3" s="29" t="s">
        <v>144</v>
      </c>
      <c r="D3" s="29" t="s">
        <v>145</v>
      </c>
      <c r="E3" s="29" t="s">
        <v>145</v>
      </c>
      <c r="F3" s="30" t="s">
        <v>145</v>
      </c>
      <c r="G3" s="30" t="s">
        <v>145</v>
      </c>
    </row>
    <row r="4" spans="1:7">
      <c r="A4" s="31"/>
      <c r="B4" s="32"/>
      <c r="C4" s="33" t="s">
        <v>146</v>
      </c>
      <c r="D4" s="34" t="s">
        <v>147</v>
      </c>
      <c r="E4" s="34" t="s">
        <v>148</v>
      </c>
      <c r="F4" s="32" t="s">
        <v>149</v>
      </c>
      <c r="G4" s="32" t="s">
        <v>150</v>
      </c>
    </row>
    <row r="5" s="21" customFormat="1" spans="1:7">
      <c r="A5" s="35" t="s">
        <v>151</v>
      </c>
      <c r="B5" s="36"/>
      <c r="C5" s="37" t="s">
        <v>152</v>
      </c>
      <c r="D5" s="37" t="s">
        <v>152</v>
      </c>
      <c r="E5" s="37" t="s">
        <v>152</v>
      </c>
      <c r="F5" s="37" t="s">
        <v>152</v>
      </c>
      <c r="G5" s="37" t="s">
        <v>152</v>
      </c>
    </row>
    <row r="6" s="22" customFormat="1" spans="1:7">
      <c r="A6" s="38" t="s">
        <v>153</v>
      </c>
      <c r="B6" s="39"/>
      <c r="C6" s="40"/>
      <c r="D6" s="41"/>
      <c r="E6" s="41"/>
      <c r="F6" s="42"/>
      <c r="G6" s="42"/>
    </row>
    <row r="7" s="23" customFormat="1" spans="1:7">
      <c r="A7" s="38"/>
      <c r="B7" s="43"/>
      <c r="C7" s="40"/>
      <c r="D7" s="44"/>
      <c r="E7" s="44"/>
      <c r="F7" s="45"/>
      <c r="G7" s="45"/>
    </row>
    <row r="8" s="22" customFormat="1" spans="1:7">
      <c r="A8" s="38" t="s">
        <v>154</v>
      </c>
      <c r="B8" s="39"/>
      <c r="C8" s="40"/>
      <c r="D8" s="44"/>
      <c r="E8" s="44"/>
      <c r="F8" s="46"/>
      <c r="G8" s="46"/>
    </row>
    <row r="9" s="21" customFormat="1" spans="1:7">
      <c r="A9" s="35" t="s">
        <v>155</v>
      </c>
      <c r="B9" s="36"/>
      <c r="C9" s="37">
        <f t="shared" ref="C9:G9" si="0">SUM(C6:C8)</f>
        <v>0</v>
      </c>
      <c r="D9" s="37">
        <f t="shared" si="0"/>
        <v>0</v>
      </c>
      <c r="E9" s="37">
        <f t="shared" si="0"/>
        <v>0</v>
      </c>
      <c r="F9" s="37">
        <f t="shared" si="0"/>
        <v>0</v>
      </c>
      <c r="G9" s="37">
        <f t="shared" si="0"/>
        <v>0</v>
      </c>
    </row>
    <row r="10" s="21" customFormat="1" spans="1:7">
      <c r="A10" s="31"/>
      <c r="B10" s="47"/>
      <c r="C10" s="40"/>
      <c r="D10" s="48"/>
      <c r="E10" s="48"/>
      <c r="F10" s="49"/>
      <c r="G10" s="49"/>
    </row>
    <row r="11" spans="1:10">
      <c r="A11" s="50" t="s">
        <v>156</v>
      </c>
      <c r="B11" s="36"/>
      <c r="C11" s="37"/>
      <c r="D11" s="37"/>
      <c r="E11" s="37"/>
      <c r="F11" s="51"/>
      <c r="G11" s="51"/>
      <c r="J11" t="s">
        <v>157</v>
      </c>
    </row>
    <row r="12" spans="1:7">
      <c r="A12" s="18" t="s">
        <v>158</v>
      </c>
      <c r="B12" s="19"/>
      <c r="C12" s="52"/>
      <c r="D12" s="52"/>
      <c r="E12" s="52"/>
      <c r="F12" s="52"/>
      <c r="G12" s="52"/>
    </row>
    <row r="13" spans="1:7">
      <c r="A13" s="18" t="s">
        <v>159</v>
      </c>
      <c r="B13" s="19"/>
      <c r="C13" s="52"/>
      <c r="D13" s="52"/>
      <c r="E13" s="52"/>
      <c r="F13" s="52"/>
      <c r="G13" s="52"/>
    </row>
    <row r="14" spans="1:7">
      <c r="A14" s="18" t="s">
        <v>160</v>
      </c>
      <c r="B14" s="19"/>
      <c r="C14" s="52"/>
      <c r="D14" s="52"/>
      <c r="E14" s="52"/>
      <c r="F14" s="52"/>
      <c r="G14" s="52"/>
    </row>
    <row r="15" spans="1:7">
      <c r="A15" s="18" t="s">
        <v>161</v>
      </c>
      <c r="B15" s="19"/>
      <c r="C15" s="20"/>
      <c r="D15" s="52"/>
      <c r="E15" s="52"/>
      <c r="F15" s="52"/>
      <c r="G15" s="52"/>
    </row>
    <row r="16" spans="1:7">
      <c r="A16" s="18" t="s">
        <v>162</v>
      </c>
      <c r="B16" s="19"/>
      <c r="C16" s="52"/>
      <c r="D16" s="52"/>
      <c r="E16" s="52"/>
      <c r="F16" s="52"/>
      <c r="G16" s="52"/>
    </row>
    <row r="17" spans="1:7">
      <c r="A17" s="18" t="s">
        <v>163</v>
      </c>
      <c r="B17" s="19"/>
      <c r="C17" s="52"/>
      <c r="D17" s="52"/>
      <c r="E17" s="52"/>
      <c r="F17" s="52"/>
      <c r="G17" s="52"/>
    </row>
    <row r="18" spans="1:7">
      <c r="A18" s="18" t="s">
        <v>164</v>
      </c>
      <c r="B18" s="19"/>
      <c r="C18" s="52"/>
      <c r="D18" s="52"/>
      <c r="E18" s="52"/>
      <c r="F18" s="52"/>
      <c r="G18" s="52"/>
    </row>
    <row r="19" spans="1:7">
      <c r="A19" s="18" t="s">
        <v>165</v>
      </c>
      <c r="B19" s="19"/>
      <c r="C19" s="52"/>
      <c r="D19" s="52"/>
      <c r="E19" s="52"/>
      <c r="F19" s="52"/>
      <c r="G19" s="52"/>
    </row>
    <row r="20" spans="1:7">
      <c r="A20" s="18" t="s">
        <v>166</v>
      </c>
      <c r="B20" s="19"/>
      <c r="C20" s="52"/>
      <c r="D20" s="52"/>
      <c r="E20" s="52"/>
      <c r="F20" s="52"/>
      <c r="G20" s="52"/>
    </row>
    <row r="21" spans="1:7">
      <c r="A21" s="18" t="s">
        <v>167</v>
      </c>
      <c r="B21" s="19"/>
      <c r="C21" s="52"/>
      <c r="D21" s="52"/>
      <c r="E21" s="52"/>
      <c r="F21" s="52"/>
      <c r="G21" s="52"/>
    </row>
    <row r="22" spans="1:7">
      <c r="A22" s="18" t="s">
        <v>168</v>
      </c>
      <c r="B22" s="19"/>
      <c r="C22" s="52"/>
      <c r="D22" s="52"/>
      <c r="E22" s="52"/>
      <c r="F22" s="52"/>
      <c r="G22" s="52"/>
    </row>
    <row r="23" spans="1:7">
      <c r="A23" s="18" t="s">
        <v>169</v>
      </c>
      <c r="B23" s="19"/>
      <c r="C23" s="20"/>
      <c r="D23" s="52"/>
      <c r="E23" s="52"/>
      <c r="F23" s="52"/>
      <c r="G23" s="52"/>
    </row>
    <row r="24" s="24" customFormat="1" spans="1:7">
      <c r="A24" s="18" t="s">
        <v>170</v>
      </c>
      <c r="B24" s="53"/>
      <c r="C24" s="20"/>
      <c r="D24" s="52"/>
      <c r="E24" s="52"/>
      <c r="F24" s="54"/>
      <c r="G24" s="54"/>
    </row>
    <row r="25" spans="1:7">
      <c r="A25" s="18" t="s">
        <v>171</v>
      </c>
      <c r="B25" s="19"/>
      <c r="C25" s="20"/>
      <c r="D25" s="52"/>
      <c r="E25" s="52"/>
      <c r="F25" s="52"/>
      <c r="G25" s="52"/>
    </row>
    <row r="26" s="25" customFormat="1" spans="1:7">
      <c r="A26" s="55" t="s">
        <v>172</v>
      </c>
      <c r="B26" s="56" t="s">
        <v>173</v>
      </c>
      <c r="C26" s="57"/>
      <c r="D26" s="58"/>
      <c r="E26" s="58"/>
      <c r="F26" s="58"/>
      <c r="G26" s="58"/>
    </row>
    <row r="27" s="26" customFormat="1" ht="25.5" spans="1:7">
      <c r="A27" s="59" t="s">
        <v>174</v>
      </c>
      <c r="B27" s="60"/>
      <c r="C27" s="20"/>
      <c r="D27" s="52"/>
      <c r="E27" s="52"/>
      <c r="F27" s="52"/>
      <c r="G27" s="52"/>
    </row>
    <row r="28" spans="1:7">
      <c r="A28" s="59" t="s">
        <v>175</v>
      </c>
      <c r="B28" s="60"/>
      <c r="C28" s="20"/>
      <c r="D28" s="52"/>
      <c r="E28" s="52"/>
      <c r="F28" s="52"/>
      <c r="G28" s="52"/>
    </row>
    <row r="29" spans="1:7">
      <c r="A29" s="59" t="s">
        <v>176</v>
      </c>
      <c r="B29" s="61"/>
      <c r="C29" s="62"/>
      <c r="D29" s="52"/>
      <c r="E29" s="52"/>
      <c r="F29" s="52"/>
      <c r="G29" s="52"/>
    </row>
    <row r="30" s="26" customFormat="1" spans="1:7">
      <c r="A30" s="59" t="s">
        <v>177</v>
      </c>
      <c r="B30" s="63"/>
      <c r="C30" s="64"/>
      <c r="D30" s="52"/>
      <c r="E30" s="52"/>
      <c r="F30" s="52"/>
      <c r="G30" s="52"/>
    </row>
    <row r="31" spans="1:7">
      <c r="A31" s="18" t="s">
        <v>178</v>
      </c>
      <c r="B31" s="19"/>
      <c r="C31" s="20"/>
      <c r="D31" s="52"/>
      <c r="E31" s="52"/>
      <c r="F31" s="52"/>
      <c r="G31" s="52"/>
    </row>
    <row r="32" spans="1:7">
      <c r="A32" s="59" t="s">
        <v>179</v>
      </c>
      <c r="B32" s="60"/>
      <c r="C32" s="20"/>
      <c r="D32" s="52"/>
      <c r="E32" s="52"/>
      <c r="F32" s="52"/>
      <c r="G32" s="52"/>
    </row>
    <row r="33" spans="1:7">
      <c r="A33" s="10" t="s">
        <v>180</v>
      </c>
      <c r="B33" s="65"/>
      <c r="C33" s="66"/>
      <c r="D33" s="66"/>
      <c r="E33" s="66"/>
      <c r="F33" s="66"/>
      <c r="G33" s="66"/>
    </row>
  </sheetData>
  <mergeCells count="2">
    <mergeCell ref="A3:A4"/>
    <mergeCell ref="B3:B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H3" sqref="H3"/>
    </sheetView>
  </sheetViews>
  <sheetFormatPr defaultColWidth="9" defaultRowHeight="15" outlineLevelCol="7"/>
  <cols>
    <col min="1" max="1" width="52" customWidth="1"/>
    <col min="3" max="6" width="14.6285714285714" customWidth="1"/>
    <col min="7" max="7" width="12.5428571428571" customWidth="1"/>
    <col min="8" max="8" width="13.6285714285714" customWidth="1"/>
  </cols>
  <sheetData>
    <row r="1" spans="1:8">
      <c r="A1" s="5" t="s">
        <v>181</v>
      </c>
      <c r="B1" s="6"/>
      <c r="C1" s="7" t="s">
        <v>146</v>
      </c>
      <c r="D1" s="7"/>
      <c r="E1" s="7"/>
      <c r="F1" s="8"/>
      <c r="G1" s="8"/>
      <c r="H1" s="9"/>
    </row>
    <row r="2" s="4" customFormat="1" spans="1:8">
      <c r="A2" s="10"/>
      <c r="B2" s="11"/>
      <c r="C2" s="12"/>
      <c r="D2" s="12"/>
      <c r="E2" s="12"/>
      <c r="F2" s="13"/>
      <c r="G2" s="13"/>
      <c r="H2" s="14"/>
    </row>
    <row r="3" spans="1:8">
      <c r="A3" s="15" t="s">
        <v>182</v>
      </c>
      <c r="B3" s="16"/>
      <c r="C3" s="17">
        <v>300000000</v>
      </c>
      <c r="D3" s="17">
        <v>300000000</v>
      </c>
      <c r="E3" s="17">
        <v>350000000</v>
      </c>
      <c r="F3" s="17">
        <v>500000000</v>
      </c>
      <c r="G3" s="17">
        <v>5000000</v>
      </c>
      <c r="H3" s="17">
        <v>25000000</v>
      </c>
    </row>
    <row r="4" spans="1:8">
      <c r="A4" s="15" t="s">
        <v>183</v>
      </c>
      <c r="B4" s="16"/>
      <c r="C4" s="17">
        <v>3000000</v>
      </c>
      <c r="D4" s="17">
        <v>3000000</v>
      </c>
      <c r="E4" s="17"/>
      <c r="F4" s="17"/>
      <c r="G4" s="17"/>
      <c r="H4" s="17"/>
    </row>
    <row r="5" spans="1:8">
      <c r="A5" s="15" t="s">
        <v>184</v>
      </c>
      <c r="B5" s="16"/>
      <c r="C5" s="17">
        <v>20000000</v>
      </c>
      <c r="D5" s="17"/>
      <c r="E5" s="17">
        <v>0</v>
      </c>
      <c r="F5" s="17">
        <v>0</v>
      </c>
      <c r="G5" s="17">
        <v>0</v>
      </c>
      <c r="H5" s="17"/>
    </row>
    <row r="6" spans="1:8">
      <c r="A6" s="18" t="s">
        <v>185</v>
      </c>
      <c r="B6" s="19"/>
      <c r="C6" s="20">
        <v>36000000</v>
      </c>
      <c r="D6" s="20"/>
      <c r="E6" s="20">
        <f>D6*1.2</f>
        <v>0</v>
      </c>
      <c r="F6" s="20">
        <f>E6*1.2</f>
        <v>0</v>
      </c>
      <c r="G6" s="20">
        <f>F6*1.2</f>
        <v>0</v>
      </c>
      <c r="H6" s="20">
        <f>G6*1.2</f>
        <v>0</v>
      </c>
    </row>
    <row r="7" spans="1:8">
      <c r="A7" s="15" t="s">
        <v>186</v>
      </c>
      <c r="B7" s="16"/>
      <c r="C7" s="17">
        <v>60000000</v>
      </c>
      <c r="D7" s="17"/>
      <c r="E7" s="17"/>
      <c r="F7" s="17"/>
      <c r="G7" s="17"/>
      <c r="H7" s="17"/>
    </row>
    <row r="8" spans="1:8">
      <c r="A8" s="15" t="s">
        <v>187</v>
      </c>
      <c r="B8" s="16"/>
      <c r="C8" s="17">
        <v>120000000</v>
      </c>
      <c r="D8" s="17"/>
      <c r="E8" s="17"/>
      <c r="F8" s="17">
        <v>0</v>
      </c>
      <c r="G8" s="17">
        <v>0</v>
      </c>
      <c r="H8" s="17"/>
    </row>
    <row r="9" spans="1:8">
      <c r="A9" s="15" t="s">
        <v>188</v>
      </c>
      <c r="B9" s="16"/>
      <c r="C9" s="17">
        <v>100000000</v>
      </c>
      <c r="D9" s="17"/>
      <c r="E9" s="17"/>
      <c r="F9" s="17"/>
      <c r="G9" s="17"/>
      <c r="H9" s="17"/>
    </row>
    <row r="10" spans="1:8">
      <c r="A10" s="15" t="s">
        <v>189</v>
      </c>
      <c r="B10" s="16"/>
      <c r="C10" s="17">
        <v>100000000</v>
      </c>
      <c r="D10" s="17"/>
      <c r="E10" s="17"/>
      <c r="F10" s="17"/>
      <c r="G10" s="17"/>
      <c r="H10" s="17"/>
    </row>
    <row r="11" spans="1:8">
      <c r="A11" s="15" t="s">
        <v>190</v>
      </c>
      <c r="B11" s="16"/>
      <c r="C11" s="17">
        <v>50000000</v>
      </c>
      <c r="D11" s="17"/>
      <c r="E11" s="17"/>
      <c r="F11" s="17"/>
      <c r="G11" s="17"/>
      <c r="H11" s="17"/>
    </row>
    <row r="12" spans="1:8">
      <c r="A12" s="15" t="s">
        <v>191</v>
      </c>
      <c r="B12" s="16"/>
      <c r="C12" s="17">
        <v>50000000</v>
      </c>
      <c r="D12" s="17"/>
      <c r="E12" s="17"/>
      <c r="F12" s="17"/>
      <c r="G12" s="17"/>
      <c r="H12" s="17"/>
    </row>
    <row r="13" spans="1:8">
      <c r="A13" s="5" t="s">
        <v>111</v>
      </c>
      <c r="B13" s="6"/>
      <c r="C13" s="7">
        <f>SUM(C3:C12)</f>
        <v>839000000</v>
      </c>
      <c r="D13" s="7">
        <f>SUM(D3:D12)</f>
        <v>303000000</v>
      </c>
      <c r="E13" s="7">
        <f>SUM(E1:E3)</f>
        <v>350000000</v>
      </c>
      <c r="F13" s="7">
        <f>SUM(F1:F3)</f>
        <v>500000000</v>
      </c>
      <c r="G13" s="7">
        <f>SUM(G1:G3)</f>
        <v>5000000</v>
      </c>
      <c r="H13" s="7">
        <f>SUM(H1:H3)</f>
        <v>25000000</v>
      </c>
    </row>
    <row r="15" spans="3:3">
      <c r="C15" t="s">
        <v>192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3"/>
  <sheetViews>
    <sheetView workbookViewId="0">
      <selection activeCell="F14" sqref="F14"/>
    </sheetView>
  </sheetViews>
  <sheetFormatPr defaultColWidth="9" defaultRowHeight="15"/>
  <cols>
    <col min="1" max="1" width="21.7238095238095" customWidth="1"/>
    <col min="2" max="2" width="12.8190476190476" customWidth="1"/>
    <col min="3" max="3" width="17.3619047619048" customWidth="1"/>
    <col min="4" max="4" width="18.5428571428571" customWidth="1"/>
    <col min="5" max="5" width="10" customWidth="1"/>
    <col min="6" max="7" width="11.4571428571429" customWidth="1"/>
  </cols>
  <sheetData>
    <row r="2" s="1" customFormat="1" ht="18.75" spans="1:1">
      <c r="A2" s="1" t="s">
        <v>193</v>
      </c>
    </row>
    <row r="4" s="2" customFormat="1" ht="31.5" spans="1:14">
      <c r="A4" s="2" t="s">
        <v>194</v>
      </c>
      <c r="B4" s="2" t="s">
        <v>195</v>
      </c>
      <c r="C4" s="3" t="s">
        <v>196</v>
      </c>
      <c r="D4" s="3" t="s">
        <v>197</v>
      </c>
      <c r="E4" s="3" t="s">
        <v>158</v>
      </c>
      <c r="F4" s="3" t="s">
        <v>198</v>
      </c>
      <c r="G4" s="3" t="s">
        <v>199</v>
      </c>
      <c r="H4" s="2" t="s">
        <v>200</v>
      </c>
      <c r="I4" s="2" t="s">
        <v>201</v>
      </c>
      <c r="J4" s="2" t="s">
        <v>202</v>
      </c>
      <c r="K4" s="2" t="s">
        <v>203</v>
      </c>
      <c r="L4" s="2" t="s">
        <v>204</v>
      </c>
      <c r="M4" s="2" t="s">
        <v>205</v>
      </c>
      <c r="N4" s="2" t="s">
        <v>206</v>
      </c>
    </row>
    <row r="10" ht="15.75" spans="1:1">
      <c r="A10" s="2" t="s">
        <v>207</v>
      </c>
    </row>
    <row r="11" spans="1:4">
      <c r="A11" t="s">
        <v>208</v>
      </c>
      <c r="B11">
        <v>2</v>
      </c>
      <c r="C11">
        <v>1</v>
      </c>
      <c r="D11">
        <v>0</v>
      </c>
    </row>
    <row r="12" spans="1:4">
      <c r="A12" t="s">
        <v>209</v>
      </c>
      <c r="B12">
        <v>3</v>
      </c>
      <c r="C12">
        <v>1</v>
      </c>
      <c r="D12">
        <v>0</v>
      </c>
    </row>
    <row r="13" spans="1:4">
      <c r="A13" t="s">
        <v>210</v>
      </c>
      <c r="B13">
        <v>4</v>
      </c>
      <c r="C13">
        <v>4</v>
      </c>
      <c r="D13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RECURRENT BUDGET</vt:lpstr>
      <vt:lpstr>DEPERTMENTAL BUDGETS</vt:lpstr>
      <vt:lpstr>SALARIES</vt:lpstr>
      <vt:lpstr>DEVELOPMENT</vt:lpstr>
      <vt:lpstr>SALARIES BY DEPERTMENT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Victor</cp:lastModifiedBy>
  <dcterms:created xsi:type="dcterms:W3CDTF">2023-02-28T09:25:00Z</dcterms:created>
  <dcterms:modified xsi:type="dcterms:W3CDTF">2023-09-05T11:16:56Z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D796EE892F434B838D55AD42EB52FFC3</vt:lpwstr>
  </property>
  <property fmtid="{D5CDD505-2E9C-101B-9397-08002B2CF9AE}" pid="3" name="KSOProductBuildVer">
    <vt:lpwstr>1033-11.2.0.11417</vt:lpwstr>
  </property>
</Properties>
</file>