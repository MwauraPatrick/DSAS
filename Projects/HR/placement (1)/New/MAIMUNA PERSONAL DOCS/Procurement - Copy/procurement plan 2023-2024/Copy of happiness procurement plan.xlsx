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Procurement\procurement plan 2023-2024\"/>
    </mc:Choice>
  </mc:AlternateContent>
  <bookViews>
    <workbookView xWindow="0" yWindow="0" windowWidth="28800" windowHeight="12315"/>
  </bookViews>
  <sheets>
    <sheet name="Sample Proc plan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R24" i="1" l="1"/>
  <c r="P24" i="1"/>
  <c r="N24" i="1"/>
  <c r="L24" i="1"/>
  <c r="G24" i="1"/>
</calcChain>
</file>

<file path=xl/sharedStrings.xml><?xml version="1.0" encoding="utf-8"?>
<sst xmlns="http://schemas.openxmlformats.org/spreadsheetml/2006/main" count="87" uniqueCount="37">
  <si>
    <t>ITEM/SERVICE DESCRIPTION</t>
  </si>
  <si>
    <t>UNIT OF ISSUE</t>
  </si>
  <si>
    <t>TOTAL QTY</t>
  </si>
  <si>
    <t>EST. UNIT COST</t>
  </si>
  <si>
    <t>EST. TOTAL COST</t>
  </si>
  <si>
    <t>USER DEPT</t>
  </si>
  <si>
    <t>SOURCE OF FUNDS</t>
  </si>
  <si>
    <t>PROCUREMENT METHOD</t>
  </si>
  <si>
    <t>TIMING OF ACTIVITIES/QUARTER REQUIRED</t>
  </si>
  <si>
    <t>1ST</t>
  </si>
  <si>
    <t>2ND</t>
  </si>
  <si>
    <t>3RD</t>
  </si>
  <si>
    <t>4TH</t>
  </si>
  <si>
    <t>QTY</t>
  </si>
  <si>
    <t>KSHS</t>
  </si>
  <si>
    <t>Sub-Total</t>
  </si>
  <si>
    <t>Laptop</t>
  </si>
  <si>
    <t>procurement</t>
  </si>
  <si>
    <t>G.O.K</t>
  </si>
  <si>
    <t>RFQ</t>
  </si>
  <si>
    <t>Desks</t>
  </si>
  <si>
    <t>Office Chairs</t>
  </si>
  <si>
    <t>Visitors chairs</t>
  </si>
  <si>
    <t>Curtains</t>
  </si>
  <si>
    <t>Digital headset</t>
  </si>
  <si>
    <t>Cofee table</t>
  </si>
  <si>
    <t>Printer coloured</t>
  </si>
  <si>
    <t>Ecosys Printer</t>
  </si>
  <si>
    <t>Desktops</t>
  </si>
  <si>
    <t>Bulk Cabinet</t>
  </si>
  <si>
    <t>Ups 1.5KVA</t>
  </si>
  <si>
    <t>Toners</t>
  </si>
  <si>
    <t>Procurement software</t>
  </si>
  <si>
    <t>Tender</t>
  </si>
  <si>
    <t xml:space="preserve">Training </t>
  </si>
  <si>
    <t>Airtime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</si>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</sst>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(* #,##0.00_);_(* \(#,##0.00\);_(* &quot;-&quot;??_);_(@_)"/>
    <numFmt numFmtId="165" formatCode="_(* #,##0_);_(* \(#,##0\);_(* &quot;-&quot;??_);_(@_)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theme="1"/>
      <name val="Arial Narrow"/>
      <family val="2"/>
    </font>
    <font>
      <b/>
      <u/>
      <sz val="9"/>
      <color theme="1"/>
      <name val="Arial Narrow"/>
      <family val="2"/>
    </font>
    <font>
      <sz val="9"/>
      <color theme="1"/>
      <name val="Arial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7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43">
    <xf numFmtId="0" fontId="0" fillId="0" borderId="0" xfId="0"/>
    <xf numFmtId="0" fontId="2" fillId="0" borderId="1" xfId="0" applyFont="1" applyBorder="1" applyAlignment="1">
      <alignment vertical="top"/>
    </xf>
    <xf numFmtId="0" fontId="2" fillId="0" borderId="2" xfId="0" applyFont="1" applyBorder="1" applyAlignment="1">
      <alignment wrapText="1"/>
    </xf>
    <xf numFmtId="0" fontId="2" fillId="0" borderId="2" xfId="0" applyFont="1" applyBorder="1" applyAlignment="1">
      <alignment horizontal="left" wrapText="1"/>
    </xf>
    <xf numFmtId="164" fontId="2" fillId="0" borderId="2" xfId="1" applyFont="1" applyBorder="1" applyAlignment="1">
      <alignment horizontal="left" wrapText="1"/>
    </xf>
    <xf numFmtId="2" fontId="2" fillId="0" borderId="2" xfId="0" applyNumberFormat="1" applyFont="1" applyBorder="1" applyAlignment="1">
      <alignment horizontal="left" wrapText="1"/>
    </xf>
    <xf numFmtId="0" fontId="2" fillId="0" borderId="5" xfId="0" applyFont="1" applyBorder="1"/>
    <xf numFmtId="0" fontId="2" fillId="0" borderId="6" xfId="0" applyFont="1" applyBorder="1" applyAlignment="1">
      <alignment wrapText="1"/>
    </xf>
    <xf numFmtId="0" fontId="2" fillId="0" borderId="6" xfId="0" applyFont="1" applyBorder="1" applyAlignment="1">
      <alignment horizontal="left"/>
    </xf>
    <xf numFmtId="164" fontId="2" fillId="0" borderId="6" xfId="1" applyFont="1" applyBorder="1" applyAlignment="1">
      <alignment horizontal="left" wrapText="1"/>
    </xf>
    <xf numFmtId="2" fontId="2" fillId="0" borderId="6" xfId="0" applyNumberFormat="1" applyFont="1" applyBorder="1" applyAlignment="1">
      <alignment horizontal="left" wrapText="1"/>
    </xf>
    <xf numFmtId="0" fontId="2" fillId="2" borderId="1" xfId="0" applyFont="1" applyFill="1" applyBorder="1"/>
    <xf numFmtId="0" fontId="3" fillId="2" borderId="2" xfId="0" applyFont="1" applyFill="1" applyBorder="1"/>
    <xf numFmtId="0" fontId="2" fillId="2" borderId="2" xfId="0" applyFont="1" applyFill="1" applyBorder="1" applyAlignment="1">
      <alignment horizontal="left"/>
    </xf>
    <xf numFmtId="164" fontId="2" fillId="2" borderId="2" xfId="1" applyFont="1" applyFill="1" applyBorder="1" applyAlignment="1">
      <alignment horizontal="left"/>
    </xf>
    <xf numFmtId="2" fontId="2" fillId="2" borderId="2" xfId="0" applyNumberFormat="1" applyFont="1" applyFill="1" applyBorder="1" applyAlignment="1">
      <alignment horizontal="left"/>
    </xf>
    <xf numFmtId="0" fontId="2" fillId="2" borderId="2" xfId="0" applyFont="1" applyFill="1" applyBorder="1"/>
    <xf numFmtId="165" fontId="2" fillId="2" borderId="2" xfId="1" applyNumberFormat="1" applyFont="1" applyFill="1" applyBorder="1"/>
    <xf numFmtId="2" fontId="2" fillId="2" borderId="2" xfId="0" applyNumberFormat="1" applyFont="1" applyFill="1" applyBorder="1"/>
    <xf numFmtId="0" fontId="2" fillId="2" borderId="2" xfId="0" applyNumberFormat="1" applyFont="1" applyFill="1" applyBorder="1" applyAlignment="1">
      <alignment horizontal="center"/>
    </xf>
    <xf numFmtId="0" fontId="4" fillId="0" borderId="1" xfId="0" applyFont="1" applyBorder="1"/>
    <xf numFmtId="0" fontId="4" fillId="0" borderId="2" xfId="0" applyFont="1" applyBorder="1" applyAlignment="1">
      <alignment wrapText="1"/>
    </xf>
    <xf numFmtId="0" fontId="4" fillId="0" borderId="2" xfId="0" applyFont="1" applyBorder="1" applyAlignment="1">
      <alignment horizontal="left" wrapText="1"/>
    </xf>
    <xf numFmtId="164" fontId="4" fillId="0" borderId="2" xfId="1" applyFont="1" applyBorder="1" applyAlignment="1">
      <alignment horizontal="left" wrapText="1"/>
    </xf>
    <xf numFmtId="4" fontId="4" fillId="0" borderId="2" xfId="0" applyNumberFormat="1" applyFont="1" applyBorder="1" applyAlignment="1">
      <alignment horizontal="left" wrapText="1"/>
    </xf>
    <xf numFmtId="165" fontId="4" fillId="0" borderId="2" xfId="1" applyNumberFormat="1" applyFont="1" applyBorder="1" applyAlignment="1">
      <alignment wrapText="1"/>
    </xf>
    <xf numFmtId="4" fontId="4" fillId="0" borderId="2" xfId="0" applyNumberFormat="1" applyFont="1" applyBorder="1" applyAlignment="1">
      <alignment wrapText="1"/>
    </xf>
    <xf numFmtId="0" fontId="4" fillId="0" borderId="2" xfId="0" applyNumberFormat="1" applyFont="1" applyBorder="1" applyAlignment="1">
      <alignment horizontal="center" wrapText="1"/>
    </xf>
    <xf numFmtId="0" fontId="4" fillId="0" borderId="2" xfId="0" applyFont="1" applyBorder="1" applyAlignment="1">
      <alignment horizontal="left"/>
    </xf>
    <xf numFmtId="4" fontId="4" fillId="0" borderId="2" xfId="0" applyNumberFormat="1" applyFont="1" applyBorder="1" applyAlignment="1">
      <alignment horizontal="left"/>
    </xf>
    <xf numFmtId="0" fontId="4" fillId="0" borderId="2" xfId="0" applyNumberFormat="1" applyFont="1" applyBorder="1" applyAlignment="1">
      <alignment horizontal="center"/>
    </xf>
    <xf numFmtId="164" fontId="4" fillId="0" borderId="2" xfId="1" applyFont="1" applyBorder="1" applyAlignment="1">
      <alignment horizontal="left"/>
    </xf>
    <xf numFmtId="165" fontId="4" fillId="0" borderId="2" xfId="1" applyNumberFormat="1" applyFont="1" applyBorder="1"/>
    <xf numFmtId="0" fontId="4" fillId="0" borderId="2" xfId="0" applyFont="1" applyBorder="1" applyAlignment="1">
      <alignment horizontal="center"/>
    </xf>
    <xf numFmtId="4" fontId="2" fillId="0" borderId="2" xfId="0" applyNumberFormat="1" applyFont="1" applyBorder="1" applyAlignment="1">
      <alignment horizontal="left"/>
    </xf>
    <xf numFmtId="0" fontId="4" fillId="0" borderId="2" xfId="0" applyFont="1" applyBorder="1"/>
    <xf numFmtId="4" fontId="2" fillId="0" borderId="2" xfId="0" applyNumberFormat="1" applyFont="1" applyBorder="1"/>
    <xf numFmtId="0" fontId="2" fillId="0" borderId="2" xfId="0" applyNumberFormat="1" applyFont="1" applyBorder="1" applyAlignment="1">
      <alignment horizontal="center"/>
    </xf>
    <xf numFmtId="4" fontId="2" fillId="0" borderId="2" xfId="0" applyNumberFormat="1" applyFont="1" applyBorder="1" applyAlignment="1">
      <alignment wrapText="1"/>
    </xf>
    <xf numFmtId="2" fontId="2" fillId="0" borderId="3" xfId="0" applyNumberFormat="1" applyFont="1" applyBorder="1" applyAlignment="1">
      <alignment horizontal="center" wrapText="1"/>
    </xf>
    <xf numFmtId="2" fontId="2" fillId="0" borderId="4" xfId="0" applyNumberFormat="1" applyFont="1" applyBorder="1" applyAlignment="1">
      <alignment horizontal="center" wrapText="1"/>
    </xf>
    <xf numFmtId="2" fontId="2" fillId="0" borderId="1" xfId="0" applyNumberFormat="1" applyFont="1" applyBorder="1" applyAlignment="1">
      <alignment horizontal="center" wrapText="1"/>
    </xf>
    <xf numFmtId="2" fontId="2" fillId="0" borderId="2" xfId="0" applyNumberFormat="1" applyFont="1" applyBorder="1" applyAlignment="1">
      <alignment horizont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S24"/>
  <sheetViews>
    <sheetView tabSelected="1" workbookViewId="0">
      <selection activeCell="S20" sqref="S20"/>
    </sheetView>
  </sheetViews>
  <sheetFormatPr defaultRowHeight="15" x14ac:dyDescent="0.25"/>
  <cols>
    <col min="3" max="3" width="14.28515625" customWidth="1"/>
    <col min="6" max="6" width="9.5703125" bestFit="1" customWidth="1"/>
    <col min="10" max="10" width="14" customWidth="1"/>
  </cols>
  <sheetData>
    <row r="2" spans="2:18" ht="40.5" x14ac:dyDescent="0.25">
      <c r="B2" s="1"/>
      <c r="C2" s="2" t="s">
        <v>0</v>
      </c>
      <c r="D2" s="2" t="s">
        <v>1</v>
      </c>
      <c r="E2" s="3" t="s">
        <v>2</v>
      </c>
      <c r="F2" s="4" t="s">
        <v>3</v>
      </c>
      <c r="G2" s="5" t="s">
        <v>4</v>
      </c>
      <c r="H2" s="2" t="s">
        <v>5</v>
      </c>
      <c r="I2" s="2" t="s">
        <v>6</v>
      </c>
      <c r="J2" s="2" t="s">
        <v>7</v>
      </c>
      <c r="K2" s="39" t="s">
        <v>8</v>
      </c>
      <c r="L2" s="40"/>
      <c r="M2" s="40"/>
      <c r="N2" s="40"/>
      <c r="O2" s="40"/>
      <c r="P2" s="40"/>
      <c r="Q2" s="40"/>
      <c r="R2" s="41"/>
    </row>
    <row r="3" spans="2:18" x14ac:dyDescent="0.25">
      <c r="B3" s="6"/>
      <c r="C3" s="7"/>
      <c r="D3" s="7"/>
      <c r="E3" s="8"/>
      <c r="F3" s="9"/>
      <c r="G3" s="10"/>
      <c r="H3" s="7"/>
      <c r="I3" s="7"/>
      <c r="J3" s="7"/>
      <c r="K3" s="42" t="s">
        <v>9</v>
      </c>
      <c r="L3" s="42"/>
      <c r="M3" s="42" t="s">
        <v>10</v>
      </c>
      <c r="N3" s="42"/>
      <c r="O3" s="42" t="s">
        <v>11</v>
      </c>
      <c r="P3" s="42"/>
      <c r="Q3" s="42" t="s">
        <v>12</v>
      </c>
      <c r="R3" s="42"/>
    </row>
    <row r="4" spans="2:18" x14ac:dyDescent="0.25">
      <c r="B4" s="11"/>
      <c r="C4" s="11"/>
      <c r="D4" s="12"/>
      <c r="E4" s="13"/>
      <c r="F4" s="14"/>
      <c r="G4" s="15"/>
      <c r="H4" s="16"/>
      <c r="I4" s="16"/>
      <c r="J4" s="16"/>
      <c r="K4" s="17" t="s">
        <v>13</v>
      </c>
      <c r="L4" s="18" t="s">
        <v>14</v>
      </c>
      <c r="M4" s="19" t="s">
        <v>13</v>
      </c>
      <c r="N4" s="18" t="s">
        <v>14</v>
      </c>
      <c r="O4" s="19" t="s">
        <v>13</v>
      </c>
      <c r="P4" s="18" t="s">
        <v>14</v>
      </c>
      <c r="Q4" s="19" t="s">
        <v>13</v>
      </c>
      <c r="R4" s="18" t="s">
        <v>14</v>
      </c>
    </row>
    <row r="5" spans="2:18" x14ac:dyDescent="0.25">
      <c r="B5" s="20"/>
      <c r="C5" s="21" t="s">
        <v>16</v>
      </c>
      <c r="D5" s="21"/>
      <c r="E5" s="22">
        <v>1</v>
      </c>
      <c r="F5" s="23">
        <v>450000</v>
      </c>
      <c r="G5" s="24">
        <v>450000</v>
      </c>
      <c r="H5" s="21" t="s">
        <v>17</v>
      </c>
      <c r="I5" s="21" t="s">
        <v>18</v>
      </c>
      <c r="J5" s="21" t="s">
        <v>19</v>
      </c>
      <c r="K5" s="25"/>
      <c r="L5" s="26"/>
      <c r="M5" s="27">
        <v>1</v>
      </c>
      <c r="N5" s="26">
        <v>450000</v>
      </c>
      <c r="O5" s="27"/>
      <c r="P5" s="26"/>
      <c r="Q5" s="27"/>
      <c r="R5" s="26"/>
    </row>
    <row r="6" spans="2:18" x14ac:dyDescent="0.25">
      <c r="B6" s="20"/>
      <c r="C6" s="21" t="s">
        <v>20</v>
      </c>
      <c r="D6" s="21"/>
      <c r="E6" s="28">
        <v>6</v>
      </c>
      <c r="F6" s="23">
        <v>50000</v>
      </c>
      <c r="G6" s="29">
        <v>300000</v>
      </c>
      <c r="H6" s="21" t="s">
        <v>17</v>
      </c>
      <c r="I6" s="21" t="s">
        <v>18</v>
      </c>
      <c r="J6" s="21" t="s">
        <v>19</v>
      </c>
      <c r="K6" s="25"/>
      <c r="L6" s="26"/>
      <c r="M6" s="30">
        <v>6</v>
      </c>
      <c r="N6" s="26">
        <v>300000</v>
      </c>
      <c r="O6" s="27"/>
      <c r="P6" s="26"/>
      <c r="Q6" s="30"/>
      <c r="R6" s="26"/>
    </row>
    <row r="7" spans="2:18" x14ac:dyDescent="0.25">
      <c r="B7" s="20"/>
      <c r="C7" s="21" t="s">
        <v>21</v>
      </c>
      <c r="D7" s="21"/>
      <c r="E7" s="28">
        <v>5</v>
      </c>
      <c r="F7" s="23">
        <v>40000</v>
      </c>
      <c r="G7" s="29">
        <v>200000</v>
      </c>
      <c r="H7" s="21" t="s">
        <v>17</v>
      </c>
      <c r="I7" s="21" t="s">
        <v>18</v>
      </c>
      <c r="J7" s="21" t="s">
        <v>19</v>
      </c>
      <c r="K7" s="25"/>
      <c r="L7" s="26"/>
      <c r="M7" s="30">
        <v>5</v>
      </c>
      <c r="N7" s="26">
        <v>200000</v>
      </c>
      <c r="O7" s="30"/>
      <c r="P7" s="26"/>
      <c r="Q7" s="30"/>
      <c r="R7" s="26"/>
    </row>
    <row r="8" spans="2:18" x14ac:dyDescent="0.25">
      <c r="B8" s="20"/>
      <c r="C8" s="21" t="s">
        <v>22</v>
      </c>
      <c r="D8" s="21"/>
      <c r="E8" s="28">
        <v>5</v>
      </c>
      <c r="F8" s="23">
        <v>30000</v>
      </c>
      <c r="G8" s="29">
        <v>150000</v>
      </c>
      <c r="H8" s="21" t="s">
        <v>17</v>
      </c>
      <c r="I8" s="21" t="s">
        <v>18</v>
      </c>
      <c r="J8" s="21" t="s">
        <v>19</v>
      </c>
      <c r="K8" s="25"/>
      <c r="L8" s="26"/>
      <c r="M8" s="30"/>
      <c r="N8" s="26"/>
      <c r="O8" s="27">
        <v>5</v>
      </c>
      <c r="P8" s="26">
        <v>150000</v>
      </c>
      <c r="Q8" s="27"/>
      <c r="R8" s="26"/>
    </row>
    <row r="9" spans="2:18" x14ac:dyDescent="0.25">
      <c r="B9" s="20"/>
      <c r="C9" s="21" t="s">
        <v>23</v>
      </c>
      <c r="D9" s="21"/>
      <c r="E9" s="28">
        <v>6</v>
      </c>
      <c r="F9" s="23">
        <v>20000</v>
      </c>
      <c r="G9" s="29">
        <v>120000</v>
      </c>
      <c r="H9" s="21" t="s">
        <v>17</v>
      </c>
      <c r="I9" s="21" t="s">
        <v>18</v>
      </c>
      <c r="J9" s="21" t="s">
        <v>19</v>
      </c>
      <c r="K9" s="25">
        <v>6</v>
      </c>
      <c r="L9" s="26">
        <v>120000</v>
      </c>
      <c r="M9" s="30"/>
      <c r="N9" s="26"/>
      <c r="O9" s="30"/>
      <c r="P9" s="26"/>
      <c r="Q9" s="30"/>
      <c r="R9" s="26"/>
    </row>
    <row r="10" spans="2:18" x14ac:dyDescent="0.25">
      <c r="B10" s="20"/>
      <c r="C10" s="21" t="s">
        <v>24</v>
      </c>
      <c r="D10" s="21"/>
      <c r="E10" s="28">
        <v>1</v>
      </c>
      <c r="F10" s="23">
        <v>20000</v>
      </c>
      <c r="G10" s="29">
        <v>20000</v>
      </c>
      <c r="H10" s="21" t="s">
        <v>17</v>
      </c>
      <c r="I10" s="21" t="s">
        <v>18</v>
      </c>
      <c r="J10" s="21" t="s">
        <v>19</v>
      </c>
      <c r="K10" s="25">
        <v>1</v>
      </c>
      <c r="L10" s="26">
        <v>20000</v>
      </c>
      <c r="M10" s="30"/>
      <c r="N10" s="26"/>
      <c r="O10" s="27"/>
      <c r="P10" s="26"/>
      <c r="Q10" s="27"/>
      <c r="R10" s="26"/>
    </row>
    <row r="11" spans="2:18" x14ac:dyDescent="0.25">
      <c r="B11" s="20"/>
      <c r="C11" s="21" t="s">
        <v>25</v>
      </c>
      <c r="D11" s="21"/>
      <c r="E11" s="28">
        <v>1</v>
      </c>
      <c r="F11" s="23">
        <v>25000</v>
      </c>
      <c r="G11" s="29">
        <v>25000</v>
      </c>
      <c r="H11" s="21" t="s">
        <v>17</v>
      </c>
      <c r="I11" s="21" t="s">
        <v>18</v>
      </c>
      <c r="J11" s="21" t="s">
        <v>19</v>
      </c>
      <c r="K11" s="25"/>
      <c r="L11" s="26"/>
      <c r="M11" s="30"/>
      <c r="N11" s="26"/>
      <c r="O11" s="27">
        <v>1</v>
      </c>
      <c r="P11" s="26">
        <v>25000</v>
      </c>
      <c r="Q11" s="27"/>
      <c r="R11" s="26"/>
    </row>
    <row r="12" spans="2:18" x14ac:dyDescent="0.25">
      <c r="B12" s="20"/>
      <c r="C12" s="21" t="s">
        <v>26</v>
      </c>
      <c r="D12" s="21"/>
      <c r="E12" s="28">
        <v>1</v>
      </c>
      <c r="F12" s="31">
        <v>200000</v>
      </c>
      <c r="G12" s="29">
        <v>200000</v>
      </c>
      <c r="H12" s="21" t="s">
        <v>17</v>
      </c>
      <c r="I12" s="21" t="s">
        <v>18</v>
      </c>
      <c r="J12" s="21" t="s">
        <v>19</v>
      </c>
      <c r="K12" s="32">
        <v>1</v>
      </c>
      <c r="L12" s="26">
        <v>200000</v>
      </c>
      <c r="M12" s="33"/>
      <c r="N12" s="26"/>
      <c r="O12" s="33"/>
      <c r="P12" s="26"/>
      <c r="Q12" s="33"/>
      <c r="R12" s="26"/>
    </row>
    <row r="13" spans="2:18" x14ac:dyDescent="0.25">
      <c r="B13" s="20"/>
      <c r="C13" s="21" t="s">
        <v>27</v>
      </c>
      <c r="D13" s="21"/>
      <c r="E13" s="28">
        <v>1</v>
      </c>
      <c r="F13" s="31">
        <v>350000</v>
      </c>
      <c r="G13" s="29">
        <v>350000</v>
      </c>
      <c r="H13" s="21" t="s">
        <v>17</v>
      </c>
      <c r="I13" s="21" t="s">
        <v>18</v>
      </c>
      <c r="J13" s="21" t="s">
        <v>19</v>
      </c>
      <c r="K13" s="32">
        <v>1</v>
      </c>
      <c r="L13" s="26">
        <v>350000</v>
      </c>
      <c r="M13" s="33"/>
      <c r="N13" s="26"/>
      <c r="O13" s="33"/>
      <c r="P13" s="26"/>
      <c r="Q13" s="33"/>
      <c r="R13" s="26"/>
    </row>
    <row r="14" spans="2:18" x14ac:dyDescent="0.25">
      <c r="B14" s="20"/>
      <c r="C14" s="21" t="s">
        <v>28</v>
      </c>
      <c r="D14" s="21"/>
      <c r="E14" s="28">
        <v>3</v>
      </c>
      <c r="F14" s="31">
        <v>280000</v>
      </c>
      <c r="G14" s="29">
        <v>840000</v>
      </c>
      <c r="H14" s="21" t="s">
        <v>17</v>
      </c>
      <c r="I14" s="21" t="s">
        <v>18</v>
      </c>
      <c r="J14" s="21" t="s">
        <v>19</v>
      </c>
      <c r="K14" s="32">
        <v>3</v>
      </c>
      <c r="L14" s="26">
        <v>840000</v>
      </c>
      <c r="M14" s="33"/>
      <c r="N14" s="26"/>
      <c r="O14" s="33"/>
      <c r="P14" s="26"/>
      <c r="Q14" s="33"/>
      <c r="R14" s="26"/>
    </row>
    <row r="15" spans="2:18" x14ac:dyDescent="0.25">
      <c r="B15" s="20"/>
      <c r="C15" s="21" t="s">
        <v>29</v>
      </c>
      <c r="D15" s="21"/>
      <c r="E15" s="28">
        <v>1</v>
      </c>
      <c r="F15" s="31">
        <v>2000000</v>
      </c>
      <c r="G15" s="29">
        <v>2000000</v>
      </c>
      <c r="H15" s="21" t="s">
        <v>17</v>
      </c>
      <c r="I15" s="21" t="s">
        <v>18</v>
      </c>
      <c r="J15" s="21" t="s">
        <v>19</v>
      </c>
      <c r="K15" s="32"/>
      <c r="L15" s="26"/>
      <c r="M15" s="33"/>
      <c r="N15" s="26"/>
      <c r="O15" s="33">
        <v>1</v>
      </c>
      <c r="P15" s="26">
        <v>2000000</v>
      </c>
      <c r="Q15" s="33"/>
      <c r="R15" s="26"/>
    </row>
    <row r="16" spans="2:18" x14ac:dyDescent="0.25">
      <c r="B16" s="20"/>
      <c r="C16" s="21" t="s">
        <v>30</v>
      </c>
      <c r="D16" s="21"/>
      <c r="E16" s="28">
        <v>3</v>
      </c>
      <c r="F16" s="31">
        <v>50000</v>
      </c>
      <c r="G16" s="29">
        <v>150000</v>
      </c>
      <c r="H16" s="21" t="s">
        <v>17</v>
      </c>
      <c r="I16" s="21" t="s">
        <v>18</v>
      </c>
      <c r="J16" s="21" t="s">
        <v>19</v>
      </c>
      <c r="K16" s="32">
        <v>3</v>
      </c>
      <c r="L16" s="26">
        <v>150000</v>
      </c>
      <c r="M16" s="33"/>
      <c r="N16" s="26"/>
      <c r="O16" s="33"/>
      <c r="P16" s="26"/>
      <c r="Q16" s="33"/>
      <c r="R16" s="26"/>
    </row>
    <row r="17" spans="2:19" x14ac:dyDescent="0.25">
      <c r="B17" s="20"/>
      <c r="C17" s="21" t="s">
        <v>31</v>
      </c>
      <c r="D17" s="21"/>
      <c r="E17" s="28">
        <v>20</v>
      </c>
      <c r="F17" s="31">
        <v>20000</v>
      </c>
      <c r="G17" s="29">
        <v>400000</v>
      </c>
      <c r="H17" s="21" t="s">
        <v>17</v>
      </c>
      <c r="I17" s="21" t="s">
        <v>18</v>
      </c>
      <c r="J17" s="21" t="s">
        <v>19</v>
      </c>
      <c r="K17" s="32">
        <v>5</v>
      </c>
      <c r="L17" s="26">
        <v>100000</v>
      </c>
      <c r="M17" s="33">
        <v>5</v>
      </c>
      <c r="N17" s="26">
        <v>100000</v>
      </c>
      <c r="O17" s="33">
        <v>5</v>
      </c>
      <c r="P17" s="26">
        <v>100000</v>
      </c>
      <c r="Q17" s="33">
        <v>5</v>
      </c>
      <c r="R17" s="26">
        <v>100000</v>
      </c>
    </row>
    <row r="18" spans="2:19" x14ac:dyDescent="0.25">
      <c r="B18" s="20"/>
      <c r="C18" s="21" t="s">
        <v>32</v>
      </c>
      <c r="D18" s="21"/>
      <c r="E18" s="28">
        <v>1</v>
      </c>
      <c r="F18" s="31">
        <v>7000000</v>
      </c>
      <c r="G18" s="29">
        <v>7000000</v>
      </c>
      <c r="H18" s="21" t="s">
        <v>17</v>
      </c>
      <c r="I18" s="21" t="s">
        <v>18</v>
      </c>
      <c r="J18" s="21" t="s">
        <v>33</v>
      </c>
      <c r="K18" s="32"/>
      <c r="L18" s="26"/>
      <c r="M18" s="33"/>
      <c r="N18" s="26"/>
      <c r="O18" s="33"/>
      <c r="P18" s="26"/>
      <c r="Q18" s="33">
        <v>1</v>
      </c>
      <c r="R18" s="26">
        <v>7000000</v>
      </c>
    </row>
    <row r="19" spans="2:19" x14ac:dyDescent="0.25">
      <c r="B19" s="20"/>
      <c r="C19" s="21" t="s">
        <v>34</v>
      </c>
      <c r="D19" s="21"/>
      <c r="E19" s="28">
        <v>6</v>
      </c>
      <c r="F19" s="31">
        <v>300000</v>
      </c>
      <c r="G19" s="29">
        <v>1800000</v>
      </c>
      <c r="H19" s="21" t="s">
        <v>17</v>
      </c>
      <c r="I19" s="21" t="s">
        <v>18</v>
      </c>
      <c r="J19" s="21" t="s">
        <v>19</v>
      </c>
      <c r="K19" s="32"/>
      <c r="L19" s="26">
        <v>900000</v>
      </c>
      <c r="M19" s="33"/>
      <c r="N19" s="26"/>
      <c r="O19" s="33"/>
      <c r="P19" s="26">
        <v>900000</v>
      </c>
      <c r="Q19" s="33"/>
      <c r="R19" s="26"/>
    </row>
    <row r="20" spans="2:19" x14ac:dyDescent="0.25">
      <c r="B20" s="20"/>
      <c r="C20" s="21" t="s">
        <v>35</v>
      </c>
      <c r="D20" s="21"/>
      <c r="E20" s="28">
        <v>12</v>
      </c>
      <c r="F20" s="31">
        <v>6000</v>
      </c>
      <c r="G20" s="29">
        <v>72000</v>
      </c>
      <c r="H20" s="21" t="s">
        <v>17</v>
      </c>
      <c r="I20" s="21" t="s">
        <v>18</v>
      </c>
      <c r="J20" s="21" t="s">
        <v>19</v>
      </c>
      <c r="K20" s="32"/>
      <c r="L20" s="26">
        <v>18000</v>
      </c>
      <c r="M20" s="33"/>
      <c r="N20" s="26">
        <v>18000</v>
      </c>
      <c r="O20" s="33"/>
      <c r="P20" s="26">
        <v>18000</v>
      </c>
      <c r="Q20" s="33"/>
      <c r="R20" s="26">
        <v>18000</v>
      </c>
      <c r="S20" t="s">
        <v>36</v>
      </c>
    </row>
    <row r="21" spans="2:19" x14ac:dyDescent="0.25">
      <c r="B21" s="20"/>
      <c r="C21" s="21"/>
      <c r="D21" s="21"/>
      <c r="E21" s="28"/>
      <c r="F21" s="31"/>
      <c r="G21" s="29"/>
      <c r="H21" s="21"/>
      <c r="I21" s="21"/>
      <c r="J21" s="21"/>
      <c r="K21" s="32"/>
      <c r="L21" s="26"/>
      <c r="M21" s="33"/>
      <c r="N21" s="26"/>
      <c r="O21" s="33"/>
      <c r="P21" s="26"/>
      <c r="Q21" s="33"/>
      <c r="R21" s="26"/>
    </row>
    <row r="22" spans="2:19" x14ac:dyDescent="0.25">
      <c r="B22" s="20"/>
      <c r="C22" s="21"/>
      <c r="D22" s="21"/>
      <c r="E22" s="28"/>
      <c r="F22" s="31"/>
      <c r="G22" s="29"/>
      <c r="H22" s="21"/>
      <c r="I22" s="21"/>
      <c r="J22" s="21"/>
      <c r="K22" s="32"/>
      <c r="L22" s="26"/>
      <c r="M22" s="33"/>
      <c r="N22" s="26"/>
      <c r="O22" s="33"/>
      <c r="P22" s="26"/>
      <c r="Q22" s="33"/>
      <c r="R22" s="26"/>
    </row>
    <row r="23" spans="2:19" x14ac:dyDescent="0.25">
      <c r="B23" s="20"/>
      <c r="C23" s="21"/>
      <c r="D23" s="21"/>
      <c r="E23" s="28"/>
      <c r="F23" s="31"/>
      <c r="G23" s="29"/>
      <c r="H23" s="21"/>
      <c r="I23" s="21"/>
      <c r="J23" s="21"/>
      <c r="K23" s="32"/>
      <c r="L23" s="26"/>
      <c r="M23" s="33"/>
      <c r="N23" s="26"/>
      <c r="O23" s="33"/>
      <c r="P23" s="26"/>
      <c r="Q23" s="33"/>
      <c r="R23" s="26"/>
    </row>
    <row r="24" spans="2:19" x14ac:dyDescent="0.25">
      <c r="B24" s="20"/>
      <c r="C24" s="2" t="s">
        <v>15</v>
      </c>
      <c r="D24" s="21"/>
      <c r="E24" s="28"/>
      <c r="F24" s="23"/>
      <c r="G24" s="34">
        <f>SUM(G5:G23)</f>
        <v>14077000</v>
      </c>
      <c r="H24" s="35"/>
      <c r="I24" s="21"/>
      <c r="J24" s="21"/>
      <c r="K24" s="25"/>
      <c r="L24" s="36">
        <f>SUM(L5:L23)</f>
        <v>2698000</v>
      </c>
      <c r="M24" s="37"/>
      <c r="N24" s="38">
        <f>SUM(N5:N23)</f>
        <v>1068000</v>
      </c>
      <c r="O24" s="27"/>
      <c r="P24" s="38">
        <f>SUM(P5:P23)</f>
        <v>3193000</v>
      </c>
      <c r="Q24" s="27"/>
      <c r="R24" s="38">
        <f>SUM(R5:R23)</f>
        <v>7118000</v>
      </c>
    </row>
  </sheetData>
  <mergeCells count="5">
    <mergeCell ref="K2:R2"/>
    <mergeCell ref="K3:L3"/>
    <mergeCell ref="M3:N3"/>
    <mergeCell ref="O3:P3"/>
    <mergeCell ref="Q3:R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 Proc plan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Moonlash</cp:lastModifiedBy>
  <dcterms:created xsi:type="dcterms:W3CDTF">2023-06-09T06:37:43Z</dcterms:created>
  <dcterms:modified xsi:type="dcterms:W3CDTF">2024-05-04T09:07:09Z</dcterms:modified>
</cp:coreProperties>
</file>