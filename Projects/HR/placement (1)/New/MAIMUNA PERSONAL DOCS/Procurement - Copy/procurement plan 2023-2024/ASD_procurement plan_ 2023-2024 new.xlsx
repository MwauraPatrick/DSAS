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15"/>
  </bookViews>
  <sheets>
    <sheet name="Clustered" sheetId="1" r:id="rId1"/>
    <sheet name="Pooled togeth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1" i="1" l="1"/>
  <c r="N171" i="1"/>
  <c r="G172" i="1"/>
  <c r="N172" i="1"/>
  <c r="G173" i="1"/>
  <c r="N173" i="1"/>
  <c r="G174" i="1"/>
  <c r="N174" i="1"/>
  <c r="G175" i="1"/>
  <c r="N175" i="1"/>
  <c r="M221" i="2" l="1"/>
  <c r="F221" i="2"/>
  <c r="M220" i="2"/>
  <c r="F220" i="2"/>
  <c r="M219" i="2"/>
  <c r="F219" i="2"/>
  <c r="M218" i="2"/>
  <c r="F218" i="2"/>
  <c r="M217" i="2"/>
  <c r="F217" i="2"/>
  <c r="M216" i="2"/>
  <c r="F216" i="2"/>
  <c r="M215" i="2"/>
  <c r="F215" i="2"/>
  <c r="M214" i="2"/>
  <c r="F214" i="2"/>
  <c r="M213" i="2"/>
  <c r="F213" i="2"/>
  <c r="Q212" i="2"/>
  <c r="O212" i="2"/>
  <c r="M212" i="2"/>
  <c r="K212" i="2"/>
  <c r="F212" i="2"/>
  <c r="Q211" i="2"/>
  <c r="O211" i="2"/>
  <c r="M211" i="2"/>
  <c r="K211" i="2"/>
  <c r="F211" i="2"/>
  <c r="Q210" i="2"/>
  <c r="O210" i="2"/>
  <c r="M210" i="2"/>
  <c r="K210" i="2"/>
  <c r="F210" i="2"/>
  <c r="O209" i="2"/>
  <c r="M209" i="2"/>
  <c r="K209" i="2"/>
  <c r="F209" i="2"/>
  <c r="Q208" i="2"/>
  <c r="M208" i="2"/>
  <c r="F208" i="2"/>
  <c r="Q207" i="2"/>
  <c r="M207" i="2"/>
  <c r="F207" i="2"/>
  <c r="M206" i="2"/>
  <c r="F206" i="2"/>
  <c r="M205" i="2"/>
  <c r="F205" i="2"/>
  <c r="M204" i="2"/>
  <c r="F204" i="2"/>
  <c r="Q203" i="2"/>
  <c r="O203" i="2"/>
  <c r="M203" i="2"/>
  <c r="K203" i="2"/>
  <c r="F203" i="2"/>
  <c r="Q202" i="2"/>
  <c r="O202" i="2"/>
  <c r="M202" i="2"/>
  <c r="K202" i="2"/>
  <c r="F202" i="2"/>
  <c r="Q201" i="2"/>
  <c r="O201" i="2"/>
  <c r="M201" i="2"/>
  <c r="K201" i="2"/>
  <c r="F201" i="2"/>
  <c r="Q200" i="2"/>
  <c r="M200" i="2"/>
  <c r="F200" i="2"/>
  <c r="Q199" i="2"/>
  <c r="M199" i="2"/>
  <c r="F199" i="2"/>
  <c r="Q198" i="2"/>
  <c r="M198" i="2"/>
  <c r="F198" i="2"/>
  <c r="Q197" i="2"/>
  <c r="M197" i="2"/>
  <c r="F197" i="2"/>
  <c r="Q196" i="2"/>
  <c r="M196" i="2"/>
  <c r="F196" i="2"/>
  <c r="Q195" i="2"/>
  <c r="M195" i="2"/>
  <c r="F195" i="2"/>
  <c r="Q194" i="2"/>
  <c r="M194" i="2"/>
  <c r="F194" i="2"/>
  <c r="Q193" i="2"/>
  <c r="M193" i="2"/>
  <c r="F193" i="2"/>
  <c r="Q192" i="2"/>
  <c r="M192" i="2"/>
  <c r="F192" i="2"/>
  <c r="Q191" i="2"/>
  <c r="M191" i="2"/>
  <c r="F191" i="2"/>
  <c r="Q190" i="2"/>
  <c r="M190" i="2"/>
  <c r="F190" i="2"/>
  <c r="Q189" i="2"/>
  <c r="M189" i="2"/>
  <c r="F189" i="2"/>
  <c r="Q188" i="2"/>
  <c r="M188" i="2"/>
  <c r="F188" i="2"/>
  <c r="Q187" i="2"/>
  <c r="M187" i="2"/>
  <c r="F187" i="2"/>
  <c r="Q186" i="2"/>
  <c r="M186" i="2"/>
  <c r="F186" i="2"/>
  <c r="Q185" i="2"/>
  <c r="M185" i="2"/>
  <c r="F185" i="2"/>
  <c r="Q184" i="2"/>
  <c r="M184" i="2"/>
  <c r="F184" i="2"/>
  <c r="Q183" i="2"/>
  <c r="M183" i="2"/>
  <c r="F183" i="2"/>
  <c r="Q182" i="2"/>
  <c r="M182" i="2"/>
  <c r="F182" i="2"/>
  <c r="Q181" i="2"/>
  <c r="M181" i="2"/>
  <c r="F181" i="2"/>
  <c r="Q180" i="2"/>
  <c r="M180" i="2"/>
  <c r="F180" i="2"/>
  <c r="Q179" i="2"/>
  <c r="M179" i="2"/>
  <c r="F179" i="2"/>
  <c r="Q178" i="2"/>
  <c r="M178" i="2"/>
  <c r="F178" i="2"/>
  <c r="Q177" i="2"/>
  <c r="M177" i="2"/>
  <c r="F177" i="2"/>
  <c r="Q176" i="2"/>
  <c r="M176" i="2"/>
  <c r="F176" i="2"/>
  <c r="Q175" i="2"/>
  <c r="M175" i="2"/>
  <c r="F175" i="2"/>
  <c r="Q174" i="2"/>
  <c r="M174" i="2"/>
  <c r="F174" i="2"/>
  <c r="O173" i="2"/>
  <c r="K173" i="2"/>
  <c r="F173" i="2"/>
  <c r="O172" i="2"/>
  <c r="K172" i="2"/>
  <c r="F172" i="2"/>
  <c r="O171" i="2"/>
  <c r="K171" i="2"/>
  <c r="F171" i="2"/>
  <c r="O170" i="2"/>
  <c r="K170" i="2"/>
  <c r="F170" i="2"/>
  <c r="O169" i="2"/>
  <c r="K169" i="2"/>
  <c r="F169" i="2"/>
  <c r="M168" i="2"/>
  <c r="F168" i="2"/>
  <c r="M167" i="2"/>
  <c r="F167" i="2"/>
  <c r="M166" i="2"/>
  <c r="F166" i="2"/>
  <c r="M165" i="2"/>
  <c r="F165" i="2"/>
  <c r="M164" i="2"/>
  <c r="F164" i="2"/>
  <c r="M163" i="2"/>
  <c r="F163" i="2"/>
  <c r="M162" i="2"/>
  <c r="F162" i="2"/>
  <c r="M161" i="2"/>
  <c r="F161" i="2"/>
  <c r="M160" i="2"/>
  <c r="F160" i="2"/>
  <c r="M159" i="2"/>
  <c r="F159" i="2"/>
  <c r="M158" i="2"/>
  <c r="F158" i="2"/>
  <c r="M157" i="2"/>
  <c r="F157" i="2"/>
  <c r="M156" i="2"/>
  <c r="F156" i="2"/>
  <c r="M155" i="2"/>
  <c r="F155" i="2"/>
  <c r="M154" i="2"/>
  <c r="F154" i="2"/>
  <c r="M153" i="2"/>
  <c r="F153" i="2"/>
  <c r="M152" i="2"/>
  <c r="F152" i="2"/>
  <c r="M151" i="2"/>
  <c r="F151" i="2"/>
  <c r="M150" i="2"/>
  <c r="F150" i="2"/>
  <c r="M149" i="2"/>
  <c r="F149" i="2"/>
  <c r="M148" i="2"/>
  <c r="F148" i="2"/>
  <c r="O147" i="2"/>
  <c r="K147" i="2"/>
  <c r="F147" i="2"/>
  <c r="O146" i="2"/>
  <c r="K146" i="2"/>
  <c r="F146" i="2"/>
  <c r="O145" i="2"/>
  <c r="K145" i="2"/>
  <c r="F145" i="2"/>
  <c r="O144" i="2"/>
  <c r="K144" i="2"/>
  <c r="F144" i="2"/>
  <c r="O143" i="2"/>
  <c r="K143" i="2"/>
  <c r="F143" i="2"/>
  <c r="O142" i="2"/>
  <c r="K142" i="2"/>
  <c r="F142" i="2"/>
  <c r="O141" i="2"/>
  <c r="K141" i="2"/>
  <c r="F141" i="2"/>
  <c r="O140" i="2"/>
  <c r="K140" i="2"/>
  <c r="F140" i="2"/>
  <c r="O139" i="2"/>
  <c r="K139" i="2"/>
  <c r="F139" i="2"/>
  <c r="O138" i="2"/>
  <c r="K138" i="2"/>
  <c r="F138" i="2"/>
  <c r="O137" i="2"/>
  <c r="K137" i="2"/>
  <c r="F137" i="2"/>
  <c r="O136" i="2"/>
  <c r="M136" i="2"/>
  <c r="F136" i="2"/>
  <c r="O135" i="2"/>
  <c r="M135" i="2"/>
  <c r="F135" i="2"/>
  <c r="O134" i="2"/>
  <c r="K134" i="2"/>
  <c r="F134" i="2"/>
  <c r="O133" i="2"/>
  <c r="K133" i="2"/>
  <c r="F133" i="2"/>
  <c r="O132" i="2"/>
  <c r="K132" i="2"/>
  <c r="F132" i="2"/>
  <c r="O131" i="2"/>
  <c r="K131" i="2"/>
  <c r="F131" i="2"/>
  <c r="O130" i="2"/>
  <c r="K130" i="2"/>
  <c r="F130" i="2"/>
  <c r="O129" i="2"/>
  <c r="K129" i="2"/>
  <c r="F129" i="2"/>
  <c r="O128" i="2"/>
  <c r="K128" i="2"/>
  <c r="F128" i="2"/>
  <c r="O127" i="2"/>
  <c r="K127" i="2"/>
  <c r="F127" i="2"/>
  <c r="O126" i="2"/>
  <c r="K126" i="2"/>
  <c r="F126" i="2"/>
  <c r="O125" i="2"/>
  <c r="K125" i="2"/>
  <c r="F125" i="2"/>
  <c r="O124" i="2"/>
  <c r="K124" i="2"/>
  <c r="F124" i="2"/>
  <c r="O123" i="2"/>
  <c r="K123" i="2"/>
  <c r="F123" i="2"/>
  <c r="O122" i="2"/>
  <c r="K122" i="2"/>
  <c r="F122" i="2"/>
  <c r="O121" i="2"/>
  <c r="K121" i="2"/>
  <c r="F121" i="2"/>
  <c r="O120" i="2"/>
  <c r="K120" i="2"/>
  <c r="F120" i="2"/>
  <c r="O119" i="2"/>
  <c r="K119" i="2"/>
  <c r="F119" i="2"/>
  <c r="O118" i="2"/>
  <c r="K118" i="2"/>
  <c r="F118" i="2"/>
  <c r="O117" i="2"/>
  <c r="K117" i="2"/>
  <c r="F117" i="2"/>
  <c r="O116" i="2"/>
  <c r="K116" i="2"/>
  <c r="F116" i="2"/>
  <c r="O115" i="2"/>
  <c r="K115" i="2"/>
  <c r="F115" i="2"/>
  <c r="O114" i="2"/>
  <c r="K114" i="2"/>
  <c r="F114" i="2"/>
  <c r="K113" i="2"/>
  <c r="F113" i="2"/>
  <c r="Q112" i="2"/>
  <c r="M112" i="2"/>
  <c r="K112" i="2"/>
  <c r="F112" i="2"/>
  <c r="Q111" i="2"/>
  <c r="M111" i="2"/>
  <c r="K111" i="2"/>
  <c r="F111" i="2"/>
  <c r="Q110" i="2"/>
  <c r="M110" i="2"/>
  <c r="K110" i="2"/>
  <c r="F110" i="2"/>
  <c r="Q109" i="2"/>
  <c r="M109" i="2"/>
  <c r="K109" i="2"/>
  <c r="F109" i="2"/>
  <c r="Q108" i="2"/>
  <c r="M108" i="2"/>
  <c r="K108" i="2"/>
  <c r="F108" i="2"/>
  <c r="Q107" i="2"/>
  <c r="M107" i="2"/>
  <c r="K107" i="2"/>
  <c r="F107" i="2"/>
  <c r="Q106" i="2"/>
  <c r="M106" i="2"/>
  <c r="K106" i="2"/>
  <c r="F106" i="2"/>
  <c r="Q105" i="2"/>
  <c r="M105" i="2"/>
  <c r="K105" i="2"/>
  <c r="F105" i="2"/>
  <c r="Q104" i="2"/>
  <c r="M104" i="2"/>
  <c r="K104" i="2"/>
  <c r="F104" i="2"/>
  <c r="Q103" i="2"/>
  <c r="O103" i="2"/>
  <c r="M103" i="2"/>
  <c r="K103" i="2"/>
  <c r="F103" i="2"/>
  <c r="Q102" i="2"/>
  <c r="O102" i="2"/>
  <c r="M102" i="2"/>
  <c r="K102" i="2"/>
  <c r="F102" i="2"/>
  <c r="Q101" i="2"/>
  <c r="O101" i="2"/>
  <c r="M101" i="2"/>
  <c r="K101" i="2"/>
  <c r="F101" i="2"/>
  <c r="Q100" i="2"/>
  <c r="O100" i="2"/>
  <c r="M100" i="2"/>
  <c r="K100" i="2"/>
  <c r="F100" i="2"/>
  <c r="Q99" i="2"/>
  <c r="O99" i="2"/>
  <c r="M99" i="2"/>
  <c r="K99" i="2"/>
  <c r="F99" i="2"/>
  <c r="Q98" i="2"/>
  <c r="O98" i="2"/>
  <c r="M98" i="2"/>
  <c r="K98" i="2"/>
  <c r="F98" i="2"/>
  <c r="Q97" i="2"/>
  <c r="O97" i="2"/>
  <c r="M97" i="2"/>
  <c r="K97" i="2"/>
  <c r="F97" i="2"/>
  <c r="Q96" i="2"/>
  <c r="O96" i="2"/>
  <c r="M96" i="2"/>
  <c r="K96" i="2"/>
  <c r="F96" i="2"/>
  <c r="Q95" i="2"/>
  <c r="O95" i="2"/>
  <c r="M95" i="2"/>
  <c r="K95" i="2"/>
  <c r="F95" i="2"/>
  <c r="Q94" i="2"/>
  <c r="O94" i="2"/>
  <c r="M94" i="2"/>
  <c r="K94" i="2"/>
  <c r="F94" i="2"/>
  <c r="Q93" i="2"/>
  <c r="O93" i="2"/>
  <c r="M93" i="2"/>
  <c r="K93" i="2"/>
  <c r="F93" i="2"/>
  <c r="Q92" i="2"/>
  <c r="O92" i="2"/>
  <c r="M92" i="2"/>
  <c r="K92" i="2"/>
  <c r="F92" i="2"/>
  <c r="Q91" i="2"/>
  <c r="O91" i="2"/>
  <c r="M91" i="2"/>
  <c r="K91" i="2"/>
  <c r="F91" i="2"/>
  <c r="Q90" i="2"/>
  <c r="O90" i="2"/>
  <c r="M90" i="2"/>
  <c r="K90" i="2"/>
  <c r="F90" i="2"/>
  <c r="Q89" i="2"/>
  <c r="O89" i="2"/>
  <c r="M89" i="2"/>
  <c r="K89" i="2"/>
  <c r="F89" i="2"/>
  <c r="Q88" i="2"/>
  <c r="O88" i="2"/>
  <c r="M88" i="2"/>
  <c r="K88" i="2"/>
  <c r="F88" i="2"/>
  <c r="O87" i="2"/>
  <c r="K87" i="2"/>
  <c r="F87" i="2"/>
  <c r="O86" i="2"/>
  <c r="K86" i="2"/>
  <c r="F86" i="2"/>
  <c r="Q85" i="2"/>
  <c r="O85" i="2"/>
  <c r="M85" i="2"/>
  <c r="K85" i="2"/>
  <c r="F85" i="2"/>
  <c r="Q84" i="2"/>
  <c r="O84" i="2"/>
  <c r="M84" i="2"/>
  <c r="K84" i="2"/>
  <c r="F84" i="2"/>
  <c r="O83" i="2"/>
  <c r="K83" i="2"/>
  <c r="F83" i="2"/>
  <c r="O82" i="2"/>
  <c r="K82" i="2"/>
  <c r="F82" i="2"/>
  <c r="O81" i="2"/>
  <c r="K81" i="2"/>
  <c r="F81" i="2"/>
  <c r="O80" i="2"/>
  <c r="K80" i="2"/>
  <c r="F80" i="2"/>
  <c r="O79" i="2"/>
  <c r="K79" i="2"/>
  <c r="F79" i="2"/>
  <c r="O78" i="2"/>
  <c r="K78" i="2"/>
  <c r="F78" i="2"/>
  <c r="O77" i="2"/>
  <c r="K77" i="2"/>
  <c r="F77" i="2"/>
  <c r="O76" i="2"/>
  <c r="K76" i="2"/>
  <c r="F76" i="2"/>
  <c r="O75" i="2"/>
  <c r="K75" i="2"/>
  <c r="F75" i="2"/>
  <c r="O74" i="2"/>
  <c r="K74" i="2"/>
  <c r="F74" i="2"/>
  <c r="O73" i="2"/>
  <c r="K73" i="2"/>
  <c r="F73" i="2"/>
  <c r="O72" i="2"/>
  <c r="K72" i="2"/>
  <c r="F72" i="2"/>
  <c r="O71" i="2"/>
  <c r="K71" i="2"/>
  <c r="F71" i="2"/>
  <c r="O70" i="2"/>
  <c r="K70" i="2"/>
  <c r="F70" i="2"/>
  <c r="O69" i="2"/>
  <c r="K69" i="2"/>
  <c r="F69" i="2"/>
  <c r="O68" i="2"/>
  <c r="K68" i="2"/>
  <c r="F68" i="2"/>
  <c r="O67" i="2"/>
  <c r="K67" i="2"/>
  <c r="F67" i="2"/>
  <c r="O66" i="2"/>
  <c r="K66" i="2"/>
  <c r="F66" i="2"/>
  <c r="O65" i="2"/>
  <c r="K65" i="2"/>
  <c r="F65" i="2"/>
  <c r="O64" i="2"/>
  <c r="K64" i="2"/>
  <c r="F64" i="2"/>
  <c r="O63" i="2"/>
  <c r="K63" i="2"/>
  <c r="F63" i="2"/>
  <c r="O62" i="2"/>
  <c r="K62" i="2"/>
  <c r="F62" i="2"/>
  <c r="O61" i="2"/>
  <c r="K61" i="2"/>
  <c r="F61" i="2"/>
  <c r="O60" i="2"/>
  <c r="K60" i="2"/>
  <c r="F60" i="2"/>
  <c r="Q59" i="2"/>
  <c r="M59" i="2"/>
  <c r="F59" i="2"/>
  <c r="Q58" i="2"/>
  <c r="M58" i="2"/>
  <c r="F58" i="2"/>
  <c r="Q57" i="2"/>
  <c r="M57" i="2"/>
  <c r="F57" i="2"/>
  <c r="Q56" i="2"/>
  <c r="M56" i="2"/>
  <c r="F56" i="2"/>
  <c r="Q55" i="2"/>
  <c r="M55" i="2"/>
  <c r="F55" i="2"/>
  <c r="Q54" i="2"/>
  <c r="O54" i="2"/>
  <c r="M54" i="2"/>
  <c r="K54" i="2"/>
  <c r="F54" i="2"/>
  <c r="Q53" i="2"/>
  <c r="O53" i="2"/>
  <c r="M53" i="2"/>
  <c r="K53" i="2"/>
  <c r="F53" i="2"/>
  <c r="Q52" i="2"/>
  <c r="O52" i="2"/>
  <c r="M52" i="2"/>
  <c r="K52" i="2"/>
  <c r="F52" i="2"/>
  <c r="Q51" i="2"/>
  <c r="O51" i="2"/>
  <c r="M51" i="2"/>
  <c r="K51" i="2"/>
  <c r="F51" i="2"/>
  <c r="K50" i="2"/>
  <c r="F50" i="2"/>
  <c r="Q49" i="2"/>
  <c r="O49" i="2"/>
  <c r="M49" i="2"/>
  <c r="K49" i="2"/>
  <c r="F49" i="2"/>
  <c r="Q48" i="2"/>
  <c r="O48" i="2"/>
  <c r="M48" i="2"/>
  <c r="K48" i="2"/>
  <c r="F48" i="2"/>
  <c r="Q47" i="2"/>
  <c r="O47" i="2"/>
  <c r="M47" i="2"/>
  <c r="K47" i="2"/>
  <c r="F47" i="2"/>
  <c r="Q46" i="2"/>
  <c r="O46" i="2"/>
  <c r="M46" i="2"/>
  <c r="K46" i="2"/>
  <c r="F46" i="2"/>
  <c r="Q45" i="2"/>
  <c r="O45" i="2"/>
  <c r="M45" i="2"/>
  <c r="K45" i="2"/>
  <c r="F45" i="2"/>
  <c r="Q44" i="2"/>
  <c r="O44" i="2"/>
  <c r="M44" i="2"/>
  <c r="K44" i="2"/>
  <c r="F44" i="2"/>
  <c r="Q43" i="2"/>
  <c r="O43" i="2"/>
  <c r="M43" i="2"/>
  <c r="K43" i="2"/>
  <c r="F43" i="2"/>
  <c r="Q42" i="2"/>
  <c r="O42" i="2"/>
  <c r="M42" i="2"/>
  <c r="K42" i="2"/>
  <c r="F42" i="2"/>
  <c r="Q41" i="2"/>
  <c r="O41" i="2"/>
  <c r="M41" i="2"/>
  <c r="K41" i="2"/>
  <c r="F41" i="2"/>
  <c r="Q40" i="2"/>
  <c r="O40" i="2"/>
  <c r="M40" i="2"/>
  <c r="K40" i="2"/>
  <c r="F40" i="2"/>
  <c r="Q39" i="2"/>
  <c r="O39" i="2"/>
  <c r="M39" i="2"/>
  <c r="K39" i="2"/>
  <c r="F39" i="2"/>
  <c r="Q38" i="2"/>
  <c r="O38" i="2"/>
  <c r="M38" i="2"/>
  <c r="K38" i="2"/>
  <c r="F38" i="2"/>
  <c r="Q37" i="2"/>
  <c r="O37" i="2"/>
  <c r="M37" i="2"/>
  <c r="K37" i="2"/>
  <c r="F37" i="2"/>
  <c r="Q36" i="2"/>
  <c r="O36" i="2"/>
  <c r="M36" i="2"/>
  <c r="K36" i="2"/>
  <c r="F36" i="2"/>
  <c r="Q35" i="2"/>
  <c r="O35" i="2"/>
  <c r="M35" i="2"/>
  <c r="K35" i="2"/>
  <c r="F35" i="2"/>
  <c r="Q34" i="2"/>
  <c r="M34" i="2"/>
  <c r="K34" i="2"/>
  <c r="F34" i="2"/>
  <c r="K33" i="2"/>
  <c r="F33" i="2"/>
  <c r="K32" i="2"/>
  <c r="F32" i="2"/>
  <c r="Q31" i="2"/>
  <c r="O31" i="2"/>
  <c r="M31" i="2"/>
  <c r="K31" i="2"/>
  <c r="F31" i="2"/>
  <c r="Q30" i="2"/>
  <c r="O30" i="2"/>
  <c r="M30" i="2"/>
  <c r="K30" i="2"/>
  <c r="F30" i="2"/>
  <c r="Q29" i="2"/>
  <c r="O29" i="2"/>
  <c r="M29" i="2"/>
  <c r="K29" i="2"/>
  <c r="F29" i="2"/>
  <c r="Q28" i="2"/>
  <c r="O28" i="2"/>
  <c r="M28" i="2"/>
  <c r="K28" i="2"/>
  <c r="F28" i="2"/>
  <c r="Q27" i="2"/>
  <c r="O27" i="2"/>
  <c r="M27" i="2"/>
  <c r="K27" i="2"/>
  <c r="F27" i="2"/>
  <c r="Q26" i="2"/>
  <c r="O26" i="2"/>
  <c r="M26" i="2"/>
  <c r="K26" i="2"/>
  <c r="F26" i="2"/>
  <c r="Q25" i="2"/>
  <c r="O25" i="2"/>
  <c r="M25" i="2"/>
  <c r="K25" i="2"/>
  <c r="F25" i="2"/>
  <c r="Q24" i="2"/>
  <c r="O24" i="2"/>
  <c r="M24" i="2"/>
  <c r="K24" i="2"/>
  <c r="F24" i="2"/>
  <c r="Q23" i="2"/>
  <c r="O23" i="2"/>
  <c r="M23" i="2"/>
  <c r="K23" i="2"/>
  <c r="F23" i="2"/>
  <c r="Q22" i="2"/>
  <c r="O22" i="2"/>
  <c r="M22" i="2"/>
  <c r="K22" i="2"/>
  <c r="F22" i="2"/>
  <c r="Q21" i="2"/>
  <c r="O21" i="2"/>
  <c r="M21" i="2"/>
  <c r="K21" i="2"/>
  <c r="F21" i="2"/>
  <c r="Q20" i="2"/>
  <c r="O20" i="2"/>
  <c r="M20" i="2"/>
  <c r="K20" i="2"/>
  <c r="F20" i="2"/>
  <c r="Q19" i="2"/>
  <c r="O19" i="2"/>
  <c r="M19" i="2"/>
  <c r="K19" i="2"/>
  <c r="F19" i="2"/>
  <c r="Q18" i="2"/>
  <c r="O18" i="2"/>
  <c r="M18" i="2"/>
  <c r="K18" i="2"/>
  <c r="F18" i="2"/>
  <c r="Q17" i="2"/>
  <c r="O17" i="2"/>
  <c r="M17" i="2"/>
  <c r="K17" i="2"/>
  <c r="F17" i="2"/>
  <c r="Q16" i="2"/>
  <c r="O16" i="2"/>
  <c r="M16" i="2"/>
  <c r="K16" i="2"/>
  <c r="F16" i="2"/>
  <c r="Q15" i="2"/>
  <c r="O15" i="2"/>
  <c r="M15" i="2"/>
  <c r="K15" i="2"/>
  <c r="F15" i="2"/>
  <c r="Q14" i="2"/>
  <c r="O14" i="2"/>
  <c r="M14" i="2"/>
  <c r="K14" i="2"/>
  <c r="F14" i="2"/>
  <c r="Q13" i="2"/>
  <c r="O13" i="2"/>
  <c r="M13" i="2"/>
  <c r="K13" i="2"/>
  <c r="F13" i="2"/>
  <c r="Q12" i="2"/>
  <c r="O12" i="2"/>
  <c r="M12" i="2"/>
  <c r="K12" i="2"/>
  <c r="F12" i="2"/>
  <c r="Q11" i="2"/>
  <c r="O11" i="2"/>
  <c r="M11" i="2"/>
  <c r="K11" i="2"/>
  <c r="F11" i="2"/>
  <c r="O10" i="2"/>
  <c r="M10" i="2"/>
  <c r="K10" i="2"/>
  <c r="F10" i="2"/>
  <c r="Q9" i="2"/>
  <c r="O9" i="2"/>
  <c r="M9" i="2"/>
  <c r="K9" i="2"/>
  <c r="F9" i="2"/>
  <c r="Q8" i="2"/>
  <c r="O8" i="2"/>
  <c r="M8" i="2"/>
  <c r="K8" i="2"/>
  <c r="F8" i="2"/>
  <c r="Q7" i="2"/>
  <c r="O7" i="2"/>
  <c r="M7" i="2"/>
  <c r="K7" i="2"/>
  <c r="F7" i="2"/>
  <c r="Q6" i="2"/>
  <c r="O6" i="2"/>
  <c r="M6" i="2"/>
  <c r="K6" i="2"/>
  <c r="F6" i="2"/>
  <c r="Q5" i="2"/>
  <c r="O5" i="2"/>
  <c r="M5" i="2"/>
  <c r="K5" i="2"/>
  <c r="F5" i="2"/>
  <c r="Q4" i="2"/>
  <c r="O4" i="2"/>
  <c r="M4" i="2"/>
  <c r="K4" i="2"/>
  <c r="F4" i="2"/>
  <c r="K222" i="2" l="1"/>
  <c r="M222" i="2"/>
  <c r="O222" i="2"/>
  <c r="F222" i="2"/>
  <c r="Q222" i="2"/>
  <c r="L253" i="1"/>
  <c r="S253" i="1" s="1"/>
  <c r="P253" i="1"/>
  <c r="N253" i="1"/>
  <c r="R253" i="1"/>
  <c r="G253" i="1"/>
  <c r="R7" i="1"/>
  <c r="R8" i="1"/>
  <c r="R9" i="1"/>
  <c r="R10" i="1"/>
  <c r="R11" i="1"/>
  <c r="R13" i="1"/>
  <c r="R15" i="1"/>
  <c r="R16" i="1"/>
  <c r="R17" i="1"/>
  <c r="R18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40" i="1"/>
  <c r="R41" i="1"/>
  <c r="R42" i="1"/>
  <c r="R44" i="1"/>
  <c r="R45" i="1"/>
  <c r="R46" i="1"/>
  <c r="R47" i="1"/>
  <c r="R48" i="1"/>
  <c r="R49" i="1"/>
  <c r="R50" i="1"/>
  <c r="R51" i="1"/>
  <c r="R53" i="1"/>
  <c r="R54" i="1"/>
  <c r="R55" i="1"/>
  <c r="R56" i="1"/>
  <c r="R57" i="1"/>
  <c r="R59" i="1"/>
  <c r="R60" i="1"/>
  <c r="R61" i="1"/>
  <c r="R62" i="1"/>
  <c r="R64" i="1"/>
  <c r="R65" i="1"/>
  <c r="R66" i="1"/>
  <c r="R67" i="1"/>
  <c r="R68" i="1"/>
  <c r="R97" i="1"/>
  <c r="R98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7" i="1"/>
  <c r="R228" i="1"/>
  <c r="R229" i="1"/>
  <c r="R235" i="1"/>
  <c r="R236" i="1"/>
  <c r="R240" i="1"/>
  <c r="R241" i="1"/>
  <c r="R242" i="1"/>
  <c r="P7" i="1"/>
  <c r="P8" i="1"/>
  <c r="P9" i="1"/>
  <c r="P10" i="1"/>
  <c r="P11" i="1"/>
  <c r="P12" i="1"/>
  <c r="P13" i="1"/>
  <c r="P15" i="1"/>
  <c r="P16" i="1"/>
  <c r="P17" i="1"/>
  <c r="P18" i="1"/>
  <c r="P20" i="1"/>
  <c r="P21" i="1"/>
  <c r="P22" i="1"/>
  <c r="P24" i="1"/>
  <c r="P25" i="1"/>
  <c r="P26" i="1"/>
  <c r="P27" i="1"/>
  <c r="P28" i="1"/>
  <c r="P29" i="1"/>
  <c r="P30" i="1"/>
  <c r="P31" i="1"/>
  <c r="P32" i="1"/>
  <c r="P33" i="1"/>
  <c r="P34" i="1"/>
  <c r="P35" i="1"/>
  <c r="P37" i="1"/>
  <c r="P41" i="1"/>
  <c r="P42" i="1"/>
  <c r="P44" i="1"/>
  <c r="P45" i="1"/>
  <c r="P46" i="1"/>
  <c r="P47" i="1"/>
  <c r="P48" i="1"/>
  <c r="P49" i="1"/>
  <c r="P50" i="1"/>
  <c r="P51" i="1"/>
  <c r="P53" i="1"/>
  <c r="P54" i="1"/>
  <c r="P55" i="1"/>
  <c r="P56" i="1"/>
  <c r="P57" i="1"/>
  <c r="P59" i="1"/>
  <c r="P60" i="1"/>
  <c r="P61" i="1"/>
  <c r="P62" i="1"/>
  <c r="P70" i="1"/>
  <c r="P71" i="1"/>
  <c r="P72" i="1"/>
  <c r="P73" i="1"/>
  <c r="P74" i="1"/>
  <c r="P75" i="1"/>
  <c r="P76" i="1"/>
  <c r="P77" i="1"/>
  <c r="P78" i="1"/>
  <c r="P79" i="1"/>
  <c r="P80" i="1"/>
  <c r="P82" i="1"/>
  <c r="P83" i="1"/>
  <c r="P84" i="1"/>
  <c r="P86" i="1"/>
  <c r="P87" i="1"/>
  <c r="P88" i="1"/>
  <c r="P90" i="1"/>
  <c r="P91" i="1"/>
  <c r="P92" i="1"/>
  <c r="P93" i="1"/>
  <c r="P94" i="1"/>
  <c r="P95" i="1"/>
  <c r="P96" i="1"/>
  <c r="P97" i="1"/>
  <c r="P98" i="1"/>
  <c r="P99" i="1"/>
  <c r="P101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30" i="1"/>
  <c r="P131" i="1"/>
  <c r="P132" i="1"/>
  <c r="P133" i="1"/>
  <c r="P134" i="1"/>
  <c r="P135" i="1"/>
  <c r="P136" i="1"/>
  <c r="P137" i="1"/>
  <c r="P138" i="1"/>
  <c r="P140" i="1"/>
  <c r="P141" i="1"/>
  <c r="P142" i="1"/>
  <c r="P144" i="1"/>
  <c r="P145" i="1"/>
  <c r="P146" i="1"/>
  <c r="P148" i="1"/>
  <c r="P149" i="1"/>
  <c r="P150" i="1"/>
  <c r="P151" i="1"/>
  <c r="P153" i="1"/>
  <c r="P154" i="1"/>
  <c r="P155" i="1"/>
  <c r="P156" i="1"/>
  <c r="P157" i="1"/>
  <c r="P159" i="1"/>
  <c r="P160" i="1"/>
  <c r="P161" i="1"/>
  <c r="P162" i="1"/>
  <c r="P163" i="1"/>
  <c r="P165" i="1"/>
  <c r="P166" i="1"/>
  <c r="P167" i="1"/>
  <c r="P168" i="1"/>
  <c r="P169" i="1"/>
  <c r="P193" i="1"/>
  <c r="P194" i="1"/>
  <c r="P195" i="1"/>
  <c r="P196" i="1"/>
  <c r="P197" i="1"/>
  <c r="P227" i="1"/>
  <c r="P228" i="1"/>
  <c r="P229" i="1"/>
  <c r="P238" i="1"/>
  <c r="P240" i="1"/>
  <c r="P241" i="1"/>
  <c r="P242" i="1"/>
  <c r="N7" i="1"/>
  <c r="N8" i="1"/>
  <c r="N9" i="1"/>
  <c r="N10" i="1"/>
  <c r="N11" i="1"/>
  <c r="N12" i="1"/>
  <c r="N13" i="1"/>
  <c r="N15" i="1"/>
  <c r="N16" i="1"/>
  <c r="N17" i="1"/>
  <c r="N18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7" i="1"/>
  <c r="N40" i="1"/>
  <c r="N41" i="1"/>
  <c r="N42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9" i="1"/>
  <c r="N60" i="1"/>
  <c r="N61" i="1"/>
  <c r="N62" i="1"/>
  <c r="N64" i="1"/>
  <c r="N65" i="1"/>
  <c r="N66" i="1"/>
  <c r="N67" i="1"/>
  <c r="N68" i="1"/>
  <c r="N97" i="1"/>
  <c r="N98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55" i="1"/>
  <c r="N156" i="1"/>
  <c r="N176" i="1"/>
  <c r="N177" i="1"/>
  <c r="N178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7" i="1"/>
  <c r="N228" i="1"/>
  <c r="N229" i="1"/>
  <c r="N231" i="1"/>
  <c r="N232" i="1"/>
  <c r="N233" i="1"/>
  <c r="N235" i="1"/>
  <c r="N236" i="1"/>
  <c r="N238" i="1"/>
  <c r="N240" i="1"/>
  <c r="N241" i="1"/>
  <c r="N242" i="1"/>
  <c r="N244" i="1"/>
  <c r="N245" i="1"/>
  <c r="N246" i="1"/>
  <c r="N247" i="1"/>
  <c r="N248" i="1"/>
  <c r="N249" i="1"/>
  <c r="N250" i="1"/>
  <c r="N251" i="1"/>
  <c r="N252" i="1"/>
  <c r="R6" i="1"/>
  <c r="P6" i="1"/>
  <c r="N6" i="1"/>
  <c r="L15" i="1"/>
  <c r="L16" i="1"/>
  <c r="L17" i="1"/>
  <c r="L18" i="1"/>
  <c r="L20" i="1"/>
  <c r="L21" i="1"/>
  <c r="L22" i="1"/>
  <c r="L24" i="1"/>
  <c r="L25" i="1"/>
  <c r="L26" i="1"/>
  <c r="L27" i="1"/>
  <c r="L28" i="1"/>
  <c r="L29" i="1"/>
  <c r="L30" i="1"/>
  <c r="L31" i="1"/>
  <c r="L32" i="1"/>
  <c r="L33" i="1"/>
  <c r="L34" i="1"/>
  <c r="L35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3" i="1"/>
  <c r="L54" i="1"/>
  <c r="L55" i="1"/>
  <c r="L56" i="1"/>
  <c r="L57" i="1"/>
  <c r="L58" i="1"/>
  <c r="L59" i="1"/>
  <c r="L60" i="1"/>
  <c r="L61" i="1"/>
  <c r="L62" i="1"/>
  <c r="L70" i="1"/>
  <c r="L71" i="1"/>
  <c r="L72" i="1"/>
  <c r="L73" i="1"/>
  <c r="L74" i="1"/>
  <c r="L75" i="1"/>
  <c r="L76" i="1"/>
  <c r="L77" i="1"/>
  <c r="L78" i="1"/>
  <c r="L79" i="1"/>
  <c r="L80" i="1"/>
  <c r="L82" i="1"/>
  <c r="L83" i="1"/>
  <c r="L84" i="1"/>
  <c r="L86" i="1"/>
  <c r="L87" i="1"/>
  <c r="L88" i="1"/>
  <c r="L90" i="1"/>
  <c r="L91" i="1"/>
  <c r="L92" i="1"/>
  <c r="L93" i="1"/>
  <c r="L94" i="1"/>
  <c r="L95" i="1"/>
  <c r="L96" i="1"/>
  <c r="L97" i="1"/>
  <c r="L98" i="1"/>
  <c r="L99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30" i="1"/>
  <c r="L131" i="1"/>
  <c r="L132" i="1"/>
  <c r="L133" i="1"/>
  <c r="L134" i="1"/>
  <c r="L135" i="1"/>
  <c r="L136" i="1"/>
  <c r="L137" i="1"/>
  <c r="L138" i="1"/>
  <c r="L140" i="1"/>
  <c r="L141" i="1"/>
  <c r="L142" i="1"/>
  <c r="L144" i="1"/>
  <c r="L145" i="1"/>
  <c r="L146" i="1"/>
  <c r="L148" i="1"/>
  <c r="L149" i="1"/>
  <c r="L150" i="1"/>
  <c r="L151" i="1"/>
  <c r="L153" i="1"/>
  <c r="L154" i="1"/>
  <c r="L157" i="1"/>
  <c r="L159" i="1"/>
  <c r="L160" i="1"/>
  <c r="L161" i="1"/>
  <c r="L162" i="1"/>
  <c r="L163" i="1"/>
  <c r="L165" i="1"/>
  <c r="L166" i="1"/>
  <c r="L167" i="1"/>
  <c r="L168" i="1"/>
  <c r="L169" i="1"/>
  <c r="L193" i="1"/>
  <c r="L194" i="1"/>
  <c r="L195" i="1"/>
  <c r="L196" i="1"/>
  <c r="L197" i="1"/>
  <c r="L227" i="1"/>
  <c r="L228" i="1"/>
  <c r="L229" i="1"/>
  <c r="L238" i="1"/>
  <c r="L240" i="1"/>
  <c r="L241" i="1"/>
  <c r="L242" i="1"/>
  <c r="L7" i="1"/>
  <c r="L8" i="1"/>
  <c r="L9" i="1"/>
  <c r="L10" i="1"/>
  <c r="L11" i="1"/>
  <c r="L12" i="1"/>
  <c r="L13" i="1"/>
  <c r="L6" i="1"/>
  <c r="G7" i="1"/>
  <c r="G8" i="1"/>
  <c r="G9" i="1"/>
  <c r="G10" i="1"/>
  <c r="G11" i="1"/>
  <c r="G12" i="1"/>
  <c r="G13" i="1"/>
  <c r="G15" i="1"/>
  <c r="G16" i="1"/>
  <c r="G17" i="1"/>
  <c r="G18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3" i="1"/>
  <c r="G54" i="1"/>
  <c r="G55" i="1"/>
  <c r="G56" i="1"/>
  <c r="G57" i="1"/>
  <c r="G58" i="1"/>
  <c r="G59" i="1"/>
  <c r="G60" i="1"/>
  <c r="G61" i="1"/>
  <c r="G62" i="1"/>
  <c r="G64" i="1"/>
  <c r="G65" i="1"/>
  <c r="G66" i="1"/>
  <c r="G67" i="1"/>
  <c r="G68" i="1"/>
  <c r="G70" i="1"/>
  <c r="G71" i="1"/>
  <c r="G72" i="1"/>
  <c r="G73" i="1"/>
  <c r="G74" i="1"/>
  <c r="G75" i="1"/>
  <c r="G76" i="1"/>
  <c r="G77" i="1"/>
  <c r="G78" i="1"/>
  <c r="G79" i="1"/>
  <c r="G80" i="1"/>
  <c r="G82" i="1"/>
  <c r="G83" i="1"/>
  <c r="G84" i="1"/>
  <c r="G86" i="1"/>
  <c r="G87" i="1"/>
  <c r="G88" i="1"/>
  <c r="G90" i="1"/>
  <c r="G91" i="1"/>
  <c r="G92" i="1"/>
  <c r="G93" i="1"/>
  <c r="G94" i="1"/>
  <c r="G95" i="1"/>
  <c r="G96" i="1"/>
  <c r="G97" i="1"/>
  <c r="G98" i="1"/>
  <c r="G99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6" i="1"/>
  <c r="G137" i="1"/>
  <c r="G138" i="1"/>
  <c r="G140" i="1"/>
  <c r="G141" i="1"/>
  <c r="G142" i="1"/>
  <c r="G144" i="1"/>
  <c r="G145" i="1"/>
  <c r="G146" i="1"/>
  <c r="G148" i="1"/>
  <c r="G149" i="1"/>
  <c r="G150" i="1"/>
  <c r="G151" i="1"/>
  <c r="G153" i="1"/>
  <c r="G154" i="1"/>
  <c r="G155" i="1"/>
  <c r="G156" i="1"/>
  <c r="G157" i="1"/>
  <c r="G159" i="1"/>
  <c r="G160" i="1"/>
  <c r="G161" i="1"/>
  <c r="G162" i="1"/>
  <c r="G163" i="1"/>
  <c r="G165" i="1"/>
  <c r="G166" i="1"/>
  <c r="G167" i="1"/>
  <c r="G168" i="1"/>
  <c r="G169" i="1"/>
  <c r="G176" i="1"/>
  <c r="G177" i="1"/>
  <c r="G17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7" i="1"/>
  <c r="G228" i="1"/>
  <c r="G229" i="1"/>
  <c r="G231" i="1"/>
  <c r="G232" i="1"/>
  <c r="G233" i="1"/>
  <c r="G235" i="1"/>
  <c r="G236" i="1"/>
  <c r="G238" i="1"/>
  <c r="G240" i="1"/>
  <c r="G241" i="1"/>
  <c r="G242" i="1"/>
  <c r="G244" i="1"/>
  <c r="G245" i="1"/>
  <c r="G246" i="1"/>
  <c r="G247" i="1"/>
  <c r="G248" i="1"/>
  <c r="G249" i="1"/>
  <c r="G250" i="1"/>
  <c r="G251" i="1"/>
  <c r="G252" i="1"/>
  <c r="G6" i="1"/>
</calcChain>
</file>

<file path=xl/sharedStrings.xml><?xml version="1.0" encoding="utf-8"?>
<sst xmlns="http://schemas.openxmlformats.org/spreadsheetml/2006/main" count="2258" uniqueCount="305">
  <si>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</si>
  <si>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</si>
  <si>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</si>
  <si>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</si>
  <si>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</si>
  <si>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</si>
  <si>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</si>
  <si>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</si>
  <si>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</si>
  <si>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</si>
  <si>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</si>
  <si>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</si>
  <si>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</si>
  <si>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</si>
  <si>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</si>
  <si>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Recurrent</t>
  </si>
  <si>
    <t>RFQ</t>
  </si>
  <si>
    <t>Surgicals / Anaesthetics</t>
  </si>
  <si>
    <t>Disposable protective consumables</t>
  </si>
  <si>
    <t>N95 masks Pkt of 20</t>
  </si>
  <si>
    <t xml:space="preserve">Medical gases   </t>
  </si>
  <si>
    <t>Refill of large Nitrous gas cylinder</t>
  </si>
  <si>
    <t>Refill of Medical Carbon dioxide gas cylinder</t>
  </si>
  <si>
    <t>Refill of Medical Oxygen gas cylinder</t>
  </si>
  <si>
    <t>Needles and syringes</t>
  </si>
  <si>
    <t>Waste disposal containers</t>
  </si>
  <si>
    <t>Waste bins with foot pedal, 30L</t>
  </si>
  <si>
    <t>Sieve buckets &amp; holder</t>
  </si>
  <si>
    <t>Bucket (20L)</t>
  </si>
  <si>
    <t>Biohazards bags (large, red and Yellow)</t>
  </si>
  <si>
    <t>Black polythene bags, pkt of 20</t>
  </si>
  <si>
    <t>Therapy Supplements</t>
  </si>
  <si>
    <t>Hartmans solution, 500ml</t>
  </si>
  <si>
    <t>Analgesics/Emergency drugs</t>
  </si>
  <si>
    <t>Heparin sodium, 10mg</t>
  </si>
  <si>
    <t>Administration sets</t>
  </si>
  <si>
    <t>Antibiotics</t>
  </si>
  <si>
    <t>Septrin oral, 5L</t>
  </si>
  <si>
    <t>Eye drops (Chloramphenical)</t>
  </si>
  <si>
    <t>Antihelmintics / Antiprotozoal</t>
  </si>
  <si>
    <t>Antifungals</t>
  </si>
  <si>
    <t>Topicals and Dressings</t>
  </si>
  <si>
    <t>Cotton gauze 36Yd</t>
  </si>
  <si>
    <t>Cotton wool 400g</t>
  </si>
  <si>
    <t>TB testing</t>
  </si>
  <si>
    <t>Cleaning Tools &amp; Disinfectants</t>
  </si>
  <si>
    <t xml:space="preserve">Harpic </t>
  </si>
  <si>
    <t>Vaseline 100g</t>
  </si>
  <si>
    <t>Mop buckets</t>
  </si>
  <si>
    <t>Mop heads</t>
  </si>
  <si>
    <t>Supa brite, Large</t>
  </si>
  <si>
    <t>Rubber squeezers</t>
  </si>
  <si>
    <t>Soft brooms</t>
  </si>
  <si>
    <t>Hard Brooms</t>
  </si>
  <si>
    <t>Hard brushes</t>
  </si>
  <si>
    <t>Brush/brooms handles</t>
  </si>
  <si>
    <t>Hose pipes</t>
  </si>
  <si>
    <t>Solvents and fixatives</t>
  </si>
  <si>
    <t>Laboratory salts</t>
  </si>
  <si>
    <t>Glassware</t>
  </si>
  <si>
    <t>Specimen containers</t>
  </si>
  <si>
    <t>1L plastic jars</t>
  </si>
  <si>
    <t>4ml EDTA vaccutainers BD (Packs of 100)</t>
  </si>
  <si>
    <t>15 ml tubes Corning (pack of 50)</t>
  </si>
  <si>
    <t>50 ml tubes Corning (pack of 25)</t>
  </si>
  <si>
    <t>Histopathology tissue processing</t>
  </si>
  <si>
    <t>Embedding rings, pkt of 500</t>
  </si>
  <si>
    <t>Embedding cassettes, pkt of 500</t>
  </si>
  <si>
    <t xml:space="preserve">Stains and staining apparatus </t>
  </si>
  <si>
    <t>Haematology Reagents</t>
  </si>
  <si>
    <t>ACT 5diff Rinse</t>
  </si>
  <si>
    <t>ACT 5diff Hb lyse</t>
  </si>
  <si>
    <t>ACT 5diff Fix</t>
  </si>
  <si>
    <t>ACT 5diff WBC lyse</t>
  </si>
  <si>
    <t>ACT 5diff Diluent</t>
  </si>
  <si>
    <t>Bacteriology culture media/consumables</t>
  </si>
  <si>
    <t>Sheep blood, 100ml</t>
  </si>
  <si>
    <t>Antibiotic sensitivity discs (pkt of 250)</t>
  </si>
  <si>
    <t>Sterile cotton swabs (pkt of 100)</t>
  </si>
  <si>
    <t>Bacteria identification reagents</t>
  </si>
  <si>
    <t>API 20E (25 tests)</t>
  </si>
  <si>
    <t>API 20  Strep (25 tests)</t>
  </si>
  <si>
    <t>API Staph (25 tests)</t>
  </si>
  <si>
    <t>API Coryne (25 tests)</t>
  </si>
  <si>
    <t>API suspension medium (pkt of 100)</t>
  </si>
  <si>
    <t>Stationery and Office Items</t>
  </si>
  <si>
    <t>HP laser jet cartridge P2055</t>
  </si>
  <si>
    <t>HP laser jet cartridge P2014</t>
  </si>
  <si>
    <t>Animal feed</t>
  </si>
  <si>
    <t>Vegetables (4140Kg)</t>
  </si>
  <si>
    <t>Equipment</t>
  </si>
  <si>
    <t>Computer (desktop)</t>
  </si>
  <si>
    <t>Benchtop Centrifuge</t>
  </si>
  <si>
    <t>Lab Chairs (Leather)</t>
  </si>
  <si>
    <t>Service of ASD Machines</t>
  </si>
  <si>
    <t>Annual service of Anaesthetic machine</t>
  </si>
  <si>
    <t>Calibration of machines</t>
  </si>
  <si>
    <t>Enrichment materials</t>
  </si>
  <si>
    <t>Groungnuts with husks</t>
  </si>
  <si>
    <t>Personnel protective equipment</t>
  </si>
  <si>
    <t>Beige suits</t>
  </si>
  <si>
    <t>Beige caps</t>
  </si>
  <si>
    <t>White lab coats</t>
  </si>
  <si>
    <t>Green lab coats</t>
  </si>
  <si>
    <t>Overalls</t>
  </si>
  <si>
    <t>Blue lab coats</t>
  </si>
  <si>
    <t>Total budget</t>
  </si>
  <si>
    <t xml:space="preserve"> </t>
  </si>
  <si>
    <t>ASD</t>
  </si>
  <si>
    <t xml:space="preserve">Surgical blades #24 </t>
  </si>
  <si>
    <t>250 ml</t>
  </si>
  <si>
    <t>25 ml</t>
  </si>
  <si>
    <t>100 ml</t>
  </si>
  <si>
    <t>500 ml</t>
  </si>
  <si>
    <t xml:space="preserve">Vicryl No. 2.0C </t>
  </si>
  <si>
    <t xml:space="preserve">Vicryl No. 2.0R </t>
  </si>
  <si>
    <t xml:space="preserve">Vicryl No. 3.0R </t>
  </si>
  <si>
    <t>Isoflurane</t>
  </si>
  <si>
    <t xml:space="preserve">Ketamine HCL 10% </t>
  </si>
  <si>
    <t xml:space="preserve">Euthatal </t>
  </si>
  <si>
    <t xml:space="preserve">Lidocaine oral spray, 10%, </t>
  </si>
  <si>
    <t xml:space="preserve">None sterile gloves M+S </t>
  </si>
  <si>
    <t xml:space="preserve">Sterile surgical gloves </t>
  </si>
  <si>
    <t>Surgical face masks</t>
  </si>
  <si>
    <t>Packets</t>
  </si>
  <si>
    <t>Dozens</t>
  </si>
  <si>
    <t>Pieces</t>
  </si>
  <si>
    <t xml:space="preserve">G25 needles BD </t>
  </si>
  <si>
    <t>G23 needles BD</t>
  </si>
  <si>
    <t>G21 needles BD</t>
  </si>
  <si>
    <t xml:space="preserve">G21 Vaccutainer needles BD </t>
  </si>
  <si>
    <t>Trocar &amp; canula</t>
  </si>
  <si>
    <t>G18 Needles, BD</t>
  </si>
  <si>
    <t>Syringes 2mlL BD</t>
  </si>
  <si>
    <t>Syringes 1mlL detachable BD</t>
  </si>
  <si>
    <t xml:space="preserve">Syringes 5ml BD </t>
  </si>
  <si>
    <t xml:space="preserve">Syringes 10ml BD </t>
  </si>
  <si>
    <t xml:space="preserve">Syringes 20ml BD </t>
  </si>
  <si>
    <t>Syringes 60ml BD</t>
  </si>
  <si>
    <t xml:space="preserve">Sharps disposal containers </t>
  </si>
  <si>
    <t>5 L</t>
  </si>
  <si>
    <t>Multivit injectable</t>
  </si>
  <si>
    <t>Iron dextran</t>
  </si>
  <si>
    <t xml:space="preserve">Fruit juice (pineaple, orange etc) </t>
  </si>
  <si>
    <t>Normal saline</t>
  </si>
  <si>
    <t>Dextrose, 5%</t>
  </si>
  <si>
    <t>Lactogen powder</t>
  </si>
  <si>
    <t>Glucose powder</t>
  </si>
  <si>
    <t>500g</t>
  </si>
  <si>
    <t>3ml</t>
  </si>
  <si>
    <t>30ml</t>
  </si>
  <si>
    <t>100ml</t>
  </si>
  <si>
    <t>50ml</t>
  </si>
  <si>
    <t>Furosemide</t>
  </si>
  <si>
    <t>500ml</t>
  </si>
  <si>
    <t>2ml</t>
  </si>
  <si>
    <t>vials</t>
  </si>
  <si>
    <t>5L</t>
  </si>
  <si>
    <t xml:space="preserve">Adrenaline </t>
  </si>
  <si>
    <t>Hyscopan</t>
  </si>
  <si>
    <t>Kg</t>
  </si>
  <si>
    <t>125ml</t>
  </si>
  <si>
    <t>NIN</t>
  </si>
  <si>
    <t>BCP</t>
  </si>
  <si>
    <t>XYL</t>
  </si>
  <si>
    <t>Reams</t>
  </si>
  <si>
    <t>Hay</t>
  </si>
  <si>
    <t>Boots</t>
  </si>
  <si>
    <t>5ml</t>
  </si>
  <si>
    <t xml:space="preserve">Diclofenac injectable 75mg </t>
  </si>
  <si>
    <t>Diazepum</t>
  </si>
  <si>
    <t xml:space="preserve">Lidocaine </t>
  </si>
  <si>
    <t xml:space="preserve">Dexamethasone </t>
  </si>
  <si>
    <t>Cough mixture</t>
  </si>
  <si>
    <t>Atropin injection</t>
  </si>
  <si>
    <t xml:space="preserve">Infusion sets, G21 </t>
  </si>
  <si>
    <t xml:space="preserve">Infusion sets, G23 </t>
  </si>
  <si>
    <t>Endotracheal tubes, 6.5''</t>
  </si>
  <si>
    <t xml:space="preserve">Endotracheal tubes, 7.5'' </t>
  </si>
  <si>
    <t>Stomach tubes</t>
  </si>
  <si>
    <t>170ml</t>
  </si>
  <si>
    <t>10g</t>
  </si>
  <si>
    <t>Wound powder (Grabacin)</t>
  </si>
  <si>
    <t xml:space="preserve">Cefotaxine inj 1g </t>
  </si>
  <si>
    <t xml:space="preserve">Oxytetracycline LA </t>
  </si>
  <si>
    <t>Gentamycin injection</t>
  </si>
  <si>
    <t>Erythromycin injection</t>
  </si>
  <si>
    <t>Trimethoprim sulphamethoxazole injection</t>
  </si>
  <si>
    <t>Pentomycine penicillin</t>
  </si>
  <si>
    <t>PenStrep LA</t>
  </si>
  <si>
    <t>Tetracycline wound spray</t>
  </si>
  <si>
    <t>400g</t>
  </si>
  <si>
    <t>1L</t>
  </si>
  <si>
    <t xml:space="preserve">Ivermectin 1% </t>
  </si>
  <si>
    <t>Metronidazole 200mg</t>
  </si>
  <si>
    <t>Levimazole (Nilzan plus)</t>
  </si>
  <si>
    <t>Griseofulvin tabs 500mg</t>
  </si>
  <si>
    <t>Ketoconazole tabs</t>
  </si>
  <si>
    <t>Whitefield ointment USP</t>
  </si>
  <si>
    <t>15g</t>
  </si>
  <si>
    <t>200g</t>
  </si>
  <si>
    <t>2.5L</t>
  </si>
  <si>
    <t>Povidone iodine ointment cream</t>
  </si>
  <si>
    <t>Sevin powder</t>
  </si>
  <si>
    <t xml:space="preserve">Gauze swabs 3”×3” ply </t>
  </si>
  <si>
    <t xml:space="preserve">Gauze WOW rolls </t>
  </si>
  <si>
    <t>Adhessive plaster</t>
  </si>
  <si>
    <t>Masking tape (1”)</t>
  </si>
  <si>
    <t xml:space="preserve">Autoclave tape (1”) </t>
  </si>
  <si>
    <t>Glycerine</t>
  </si>
  <si>
    <t xml:space="preserve">Tuberculin PPD, </t>
  </si>
  <si>
    <t>20L</t>
  </si>
  <si>
    <t>Pairs</t>
  </si>
  <si>
    <t xml:space="preserve">Liquid soap/detergent Teepol </t>
  </si>
  <si>
    <t xml:space="preserve">Hypochlorite (Jik) </t>
  </si>
  <si>
    <t>Povidone iodine USP</t>
  </si>
  <si>
    <t>Betadine solution</t>
  </si>
  <si>
    <t>Surgical spirit</t>
  </si>
  <si>
    <t>Hibitane 5%</t>
  </si>
  <si>
    <t xml:space="preserve">Cidex cold sterilant </t>
  </si>
  <si>
    <t>Savlon (Alguard)</t>
  </si>
  <si>
    <t>Hydrogen peroxide</t>
  </si>
  <si>
    <t>Kerol</t>
  </si>
  <si>
    <t>Vim (tins)</t>
  </si>
  <si>
    <t xml:space="preserve">Doom spray </t>
  </si>
  <si>
    <t>Dettol soap</t>
  </si>
  <si>
    <t>Industrial gloves</t>
  </si>
  <si>
    <t>Steel wool, 750g</t>
  </si>
  <si>
    <t>Formaldehyde 37-40%</t>
  </si>
  <si>
    <t xml:space="preserve">Toluene, Pancreac or Fluka AR </t>
  </si>
  <si>
    <t>Xylene,Pancreac or Fluka AR</t>
  </si>
  <si>
    <t xml:space="preserve">Acetone, Pancreac or Fluka AR </t>
  </si>
  <si>
    <t xml:space="preserve">Ethanol, Pancreac or Fluka AR </t>
  </si>
  <si>
    <t xml:space="preserve">Methanol, Pancreac or Fluka AR </t>
  </si>
  <si>
    <t>Di-ethyl-ether GPR</t>
  </si>
  <si>
    <t>DPX mountant, BDH, Pancreac or Fluka AR</t>
  </si>
  <si>
    <t>Oil immersion, BDH, Pancreac or Fluka AR</t>
  </si>
  <si>
    <t xml:space="preserve">di-Sodium Hydrogen phosphate, Merck AR </t>
  </si>
  <si>
    <t>Sodium diHydrogen phosphate, Merck AR</t>
  </si>
  <si>
    <t>Sodium Nitrate, Pancreac or Fluka AR</t>
  </si>
  <si>
    <t xml:space="preserve">Microscope slides 7105 </t>
  </si>
  <si>
    <t>Cover slips (22x22mm)</t>
  </si>
  <si>
    <t>Cover slips (24x50mm)</t>
  </si>
  <si>
    <t>1Kg</t>
  </si>
  <si>
    <t>25g</t>
  </si>
  <si>
    <t>Paraplast</t>
  </si>
  <si>
    <t xml:space="preserve">Microtome blades ERMA </t>
  </si>
  <si>
    <t>OCT compound</t>
  </si>
  <si>
    <t>Giemsa stock, Sigma</t>
  </si>
  <si>
    <t>Haematoxylin, Sigma</t>
  </si>
  <si>
    <t xml:space="preserve">Eosin Y, Sigma </t>
  </si>
  <si>
    <t>Crystal violet, Sigma</t>
  </si>
  <si>
    <t>Neutral red, Sigma</t>
  </si>
  <si>
    <t>400ml</t>
  </si>
  <si>
    <t>Bales</t>
  </si>
  <si>
    <t>Sabouraud  Dextrose agar Oxoid</t>
  </si>
  <si>
    <t>Anaerobic gas packs Oxoid</t>
  </si>
  <si>
    <t xml:space="preserve">MacConckey agar base, Oxoid </t>
  </si>
  <si>
    <t xml:space="preserve">Mueller Hinton, Oxoid </t>
  </si>
  <si>
    <t>Biphasic media, BioMereux (pack of 12 bottles)</t>
  </si>
  <si>
    <t>Kits</t>
  </si>
  <si>
    <t>Cans</t>
  </si>
  <si>
    <t>Camping gas</t>
  </si>
  <si>
    <t>Yellow tips</t>
  </si>
  <si>
    <t xml:space="preserve">Marker pens (permanent with Fine points) </t>
  </si>
  <si>
    <t xml:space="preserve">Marker pens (permanent with Wedge point) </t>
  </si>
  <si>
    <t>Photocopying papers</t>
  </si>
  <si>
    <t>Bags</t>
  </si>
  <si>
    <t>Package</t>
  </si>
  <si>
    <t>Bath Towels</t>
  </si>
  <si>
    <t>Gum boots</t>
  </si>
  <si>
    <t>Saw dust</t>
  </si>
  <si>
    <t>Service of Haematology analyzer</t>
  </si>
  <si>
    <t>Mice feed (50kg)</t>
  </si>
  <si>
    <t>Monkey cubes (50Kg)</t>
  </si>
  <si>
    <t>Dry cell batteries (Duracell, C)</t>
  </si>
  <si>
    <t>Dry cell Batteries (Duracell, AA)</t>
  </si>
  <si>
    <t>Dry cell Batteries (Duracell, D)</t>
  </si>
  <si>
    <t xml:space="preserve">Office Pins </t>
  </si>
  <si>
    <t>Thump Pins</t>
  </si>
  <si>
    <t xml:space="preserve">Fullscaps </t>
  </si>
  <si>
    <t xml:space="preserve">Envelopes 4"x8" </t>
  </si>
  <si>
    <t xml:space="preserve">A5 envelopes </t>
  </si>
  <si>
    <t xml:space="preserve">A4 envelopes </t>
  </si>
  <si>
    <t xml:space="preserve">Yellow stickers </t>
  </si>
  <si>
    <t>Shorthand notebooks</t>
  </si>
  <si>
    <t xml:space="preserve">Soft Tissues </t>
  </si>
  <si>
    <t>Highlighter Pens</t>
  </si>
  <si>
    <t>Carbon Papers</t>
  </si>
  <si>
    <t>Paper clips</t>
  </si>
  <si>
    <t>Staple pins</t>
  </si>
  <si>
    <t xml:space="preserve">Rubbers/Erasers </t>
  </si>
  <si>
    <t xml:space="preserve">Pencils </t>
  </si>
  <si>
    <t xml:space="preserve">Biro pens </t>
  </si>
  <si>
    <t>Pink file folders</t>
  </si>
  <si>
    <t xml:space="preserve">Yellow file folders </t>
  </si>
  <si>
    <t xml:space="preserve">Suspension files </t>
  </si>
  <si>
    <t xml:space="preserve">Spring files </t>
  </si>
  <si>
    <t xml:space="preserve">Assorted forms </t>
  </si>
  <si>
    <t>Wooden applicator sticks</t>
  </si>
  <si>
    <t>HER</t>
  </si>
  <si>
    <t xml:space="preserve">API 20 E reagent </t>
  </si>
  <si>
    <t>NIT 1+ NIT 2</t>
  </si>
  <si>
    <t xml:space="preserve">Zym B </t>
  </si>
  <si>
    <t>Zym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</si>
</sst>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164" fontId="2" fillId="0" borderId="6" xfId="1" applyFont="1" applyBorder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164" fontId="4" fillId="0" borderId="2" xfId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5" fillId="3" borderId="2" xfId="0" applyFont="1" applyFill="1" applyBorder="1"/>
    <xf numFmtId="0" fontId="6" fillId="0" borderId="2" xfId="0" applyFont="1" applyFill="1" applyBorder="1"/>
    <xf numFmtId="0" fontId="5" fillId="4" borderId="2" xfId="0" applyFont="1" applyFill="1" applyBorder="1"/>
    <xf numFmtId="0" fontId="6" fillId="5" borderId="2" xfId="0" applyFont="1" applyFill="1" applyBorder="1"/>
    <xf numFmtId="0" fontId="6" fillId="3" borderId="2" xfId="0" applyFont="1" applyFill="1" applyBorder="1"/>
    <xf numFmtId="3" fontId="6" fillId="5" borderId="2" xfId="0" applyNumberFormat="1" applyFont="1" applyFill="1" applyBorder="1"/>
    <xf numFmtId="3" fontId="5" fillId="3" borderId="2" xfId="0" applyNumberFormat="1" applyFont="1" applyFill="1" applyBorder="1"/>
    <xf numFmtId="4" fontId="5" fillId="3" borderId="2" xfId="0" applyNumberFormat="1" applyFont="1" applyFill="1" applyBorder="1"/>
    <xf numFmtId="4" fontId="6" fillId="5" borderId="2" xfId="0" applyNumberFormat="1" applyFont="1" applyFill="1" applyBorder="1"/>
    <xf numFmtId="3" fontId="6" fillId="3" borderId="2" xfId="0" applyNumberFormat="1" applyFont="1" applyFill="1" applyBorder="1"/>
    <xf numFmtId="3" fontId="6" fillId="0" borderId="2" xfId="0" applyNumberFormat="1" applyFont="1" applyFill="1" applyBorder="1"/>
    <xf numFmtId="3" fontId="5" fillId="0" borderId="2" xfId="0" applyNumberFormat="1" applyFont="1" applyFill="1" applyBorder="1"/>
    <xf numFmtId="4" fontId="6" fillId="0" borderId="2" xfId="0" applyNumberFormat="1" applyFont="1" applyFill="1" applyBorder="1"/>
    <xf numFmtId="4" fontId="4" fillId="0" borderId="2" xfId="0" applyNumberFormat="1" applyFont="1" applyBorder="1" applyAlignment="1">
      <alignment horizontal="right" wrapText="1"/>
    </xf>
    <xf numFmtId="4" fontId="4" fillId="0" borderId="2" xfId="0" applyNumberFormat="1" applyFont="1" applyBorder="1" applyAlignment="1">
      <alignment horizontal="right"/>
    </xf>
    <xf numFmtId="4" fontId="0" fillId="0" borderId="0" xfId="0" applyNumberFormat="1"/>
    <xf numFmtId="0" fontId="4" fillId="0" borderId="6" xfId="0" applyFont="1" applyFill="1" applyBorder="1" applyAlignment="1">
      <alignment wrapText="1"/>
    </xf>
    <xf numFmtId="0" fontId="7" fillId="0" borderId="2" xfId="0" applyFont="1" applyFill="1" applyBorder="1"/>
    <xf numFmtId="0" fontId="8" fillId="0" borderId="2" xfId="0" applyFont="1" applyFill="1" applyBorder="1"/>
    <xf numFmtId="0" fontId="7" fillId="0" borderId="2" xfId="0" applyFont="1" applyFill="1" applyBorder="1" applyAlignment="1">
      <alignment wrapText="1"/>
    </xf>
    <xf numFmtId="3" fontId="8" fillId="0" borderId="2" xfId="0" applyNumberFormat="1" applyFont="1" applyFill="1" applyBorder="1"/>
    <xf numFmtId="4" fontId="7" fillId="0" borderId="2" xfId="0" applyNumberFormat="1" applyFont="1" applyFill="1" applyBorder="1" applyAlignment="1">
      <alignment horizontal="right"/>
    </xf>
    <xf numFmtId="4" fontId="7" fillId="0" borderId="2" xfId="0" applyNumberFormat="1" applyFont="1" applyFill="1" applyBorder="1" applyAlignment="1">
      <alignment wrapText="1"/>
    </xf>
    <xf numFmtId="3" fontId="9" fillId="0" borderId="2" xfId="0" applyNumberFormat="1" applyFont="1" applyFill="1" applyBorder="1"/>
    <xf numFmtId="0" fontId="10" fillId="0" borderId="2" xfId="0" applyFont="1" applyFill="1" applyBorder="1"/>
    <xf numFmtId="4" fontId="8" fillId="0" borderId="2" xfId="0" applyNumberFormat="1" applyFont="1" applyFill="1" applyBorder="1"/>
    <xf numFmtId="0" fontId="9" fillId="0" borderId="2" xfId="0" applyFont="1" applyFill="1" applyBorder="1"/>
    <xf numFmtId="4" fontId="11" fillId="0" borderId="2" xfId="0" applyNumberFormat="1" applyFont="1" applyFill="1" applyBorder="1"/>
    <xf numFmtId="4" fontId="10" fillId="0" borderId="2" xfId="0" applyNumberFormat="1" applyFont="1" applyFill="1" applyBorder="1"/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53"/>
  <sheetViews>
    <sheetView tabSelected="1" topLeftCell="A234" zoomScale="140" zoomScaleNormal="140" workbookViewId="0">
      <selection activeCell="C244" sqref="C244:R252"/>
    </sheetView>
  </sheetViews>
  <sheetFormatPr defaultRowHeight="15" x14ac:dyDescent="0.25"/>
  <cols>
    <col min="3" max="3" width="40.28515625" customWidth="1"/>
    <col min="6" max="6" width="10.42578125" customWidth="1"/>
    <col min="7" max="7" width="13.85546875" customWidth="1"/>
    <col min="10" max="10" width="14" customWidth="1"/>
    <col min="12" max="12" width="12.7109375" customWidth="1"/>
    <col min="14" max="14" width="12.7109375" customWidth="1"/>
    <col min="16" max="16" width="14" customWidth="1"/>
    <col min="18" max="18" width="14.140625" customWidth="1"/>
    <col min="19" max="19" width="12.7109375" bestFit="1" customWidth="1"/>
  </cols>
  <sheetData>
    <row r="2" spans="2:18" ht="27" x14ac:dyDescent="0.25">
      <c r="B2" s="1"/>
      <c r="C2" s="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56" t="s">
        <v>8</v>
      </c>
      <c r="L2" s="57"/>
      <c r="M2" s="57"/>
      <c r="N2" s="57"/>
      <c r="O2" s="57"/>
      <c r="P2" s="57"/>
      <c r="Q2" s="57"/>
      <c r="R2" s="58"/>
    </row>
    <row r="3" spans="2:18" x14ac:dyDescent="0.25">
      <c r="B3" s="6"/>
      <c r="C3" s="7"/>
      <c r="D3" s="7"/>
      <c r="E3" s="8"/>
      <c r="F3" s="9"/>
      <c r="G3" s="10"/>
      <c r="H3" s="7"/>
      <c r="I3" s="7"/>
      <c r="J3" s="7"/>
      <c r="K3" s="59" t="s">
        <v>9</v>
      </c>
      <c r="L3" s="59"/>
      <c r="M3" s="59" t="s">
        <v>10</v>
      </c>
      <c r="N3" s="59"/>
      <c r="O3" s="59" t="s">
        <v>11</v>
      </c>
      <c r="P3" s="59"/>
      <c r="Q3" s="59" t="s">
        <v>12</v>
      </c>
      <c r="R3" s="59"/>
    </row>
    <row r="4" spans="2:18" x14ac:dyDescent="0.25">
      <c r="B4" s="11"/>
      <c r="C4" s="11"/>
      <c r="D4" s="12"/>
      <c r="E4" s="13"/>
      <c r="F4" s="14"/>
      <c r="G4" s="15"/>
      <c r="H4" s="16"/>
      <c r="I4" s="16"/>
      <c r="J4" s="16"/>
      <c r="K4" s="17" t="s">
        <v>13</v>
      </c>
      <c r="L4" s="18" t="s">
        <v>14</v>
      </c>
      <c r="M4" s="19" t="s">
        <v>13</v>
      </c>
      <c r="N4" s="18" t="s">
        <v>14</v>
      </c>
      <c r="O4" s="19" t="s">
        <v>13</v>
      </c>
      <c r="P4" s="18" t="s">
        <v>14</v>
      </c>
      <c r="Q4" s="19" t="s">
        <v>13</v>
      </c>
      <c r="R4" s="18" t="s">
        <v>14</v>
      </c>
    </row>
    <row r="5" spans="2:18" x14ac:dyDescent="0.25">
      <c r="B5" s="20">
        <v>1</v>
      </c>
      <c r="C5" s="27" t="s">
        <v>17</v>
      </c>
      <c r="D5" s="21"/>
      <c r="E5" s="22"/>
      <c r="F5" s="23"/>
      <c r="G5" s="40"/>
      <c r="H5" s="21"/>
      <c r="I5" s="21"/>
      <c r="J5" s="21"/>
      <c r="K5" s="24"/>
      <c r="L5" s="25"/>
      <c r="M5" s="26"/>
      <c r="N5" s="25"/>
      <c r="O5" s="26"/>
      <c r="P5" s="25"/>
      <c r="Q5" s="26"/>
      <c r="R5" s="25"/>
    </row>
    <row r="6" spans="2:18" x14ac:dyDescent="0.25">
      <c r="B6" s="20"/>
      <c r="C6" s="28" t="s">
        <v>109</v>
      </c>
      <c r="D6" s="21" t="s">
        <v>124</v>
      </c>
      <c r="E6" s="30">
        <v>12</v>
      </c>
      <c r="F6" s="32">
        <v>3100</v>
      </c>
      <c r="G6" s="41">
        <f>E6*F6</f>
        <v>37200</v>
      </c>
      <c r="H6" s="21" t="s">
        <v>108</v>
      </c>
      <c r="I6" s="21" t="s">
        <v>15</v>
      </c>
      <c r="J6" s="21" t="s">
        <v>16</v>
      </c>
      <c r="K6" s="30">
        <v>5</v>
      </c>
      <c r="L6" s="25">
        <f>F6*K6</f>
        <v>15500</v>
      </c>
      <c r="M6" s="37">
        <v>3</v>
      </c>
      <c r="N6" s="25">
        <f>F6*M6</f>
        <v>9300</v>
      </c>
      <c r="O6" s="32">
        <v>2</v>
      </c>
      <c r="P6" s="25">
        <f>F6*O6</f>
        <v>6200</v>
      </c>
      <c r="Q6" s="37">
        <v>2</v>
      </c>
      <c r="R6" s="25">
        <f>F6*Q6</f>
        <v>6200</v>
      </c>
    </row>
    <row r="7" spans="2:18" x14ac:dyDescent="0.25">
      <c r="B7" s="20"/>
      <c r="C7" s="28" t="s">
        <v>114</v>
      </c>
      <c r="D7" s="21" t="s">
        <v>125</v>
      </c>
      <c r="E7" s="30">
        <v>12</v>
      </c>
      <c r="F7" s="32">
        <v>9600</v>
      </c>
      <c r="G7" s="41">
        <f t="shared" ref="G7:G70" si="0">E7*F7</f>
        <v>115200</v>
      </c>
      <c r="H7" s="21" t="s">
        <v>108</v>
      </c>
      <c r="I7" s="21" t="s">
        <v>15</v>
      </c>
      <c r="J7" s="21" t="s">
        <v>16</v>
      </c>
      <c r="K7" s="30">
        <v>5</v>
      </c>
      <c r="L7" s="25">
        <f t="shared" ref="L7:L70" si="1">F7*K7</f>
        <v>48000</v>
      </c>
      <c r="M7" s="37">
        <v>3</v>
      </c>
      <c r="N7" s="25">
        <f t="shared" ref="N7:N68" si="2">F7*M7</f>
        <v>28800</v>
      </c>
      <c r="O7" s="32">
        <v>2</v>
      </c>
      <c r="P7" s="25">
        <f t="shared" ref="P7:P70" si="3">F7*O7</f>
        <v>19200</v>
      </c>
      <c r="Q7" s="37">
        <v>2</v>
      </c>
      <c r="R7" s="25">
        <f t="shared" ref="R7:R68" si="4">F7*Q7</f>
        <v>19200</v>
      </c>
    </row>
    <row r="8" spans="2:18" x14ac:dyDescent="0.25">
      <c r="B8" s="20"/>
      <c r="C8" s="28" t="s">
        <v>115</v>
      </c>
      <c r="D8" s="21" t="s">
        <v>125</v>
      </c>
      <c r="E8" s="30">
        <v>12</v>
      </c>
      <c r="F8" s="32">
        <v>9600</v>
      </c>
      <c r="G8" s="41">
        <f t="shared" si="0"/>
        <v>115200</v>
      </c>
      <c r="H8" s="21" t="s">
        <v>108</v>
      </c>
      <c r="I8" s="21" t="s">
        <v>15</v>
      </c>
      <c r="J8" s="21" t="s">
        <v>16</v>
      </c>
      <c r="K8" s="30">
        <v>5</v>
      </c>
      <c r="L8" s="25">
        <f t="shared" si="1"/>
        <v>48000</v>
      </c>
      <c r="M8" s="37">
        <v>3</v>
      </c>
      <c r="N8" s="25">
        <f t="shared" si="2"/>
        <v>28800</v>
      </c>
      <c r="O8" s="32">
        <v>2</v>
      </c>
      <c r="P8" s="25">
        <f t="shared" si="3"/>
        <v>19200</v>
      </c>
      <c r="Q8" s="37">
        <v>2</v>
      </c>
      <c r="R8" s="25">
        <f t="shared" si="4"/>
        <v>19200</v>
      </c>
    </row>
    <row r="9" spans="2:18" x14ac:dyDescent="0.25">
      <c r="B9" s="20"/>
      <c r="C9" s="28" t="s">
        <v>116</v>
      </c>
      <c r="D9" s="21" t="s">
        <v>125</v>
      </c>
      <c r="E9" s="30">
        <v>6</v>
      </c>
      <c r="F9" s="32">
        <v>9600</v>
      </c>
      <c r="G9" s="41">
        <f t="shared" si="0"/>
        <v>57600</v>
      </c>
      <c r="H9" s="21" t="s">
        <v>108</v>
      </c>
      <c r="I9" s="21" t="s">
        <v>15</v>
      </c>
      <c r="J9" s="21" t="s">
        <v>16</v>
      </c>
      <c r="K9" s="30">
        <v>3</v>
      </c>
      <c r="L9" s="25">
        <f t="shared" si="1"/>
        <v>28800</v>
      </c>
      <c r="M9" s="38">
        <v>1</v>
      </c>
      <c r="N9" s="25">
        <f t="shared" si="2"/>
        <v>9600</v>
      </c>
      <c r="O9" s="32">
        <v>1</v>
      </c>
      <c r="P9" s="25">
        <f t="shared" si="3"/>
        <v>9600</v>
      </c>
      <c r="Q9" s="37">
        <v>1</v>
      </c>
      <c r="R9" s="25">
        <f t="shared" si="4"/>
        <v>9600</v>
      </c>
    </row>
    <row r="10" spans="2:18" x14ac:dyDescent="0.25">
      <c r="B10" s="20"/>
      <c r="C10" s="28" t="s">
        <v>117</v>
      </c>
      <c r="D10" s="21" t="s">
        <v>110</v>
      </c>
      <c r="E10" s="30">
        <v>10</v>
      </c>
      <c r="F10" s="32">
        <v>12000</v>
      </c>
      <c r="G10" s="41">
        <f t="shared" si="0"/>
        <v>120000</v>
      </c>
      <c r="H10" s="21" t="s">
        <v>108</v>
      </c>
      <c r="I10" s="21" t="s">
        <v>15</v>
      </c>
      <c r="J10" s="21" t="s">
        <v>16</v>
      </c>
      <c r="K10" s="30">
        <v>3</v>
      </c>
      <c r="L10" s="25">
        <f t="shared" si="1"/>
        <v>36000</v>
      </c>
      <c r="M10" s="37">
        <v>3</v>
      </c>
      <c r="N10" s="25">
        <f t="shared" si="2"/>
        <v>36000</v>
      </c>
      <c r="O10" s="32">
        <v>2</v>
      </c>
      <c r="P10" s="25">
        <f t="shared" si="3"/>
        <v>24000</v>
      </c>
      <c r="Q10" s="37">
        <v>2</v>
      </c>
      <c r="R10" s="25">
        <f t="shared" si="4"/>
        <v>24000</v>
      </c>
    </row>
    <row r="11" spans="2:18" x14ac:dyDescent="0.25">
      <c r="B11" s="20"/>
      <c r="C11" s="28" t="s">
        <v>118</v>
      </c>
      <c r="D11" s="21" t="s">
        <v>111</v>
      </c>
      <c r="E11" s="30">
        <v>160</v>
      </c>
      <c r="F11" s="32">
        <v>2500</v>
      </c>
      <c r="G11" s="41">
        <f t="shared" si="0"/>
        <v>400000</v>
      </c>
      <c r="H11" s="21" t="s">
        <v>108</v>
      </c>
      <c r="I11" s="21" t="s">
        <v>15</v>
      </c>
      <c r="J11" s="21" t="s">
        <v>16</v>
      </c>
      <c r="K11" s="30">
        <v>40</v>
      </c>
      <c r="L11" s="25">
        <f t="shared" si="1"/>
        <v>100000</v>
      </c>
      <c r="M11" s="37">
        <v>40</v>
      </c>
      <c r="N11" s="25">
        <f t="shared" si="2"/>
        <v>100000</v>
      </c>
      <c r="O11" s="32">
        <v>40</v>
      </c>
      <c r="P11" s="25">
        <f t="shared" si="3"/>
        <v>100000</v>
      </c>
      <c r="Q11" s="37">
        <v>40</v>
      </c>
      <c r="R11" s="25">
        <f t="shared" si="4"/>
        <v>100000</v>
      </c>
    </row>
    <row r="12" spans="2:18" x14ac:dyDescent="0.25">
      <c r="B12" s="20"/>
      <c r="C12" s="28" t="s">
        <v>119</v>
      </c>
      <c r="D12" s="21" t="s">
        <v>112</v>
      </c>
      <c r="E12" s="30">
        <v>6</v>
      </c>
      <c r="F12" s="32">
        <v>5800</v>
      </c>
      <c r="G12" s="41">
        <f t="shared" si="0"/>
        <v>34800</v>
      </c>
      <c r="H12" s="21" t="s">
        <v>108</v>
      </c>
      <c r="I12" s="21" t="s">
        <v>15</v>
      </c>
      <c r="J12" s="21" t="s">
        <v>16</v>
      </c>
      <c r="K12" s="30">
        <v>3</v>
      </c>
      <c r="L12" s="25">
        <f t="shared" si="1"/>
        <v>17400</v>
      </c>
      <c r="M12" s="37">
        <v>2</v>
      </c>
      <c r="N12" s="25">
        <f t="shared" si="2"/>
        <v>11600</v>
      </c>
      <c r="O12" s="32">
        <v>1</v>
      </c>
      <c r="P12" s="25">
        <f t="shared" si="3"/>
        <v>5800</v>
      </c>
      <c r="Q12" s="37"/>
      <c r="R12" s="25"/>
    </row>
    <row r="13" spans="2:18" x14ac:dyDescent="0.25">
      <c r="B13" s="20"/>
      <c r="C13" s="28" t="s">
        <v>120</v>
      </c>
      <c r="D13" s="21" t="s">
        <v>113</v>
      </c>
      <c r="E13" s="30">
        <v>5</v>
      </c>
      <c r="F13" s="32">
        <v>2400</v>
      </c>
      <c r="G13" s="41">
        <f t="shared" si="0"/>
        <v>12000</v>
      </c>
      <c r="H13" s="21" t="s">
        <v>108</v>
      </c>
      <c r="I13" s="21" t="s">
        <v>15</v>
      </c>
      <c r="J13" s="21" t="s">
        <v>16</v>
      </c>
      <c r="K13" s="30">
        <v>2</v>
      </c>
      <c r="L13" s="25">
        <f t="shared" si="1"/>
        <v>4800</v>
      </c>
      <c r="M13" s="37">
        <v>1</v>
      </c>
      <c r="N13" s="25">
        <f t="shared" si="2"/>
        <v>2400</v>
      </c>
      <c r="O13" s="32">
        <v>1</v>
      </c>
      <c r="P13" s="25">
        <f t="shared" si="3"/>
        <v>2400</v>
      </c>
      <c r="Q13" s="37">
        <v>1</v>
      </c>
      <c r="R13" s="25">
        <f t="shared" si="4"/>
        <v>2400</v>
      </c>
    </row>
    <row r="14" spans="2:18" x14ac:dyDescent="0.25">
      <c r="B14" s="20"/>
      <c r="C14" s="27" t="s">
        <v>18</v>
      </c>
      <c r="D14" s="21"/>
      <c r="E14" s="27"/>
      <c r="F14" s="33"/>
      <c r="G14" s="41"/>
      <c r="H14" s="21"/>
      <c r="I14" s="21"/>
      <c r="J14" s="21"/>
      <c r="K14" s="27"/>
      <c r="L14" s="25"/>
      <c r="M14" s="33"/>
      <c r="N14" s="25"/>
      <c r="O14" s="33"/>
      <c r="P14" s="25"/>
      <c r="Q14" s="33"/>
      <c r="R14" s="25"/>
    </row>
    <row r="15" spans="2:18" x14ac:dyDescent="0.25">
      <c r="B15" s="20"/>
      <c r="C15" s="28" t="s">
        <v>121</v>
      </c>
      <c r="D15" s="21" t="s">
        <v>124</v>
      </c>
      <c r="E15" s="30">
        <v>240</v>
      </c>
      <c r="F15" s="32">
        <v>1200</v>
      </c>
      <c r="G15" s="41">
        <f t="shared" si="0"/>
        <v>288000</v>
      </c>
      <c r="H15" s="21" t="s">
        <v>108</v>
      </c>
      <c r="I15" s="21" t="s">
        <v>15</v>
      </c>
      <c r="J15" s="21" t="s">
        <v>16</v>
      </c>
      <c r="K15" s="30">
        <v>60</v>
      </c>
      <c r="L15" s="25">
        <f t="shared" si="1"/>
        <v>72000</v>
      </c>
      <c r="M15" s="37">
        <v>60</v>
      </c>
      <c r="N15" s="25">
        <f t="shared" si="2"/>
        <v>72000</v>
      </c>
      <c r="O15" s="32">
        <v>60</v>
      </c>
      <c r="P15" s="25">
        <f t="shared" si="3"/>
        <v>72000</v>
      </c>
      <c r="Q15" s="37">
        <v>60</v>
      </c>
      <c r="R15" s="25">
        <f t="shared" si="4"/>
        <v>72000</v>
      </c>
    </row>
    <row r="16" spans="2:18" x14ac:dyDescent="0.25">
      <c r="C16" s="28" t="s">
        <v>122</v>
      </c>
      <c r="D16" s="21" t="s">
        <v>124</v>
      </c>
      <c r="E16" s="30">
        <v>80</v>
      </c>
      <c r="F16" s="32">
        <v>1200</v>
      </c>
      <c r="G16" s="41">
        <f t="shared" si="0"/>
        <v>96000</v>
      </c>
      <c r="H16" s="21" t="s">
        <v>108</v>
      </c>
      <c r="I16" s="21" t="s">
        <v>15</v>
      </c>
      <c r="J16" s="21" t="s">
        <v>16</v>
      </c>
      <c r="K16" s="30">
        <v>20</v>
      </c>
      <c r="L16" s="25">
        <f t="shared" si="1"/>
        <v>24000</v>
      </c>
      <c r="M16" s="37">
        <v>20</v>
      </c>
      <c r="N16" s="25">
        <f t="shared" si="2"/>
        <v>24000</v>
      </c>
      <c r="O16" s="32">
        <v>20</v>
      </c>
      <c r="P16" s="25">
        <f t="shared" si="3"/>
        <v>24000</v>
      </c>
      <c r="Q16" s="37">
        <v>20</v>
      </c>
      <c r="R16" s="25">
        <f t="shared" si="4"/>
        <v>24000</v>
      </c>
    </row>
    <row r="17" spans="3:18" x14ac:dyDescent="0.25">
      <c r="C17" s="28" t="s">
        <v>123</v>
      </c>
      <c r="D17" s="21" t="s">
        <v>124</v>
      </c>
      <c r="E17" s="30">
        <v>240</v>
      </c>
      <c r="F17" s="32">
        <v>550</v>
      </c>
      <c r="G17" s="41">
        <f t="shared" si="0"/>
        <v>132000</v>
      </c>
      <c r="H17" s="21" t="s">
        <v>108</v>
      </c>
      <c r="I17" s="21" t="s">
        <v>15</v>
      </c>
      <c r="J17" s="21" t="s">
        <v>16</v>
      </c>
      <c r="K17" s="30">
        <v>60</v>
      </c>
      <c r="L17" s="25">
        <f t="shared" si="1"/>
        <v>33000</v>
      </c>
      <c r="M17" s="37">
        <v>60</v>
      </c>
      <c r="N17" s="25">
        <f t="shared" si="2"/>
        <v>33000</v>
      </c>
      <c r="O17" s="32">
        <v>60</v>
      </c>
      <c r="P17" s="25">
        <f t="shared" si="3"/>
        <v>33000</v>
      </c>
      <c r="Q17" s="37">
        <v>60</v>
      </c>
      <c r="R17" s="25">
        <f t="shared" si="4"/>
        <v>33000</v>
      </c>
    </row>
    <row r="18" spans="3:18" x14ac:dyDescent="0.25">
      <c r="C18" s="28" t="s">
        <v>19</v>
      </c>
      <c r="D18" s="21" t="s">
        <v>124</v>
      </c>
      <c r="E18" s="30">
        <v>40</v>
      </c>
      <c r="F18" s="32">
        <v>2450</v>
      </c>
      <c r="G18" s="41">
        <f t="shared" si="0"/>
        <v>98000</v>
      </c>
      <c r="H18" s="21" t="s">
        <v>108</v>
      </c>
      <c r="I18" s="21" t="s">
        <v>15</v>
      </c>
      <c r="J18" s="21" t="s">
        <v>16</v>
      </c>
      <c r="K18" s="30">
        <v>20</v>
      </c>
      <c r="L18" s="25">
        <f t="shared" si="1"/>
        <v>49000</v>
      </c>
      <c r="M18" s="37">
        <v>10</v>
      </c>
      <c r="N18" s="25">
        <f t="shared" si="2"/>
        <v>24500</v>
      </c>
      <c r="O18" s="32">
        <v>5</v>
      </c>
      <c r="P18" s="25">
        <f t="shared" si="3"/>
        <v>12250</v>
      </c>
      <c r="Q18" s="37">
        <v>5</v>
      </c>
      <c r="R18" s="25">
        <f t="shared" si="4"/>
        <v>12250</v>
      </c>
    </row>
    <row r="19" spans="3:18" x14ac:dyDescent="0.25">
      <c r="C19" s="27" t="s">
        <v>20</v>
      </c>
      <c r="E19" s="27"/>
      <c r="F19" s="33"/>
      <c r="G19" s="41"/>
      <c r="H19" s="21"/>
      <c r="I19" s="21"/>
      <c r="J19" s="21"/>
      <c r="K19" s="27"/>
      <c r="L19" s="25"/>
      <c r="M19" s="33"/>
      <c r="N19" s="25"/>
      <c r="O19" s="33"/>
      <c r="P19" s="25"/>
      <c r="Q19" s="33"/>
      <c r="R19" s="25"/>
    </row>
    <row r="20" spans="3:18" x14ac:dyDescent="0.25">
      <c r="C20" s="28" t="s">
        <v>21</v>
      </c>
      <c r="D20" s="43" t="s">
        <v>126</v>
      </c>
      <c r="E20" s="30">
        <v>5</v>
      </c>
      <c r="F20" s="32">
        <v>33000</v>
      </c>
      <c r="G20" s="41">
        <f t="shared" si="0"/>
        <v>165000</v>
      </c>
      <c r="H20" s="21" t="s">
        <v>108</v>
      </c>
      <c r="I20" s="21" t="s">
        <v>15</v>
      </c>
      <c r="J20" s="21" t="s">
        <v>16</v>
      </c>
      <c r="K20" s="30">
        <v>2</v>
      </c>
      <c r="L20" s="25">
        <f t="shared" si="1"/>
        <v>66000</v>
      </c>
      <c r="M20" s="37">
        <v>1</v>
      </c>
      <c r="N20" s="25">
        <f t="shared" si="2"/>
        <v>33000</v>
      </c>
      <c r="O20" s="32">
        <v>1</v>
      </c>
      <c r="P20" s="25">
        <f t="shared" si="3"/>
        <v>33000</v>
      </c>
      <c r="Q20" s="37">
        <v>1</v>
      </c>
      <c r="R20" s="25">
        <f t="shared" si="4"/>
        <v>33000</v>
      </c>
    </row>
    <row r="21" spans="3:18" x14ac:dyDescent="0.25">
      <c r="C21" s="28" t="s">
        <v>22</v>
      </c>
      <c r="D21" s="43" t="s">
        <v>126</v>
      </c>
      <c r="E21" s="30">
        <v>5</v>
      </c>
      <c r="F21" s="32">
        <v>2500</v>
      </c>
      <c r="G21" s="41">
        <f t="shared" si="0"/>
        <v>12500</v>
      </c>
      <c r="H21" s="21" t="s">
        <v>108</v>
      </c>
      <c r="I21" s="21" t="s">
        <v>15</v>
      </c>
      <c r="J21" s="21" t="s">
        <v>16</v>
      </c>
      <c r="K21" s="30">
        <v>2</v>
      </c>
      <c r="L21" s="25">
        <f t="shared" si="1"/>
        <v>5000</v>
      </c>
      <c r="M21" s="37">
        <v>1</v>
      </c>
      <c r="N21" s="25">
        <f t="shared" si="2"/>
        <v>2500</v>
      </c>
      <c r="O21" s="32">
        <v>1</v>
      </c>
      <c r="P21" s="25">
        <f t="shared" si="3"/>
        <v>2500</v>
      </c>
      <c r="Q21" s="37">
        <v>1</v>
      </c>
      <c r="R21" s="25">
        <f t="shared" si="4"/>
        <v>2500</v>
      </c>
    </row>
    <row r="22" spans="3:18" x14ac:dyDescent="0.25">
      <c r="C22" s="28" t="s">
        <v>23</v>
      </c>
      <c r="D22" s="43" t="s">
        <v>126</v>
      </c>
      <c r="E22" s="30">
        <v>9</v>
      </c>
      <c r="F22" s="32">
        <v>5000</v>
      </c>
      <c r="G22" s="41">
        <f t="shared" si="0"/>
        <v>45000</v>
      </c>
      <c r="H22" s="21" t="s">
        <v>108</v>
      </c>
      <c r="I22" s="21" t="s">
        <v>15</v>
      </c>
      <c r="J22" s="21" t="s">
        <v>16</v>
      </c>
      <c r="K22" s="30">
        <v>4</v>
      </c>
      <c r="L22" s="25">
        <f t="shared" si="1"/>
        <v>20000</v>
      </c>
      <c r="M22" s="37">
        <v>1</v>
      </c>
      <c r="N22" s="25">
        <f t="shared" si="2"/>
        <v>5000</v>
      </c>
      <c r="O22" s="32">
        <v>2</v>
      </c>
      <c r="P22" s="25">
        <f t="shared" si="3"/>
        <v>10000</v>
      </c>
      <c r="Q22" s="37">
        <v>2</v>
      </c>
      <c r="R22" s="25">
        <f t="shared" si="4"/>
        <v>10000</v>
      </c>
    </row>
    <row r="23" spans="3:18" x14ac:dyDescent="0.25">
      <c r="C23" s="27" t="s">
        <v>24</v>
      </c>
      <c r="E23" s="27"/>
      <c r="F23" s="33"/>
      <c r="G23" s="41"/>
      <c r="H23" s="21"/>
      <c r="I23" s="21"/>
      <c r="J23" s="21"/>
      <c r="K23" s="27"/>
      <c r="L23" s="25"/>
      <c r="M23" s="33"/>
      <c r="N23" s="25"/>
      <c r="O23" s="33"/>
      <c r="P23" s="25"/>
      <c r="Q23" s="33"/>
      <c r="R23" s="25"/>
    </row>
    <row r="24" spans="3:18" x14ac:dyDescent="0.25">
      <c r="C24" s="28" t="s">
        <v>127</v>
      </c>
      <c r="D24" s="43" t="s">
        <v>124</v>
      </c>
      <c r="E24" s="30">
        <v>25</v>
      </c>
      <c r="F24" s="32">
        <v>700</v>
      </c>
      <c r="G24" s="41">
        <f t="shared" si="0"/>
        <v>17500</v>
      </c>
      <c r="H24" s="21" t="s">
        <v>108</v>
      </c>
      <c r="I24" s="21" t="s">
        <v>15</v>
      </c>
      <c r="J24" s="21" t="s">
        <v>16</v>
      </c>
      <c r="K24" s="30">
        <v>10</v>
      </c>
      <c r="L24" s="25">
        <f t="shared" si="1"/>
        <v>7000</v>
      </c>
      <c r="M24" s="37">
        <v>5</v>
      </c>
      <c r="N24" s="25">
        <f t="shared" si="2"/>
        <v>3500</v>
      </c>
      <c r="O24" s="32">
        <v>5</v>
      </c>
      <c r="P24" s="25">
        <f t="shared" si="3"/>
        <v>3500</v>
      </c>
      <c r="Q24" s="37">
        <v>5</v>
      </c>
      <c r="R24" s="25">
        <f t="shared" si="4"/>
        <v>3500</v>
      </c>
    </row>
    <row r="25" spans="3:18" x14ac:dyDescent="0.25">
      <c r="C25" s="28" t="s">
        <v>128</v>
      </c>
      <c r="D25" s="43" t="s">
        <v>124</v>
      </c>
      <c r="E25" s="30">
        <v>25</v>
      </c>
      <c r="F25" s="32">
        <v>400</v>
      </c>
      <c r="G25" s="41">
        <f t="shared" si="0"/>
        <v>10000</v>
      </c>
      <c r="H25" s="21" t="s">
        <v>108</v>
      </c>
      <c r="I25" s="21" t="s">
        <v>15</v>
      </c>
      <c r="J25" s="21" t="s">
        <v>16</v>
      </c>
      <c r="K25" s="30">
        <v>10</v>
      </c>
      <c r="L25" s="25">
        <f t="shared" si="1"/>
        <v>4000</v>
      </c>
      <c r="M25" s="37">
        <v>5</v>
      </c>
      <c r="N25" s="25">
        <f t="shared" si="2"/>
        <v>2000</v>
      </c>
      <c r="O25" s="32">
        <v>5</v>
      </c>
      <c r="P25" s="25">
        <f t="shared" si="3"/>
        <v>2000</v>
      </c>
      <c r="Q25" s="37">
        <v>5</v>
      </c>
      <c r="R25" s="25">
        <f t="shared" si="4"/>
        <v>2000</v>
      </c>
    </row>
    <row r="26" spans="3:18" x14ac:dyDescent="0.25">
      <c r="C26" s="28" t="s">
        <v>129</v>
      </c>
      <c r="D26" s="43" t="s">
        <v>124</v>
      </c>
      <c r="E26" s="30">
        <v>25</v>
      </c>
      <c r="F26" s="32">
        <v>400</v>
      </c>
      <c r="G26" s="41">
        <f t="shared" si="0"/>
        <v>10000</v>
      </c>
      <c r="H26" s="21" t="s">
        <v>108</v>
      </c>
      <c r="I26" s="21" t="s">
        <v>15</v>
      </c>
      <c r="J26" s="21" t="s">
        <v>16</v>
      </c>
      <c r="K26" s="30">
        <v>10</v>
      </c>
      <c r="L26" s="25">
        <f t="shared" si="1"/>
        <v>4000</v>
      </c>
      <c r="M26" s="37">
        <v>5</v>
      </c>
      <c r="N26" s="25">
        <f t="shared" si="2"/>
        <v>2000</v>
      </c>
      <c r="O26" s="32">
        <v>5</v>
      </c>
      <c r="P26" s="25">
        <f t="shared" si="3"/>
        <v>2000</v>
      </c>
      <c r="Q26" s="37">
        <v>5</v>
      </c>
      <c r="R26" s="25">
        <f t="shared" si="4"/>
        <v>2000</v>
      </c>
    </row>
    <row r="27" spans="3:18" x14ac:dyDescent="0.25">
      <c r="C27" s="28" t="s">
        <v>130</v>
      </c>
      <c r="D27" s="43" t="s">
        <v>124</v>
      </c>
      <c r="E27" s="30">
        <v>15</v>
      </c>
      <c r="F27" s="32">
        <v>2400</v>
      </c>
      <c r="G27" s="41">
        <f t="shared" si="0"/>
        <v>36000</v>
      </c>
      <c r="H27" s="21" t="s">
        <v>108</v>
      </c>
      <c r="I27" s="21" t="s">
        <v>15</v>
      </c>
      <c r="J27" s="21" t="s">
        <v>16</v>
      </c>
      <c r="K27" s="30">
        <v>5</v>
      </c>
      <c r="L27" s="25">
        <f t="shared" si="1"/>
        <v>12000</v>
      </c>
      <c r="M27" s="37"/>
      <c r="N27" s="25">
        <f t="shared" si="2"/>
        <v>0</v>
      </c>
      <c r="O27" s="32">
        <v>5</v>
      </c>
      <c r="P27" s="25">
        <f t="shared" si="3"/>
        <v>12000</v>
      </c>
      <c r="Q27" s="37">
        <v>5</v>
      </c>
      <c r="R27" s="25">
        <f t="shared" si="4"/>
        <v>12000</v>
      </c>
    </row>
    <row r="28" spans="3:18" x14ac:dyDescent="0.25">
      <c r="C28" s="28" t="s">
        <v>132</v>
      </c>
      <c r="D28" s="43" t="s">
        <v>124</v>
      </c>
      <c r="E28" s="30">
        <v>20</v>
      </c>
      <c r="F28" s="32">
        <v>450</v>
      </c>
      <c r="G28" s="41">
        <f t="shared" si="0"/>
        <v>9000</v>
      </c>
      <c r="H28" s="21" t="s">
        <v>108</v>
      </c>
      <c r="I28" s="21" t="s">
        <v>15</v>
      </c>
      <c r="J28" s="21" t="s">
        <v>16</v>
      </c>
      <c r="K28" s="30">
        <v>5</v>
      </c>
      <c r="L28" s="25">
        <f t="shared" si="1"/>
        <v>2250</v>
      </c>
      <c r="M28" s="37">
        <v>5</v>
      </c>
      <c r="N28" s="25">
        <f t="shared" si="2"/>
        <v>2250</v>
      </c>
      <c r="O28" s="32">
        <v>5</v>
      </c>
      <c r="P28" s="25">
        <f t="shared" si="3"/>
        <v>2250</v>
      </c>
      <c r="Q28" s="37">
        <v>5</v>
      </c>
      <c r="R28" s="25">
        <f t="shared" si="4"/>
        <v>2250</v>
      </c>
    </row>
    <row r="29" spans="3:18" x14ac:dyDescent="0.25">
      <c r="C29" s="28" t="s">
        <v>131</v>
      </c>
      <c r="D29" s="43" t="s">
        <v>126</v>
      </c>
      <c r="E29" s="30">
        <v>80</v>
      </c>
      <c r="F29" s="32">
        <v>400</v>
      </c>
      <c r="G29" s="41">
        <f t="shared" si="0"/>
        <v>32000</v>
      </c>
      <c r="H29" s="21" t="s">
        <v>108</v>
      </c>
      <c r="I29" s="21" t="s">
        <v>15</v>
      </c>
      <c r="J29" s="21" t="s">
        <v>16</v>
      </c>
      <c r="K29" s="30">
        <v>20</v>
      </c>
      <c r="L29" s="25">
        <f t="shared" si="1"/>
        <v>8000</v>
      </c>
      <c r="M29" s="37">
        <v>20</v>
      </c>
      <c r="N29" s="25">
        <f t="shared" si="2"/>
        <v>8000</v>
      </c>
      <c r="O29" s="32">
        <v>20</v>
      </c>
      <c r="P29" s="25">
        <f t="shared" si="3"/>
        <v>8000</v>
      </c>
      <c r="Q29" s="37">
        <v>20</v>
      </c>
      <c r="R29" s="25">
        <f t="shared" si="4"/>
        <v>8000</v>
      </c>
    </row>
    <row r="30" spans="3:18" x14ac:dyDescent="0.25">
      <c r="C30" s="28" t="s">
        <v>134</v>
      </c>
      <c r="D30" s="43" t="s">
        <v>124</v>
      </c>
      <c r="E30" s="30">
        <v>25</v>
      </c>
      <c r="F30" s="32">
        <v>2400</v>
      </c>
      <c r="G30" s="41">
        <f t="shared" si="0"/>
        <v>60000</v>
      </c>
      <c r="H30" s="21" t="s">
        <v>108</v>
      </c>
      <c r="I30" s="21" t="s">
        <v>15</v>
      </c>
      <c r="J30" s="21" t="s">
        <v>16</v>
      </c>
      <c r="K30" s="30">
        <v>10</v>
      </c>
      <c r="L30" s="25">
        <f t="shared" si="1"/>
        <v>24000</v>
      </c>
      <c r="M30" s="37">
        <v>5</v>
      </c>
      <c r="N30" s="25">
        <f t="shared" si="2"/>
        <v>12000</v>
      </c>
      <c r="O30" s="32">
        <v>5</v>
      </c>
      <c r="P30" s="25">
        <f t="shared" si="3"/>
        <v>12000</v>
      </c>
      <c r="Q30" s="37">
        <v>5</v>
      </c>
      <c r="R30" s="25">
        <f t="shared" si="4"/>
        <v>12000</v>
      </c>
    </row>
    <row r="31" spans="3:18" x14ac:dyDescent="0.25">
      <c r="C31" s="28" t="s">
        <v>133</v>
      </c>
      <c r="D31" s="43" t="s">
        <v>124</v>
      </c>
      <c r="E31" s="30">
        <v>25</v>
      </c>
      <c r="F31" s="32">
        <v>700</v>
      </c>
      <c r="G31" s="41">
        <f t="shared" si="0"/>
        <v>17500</v>
      </c>
      <c r="H31" s="21" t="s">
        <v>108</v>
      </c>
      <c r="I31" s="21" t="s">
        <v>15</v>
      </c>
      <c r="J31" s="21" t="s">
        <v>16</v>
      </c>
      <c r="K31" s="30">
        <v>10</v>
      </c>
      <c r="L31" s="25">
        <f t="shared" si="1"/>
        <v>7000</v>
      </c>
      <c r="M31" s="37">
        <v>5</v>
      </c>
      <c r="N31" s="25">
        <f t="shared" si="2"/>
        <v>3500</v>
      </c>
      <c r="O31" s="32">
        <v>5</v>
      </c>
      <c r="P31" s="25">
        <f t="shared" si="3"/>
        <v>3500</v>
      </c>
      <c r="Q31" s="37">
        <v>5</v>
      </c>
      <c r="R31" s="25">
        <f t="shared" si="4"/>
        <v>3500</v>
      </c>
    </row>
    <row r="32" spans="3:18" x14ac:dyDescent="0.25">
      <c r="C32" s="28" t="s">
        <v>135</v>
      </c>
      <c r="D32" s="43" t="s">
        <v>124</v>
      </c>
      <c r="E32" s="30">
        <v>25</v>
      </c>
      <c r="F32" s="32">
        <v>690</v>
      </c>
      <c r="G32" s="41">
        <f t="shared" si="0"/>
        <v>17250</v>
      </c>
      <c r="H32" s="21" t="s">
        <v>108</v>
      </c>
      <c r="I32" s="21" t="s">
        <v>15</v>
      </c>
      <c r="J32" s="21" t="s">
        <v>16</v>
      </c>
      <c r="K32" s="30">
        <v>10</v>
      </c>
      <c r="L32" s="25">
        <f t="shared" si="1"/>
        <v>6900</v>
      </c>
      <c r="M32" s="37">
        <v>5</v>
      </c>
      <c r="N32" s="25">
        <f t="shared" si="2"/>
        <v>3450</v>
      </c>
      <c r="O32" s="32">
        <v>5</v>
      </c>
      <c r="P32" s="25">
        <f t="shared" si="3"/>
        <v>3450</v>
      </c>
      <c r="Q32" s="37">
        <v>5</v>
      </c>
      <c r="R32" s="25">
        <f t="shared" si="4"/>
        <v>3450</v>
      </c>
    </row>
    <row r="33" spans="3:18" x14ac:dyDescent="0.25">
      <c r="C33" s="28" t="s">
        <v>136</v>
      </c>
      <c r="D33" s="43" t="s">
        <v>124</v>
      </c>
      <c r="E33" s="30">
        <v>30</v>
      </c>
      <c r="F33" s="32">
        <v>900</v>
      </c>
      <c r="G33" s="41">
        <f t="shared" si="0"/>
        <v>27000</v>
      </c>
      <c r="H33" s="21" t="s">
        <v>108</v>
      </c>
      <c r="I33" s="21" t="s">
        <v>15</v>
      </c>
      <c r="J33" s="21" t="s">
        <v>16</v>
      </c>
      <c r="K33" s="30">
        <v>15</v>
      </c>
      <c r="L33" s="25">
        <f t="shared" si="1"/>
        <v>13500</v>
      </c>
      <c r="M33" s="37">
        <v>5</v>
      </c>
      <c r="N33" s="25">
        <f t="shared" si="2"/>
        <v>4500</v>
      </c>
      <c r="O33" s="32">
        <v>5</v>
      </c>
      <c r="P33" s="25">
        <f t="shared" si="3"/>
        <v>4500</v>
      </c>
      <c r="Q33" s="37">
        <v>5</v>
      </c>
      <c r="R33" s="25">
        <f t="shared" si="4"/>
        <v>4500</v>
      </c>
    </row>
    <row r="34" spans="3:18" x14ac:dyDescent="0.25">
      <c r="C34" s="28" t="s">
        <v>137</v>
      </c>
      <c r="D34" s="43" t="s">
        <v>124</v>
      </c>
      <c r="E34" s="30">
        <v>25</v>
      </c>
      <c r="F34" s="32">
        <v>1200</v>
      </c>
      <c r="G34" s="41">
        <f t="shared" si="0"/>
        <v>30000</v>
      </c>
      <c r="H34" s="21" t="s">
        <v>108</v>
      </c>
      <c r="I34" s="21" t="s">
        <v>15</v>
      </c>
      <c r="J34" s="21" t="s">
        <v>16</v>
      </c>
      <c r="K34" s="30">
        <v>10</v>
      </c>
      <c r="L34" s="25">
        <f t="shared" si="1"/>
        <v>12000</v>
      </c>
      <c r="M34" s="37">
        <v>5</v>
      </c>
      <c r="N34" s="25">
        <f t="shared" si="2"/>
        <v>6000</v>
      </c>
      <c r="O34" s="32">
        <v>5</v>
      </c>
      <c r="P34" s="25">
        <f t="shared" si="3"/>
        <v>6000</v>
      </c>
      <c r="Q34" s="37">
        <v>5</v>
      </c>
      <c r="R34" s="25">
        <f t="shared" si="4"/>
        <v>6000</v>
      </c>
    </row>
    <row r="35" spans="3:18" x14ac:dyDescent="0.25">
      <c r="C35" s="28" t="s">
        <v>138</v>
      </c>
      <c r="D35" s="43" t="s">
        <v>124</v>
      </c>
      <c r="E35" s="30">
        <v>8</v>
      </c>
      <c r="F35" s="32">
        <v>6200</v>
      </c>
      <c r="G35" s="41">
        <f t="shared" si="0"/>
        <v>49600</v>
      </c>
      <c r="H35" s="21" t="s">
        <v>108</v>
      </c>
      <c r="I35" s="21" t="s">
        <v>15</v>
      </c>
      <c r="J35" s="21" t="s">
        <v>16</v>
      </c>
      <c r="K35" s="30">
        <v>2</v>
      </c>
      <c r="L35" s="25">
        <f t="shared" si="1"/>
        <v>12400</v>
      </c>
      <c r="M35" s="37">
        <v>2</v>
      </c>
      <c r="N35" s="25">
        <f t="shared" si="2"/>
        <v>12400</v>
      </c>
      <c r="O35" s="32">
        <v>2</v>
      </c>
      <c r="P35" s="25">
        <f t="shared" si="3"/>
        <v>12400</v>
      </c>
      <c r="Q35" s="37">
        <v>2</v>
      </c>
      <c r="R35" s="25">
        <f t="shared" si="4"/>
        <v>12400</v>
      </c>
    </row>
    <row r="36" spans="3:18" x14ac:dyDescent="0.25">
      <c r="C36" s="27" t="s">
        <v>25</v>
      </c>
      <c r="E36" s="27"/>
      <c r="F36" s="33"/>
      <c r="G36" s="41"/>
      <c r="H36" s="21"/>
      <c r="I36" s="21"/>
      <c r="J36" s="21"/>
      <c r="K36" s="27"/>
      <c r="L36" s="25"/>
      <c r="M36" s="33"/>
      <c r="N36" s="25"/>
      <c r="O36" s="33"/>
      <c r="P36" s="25"/>
      <c r="Q36" s="33"/>
      <c r="R36" s="25"/>
    </row>
    <row r="37" spans="3:18" x14ac:dyDescent="0.25">
      <c r="C37" s="28" t="s">
        <v>139</v>
      </c>
      <c r="D37" s="43" t="s">
        <v>126</v>
      </c>
      <c r="E37" s="30">
        <v>320</v>
      </c>
      <c r="F37" s="32">
        <v>350</v>
      </c>
      <c r="G37" s="41">
        <f t="shared" si="0"/>
        <v>112000</v>
      </c>
      <c r="H37" s="21" t="s">
        <v>108</v>
      </c>
      <c r="I37" s="21" t="s">
        <v>15</v>
      </c>
      <c r="J37" s="21" t="s">
        <v>16</v>
      </c>
      <c r="K37" s="30">
        <v>80</v>
      </c>
      <c r="L37" s="25">
        <f t="shared" si="1"/>
        <v>28000</v>
      </c>
      <c r="M37" s="37">
        <v>80</v>
      </c>
      <c r="N37" s="25">
        <f t="shared" si="2"/>
        <v>28000</v>
      </c>
      <c r="O37" s="32">
        <v>80</v>
      </c>
      <c r="P37" s="25">
        <f t="shared" si="3"/>
        <v>28000</v>
      </c>
      <c r="Q37" s="37">
        <v>80</v>
      </c>
      <c r="R37" s="25">
        <f t="shared" si="4"/>
        <v>28000</v>
      </c>
    </row>
    <row r="38" spans="3:18" x14ac:dyDescent="0.25">
      <c r="C38" s="28" t="s">
        <v>26</v>
      </c>
      <c r="D38" s="43" t="s">
        <v>126</v>
      </c>
      <c r="E38" s="30">
        <v>10</v>
      </c>
      <c r="F38" s="32">
        <v>6850</v>
      </c>
      <c r="G38" s="41">
        <f t="shared" si="0"/>
        <v>68500</v>
      </c>
      <c r="H38" s="21" t="s">
        <v>108</v>
      </c>
      <c r="I38" s="21" t="s">
        <v>15</v>
      </c>
      <c r="J38" s="21" t="s">
        <v>16</v>
      </c>
      <c r="K38" s="30">
        <v>10</v>
      </c>
      <c r="L38" s="25">
        <f t="shared" si="1"/>
        <v>68500</v>
      </c>
      <c r="M38" s="37"/>
      <c r="N38" s="25"/>
      <c r="O38" s="32"/>
      <c r="P38" s="25"/>
      <c r="Q38" s="37"/>
      <c r="R38" s="25"/>
    </row>
    <row r="39" spans="3:18" x14ac:dyDescent="0.25">
      <c r="C39" s="28" t="s">
        <v>27</v>
      </c>
      <c r="D39" s="43" t="s">
        <v>126</v>
      </c>
      <c r="E39" s="30">
        <v>10</v>
      </c>
      <c r="F39" s="32">
        <v>800</v>
      </c>
      <c r="G39" s="41">
        <f t="shared" si="0"/>
        <v>8000</v>
      </c>
      <c r="H39" s="21" t="s">
        <v>108</v>
      </c>
      <c r="I39" s="21" t="s">
        <v>15</v>
      </c>
      <c r="J39" s="21" t="s">
        <v>16</v>
      </c>
      <c r="K39" s="30">
        <v>10</v>
      </c>
      <c r="L39" s="25">
        <f t="shared" si="1"/>
        <v>8000</v>
      </c>
      <c r="M39" s="37"/>
      <c r="N39" s="25"/>
      <c r="O39" s="32"/>
      <c r="P39" s="25"/>
      <c r="Q39" s="37"/>
      <c r="R39" s="25"/>
    </row>
    <row r="40" spans="3:18" x14ac:dyDescent="0.25">
      <c r="C40" s="28" t="s">
        <v>28</v>
      </c>
      <c r="D40" s="43" t="s">
        <v>126</v>
      </c>
      <c r="E40" s="30">
        <v>20</v>
      </c>
      <c r="F40" s="32">
        <v>850</v>
      </c>
      <c r="G40" s="41">
        <f t="shared" si="0"/>
        <v>17000</v>
      </c>
      <c r="H40" s="21" t="s">
        <v>108</v>
      </c>
      <c r="I40" s="21" t="s">
        <v>15</v>
      </c>
      <c r="J40" s="21" t="s">
        <v>16</v>
      </c>
      <c r="K40" s="30">
        <v>10</v>
      </c>
      <c r="L40" s="25">
        <f t="shared" si="1"/>
        <v>8500</v>
      </c>
      <c r="M40" s="37">
        <v>5</v>
      </c>
      <c r="N40" s="25">
        <f t="shared" si="2"/>
        <v>4250</v>
      </c>
      <c r="O40" s="32"/>
      <c r="P40" s="25"/>
      <c r="Q40" s="37">
        <v>5</v>
      </c>
      <c r="R40" s="25">
        <f t="shared" si="4"/>
        <v>4250</v>
      </c>
    </row>
    <row r="41" spans="3:18" x14ac:dyDescent="0.25">
      <c r="C41" s="28" t="s">
        <v>29</v>
      </c>
      <c r="D41" s="43" t="s">
        <v>124</v>
      </c>
      <c r="E41" s="30">
        <v>400</v>
      </c>
      <c r="F41" s="32">
        <v>80</v>
      </c>
      <c r="G41" s="41">
        <f t="shared" si="0"/>
        <v>32000</v>
      </c>
      <c r="H41" s="21" t="s">
        <v>108</v>
      </c>
      <c r="I41" s="21" t="s">
        <v>15</v>
      </c>
      <c r="J41" s="21" t="s">
        <v>16</v>
      </c>
      <c r="K41" s="30">
        <v>100</v>
      </c>
      <c r="L41" s="25">
        <f t="shared" si="1"/>
        <v>8000</v>
      </c>
      <c r="M41" s="37">
        <v>100</v>
      </c>
      <c r="N41" s="25">
        <f t="shared" si="2"/>
        <v>8000</v>
      </c>
      <c r="O41" s="32">
        <v>100</v>
      </c>
      <c r="P41" s="25">
        <f t="shared" si="3"/>
        <v>8000</v>
      </c>
      <c r="Q41" s="37">
        <v>100</v>
      </c>
      <c r="R41" s="25">
        <f t="shared" si="4"/>
        <v>8000</v>
      </c>
    </row>
    <row r="42" spans="3:18" x14ac:dyDescent="0.25">
      <c r="C42" s="28" t="s">
        <v>30</v>
      </c>
      <c r="D42" s="43" t="s">
        <v>124</v>
      </c>
      <c r="E42" s="30">
        <v>80</v>
      </c>
      <c r="F42" s="32">
        <v>900</v>
      </c>
      <c r="G42" s="41">
        <f t="shared" si="0"/>
        <v>72000</v>
      </c>
      <c r="H42" s="21" t="s">
        <v>108</v>
      </c>
      <c r="I42" s="21" t="s">
        <v>15</v>
      </c>
      <c r="J42" s="21" t="s">
        <v>16</v>
      </c>
      <c r="K42" s="30">
        <v>20</v>
      </c>
      <c r="L42" s="25">
        <f t="shared" si="1"/>
        <v>18000</v>
      </c>
      <c r="M42" s="37">
        <v>20</v>
      </c>
      <c r="N42" s="25">
        <f t="shared" si="2"/>
        <v>18000</v>
      </c>
      <c r="O42" s="32">
        <v>20</v>
      </c>
      <c r="P42" s="25">
        <f t="shared" si="3"/>
        <v>18000</v>
      </c>
      <c r="Q42" s="37">
        <v>20</v>
      </c>
      <c r="R42" s="25">
        <f t="shared" si="4"/>
        <v>18000</v>
      </c>
    </row>
    <row r="43" spans="3:18" x14ac:dyDescent="0.25">
      <c r="C43" s="27" t="s">
        <v>31</v>
      </c>
      <c r="E43" s="27"/>
      <c r="F43" s="33"/>
      <c r="G43" s="41"/>
      <c r="H43" s="21"/>
      <c r="I43" s="21"/>
      <c r="J43" s="21"/>
      <c r="K43" s="27"/>
      <c r="L43" s="25"/>
      <c r="M43" s="33"/>
      <c r="N43" s="25"/>
      <c r="O43" s="33"/>
      <c r="P43" s="25"/>
      <c r="Q43" s="33"/>
      <c r="R43" s="25"/>
    </row>
    <row r="44" spans="3:18" x14ac:dyDescent="0.25">
      <c r="C44" s="28" t="s">
        <v>141</v>
      </c>
      <c r="D44" s="43" t="s">
        <v>151</v>
      </c>
      <c r="E44" s="30">
        <v>8</v>
      </c>
      <c r="F44" s="32">
        <v>450</v>
      </c>
      <c r="G44" s="41">
        <f t="shared" si="0"/>
        <v>3600</v>
      </c>
      <c r="H44" s="21" t="s">
        <v>108</v>
      </c>
      <c r="I44" s="21" t="s">
        <v>15</v>
      </c>
      <c r="J44" s="21" t="s">
        <v>16</v>
      </c>
      <c r="K44" s="30">
        <v>2</v>
      </c>
      <c r="L44" s="25">
        <f t="shared" si="1"/>
        <v>900</v>
      </c>
      <c r="M44" s="37">
        <v>2</v>
      </c>
      <c r="N44" s="25">
        <f t="shared" si="2"/>
        <v>900</v>
      </c>
      <c r="O44" s="32">
        <v>2</v>
      </c>
      <c r="P44" s="25">
        <f t="shared" si="3"/>
        <v>900</v>
      </c>
      <c r="Q44" s="37">
        <v>2</v>
      </c>
      <c r="R44" s="25">
        <f t="shared" si="4"/>
        <v>900</v>
      </c>
    </row>
    <row r="45" spans="3:18" x14ac:dyDescent="0.25">
      <c r="C45" s="28" t="s">
        <v>142</v>
      </c>
      <c r="D45" s="43" t="s">
        <v>151</v>
      </c>
      <c r="E45" s="30">
        <v>8</v>
      </c>
      <c r="F45" s="32">
        <v>450</v>
      </c>
      <c r="G45" s="41">
        <f t="shared" si="0"/>
        <v>3600</v>
      </c>
      <c r="H45" s="21" t="s">
        <v>108</v>
      </c>
      <c r="I45" s="21" t="s">
        <v>15</v>
      </c>
      <c r="J45" s="21" t="s">
        <v>16</v>
      </c>
      <c r="K45" s="30">
        <v>2</v>
      </c>
      <c r="L45" s="25">
        <f t="shared" si="1"/>
        <v>900</v>
      </c>
      <c r="M45" s="37">
        <v>2</v>
      </c>
      <c r="N45" s="25">
        <f t="shared" si="2"/>
        <v>900</v>
      </c>
      <c r="O45" s="32">
        <v>2</v>
      </c>
      <c r="P45" s="25">
        <f t="shared" si="3"/>
        <v>900</v>
      </c>
      <c r="Q45" s="37">
        <v>2</v>
      </c>
      <c r="R45" s="25">
        <f t="shared" si="4"/>
        <v>900</v>
      </c>
    </row>
    <row r="46" spans="3:18" x14ac:dyDescent="0.25">
      <c r="C46" s="28" t="s">
        <v>143</v>
      </c>
      <c r="D46" s="43" t="s">
        <v>140</v>
      </c>
      <c r="E46" s="30">
        <v>12</v>
      </c>
      <c r="F46" s="32">
        <v>1400</v>
      </c>
      <c r="G46" s="41">
        <f t="shared" si="0"/>
        <v>16800</v>
      </c>
      <c r="H46" s="21" t="s">
        <v>108</v>
      </c>
      <c r="I46" s="21" t="s">
        <v>15</v>
      </c>
      <c r="J46" s="21" t="s">
        <v>16</v>
      </c>
      <c r="K46" s="30">
        <v>3</v>
      </c>
      <c r="L46" s="25">
        <f t="shared" si="1"/>
        <v>4200</v>
      </c>
      <c r="M46" s="37">
        <v>3</v>
      </c>
      <c r="N46" s="25">
        <f t="shared" si="2"/>
        <v>4200</v>
      </c>
      <c r="O46" s="32">
        <v>3</v>
      </c>
      <c r="P46" s="25">
        <f t="shared" si="3"/>
        <v>4200</v>
      </c>
      <c r="Q46" s="37">
        <v>3</v>
      </c>
      <c r="R46" s="25">
        <f t="shared" si="4"/>
        <v>4200</v>
      </c>
    </row>
    <row r="47" spans="3:18" x14ac:dyDescent="0.25">
      <c r="C47" s="28" t="s">
        <v>32</v>
      </c>
      <c r="D47" s="43" t="s">
        <v>154</v>
      </c>
      <c r="E47" s="30">
        <v>25</v>
      </c>
      <c r="F47" s="32">
        <v>150</v>
      </c>
      <c r="G47" s="41">
        <f t="shared" si="0"/>
        <v>3750</v>
      </c>
      <c r="H47" s="21" t="s">
        <v>108</v>
      </c>
      <c r="I47" s="21" t="s">
        <v>15</v>
      </c>
      <c r="J47" s="21" t="s">
        <v>16</v>
      </c>
      <c r="K47" s="30">
        <v>10</v>
      </c>
      <c r="L47" s="25">
        <f t="shared" si="1"/>
        <v>1500</v>
      </c>
      <c r="M47" s="37">
        <v>5</v>
      </c>
      <c r="N47" s="25">
        <f t="shared" si="2"/>
        <v>750</v>
      </c>
      <c r="O47" s="32">
        <v>5</v>
      </c>
      <c r="P47" s="25">
        <f t="shared" si="3"/>
        <v>750</v>
      </c>
      <c r="Q47" s="37">
        <v>5</v>
      </c>
      <c r="R47" s="25">
        <f t="shared" si="4"/>
        <v>750</v>
      </c>
    </row>
    <row r="48" spans="3:18" x14ac:dyDescent="0.25">
      <c r="C48" s="28" t="s">
        <v>145</v>
      </c>
      <c r="D48" s="43" t="s">
        <v>154</v>
      </c>
      <c r="E48" s="30">
        <v>25</v>
      </c>
      <c r="F48" s="32">
        <v>100</v>
      </c>
      <c r="G48" s="41">
        <f t="shared" si="0"/>
        <v>2500</v>
      </c>
      <c r="H48" s="21" t="s">
        <v>108</v>
      </c>
      <c r="I48" s="21" t="s">
        <v>15</v>
      </c>
      <c r="J48" s="21" t="s">
        <v>16</v>
      </c>
      <c r="K48" s="30">
        <v>10</v>
      </c>
      <c r="L48" s="25">
        <f t="shared" si="1"/>
        <v>1000</v>
      </c>
      <c r="M48" s="37">
        <v>5</v>
      </c>
      <c r="N48" s="25">
        <f t="shared" si="2"/>
        <v>500</v>
      </c>
      <c r="O48" s="32">
        <v>5</v>
      </c>
      <c r="P48" s="25">
        <f t="shared" si="3"/>
        <v>500</v>
      </c>
      <c r="Q48" s="37">
        <v>5</v>
      </c>
      <c r="R48" s="25">
        <f t="shared" si="4"/>
        <v>500</v>
      </c>
    </row>
    <row r="49" spans="3:18" x14ac:dyDescent="0.25">
      <c r="C49" s="28" t="s">
        <v>144</v>
      </c>
      <c r="D49" s="43" t="s">
        <v>154</v>
      </c>
      <c r="E49" s="30">
        <v>25</v>
      </c>
      <c r="F49" s="32">
        <v>100</v>
      </c>
      <c r="G49" s="41">
        <f t="shared" si="0"/>
        <v>2500</v>
      </c>
      <c r="H49" s="21" t="s">
        <v>108</v>
      </c>
      <c r="I49" s="21" t="s">
        <v>15</v>
      </c>
      <c r="J49" s="21" t="s">
        <v>16</v>
      </c>
      <c r="K49" s="30">
        <v>10</v>
      </c>
      <c r="L49" s="25">
        <f t="shared" si="1"/>
        <v>1000</v>
      </c>
      <c r="M49" s="37">
        <v>5</v>
      </c>
      <c r="N49" s="25">
        <f t="shared" si="2"/>
        <v>500</v>
      </c>
      <c r="O49" s="32">
        <v>5</v>
      </c>
      <c r="P49" s="25">
        <f t="shared" si="3"/>
        <v>500</v>
      </c>
      <c r="Q49" s="37">
        <v>5</v>
      </c>
      <c r="R49" s="25">
        <f t="shared" si="4"/>
        <v>500</v>
      </c>
    </row>
    <row r="50" spans="3:18" x14ac:dyDescent="0.25">
      <c r="C50" s="28" t="s">
        <v>146</v>
      </c>
      <c r="D50" t="s">
        <v>148</v>
      </c>
      <c r="E50" s="30">
        <v>8</v>
      </c>
      <c r="F50" s="32">
        <v>1200</v>
      </c>
      <c r="G50" s="41">
        <f t="shared" si="0"/>
        <v>9600</v>
      </c>
      <c r="H50" s="21" t="s">
        <v>108</v>
      </c>
      <c r="I50" s="21" t="s">
        <v>15</v>
      </c>
      <c r="J50" s="21" t="s">
        <v>16</v>
      </c>
      <c r="K50" s="30">
        <v>2</v>
      </c>
      <c r="L50" s="25">
        <f t="shared" si="1"/>
        <v>2400</v>
      </c>
      <c r="M50" s="37">
        <v>2</v>
      </c>
      <c r="N50" s="25">
        <f t="shared" si="2"/>
        <v>2400</v>
      </c>
      <c r="O50" s="32">
        <v>2</v>
      </c>
      <c r="P50" s="25">
        <f t="shared" si="3"/>
        <v>2400</v>
      </c>
      <c r="Q50" s="37">
        <v>2</v>
      </c>
      <c r="R50" s="25">
        <f t="shared" si="4"/>
        <v>2400</v>
      </c>
    </row>
    <row r="51" spans="3:18" x14ac:dyDescent="0.25">
      <c r="C51" s="28" t="s">
        <v>147</v>
      </c>
      <c r="D51" t="s">
        <v>148</v>
      </c>
      <c r="E51" s="30">
        <v>8</v>
      </c>
      <c r="F51" s="32">
        <v>450</v>
      </c>
      <c r="G51" s="41">
        <f t="shared" si="0"/>
        <v>3600</v>
      </c>
      <c r="H51" s="21" t="s">
        <v>108</v>
      </c>
      <c r="I51" s="21" t="s">
        <v>15</v>
      </c>
      <c r="J51" s="21" t="s">
        <v>16</v>
      </c>
      <c r="K51" s="30">
        <v>2</v>
      </c>
      <c r="L51" s="25">
        <f t="shared" si="1"/>
        <v>900</v>
      </c>
      <c r="M51" s="37">
        <v>2</v>
      </c>
      <c r="N51" s="25">
        <f t="shared" si="2"/>
        <v>900</v>
      </c>
      <c r="O51" s="32">
        <v>2</v>
      </c>
      <c r="P51" s="25">
        <f t="shared" si="3"/>
        <v>900</v>
      </c>
      <c r="Q51" s="37">
        <v>2</v>
      </c>
      <c r="R51" s="25">
        <f t="shared" si="4"/>
        <v>900</v>
      </c>
    </row>
    <row r="52" spans="3:18" x14ac:dyDescent="0.25">
      <c r="C52" s="27" t="s">
        <v>33</v>
      </c>
      <c r="E52" s="27"/>
      <c r="F52" s="33"/>
      <c r="G52" s="41"/>
      <c r="H52" s="21"/>
      <c r="I52" s="21"/>
      <c r="J52" s="21"/>
      <c r="K52" s="27"/>
      <c r="L52" s="25"/>
      <c r="M52" s="33"/>
      <c r="N52" s="25"/>
      <c r="O52" s="33"/>
      <c r="P52" s="25"/>
      <c r="Q52" s="33"/>
      <c r="R52" s="25"/>
    </row>
    <row r="53" spans="3:18" x14ac:dyDescent="0.25">
      <c r="C53" s="28" t="s">
        <v>169</v>
      </c>
      <c r="D53" t="s">
        <v>149</v>
      </c>
      <c r="E53" s="30">
        <v>50</v>
      </c>
      <c r="F53" s="32">
        <v>40</v>
      </c>
      <c r="G53" s="41">
        <f t="shared" si="0"/>
        <v>2000</v>
      </c>
      <c r="H53" s="21" t="s">
        <v>108</v>
      </c>
      <c r="I53" s="21" t="s">
        <v>15</v>
      </c>
      <c r="J53" s="21" t="s">
        <v>16</v>
      </c>
      <c r="K53" s="30">
        <v>20</v>
      </c>
      <c r="L53" s="25">
        <f t="shared" si="1"/>
        <v>800</v>
      </c>
      <c r="M53" s="37">
        <v>10</v>
      </c>
      <c r="N53" s="25">
        <f t="shared" si="2"/>
        <v>400</v>
      </c>
      <c r="O53" s="32">
        <v>10</v>
      </c>
      <c r="P53" s="25">
        <f t="shared" si="3"/>
        <v>400</v>
      </c>
      <c r="Q53" s="37">
        <v>10</v>
      </c>
      <c r="R53" s="25">
        <f t="shared" si="4"/>
        <v>400</v>
      </c>
    </row>
    <row r="54" spans="3:18" x14ac:dyDescent="0.25">
      <c r="C54" s="28" t="s">
        <v>158</v>
      </c>
      <c r="D54" t="s">
        <v>150</v>
      </c>
      <c r="E54" s="30">
        <v>6</v>
      </c>
      <c r="F54" s="32">
        <v>120</v>
      </c>
      <c r="G54" s="41">
        <f t="shared" si="0"/>
        <v>720</v>
      </c>
      <c r="H54" s="21" t="s">
        <v>108</v>
      </c>
      <c r="I54" s="21" t="s">
        <v>15</v>
      </c>
      <c r="J54" s="21" t="s">
        <v>16</v>
      </c>
      <c r="K54" s="30">
        <v>3</v>
      </c>
      <c r="L54" s="25">
        <f t="shared" si="1"/>
        <v>360</v>
      </c>
      <c r="M54" s="37">
        <v>1</v>
      </c>
      <c r="N54" s="25">
        <f t="shared" si="2"/>
        <v>120</v>
      </c>
      <c r="O54" s="32">
        <v>1</v>
      </c>
      <c r="P54" s="25">
        <f t="shared" si="3"/>
        <v>120</v>
      </c>
      <c r="Q54" s="37">
        <v>1</v>
      </c>
      <c r="R54" s="25">
        <f t="shared" si="4"/>
        <v>120</v>
      </c>
    </row>
    <row r="55" spans="3:18" x14ac:dyDescent="0.25">
      <c r="C55" s="28" t="s">
        <v>170</v>
      </c>
      <c r="D55" t="s">
        <v>149</v>
      </c>
      <c r="E55" s="30">
        <v>50</v>
      </c>
      <c r="F55" s="32">
        <v>120</v>
      </c>
      <c r="G55" s="41">
        <f t="shared" si="0"/>
        <v>6000</v>
      </c>
      <c r="H55" s="21" t="s">
        <v>108</v>
      </c>
      <c r="I55" s="21" t="s">
        <v>15</v>
      </c>
      <c r="J55" s="21" t="s">
        <v>16</v>
      </c>
      <c r="K55" s="30">
        <v>20</v>
      </c>
      <c r="L55" s="25">
        <f t="shared" si="1"/>
        <v>2400</v>
      </c>
      <c r="M55" s="37">
        <v>10</v>
      </c>
      <c r="N55" s="25">
        <f t="shared" si="2"/>
        <v>1200</v>
      </c>
      <c r="O55" s="32">
        <v>10</v>
      </c>
      <c r="P55" s="25">
        <f t="shared" si="3"/>
        <v>1200</v>
      </c>
      <c r="Q55" s="37">
        <v>10</v>
      </c>
      <c r="R55" s="25">
        <f t="shared" si="4"/>
        <v>1200</v>
      </c>
    </row>
    <row r="56" spans="3:18" x14ac:dyDescent="0.25">
      <c r="C56" s="28" t="s">
        <v>171</v>
      </c>
      <c r="D56" t="s">
        <v>151</v>
      </c>
      <c r="E56" s="30">
        <v>6</v>
      </c>
      <c r="F56" s="32">
        <v>550</v>
      </c>
      <c r="G56" s="41">
        <f t="shared" si="0"/>
        <v>3300</v>
      </c>
      <c r="H56" s="21" t="s">
        <v>108</v>
      </c>
      <c r="I56" s="21" t="s">
        <v>15</v>
      </c>
      <c r="J56" s="21" t="s">
        <v>16</v>
      </c>
      <c r="K56" s="30">
        <v>3</v>
      </c>
      <c r="L56" s="25">
        <f t="shared" si="1"/>
        <v>1650</v>
      </c>
      <c r="M56" s="37">
        <v>1</v>
      </c>
      <c r="N56" s="25">
        <f t="shared" si="2"/>
        <v>550</v>
      </c>
      <c r="O56" s="32">
        <v>1</v>
      </c>
      <c r="P56" s="25">
        <f t="shared" si="3"/>
        <v>550</v>
      </c>
      <c r="Q56" s="37">
        <v>1</v>
      </c>
      <c r="R56" s="25">
        <f t="shared" si="4"/>
        <v>550</v>
      </c>
    </row>
    <row r="57" spans="3:18" x14ac:dyDescent="0.25">
      <c r="C57" s="28" t="s">
        <v>172</v>
      </c>
      <c r="D57" t="s">
        <v>152</v>
      </c>
      <c r="E57" s="30">
        <v>4</v>
      </c>
      <c r="F57" s="32">
        <v>650</v>
      </c>
      <c r="G57" s="41">
        <f t="shared" si="0"/>
        <v>2600</v>
      </c>
      <c r="H57" s="21" t="s">
        <v>108</v>
      </c>
      <c r="I57" s="21" t="s">
        <v>15</v>
      </c>
      <c r="J57" s="21" t="s">
        <v>16</v>
      </c>
      <c r="K57" s="30">
        <v>1</v>
      </c>
      <c r="L57" s="25">
        <f t="shared" si="1"/>
        <v>650</v>
      </c>
      <c r="M57" s="37">
        <v>1</v>
      </c>
      <c r="N57" s="25">
        <f t="shared" si="2"/>
        <v>650</v>
      </c>
      <c r="O57" s="32">
        <v>1</v>
      </c>
      <c r="P57" s="25">
        <f t="shared" si="3"/>
        <v>650</v>
      </c>
      <c r="Q57" s="37">
        <v>1</v>
      </c>
      <c r="R57" s="25">
        <f t="shared" si="4"/>
        <v>650</v>
      </c>
    </row>
    <row r="58" spans="3:18" x14ac:dyDescent="0.25">
      <c r="C58" s="28" t="s">
        <v>153</v>
      </c>
      <c r="D58" t="s">
        <v>155</v>
      </c>
      <c r="E58" s="30">
        <v>10</v>
      </c>
      <c r="F58" s="32">
        <v>50</v>
      </c>
      <c r="G58" s="41">
        <f t="shared" si="0"/>
        <v>500</v>
      </c>
      <c r="H58" s="21" t="s">
        <v>108</v>
      </c>
      <c r="I58" s="21" t="s">
        <v>15</v>
      </c>
      <c r="J58" s="21" t="s">
        <v>16</v>
      </c>
      <c r="K58" s="30">
        <v>10</v>
      </c>
      <c r="L58" s="25">
        <f t="shared" si="1"/>
        <v>500</v>
      </c>
      <c r="M58" s="37"/>
      <c r="N58" s="25"/>
      <c r="O58" s="32"/>
      <c r="P58" s="25"/>
      <c r="Q58" s="37"/>
      <c r="R58" s="25"/>
    </row>
    <row r="59" spans="3:18" x14ac:dyDescent="0.25">
      <c r="C59" s="28" t="s">
        <v>174</v>
      </c>
      <c r="D59" t="s">
        <v>149</v>
      </c>
      <c r="E59" s="30">
        <v>50</v>
      </c>
      <c r="F59" s="32">
        <v>80</v>
      </c>
      <c r="G59" s="41">
        <f t="shared" si="0"/>
        <v>4000</v>
      </c>
      <c r="H59" s="21" t="s">
        <v>108</v>
      </c>
      <c r="I59" s="21" t="s">
        <v>15</v>
      </c>
      <c r="J59" s="21" t="s">
        <v>16</v>
      </c>
      <c r="K59" s="30">
        <v>20</v>
      </c>
      <c r="L59" s="25">
        <f t="shared" si="1"/>
        <v>1600</v>
      </c>
      <c r="M59" s="37">
        <v>10</v>
      </c>
      <c r="N59" s="25">
        <f t="shared" si="2"/>
        <v>800</v>
      </c>
      <c r="O59" s="32">
        <v>10</v>
      </c>
      <c r="P59" s="25">
        <f t="shared" si="3"/>
        <v>800</v>
      </c>
      <c r="Q59" s="37">
        <v>10</v>
      </c>
      <c r="R59" s="25">
        <f t="shared" si="4"/>
        <v>800</v>
      </c>
    </row>
    <row r="60" spans="3:18" x14ac:dyDescent="0.25">
      <c r="C60" s="28" t="s">
        <v>173</v>
      </c>
      <c r="D60" t="s">
        <v>168</v>
      </c>
      <c r="E60" s="30">
        <v>4</v>
      </c>
      <c r="F60" s="32">
        <v>1400</v>
      </c>
      <c r="G60" s="41">
        <f t="shared" si="0"/>
        <v>5600</v>
      </c>
      <c r="H60" s="21" t="s">
        <v>108</v>
      </c>
      <c r="I60" s="21" t="s">
        <v>15</v>
      </c>
      <c r="J60" s="21" t="s">
        <v>16</v>
      </c>
      <c r="K60" s="30">
        <v>1</v>
      </c>
      <c r="L60" s="25">
        <f t="shared" si="1"/>
        <v>1400</v>
      </c>
      <c r="M60" s="37">
        <v>1</v>
      </c>
      <c r="N60" s="25">
        <f t="shared" si="2"/>
        <v>1400</v>
      </c>
      <c r="O60" s="32">
        <v>1</v>
      </c>
      <c r="P60" s="25">
        <f t="shared" si="3"/>
        <v>1400</v>
      </c>
      <c r="Q60" s="37">
        <v>1</v>
      </c>
      <c r="R60" s="25">
        <f t="shared" si="4"/>
        <v>1400</v>
      </c>
    </row>
    <row r="61" spans="3:18" x14ac:dyDescent="0.25">
      <c r="C61" s="28" t="s">
        <v>34</v>
      </c>
      <c r="D61" t="s">
        <v>168</v>
      </c>
      <c r="E61" s="30">
        <v>5</v>
      </c>
      <c r="F61" s="32">
        <v>1900</v>
      </c>
      <c r="G61" s="41">
        <f t="shared" si="0"/>
        <v>9500</v>
      </c>
      <c r="H61" s="21" t="s">
        <v>108</v>
      </c>
      <c r="I61" s="21" t="s">
        <v>15</v>
      </c>
      <c r="J61" s="21" t="s">
        <v>16</v>
      </c>
      <c r="K61" s="30">
        <v>2</v>
      </c>
      <c r="L61" s="25">
        <f t="shared" si="1"/>
        <v>3800</v>
      </c>
      <c r="M61" s="37">
        <v>1</v>
      </c>
      <c r="N61" s="25">
        <f t="shared" si="2"/>
        <v>1900</v>
      </c>
      <c r="O61" s="32">
        <v>1</v>
      </c>
      <c r="P61" s="25">
        <f t="shared" si="3"/>
        <v>1900</v>
      </c>
      <c r="Q61" s="37">
        <v>1</v>
      </c>
      <c r="R61" s="25">
        <f t="shared" si="4"/>
        <v>1900</v>
      </c>
    </row>
    <row r="62" spans="3:18" x14ac:dyDescent="0.25">
      <c r="C62" s="28" t="s">
        <v>159</v>
      </c>
      <c r="D62" t="s">
        <v>150</v>
      </c>
      <c r="E62" s="30">
        <v>50</v>
      </c>
      <c r="F62" s="32">
        <v>150</v>
      </c>
      <c r="G62" s="41">
        <f t="shared" si="0"/>
        <v>7500</v>
      </c>
      <c r="H62" s="21" t="s">
        <v>108</v>
      </c>
      <c r="I62" s="21" t="s">
        <v>15</v>
      </c>
      <c r="J62" s="21" t="s">
        <v>16</v>
      </c>
      <c r="K62" s="30">
        <v>20</v>
      </c>
      <c r="L62" s="25">
        <f t="shared" si="1"/>
        <v>3000</v>
      </c>
      <c r="M62" s="37">
        <v>10</v>
      </c>
      <c r="N62" s="25">
        <f t="shared" si="2"/>
        <v>1500</v>
      </c>
      <c r="O62" s="32">
        <v>10</v>
      </c>
      <c r="P62" s="25">
        <f t="shared" si="3"/>
        <v>1500</v>
      </c>
      <c r="Q62" s="37">
        <v>10</v>
      </c>
      <c r="R62" s="25">
        <f t="shared" si="4"/>
        <v>1500</v>
      </c>
    </row>
    <row r="63" spans="3:18" x14ac:dyDescent="0.25">
      <c r="C63" s="27" t="s">
        <v>35</v>
      </c>
      <c r="E63" s="27"/>
      <c r="F63" s="33"/>
      <c r="G63" s="41"/>
      <c r="H63" s="21"/>
      <c r="I63" s="21"/>
      <c r="J63" s="21"/>
      <c r="K63" s="27"/>
      <c r="L63" s="25"/>
      <c r="M63" s="33"/>
      <c r="N63" s="25"/>
      <c r="O63" s="33"/>
      <c r="P63" s="25"/>
      <c r="Q63" s="33"/>
      <c r="R63" s="25"/>
    </row>
    <row r="64" spans="3:18" x14ac:dyDescent="0.25">
      <c r="C64" s="28" t="s">
        <v>175</v>
      </c>
      <c r="D64" t="s">
        <v>124</v>
      </c>
      <c r="E64" s="30">
        <v>2</v>
      </c>
      <c r="F64" s="37">
        <v>250</v>
      </c>
      <c r="G64" s="41">
        <f t="shared" si="0"/>
        <v>500</v>
      </c>
      <c r="H64" s="21" t="s">
        <v>108</v>
      </c>
      <c r="I64" s="21" t="s">
        <v>15</v>
      </c>
      <c r="J64" s="21" t="s">
        <v>16</v>
      </c>
      <c r="K64" s="30"/>
      <c r="L64" s="25"/>
      <c r="M64" s="37">
        <v>1</v>
      </c>
      <c r="N64" s="25">
        <f t="shared" si="2"/>
        <v>250</v>
      </c>
      <c r="O64" s="32"/>
      <c r="P64" s="25"/>
      <c r="Q64" s="37">
        <v>1</v>
      </c>
      <c r="R64" s="25">
        <f t="shared" si="4"/>
        <v>250</v>
      </c>
    </row>
    <row r="65" spans="3:18" x14ac:dyDescent="0.25">
      <c r="C65" s="28" t="s">
        <v>176</v>
      </c>
      <c r="D65" t="s">
        <v>124</v>
      </c>
      <c r="E65" s="30">
        <v>2</v>
      </c>
      <c r="F65" s="37">
        <v>250</v>
      </c>
      <c r="G65" s="41">
        <f t="shared" si="0"/>
        <v>500</v>
      </c>
      <c r="H65" s="21" t="s">
        <v>108</v>
      </c>
      <c r="I65" s="21" t="s">
        <v>15</v>
      </c>
      <c r="J65" s="21" t="s">
        <v>16</v>
      </c>
      <c r="K65" s="30"/>
      <c r="L65" s="25"/>
      <c r="M65" s="37">
        <v>1</v>
      </c>
      <c r="N65" s="25">
        <f t="shared" si="2"/>
        <v>250</v>
      </c>
      <c r="O65" s="32"/>
      <c r="P65" s="25"/>
      <c r="Q65" s="37">
        <v>1</v>
      </c>
      <c r="R65" s="25">
        <f t="shared" si="4"/>
        <v>250</v>
      </c>
    </row>
    <row r="66" spans="3:18" x14ac:dyDescent="0.25">
      <c r="C66" s="28" t="s">
        <v>177</v>
      </c>
      <c r="D66" t="s">
        <v>124</v>
      </c>
      <c r="E66" s="30">
        <v>2</v>
      </c>
      <c r="F66" s="37">
        <v>1250</v>
      </c>
      <c r="G66" s="41">
        <f t="shared" si="0"/>
        <v>2500</v>
      </c>
      <c r="H66" s="21" t="s">
        <v>108</v>
      </c>
      <c r="I66" s="21" t="s">
        <v>15</v>
      </c>
      <c r="J66" s="21" t="s">
        <v>16</v>
      </c>
      <c r="K66" s="30"/>
      <c r="L66" s="25"/>
      <c r="M66" s="37">
        <v>1</v>
      </c>
      <c r="N66" s="25">
        <f t="shared" si="2"/>
        <v>1250</v>
      </c>
      <c r="O66" s="32"/>
      <c r="P66" s="25"/>
      <c r="Q66" s="37">
        <v>1</v>
      </c>
      <c r="R66" s="25">
        <f t="shared" si="4"/>
        <v>1250</v>
      </c>
    </row>
    <row r="67" spans="3:18" x14ac:dyDescent="0.25">
      <c r="C67" s="28" t="s">
        <v>178</v>
      </c>
      <c r="D67" t="s">
        <v>124</v>
      </c>
      <c r="E67" s="30">
        <v>2</v>
      </c>
      <c r="F67" s="37">
        <v>1250</v>
      </c>
      <c r="G67" s="41">
        <f t="shared" si="0"/>
        <v>2500</v>
      </c>
      <c r="H67" s="21" t="s">
        <v>108</v>
      </c>
      <c r="I67" s="21" t="s">
        <v>15</v>
      </c>
      <c r="J67" s="21" t="s">
        <v>16</v>
      </c>
      <c r="K67" s="30"/>
      <c r="L67" s="25"/>
      <c r="M67" s="37">
        <v>1</v>
      </c>
      <c r="N67" s="25">
        <f t="shared" si="2"/>
        <v>1250</v>
      </c>
      <c r="O67" s="32"/>
      <c r="P67" s="25"/>
      <c r="Q67" s="37">
        <v>1</v>
      </c>
      <c r="R67" s="25">
        <f t="shared" si="4"/>
        <v>1250</v>
      </c>
    </row>
    <row r="68" spans="3:18" x14ac:dyDescent="0.25">
      <c r="C68" s="28" t="s">
        <v>179</v>
      </c>
      <c r="D68" t="s">
        <v>126</v>
      </c>
      <c r="E68" s="30">
        <v>15</v>
      </c>
      <c r="F68" s="37">
        <v>50</v>
      </c>
      <c r="G68" s="41">
        <f t="shared" si="0"/>
        <v>750</v>
      </c>
      <c r="H68" s="21" t="s">
        <v>108</v>
      </c>
      <c r="I68" s="21" t="s">
        <v>15</v>
      </c>
      <c r="J68" s="21" t="s">
        <v>16</v>
      </c>
      <c r="K68" s="30"/>
      <c r="L68" s="25"/>
      <c r="M68" s="37">
        <v>10</v>
      </c>
      <c r="N68" s="25">
        <f t="shared" si="2"/>
        <v>500</v>
      </c>
      <c r="O68" s="32"/>
      <c r="P68" s="25"/>
      <c r="Q68" s="37">
        <v>5</v>
      </c>
      <c r="R68" s="25">
        <f t="shared" si="4"/>
        <v>250</v>
      </c>
    </row>
    <row r="69" spans="3:18" x14ac:dyDescent="0.25">
      <c r="C69" s="27" t="s">
        <v>36</v>
      </c>
      <c r="E69" s="27"/>
      <c r="F69" s="33"/>
      <c r="G69" s="41"/>
      <c r="H69" s="21"/>
      <c r="I69" s="21"/>
      <c r="J69" s="21"/>
      <c r="K69" s="27"/>
      <c r="L69" s="25"/>
      <c r="M69" s="33"/>
      <c r="N69" s="25"/>
      <c r="O69" s="33"/>
      <c r="P69" s="25"/>
      <c r="Q69" s="33"/>
      <c r="R69" s="25"/>
    </row>
    <row r="70" spans="3:18" x14ac:dyDescent="0.25">
      <c r="C70" s="28" t="s">
        <v>190</v>
      </c>
      <c r="D70" t="s">
        <v>180</v>
      </c>
      <c r="E70" s="30">
        <v>7</v>
      </c>
      <c r="F70" s="32">
        <v>850</v>
      </c>
      <c r="G70" s="41">
        <f t="shared" si="0"/>
        <v>5950</v>
      </c>
      <c r="H70" s="21" t="s">
        <v>108</v>
      </c>
      <c r="I70" s="21" t="s">
        <v>15</v>
      </c>
      <c r="J70" s="21" t="s">
        <v>16</v>
      </c>
      <c r="K70" s="30">
        <v>2</v>
      </c>
      <c r="L70" s="25">
        <f t="shared" si="1"/>
        <v>1700</v>
      </c>
      <c r="M70" s="37"/>
      <c r="N70" s="25"/>
      <c r="O70" s="32">
        <v>5</v>
      </c>
      <c r="P70" s="25">
        <f t="shared" si="3"/>
        <v>4250</v>
      </c>
      <c r="Q70" s="37"/>
      <c r="R70" s="25"/>
    </row>
    <row r="71" spans="3:18" x14ac:dyDescent="0.25">
      <c r="C71" s="28" t="s">
        <v>189</v>
      </c>
      <c r="D71" t="s">
        <v>151</v>
      </c>
      <c r="E71" s="30">
        <v>5</v>
      </c>
      <c r="F71" s="32">
        <v>1200</v>
      </c>
      <c r="G71" s="41">
        <f t="shared" ref="G71:G134" si="5">E71*F71</f>
        <v>6000</v>
      </c>
      <c r="H71" s="21" t="s">
        <v>108</v>
      </c>
      <c r="I71" s="21" t="s">
        <v>15</v>
      </c>
      <c r="J71" s="21" t="s">
        <v>16</v>
      </c>
      <c r="K71" s="30">
        <v>3</v>
      </c>
      <c r="L71" s="25">
        <f t="shared" ref="L71:L134" si="6">F71*K71</f>
        <v>3600</v>
      </c>
      <c r="M71" s="37"/>
      <c r="N71" s="25"/>
      <c r="O71" s="32">
        <v>2</v>
      </c>
      <c r="P71" s="25">
        <f t="shared" ref="P71:P134" si="7">F71*O71</f>
        <v>2400</v>
      </c>
      <c r="Q71" s="37"/>
      <c r="R71" s="25"/>
    </row>
    <row r="72" spans="3:18" x14ac:dyDescent="0.25">
      <c r="C72" s="28" t="s">
        <v>188</v>
      </c>
      <c r="D72" t="s">
        <v>151</v>
      </c>
      <c r="E72" s="30">
        <v>2</v>
      </c>
      <c r="F72" s="32">
        <v>850</v>
      </c>
      <c r="G72" s="41">
        <f t="shared" si="5"/>
        <v>1700</v>
      </c>
      <c r="H72" s="21" t="s">
        <v>108</v>
      </c>
      <c r="I72" s="21" t="s">
        <v>15</v>
      </c>
      <c r="J72" s="21" t="s">
        <v>16</v>
      </c>
      <c r="K72" s="30">
        <v>1</v>
      </c>
      <c r="L72" s="25">
        <f t="shared" si="6"/>
        <v>850</v>
      </c>
      <c r="M72" s="37"/>
      <c r="N72" s="25"/>
      <c r="O72" s="32">
        <v>1</v>
      </c>
      <c r="P72" s="25">
        <f t="shared" si="7"/>
        <v>850</v>
      </c>
      <c r="Q72" s="37"/>
      <c r="R72" s="25"/>
    </row>
    <row r="73" spans="3:18" x14ac:dyDescent="0.25">
      <c r="C73" s="28" t="s">
        <v>187</v>
      </c>
      <c r="D73" t="s">
        <v>151</v>
      </c>
      <c r="E73" s="30">
        <v>4</v>
      </c>
      <c r="F73" s="32">
        <v>800</v>
      </c>
      <c r="G73" s="41">
        <f t="shared" si="5"/>
        <v>3200</v>
      </c>
      <c r="H73" s="21" t="s">
        <v>108</v>
      </c>
      <c r="I73" s="21" t="s">
        <v>15</v>
      </c>
      <c r="J73" s="21" t="s">
        <v>16</v>
      </c>
      <c r="K73" s="30">
        <v>3</v>
      </c>
      <c r="L73" s="25">
        <f t="shared" si="6"/>
        <v>2400</v>
      </c>
      <c r="M73" s="37"/>
      <c r="N73" s="25"/>
      <c r="O73" s="32">
        <v>1</v>
      </c>
      <c r="P73" s="25">
        <f t="shared" si="7"/>
        <v>800</v>
      </c>
      <c r="Q73" s="37"/>
      <c r="R73" s="25"/>
    </row>
    <row r="74" spans="3:18" x14ac:dyDescent="0.25">
      <c r="C74" s="28" t="s">
        <v>37</v>
      </c>
      <c r="D74" t="s">
        <v>157</v>
      </c>
      <c r="E74" s="30">
        <v>3</v>
      </c>
      <c r="F74" s="32">
        <v>1590</v>
      </c>
      <c r="G74" s="41">
        <f t="shared" si="5"/>
        <v>4770</v>
      </c>
      <c r="H74" s="21" t="s">
        <v>108</v>
      </c>
      <c r="I74" s="21" t="s">
        <v>15</v>
      </c>
      <c r="J74" s="21" t="s">
        <v>16</v>
      </c>
      <c r="K74" s="30">
        <v>2</v>
      </c>
      <c r="L74" s="25">
        <f t="shared" si="6"/>
        <v>3180</v>
      </c>
      <c r="M74" s="37"/>
      <c r="N74" s="25"/>
      <c r="O74" s="32">
        <v>1</v>
      </c>
      <c r="P74" s="25">
        <f t="shared" si="7"/>
        <v>1590</v>
      </c>
      <c r="Q74" s="37"/>
      <c r="R74" s="25"/>
    </row>
    <row r="75" spans="3:18" x14ac:dyDescent="0.25">
      <c r="C75" s="28" t="s">
        <v>186</v>
      </c>
      <c r="D75" t="s">
        <v>151</v>
      </c>
      <c r="E75" s="30">
        <v>3</v>
      </c>
      <c r="F75" s="32">
        <v>700</v>
      </c>
      <c r="G75" s="41">
        <f t="shared" si="5"/>
        <v>2100</v>
      </c>
      <c r="H75" s="21" t="s">
        <v>108</v>
      </c>
      <c r="I75" s="21" t="s">
        <v>15</v>
      </c>
      <c r="J75" s="21" t="s">
        <v>16</v>
      </c>
      <c r="K75" s="30">
        <v>1</v>
      </c>
      <c r="L75" s="25">
        <f t="shared" si="6"/>
        <v>700</v>
      </c>
      <c r="M75" s="37"/>
      <c r="N75" s="25"/>
      <c r="O75" s="32">
        <v>2</v>
      </c>
      <c r="P75" s="25">
        <f t="shared" si="7"/>
        <v>1400</v>
      </c>
      <c r="Q75" s="37"/>
      <c r="R75" s="25"/>
    </row>
    <row r="76" spans="3:18" x14ac:dyDescent="0.25">
      <c r="C76" s="28" t="s">
        <v>185</v>
      </c>
      <c r="D76" t="s">
        <v>151</v>
      </c>
      <c r="E76" s="30">
        <v>6</v>
      </c>
      <c r="F76" s="32">
        <v>800</v>
      </c>
      <c r="G76" s="41">
        <f t="shared" si="5"/>
        <v>4800</v>
      </c>
      <c r="H76" s="21" t="s">
        <v>108</v>
      </c>
      <c r="I76" s="21" t="s">
        <v>15</v>
      </c>
      <c r="J76" s="21" t="s">
        <v>16</v>
      </c>
      <c r="K76" s="30">
        <v>3</v>
      </c>
      <c r="L76" s="25">
        <f t="shared" si="6"/>
        <v>2400</v>
      </c>
      <c r="M76" s="37"/>
      <c r="N76" s="25"/>
      <c r="O76" s="32">
        <v>3</v>
      </c>
      <c r="P76" s="25">
        <f t="shared" si="7"/>
        <v>2400</v>
      </c>
      <c r="Q76" s="37"/>
      <c r="R76" s="25"/>
    </row>
    <row r="77" spans="3:18" x14ac:dyDescent="0.25">
      <c r="C77" s="28" t="s">
        <v>184</v>
      </c>
      <c r="D77" t="s">
        <v>151</v>
      </c>
      <c r="E77" s="30">
        <v>4</v>
      </c>
      <c r="F77" s="32">
        <v>500</v>
      </c>
      <c r="G77" s="41">
        <f t="shared" si="5"/>
        <v>2000</v>
      </c>
      <c r="H77" s="21" t="s">
        <v>108</v>
      </c>
      <c r="I77" s="21" t="s">
        <v>15</v>
      </c>
      <c r="J77" s="21" t="s">
        <v>16</v>
      </c>
      <c r="K77" s="30">
        <v>2</v>
      </c>
      <c r="L77" s="25">
        <f t="shared" si="6"/>
        <v>1000</v>
      </c>
      <c r="M77" s="37"/>
      <c r="N77" s="25"/>
      <c r="O77" s="32">
        <v>2</v>
      </c>
      <c r="P77" s="25">
        <f t="shared" si="7"/>
        <v>1000</v>
      </c>
      <c r="Q77" s="37"/>
      <c r="R77" s="25"/>
    </row>
    <row r="78" spans="3:18" x14ac:dyDescent="0.25">
      <c r="C78" s="28" t="s">
        <v>183</v>
      </c>
      <c r="D78" t="s">
        <v>156</v>
      </c>
      <c r="E78" s="30">
        <v>20</v>
      </c>
      <c r="F78" s="32">
        <v>280</v>
      </c>
      <c r="G78" s="41">
        <f t="shared" si="5"/>
        <v>5600</v>
      </c>
      <c r="H78" s="21" t="s">
        <v>108</v>
      </c>
      <c r="I78" s="21" t="s">
        <v>15</v>
      </c>
      <c r="J78" s="21" t="s">
        <v>16</v>
      </c>
      <c r="K78" s="30">
        <v>10</v>
      </c>
      <c r="L78" s="25">
        <f t="shared" si="6"/>
        <v>2800</v>
      </c>
      <c r="M78" s="37"/>
      <c r="N78" s="25"/>
      <c r="O78" s="32">
        <v>10</v>
      </c>
      <c r="P78" s="25">
        <f t="shared" si="7"/>
        <v>2800</v>
      </c>
      <c r="Q78" s="37"/>
      <c r="R78" s="25"/>
    </row>
    <row r="79" spans="3:18" x14ac:dyDescent="0.25">
      <c r="C79" s="28" t="s">
        <v>38</v>
      </c>
      <c r="D79" t="s">
        <v>168</v>
      </c>
      <c r="E79" s="30">
        <v>6</v>
      </c>
      <c r="F79" s="32">
        <v>210</v>
      </c>
      <c r="G79" s="41">
        <f t="shared" si="5"/>
        <v>1260</v>
      </c>
      <c r="H79" s="21" t="s">
        <v>108</v>
      </c>
      <c r="I79" s="21" t="s">
        <v>15</v>
      </c>
      <c r="J79" s="21" t="s">
        <v>16</v>
      </c>
      <c r="K79" s="30">
        <v>3</v>
      </c>
      <c r="L79" s="25">
        <f t="shared" si="6"/>
        <v>630</v>
      </c>
      <c r="M79" s="37"/>
      <c r="N79" s="25"/>
      <c r="O79" s="32">
        <v>3</v>
      </c>
      <c r="P79" s="25">
        <f t="shared" si="7"/>
        <v>630</v>
      </c>
      <c r="Q79" s="37"/>
      <c r="R79" s="25"/>
    </row>
    <row r="80" spans="3:18" x14ac:dyDescent="0.25">
      <c r="C80" s="28" t="s">
        <v>182</v>
      </c>
      <c r="D80" t="s">
        <v>181</v>
      </c>
      <c r="E80" s="30">
        <v>10</v>
      </c>
      <c r="F80" s="32">
        <v>250</v>
      </c>
      <c r="G80" s="41">
        <f t="shared" si="5"/>
        <v>2500</v>
      </c>
      <c r="H80" s="21" t="s">
        <v>108</v>
      </c>
      <c r="I80" s="21" t="s">
        <v>15</v>
      </c>
      <c r="J80" s="21" t="s">
        <v>16</v>
      </c>
      <c r="K80" s="30">
        <v>5</v>
      </c>
      <c r="L80" s="25">
        <f t="shared" si="6"/>
        <v>1250</v>
      </c>
      <c r="M80" s="37"/>
      <c r="N80" s="25"/>
      <c r="O80" s="32">
        <v>5</v>
      </c>
      <c r="P80" s="25">
        <f t="shared" si="7"/>
        <v>1250</v>
      </c>
      <c r="Q80" s="37"/>
      <c r="R80" s="25"/>
    </row>
    <row r="81" spans="3:18" x14ac:dyDescent="0.25">
      <c r="C81" s="27" t="s">
        <v>39</v>
      </c>
      <c r="E81" s="27"/>
      <c r="F81" s="33"/>
      <c r="G81" s="41"/>
      <c r="H81" s="21"/>
      <c r="I81" s="21"/>
      <c r="J81" s="21"/>
      <c r="K81" s="27"/>
      <c r="L81" s="25"/>
      <c r="M81" s="33"/>
      <c r="N81" s="25"/>
      <c r="O81" s="33"/>
      <c r="P81" s="25"/>
      <c r="Q81" s="33"/>
      <c r="R81" s="25"/>
    </row>
    <row r="82" spans="3:18" x14ac:dyDescent="0.25">
      <c r="C82" s="28" t="s">
        <v>193</v>
      </c>
      <c r="D82" t="s">
        <v>151</v>
      </c>
      <c r="E82" s="30">
        <v>6</v>
      </c>
      <c r="F82" s="32">
        <v>4500</v>
      </c>
      <c r="G82" s="41">
        <f t="shared" si="5"/>
        <v>27000</v>
      </c>
      <c r="H82" s="21" t="s">
        <v>108</v>
      </c>
      <c r="I82" s="21" t="s">
        <v>15</v>
      </c>
      <c r="J82" s="21" t="s">
        <v>16</v>
      </c>
      <c r="K82" s="30">
        <v>3</v>
      </c>
      <c r="L82" s="25">
        <f t="shared" si="6"/>
        <v>13500</v>
      </c>
      <c r="M82" s="37"/>
      <c r="N82" s="25"/>
      <c r="O82" s="32">
        <v>3</v>
      </c>
      <c r="P82" s="25">
        <f t="shared" si="7"/>
        <v>13500</v>
      </c>
      <c r="Q82" s="37"/>
      <c r="R82" s="25"/>
    </row>
    <row r="83" spans="3:18" x14ac:dyDescent="0.25">
      <c r="C83" s="28" t="s">
        <v>195</v>
      </c>
      <c r="D83" t="s">
        <v>192</v>
      </c>
      <c r="E83" s="30">
        <v>8</v>
      </c>
      <c r="F83" s="32">
        <v>4800</v>
      </c>
      <c r="G83" s="41">
        <f t="shared" si="5"/>
        <v>38400</v>
      </c>
      <c r="H83" s="21" t="s">
        <v>108</v>
      </c>
      <c r="I83" s="21" t="s">
        <v>15</v>
      </c>
      <c r="J83" s="21" t="s">
        <v>16</v>
      </c>
      <c r="K83" s="30">
        <v>4</v>
      </c>
      <c r="L83" s="25">
        <f t="shared" si="6"/>
        <v>19200</v>
      </c>
      <c r="M83" s="37"/>
      <c r="N83" s="25"/>
      <c r="O83" s="32">
        <v>4</v>
      </c>
      <c r="P83" s="25">
        <f t="shared" si="7"/>
        <v>19200</v>
      </c>
      <c r="Q83" s="37"/>
      <c r="R83" s="25"/>
    </row>
    <row r="84" spans="3:18" x14ac:dyDescent="0.25">
      <c r="C84" s="28" t="s">
        <v>194</v>
      </c>
      <c r="D84" t="s">
        <v>151</v>
      </c>
      <c r="E84" s="30">
        <v>80</v>
      </c>
      <c r="F84" s="32">
        <v>450</v>
      </c>
      <c r="G84" s="41">
        <f t="shared" si="5"/>
        <v>36000</v>
      </c>
      <c r="H84" s="21" t="s">
        <v>108</v>
      </c>
      <c r="I84" s="21" t="s">
        <v>15</v>
      </c>
      <c r="J84" s="21" t="s">
        <v>16</v>
      </c>
      <c r="K84" s="30">
        <v>40</v>
      </c>
      <c r="L84" s="25">
        <f t="shared" si="6"/>
        <v>18000</v>
      </c>
      <c r="M84" s="37"/>
      <c r="N84" s="25"/>
      <c r="O84" s="32">
        <v>40</v>
      </c>
      <c r="P84" s="25">
        <f t="shared" si="7"/>
        <v>18000</v>
      </c>
      <c r="Q84" s="37"/>
      <c r="R84" s="25"/>
    </row>
    <row r="85" spans="3:18" x14ac:dyDescent="0.25">
      <c r="C85" s="27" t="s">
        <v>40</v>
      </c>
      <c r="E85" s="27"/>
      <c r="F85" s="33"/>
      <c r="G85" s="41"/>
      <c r="H85" s="21"/>
      <c r="I85" s="21"/>
      <c r="J85" s="21"/>
      <c r="K85" s="27"/>
      <c r="L85" s="25"/>
      <c r="M85" s="33"/>
      <c r="N85" s="25"/>
      <c r="O85" s="33"/>
      <c r="P85" s="25"/>
      <c r="Q85" s="33"/>
      <c r="R85" s="25"/>
    </row>
    <row r="86" spans="3:18" x14ac:dyDescent="0.25">
      <c r="C86" s="28" t="s">
        <v>198</v>
      </c>
      <c r="D86" t="s">
        <v>148</v>
      </c>
      <c r="E86" s="30">
        <v>2</v>
      </c>
      <c r="F86" s="32">
        <v>2400</v>
      </c>
      <c r="G86" s="41">
        <f t="shared" si="5"/>
        <v>4800</v>
      </c>
      <c r="H86" s="21" t="s">
        <v>108</v>
      </c>
      <c r="I86" s="21" t="s">
        <v>15</v>
      </c>
      <c r="J86" s="21" t="s">
        <v>16</v>
      </c>
      <c r="K86" s="30">
        <v>1</v>
      </c>
      <c r="L86" s="25">
        <f t="shared" si="6"/>
        <v>2400</v>
      </c>
      <c r="M86" s="37"/>
      <c r="N86" s="25"/>
      <c r="O86" s="32">
        <v>1</v>
      </c>
      <c r="P86" s="25">
        <f t="shared" si="7"/>
        <v>2400</v>
      </c>
      <c r="Q86" s="37"/>
      <c r="R86" s="25"/>
    </row>
    <row r="87" spans="3:18" x14ac:dyDescent="0.25">
      <c r="C87" s="28" t="s">
        <v>197</v>
      </c>
      <c r="D87" t="s">
        <v>124</v>
      </c>
      <c r="E87" s="30">
        <v>2</v>
      </c>
      <c r="F87" s="32">
        <v>5000</v>
      </c>
      <c r="G87" s="41">
        <f t="shared" si="5"/>
        <v>10000</v>
      </c>
      <c r="H87" s="21" t="s">
        <v>108</v>
      </c>
      <c r="I87" s="21" t="s">
        <v>15</v>
      </c>
      <c r="J87" s="21" t="s">
        <v>16</v>
      </c>
      <c r="K87" s="30">
        <v>1</v>
      </c>
      <c r="L87" s="25">
        <f t="shared" si="6"/>
        <v>5000</v>
      </c>
      <c r="M87" s="37"/>
      <c r="N87" s="25"/>
      <c r="O87" s="32">
        <v>1</v>
      </c>
      <c r="P87" s="25">
        <f t="shared" si="7"/>
        <v>5000</v>
      </c>
      <c r="Q87" s="37"/>
      <c r="R87" s="25"/>
    </row>
    <row r="88" spans="3:18" x14ac:dyDescent="0.25">
      <c r="C88" s="28" t="s">
        <v>196</v>
      </c>
      <c r="D88" t="s">
        <v>124</v>
      </c>
      <c r="E88" s="30">
        <v>2</v>
      </c>
      <c r="F88" s="32">
        <v>6500</v>
      </c>
      <c r="G88" s="41">
        <f t="shared" si="5"/>
        <v>13000</v>
      </c>
      <c r="H88" s="21" t="s">
        <v>108</v>
      </c>
      <c r="I88" s="21" t="s">
        <v>15</v>
      </c>
      <c r="J88" s="21" t="s">
        <v>16</v>
      </c>
      <c r="K88" s="30">
        <v>1</v>
      </c>
      <c r="L88" s="25">
        <f t="shared" si="6"/>
        <v>6500</v>
      </c>
      <c r="M88" s="37"/>
      <c r="N88" s="25"/>
      <c r="O88" s="32">
        <v>1</v>
      </c>
      <c r="P88" s="25">
        <f t="shared" si="7"/>
        <v>6500</v>
      </c>
      <c r="Q88" s="37"/>
      <c r="R88" s="25"/>
    </row>
    <row r="89" spans="3:18" x14ac:dyDescent="0.25">
      <c r="C89" s="27" t="s">
        <v>41</v>
      </c>
      <c r="E89" s="27"/>
      <c r="F89" s="33"/>
      <c r="G89" s="41"/>
      <c r="H89" s="21"/>
      <c r="I89" s="21"/>
      <c r="J89" s="21"/>
      <c r="K89" s="27"/>
      <c r="L89" s="25"/>
      <c r="M89" s="33"/>
      <c r="N89" s="25"/>
      <c r="O89" s="33"/>
      <c r="P89" s="25"/>
      <c r="Q89" s="33"/>
      <c r="R89" s="25"/>
    </row>
    <row r="90" spans="3:18" x14ac:dyDescent="0.25">
      <c r="C90" s="28" t="s">
        <v>202</v>
      </c>
      <c r="D90" t="s">
        <v>199</v>
      </c>
      <c r="E90" s="30">
        <v>20</v>
      </c>
      <c r="F90" s="32">
        <v>650</v>
      </c>
      <c r="G90" s="41">
        <f t="shared" si="5"/>
        <v>13000</v>
      </c>
      <c r="H90" s="21" t="s">
        <v>108</v>
      </c>
      <c r="I90" s="21" t="s">
        <v>15</v>
      </c>
      <c r="J90" s="21" t="s">
        <v>16</v>
      </c>
      <c r="K90" s="30">
        <v>10</v>
      </c>
      <c r="L90" s="25">
        <f t="shared" si="6"/>
        <v>6500</v>
      </c>
      <c r="M90" s="37"/>
      <c r="N90" s="25"/>
      <c r="O90" s="32">
        <v>10</v>
      </c>
      <c r="P90" s="25">
        <f t="shared" si="7"/>
        <v>6500</v>
      </c>
      <c r="Q90" s="37"/>
      <c r="R90" s="25"/>
    </row>
    <row r="91" spans="3:18" x14ac:dyDescent="0.25">
      <c r="C91" s="28" t="s">
        <v>203</v>
      </c>
      <c r="D91" t="s">
        <v>200</v>
      </c>
      <c r="E91" s="30">
        <v>40</v>
      </c>
      <c r="F91" s="32">
        <v>780</v>
      </c>
      <c r="G91" s="41">
        <f t="shared" si="5"/>
        <v>31200</v>
      </c>
      <c r="H91" s="21" t="s">
        <v>108</v>
      </c>
      <c r="I91" s="21" t="s">
        <v>15</v>
      </c>
      <c r="J91" s="21" t="s">
        <v>16</v>
      </c>
      <c r="K91" s="30">
        <v>20</v>
      </c>
      <c r="L91" s="25">
        <f t="shared" si="6"/>
        <v>15600</v>
      </c>
      <c r="M91" s="37"/>
      <c r="N91" s="25"/>
      <c r="O91" s="32">
        <v>20</v>
      </c>
      <c r="P91" s="25">
        <f t="shared" si="7"/>
        <v>15600</v>
      </c>
      <c r="Q91" s="37"/>
      <c r="R91" s="25"/>
    </row>
    <row r="92" spans="3:18" x14ac:dyDescent="0.25">
      <c r="C92" s="28" t="s">
        <v>204</v>
      </c>
      <c r="D92" t="s">
        <v>124</v>
      </c>
      <c r="E92" s="30">
        <v>200</v>
      </c>
      <c r="F92" s="32">
        <v>450</v>
      </c>
      <c r="G92" s="41">
        <f t="shared" si="5"/>
        <v>90000</v>
      </c>
      <c r="H92" s="21" t="s">
        <v>108</v>
      </c>
      <c r="I92" s="21" t="s">
        <v>15</v>
      </c>
      <c r="J92" s="21" t="s">
        <v>16</v>
      </c>
      <c r="K92" s="30">
        <v>100</v>
      </c>
      <c r="L92" s="25">
        <f t="shared" si="6"/>
        <v>45000</v>
      </c>
      <c r="M92" s="37"/>
      <c r="N92" s="25"/>
      <c r="O92" s="32">
        <v>100</v>
      </c>
      <c r="P92" s="25">
        <f t="shared" si="7"/>
        <v>45000</v>
      </c>
      <c r="Q92" s="37"/>
      <c r="R92" s="25"/>
    </row>
    <row r="93" spans="3:18" x14ac:dyDescent="0.25">
      <c r="C93" s="28" t="s">
        <v>205</v>
      </c>
      <c r="D93" t="s">
        <v>125</v>
      </c>
      <c r="E93" s="30">
        <v>10</v>
      </c>
      <c r="F93" s="32">
        <v>1200</v>
      </c>
      <c r="G93" s="41">
        <f t="shared" si="5"/>
        <v>12000</v>
      </c>
      <c r="H93" s="21" t="s">
        <v>108</v>
      </c>
      <c r="I93" s="21" t="s">
        <v>15</v>
      </c>
      <c r="J93" s="21" t="s">
        <v>16</v>
      </c>
      <c r="K93" s="30">
        <v>5</v>
      </c>
      <c r="L93" s="25">
        <f t="shared" si="6"/>
        <v>6000</v>
      </c>
      <c r="M93" s="37"/>
      <c r="N93" s="25"/>
      <c r="O93" s="32">
        <v>5</v>
      </c>
      <c r="P93" s="25">
        <f t="shared" si="7"/>
        <v>6000</v>
      </c>
      <c r="Q93" s="37"/>
      <c r="R93" s="25"/>
    </row>
    <row r="94" spans="3:18" x14ac:dyDescent="0.25">
      <c r="C94" s="28" t="s">
        <v>206</v>
      </c>
      <c r="D94" t="s">
        <v>126</v>
      </c>
      <c r="E94" s="30">
        <v>10</v>
      </c>
      <c r="F94" s="32">
        <v>250</v>
      </c>
      <c r="G94" s="41">
        <f t="shared" si="5"/>
        <v>2500</v>
      </c>
      <c r="H94" s="21" t="s">
        <v>108</v>
      </c>
      <c r="I94" s="21" t="s">
        <v>15</v>
      </c>
      <c r="J94" s="21" t="s">
        <v>16</v>
      </c>
      <c r="K94" s="30">
        <v>5</v>
      </c>
      <c r="L94" s="25">
        <f t="shared" si="6"/>
        <v>1250</v>
      </c>
      <c r="M94" s="37"/>
      <c r="N94" s="25"/>
      <c r="O94" s="32">
        <v>5</v>
      </c>
      <c r="P94" s="25">
        <f t="shared" si="7"/>
        <v>1250</v>
      </c>
      <c r="Q94" s="37"/>
      <c r="R94" s="25"/>
    </row>
    <row r="95" spans="3:18" x14ac:dyDescent="0.25">
      <c r="C95" s="28" t="s">
        <v>42</v>
      </c>
      <c r="D95" t="s">
        <v>126</v>
      </c>
      <c r="E95" s="30">
        <v>4</v>
      </c>
      <c r="F95" s="32">
        <v>1800</v>
      </c>
      <c r="G95" s="41">
        <f t="shared" si="5"/>
        <v>7200</v>
      </c>
      <c r="H95" s="21" t="s">
        <v>108</v>
      </c>
      <c r="I95" s="21" t="s">
        <v>15</v>
      </c>
      <c r="J95" s="21" t="s">
        <v>16</v>
      </c>
      <c r="K95" s="30">
        <v>2</v>
      </c>
      <c r="L95" s="25">
        <f t="shared" si="6"/>
        <v>3600</v>
      </c>
      <c r="M95" s="37"/>
      <c r="N95" s="25"/>
      <c r="O95" s="32">
        <v>2</v>
      </c>
      <c r="P95" s="25">
        <f t="shared" si="7"/>
        <v>3600</v>
      </c>
      <c r="Q95" s="37"/>
      <c r="R95" s="25"/>
    </row>
    <row r="96" spans="3:18" x14ac:dyDescent="0.25">
      <c r="C96" s="28" t="s">
        <v>43</v>
      </c>
      <c r="D96" t="s">
        <v>126</v>
      </c>
      <c r="E96" s="30">
        <v>8</v>
      </c>
      <c r="F96" s="32">
        <v>1120</v>
      </c>
      <c r="G96" s="41">
        <f t="shared" si="5"/>
        <v>8960</v>
      </c>
      <c r="H96" s="21" t="s">
        <v>108</v>
      </c>
      <c r="I96" s="21" t="s">
        <v>15</v>
      </c>
      <c r="J96" s="21" t="s">
        <v>16</v>
      </c>
      <c r="K96" s="30">
        <v>4</v>
      </c>
      <c r="L96" s="25">
        <f t="shared" si="6"/>
        <v>4480</v>
      </c>
      <c r="M96" s="37"/>
      <c r="N96" s="25"/>
      <c r="O96" s="32">
        <v>4</v>
      </c>
      <c r="P96" s="25">
        <f t="shared" si="7"/>
        <v>4480</v>
      </c>
      <c r="Q96" s="37"/>
      <c r="R96" s="25"/>
    </row>
    <row r="97" spans="3:18" x14ac:dyDescent="0.25">
      <c r="C97" s="28" t="s">
        <v>207</v>
      </c>
      <c r="D97" t="s">
        <v>126</v>
      </c>
      <c r="E97" s="30">
        <v>25</v>
      </c>
      <c r="F97" s="32">
        <v>160</v>
      </c>
      <c r="G97" s="41">
        <f t="shared" si="5"/>
        <v>4000</v>
      </c>
      <c r="H97" s="21" t="s">
        <v>108</v>
      </c>
      <c r="I97" s="21" t="s">
        <v>15</v>
      </c>
      <c r="J97" s="21" t="s">
        <v>16</v>
      </c>
      <c r="K97" s="30">
        <v>10</v>
      </c>
      <c r="L97" s="25">
        <f t="shared" si="6"/>
        <v>1600</v>
      </c>
      <c r="M97" s="37">
        <v>5</v>
      </c>
      <c r="N97" s="25">
        <f t="shared" ref="N97:N127" si="8">F97*M97</f>
        <v>800</v>
      </c>
      <c r="O97" s="32">
        <v>5</v>
      </c>
      <c r="P97" s="25">
        <f t="shared" si="7"/>
        <v>800</v>
      </c>
      <c r="Q97" s="37">
        <v>5</v>
      </c>
      <c r="R97" s="25">
        <f t="shared" ref="R97:R127" si="9">F97*Q97</f>
        <v>800</v>
      </c>
    </row>
    <row r="98" spans="3:18" x14ac:dyDescent="0.25">
      <c r="C98" s="28" t="s">
        <v>208</v>
      </c>
      <c r="D98" t="s">
        <v>126</v>
      </c>
      <c r="E98" s="30">
        <v>13</v>
      </c>
      <c r="F98" s="32">
        <v>1300</v>
      </c>
      <c r="G98" s="41">
        <f t="shared" si="5"/>
        <v>16900</v>
      </c>
      <c r="H98" s="21" t="s">
        <v>108</v>
      </c>
      <c r="I98" s="21" t="s">
        <v>15</v>
      </c>
      <c r="J98" s="21" t="s">
        <v>16</v>
      </c>
      <c r="K98" s="30">
        <v>5</v>
      </c>
      <c r="L98" s="25">
        <f t="shared" si="6"/>
        <v>6500</v>
      </c>
      <c r="M98" s="37">
        <v>3</v>
      </c>
      <c r="N98" s="25">
        <f t="shared" si="8"/>
        <v>3900</v>
      </c>
      <c r="O98" s="32">
        <v>3</v>
      </c>
      <c r="P98" s="25">
        <f t="shared" si="7"/>
        <v>3900</v>
      </c>
      <c r="Q98" s="37">
        <v>2</v>
      </c>
      <c r="R98" s="25">
        <f t="shared" si="9"/>
        <v>2600</v>
      </c>
    </row>
    <row r="99" spans="3:18" x14ac:dyDescent="0.25">
      <c r="C99" s="28" t="s">
        <v>209</v>
      </c>
      <c r="D99" t="s">
        <v>201</v>
      </c>
      <c r="E99" s="30">
        <v>4</v>
      </c>
      <c r="F99" s="32">
        <v>880</v>
      </c>
      <c r="G99" s="41">
        <f t="shared" si="5"/>
        <v>3520</v>
      </c>
      <c r="H99" s="21" t="s">
        <v>108</v>
      </c>
      <c r="I99" s="21" t="s">
        <v>15</v>
      </c>
      <c r="J99" s="21" t="s">
        <v>16</v>
      </c>
      <c r="K99" s="30">
        <v>2</v>
      </c>
      <c r="L99" s="25">
        <f t="shared" si="6"/>
        <v>1760</v>
      </c>
      <c r="M99" s="37"/>
      <c r="N99" s="25"/>
      <c r="O99" s="32">
        <v>2</v>
      </c>
      <c r="P99" s="25">
        <f t="shared" si="7"/>
        <v>1760</v>
      </c>
      <c r="Q99" s="37"/>
      <c r="R99" s="25"/>
    </row>
    <row r="100" spans="3:18" x14ac:dyDescent="0.25">
      <c r="C100" s="27" t="s">
        <v>44</v>
      </c>
      <c r="E100" s="27"/>
      <c r="F100" s="33"/>
      <c r="G100" s="41"/>
      <c r="H100" s="21"/>
      <c r="I100" s="21"/>
      <c r="J100" s="21"/>
      <c r="K100" s="27"/>
      <c r="L100" s="25"/>
      <c r="M100" s="33"/>
      <c r="N100" s="25"/>
      <c r="O100" s="33"/>
      <c r="P100" s="25"/>
      <c r="Q100" s="33"/>
      <c r="R100" s="25"/>
    </row>
    <row r="101" spans="3:18" x14ac:dyDescent="0.25">
      <c r="C101" s="28" t="s">
        <v>210</v>
      </c>
      <c r="D101" t="s">
        <v>168</v>
      </c>
      <c r="E101" s="30">
        <v>20</v>
      </c>
      <c r="F101" s="32">
        <v>6550</v>
      </c>
      <c r="G101" s="41">
        <f t="shared" si="5"/>
        <v>131000</v>
      </c>
      <c r="H101" s="21" t="s">
        <v>108</v>
      </c>
      <c r="I101" s="21" t="s">
        <v>15</v>
      </c>
      <c r="J101" s="21" t="s">
        <v>16</v>
      </c>
      <c r="K101" s="30">
        <v>10</v>
      </c>
      <c r="L101" s="25">
        <f t="shared" si="6"/>
        <v>65500</v>
      </c>
      <c r="M101" s="37"/>
      <c r="N101" s="25"/>
      <c r="O101" s="32">
        <v>10</v>
      </c>
      <c r="P101" s="25">
        <f t="shared" si="7"/>
        <v>65500</v>
      </c>
      <c r="Q101" s="37"/>
      <c r="R101" s="25"/>
    </row>
    <row r="102" spans="3:18" x14ac:dyDescent="0.25">
      <c r="C102" s="27" t="s">
        <v>45</v>
      </c>
      <c r="E102" s="27"/>
      <c r="F102" s="33"/>
      <c r="G102" s="41"/>
      <c r="H102" s="21"/>
      <c r="I102" s="21"/>
      <c r="J102" s="21"/>
      <c r="K102" s="27"/>
      <c r="L102" s="25"/>
      <c r="M102" s="33"/>
      <c r="N102" s="25"/>
      <c r="O102" s="33"/>
      <c r="P102" s="25"/>
      <c r="Q102" s="33"/>
      <c r="R102" s="25"/>
    </row>
    <row r="103" spans="3:18" x14ac:dyDescent="0.25">
      <c r="C103" s="28" t="s">
        <v>213</v>
      </c>
      <c r="D103" t="s">
        <v>211</v>
      </c>
      <c r="E103" s="30">
        <v>40</v>
      </c>
      <c r="F103" s="32">
        <v>3210</v>
      </c>
      <c r="G103" s="41">
        <f t="shared" si="5"/>
        <v>128400</v>
      </c>
      <c r="H103" s="21" t="s">
        <v>108</v>
      </c>
      <c r="I103" s="21" t="s">
        <v>15</v>
      </c>
      <c r="J103" s="21" t="s">
        <v>16</v>
      </c>
      <c r="K103" s="30">
        <v>10</v>
      </c>
      <c r="L103" s="25">
        <f t="shared" si="6"/>
        <v>32100</v>
      </c>
      <c r="M103" s="37">
        <v>10</v>
      </c>
      <c r="N103" s="25">
        <f t="shared" si="8"/>
        <v>32100</v>
      </c>
      <c r="O103" s="32">
        <v>10</v>
      </c>
      <c r="P103" s="25">
        <f t="shared" si="7"/>
        <v>32100</v>
      </c>
      <c r="Q103" s="37">
        <v>10</v>
      </c>
      <c r="R103" s="25">
        <f t="shared" si="9"/>
        <v>32100</v>
      </c>
    </row>
    <row r="104" spans="3:18" x14ac:dyDescent="0.25">
      <c r="C104" s="28" t="s">
        <v>214</v>
      </c>
      <c r="D104" t="s">
        <v>157</v>
      </c>
      <c r="E104" s="30">
        <v>80</v>
      </c>
      <c r="F104" s="32">
        <v>1650</v>
      </c>
      <c r="G104" s="41">
        <f t="shared" si="5"/>
        <v>132000</v>
      </c>
      <c r="H104" s="21" t="s">
        <v>108</v>
      </c>
      <c r="I104" s="21" t="s">
        <v>15</v>
      </c>
      <c r="J104" s="21" t="s">
        <v>16</v>
      </c>
      <c r="K104" s="30">
        <v>20</v>
      </c>
      <c r="L104" s="25">
        <f t="shared" si="6"/>
        <v>33000</v>
      </c>
      <c r="M104" s="37">
        <v>20</v>
      </c>
      <c r="N104" s="25">
        <f t="shared" si="8"/>
        <v>33000</v>
      </c>
      <c r="O104" s="32">
        <v>20</v>
      </c>
      <c r="P104" s="25">
        <f t="shared" si="7"/>
        <v>33000</v>
      </c>
      <c r="Q104" s="37">
        <v>20</v>
      </c>
      <c r="R104" s="25">
        <f t="shared" si="9"/>
        <v>33000</v>
      </c>
    </row>
    <row r="105" spans="3:18" x14ac:dyDescent="0.25">
      <c r="C105" s="28" t="s">
        <v>215</v>
      </c>
      <c r="D105" t="s">
        <v>157</v>
      </c>
      <c r="E105" s="30">
        <v>8</v>
      </c>
      <c r="F105" s="32">
        <v>3200</v>
      </c>
      <c r="G105" s="41">
        <f t="shared" si="5"/>
        <v>25600</v>
      </c>
      <c r="H105" s="21" t="s">
        <v>108</v>
      </c>
      <c r="I105" s="21" t="s">
        <v>15</v>
      </c>
      <c r="J105" s="21" t="s">
        <v>16</v>
      </c>
      <c r="K105" s="30">
        <v>2</v>
      </c>
      <c r="L105" s="25">
        <f t="shared" si="6"/>
        <v>6400</v>
      </c>
      <c r="M105" s="37">
        <v>2</v>
      </c>
      <c r="N105" s="25">
        <f t="shared" si="8"/>
        <v>6400</v>
      </c>
      <c r="O105" s="32">
        <v>2</v>
      </c>
      <c r="P105" s="25">
        <f t="shared" si="7"/>
        <v>6400</v>
      </c>
      <c r="Q105" s="37">
        <v>2</v>
      </c>
      <c r="R105" s="25">
        <f t="shared" si="9"/>
        <v>6400</v>
      </c>
    </row>
    <row r="106" spans="3:18" x14ac:dyDescent="0.25">
      <c r="C106" s="28" t="s">
        <v>216</v>
      </c>
      <c r="D106" t="s">
        <v>157</v>
      </c>
      <c r="E106" s="30">
        <v>4</v>
      </c>
      <c r="F106" s="32">
        <v>2400</v>
      </c>
      <c r="G106" s="41">
        <f t="shared" si="5"/>
        <v>9600</v>
      </c>
      <c r="H106" s="21" t="s">
        <v>108</v>
      </c>
      <c r="I106" s="21" t="s">
        <v>15</v>
      </c>
      <c r="J106" s="21" t="s">
        <v>16</v>
      </c>
      <c r="K106" s="30">
        <v>1</v>
      </c>
      <c r="L106" s="25">
        <f t="shared" si="6"/>
        <v>2400</v>
      </c>
      <c r="M106" s="37">
        <v>1</v>
      </c>
      <c r="N106" s="25">
        <f t="shared" si="8"/>
        <v>2400</v>
      </c>
      <c r="O106" s="32">
        <v>1</v>
      </c>
      <c r="P106" s="25">
        <f t="shared" si="7"/>
        <v>2400</v>
      </c>
      <c r="Q106" s="37">
        <v>1</v>
      </c>
      <c r="R106" s="25">
        <f t="shared" si="9"/>
        <v>2400</v>
      </c>
    </row>
    <row r="107" spans="3:18" x14ac:dyDescent="0.25">
      <c r="C107" s="28" t="s">
        <v>217</v>
      </c>
      <c r="D107" t="s">
        <v>157</v>
      </c>
      <c r="E107" s="30">
        <v>8</v>
      </c>
      <c r="F107" s="32">
        <v>1200</v>
      </c>
      <c r="G107" s="41">
        <f t="shared" si="5"/>
        <v>9600</v>
      </c>
      <c r="H107" s="21" t="s">
        <v>108</v>
      </c>
      <c r="I107" s="21" t="s">
        <v>15</v>
      </c>
      <c r="J107" s="21" t="s">
        <v>16</v>
      </c>
      <c r="K107" s="30">
        <v>2</v>
      </c>
      <c r="L107" s="25">
        <f t="shared" si="6"/>
        <v>2400</v>
      </c>
      <c r="M107" s="37">
        <v>2</v>
      </c>
      <c r="N107" s="25">
        <f t="shared" si="8"/>
        <v>2400</v>
      </c>
      <c r="O107" s="32">
        <v>2</v>
      </c>
      <c r="P107" s="25">
        <f t="shared" si="7"/>
        <v>2400</v>
      </c>
      <c r="Q107" s="37">
        <v>2</v>
      </c>
      <c r="R107" s="25">
        <f t="shared" si="9"/>
        <v>2400</v>
      </c>
    </row>
    <row r="108" spans="3:18" x14ac:dyDescent="0.25">
      <c r="C108" s="28" t="s">
        <v>218</v>
      </c>
      <c r="D108" t="s">
        <v>157</v>
      </c>
      <c r="E108" s="30">
        <v>8</v>
      </c>
      <c r="F108" s="32">
        <v>13000</v>
      </c>
      <c r="G108" s="41">
        <f t="shared" si="5"/>
        <v>104000</v>
      </c>
      <c r="H108" s="21" t="s">
        <v>108</v>
      </c>
      <c r="I108" s="21" t="s">
        <v>15</v>
      </c>
      <c r="J108" s="21" t="s">
        <v>16</v>
      </c>
      <c r="K108" s="30">
        <v>2</v>
      </c>
      <c r="L108" s="25">
        <f t="shared" si="6"/>
        <v>26000</v>
      </c>
      <c r="M108" s="37">
        <v>2</v>
      </c>
      <c r="N108" s="25">
        <f t="shared" si="8"/>
        <v>26000</v>
      </c>
      <c r="O108" s="32">
        <v>2</v>
      </c>
      <c r="P108" s="25">
        <f t="shared" si="7"/>
        <v>26000</v>
      </c>
      <c r="Q108" s="37">
        <v>2</v>
      </c>
      <c r="R108" s="25">
        <f t="shared" si="9"/>
        <v>26000</v>
      </c>
    </row>
    <row r="109" spans="3:18" x14ac:dyDescent="0.25">
      <c r="C109" s="28" t="s">
        <v>219</v>
      </c>
      <c r="D109" t="s">
        <v>157</v>
      </c>
      <c r="E109" s="30">
        <v>9</v>
      </c>
      <c r="F109" s="32">
        <v>9600</v>
      </c>
      <c r="G109" s="41">
        <f t="shared" si="5"/>
        <v>86400</v>
      </c>
      <c r="H109" s="21" t="s">
        <v>108</v>
      </c>
      <c r="I109" s="21" t="s">
        <v>15</v>
      </c>
      <c r="J109" s="21" t="s">
        <v>16</v>
      </c>
      <c r="K109" s="30">
        <v>3</v>
      </c>
      <c r="L109" s="25">
        <f t="shared" si="6"/>
        <v>28800</v>
      </c>
      <c r="M109" s="37">
        <v>2</v>
      </c>
      <c r="N109" s="25">
        <f t="shared" si="8"/>
        <v>19200</v>
      </c>
      <c r="O109" s="32">
        <v>2</v>
      </c>
      <c r="P109" s="25">
        <f t="shared" si="7"/>
        <v>19200</v>
      </c>
      <c r="Q109" s="37">
        <v>2</v>
      </c>
      <c r="R109" s="25">
        <f t="shared" si="9"/>
        <v>19200</v>
      </c>
    </row>
    <row r="110" spans="3:18" x14ac:dyDescent="0.25">
      <c r="C110" s="28" t="s">
        <v>220</v>
      </c>
      <c r="D110" t="s">
        <v>157</v>
      </c>
      <c r="E110" s="30">
        <v>8</v>
      </c>
      <c r="F110" s="32">
        <v>1800</v>
      </c>
      <c r="G110" s="41">
        <f t="shared" si="5"/>
        <v>14400</v>
      </c>
      <c r="H110" s="21" t="s">
        <v>108</v>
      </c>
      <c r="I110" s="21" t="s">
        <v>15</v>
      </c>
      <c r="J110" s="21" t="s">
        <v>16</v>
      </c>
      <c r="K110" s="30">
        <v>2</v>
      </c>
      <c r="L110" s="25">
        <f t="shared" si="6"/>
        <v>3600</v>
      </c>
      <c r="M110" s="37">
        <v>2</v>
      </c>
      <c r="N110" s="25">
        <f t="shared" si="8"/>
        <v>3600</v>
      </c>
      <c r="O110" s="32">
        <v>2</v>
      </c>
      <c r="P110" s="25">
        <f t="shared" si="7"/>
        <v>3600</v>
      </c>
      <c r="Q110" s="37">
        <v>2</v>
      </c>
      <c r="R110" s="25">
        <f t="shared" si="9"/>
        <v>3600</v>
      </c>
    </row>
    <row r="111" spans="3:18" x14ac:dyDescent="0.25">
      <c r="C111" s="28" t="s">
        <v>221</v>
      </c>
      <c r="D111" t="s">
        <v>157</v>
      </c>
      <c r="E111" s="30">
        <v>7</v>
      </c>
      <c r="F111" s="32">
        <v>1560</v>
      </c>
      <c r="G111" s="41">
        <f t="shared" si="5"/>
        <v>10920</v>
      </c>
      <c r="H111" s="21" t="s">
        <v>108</v>
      </c>
      <c r="I111" s="21" t="s">
        <v>15</v>
      </c>
      <c r="J111" s="21" t="s">
        <v>16</v>
      </c>
      <c r="K111" s="30">
        <v>2</v>
      </c>
      <c r="L111" s="25">
        <f t="shared" si="6"/>
        <v>3120</v>
      </c>
      <c r="M111" s="37">
        <v>1</v>
      </c>
      <c r="N111" s="25">
        <f t="shared" si="8"/>
        <v>1560</v>
      </c>
      <c r="O111" s="32">
        <v>2</v>
      </c>
      <c r="P111" s="25">
        <f t="shared" si="7"/>
        <v>3120</v>
      </c>
      <c r="Q111" s="37">
        <v>2</v>
      </c>
      <c r="R111" s="25">
        <f t="shared" si="9"/>
        <v>3120</v>
      </c>
    </row>
    <row r="112" spans="3:18" x14ac:dyDescent="0.25">
      <c r="C112" s="28" t="s">
        <v>222</v>
      </c>
      <c r="D112" t="s">
        <v>157</v>
      </c>
      <c r="E112" s="30">
        <v>8</v>
      </c>
      <c r="F112" s="32">
        <v>7500</v>
      </c>
      <c r="G112" s="41">
        <f t="shared" si="5"/>
        <v>60000</v>
      </c>
      <c r="H112" s="21" t="s">
        <v>108</v>
      </c>
      <c r="I112" s="21" t="s">
        <v>15</v>
      </c>
      <c r="J112" s="21" t="s">
        <v>16</v>
      </c>
      <c r="K112" s="30">
        <v>2</v>
      </c>
      <c r="L112" s="25">
        <f t="shared" si="6"/>
        <v>15000</v>
      </c>
      <c r="M112" s="37">
        <v>2</v>
      </c>
      <c r="N112" s="25">
        <f t="shared" si="8"/>
        <v>15000</v>
      </c>
      <c r="O112" s="32">
        <v>2</v>
      </c>
      <c r="P112" s="25">
        <f t="shared" si="7"/>
        <v>15000</v>
      </c>
      <c r="Q112" s="37">
        <v>2</v>
      </c>
      <c r="R112" s="25">
        <f t="shared" si="9"/>
        <v>15000</v>
      </c>
    </row>
    <row r="113" spans="3:18" x14ac:dyDescent="0.25">
      <c r="C113" s="28" t="s">
        <v>46</v>
      </c>
      <c r="D113" t="s">
        <v>148</v>
      </c>
      <c r="E113" s="30">
        <v>40</v>
      </c>
      <c r="F113" s="32">
        <v>450</v>
      </c>
      <c r="G113" s="41">
        <f t="shared" si="5"/>
        <v>18000</v>
      </c>
      <c r="H113" s="21" t="s">
        <v>108</v>
      </c>
      <c r="I113" s="21" t="s">
        <v>15</v>
      </c>
      <c r="J113" s="21" t="s">
        <v>16</v>
      </c>
      <c r="K113" s="30">
        <v>10</v>
      </c>
      <c r="L113" s="25">
        <f t="shared" si="6"/>
        <v>4500</v>
      </c>
      <c r="M113" s="37">
        <v>10</v>
      </c>
      <c r="N113" s="25">
        <f t="shared" si="8"/>
        <v>4500</v>
      </c>
      <c r="O113" s="32">
        <v>10</v>
      </c>
      <c r="P113" s="25">
        <f t="shared" si="7"/>
        <v>4500</v>
      </c>
      <c r="Q113" s="37">
        <v>10</v>
      </c>
      <c r="R113" s="25">
        <f t="shared" si="9"/>
        <v>4500</v>
      </c>
    </row>
    <row r="114" spans="3:18" x14ac:dyDescent="0.25">
      <c r="C114" s="28" t="s">
        <v>223</v>
      </c>
      <c r="D114" t="s">
        <v>191</v>
      </c>
      <c r="E114" s="30">
        <v>40</v>
      </c>
      <c r="F114" s="32">
        <v>120</v>
      </c>
      <c r="G114" s="41">
        <f t="shared" si="5"/>
        <v>4800</v>
      </c>
      <c r="H114" s="21" t="s">
        <v>108</v>
      </c>
      <c r="I114" s="21" t="s">
        <v>15</v>
      </c>
      <c r="J114" s="21" t="s">
        <v>16</v>
      </c>
      <c r="K114" s="30">
        <v>10</v>
      </c>
      <c r="L114" s="25">
        <f t="shared" si="6"/>
        <v>1200</v>
      </c>
      <c r="M114" s="37">
        <v>10</v>
      </c>
      <c r="N114" s="25">
        <f t="shared" si="8"/>
        <v>1200</v>
      </c>
      <c r="O114" s="32">
        <v>10</v>
      </c>
      <c r="P114" s="25">
        <f t="shared" si="7"/>
        <v>1200</v>
      </c>
      <c r="Q114" s="37">
        <v>10</v>
      </c>
      <c r="R114" s="25">
        <f t="shared" si="9"/>
        <v>1200</v>
      </c>
    </row>
    <row r="115" spans="3:18" x14ac:dyDescent="0.25">
      <c r="C115" s="28" t="s">
        <v>224</v>
      </c>
      <c r="D115" t="s">
        <v>180</v>
      </c>
      <c r="E115" s="30">
        <v>18</v>
      </c>
      <c r="F115" s="32">
        <v>1110</v>
      </c>
      <c r="G115" s="41">
        <f t="shared" si="5"/>
        <v>19980</v>
      </c>
      <c r="H115" s="21" t="s">
        <v>108</v>
      </c>
      <c r="I115" s="21" t="s">
        <v>15</v>
      </c>
      <c r="J115" s="21" t="s">
        <v>16</v>
      </c>
      <c r="K115" s="30">
        <v>6</v>
      </c>
      <c r="L115" s="25">
        <f t="shared" si="6"/>
        <v>6660</v>
      </c>
      <c r="M115" s="37">
        <v>6</v>
      </c>
      <c r="N115" s="25">
        <f t="shared" si="8"/>
        <v>6660</v>
      </c>
      <c r="O115" s="32">
        <v>3</v>
      </c>
      <c r="P115" s="25">
        <f t="shared" si="7"/>
        <v>3330</v>
      </c>
      <c r="Q115" s="37">
        <v>3</v>
      </c>
      <c r="R115" s="25">
        <f t="shared" si="9"/>
        <v>3330</v>
      </c>
    </row>
    <row r="116" spans="3:18" x14ac:dyDescent="0.25">
      <c r="C116" s="28" t="s">
        <v>47</v>
      </c>
      <c r="D116" t="s">
        <v>126</v>
      </c>
      <c r="E116" s="30">
        <v>420</v>
      </c>
      <c r="F116" s="32">
        <v>275</v>
      </c>
      <c r="G116" s="41">
        <f t="shared" si="5"/>
        <v>115500</v>
      </c>
      <c r="H116" s="21" t="s">
        <v>108</v>
      </c>
      <c r="I116" s="21" t="s">
        <v>15</v>
      </c>
      <c r="J116" s="21" t="s">
        <v>16</v>
      </c>
      <c r="K116" s="30">
        <v>105</v>
      </c>
      <c r="L116" s="25">
        <f t="shared" si="6"/>
        <v>28875</v>
      </c>
      <c r="M116" s="37">
        <v>105</v>
      </c>
      <c r="N116" s="25">
        <f t="shared" si="8"/>
        <v>28875</v>
      </c>
      <c r="O116" s="32">
        <v>105</v>
      </c>
      <c r="P116" s="25">
        <f t="shared" si="7"/>
        <v>28875</v>
      </c>
      <c r="Q116" s="37">
        <v>105</v>
      </c>
      <c r="R116" s="25">
        <f t="shared" si="9"/>
        <v>28875</v>
      </c>
    </row>
    <row r="117" spans="3:18" x14ac:dyDescent="0.25">
      <c r="C117" s="28" t="s">
        <v>225</v>
      </c>
      <c r="D117" t="s">
        <v>126</v>
      </c>
      <c r="E117" s="30">
        <v>845</v>
      </c>
      <c r="F117" s="32">
        <v>215</v>
      </c>
      <c r="G117" s="41">
        <f t="shared" si="5"/>
        <v>181675</v>
      </c>
      <c r="H117" s="21" t="s">
        <v>108</v>
      </c>
      <c r="I117" s="21" t="s">
        <v>15</v>
      </c>
      <c r="J117" s="21" t="s">
        <v>16</v>
      </c>
      <c r="K117" s="30">
        <v>210</v>
      </c>
      <c r="L117" s="25">
        <f t="shared" si="6"/>
        <v>45150</v>
      </c>
      <c r="M117" s="37">
        <v>210</v>
      </c>
      <c r="N117" s="25">
        <f t="shared" si="8"/>
        <v>45150</v>
      </c>
      <c r="O117" s="32">
        <v>210</v>
      </c>
      <c r="P117" s="25">
        <f t="shared" si="7"/>
        <v>45150</v>
      </c>
      <c r="Q117" s="37">
        <v>215</v>
      </c>
      <c r="R117" s="25">
        <f t="shared" si="9"/>
        <v>46225</v>
      </c>
    </row>
    <row r="118" spans="3:18" x14ac:dyDescent="0.25">
      <c r="C118" s="28" t="s">
        <v>226</v>
      </c>
      <c r="D118" t="s">
        <v>212</v>
      </c>
      <c r="E118" s="30">
        <v>350</v>
      </c>
      <c r="F118" s="32">
        <v>650</v>
      </c>
      <c r="G118" s="41">
        <f t="shared" si="5"/>
        <v>227500</v>
      </c>
      <c r="H118" s="21" t="s">
        <v>108</v>
      </c>
      <c r="I118" s="21" t="s">
        <v>15</v>
      </c>
      <c r="J118" s="21" t="s">
        <v>16</v>
      </c>
      <c r="K118" s="30">
        <v>150</v>
      </c>
      <c r="L118" s="25">
        <f t="shared" si="6"/>
        <v>97500</v>
      </c>
      <c r="M118" s="37">
        <v>100</v>
      </c>
      <c r="N118" s="25">
        <f t="shared" si="8"/>
        <v>65000</v>
      </c>
      <c r="O118" s="32">
        <v>50</v>
      </c>
      <c r="P118" s="25">
        <f t="shared" si="7"/>
        <v>32500</v>
      </c>
      <c r="Q118" s="37">
        <v>50</v>
      </c>
      <c r="R118" s="25">
        <f t="shared" si="9"/>
        <v>32500</v>
      </c>
    </row>
    <row r="119" spans="3:18" x14ac:dyDescent="0.25">
      <c r="C119" s="28" t="s">
        <v>48</v>
      </c>
      <c r="D119" t="s">
        <v>126</v>
      </c>
      <c r="E119" s="30">
        <v>25</v>
      </c>
      <c r="F119" s="32">
        <v>800</v>
      </c>
      <c r="G119" s="41">
        <f t="shared" si="5"/>
        <v>20000</v>
      </c>
      <c r="H119" s="21" t="s">
        <v>108</v>
      </c>
      <c r="I119" s="21" t="s">
        <v>15</v>
      </c>
      <c r="J119" s="21" t="s">
        <v>16</v>
      </c>
      <c r="K119" s="30">
        <v>10</v>
      </c>
      <c r="L119" s="25">
        <f t="shared" si="6"/>
        <v>8000</v>
      </c>
      <c r="M119" s="37">
        <v>10</v>
      </c>
      <c r="N119" s="25">
        <f t="shared" si="8"/>
        <v>8000</v>
      </c>
      <c r="O119" s="32"/>
      <c r="P119" s="25"/>
      <c r="Q119" s="37">
        <v>5</v>
      </c>
      <c r="R119" s="25">
        <f t="shared" si="9"/>
        <v>4000</v>
      </c>
    </row>
    <row r="120" spans="3:18" x14ac:dyDescent="0.25">
      <c r="C120" s="28" t="s">
        <v>49</v>
      </c>
      <c r="D120" t="s">
        <v>126</v>
      </c>
      <c r="E120" s="30">
        <v>35</v>
      </c>
      <c r="F120" s="32">
        <v>480</v>
      </c>
      <c r="G120" s="41">
        <f t="shared" si="5"/>
        <v>16800</v>
      </c>
      <c r="H120" s="21" t="s">
        <v>108</v>
      </c>
      <c r="I120" s="21" t="s">
        <v>15</v>
      </c>
      <c r="J120" s="21" t="s">
        <v>16</v>
      </c>
      <c r="K120" s="30">
        <v>20</v>
      </c>
      <c r="L120" s="25">
        <f t="shared" si="6"/>
        <v>9600</v>
      </c>
      <c r="M120" s="37">
        <v>10</v>
      </c>
      <c r="N120" s="25">
        <f t="shared" si="8"/>
        <v>4800</v>
      </c>
      <c r="O120" s="32"/>
      <c r="P120" s="25"/>
      <c r="Q120" s="37">
        <v>5</v>
      </c>
      <c r="R120" s="25">
        <f t="shared" si="9"/>
        <v>2400</v>
      </c>
    </row>
    <row r="121" spans="3:18" x14ac:dyDescent="0.25">
      <c r="C121" s="28" t="s">
        <v>50</v>
      </c>
      <c r="D121" t="s">
        <v>126</v>
      </c>
      <c r="E121" s="30">
        <v>45</v>
      </c>
      <c r="F121" s="32">
        <v>520</v>
      </c>
      <c r="G121" s="41">
        <f t="shared" si="5"/>
        <v>23400</v>
      </c>
      <c r="H121" s="21" t="s">
        <v>108</v>
      </c>
      <c r="I121" s="21" t="s">
        <v>15</v>
      </c>
      <c r="J121" s="21" t="s">
        <v>16</v>
      </c>
      <c r="K121" s="30">
        <v>20</v>
      </c>
      <c r="L121" s="25">
        <f t="shared" si="6"/>
        <v>10400</v>
      </c>
      <c r="M121" s="37">
        <v>20</v>
      </c>
      <c r="N121" s="25">
        <f t="shared" si="8"/>
        <v>10400</v>
      </c>
      <c r="O121" s="32"/>
      <c r="P121" s="25"/>
      <c r="Q121" s="37">
        <v>5</v>
      </c>
      <c r="R121" s="25">
        <f t="shared" si="9"/>
        <v>2600</v>
      </c>
    </row>
    <row r="122" spans="3:18" x14ac:dyDescent="0.25">
      <c r="C122" s="28" t="s">
        <v>227</v>
      </c>
      <c r="D122" t="s">
        <v>126</v>
      </c>
      <c r="E122" s="30">
        <v>25</v>
      </c>
      <c r="F122" s="32">
        <v>1250</v>
      </c>
      <c r="G122" s="41">
        <f t="shared" si="5"/>
        <v>31250</v>
      </c>
      <c r="H122" s="21" t="s">
        <v>108</v>
      </c>
      <c r="I122" s="21" t="s">
        <v>15</v>
      </c>
      <c r="J122" s="21" t="s">
        <v>16</v>
      </c>
      <c r="K122" s="30">
        <v>10</v>
      </c>
      <c r="L122" s="25">
        <f t="shared" si="6"/>
        <v>12500</v>
      </c>
      <c r="M122" s="37">
        <v>5</v>
      </c>
      <c r="N122" s="25">
        <f t="shared" si="8"/>
        <v>6250</v>
      </c>
      <c r="O122" s="32"/>
      <c r="P122" s="25"/>
      <c r="Q122" s="37">
        <v>10</v>
      </c>
      <c r="R122" s="25">
        <f t="shared" si="9"/>
        <v>12500</v>
      </c>
    </row>
    <row r="123" spans="3:18" x14ac:dyDescent="0.25">
      <c r="C123" s="28" t="s">
        <v>51</v>
      </c>
      <c r="D123" t="s">
        <v>126</v>
      </c>
      <c r="E123" s="30">
        <v>20</v>
      </c>
      <c r="F123" s="32">
        <v>350</v>
      </c>
      <c r="G123" s="41">
        <f t="shared" si="5"/>
        <v>7000</v>
      </c>
      <c r="H123" s="21" t="s">
        <v>108</v>
      </c>
      <c r="I123" s="21" t="s">
        <v>15</v>
      </c>
      <c r="J123" s="21" t="s">
        <v>16</v>
      </c>
      <c r="K123" s="30">
        <v>10</v>
      </c>
      <c r="L123" s="25">
        <f t="shared" si="6"/>
        <v>3500</v>
      </c>
      <c r="M123" s="37">
        <v>5</v>
      </c>
      <c r="N123" s="25">
        <f t="shared" si="8"/>
        <v>1750</v>
      </c>
      <c r="O123" s="32"/>
      <c r="P123" s="25"/>
      <c r="Q123" s="37">
        <v>5</v>
      </c>
      <c r="R123" s="25">
        <f t="shared" si="9"/>
        <v>1750</v>
      </c>
    </row>
    <row r="124" spans="3:18" x14ac:dyDescent="0.25">
      <c r="C124" s="28" t="s">
        <v>52</v>
      </c>
      <c r="D124" t="s">
        <v>126</v>
      </c>
      <c r="E124" s="30">
        <v>20</v>
      </c>
      <c r="F124" s="32">
        <v>350</v>
      </c>
      <c r="G124" s="41">
        <f t="shared" si="5"/>
        <v>7000</v>
      </c>
      <c r="H124" s="21" t="s">
        <v>108</v>
      </c>
      <c r="I124" s="21" t="s">
        <v>15</v>
      </c>
      <c r="J124" s="21" t="s">
        <v>16</v>
      </c>
      <c r="K124" s="30">
        <v>10</v>
      </c>
      <c r="L124" s="25">
        <f t="shared" si="6"/>
        <v>3500</v>
      </c>
      <c r="M124" s="37">
        <v>5</v>
      </c>
      <c r="N124" s="25">
        <f t="shared" si="8"/>
        <v>1750</v>
      </c>
      <c r="O124" s="32"/>
      <c r="P124" s="25"/>
      <c r="Q124" s="37">
        <v>5</v>
      </c>
      <c r="R124" s="25">
        <f t="shared" si="9"/>
        <v>1750</v>
      </c>
    </row>
    <row r="125" spans="3:18" x14ac:dyDescent="0.25">
      <c r="C125" s="28" t="s">
        <v>53</v>
      </c>
      <c r="D125" t="s">
        <v>126</v>
      </c>
      <c r="E125" s="30">
        <v>20</v>
      </c>
      <c r="F125" s="32">
        <v>400</v>
      </c>
      <c r="G125" s="41">
        <f t="shared" si="5"/>
        <v>8000</v>
      </c>
      <c r="H125" s="21" t="s">
        <v>108</v>
      </c>
      <c r="I125" s="21" t="s">
        <v>15</v>
      </c>
      <c r="J125" s="21" t="s">
        <v>16</v>
      </c>
      <c r="K125" s="30">
        <v>10</v>
      </c>
      <c r="L125" s="25">
        <f t="shared" si="6"/>
        <v>4000</v>
      </c>
      <c r="M125" s="37">
        <v>5</v>
      </c>
      <c r="N125" s="25">
        <f t="shared" si="8"/>
        <v>2000</v>
      </c>
      <c r="O125" s="32"/>
      <c r="P125" s="25"/>
      <c r="Q125" s="37">
        <v>5</v>
      </c>
      <c r="R125" s="25">
        <f t="shared" si="9"/>
        <v>2000</v>
      </c>
    </row>
    <row r="126" spans="3:18" x14ac:dyDescent="0.25">
      <c r="C126" s="28" t="s">
        <v>54</v>
      </c>
      <c r="D126" t="s">
        <v>126</v>
      </c>
      <c r="E126" s="30">
        <v>20</v>
      </c>
      <c r="F126" s="32">
        <v>400</v>
      </c>
      <c r="G126" s="41">
        <f t="shared" si="5"/>
        <v>8000</v>
      </c>
      <c r="H126" s="21" t="s">
        <v>108</v>
      </c>
      <c r="I126" s="21" t="s">
        <v>15</v>
      </c>
      <c r="J126" s="21" t="s">
        <v>16</v>
      </c>
      <c r="K126" s="30">
        <v>10</v>
      </c>
      <c r="L126" s="25">
        <f t="shared" si="6"/>
        <v>4000</v>
      </c>
      <c r="M126" s="37">
        <v>5</v>
      </c>
      <c r="N126" s="25">
        <f t="shared" si="8"/>
        <v>2000</v>
      </c>
      <c r="O126" s="32"/>
      <c r="P126" s="25"/>
      <c r="Q126" s="37">
        <v>5</v>
      </c>
      <c r="R126" s="25">
        <f t="shared" si="9"/>
        <v>2000</v>
      </c>
    </row>
    <row r="127" spans="3:18" x14ac:dyDescent="0.25">
      <c r="C127" s="28" t="s">
        <v>55</v>
      </c>
      <c r="D127" t="s">
        <v>126</v>
      </c>
      <c r="E127" s="30">
        <v>80</v>
      </c>
      <c r="F127" s="32">
        <v>210</v>
      </c>
      <c r="G127" s="41">
        <f t="shared" si="5"/>
        <v>16800</v>
      </c>
      <c r="H127" s="21" t="s">
        <v>108</v>
      </c>
      <c r="I127" s="21" t="s">
        <v>15</v>
      </c>
      <c r="J127" s="21" t="s">
        <v>16</v>
      </c>
      <c r="K127" s="30">
        <v>40</v>
      </c>
      <c r="L127" s="25">
        <f t="shared" si="6"/>
        <v>8400</v>
      </c>
      <c r="M127" s="37">
        <v>20</v>
      </c>
      <c r="N127" s="25">
        <f t="shared" si="8"/>
        <v>4200</v>
      </c>
      <c r="O127" s="32" t="s">
        <v>107</v>
      </c>
      <c r="P127" s="25"/>
      <c r="Q127" s="37">
        <v>20</v>
      </c>
      <c r="R127" s="25">
        <f t="shared" si="9"/>
        <v>4200</v>
      </c>
    </row>
    <row r="128" spans="3:18" x14ac:dyDescent="0.25">
      <c r="C128" s="28" t="s">
        <v>56</v>
      </c>
      <c r="D128" t="s">
        <v>126</v>
      </c>
      <c r="E128" s="30">
        <v>6</v>
      </c>
      <c r="F128" s="32">
        <v>6500</v>
      </c>
      <c r="G128" s="41">
        <f t="shared" si="5"/>
        <v>39000</v>
      </c>
      <c r="H128" s="21" t="s">
        <v>108</v>
      </c>
      <c r="I128" s="21" t="s">
        <v>15</v>
      </c>
      <c r="J128" s="21" t="s">
        <v>16</v>
      </c>
      <c r="K128" s="30">
        <v>6</v>
      </c>
      <c r="L128" s="25">
        <f t="shared" si="6"/>
        <v>39000</v>
      </c>
      <c r="M128" s="37"/>
      <c r="N128" s="25"/>
      <c r="O128" s="32"/>
      <c r="P128" s="25"/>
      <c r="Q128" s="37"/>
      <c r="R128" s="25"/>
    </row>
    <row r="129" spans="3:18" x14ac:dyDescent="0.25">
      <c r="C129" s="27" t="s">
        <v>57</v>
      </c>
      <c r="E129" s="27"/>
      <c r="F129" s="33"/>
      <c r="G129" s="41"/>
      <c r="H129" s="21"/>
      <c r="I129" s="21"/>
      <c r="J129" s="21"/>
      <c r="K129" s="27"/>
      <c r="L129" s="25"/>
      <c r="M129" s="33"/>
      <c r="N129" s="25"/>
      <c r="O129" s="33"/>
      <c r="P129" s="25"/>
      <c r="Q129" s="33"/>
      <c r="R129" s="25"/>
    </row>
    <row r="130" spans="3:18" x14ac:dyDescent="0.25">
      <c r="C130" s="28" t="s">
        <v>228</v>
      </c>
      <c r="D130" t="s">
        <v>157</v>
      </c>
      <c r="E130" s="30">
        <v>4</v>
      </c>
      <c r="F130" s="32">
        <v>4800</v>
      </c>
      <c r="G130" s="41">
        <f t="shared" si="5"/>
        <v>19200</v>
      </c>
      <c r="H130" s="21" t="s">
        <v>108</v>
      </c>
      <c r="I130" s="21" t="s">
        <v>15</v>
      </c>
      <c r="J130" s="21" t="s">
        <v>16</v>
      </c>
      <c r="K130" s="30">
        <v>2</v>
      </c>
      <c r="L130" s="25">
        <f t="shared" si="6"/>
        <v>9600</v>
      </c>
      <c r="M130" s="37"/>
      <c r="N130" s="25"/>
      <c r="O130" s="32">
        <v>2</v>
      </c>
      <c r="P130" s="25">
        <f t="shared" si="7"/>
        <v>9600</v>
      </c>
      <c r="Q130" s="37"/>
      <c r="R130" s="25"/>
    </row>
    <row r="131" spans="3:18" x14ac:dyDescent="0.25">
      <c r="C131" s="28" t="s">
        <v>229</v>
      </c>
      <c r="D131" t="s">
        <v>201</v>
      </c>
      <c r="E131" s="30">
        <v>6</v>
      </c>
      <c r="F131" s="32">
        <v>5200</v>
      </c>
      <c r="G131" s="41">
        <f t="shared" si="5"/>
        <v>31200</v>
      </c>
      <c r="H131" s="21" t="s">
        <v>108</v>
      </c>
      <c r="I131" s="21" t="s">
        <v>15</v>
      </c>
      <c r="J131" s="21" t="s">
        <v>16</v>
      </c>
      <c r="K131" s="30">
        <v>3</v>
      </c>
      <c r="L131" s="25">
        <f t="shared" si="6"/>
        <v>15600</v>
      </c>
      <c r="M131" s="37"/>
      <c r="N131" s="25"/>
      <c r="O131" s="32">
        <v>3</v>
      </c>
      <c r="P131" s="25">
        <f t="shared" si="7"/>
        <v>15600</v>
      </c>
      <c r="Q131" s="37"/>
      <c r="R131" s="25"/>
    </row>
    <row r="132" spans="3:18" x14ac:dyDescent="0.25">
      <c r="C132" s="28" t="s">
        <v>230</v>
      </c>
      <c r="D132" t="s">
        <v>201</v>
      </c>
      <c r="E132" s="30">
        <v>6</v>
      </c>
      <c r="F132" s="32">
        <v>5600</v>
      </c>
      <c r="G132" s="41">
        <f t="shared" si="5"/>
        <v>33600</v>
      </c>
      <c r="H132" s="21" t="s">
        <v>108</v>
      </c>
      <c r="I132" s="21" t="s">
        <v>15</v>
      </c>
      <c r="J132" s="21" t="s">
        <v>16</v>
      </c>
      <c r="K132" s="30">
        <v>3</v>
      </c>
      <c r="L132" s="25">
        <f t="shared" si="6"/>
        <v>16800</v>
      </c>
      <c r="M132" s="37"/>
      <c r="N132" s="25"/>
      <c r="O132" s="32">
        <v>3</v>
      </c>
      <c r="P132" s="25">
        <f t="shared" si="7"/>
        <v>16800</v>
      </c>
      <c r="Q132" s="37"/>
      <c r="R132" s="25"/>
    </row>
    <row r="133" spans="3:18" x14ac:dyDescent="0.25">
      <c r="C133" s="28" t="s">
        <v>231</v>
      </c>
      <c r="D133" t="s">
        <v>201</v>
      </c>
      <c r="E133" s="30">
        <v>2</v>
      </c>
      <c r="F133" s="32">
        <v>4210</v>
      </c>
      <c r="G133" s="41">
        <f t="shared" si="5"/>
        <v>8420</v>
      </c>
      <c r="H133" s="21" t="s">
        <v>108</v>
      </c>
      <c r="I133" s="21" t="s">
        <v>15</v>
      </c>
      <c r="J133" s="21" t="s">
        <v>16</v>
      </c>
      <c r="K133" s="30">
        <v>1</v>
      </c>
      <c r="L133" s="25">
        <f t="shared" si="6"/>
        <v>4210</v>
      </c>
      <c r="M133" s="37"/>
      <c r="N133" s="25"/>
      <c r="O133" s="32">
        <v>1</v>
      </c>
      <c r="P133" s="25">
        <f t="shared" si="7"/>
        <v>4210</v>
      </c>
      <c r="Q133" s="37"/>
      <c r="R133" s="25"/>
    </row>
    <row r="134" spans="3:18" x14ac:dyDescent="0.25">
      <c r="C134" s="28" t="s">
        <v>232</v>
      </c>
      <c r="D134" t="s">
        <v>201</v>
      </c>
      <c r="E134" s="30">
        <v>16</v>
      </c>
      <c r="F134" s="32">
        <v>6800</v>
      </c>
      <c r="G134" s="41">
        <f t="shared" si="5"/>
        <v>108800</v>
      </c>
      <c r="H134" s="21" t="s">
        <v>108</v>
      </c>
      <c r="I134" s="21" t="s">
        <v>15</v>
      </c>
      <c r="J134" s="21" t="s">
        <v>16</v>
      </c>
      <c r="K134" s="30">
        <v>8</v>
      </c>
      <c r="L134" s="25">
        <f t="shared" si="6"/>
        <v>54400</v>
      </c>
      <c r="M134" s="37"/>
      <c r="N134" s="25"/>
      <c r="O134" s="32">
        <v>8</v>
      </c>
      <c r="P134" s="25">
        <f t="shared" si="7"/>
        <v>54400</v>
      </c>
      <c r="Q134" s="37"/>
      <c r="R134" s="25"/>
    </row>
    <row r="135" spans="3:18" x14ac:dyDescent="0.25">
      <c r="C135" s="28" t="s">
        <v>233</v>
      </c>
      <c r="D135" t="s">
        <v>201</v>
      </c>
      <c r="E135" s="30">
        <v>2</v>
      </c>
      <c r="F135" s="32">
        <v>5200</v>
      </c>
      <c r="G135" s="41">
        <f t="shared" ref="G135:G197" si="10">E135*F135</f>
        <v>10400</v>
      </c>
      <c r="H135" s="21" t="s">
        <v>108</v>
      </c>
      <c r="I135" s="21" t="s">
        <v>15</v>
      </c>
      <c r="J135" s="21" t="s">
        <v>16</v>
      </c>
      <c r="K135" s="30">
        <v>1</v>
      </c>
      <c r="L135" s="25">
        <f t="shared" ref="L135:L197" si="11">F135*K135</f>
        <v>5200</v>
      </c>
      <c r="M135" s="37"/>
      <c r="N135" s="25"/>
      <c r="O135" s="32">
        <v>1</v>
      </c>
      <c r="P135" s="25">
        <f t="shared" ref="P135:P197" si="12">F135*O135</f>
        <v>5200</v>
      </c>
      <c r="Q135" s="37"/>
      <c r="R135" s="25"/>
    </row>
    <row r="136" spans="3:18" x14ac:dyDescent="0.25">
      <c r="C136" s="28" t="s">
        <v>234</v>
      </c>
      <c r="D136" t="s">
        <v>201</v>
      </c>
      <c r="E136" s="30">
        <v>2</v>
      </c>
      <c r="F136" s="32">
        <v>3250</v>
      </c>
      <c r="G136" s="41">
        <f t="shared" si="10"/>
        <v>6500</v>
      </c>
      <c r="H136" s="21" t="s">
        <v>108</v>
      </c>
      <c r="I136" s="21" t="s">
        <v>15</v>
      </c>
      <c r="J136" s="21" t="s">
        <v>16</v>
      </c>
      <c r="K136" s="30">
        <v>1</v>
      </c>
      <c r="L136" s="25">
        <f t="shared" si="11"/>
        <v>3250</v>
      </c>
      <c r="M136" s="37"/>
      <c r="N136" s="25"/>
      <c r="O136" s="32">
        <v>1</v>
      </c>
      <c r="P136" s="25">
        <f t="shared" si="12"/>
        <v>3250</v>
      </c>
      <c r="Q136" s="37"/>
      <c r="R136" s="25"/>
    </row>
    <row r="137" spans="3:18" x14ac:dyDescent="0.25">
      <c r="C137" s="28" t="s">
        <v>235</v>
      </c>
      <c r="D137" t="s">
        <v>154</v>
      </c>
      <c r="E137" s="30">
        <v>2</v>
      </c>
      <c r="F137" s="32">
        <v>2120</v>
      </c>
      <c r="G137" s="41">
        <f t="shared" si="10"/>
        <v>4240</v>
      </c>
      <c r="H137" s="21" t="s">
        <v>108</v>
      </c>
      <c r="I137" s="21" t="s">
        <v>15</v>
      </c>
      <c r="J137" s="21" t="s">
        <v>16</v>
      </c>
      <c r="K137" s="30">
        <v>1</v>
      </c>
      <c r="L137" s="25">
        <f t="shared" si="11"/>
        <v>2120</v>
      </c>
      <c r="M137" s="37"/>
      <c r="N137" s="25"/>
      <c r="O137" s="32">
        <v>1</v>
      </c>
      <c r="P137" s="25">
        <f t="shared" si="12"/>
        <v>2120</v>
      </c>
      <c r="Q137" s="37"/>
      <c r="R137" s="25"/>
    </row>
    <row r="138" spans="3:18" x14ac:dyDescent="0.25">
      <c r="C138" s="28" t="s">
        <v>236</v>
      </c>
      <c r="D138" t="s">
        <v>154</v>
      </c>
      <c r="E138" s="30">
        <v>2</v>
      </c>
      <c r="F138" s="32">
        <v>3200</v>
      </c>
      <c r="G138" s="41">
        <f t="shared" si="10"/>
        <v>6400</v>
      </c>
      <c r="H138" s="21" t="s">
        <v>108</v>
      </c>
      <c r="I138" s="21" t="s">
        <v>15</v>
      </c>
      <c r="J138" s="21" t="s">
        <v>16</v>
      </c>
      <c r="K138" s="30">
        <v>1</v>
      </c>
      <c r="L138" s="25">
        <f t="shared" si="11"/>
        <v>3200</v>
      </c>
      <c r="M138" s="37"/>
      <c r="N138" s="25"/>
      <c r="O138" s="32">
        <v>1</v>
      </c>
      <c r="P138" s="25">
        <f t="shared" si="12"/>
        <v>3200</v>
      </c>
      <c r="Q138" s="37"/>
      <c r="R138" s="25"/>
    </row>
    <row r="139" spans="3:18" x14ac:dyDescent="0.25">
      <c r="C139" s="27" t="s">
        <v>58</v>
      </c>
      <c r="E139" s="27"/>
      <c r="F139" s="33"/>
      <c r="G139" s="41"/>
      <c r="H139" s="21"/>
      <c r="I139" s="21"/>
      <c r="J139" s="21"/>
      <c r="K139" s="27"/>
      <c r="L139" s="25"/>
      <c r="M139" s="33"/>
      <c r="N139" s="25"/>
      <c r="O139" s="33"/>
      <c r="P139" s="25"/>
      <c r="Q139" s="33"/>
      <c r="R139" s="25"/>
    </row>
    <row r="140" spans="3:18" x14ac:dyDescent="0.25">
      <c r="C140" s="28" t="s">
        <v>237</v>
      </c>
      <c r="D140" t="s">
        <v>148</v>
      </c>
      <c r="E140" s="30">
        <v>4</v>
      </c>
      <c r="F140" s="32">
        <v>8000</v>
      </c>
      <c r="G140" s="41">
        <f t="shared" si="10"/>
        <v>32000</v>
      </c>
      <c r="H140" s="21" t="s">
        <v>108</v>
      </c>
      <c r="I140" s="21" t="s">
        <v>15</v>
      </c>
      <c r="J140" s="21" t="s">
        <v>16</v>
      </c>
      <c r="K140" s="30">
        <v>2</v>
      </c>
      <c r="L140" s="25">
        <f t="shared" si="11"/>
        <v>16000</v>
      </c>
      <c r="M140" s="37"/>
      <c r="N140" s="25"/>
      <c r="O140" s="32">
        <v>2</v>
      </c>
      <c r="P140" s="25">
        <f t="shared" si="12"/>
        <v>16000</v>
      </c>
      <c r="Q140" s="37"/>
      <c r="R140" s="25"/>
    </row>
    <row r="141" spans="3:18" x14ac:dyDescent="0.25">
      <c r="C141" s="28" t="s">
        <v>238</v>
      </c>
      <c r="D141" t="s">
        <v>148</v>
      </c>
      <c r="E141" s="30">
        <v>4</v>
      </c>
      <c r="F141" s="32">
        <v>9800</v>
      </c>
      <c r="G141" s="41">
        <f t="shared" si="10"/>
        <v>39200</v>
      </c>
      <c r="H141" s="21" t="s">
        <v>108</v>
      </c>
      <c r="I141" s="21" t="s">
        <v>15</v>
      </c>
      <c r="J141" s="21" t="s">
        <v>16</v>
      </c>
      <c r="K141" s="30">
        <v>2</v>
      </c>
      <c r="L141" s="25">
        <f t="shared" si="11"/>
        <v>19600</v>
      </c>
      <c r="M141" s="37"/>
      <c r="N141" s="25"/>
      <c r="O141" s="32">
        <v>2</v>
      </c>
      <c r="P141" s="25">
        <f t="shared" si="12"/>
        <v>19600</v>
      </c>
      <c r="Q141" s="37"/>
      <c r="R141" s="25"/>
    </row>
    <row r="142" spans="3:18" x14ac:dyDescent="0.25">
      <c r="C142" s="28" t="s">
        <v>239</v>
      </c>
      <c r="D142" t="s">
        <v>148</v>
      </c>
      <c r="E142" s="30">
        <v>4</v>
      </c>
      <c r="F142" s="32">
        <v>1800</v>
      </c>
      <c r="G142" s="41">
        <f t="shared" si="10"/>
        <v>7200</v>
      </c>
      <c r="H142" s="21" t="s">
        <v>108</v>
      </c>
      <c r="I142" s="21" t="s">
        <v>15</v>
      </c>
      <c r="J142" s="21" t="s">
        <v>16</v>
      </c>
      <c r="K142" s="30">
        <v>2</v>
      </c>
      <c r="L142" s="25">
        <f t="shared" si="11"/>
        <v>3600</v>
      </c>
      <c r="M142" s="37"/>
      <c r="N142" s="25"/>
      <c r="O142" s="32">
        <v>2</v>
      </c>
      <c r="P142" s="25">
        <f t="shared" si="12"/>
        <v>3600</v>
      </c>
      <c r="Q142" s="37"/>
      <c r="R142" s="25"/>
    </row>
    <row r="143" spans="3:18" x14ac:dyDescent="0.25">
      <c r="C143" s="27" t="s">
        <v>59</v>
      </c>
      <c r="E143" s="27"/>
      <c r="F143" s="33"/>
      <c r="G143" s="41"/>
      <c r="H143" s="21"/>
      <c r="I143" s="21"/>
      <c r="J143" s="21"/>
      <c r="K143" s="27"/>
      <c r="L143" s="25"/>
      <c r="M143" s="33"/>
      <c r="N143" s="25"/>
      <c r="O143" s="33"/>
      <c r="P143" s="25"/>
      <c r="Q143" s="33"/>
      <c r="R143" s="25"/>
    </row>
    <row r="144" spans="3:18" x14ac:dyDescent="0.25">
      <c r="C144" s="28" t="s">
        <v>240</v>
      </c>
      <c r="D144" t="s">
        <v>124</v>
      </c>
      <c r="E144" s="30">
        <v>40</v>
      </c>
      <c r="F144" s="32">
        <v>300</v>
      </c>
      <c r="G144" s="41">
        <f t="shared" si="10"/>
        <v>12000</v>
      </c>
      <c r="H144" s="21" t="s">
        <v>108</v>
      </c>
      <c r="I144" s="21" t="s">
        <v>15</v>
      </c>
      <c r="J144" s="21" t="s">
        <v>16</v>
      </c>
      <c r="K144" s="30">
        <v>20</v>
      </c>
      <c r="L144" s="25">
        <f t="shared" si="11"/>
        <v>6000</v>
      </c>
      <c r="M144" s="37"/>
      <c r="N144" s="25"/>
      <c r="O144" s="32">
        <v>20</v>
      </c>
      <c r="P144" s="25">
        <f t="shared" si="12"/>
        <v>6000</v>
      </c>
      <c r="Q144" s="37"/>
      <c r="R144" s="25"/>
    </row>
    <row r="145" spans="3:18" x14ac:dyDescent="0.25">
      <c r="C145" s="28" t="s">
        <v>241</v>
      </c>
      <c r="D145" t="s">
        <v>124</v>
      </c>
      <c r="E145" s="30">
        <v>20</v>
      </c>
      <c r="F145" s="32">
        <v>240</v>
      </c>
      <c r="G145" s="41">
        <f t="shared" si="10"/>
        <v>4800</v>
      </c>
      <c r="H145" s="21" t="s">
        <v>108</v>
      </c>
      <c r="I145" s="21" t="s">
        <v>15</v>
      </c>
      <c r="J145" s="21" t="s">
        <v>16</v>
      </c>
      <c r="K145" s="30">
        <v>10</v>
      </c>
      <c r="L145" s="25">
        <f t="shared" si="11"/>
        <v>2400</v>
      </c>
      <c r="M145" s="37"/>
      <c r="N145" s="25"/>
      <c r="O145" s="32">
        <v>10</v>
      </c>
      <c r="P145" s="25">
        <f t="shared" si="12"/>
        <v>2400</v>
      </c>
      <c r="Q145" s="37"/>
      <c r="R145" s="25"/>
    </row>
    <row r="146" spans="3:18" x14ac:dyDescent="0.25">
      <c r="C146" s="28" t="s">
        <v>242</v>
      </c>
      <c r="D146" t="s">
        <v>124</v>
      </c>
      <c r="E146" s="30">
        <v>40</v>
      </c>
      <c r="F146" s="32">
        <v>240</v>
      </c>
      <c r="G146" s="41">
        <f t="shared" si="10"/>
        <v>9600</v>
      </c>
      <c r="H146" s="21" t="s">
        <v>108</v>
      </c>
      <c r="I146" s="21" t="s">
        <v>15</v>
      </c>
      <c r="J146" s="21" t="s">
        <v>16</v>
      </c>
      <c r="K146" s="30">
        <v>20</v>
      </c>
      <c r="L146" s="25">
        <f t="shared" si="11"/>
        <v>4800</v>
      </c>
      <c r="M146" s="37"/>
      <c r="N146" s="25"/>
      <c r="O146" s="32">
        <v>20</v>
      </c>
      <c r="P146" s="25">
        <f t="shared" si="12"/>
        <v>4800</v>
      </c>
      <c r="Q146" s="37"/>
      <c r="R146" s="25"/>
    </row>
    <row r="147" spans="3:18" x14ac:dyDescent="0.25">
      <c r="C147" s="27" t="s">
        <v>60</v>
      </c>
      <c r="E147" s="27"/>
      <c r="F147" s="33"/>
      <c r="G147" s="41"/>
      <c r="H147" s="21"/>
      <c r="I147" s="21"/>
      <c r="J147" s="21"/>
      <c r="K147" s="27"/>
      <c r="L147" s="25"/>
      <c r="M147" s="33"/>
      <c r="N147" s="25"/>
      <c r="O147" s="33"/>
      <c r="P147" s="25"/>
      <c r="Q147" s="33"/>
      <c r="R147" s="25"/>
    </row>
    <row r="148" spans="3:18" x14ac:dyDescent="0.25">
      <c r="C148" s="28" t="s">
        <v>61</v>
      </c>
      <c r="D148" t="s">
        <v>126</v>
      </c>
      <c r="E148" s="30">
        <v>200</v>
      </c>
      <c r="F148" s="32">
        <v>240</v>
      </c>
      <c r="G148" s="41">
        <f t="shared" si="10"/>
        <v>48000</v>
      </c>
      <c r="H148" s="21" t="s">
        <v>108</v>
      </c>
      <c r="I148" s="21" t="s">
        <v>15</v>
      </c>
      <c r="J148" s="21" t="s">
        <v>16</v>
      </c>
      <c r="K148" s="30">
        <v>200</v>
      </c>
      <c r="L148" s="25">
        <f t="shared" si="11"/>
        <v>48000</v>
      </c>
      <c r="M148" s="37"/>
      <c r="N148" s="25"/>
      <c r="O148" s="32"/>
      <c r="P148" s="25">
        <f t="shared" si="12"/>
        <v>0</v>
      </c>
      <c r="Q148" s="37"/>
      <c r="R148" s="25"/>
    </row>
    <row r="149" spans="3:18" x14ac:dyDescent="0.25">
      <c r="C149" s="28" t="s">
        <v>62</v>
      </c>
      <c r="D149" t="s">
        <v>124</v>
      </c>
      <c r="E149" s="30">
        <v>10</v>
      </c>
      <c r="F149" s="32">
        <v>2500</v>
      </c>
      <c r="G149" s="41">
        <f t="shared" si="10"/>
        <v>25000</v>
      </c>
      <c r="H149" s="21" t="s">
        <v>108</v>
      </c>
      <c r="I149" s="21" t="s">
        <v>15</v>
      </c>
      <c r="J149" s="21" t="s">
        <v>16</v>
      </c>
      <c r="K149" s="30">
        <v>5</v>
      </c>
      <c r="L149" s="25">
        <f t="shared" si="11"/>
        <v>12500</v>
      </c>
      <c r="M149" s="37"/>
      <c r="N149" s="25"/>
      <c r="O149" s="32">
        <v>5</v>
      </c>
      <c r="P149" s="25">
        <f t="shared" si="12"/>
        <v>12500</v>
      </c>
      <c r="Q149" s="37"/>
      <c r="R149" s="25"/>
    </row>
    <row r="150" spans="3:18" x14ac:dyDescent="0.25">
      <c r="C150" s="28" t="s">
        <v>63</v>
      </c>
      <c r="D150" t="s">
        <v>124</v>
      </c>
      <c r="E150" s="30">
        <v>10</v>
      </c>
      <c r="F150" s="32">
        <v>3000</v>
      </c>
      <c r="G150" s="41">
        <f t="shared" si="10"/>
        <v>30000</v>
      </c>
      <c r="H150" s="21" t="s">
        <v>108</v>
      </c>
      <c r="I150" s="21" t="s">
        <v>15</v>
      </c>
      <c r="J150" s="21" t="s">
        <v>16</v>
      </c>
      <c r="K150" s="30">
        <v>10</v>
      </c>
      <c r="L150" s="25">
        <f t="shared" si="11"/>
        <v>30000</v>
      </c>
      <c r="M150" s="37"/>
      <c r="N150" s="25"/>
      <c r="O150" s="32"/>
      <c r="P150" s="25">
        <f t="shared" si="12"/>
        <v>0</v>
      </c>
      <c r="Q150" s="37"/>
      <c r="R150" s="25"/>
    </row>
    <row r="151" spans="3:18" x14ac:dyDescent="0.25">
      <c r="C151" s="28" t="s">
        <v>64</v>
      </c>
      <c r="D151" t="s">
        <v>124</v>
      </c>
      <c r="E151" s="30">
        <v>20</v>
      </c>
      <c r="F151" s="32">
        <v>3500</v>
      </c>
      <c r="G151" s="41">
        <f t="shared" si="10"/>
        <v>70000</v>
      </c>
      <c r="H151" s="21" t="s">
        <v>108</v>
      </c>
      <c r="I151" s="21" t="s">
        <v>15</v>
      </c>
      <c r="J151" s="21" t="s">
        <v>16</v>
      </c>
      <c r="K151" s="30">
        <v>20</v>
      </c>
      <c r="L151" s="25">
        <f t="shared" si="11"/>
        <v>70000</v>
      </c>
      <c r="M151" s="37"/>
      <c r="N151" s="25"/>
      <c r="O151" s="32"/>
      <c r="P151" s="25">
        <f t="shared" si="12"/>
        <v>0</v>
      </c>
      <c r="Q151" s="37"/>
      <c r="R151" s="25"/>
    </row>
    <row r="152" spans="3:18" x14ac:dyDescent="0.25">
      <c r="C152" s="27" t="s">
        <v>65</v>
      </c>
      <c r="E152" s="27"/>
      <c r="F152" s="33"/>
      <c r="G152" s="41"/>
      <c r="H152" s="21"/>
      <c r="I152" s="21"/>
      <c r="J152" s="21"/>
      <c r="K152" s="27"/>
      <c r="L152" s="25"/>
      <c r="M152" s="33"/>
      <c r="N152" s="25"/>
      <c r="O152" s="33"/>
      <c r="P152" s="25"/>
      <c r="Q152" s="33"/>
      <c r="R152" s="25"/>
    </row>
    <row r="153" spans="3:18" x14ac:dyDescent="0.25">
      <c r="C153" s="28" t="s">
        <v>245</v>
      </c>
      <c r="D153" t="s">
        <v>243</v>
      </c>
      <c r="E153" s="30">
        <v>4</v>
      </c>
      <c r="F153" s="32">
        <v>3800</v>
      </c>
      <c r="G153" s="41">
        <f t="shared" si="10"/>
        <v>15200</v>
      </c>
      <c r="H153" s="21" t="s">
        <v>108</v>
      </c>
      <c r="I153" s="21" t="s">
        <v>15</v>
      </c>
      <c r="J153" s="21" t="s">
        <v>16</v>
      </c>
      <c r="K153" s="30">
        <v>2</v>
      </c>
      <c r="L153" s="25">
        <f t="shared" si="11"/>
        <v>7600</v>
      </c>
      <c r="M153" s="37"/>
      <c r="N153" s="25"/>
      <c r="O153" s="32">
        <v>2</v>
      </c>
      <c r="P153" s="25">
        <f t="shared" si="12"/>
        <v>7600</v>
      </c>
      <c r="Q153" s="37"/>
      <c r="R153" s="25"/>
    </row>
    <row r="154" spans="3:18" x14ac:dyDescent="0.25">
      <c r="C154" s="28" t="s">
        <v>246</v>
      </c>
      <c r="D154" t="s">
        <v>124</v>
      </c>
      <c r="E154" s="30">
        <v>8</v>
      </c>
      <c r="F154" s="32">
        <v>6400</v>
      </c>
      <c r="G154" s="41">
        <f t="shared" si="10"/>
        <v>51200</v>
      </c>
      <c r="H154" s="21" t="s">
        <v>108</v>
      </c>
      <c r="I154" s="21" t="s">
        <v>15</v>
      </c>
      <c r="J154" s="21" t="s">
        <v>16</v>
      </c>
      <c r="K154" s="30">
        <v>4</v>
      </c>
      <c r="L154" s="25">
        <f t="shared" si="11"/>
        <v>25600</v>
      </c>
      <c r="M154" s="37"/>
      <c r="N154" s="25"/>
      <c r="O154" s="32">
        <v>4</v>
      </c>
      <c r="P154" s="25">
        <f t="shared" si="12"/>
        <v>25600</v>
      </c>
      <c r="Q154" s="37"/>
      <c r="R154" s="25"/>
    </row>
    <row r="155" spans="3:18" x14ac:dyDescent="0.25">
      <c r="C155" s="28" t="s">
        <v>66</v>
      </c>
      <c r="D155" t="s">
        <v>124</v>
      </c>
      <c r="E155" s="30">
        <v>1</v>
      </c>
      <c r="F155" s="37">
        <v>15650</v>
      </c>
      <c r="G155" s="41">
        <f t="shared" si="10"/>
        <v>15650</v>
      </c>
      <c r="H155" s="21" t="s">
        <v>108</v>
      </c>
      <c r="I155" s="21" t="s">
        <v>15</v>
      </c>
      <c r="J155" s="21" t="s">
        <v>16</v>
      </c>
      <c r="K155" s="30"/>
      <c r="L155" s="25"/>
      <c r="M155" s="37">
        <v>1</v>
      </c>
      <c r="N155" s="25">
        <f t="shared" ref="N155:N192" si="13">F155*M155</f>
        <v>15650</v>
      </c>
      <c r="O155" s="32"/>
      <c r="P155" s="25">
        <f t="shared" si="12"/>
        <v>0</v>
      </c>
      <c r="Q155" s="37"/>
      <c r="R155" s="25"/>
    </row>
    <row r="156" spans="3:18" x14ac:dyDescent="0.25">
      <c r="C156" s="28" t="s">
        <v>67</v>
      </c>
      <c r="D156" t="s">
        <v>124</v>
      </c>
      <c r="E156" s="30">
        <v>1</v>
      </c>
      <c r="F156" s="37">
        <v>18500</v>
      </c>
      <c r="G156" s="41">
        <f t="shared" si="10"/>
        <v>18500</v>
      </c>
      <c r="H156" s="21" t="s">
        <v>108</v>
      </c>
      <c r="I156" s="21" t="s">
        <v>15</v>
      </c>
      <c r="J156" s="21" t="s">
        <v>16</v>
      </c>
      <c r="K156" s="30"/>
      <c r="L156" s="25"/>
      <c r="M156" s="37">
        <v>1</v>
      </c>
      <c r="N156" s="25">
        <f t="shared" si="13"/>
        <v>18500</v>
      </c>
      <c r="O156" s="32"/>
      <c r="P156" s="25">
        <f t="shared" si="12"/>
        <v>0</v>
      </c>
      <c r="Q156" s="37"/>
      <c r="R156" s="25"/>
    </row>
    <row r="157" spans="3:18" x14ac:dyDescent="0.25">
      <c r="C157" s="28" t="s">
        <v>247</v>
      </c>
      <c r="D157" t="s">
        <v>161</v>
      </c>
      <c r="E157" s="30">
        <v>6</v>
      </c>
      <c r="F157" s="32">
        <v>4520</v>
      </c>
      <c r="G157" s="41">
        <f t="shared" si="10"/>
        <v>27120</v>
      </c>
      <c r="H157" s="21" t="s">
        <v>108</v>
      </c>
      <c r="I157" s="21" t="s">
        <v>15</v>
      </c>
      <c r="J157" s="21" t="s">
        <v>16</v>
      </c>
      <c r="K157" s="30">
        <v>3</v>
      </c>
      <c r="L157" s="25">
        <f t="shared" si="11"/>
        <v>13560</v>
      </c>
      <c r="M157" s="37"/>
      <c r="N157" s="25"/>
      <c r="O157" s="32">
        <v>3</v>
      </c>
      <c r="P157" s="25">
        <f t="shared" si="12"/>
        <v>13560</v>
      </c>
      <c r="Q157" s="37"/>
      <c r="R157" s="25"/>
    </row>
    <row r="158" spans="3:18" x14ac:dyDescent="0.25">
      <c r="C158" s="27" t="s">
        <v>68</v>
      </c>
      <c r="E158" s="27"/>
      <c r="F158" s="33"/>
      <c r="G158" s="41"/>
      <c r="H158" s="21"/>
      <c r="I158" s="21"/>
      <c r="J158" s="21"/>
      <c r="K158" s="27"/>
      <c r="L158" s="25"/>
      <c r="M158" s="33"/>
      <c r="N158" s="25"/>
      <c r="O158" s="33"/>
      <c r="P158" s="25"/>
      <c r="Q158" s="33"/>
      <c r="R158" s="25"/>
    </row>
    <row r="159" spans="3:18" x14ac:dyDescent="0.25">
      <c r="C159" s="28" t="s">
        <v>248</v>
      </c>
      <c r="D159" t="s">
        <v>192</v>
      </c>
      <c r="E159" s="30">
        <v>2</v>
      </c>
      <c r="F159" s="32">
        <v>11500</v>
      </c>
      <c r="G159" s="41">
        <f t="shared" si="10"/>
        <v>23000</v>
      </c>
      <c r="H159" s="21" t="s">
        <v>108</v>
      </c>
      <c r="I159" s="21" t="s">
        <v>15</v>
      </c>
      <c r="J159" s="21" t="s">
        <v>16</v>
      </c>
      <c r="K159" s="30">
        <v>1</v>
      </c>
      <c r="L159" s="25">
        <f t="shared" si="11"/>
        <v>11500</v>
      </c>
      <c r="M159" s="37"/>
      <c r="N159" s="25"/>
      <c r="O159" s="32">
        <v>1</v>
      </c>
      <c r="P159" s="25">
        <f t="shared" si="12"/>
        <v>11500</v>
      </c>
      <c r="Q159" s="37"/>
      <c r="R159" s="25"/>
    </row>
    <row r="160" spans="3:18" x14ac:dyDescent="0.25">
      <c r="C160" s="28" t="s">
        <v>249</v>
      </c>
      <c r="D160" t="s">
        <v>192</v>
      </c>
      <c r="E160" s="30">
        <v>2</v>
      </c>
      <c r="F160" s="32">
        <v>10500</v>
      </c>
      <c r="G160" s="41">
        <f t="shared" si="10"/>
        <v>21000</v>
      </c>
      <c r="H160" s="21" t="s">
        <v>108</v>
      </c>
      <c r="I160" s="21" t="s">
        <v>15</v>
      </c>
      <c r="J160" s="21" t="s">
        <v>16</v>
      </c>
      <c r="K160" s="30">
        <v>1</v>
      </c>
      <c r="L160" s="25">
        <f t="shared" si="11"/>
        <v>10500</v>
      </c>
      <c r="M160" s="37"/>
      <c r="N160" s="25"/>
      <c r="O160" s="32">
        <v>1</v>
      </c>
      <c r="P160" s="25">
        <f t="shared" si="12"/>
        <v>10500</v>
      </c>
      <c r="Q160" s="37"/>
      <c r="R160" s="25"/>
    </row>
    <row r="161" spans="3:18" x14ac:dyDescent="0.25">
      <c r="C161" s="28" t="s">
        <v>250</v>
      </c>
      <c r="D161" t="s">
        <v>192</v>
      </c>
      <c r="E161" s="30">
        <v>2</v>
      </c>
      <c r="F161" s="32">
        <v>9500</v>
      </c>
      <c r="G161" s="41">
        <f t="shared" si="10"/>
        <v>19000</v>
      </c>
      <c r="H161" s="21" t="s">
        <v>108</v>
      </c>
      <c r="I161" s="21" t="s">
        <v>15</v>
      </c>
      <c r="J161" s="21" t="s">
        <v>16</v>
      </c>
      <c r="K161" s="30">
        <v>1</v>
      </c>
      <c r="L161" s="25">
        <f t="shared" si="11"/>
        <v>9500</v>
      </c>
      <c r="M161" s="37"/>
      <c r="N161" s="25"/>
      <c r="O161" s="32">
        <v>1</v>
      </c>
      <c r="P161" s="25">
        <f t="shared" si="12"/>
        <v>9500</v>
      </c>
      <c r="Q161" s="37"/>
      <c r="R161" s="25"/>
    </row>
    <row r="162" spans="3:18" x14ac:dyDescent="0.25">
      <c r="C162" s="28" t="s">
        <v>251</v>
      </c>
      <c r="D162" t="s">
        <v>244</v>
      </c>
      <c r="E162" s="30">
        <v>2</v>
      </c>
      <c r="F162" s="32">
        <v>2500</v>
      </c>
      <c r="G162" s="41">
        <f t="shared" si="10"/>
        <v>5000</v>
      </c>
      <c r="H162" s="21" t="s">
        <v>108</v>
      </c>
      <c r="I162" s="21" t="s">
        <v>15</v>
      </c>
      <c r="J162" s="21" t="s">
        <v>16</v>
      </c>
      <c r="K162" s="30">
        <v>1</v>
      </c>
      <c r="L162" s="25">
        <f t="shared" si="11"/>
        <v>2500</v>
      </c>
      <c r="M162" s="37"/>
      <c r="N162" s="25"/>
      <c r="O162" s="32">
        <v>1</v>
      </c>
      <c r="P162" s="25">
        <f t="shared" si="12"/>
        <v>2500</v>
      </c>
      <c r="Q162" s="37"/>
      <c r="R162" s="25"/>
    </row>
    <row r="163" spans="3:18" x14ac:dyDescent="0.25">
      <c r="C163" s="28" t="s">
        <v>252</v>
      </c>
      <c r="D163" t="s">
        <v>244</v>
      </c>
      <c r="E163" s="30">
        <v>2</v>
      </c>
      <c r="F163" s="32">
        <v>2500</v>
      </c>
      <c r="G163" s="41">
        <f t="shared" si="10"/>
        <v>5000</v>
      </c>
      <c r="H163" s="21" t="s">
        <v>108</v>
      </c>
      <c r="I163" s="21" t="s">
        <v>15</v>
      </c>
      <c r="J163" s="21" t="s">
        <v>16</v>
      </c>
      <c r="K163" s="30">
        <v>1</v>
      </c>
      <c r="L163" s="25">
        <f t="shared" si="11"/>
        <v>2500</v>
      </c>
      <c r="M163" s="37"/>
      <c r="N163" s="25"/>
      <c r="O163" s="32">
        <v>1</v>
      </c>
      <c r="P163" s="25">
        <f t="shared" si="12"/>
        <v>2500</v>
      </c>
      <c r="Q163" s="37"/>
      <c r="R163" s="25"/>
    </row>
    <row r="164" spans="3:18" x14ac:dyDescent="0.25">
      <c r="C164" s="27" t="s">
        <v>69</v>
      </c>
      <c r="E164" s="27"/>
      <c r="F164" s="33"/>
      <c r="G164" s="41"/>
      <c r="H164" s="21"/>
      <c r="I164" s="21"/>
      <c r="J164" s="21"/>
      <c r="K164" s="27"/>
      <c r="L164" s="25"/>
      <c r="M164" s="33"/>
      <c r="N164" s="25"/>
      <c r="O164" s="33"/>
      <c r="P164" s="25"/>
      <c r="Q164" s="33"/>
      <c r="R164" s="25"/>
    </row>
    <row r="165" spans="3:18" x14ac:dyDescent="0.25">
      <c r="C165" s="28" t="s">
        <v>70</v>
      </c>
      <c r="D165" t="s">
        <v>192</v>
      </c>
      <c r="E165" s="30">
        <v>6</v>
      </c>
      <c r="F165" s="32">
        <v>13000</v>
      </c>
      <c r="G165" s="41">
        <f t="shared" si="10"/>
        <v>78000</v>
      </c>
      <c r="H165" s="21" t="s">
        <v>108</v>
      </c>
      <c r="I165" s="21" t="s">
        <v>15</v>
      </c>
      <c r="J165" s="21" t="s">
        <v>16</v>
      </c>
      <c r="K165" s="30">
        <v>3</v>
      </c>
      <c r="L165" s="25">
        <f t="shared" si="11"/>
        <v>39000</v>
      </c>
      <c r="M165" s="37"/>
      <c r="N165" s="25"/>
      <c r="O165" s="32">
        <v>3</v>
      </c>
      <c r="P165" s="25">
        <f t="shared" si="12"/>
        <v>39000</v>
      </c>
      <c r="Q165" s="37"/>
      <c r="R165" s="25"/>
    </row>
    <row r="166" spans="3:18" x14ac:dyDescent="0.25">
      <c r="C166" s="28" t="s">
        <v>71</v>
      </c>
      <c r="D166" t="s">
        <v>253</v>
      </c>
      <c r="E166" s="30">
        <v>4</v>
      </c>
      <c r="F166" s="32">
        <v>30000</v>
      </c>
      <c r="G166" s="41">
        <f t="shared" si="10"/>
        <v>120000</v>
      </c>
      <c r="H166" s="21" t="s">
        <v>108</v>
      </c>
      <c r="I166" s="21" t="s">
        <v>15</v>
      </c>
      <c r="J166" s="21" t="s">
        <v>16</v>
      </c>
      <c r="K166" s="30">
        <v>2</v>
      </c>
      <c r="L166" s="25">
        <f t="shared" si="11"/>
        <v>60000</v>
      </c>
      <c r="M166" s="37"/>
      <c r="N166" s="25"/>
      <c r="O166" s="32">
        <v>2</v>
      </c>
      <c r="P166" s="25">
        <f t="shared" si="12"/>
        <v>60000</v>
      </c>
      <c r="Q166" s="37"/>
      <c r="R166" s="25"/>
    </row>
    <row r="167" spans="3:18" x14ac:dyDescent="0.25">
      <c r="C167" s="28" t="s">
        <v>72</v>
      </c>
      <c r="D167" t="s">
        <v>192</v>
      </c>
      <c r="E167" s="30">
        <v>4</v>
      </c>
      <c r="F167" s="32">
        <v>35000</v>
      </c>
      <c r="G167" s="41">
        <f t="shared" si="10"/>
        <v>140000</v>
      </c>
      <c r="H167" s="21" t="s">
        <v>108</v>
      </c>
      <c r="I167" s="21" t="s">
        <v>15</v>
      </c>
      <c r="J167" s="21" t="s">
        <v>16</v>
      </c>
      <c r="K167" s="30">
        <v>2</v>
      </c>
      <c r="L167" s="25">
        <f t="shared" si="11"/>
        <v>70000</v>
      </c>
      <c r="M167" s="37"/>
      <c r="N167" s="25"/>
      <c r="O167" s="32">
        <v>2</v>
      </c>
      <c r="P167" s="25">
        <f t="shared" si="12"/>
        <v>70000</v>
      </c>
      <c r="Q167" s="37"/>
      <c r="R167" s="25"/>
    </row>
    <row r="168" spans="3:18" x14ac:dyDescent="0.25">
      <c r="C168" s="28" t="s">
        <v>73</v>
      </c>
      <c r="D168" t="s">
        <v>192</v>
      </c>
      <c r="E168" s="30">
        <v>4</v>
      </c>
      <c r="F168" s="32">
        <v>34000</v>
      </c>
      <c r="G168" s="41">
        <f t="shared" si="10"/>
        <v>136000</v>
      </c>
      <c r="H168" s="21" t="s">
        <v>108</v>
      </c>
      <c r="I168" s="21" t="s">
        <v>15</v>
      </c>
      <c r="J168" s="21" t="s">
        <v>16</v>
      </c>
      <c r="K168" s="30">
        <v>2</v>
      </c>
      <c r="L168" s="25">
        <f t="shared" si="11"/>
        <v>68000</v>
      </c>
      <c r="M168" s="37"/>
      <c r="N168" s="25"/>
      <c r="O168" s="32">
        <v>2</v>
      </c>
      <c r="P168" s="25">
        <f t="shared" si="12"/>
        <v>68000</v>
      </c>
      <c r="Q168" s="37"/>
      <c r="R168" s="25"/>
    </row>
    <row r="169" spans="3:18" x14ac:dyDescent="0.25">
      <c r="C169" s="28" t="s">
        <v>74</v>
      </c>
      <c r="D169" t="s">
        <v>211</v>
      </c>
      <c r="E169" s="30">
        <v>4</v>
      </c>
      <c r="F169" s="32">
        <v>24000</v>
      </c>
      <c r="G169" s="41">
        <f t="shared" si="10"/>
        <v>96000</v>
      </c>
      <c r="H169" s="21" t="s">
        <v>108</v>
      </c>
      <c r="I169" s="21" t="s">
        <v>15</v>
      </c>
      <c r="J169" s="21" t="s">
        <v>16</v>
      </c>
      <c r="K169" s="30">
        <v>2</v>
      </c>
      <c r="L169" s="25">
        <f t="shared" si="11"/>
        <v>48000</v>
      </c>
      <c r="M169" s="37"/>
      <c r="N169" s="25"/>
      <c r="O169" s="32">
        <v>2</v>
      </c>
      <c r="P169" s="25">
        <f t="shared" si="12"/>
        <v>48000</v>
      </c>
      <c r="Q169" s="37"/>
      <c r="R169" s="25"/>
    </row>
    <row r="170" spans="3:18" x14ac:dyDescent="0.25">
      <c r="C170" s="27" t="s">
        <v>75</v>
      </c>
      <c r="E170" s="27"/>
      <c r="F170" s="34"/>
      <c r="G170" s="41"/>
      <c r="H170" s="21"/>
      <c r="I170" s="21"/>
      <c r="J170" s="21"/>
      <c r="K170" s="27"/>
      <c r="L170" s="25"/>
      <c r="M170" s="27"/>
      <c r="N170" s="25"/>
      <c r="O170" s="27"/>
      <c r="P170" s="25"/>
      <c r="Q170" s="27"/>
      <c r="R170" s="25"/>
    </row>
    <row r="171" spans="3:18" x14ac:dyDescent="0.25">
      <c r="C171" s="28" t="s">
        <v>259</v>
      </c>
      <c r="D171" t="s">
        <v>124</v>
      </c>
      <c r="E171" s="30">
        <v>2</v>
      </c>
      <c r="F171" s="39">
        <v>21500</v>
      </c>
      <c r="G171" s="41">
        <f t="shared" si="10"/>
        <v>43000</v>
      </c>
      <c r="H171" s="21" t="s">
        <v>108</v>
      </c>
      <c r="I171" s="21" t="s">
        <v>15</v>
      </c>
      <c r="J171" s="21" t="s">
        <v>16</v>
      </c>
      <c r="K171" s="30"/>
      <c r="L171" s="25"/>
      <c r="M171" s="28">
        <v>2</v>
      </c>
      <c r="N171" s="25">
        <f t="shared" si="13"/>
        <v>43000</v>
      </c>
      <c r="O171" s="30"/>
      <c r="P171" s="25"/>
      <c r="Q171" s="28"/>
      <c r="R171" s="25"/>
    </row>
    <row r="172" spans="3:18" x14ac:dyDescent="0.25">
      <c r="C172" s="28" t="s">
        <v>257</v>
      </c>
      <c r="D172" t="s">
        <v>148</v>
      </c>
      <c r="E172" s="30">
        <v>1</v>
      </c>
      <c r="F172" s="39">
        <v>19850</v>
      </c>
      <c r="G172" s="41">
        <f t="shared" si="10"/>
        <v>19850</v>
      </c>
      <c r="H172" s="21" t="s">
        <v>108</v>
      </c>
      <c r="I172" s="21" t="s">
        <v>15</v>
      </c>
      <c r="J172" s="21" t="s">
        <v>16</v>
      </c>
      <c r="K172" s="30"/>
      <c r="L172" s="25"/>
      <c r="M172" s="28">
        <v>1</v>
      </c>
      <c r="N172" s="25">
        <f t="shared" si="13"/>
        <v>19850</v>
      </c>
      <c r="O172" s="30"/>
      <c r="P172" s="25"/>
      <c r="Q172" s="28"/>
      <c r="R172" s="25"/>
    </row>
    <row r="173" spans="3:18" x14ac:dyDescent="0.25">
      <c r="C173" s="28" t="s">
        <v>258</v>
      </c>
      <c r="D173" t="s">
        <v>148</v>
      </c>
      <c r="E173" s="30">
        <v>1</v>
      </c>
      <c r="F173" s="39">
        <v>21500</v>
      </c>
      <c r="G173" s="41">
        <f t="shared" si="10"/>
        <v>21500</v>
      </c>
      <c r="H173" s="21" t="s">
        <v>108</v>
      </c>
      <c r="I173" s="21" t="s">
        <v>15</v>
      </c>
      <c r="J173" s="21" t="s">
        <v>16</v>
      </c>
      <c r="K173" s="30"/>
      <c r="L173" s="25"/>
      <c r="M173" s="28">
        <v>1</v>
      </c>
      <c r="N173" s="25">
        <f t="shared" si="13"/>
        <v>21500</v>
      </c>
      <c r="O173" s="30"/>
      <c r="P173" s="25"/>
      <c r="Q173" s="28"/>
      <c r="R173" s="25"/>
    </row>
    <row r="174" spans="3:18" x14ac:dyDescent="0.25">
      <c r="C174" s="28" t="s">
        <v>256</v>
      </c>
      <c r="D174" t="s">
        <v>124</v>
      </c>
      <c r="E174" s="30">
        <v>1</v>
      </c>
      <c r="F174" s="39">
        <v>18900</v>
      </c>
      <c r="G174" s="41">
        <f t="shared" si="10"/>
        <v>18900</v>
      </c>
      <c r="H174" s="21" t="s">
        <v>108</v>
      </c>
      <c r="I174" s="21" t="s">
        <v>15</v>
      </c>
      <c r="J174" s="21" t="s">
        <v>16</v>
      </c>
      <c r="K174" s="30"/>
      <c r="L174" s="25"/>
      <c r="M174" s="28">
        <v>1</v>
      </c>
      <c r="N174" s="25">
        <f t="shared" si="13"/>
        <v>18900</v>
      </c>
      <c r="O174" s="30"/>
      <c r="P174" s="25"/>
      <c r="Q174" s="28"/>
      <c r="R174" s="25"/>
    </row>
    <row r="175" spans="3:18" x14ac:dyDescent="0.25">
      <c r="C175" s="28" t="s">
        <v>255</v>
      </c>
      <c r="D175" t="s">
        <v>148</v>
      </c>
      <c r="E175" s="30">
        <v>1</v>
      </c>
      <c r="F175" s="39">
        <v>19500</v>
      </c>
      <c r="G175" s="41">
        <f t="shared" si="10"/>
        <v>19500</v>
      </c>
      <c r="H175" s="21" t="s">
        <v>108</v>
      </c>
      <c r="I175" s="21" t="s">
        <v>15</v>
      </c>
      <c r="J175" s="21" t="s">
        <v>16</v>
      </c>
      <c r="K175" s="30"/>
      <c r="L175" s="25"/>
      <c r="M175" s="28">
        <v>1</v>
      </c>
      <c r="N175" s="25">
        <f t="shared" si="13"/>
        <v>19500</v>
      </c>
      <c r="O175" s="30"/>
      <c r="P175" s="25"/>
      <c r="Q175" s="28"/>
      <c r="R175" s="25"/>
    </row>
    <row r="176" spans="3:18" x14ac:dyDescent="0.25">
      <c r="C176" s="28" t="s">
        <v>76</v>
      </c>
      <c r="D176" t="s">
        <v>151</v>
      </c>
      <c r="E176" s="30">
        <v>2</v>
      </c>
      <c r="F176" s="39">
        <v>3200</v>
      </c>
      <c r="G176" s="41">
        <f t="shared" si="10"/>
        <v>6400</v>
      </c>
      <c r="H176" s="21" t="s">
        <v>108</v>
      </c>
      <c r="I176" s="21" t="s">
        <v>15</v>
      </c>
      <c r="J176" s="21" t="s">
        <v>16</v>
      </c>
      <c r="K176" s="30"/>
      <c r="L176" s="25"/>
      <c r="M176" s="28">
        <v>2</v>
      </c>
      <c r="N176" s="25">
        <f t="shared" si="13"/>
        <v>6400</v>
      </c>
      <c r="O176" s="30"/>
      <c r="P176" s="25"/>
      <c r="Q176" s="28"/>
      <c r="R176" s="25"/>
    </row>
    <row r="177" spans="3:18" x14ac:dyDescent="0.25">
      <c r="C177" s="28" t="s">
        <v>77</v>
      </c>
      <c r="D177" t="s">
        <v>124</v>
      </c>
      <c r="E177" s="30">
        <v>20</v>
      </c>
      <c r="F177" s="39">
        <v>3200</v>
      </c>
      <c r="G177" s="41">
        <f t="shared" si="10"/>
        <v>64000</v>
      </c>
      <c r="H177" s="21" t="s">
        <v>108</v>
      </c>
      <c r="I177" s="21" t="s">
        <v>15</v>
      </c>
      <c r="J177" s="21" t="s">
        <v>16</v>
      </c>
      <c r="K177" s="30"/>
      <c r="L177" s="25"/>
      <c r="M177" s="28">
        <v>20</v>
      </c>
      <c r="N177" s="25">
        <f t="shared" si="13"/>
        <v>64000</v>
      </c>
      <c r="O177" s="30"/>
      <c r="P177" s="25"/>
      <c r="Q177" s="28"/>
      <c r="R177" s="25"/>
    </row>
    <row r="178" spans="3:18" x14ac:dyDescent="0.25">
      <c r="C178" s="28" t="s">
        <v>78</v>
      </c>
      <c r="D178" t="s">
        <v>124</v>
      </c>
      <c r="E178" s="30">
        <v>3</v>
      </c>
      <c r="F178" s="39">
        <v>2150</v>
      </c>
      <c r="G178" s="41">
        <f t="shared" si="10"/>
        <v>6450</v>
      </c>
      <c r="H178" s="21" t="s">
        <v>108</v>
      </c>
      <c r="I178" s="21" t="s">
        <v>15</v>
      </c>
      <c r="J178" s="21" t="s">
        <v>16</v>
      </c>
      <c r="K178" s="30"/>
      <c r="L178" s="25"/>
      <c r="M178" s="28">
        <v>3</v>
      </c>
      <c r="N178" s="25">
        <f t="shared" si="13"/>
        <v>6450</v>
      </c>
      <c r="O178" s="30"/>
      <c r="P178" s="25"/>
      <c r="Q178" s="28"/>
      <c r="R178" s="25"/>
    </row>
    <row r="179" spans="3:18" x14ac:dyDescent="0.25">
      <c r="C179" s="27" t="s">
        <v>79</v>
      </c>
      <c r="E179" s="27"/>
      <c r="F179" s="27"/>
      <c r="G179" s="41"/>
      <c r="H179" s="21"/>
      <c r="I179" s="21"/>
      <c r="J179" s="21"/>
      <c r="K179" s="27"/>
      <c r="L179" s="25"/>
      <c r="M179" s="27"/>
      <c r="N179" s="25"/>
      <c r="O179" s="27"/>
      <c r="P179" s="25"/>
      <c r="Q179" s="27"/>
      <c r="R179" s="25"/>
    </row>
    <row r="180" spans="3:18" x14ac:dyDescent="0.25">
      <c r="C180" s="28" t="s">
        <v>80</v>
      </c>
      <c r="D180" t="s">
        <v>260</v>
      </c>
      <c r="E180" s="30">
        <v>2</v>
      </c>
      <c r="F180" s="39">
        <v>19000</v>
      </c>
      <c r="G180" s="41">
        <f t="shared" si="10"/>
        <v>38000</v>
      </c>
      <c r="H180" s="21" t="s">
        <v>108</v>
      </c>
      <c r="I180" s="21" t="s">
        <v>15</v>
      </c>
      <c r="J180" s="21" t="s">
        <v>16</v>
      </c>
      <c r="K180" s="30"/>
      <c r="L180" s="25"/>
      <c r="M180" s="28">
        <v>2</v>
      </c>
      <c r="N180" s="25">
        <f t="shared" si="13"/>
        <v>38000</v>
      </c>
      <c r="O180" s="30"/>
      <c r="P180" s="25"/>
      <c r="Q180" s="28"/>
      <c r="R180" s="25"/>
    </row>
    <row r="181" spans="3:18" x14ac:dyDescent="0.25">
      <c r="C181" s="28" t="s">
        <v>81</v>
      </c>
      <c r="D181" t="s">
        <v>260</v>
      </c>
      <c r="E181" s="30">
        <v>2</v>
      </c>
      <c r="F181" s="39">
        <v>26000</v>
      </c>
      <c r="G181" s="41">
        <f t="shared" si="10"/>
        <v>52000</v>
      </c>
      <c r="H181" s="21" t="s">
        <v>108</v>
      </c>
      <c r="I181" s="21" t="s">
        <v>15</v>
      </c>
      <c r="J181" s="21" t="s">
        <v>16</v>
      </c>
      <c r="K181" s="30"/>
      <c r="L181" s="25"/>
      <c r="M181" s="28">
        <v>2</v>
      </c>
      <c r="N181" s="25">
        <f t="shared" si="13"/>
        <v>52000</v>
      </c>
      <c r="O181" s="30"/>
      <c r="P181" s="25"/>
      <c r="Q181" s="28"/>
      <c r="R181" s="25"/>
    </row>
    <row r="182" spans="3:18" x14ac:dyDescent="0.25">
      <c r="C182" s="28" t="s">
        <v>82</v>
      </c>
      <c r="D182" t="s">
        <v>260</v>
      </c>
      <c r="E182" s="30">
        <v>2</v>
      </c>
      <c r="F182" s="39">
        <v>26000</v>
      </c>
      <c r="G182" s="41">
        <f t="shared" si="10"/>
        <v>52000</v>
      </c>
      <c r="H182" s="21" t="s">
        <v>108</v>
      </c>
      <c r="I182" s="21" t="s">
        <v>15</v>
      </c>
      <c r="J182" s="21" t="s">
        <v>16</v>
      </c>
      <c r="K182" s="30"/>
      <c r="L182" s="25"/>
      <c r="M182" s="28">
        <v>2</v>
      </c>
      <c r="N182" s="25">
        <f t="shared" si="13"/>
        <v>52000</v>
      </c>
      <c r="O182" s="30"/>
      <c r="P182" s="25"/>
      <c r="Q182" s="28"/>
      <c r="R182" s="25"/>
    </row>
    <row r="183" spans="3:18" x14ac:dyDescent="0.25">
      <c r="C183" s="28" t="s">
        <v>83</v>
      </c>
      <c r="D183" t="s">
        <v>260</v>
      </c>
      <c r="E183" s="30">
        <v>2</v>
      </c>
      <c r="F183" s="39">
        <v>26000</v>
      </c>
      <c r="G183" s="41">
        <f t="shared" si="10"/>
        <v>52000</v>
      </c>
      <c r="H183" s="21" t="s">
        <v>108</v>
      </c>
      <c r="I183" s="21" t="s">
        <v>15</v>
      </c>
      <c r="J183" s="21" t="s">
        <v>16</v>
      </c>
      <c r="K183" s="30"/>
      <c r="L183" s="25"/>
      <c r="M183" s="28">
        <v>2</v>
      </c>
      <c r="N183" s="25">
        <f t="shared" si="13"/>
        <v>52000</v>
      </c>
      <c r="O183" s="30"/>
      <c r="P183" s="25"/>
      <c r="Q183" s="28"/>
      <c r="R183" s="25"/>
    </row>
    <row r="184" spans="3:18" x14ac:dyDescent="0.25">
      <c r="C184" s="28" t="s">
        <v>304</v>
      </c>
      <c r="D184" t="s">
        <v>260</v>
      </c>
      <c r="E184" s="30">
        <v>3</v>
      </c>
      <c r="F184" s="39">
        <v>8500</v>
      </c>
      <c r="G184" s="41">
        <f t="shared" si="10"/>
        <v>25500</v>
      </c>
      <c r="H184" s="21" t="s">
        <v>108</v>
      </c>
      <c r="I184" s="21" t="s">
        <v>15</v>
      </c>
      <c r="J184" s="21" t="s">
        <v>16</v>
      </c>
      <c r="K184" s="30"/>
      <c r="L184" s="25"/>
      <c r="M184" s="28">
        <v>3</v>
      </c>
      <c r="N184" s="25">
        <f t="shared" si="13"/>
        <v>25500</v>
      </c>
      <c r="O184" s="30"/>
      <c r="P184" s="25"/>
      <c r="Q184" s="28"/>
      <c r="R184" s="25"/>
    </row>
    <row r="185" spans="3:18" x14ac:dyDescent="0.25">
      <c r="C185" s="28" t="s">
        <v>303</v>
      </c>
      <c r="D185" t="s">
        <v>260</v>
      </c>
      <c r="E185" s="30">
        <v>3</v>
      </c>
      <c r="F185" s="39">
        <v>8500</v>
      </c>
      <c r="G185" s="41">
        <f t="shared" si="10"/>
        <v>25500</v>
      </c>
      <c r="H185" s="21" t="s">
        <v>108</v>
      </c>
      <c r="I185" s="21" t="s">
        <v>15</v>
      </c>
      <c r="J185" s="21" t="s">
        <v>16</v>
      </c>
      <c r="K185" s="30"/>
      <c r="L185" s="25"/>
      <c r="M185" s="28">
        <v>3</v>
      </c>
      <c r="N185" s="25">
        <f t="shared" si="13"/>
        <v>25500</v>
      </c>
      <c r="O185" s="30"/>
      <c r="P185" s="25"/>
      <c r="Q185" s="28"/>
      <c r="R185" s="25"/>
    </row>
    <row r="186" spans="3:18" x14ac:dyDescent="0.25">
      <c r="C186" s="28" t="s">
        <v>302</v>
      </c>
      <c r="D186" t="s">
        <v>260</v>
      </c>
      <c r="E186" s="30">
        <v>3</v>
      </c>
      <c r="F186" s="39">
        <v>8500</v>
      </c>
      <c r="G186" s="41">
        <f t="shared" si="10"/>
        <v>25500</v>
      </c>
      <c r="H186" s="21" t="s">
        <v>108</v>
      </c>
      <c r="I186" s="21" t="s">
        <v>15</v>
      </c>
      <c r="J186" s="21" t="s">
        <v>16</v>
      </c>
      <c r="K186" s="30"/>
      <c r="L186" s="25"/>
      <c r="M186" s="28">
        <v>3</v>
      </c>
      <c r="N186" s="25">
        <f t="shared" si="13"/>
        <v>25500</v>
      </c>
      <c r="O186" s="30"/>
      <c r="P186" s="25"/>
      <c r="Q186" s="28"/>
      <c r="R186" s="25"/>
    </row>
    <row r="187" spans="3:18" x14ac:dyDescent="0.25">
      <c r="C187" s="28" t="s">
        <v>162</v>
      </c>
      <c r="D187" t="s">
        <v>260</v>
      </c>
      <c r="E187" s="30">
        <v>3</v>
      </c>
      <c r="F187" s="39">
        <v>8500</v>
      </c>
      <c r="G187" s="41">
        <f t="shared" si="10"/>
        <v>25500</v>
      </c>
      <c r="H187" s="21" t="s">
        <v>108</v>
      </c>
      <c r="I187" s="21" t="s">
        <v>15</v>
      </c>
      <c r="J187" s="21" t="s">
        <v>16</v>
      </c>
      <c r="K187" s="30"/>
      <c r="L187" s="25"/>
      <c r="M187" s="28">
        <v>3</v>
      </c>
      <c r="N187" s="25">
        <f t="shared" si="13"/>
        <v>25500</v>
      </c>
      <c r="O187" s="30"/>
      <c r="P187" s="25"/>
      <c r="Q187" s="28"/>
      <c r="R187" s="25"/>
    </row>
    <row r="188" spans="3:18" x14ac:dyDescent="0.25">
      <c r="C188" s="28" t="s">
        <v>301</v>
      </c>
      <c r="D188" t="s">
        <v>260</v>
      </c>
      <c r="E188" s="30">
        <v>3</v>
      </c>
      <c r="F188" s="39">
        <v>8500</v>
      </c>
      <c r="G188" s="41">
        <f t="shared" si="10"/>
        <v>25500</v>
      </c>
      <c r="H188" s="21" t="s">
        <v>108</v>
      </c>
      <c r="I188" s="21" t="s">
        <v>15</v>
      </c>
      <c r="J188" s="21" t="s">
        <v>16</v>
      </c>
      <c r="K188" s="30"/>
      <c r="L188" s="25"/>
      <c r="M188" s="28">
        <v>3</v>
      </c>
      <c r="N188" s="25">
        <f t="shared" si="13"/>
        <v>25500</v>
      </c>
      <c r="O188" s="30"/>
      <c r="P188" s="25"/>
      <c r="Q188" s="28"/>
      <c r="R188" s="25"/>
    </row>
    <row r="189" spans="3:18" x14ac:dyDescent="0.25">
      <c r="C189" s="28" t="s">
        <v>163</v>
      </c>
      <c r="D189" t="s">
        <v>260</v>
      </c>
      <c r="E189" s="30">
        <v>3</v>
      </c>
      <c r="F189" s="39">
        <v>8500</v>
      </c>
      <c r="G189" s="41">
        <f t="shared" si="10"/>
        <v>25500</v>
      </c>
      <c r="H189" s="21" t="s">
        <v>108</v>
      </c>
      <c r="I189" s="21" t="s">
        <v>15</v>
      </c>
      <c r="J189" s="21" t="s">
        <v>16</v>
      </c>
      <c r="K189" s="30"/>
      <c r="L189" s="25"/>
      <c r="M189" s="28">
        <v>3</v>
      </c>
      <c r="N189" s="25">
        <f t="shared" si="13"/>
        <v>25500</v>
      </c>
      <c r="O189" s="30"/>
      <c r="P189" s="25"/>
      <c r="Q189" s="28"/>
      <c r="R189" s="25"/>
    </row>
    <row r="190" spans="3:18" x14ac:dyDescent="0.25">
      <c r="C190" s="28" t="s">
        <v>164</v>
      </c>
      <c r="D190" t="s">
        <v>260</v>
      </c>
      <c r="E190" s="30">
        <v>3</v>
      </c>
      <c r="F190" s="39">
        <v>8500</v>
      </c>
      <c r="G190" s="41">
        <f t="shared" si="10"/>
        <v>25500</v>
      </c>
      <c r="H190" s="21" t="s">
        <v>108</v>
      </c>
      <c r="I190" s="21" t="s">
        <v>15</v>
      </c>
      <c r="J190" s="21" t="s">
        <v>16</v>
      </c>
      <c r="K190" s="30"/>
      <c r="L190" s="25"/>
      <c r="M190" s="28">
        <v>3</v>
      </c>
      <c r="N190" s="25">
        <f t="shared" si="13"/>
        <v>25500</v>
      </c>
      <c r="O190" s="30"/>
      <c r="P190" s="25"/>
      <c r="Q190" s="28"/>
      <c r="R190" s="25"/>
    </row>
    <row r="191" spans="3:18" x14ac:dyDescent="0.25">
      <c r="C191" s="28" t="s">
        <v>300</v>
      </c>
      <c r="D191" t="s">
        <v>260</v>
      </c>
      <c r="E191" s="30">
        <v>3</v>
      </c>
      <c r="F191" s="39">
        <v>8500</v>
      </c>
      <c r="G191" s="41">
        <f t="shared" si="10"/>
        <v>25500</v>
      </c>
      <c r="H191" s="21" t="s">
        <v>108</v>
      </c>
      <c r="I191" s="21" t="s">
        <v>15</v>
      </c>
      <c r="J191" s="21" t="s">
        <v>16</v>
      </c>
      <c r="K191" s="30"/>
      <c r="L191" s="25"/>
      <c r="M191" s="28">
        <v>3</v>
      </c>
      <c r="N191" s="25">
        <f t="shared" si="13"/>
        <v>25500</v>
      </c>
      <c r="O191" s="30"/>
      <c r="P191" s="25"/>
      <c r="Q191" s="28"/>
      <c r="R191" s="25"/>
    </row>
    <row r="192" spans="3:18" x14ac:dyDescent="0.25">
      <c r="C192" s="28" t="s">
        <v>84</v>
      </c>
      <c r="D192" t="s">
        <v>124</v>
      </c>
      <c r="E192" s="30">
        <v>2</v>
      </c>
      <c r="F192" s="39">
        <v>23500</v>
      </c>
      <c r="G192" s="41">
        <f t="shared" si="10"/>
        <v>47000</v>
      </c>
      <c r="H192" s="21" t="s">
        <v>108</v>
      </c>
      <c r="I192" s="21" t="s">
        <v>15</v>
      </c>
      <c r="J192" s="21" t="s">
        <v>16</v>
      </c>
      <c r="K192" s="30"/>
      <c r="L192" s="25"/>
      <c r="M192" s="28">
        <v>2</v>
      </c>
      <c r="N192" s="25">
        <f t="shared" si="13"/>
        <v>47000</v>
      </c>
      <c r="O192" s="30"/>
      <c r="P192" s="25"/>
      <c r="Q192" s="28"/>
      <c r="R192" s="25"/>
    </row>
    <row r="193" spans="3:18" x14ac:dyDescent="0.25">
      <c r="C193" s="28" t="s">
        <v>262</v>
      </c>
      <c r="D193" t="s">
        <v>261</v>
      </c>
      <c r="E193" s="30">
        <v>20</v>
      </c>
      <c r="F193" s="35">
        <v>950</v>
      </c>
      <c r="G193" s="41">
        <f t="shared" si="10"/>
        <v>19000</v>
      </c>
      <c r="H193" s="21" t="s">
        <v>108</v>
      </c>
      <c r="I193" s="21" t="s">
        <v>15</v>
      </c>
      <c r="J193" s="21" t="s">
        <v>16</v>
      </c>
      <c r="K193" s="30">
        <v>10</v>
      </c>
      <c r="L193" s="25">
        <f t="shared" si="11"/>
        <v>9500</v>
      </c>
      <c r="M193" s="28"/>
      <c r="N193" s="25"/>
      <c r="O193" s="30">
        <v>10</v>
      </c>
      <c r="P193" s="25">
        <f t="shared" si="12"/>
        <v>9500</v>
      </c>
      <c r="Q193" s="28"/>
      <c r="R193" s="25"/>
    </row>
    <row r="194" spans="3:18" x14ac:dyDescent="0.25">
      <c r="C194" s="28" t="s">
        <v>299</v>
      </c>
      <c r="D194" t="s">
        <v>124</v>
      </c>
      <c r="E194" s="30">
        <v>4</v>
      </c>
      <c r="F194" s="35">
        <v>700</v>
      </c>
      <c r="G194" s="41">
        <f t="shared" si="10"/>
        <v>2800</v>
      </c>
      <c r="H194" s="21" t="s">
        <v>108</v>
      </c>
      <c r="I194" s="21" t="s">
        <v>15</v>
      </c>
      <c r="J194" s="21" t="s">
        <v>16</v>
      </c>
      <c r="K194" s="30">
        <v>2</v>
      </c>
      <c r="L194" s="25">
        <f t="shared" si="11"/>
        <v>1400</v>
      </c>
      <c r="M194" s="28"/>
      <c r="N194" s="25"/>
      <c r="O194" s="30">
        <v>2</v>
      </c>
      <c r="P194" s="25">
        <f t="shared" si="12"/>
        <v>1400</v>
      </c>
      <c r="Q194" s="28"/>
      <c r="R194" s="25"/>
    </row>
    <row r="195" spans="3:18" x14ac:dyDescent="0.25">
      <c r="C195" s="28" t="s">
        <v>263</v>
      </c>
      <c r="D195" t="s">
        <v>124</v>
      </c>
      <c r="E195" s="30">
        <v>10</v>
      </c>
      <c r="F195" s="35">
        <v>1200</v>
      </c>
      <c r="G195" s="41">
        <f t="shared" si="10"/>
        <v>12000</v>
      </c>
      <c r="H195" s="21" t="s">
        <v>108</v>
      </c>
      <c r="I195" s="21" t="s">
        <v>15</v>
      </c>
      <c r="J195" s="21" t="s">
        <v>16</v>
      </c>
      <c r="K195" s="30">
        <v>5</v>
      </c>
      <c r="L195" s="25">
        <f t="shared" si="11"/>
        <v>6000</v>
      </c>
      <c r="M195" s="28"/>
      <c r="N195" s="25"/>
      <c r="O195" s="30">
        <v>5</v>
      </c>
      <c r="P195" s="25">
        <f t="shared" si="12"/>
        <v>6000</v>
      </c>
      <c r="Q195" s="28"/>
      <c r="R195" s="25"/>
    </row>
    <row r="196" spans="3:18" x14ac:dyDescent="0.25">
      <c r="C196" s="28" t="s">
        <v>264</v>
      </c>
      <c r="D196" t="s">
        <v>126</v>
      </c>
      <c r="E196" s="30">
        <v>24</v>
      </c>
      <c r="F196" s="35">
        <v>350</v>
      </c>
      <c r="G196" s="41">
        <f t="shared" si="10"/>
        <v>8400</v>
      </c>
      <c r="H196" s="21" t="s">
        <v>108</v>
      </c>
      <c r="I196" s="21" t="s">
        <v>15</v>
      </c>
      <c r="J196" s="21" t="s">
        <v>16</v>
      </c>
      <c r="K196" s="30">
        <v>12</v>
      </c>
      <c r="L196" s="25">
        <f t="shared" si="11"/>
        <v>4200</v>
      </c>
      <c r="M196" s="28"/>
      <c r="N196" s="25"/>
      <c r="O196" s="30">
        <v>12</v>
      </c>
      <c r="P196" s="25">
        <f t="shared" si="12"/>
        <v>4200</v>
      </c>
      <c r="Q196" s="28"/>
      <c r="R196" s="25"/>
    </row>
    <row r="197" spans="3:18" x14ac:dyDescent="0.25">
      <c r="C197" s="28" t="s">
        <v>265</v>
      </c>
      <c r="D197" t="s">
        <v>126</v>
      </c>
      <c r="E197" s="30">
        <v>40</v>
      </c>
      <c r="F197" s="35">
        <v>250</v>
      </c>
      <c r="G197" s="41">
        <f t="shared" si="10"/>
        <v>10000</v>
      </c>
      <c r="H197" s="21" t="s">
        <v>108</v>
      </c>
      <c r="I197" s="21" t="s">
        <v>15</v>
      </c>
      <c r="J197" s="21" t="s">
        <v>16</v>
      </c>
      <c r="K197" s="30">
        <v>20</v>
      </c>
      <c r="L197" s="25">
        <f t="shared" si="11"/>
        <v>5000</v>
      </c>
      <c r="M197" s="28"/>
      <c r="N197" s="25"/>
      <c r="O197" s="30">
        <v>20</v>
      </c>
      <c r="P197" s="25">
        <f t="shared" si="12"/>
        <v>5000</v>
      </c>
      <c r="Q197" s="28"/>
      <c r="R197" s="25"/>
    </row>
    <row r="198" spans="3:18" x14ac:dyDescent="0.25">
      <c r="C198" s="27" t="s">
        <v>85</v>
      </c>
      <c r="E198" s="27"/>
      <c r="F198" s="33"/>
      <c r="G198" s="41"/>
      <c r="H198" s="21"/>
      <c r="I198" s="21"/>
      <c r="J198" s="21"/>
      <c r="K198" s="27"/>
      <c r="L198" s="25"/>
      <c r="M198" s="33"/>
      <c r="N198" s="25"/>
      <c r="O198" s="33"/>
      <c r="P198" s="25"/>
      <c r="Q198" s="33"/>
      <c r="R198" s="25"/>
    </row>
    <row r="199" spans="3:18" x14ac:dyDescent="0.25">
      <c r="C199" s="28" t="s">
        <v>86</v>
      </c>
      <c r="D199" t="s">
        <v>126</v>
      </c>
      <c r="E199" s="30">
        <v>6</v>
      </c>
      <c r="F199" s="37">
        <v>12000</v>
      </c>
      <c r="G199" s="41">
        <f t="shared" ref="G199:G252" si="14">E199*F199</f>
        <v>72000</v>
      </c>
      <c r="H199" s="21" t="s">
        <v>108</v>
      </c>
      <c r="I199" s="21" t="s">
        <v>15</v>
      </c>
      <c r="J199" s="21" t="s">
        <v>16</v>
      </c>
      <c r="K199" s="30"/>
      <c r="L199" s="25"/>
      <c r="M199" s="37">
        <v>3</v>
      </c>
      <c r="N199" s="25">
        <f t="shared" ref="N199:N252" si="15">F199*M199</f>
        <v>36000</v>
      </c>
      <c r="O199" s="32"/>
      <c r="P199" s="25"/>
      <c r="Q199" s="37">
        <v>3</v>
      </c>
      <c r="R199" s="25">
        <f t="shared" ref="R199:R242" si="16">F199*Q199</f>
        <v>36000</v>
      </c>
    </row>
    <row r="200" spans="3:18" x14ac:dyDescent="0.25">
      <c r="C200" s="28" t="s">
        <v>87</v>
      </c>
      <c r="D200" t="s">
        <v>126</v>
      </c>
      <c r="E200" s="30">
        <v>4</v>
      </c>
      <c r="F200" s="37">
        <v>10250</v>
      </c>
      <c r="G200" s="41">
        <f t="shared" si="14"/>
        <v>41000</v>
      </c>
      <c r="H200" s="21" t="s">
        <v>108</v>
      </c>
      <c r="I200" s="21" t="s">
        <v>15</v>
      </c>
      <c r="J200" s="21" t="s">
        <v>16</v>
      </c>
      <c r="K200" s="30"/>
      <c r="L200" s="25"/>
      <c r="M200" s="37">
        <v>2</v>
      </c>
      <c r="N200" s="25">
        <f t="shared" si="15"/>
        <v>20500</v>
      </c>
      <c r="O200" s="32"/>
      <c r="P200" s="25"/>
      <c r="Q200" s="37">
        <v>2</v>
      </c>
      <c r="R200" s="25">
        <f t="shared" si="16"/>
        <v>20500</v>
      </c>
    </row>
    <row r="201" spans="3:18" x14ac:dyDescent="0.25">
      <c r="C201" s="28" t="s">
        <v>266</v>
      </c>
      <c r="D201" t="s">
        <v>165</v>
      </c>
      <c r="E201" s="30">
        <v>14</v>
      </c>
      <c r="F201" s="37">
        <v>800</v>
      </c>
      <c r="G201" s="41">
        <f t="shared" si="14"/>
        <v>11200</v>
      </c>
      <c r="H201" s="21" t="s">
        <v>108</v>
      </c>
      <c r="I201" s="21" t="s">
        <v>15</v>
      </c>
      <c r="J201" s="21" t="s">
        <v>16</v>
      </c>
      <c r="K201" s="30"/>
      <c r="L201" s="25"/>
      <c r="M201" s="37">
        <v>7</v>
      </c>
      <c r="N201" s="25">
        <f t="shared" si="15"/>
        <v>5600</v>
      </c>
      <c r="O201" s="32"/>
      <c r="P201" s="25"/>
      <c r="Q201" s="37">
        <v>7</v>
      </c>
      <c r="R201" s="25">
        <f t="shared" si="16"/>
        <v>5600</v>
      </c>
    </row>
    <row r="202" spans="3:18" x14ac:dyDescent="0.25">
      <c r="C202" s="28" t="s">
        <v>298</v>
      </c>
      <c r="D202" t="s">
        <v>165</v>
      </c>
      <c r="E202" s="30">
        <v>12</v>
      </c>
      <c r="F202" s="37">
        <v>4000</v>
      </c>
      <c r="G202" s="41">
        <f t="shared" si="14"/>
        <v>48000</v>
      </c>
      <c r="H202" s="21" t="s">
        <v>108</v>
      </c>
      <c r="I202" s="21" t="s">
        <v>15</v>
      </c>
      <c r="J202" s="21" t="s">
        <v>16</v>
      </c>
      <c r="K202" s="30"/>
      <c r="L202" s="25"/>
      <c r="M202" s="37">
        <v>6</v>
      </c>
      <c r="N202" s="25">
        <f t="shared" si="15"/>
        <v>24000</v>
      </c>
      <c r="O202" s="32"/>
      <c r="P202" s="25"/>
      <c r="Q202" s="37">
        <v>6</v>
      </c>
      <c r="R202" s="25">
        <f t="shared" si="16"/>
        <v>24000</v>
      </c>
    </row>
    <row r="203" spans="3:18" x14ac:dyDescent="0.25">
      <c r="C203" s="28" t="s">
        <v>297</v>
      </c>
      <c r="D203" t="s">
        <v>125</v>
      </c>
      <c r="E203" s="30">
        <v>8</v>
      </c>
      <c r="F203" s="37">
        <v>600</v>
      </c>
      <c r="G203" s="41">
        <f t="shared" si="14"/>
        <v>4800</v>
      </c>
      <c r="H203" s="21" t="s">
        <v>108</v>
      </c>
      <c r="I203" s="21" t="s">
        <v>15</v>
      </c>
      <c r="J203" s="21" t="s">
        <v>16</v>
      </c>
      <c r="K203" s="30"/>
      <c r="L203" s="25"/>
      <c r="M203" s="37">
        <v>4</v>
      </c>
      <c r="N203" s="25">
        <f t="shared" si="15"/>
        <v>2400</v>
      </c>
      <c r="O203" s="32"/>
      <c r="P203" s="25"/>
      <c r="Q203" s="37">
        <v>4</v>
      </c>
      <c r="R203" s="25">
        <f t="shared" si="16"/>
        <v>2400</v>
      </c>
    </row>
    <row r="204" spans="3:18" x14ac:dyDescent="0.25">
      <c r="C204" s="28" t="s">
        <v>296</v>
      </c>
      <c r="D204" t="s">
        <v>125</v>
      </c>
      <c r="E204" s="30">
        <v>2</v>
      </c>
      <c r="F204" s="37">
        <v>720</v>
      </c>
      <c r="G204" s="41">
        <f t="shared" si="14"/>
        <v>1440</v>
      </c>
      <c r="H204" s="21" t="s">
        <v>108</v>
      </c>
      <c r="I204" s="21" t="s">
        <v>15</v>
      </c>
      <c r="J204" s="21" t="s">
        <v>16</v>
      </c>
      <c r="K204" s="30"/>
      <c r="L204" s="25"/>
      <c r="M204" s="37">
        <v>1</v>
      </c>
      <c r="N204" s="25">
        <f t="shared" si="15"/>
        <v>720</v>
      </c>
      <c r="O204" s="32"/>
      <c r="P204" s="25"/>
      <c r="Q204" s="37">
        <v>1</v>
      </c>
      <c r="R204" s="25">
        <f t="shared" si="16"/>
        <v>720</v>
      </c>
    </row>
    <row r="205" spans="3:18" x14ac:dyDescent="0.25">
      <c r="C205" s="28" t="s">
        <v>295</v>
      </c>
      <c r="D205" t="s">
        <v>125</v>
      </c>
      <c r="E205" s="30">
        <v>6</v>
      </c>
      <c r="F205" s="37">
        <v>1440</v>
      </c>
      <c r="G205" s="41">
        <f t="shared" si="14"/>
        <v>8640</v>
      </c>
      <c r="H205" s="21" t="s">
        <v>108</v>
      </c>
      <c r="I205" s="21" t="s">
        <v>15</v>
      </c>
      <c r="J205" s="21" t="s">
        <v>16</v>
      </c>
      <c r="K205" s="30"/>
      <c r="L205" s="25"/>
      <c r="M205" s="37">
        <v>3</v>
      </c>
      <c r="N205" s="25">
        <f t="shared" si="15"/>
        <v>4320</v>
      </c>
      <c r="O205" s="32"/>
      <c r="P205" s="25"/>
      <c r="Q205" s="37">
        <v>3</v>
      </c>
      <c r="R205" s="25">
        <f t="shared" si="16"/>
        <v>4320</v>
      </c>
    </row>
    <row r="206" spans="3:18" x14ac:dyDescent="0.25">
      <c r="C206" s="28" t="s">
        <v>294</v>
      </c>
      <c r="D206" t="s">
        <v>125</v>
      </c>
      <c r="E206" s="30">
        <v>6</v>
      </c>
      <c r="F206" s="37">
        <v>1440</v>
      </c>
      <c r="G206" s="41">
        <f t="shared" si="14"/>
        <v>8640</v>
      </c>
      <c r="H206" s="21" t="s">
        <v>108</v>
      </c>
      <c r="I206" s="21" t="s">
        <v>15</v>
      </c>
      <c r="J206" s="21" t="s">
        <v>16</v>
      </c>
      <c r="K206" s="30"/>
      <c r="L206" s="25"/>
      <c r="M206" s="37">
        <v>3</v>
      </c>
      <c r="N206" s="25">
        <f t="shared" si="15"/>
        <v>4320</v>
      </c>
      <c r="O206" s="32"/>
      <c r="P206" s="25"/>
      <c r="Q206" s="37">
        <v>3</v>
      </c>
      <c r="R206" s="25">
        <f t="shared" si="16"/>
        <v>4320</v>
      </c>
    </row>
    <row r="207" spans="3:18" x14ac:dyDescent="0.25">
      <c r="C207" s="28" t="s">
        <v>293</v>
      </c>
      <c r="D207" t="s">
        <v>124</v>
      </c>
      <c r="E207" s="30">
        <v>6</v>
      </c>
      <c r="F207" s="37">
        <v>700</v>
      </c>
      <c r="G207" s="41">
        <f t="shared" si="14"/>
        <v>4200</v>
      </c>
      <c r="H207" s="21" t="s">
        <v>108</v>
      </c>
      <c r="I207" s="21" t="s">
        <v>15</v>
      </c>
      <c r="J207" s="21" t="s">
        <v>16</v>
      </c>
      <c r="K207" s="30"/>
      <c r="L207" s="25"/>
      <c r="M207" s="37">
        <v>3</v>
      </c>
      <c r="N207" s="25">
        <f t="shared" si="15"/>
        <v>2100</v>
      </c>
      <c r="O207" s="32"/>
      <c r="P207" s="25"/>
      <c r="Q207" s="37">
        <v>3</v>
      </c>
      <c r="R207" s="25">
        <f t="shared" si="16"/>
        <v>2100</v>
      </c>
    </row>
    <row r="208" spans="3:18" x14ac:dyDescent="0.25">
      <c r="C208" s="28" t="s">
        <v>292</v>
      </c>
      <c r="D208" t="s">
        <v>125</v>
      </c>
      <c r="E208" s="30">
        <v>6</v>
      </c>
      <c r="F208" s="37">
        <v>180</v>
      </c>
      <c r="G208" s="41">
        <f t="shared" si="14"/>
        <v>1080</v>
      </c>
      <c r="H208" s="21" t="s">
        <v>108</v>
      </c>
      <c r="I208" s="21" t="s">
        <v>15</v>
      </c>
      <c r="J208" s="21" t="s">
        <v>16</v>
      </c>
      <c r="K208" s="30"/>
      <c r="L208" s="25"/>
      <c r="M208" s="37">
        <v>3</v>
      </c>
      <c r="N208" s="25">
        <f t="shared" si="15"/>
        <v>540</v>
      </c>
      <c r="O208" s="32"/>
      <c r="P208" s="25"/>
      <c r="Q208" s="37">
        <v>3</v>
      </c>
      <c r="R208" s="25">
        <f t="shared" si="16"/>
        <v>540</v>
      </c>
    </row>
    <row r="209" spans="3:18" x14ac:dyDescent="0.25">
      <c r="C209" s="28" t="s">
        <v>291</v>
      </c>
      <c r="D209" t="s">
        <v>125</v>
      </c>
      <c r="E209" s="30">
        <v>4</v>
      </c>
      <c r="F209" s="37">
        <v>700</v>
      </c>
      <c r="G209" s="41">
        <f t="shared" si="14"/>
        <v>2800</v>
      </c>
      <c r="H209" s="21" t="s">
        <v>108</v>
      </c>
      <c r="I209" s="21" t="s">
        <v>15</v>
      </c>
      <c r="J209" s="21" t="s">
        <v>16</v>
      </c>
      <c r="K209" s="30"/>
      <c r="L209" s="25"/>
      <c r="M209" s="37">
        <v>2</v>
      </c>
      <c r="N209" s="25">
        <f t="shared" si="15"/>
        <v>1400</v>
      </c>
      <c r="O209" s="32"/>
      <c r="P209" s="25"/>
      <c r="Q209" s="37">
        <v>2</v>
      </c>
      <c r="R209" s="25">
        <f t="shared" si="16"/>
        <v>1400</v>
      </c>
    </row>
    <row r="210" spans="3:18" x14ac:dyDescent="0.25">
      <c r="C210" s="28" t="s">
        <v>290</v>
      </c>
      <c r="D210" t="s">
        <v>124</v>
      </c>
      <c r="E210" s="30">
        <v>6</v>
      </c>
      <c r="F210" s="37">
        <v>350</v>
      </c>
      <c r="G210" s="41">
        <f t="shared" si="14"/>
        <v>2100</v>
      </c>
      <c r="H210" s="21" t="s">
        <v>108</v>
      </c>
      <c r="I210" s="21" t="s">
        <v>15</v>
      </c>
      <c r="J210" s="21" t="s">
        <v>16</v>
      </c>
      <c r="K210" s="30"/>
      <c r="L210" s="25"/>
      <c r="M210" s="37">
        <v>3</v>
      </c>
      <c r="N210" s="25">
        <f t="shared" si="15"/>
        <v>1050</v>
      </c>
      <c r="O210" s="32"/>
      <c r="P210" s="25"/>
      <c r="Q210" s="37">
        <v>3</v>
      </c>
      <c r="R210" s="25">
        <f t="shared" si="16"/>
        <v>1050</v>
      </c>
    </row>
    <row r="211" spans="3:18" x14ac:dyDescent="0.25">
      <c r="C211" s="28" t="s">
        <v>289</v>
      </c>
      <c r="D211" t="s">
        <v>124</v>
      </c>
      <c r="E211" s="30">
        <v>6</v>
      </c>
      <c r="F211" s="37">
        <v>300</v>
      </c>
      <c r="G211" s="41">
        <f t="shared" si="14"/>
        <v>1800</v>
      </c>
      <c r="H211" s="21" t="s">
        <v>108</v>
      </c>
      <c r="I211" s="21" t="s">
        <v>15</v>
      </c>
      <c r="J211" s="21" t="s">
        <v>16</v>
      </c>
      <c r="K211" s="30"/>
      <c r="L211" s="25"/>
      <c r="M211" s="37">
        <v>3</v>
      </c>
      <c r="N211" s="25">
        <f t="shared" si="15"/>
        <v>900</v>
      </c>
      <c r="O211" s="32"/>
      <c r="P211" s="25"/>
      <c r="Q211" s="37">
        <v>3</v>
      </c>
      <c r="R211" s="25">
        <f t="shared" si="16"/>
        <v>900</v>
      </c>
    </row>
    <row r="212" spans="3:18" x14ac:dyDescent="0.25">
      <c r="C212" s="28" t="s">
        <v>288</v>
      </c>
      <c r="D212" t="s">
        <v>124</v>
      </c>
      <c r="E212" s="30">
        <v>6</v>
      </c>
      <c r="F212" s="37">
        <v>500</v>
      </c>
      <c r="G212" s="41">
        <f t="shared" si="14"/>
        <v>3000</v>
      </c>
      <c r="H212" s="21" t="s">
        <v>108</v>
      </c>
      <c r="I212" s="21" t="s">
        <v>15</v>
      </c>
      <c r="J212" s="21" t="s">
        <v>16</v>
      </c>
      <c r="K212" s="30"/>
      <c r="L212" s="25"/>
      <c r="M212" s="37">
        <v>3</v>
      </c>
      <c r="N212" s="25">
        <f t="shared" si="15"/>
        <v>1500</v>
      </c>
      <c r="O212" s="32"/>
      <c r="P212" s="25"/>
      <c r="Q212" s="37">
        <v>3</v>
      </c>
      <c r="R212" s="25">
        <f t="shared" si="16"/>
        <v>1500</v>
      </c>
    </row>
    <row r="213" spans="3:18" x14ac:dyDescent="0.25">
      <c r="C213" s="28" t="s">
        <v>287</v>
      </c>
      <c r="D213" t="s">
        <v>126</v>
      </c>
      <c r="E213" s="30">
        <v>12</v>
      </c>
      <c r="F213" s="37">
        <v>250</v>
      </c>
      <c r="G213" s="41">
        <f t="shared" si="14"/>
        <v>3000</v>
      </c>
      <c r="H213" s="21" t="s">
        <v>108</v>
      </c>
      <c r="I213" s="21" t="s">
        <v>15</v>
      </c>
      <c r="J213" s="21" t="s">
        <v>16</v>
      </c>
      <c r="K213" s="30"/>
      <c r="L213" s="25"/>
      <c r="M213" s="37">
        <v>6</v>
      </c>
      <c r="N213" s="25">
        <f t="shared" si="15"/>
        <v>1500</v>
      </c>
      <c r="O213" s="32"/>
      <c r="P213" s="25"/>
      <c r="Q213" s="37">
        <v>6</v>
      </c>
      <c r="R213" s="25">
        <f t="shared" si="16"/>
        <v>1500</v>
      </c>
    </row>
    <row r="214" spans="3:18" x14ac:dyDescent="0.25">
      <c r="C214" s="28" t="s">
        <v>286</v>
      </c>
      <c r="D214" t="s">
        <v>124</v>
      </c>
      <c r="E214" s="30">
        <v>12</v>
      </c>
      <c r="F214" s="37">
        <v>400</v>
      </c>
      <c r="G214" s="41">
        <f t="shared" si="14"/>
        <v>4800</v>
      </c>
      <c r="H214" s="21" t="s">
        <v>108</v>
      </c>
      <c r="I214" s="21" t="s">
        <v>15</v>
      </c>
      <c r="J214" s="21" t="s">
        <v>16</v>
      </c>
      <c r="K214" s="30"/>
      <c r="L214" s="25"/>
      <c r="M214" s="37">
        <v>6</v>
      </c>
      <c r="N214" s="25">
        <f t="shared" si="15"/>
        <v>2400</v>
      </c>
      <c r="O214" s="32"/>
      <c r="P214" s="25"/>
      <c r="Q214" s="37">
        <v>6</v>
      </c>
      <c r="R214" s="25">
        <f t="shared" si="16"/>
        <v>2400</v>
      </c>
    </row>
    <row r="215" spans="3:18" x14ac:dyDescent="0.25">
      <c r="C215" s="28" t="s">
        <v>285</v>
      </c>
      <c r="D215" t="s">
        <v>125</v>
      </c>
      <c r="E215" s="30">
        <v>2</v>
      </c>
      <c r="F215" s="37">
        <v>840</v>
      </c>
      <c r="G215" s="41">
        <f t="shared" si="14"/>
        <v>1680</v>
      </c>
      <c r="H215" s="21" t="s">
        <v>108</v>
      </c>
      <c r="I215" s="21" t="s">
        <v>15</v>
      </c>
      <c r="J215" s="21" t="s">
        <v>16</v>
      </c>
      <c r="K215" s="30"/>
      <c r="L215" s="25"/>
      <c r="M215" s="37">
        <v>1</v>
      </c>
      <c r="N215" s="25">
        <f t="shared" si="15"/>
        <v>840</v>
      </c>
      <c r="O215" s="32"/>
      <c r="P215" s="25"/>
      <c r="Q215" s="37">
        <v>1</v>
      </c>
      <c r="R215" s="25">
        <f t="shared" si="16"/>
        <v>840</v>
      </c>
    </row>
    <row r="216" spans="3:18" x14ac:dyDescent="0.25">
      <c r="C216" s="28" t="s">
        <v>284</v>
      </c>
      <c r="D216" t="s">
        <v>125</v>
      </c>
      <c r="E216" s="30">
        <v>2</v>
      </c>
      <c r="F216" s="37">
        <v>750</v>
      </c>
      <c r="G216" s="41">
        <f t="shared" si="14"/>
        <v>1500</v>
      </c>
      <c r="H216" s="21" t="s">
        <v>108</v>
      </c>
      <c r="I216" s="21" t="s">
        <v>15</v>
      </c>
      <c r="J216" s="21" t="s">
        <v>16</v>
      </c>
      <c r="K216" s="30"/>
      <c r="L216" s="25"/>
      <c r="M216" s="37">
        <v>1</v>
      </c>
      <c r="N216" s="25">
        <f t="shared" si="15"/>
        <v>750</v>
      </c>
      <c r="O216" s="32"/>
      <c r="P216" s="25"/>
      <c r="Q216" s="37">
        <v>1</v>
      </c>
      <c r="R216" s="25">
        <f t="shared" si="16"/>
        <v>750</v>
      </c>
    </row>
    <row r="217" spans="3:18" x14ac:dyDescent="0.25">
      <c r="C217" s="28" t="s">
        <v>283</v>
      </c>
      <c r="D217" t="s">
        <v>124</v>
      </c>
      <c r="E217" s="30">
        <v>4</v>
      </c>
      <c r="F217" s="37">
        <v>550</v>
      </c>
      <c r="G217" s="41">
        <f t="shared" si="14"/>
        <v>2200</v>
      </c>
      <c r="H217" s="21" t="s">
        <v>108</v>
      </c>
      <c r="I217" s="21" t="s">
        <v>15</v>
      </c>
      <c r="J217" s="21" t="s">
        <v>16</v>
      </c>
      <c r="K217" s="30"/>
      <c r="L217" s="25"/>
      <c r="M217" s="37">
        <v>2</v>
      </c>
      <c r="N217" s="25">
        <f t="shared" si="15"/>
        <v>1100</v>
      </c>
      <c r="O217" s="32"/>
      <c r="P217" s="25"/>
      <c r="Q217" s="37">
        <v>2</v>
      </c>
      <c r="R217" s="25">
        <f t="shared" si="16"/>
        <v>1100</v>
      </c>
    </row>
    <row r="218" spans="3:18" x14ac:dyDescent="0.25">
      <c r="C218" s="28" t="s">
        <v>282</v>
      </c>
      <c r="D218" t="s">
        <v>124</v>
      </c>
      <c r="E218" s="30">
        <v>6</v>
      </c>
      <c r="F218" s="37">
        <v>350</v>
      </c>
      <c r="G218" s="41">
        <f t="shared" si="14"/>
        <v>2100</v>
      </c>
      <c r="H218" s="21" t="s">
        <v>108</v>
      </c>
      <c r="I218" s="21" t="s">
        <v>15</v>
      </c>
      <c r="J218" s="21" t="s">
        <v>16</v>
      </c>
      <c r="K218" s="30"/>
      <c r="L218" s="25"/>
      <c r="M218" s="37">
        <v>3</v>
      </c>
      <c r="N218" s="25">
        <f t="shared" si="15"/>
        <v>1050</v>
      </c>
      <c r="O218" s="32"/>
      <c r="P218" s="25"/>
      <c r="Q218" s="37">
        <v>3</v>
      </c>
      <c r="R218" s="25">
        <f t="shared" si="16"/>
        <v>1050</v>
      </c>
    </row>
    <row r="219" spans="3:18" x14ac:dyDescent="0.25">
      <c r="C219" s="28" t="s">
        <v>281</v>
      </c>
      <c r="D219" t="s">
        <v>124</v>
      </c>
      <c r="E219" s="30">
        <v>6</v>
      </c>
      <c r="F219" s="37">
        <v>240</v>
      </c>
      <c r="G219" s="41">
        <f t="shared" si="14"/>
        <v>1440</v>
      </c>
      <c r="H219" s="21" t="s">
        <v>108</v>
      </c>
      <c r="I219" s="21" t="s">
        <v>15</v>
      </c>
      <c r="J219" s="21" t="s">
        <v>16</v>
      </c>
      <c r="K219" s="30"/>
      <c r="L219" s="25"/>
      <c r="M219" s="37">
        <v>3</v>
      </c>
      <c r="N219" s="25">
        <f t="shared" si="15"/>
        <v>720</v>
      </c>
      <c r="O219" s="32"/>
      <c r="P219" s="25"/>
      <c r="Q219" s="37">
        <v>3</v>
      </c>
      <c r="R219" s="25">
        <f t="shared" si="16"/>
        <v>720</v>
      </c>
    </row>
    <row r="220" spans="3:18" x14ac:dyDescent="0.25">
      <c r="C220" s="28" t="s">
        <v>280</v>
      </c>
      <c r="D220" t="s">
        <v>165</v>
      </c>
      <c r="E220" s="30">
        <v>4</v>
      </c>
      <c r="F220" s="37">
        <v>600</v>
      </c>
      <c r="G220" s="41">
        <f t="shared" si="14"/>
        <v>2400</v>
      </c>
      <c r="H220" s="21" t="s">
        <v>108</v>
      </c>
      <c r="I220" s="21" t="s">
        <v>15</v>
      </c>
      <c r="J220" s="21" t="s">
        <v>16</v>
      </c>
      <c r="K220" s="30"/>
      <c r="L220" s="25"/>
      <c r="M220" s="37">
        <v>2</v>
      </c>
      <c r="N220" s="25">
        <f t="shared" si="15"/>
        <v>1200</v>
      </c>
      <c r="O220" s="32"/>
      <c r="P220" s="25"/>
      <c r="Q220" s="37">
        <v>2</v>
      </c>
      <c r="R220" s="25">
        <f t="shared" si="16"/>
        <v>1200</v>
      </c>
    </row>
    <row r="221" spans="3:18" x14ac:dyDescent="0.25">
      <c r="C221" s="28" t="s">
        <v>279</v>
      </c>
      <c r="D221" t="s">
        <v>124</v>
      </c>
      <c r="E221" s="30">
        <v>4</v>
      </c>
      <c r="F221" s="37">
        <v>350</v>
      </c>
      <c r="G221" s="41">
        <f t="shared" si="14"/>
        <v>1400</v>
      </c>
      <c r="H221" s="21" t="s">
        <v>108</v>
      </c>
      <c r="I221" s="21" t="s">
        <v>15</v>
      </c>
      <c r="J221" s="21" t="s">
        <v>16</v>
      </c>
      <c r="K221" s="30"/>
      <c r="L221" s="25"/>
      <c r="M221" s="37">
        <v>2</v>
      </c>
      <c r="N221" s="25">
        <f t="shared" si="15"/>
        <v>700</v>
      </c>
      <c r="O221" s="32"/>
      <c r="P221" s="25"/>
      <c r="Q221" s="37">
        <v>2</v>
      </c>
      <c r="R221" s="25">
        <f t="shared" si="16"/>
        <v>700</v>
      </c>
    </row>
    <row r="222" spans="3:18" x14ac:dyDescent="0.25">
      <c r="C222" s="28" t="s">
        <v>278</v>
      </c>
      <c r="D222" t="s">
        <v>124</v>
      </c>
      <c r="E222" s="30">
        <v>2</v>
      </c>
      <c r="F222" s="37">
        <v>350</v>
      </c>
      <c r="G222" s="41">
        <f t="shared" si="14"/>
        <v>700</v>
      </c>
      <c r="H222" s="21" t="s">
        <v>108</v>
      </c>
      <c r="I222" s="21" t="s">
        <v>15</v>
      </c>
      <c r="J222" s="21" t="s">
        <v>16</v>
      </c>
      <c r="K222" s="30"/>
      <c r="L222" s="25"/>
      <c r="M222" s="37">
        <v>1</v>
      </c>
      <c r="N222" s="25">
        <f t="shared" si="15"/>
        <v>350</v>
      </c>
      <c r="O222" s="32"/>
      <c r="P222" s="25"/>
      <c r="Q222" s="37">
        <v>1</v>
      </c>
      <c r="R222" s="25">
        <f t="shared" si="16"/>
        <v>350</v>
      </c>
    </row>
    <row r="223" spans="3:18" x14ac:dyDescent="0.25">
      <c r="C223" s="28" t="s">
        <v>277</v>
      </c>
      <c r="D223" t="s">
        <v>212</v>
      </c>
      <c r="E223" s="30">
        <v>10</v>
      </c>
      <c r="F223" s="37">
        <v>350</v>
      </c>
      <c r="G223" s="41">
        <f t="shared" si="14"/>
        <v>3500</v>
      </c>
      <c r="H223" s="21" t="s">
        <v>108</v>
      </c>
      <c r="I223" s="21" t="s">
        <v>15</v>
      </c>
      <c r="J223" s="21" t="s">
        <v>16</v>
      </c>
      <c r="K223" s="30"/>
      <c r="L223" s="25"/>
      <c r="M223" s="37">
        <v>5</v>
      </c>
      <c r="N223" s="25">
        <f t="shared" si="15"/>
        <v>1750</v>
      </c>
      <c r="O223" s="32"/>
      <c r="P223" s="25"/>
      <c r="Q223" s="37">
        <v>5</v>
      </c>
      <c r="R223" s="25">
        <f t="shared" si="16"/>
        <v>1750</v>
      </c>
    </row>
    <row r="224" spans="3:18" x14ac:dyDescent="0.25">
      <c r="C224" s="28" t="s">
        <v>276</v>
      </c>
      <c r="D224" t="s">
        <v>212</v>
      </c>
      <c r="E224" s="30">
        <v>12</v>
      </c>
      <c r="F224" s="37">
        <v>450</v>
      </c>
      <c r="G224" s="41">
        <f t="shared" si="14"/>
        <v>5400</v>
      </c>
      <c r="H224" s="21" t="s">
        <v>108</v>
      </c>
      <c r="I224" s="21" t="s">
        <v>15</v>
      </c>
      <c r="J224" s="21" t="s">
        <v>16</v>
      </c>
      <c r="K224" s="30"/>
      <c r="L224" s="25"/>
      <c r="M224" s="37">
        <v>6</v>
      </c>
      <c r="N224" s="25">
        <f t="shared" si="15"/>
        <v>2700</v>
      </c>
      <c r="O224" s="32"/>
      <c r="P224" s="25"/>
      <c r="Q224" s="37">
        <v>6</v>
      </c>
      <c r="R224" s="25">
        <f t="shared" si="16"/>
        <v>2700</v>
      </c>
    </row>
    <row r="225" spans="3:18" x14ac:dyDescent="0.25">
      <c r="C225" s="28" t="s">
        <v>275</v>
      </c>
      <c r="D225" t="s">
        <v>212</v>
      </c>
      <c r="E225" s="30">
        <v>10</v>
      </c>
      <c r="F225" s="37">
        <v>700</v>
      </c>
      <c r="G225" s="41">
        <f t="shared" si="14"/>
        <v>7000</v>
      </c>
      <c r="H225" s="21" t="s">
        <v>108</v>
      </c>
      <c r="I225" s="21" t="s">
        <v>15</v>
      </c>
      <c r="J225" s="21" t="s">
        <v>16</v>
      </c>
      <c r="K225" s="30"/>
      <c r="L225" s="25"/>
      <c r="M225" s="37">
        <v>5</v>
      </c>
      <c r="N225" s="25">
        <f t="shared" si="15"/>
        <v>3500</v>
      </c>
      <c r="O225" s="32"/>
      <c r="P225" s="25"/>
      <c r="Q225" s="37">
        <v>5</v>
      </c>
      <c r="R225" s="25">
        <f t="shared" si="16"/>
        <v>3500</v>
      </c>
    </row>
    <row r="226" spans="3:18" x14ac:dyDescent="0.25">
      <c r="C226" s="27" t="s">
        <v>88</v>
      </c>
      <c r="E226" s="27"/>
      <c r="F226" s="34"/>
      <c r="G226" s="41"/>
      <c r="H226" s="21"/>
      <c r="I226" s="21"/>
      <c r="J226" s="21"/>
      <c r="K226" s="27"/>
      <c r="L226" s="25"/>
      <c r="M226" s="34"/>
      <c r="N226" s="25"/>
      <c r="O226" s="34"/>
      <c r="P226" s="25"/>
      <c r="Q226" s="34"/>
      <c r="R226" s="25"/>
    </row>
    <row r="227" spans="3:18" x14ac:dyDescent="0.25">
      <c r="C227" s="28" t="s">
        <v>274</v>
      </c>
      <c r="D227" t="s">
        <v>267</v>
      </c>
      <c r="E227" s="30">
        <v>1200</v>
      </c>
      <c r="F227" s="35">
        <v>5400</v>
      </c>
      <c r="G227" s="41">
        <f t="shared" si="14"/>
        <v>6480000</v>
      </c>
      <c r="H227" s="21" t="s">
        <v>108</v>
      </c>
      <c r="I227" s="21" t="s">
        <v>15</v>
      </c>
      <c r="J227" s="21" t="s">
        <v>16</v>
      </c>
      <c r="K227" s="30">
        <v>300</v>
      </c>
      <c r="L227" s="25">
        <f t="shared" ref="L227:L242" si="17">F227*K227</f>
        <v>1620000</v>
      </c>
      <c r="M227" s="28">
        <v>300</v>
      </c>
      <c r="N227" s="25">
        <f t="shared" si="15"/>
        <v>1620000</v>
      </c>
      <c r="O227" s="30">
        <v>300</v>
      </c>
      <c r="P227" s="25">
        <f t="shared" ref="P227:P242" si="18">F227*O227</f>
        <v>1620000</v>
      </c>
      <c r="Q227" s="28">
        <v>300</v>
      </c>
      <c r="R227" s="25">
        <f t="shared" si="16"/>
        <v>1620000</v>
      </c>
    </row>
    <row r="228" spans="3:18" x14ac:dyDescent="0.25">
      <c r="C228" s="28" t="s">
        <v>89</v>
      </c>
      <c r="D228" t="s">
        <v>268</v>
      </c>
      <c r="E228" s="30">
        <v>48</v>
      </c>
      <c r="F228" s="35">
        <v>28200</v>
      </c>
      <c r="G228" s="41">
        <f t="shared" si="14"/>
        <v>1353600</v>
      </c>
      <c r="H228" s="21" t="s">
        <v>108</v>
      </c>
      <c r="I228" s="21" t="s">
        <v>15</v>
      </c>
      <c r="J228" s="21" t="s">
        <v>16</v>
      </c>
      <c r="K228" s="30">
        <v>12</v>
      </c>
      <c r="L228" s="25">
        <f t="shared" si="17"/>
        <v>338400</v>
      </c>
      <c r="M228" s="28">
        <v>12</v>
      </c>
      <c r="N228" s="25">
        <f t="shared" si="15"/>
        <v>338400</v>
      </c>
      <c r="O228" s="30">
        <v>12</v>
      </c>
      <c r="P228" s="25">
        <f t="shared" si="18"/>
        <v>338400</v>
      </c>
      <c r="Q228" s="28">
        <v>12</v>
      </c>
      <c r="R228" s="25">
        <f t="shared" si="16"/>
        <v>338400</v>
      </c>
    </row>
    <row r="229" spans="3:18" x14ac:dyDescent="0.25">
      <c r="C229" s="28" t="s">
        <v>273</v>
      </c>
      <c r="D229" t="s">
        <v>267</v>
      </c>
      <c r="E229" s="30">
        <v>120</v>
      </c>
      <c r="F229" s="35">
        <v>3800</v>
      </c>
      <c r="G229" s="41">
        <f t="shared" si="14"/>
        <v>456000</v>
      </c>
      <c r="H229" s="21" t="s">
        <v>108</v>
      </c>
      <c r="I229" s="21" t="s">
        <v>15</v>
      </c>
      <c r="J229" s="21" t="s">
        <v>16</v>
      </c>
      <c r="K229" s="30">
        <v>30</v>
      </c>
      <c r="L229" s="25">
        <f t="shared" si="17"/>
        <v>114000</v>
      </c>
      <c r="M229" s="28">
        <v>30</v>
      </c>
      <c r="N229" s="25">
        <f t="shared" si="15"/>
        <v>114000</v>
      </c>
      <c r="O229" s="30">
        <v>30</v>
      </c>
      <c r="P229" s="25">
        <f t="shared" si="18"/>
        <v>114000</v>
      </c>
      <c r="Q229" s="28">
        <v>30</v>
      </c>
      <c r="R229" s="25">
        <f t="shared" si="16"/>
        <v>114000</v>
      </c>
    </row>
    <row r="230" spans="3:18" x14ac:dyDescent="0.25">
      <c r="C230" s="27" t="s">
        <v>90</v>
      </c>
      <c r="E230" s="27"/>
      <c r="F230" s="33"/>
      <c r="G230" s="41"/>
      <c r="H230" s="21"/>
      <c r="I230" s="21"/>
      <c r="J230" s="21"/>
      <c r="K230" s="27"/>
      <c r="L230" s="25"/>
      <c r="M230" s="33"/>
      <c r="N230" s="25"/>
      <c r="O230" s="33"/>
      <c r="P230" s="25"/>
      <c r="Q230" s="33"/>
      <c r="R230" s="25"/>
    </row>
    <row r="231" spans="3:18" x14ac:dyDescent="0.25">
      <c r="C231" s="28" t="s">
        <v>91</v>
      </c>
      <c r="D231" t="s">
        <v>126</v>
      </c>
      <c r="E231" s="30">
        <v>3</v>
      </c>
      <c r="F231" s="37">
        <v>185000</v>
      </c>
      <c r="G231" s="41">
        <f t="shared" si="14"/>
        <v>555000</v>
      </c>
      <c r="H231" s="21" t="s">
        <v>108</v>
      </c>
      <c r="I231" s="21" t="s">
        <v>15</v>
      </c>
      <c r="J231" s="21" t="s">
        <v>16</v>
      </c>
      <c r="K231" s="30"/>
      <c r="L231" s="25"/>
      <c r="M231" s="37">
        <v>3</v>
      </c>
      <c r="N231" s="25">
        <f t="shared" si="15"/>
        <v>555000</v>
      </c>
      <c r="O231" s="32"/>
      <c r="P231" s="25"/>
      <c r="Q231" s="37"/>
      <c r="R231" s="25"/>
    </row>
    <row r="232" spans="3:18" x14ac:dyDescent="0.25">
      <c r="C232" s="28" t="s">
        <v>92</v>
      </c>
      <c r="D232" t="s">
        <v>126</v>
      </c>
      <c r="E232" s="30">
        <v>1</v>
      </c>
      <c r="F232" s="37">
        <v>2435600</v>
      </c>
      <c r="G232" s="41">
        <f t="shared" si="14"/>
        <v>2435600</v>
      </c>
      <c r="H232" s="21" t="s">
        <v>108</v>
      </c>
      <c r="I232" s="21" t="s">
        <v>15</v>
      </c>
      <c r="J232" s="21" t="s">
        <v>16</v>
      </c>
      <c r="K232" s="30"/>
      <c r="L232" s="25"/>
      <c r="M232" s="37">
        <v>1</v>
      </c>
      <c r="N232" s="25">
        <f t="shared" si="15"/>
        <v>2435600</v>
      </c>
      <c r="O232" s="32"/>
      <c r="P232" s="25"/>
      <c r="Q232" s="37"/>
      <c r="R232" s="25"/>
    </row>
    <row r="233" spans="3:18" x14ac:dyDescent="0.25">
      <c r="C233" s="28" t="s">
        <v>93</v>
      </c>
      <c r="D233" t="s">
        <v>126</v>
      </c>
      <c r="E233" s="30">
        <v>20</v>
      </c>
      <c r="F233" s="37">
        <v>28450</v>
      </c>
      <c r="G233" s="41">
        <f t="shared" si="14"/>
        <v>569000</v>
      </c>
      <c r="H233" s="21" t="s">
        <v>108</v>
      </c>
      <c r="I233" s="21" t="s">
        <v>15</v>
      </c>
      <c r="J233" s="21" t="s">
        <v>16</v>
      </c>
      <c r="K233" s="30"/>
      <c r="L233" s="25"/>
      <c r="M233" s="37">
        <v>20</v>
      </c>
      <c r="N233" s="25">
        <f t="shared" si="15"/>
        <v>569000</v>
      </c>
      <c r="O233" s="32"/>
      <c r="P233" s="25"/>
      <c r="Q233" s="37"/>
      <c r="R233" s="25"/>
    </row>
    <row r="234" spans="3:18" x14ac:dyDescent="0.25">
      <c r="C234" s="27" t="s">
        <v>94</v>
      </c>
      <c r="E234" s="27"/>
      <c r="F234" s="33"/>
      <c r="G234" s="41"/>
      <c r="H234" s="21"/>
      <c r="I234" s="21"/>
      <c r="J234" s="21"/>
      <c r="K234" s="27"/>
      <c r="L234" s="25"/>
      <c r="M234" s="33"/>
      <c r="N234" s="25"/>
      <c r="O234" s="33"/>
      <c r="P234" s="25"/>
      <c r="Q234" s="33"/>
      <c r="R234" s="25"/>
    </row>
    <row r="235" spans="3:18" x14ac:dyDescent="0.25">
      <c r="C235" s="28" t="s">
        <v>95</v>
      </c>
      <c r="D235" t="s">
        <v>126</v>
      </c>
      <c r="E235" s="30">
        <v>2</v>
      </c>
      <c r="F235" s="37">
        <v>120000</v>
      </c>
      <c r="G235" s="41">
        <f t="shared" si="14"/>
        <v>240000</v>
      </c>
      <c r="H235" s="21" t="s">
        <v>108</v>
      </c>
      <c r="I235" s="21" t="s">
        <v>15</v>
      </c>
      <c r="J235" s="21" t="s">
        <v>16</v>
      </c>
      <c r="K235" s="30" t="s">
        <v>107</v>
      </c>
      <c r="L235" s="25"/>
      <c r="M235" s="37">
        <v>1</v>
      </c>
      <c r="N235" s="25">
        <f t="shared" si="15"/>
        <v>120000</v>
      </c>
      <c r="O235" s="32"/>
      <c r="P235" s="25"/>
      <c r="Q235" s="37">
        <v>1</v>
      </c>
      <c r="R235" s="25">
        <f t="shared" si="16"/>
        <v>120000</v>
      </c>
    </row>
    <row r="236" spans="3:18" x14ac:dyDescent="0.25">
      <c r="C236" s="28" t="s">
        <v>272</v>
      </c>
      <c r="D236" t="s">
        <v>126</v>
      </c>
      <c r="E236" s="30">
        <v>2</v>
      </c>
      <c r="F236" s="37">
        <v>150000</v>
      </c>
      <c r="G236" s="41">
        <f t="shared" si="14"/>
        <v>300000</v>
      </c>
      <c r="H236" s="21" t="s">
        <v>108</v>
      </c>
      <c r="I236" s="21" t="s">
        <v>15</v>
      </c>
      <c r="J236" s="21" t="s">
        <v>16</v>
      </c>
      <c r="K236" s="30"/>
      <c r="L236" s="25"/>
      <c r="M236" s="37">
        <v>1</v>
      </c>
      <c r="N236" s="25">
        <f t="shared" si="15"/>
        <v>150000</v>
      </c>
      <c r="O236" s="32"/>
      <c r="P236" s="25"/>
      <c r="Q236" s="37">
        <v>1</v>
      </c>
      <c r="R236" s="25">
        <f t="shared" si="16"/>
        <v>150000</v>
      </c>
    </row>
    <row r="237" spans="3:18" x14ac:dyDescent="0.25">
      <c r="C237" s="27" t="s">
        <v>96</v>
      </c>
      <c r="E237" s="31"/>
      <c r="F237" s="36"/>
      <c r="G237" s="41"/>
      <c r="H237" s="21"/>
      <c r="I237" s="21"/>
      <c r="J237" s="21"/>
      <c r="K237" s="31"/>
      <c r="L237" s="25"/>
      <c r="M237" s="36"/>
      <c r="N237" s="25"/>
      <c r="O237" s="36"/>
      <c r="P237" s="25"/>
      <c r="Q237" s="36"/>
      <c r="R237" s="25"/>
    </row>
    <row r="238" spans="3:18" x14ac:dyDescent="0.25">
      <c r="C238" s="28" t="s">
        <v>96</v>
      </c>
      <c r="D238" t="s">
        <v>126</v>
      </c>
      <c r="E238" s="30">
        <v>2</v>
      </c>
      <c r="F238" s="32">
        <v>224000</v>
      </c>
      <c r="G238" s="41">
        <f t="shared" si="14"/>
        <v>448000</v>
      </c>
      <c r="H238" s="21" t="s">
        <v>108</v>
      </c>
      <c r="I238" s="21" t="s">
        <v>15</v>
      </c>
      <c r="J238" s="21" t="s">
        <v>16</v>
      </c>
      <c r="K238" s="30">
        <v>1</v>
      </c>
      <c r="L238" s="25">
        <f t="shared" si="17"/>
        <v>224000</v>
      </c>
      <c r="M238" s="37"/>
      <c r="N238" s="25">
        <f t="shared" si="15"/>
        <v>0</v>
      </c>
      <c r="O238" s="32">
        <v>1</v>
      </c>
      <c r="P238" s="25">
        <f t="shared" si="18"/>
        <v>224000</v>
      </c>
      <c r="Q238" s="37"/>
      <c r="R238" s="25"/>
    </row>
    <row r="239" spans="3:18" x14ac:dyDescent="0.25">
      <c r="C239" s="27" t="s">
        <v>97</v>
      </c>
      <c r="E239" s="27"/>
      <c r="F239" s="33"/>
      <c r="G239" s="41"/>
      <c r="H239" s="21"/>
      <c r="I239" s="21"/>
      <c r="J239" s="21"/>
      <c r="K239" s="27"/>
      <c r="L239" s="25"/>
      <c r="M239" s="33"/>
      <c r="N239" s="25"/>
      <c r="O239" s="33"/>
      <c r="P239" s="25"/>
      <c r="Q239" s="33"/>
      <c r="R239" s="25"/>
    </row>
    <row r="240" spans="3:18" x14ac:dyDescent="0.25">
      <c r="C240" s="28" t="s">
        <v>166</v>
      </c>
      <c r="D240" t="s">
        <v>254</v>
      </c>
      <c r="E240" s="28">
        <v>320</v>
      </c>
      <c r="F240" s="37">
        <v>450</v>
      </c>
      <c r="G240" s="41">
        <f t="shared" si="14"/>
        <v>144000</v>
      </c>
      <c r="H240" s="21" t="s">
        <v>108</v>
      </c>
      <c r="I240" s="21" t="s">
        <v>15</v>
      </c>
      <c r="J240" s="21" t="s">
        <v>16</v>
      </c>
      <c r="K240" s="28">
        <v>80</v>
      </c>
      <c r="L240" s="25">
        <f t="shared" si="17"/>
        <v>36000</v>
      </c>
      <c r="M240" s="37">
        <v>80</v>
      </c>
      <c r="N240" s="25">
        <f t="shared" si="15"/>
        <v>36000</v>
      </c>
      <c r="O240" s="32">
        <v>80</v>
      </c>
      <c r="P240" s="25">
        <f t="shared" si="18"/>
        <v>36000</v>
      </c>
      <c r="Q240" s="37">
        <v>80</v>
      </c>
      <c r="R240" s="25">
        <f t="shared" si="16"/>
        <v>36000</v>
      </c>
    </row>
    <row r="241" spans="3:19" x14ac:dyDescent="0.25">
      <c r="C241" s="28" t="s">
        <v>271</v>
      </c>
      <c r="D241" t="s">
        <v>267</v>
      </c>
      <c r="E241" s="28">
        <v>80</v>
      </c>
      <c r="F241" s="37">
        <v>450</v>
      </c>
      <c r="G241" s="41">
        <f t="shared" si="14"/>
        <v>36000</v>
      </c>
      <c r="H241" s="21" t="s">
        <v>108</v>
      </c>
      <c r="I241" s="21" t="s">
        <v>15</v>
      </c>
      <c r="J241" s="21" t="s">
        <v>16</v>
      </c>
      <c r="K241" s="28">
        <v>20</v>
      </c>
      <c r="L241" s="25">
        <f t="shared" si="17"/>
        <v>9000</v>
      </c>
      <c r="M241" s="37">
        <v>20</v>
      </c>
      <c r="N241" s="25">
        <f t="shared" si="15"/>
        <v>9000</v>
      </c>
      <c r="O241" s="32">
        <v>20</v>
      </c>
      <c r="P241" s="25">
        <f t="shared" si="18"/>
        <v>9000</v>
      </c>
      <c r="Q241" s="37">
        <v>20</v>
      </c>
      <c r="R241" s="25">
        <f t="shared" si="16"/>
        <v>9000</v>
      </c>
    </row>
    <row r="242" spans="3:19" x14ac:dyDescent="0.25">
      <c r="C242" s="28" t="s">
        <v>98</v>
      </c>
      <c r="D242" t="s">
        <v>160</v>
      </c>
      <c r="E242" s="28">
        <v>200</v>
      </c>
      <c r="F242" s="37">
        <v>350</v>
      </c>
      <c r="G242" s="41">
        <f t="shared" si="14"/>
        <v>70000</v>
      </c>
      <c r="H242" s="21" t="s">
        <v>108</v>
      </c>
      <c r="I242" s="21" t="s">
        <v>15</v>
      </c>
      <c r="J242" s="21" t="s">
        <v>16</v>
      </c>
      <c r="K242" s="28">
        <v>50</v>
      </c>
      <c r="L242" s="25">
        <f t="shared" si="17"/>
        <v>17500</v>
      </c>
      <c r="M242" s="28">
        <v>50</v>
      </c>
      <c r="N242" s="25">
        <f t="shared" si="15"/>
        <v>17500</v>
      </c>
      <c r="O242" s="30">
        <v>50</v>
      </c>
      <c r="P242" s="25">
        <f t="shared" si="18"/>
        <v>17500</v>
      </c>
      <c r="Q242" s="28">
        <v>50</v>
      </c>
      <c r="R242" s="25">
        <f t="shared" si="16"/>
        <v>17500</v>
      </c>
    </row>
    <row r="243" spans="3:19" x14ac:dyDescent="0.25">
      <c r="C243" s="27" t="s">
        <v>99</v>
      </c>
      <c r="E243" s="27"/>
      <c r="G243" s="41"/>
      <c r="H243" s="21"/>
      <c r="I243" s="21"/>
      <c r="J243" s="21"/>
      <c r="K243" s="27"/>
      <c r="M243" s="33"/>
      <c r="N243" s="25"/>
      <c r="O243" s="33"/>
      <c r="Q243" s="33"/>
      <c r="R243" s="25"/>
    </row>
    <row r="244" spans="3:19" x14ac:dyDescent="0.25">
      <c r="C244" s="28" t="s">
        <v>100</v>
      </c>
      <c r="D244" t="s">
        <v>126</v>
      </c>
      <c r="E244" s="30">
        <v>40</v>
      </c>
      <c r="F244" s="37">
        <v>5500</v>
      </c>
      <c r="G244" s="41">
        <f t="shared" si="14"/>
        <v>220000</v>
      </c>
      <c r="H244" s="21" t="s">
        <v>108</v>
      </c>
      <c r="I244" s="21" t="s">
        <v>15</v>
      </c>
      <c r="J244" s="21" t="s">
        <v>16</v>
      </c>
      <c r="K244" s="30"/>
      <c r="M244" s="37">
        <v>40</v>
      </c>
      <c r="N244" s="25">
        <f t="shared" si="15"/>
        <v>220000</v>
      </c>
      <c r="O244" s="32"/>
      <c r="Q244" s="37"/>
      <c r="R244" s="25"/>
    </row>
    <row r="245" spans="3:19" x14ac:dyDescent="0.25">
      <c r="C245" s="28" t="s">
        <v>101</v>
      </c>
      <c r="D245" t="s">
        <v>126</v>
      </c>
      <c r="E245" s="30">
        <v>40</v>
      </c>
      <c r="F245" s="37">
        <v>750</v>
      </c>
      <c r="G245" s="41">
        <f t="shared" si="14"/>
        <v>30000</v>
      </c>
      <c r="H245" s="21" t="s">
        <v>108</v>
      </c>
      <c r="I245" s="21" t="s">
        <v>15</v>
      </c>
      <c r="J245" s="21" t="s">
        <v>16</v>
      </c>
      <c r="K245" s="30"/>
      <c r="M245" s="37">
        <v>40</v>
      </c>
      <c r="N245" s="25">
        <f t="shared" si="15"/>
        <v>30000</v>
      </c>
      <c r="O245" s="32"/>
      <c r="Q245" s="37"/>
      <c r="R245" s="25"/>
    </row>
    <row r="246" spans="3:19" x14ac:dyDescent="0.25">
      <c r="C246" s="28" t="s">
        <v>102</v>
      </c>
      <c r="D246" t="s">
        <v>126</v>
      </c>
      <c r="E246" s="30">
        <v>30</v>
      </c>
      <c r="F246" s="37">
        <v>1400</v>
      </c>
      <c r="G246" s="41">
        <f t="shared" si="14"/>
        <v>42000</v>
      </c>
      <c r="H246" s="21" t="s">
        <v>108</v>
      </c>
      <c r="I246" s="21" t="s">
        <v>15</v>
      </c>
      <c r="J246" s="21" t="s">
        <v>16</v>
      </c>
      <c r="K246" s="30"/>
      <c r="M246" s="37">
        <v>30</v>
      </c>
      <c r="N246" s="25">
        <f t="shared" si="15"/>
        <v>42000</v>
      </c>
      <c r="O246" s="32"/>
      <c r="Q246" s="37"/>
      <c r="R246" s="25"/>
    </row>
    <row r="247" spans="3:19" x14ac:dyDescent="0.25">
      <c r="C247" s="28" t="s">
        <v>103</v>
      </c>
      <c r="D247" t="s">
        <v>126</v>
      </c>
      <c r="E247" s="30">
        <v>40</v>
      </c>
      <c r="F247" s="37">
        <v>1400</v>
      </c>
      <c r="G247" s="41">
        <f t="shared" si="14"/>
        <v>56000</v>
      </c>
      <c r="H247" s="21" t="s">
        <v>108</v>
      </c>
      <c r="I247" s="21" t="s">
        <v>15</v>
      </c>
      <c r="J247" s="21" t="s">
        <v>16</v>
      </c>
      <c r="K247" s="30"/>
      <c r="M247" s="37">
        <v>40</v>
      </c>
      <c r="N247" s="25">
        <f t="shared" si="15"/>
        <v>56000</v>
      </c>
      <c r="O247" s="32"/>
      <c r="Q247" s="37"/>
      <c r="R247" s="25"/>
    </row>
    <row r="248" spans="3:19" x14ac:dyDescent="0.25">
      <c r="C248" s="28" t="s">
        <v>104</v>
      </c>
      <c r="D248" t="s">
        <v>126</v>
      </c>
      <c r="E248" s="30">
        <v>14</v>
      </c>
      <c r="F248" s="37">
        <v>2400</v>
      </c>
      <c r="G248" s="41">
        <f t="shared" si="14"/>
        <v>33600</v>
      </c>
      <c r="H248" s="21" t="s">
        <v>108</v>
      </c>
      <c r="I248" s="21" t="s">
        <v>15</v>
      </c>
      <c r="J248" s="21" t="s">
        <v>16</v>
      </c>
      <c r="K248" s="30"/>
      <c r="M248" s="37">
        <v>14</v>
      </c>
      <c r="N248" s="25">
        <f t="shared" si="15"/>
        <v>33600</v>
      </c>
      <c r="O248" s="32"/>
      <c r="Q248" s="37"/>
      <c r="R248" s="25"/>
    </row>
    <row r="249" spans="3:19" x14ac:dyDescent="0.25">
      <c r="C249" s="28" t="s">
        <v>105</v>
      </c>
      <c r="D249" t="s">
        <v>126</v>
      </c>
      <c r="E249" s="30">
        <v>10</v>
      </c>
      <c r="F249" s="37">
        <v>1400</v>
      </c>
      <c r="G249" s="41">
        <f t="shared" si="14"/>
        <v>14000</v>
      </c>
      <c r="H249" s="21" t="s">
        <v>108</v>
      </c>
      <c r="I249" s="21" t="s">
        <v>15</v>
      </c>
      <c r="J249" s="21" t="s">
        <v>16</v>
      </c>
      <c r="K249" s="30"/>
      <c r="M249" s="37">
        <v>10</v>
      </c>
      <c r="N249" s="25">
        <f t="shared" si="15"/>
        <v>14000</v>
      </c>
      <c r="O249" s="32"/>
      <c r="Q249" s="37"/>
      <c r="R249" s="25"/>
    </row>
    <row r="250" spans="3:19" x14ac:dyDescent="0.25">
      <c r="C250" s="28" t="s">
        <v>270</v>
      </c>
      <c r="D250" t="s">
        <v>212</v>
      </c>
      <c r="E250" s="30">
        <v>60</v>
      </c>
      <c r="F250" s="37">
        <v>1400</v>
      </c>
      <c r="G250" s="41">
        <f t="shared" si="14"/>
        <v>84000</v>
      </c>
      <c r="H250" s="21" t="s">
        <v>108</v>
      </c>
      <c r="I250" s="21" t="s">
        <v>15</v>
      </c>
      <c r="J250" s="21" t="s">
        <v>16</v>
      </c>
      <c r="K250" s="30"/>
      <c r="M250" s="37">
        <v>60</v>
      </c>
      <c r="N250" s="25">
        <f t="shared" si="15"/>
        <v>84000</v>
      </c>
      <c r="O250" s="32"/>
      <c r="Q250" s="37"/>
      <c r="R250" s="25"/>
    </row>
    <row r="251" spans="3:19" x14ac:dyDescent="0.25">
      <c r="C251" s="28" t="s">
        <v>167</v>
      </c>
      <c r="D251" t="s">
        <v>212</v>
      </c>
      <c r="E251" s="30">
        <v>64</v>
      </c>
      <c r="F251" s="37">
        <v>3600</v>
      </c>
      <c r="G251" s="41">
        <f t="shared" si="14"/>
        <v>230400</v>
      </c>
      <c r="H251" s="21" t="s">
        <v>108</v>
      </c>
      <c r="I251" s="21" t="s">
        <v>15</v>
      </c>
      <c r="J251" s="21" t="s">
        <v>16</v>
      </c>
      <c r="K251" s="30"/>
      <c r="M251" s="37">
        <v>64</v>
      </c>
      <c r="N251" s="25">
        <f t="shared" si="15"/>
        <v>230400</v>
      </c>
      <c r="O251" s="32"/>
      <c r="Q251" s="37"/>
      <c r="R251" s="25"/>
    </row>
    <row r="252" spans="3:19" x14ac:dyDescent="0.25">
      <c r="C252" s="28" t="s">
        <v>269</v>
      </c>
      <c r="D252" t="s">
        <v>126</v>
      </c>
      <c r="E252" s="30">
        <v>64</v>
      </c>
      <c r="F252" s="37">
        <v>2400</v>
      </c>
      <c r="G252" s="41">
        <f t="shared" si="14"/>
        <v>153600</v>
      </c>
      <c r="H252" s="21" t="s">
        <v>108</v>
      </c>
      <c r="I252" s="21" t="s">
        <v>15</v>
      </c>
      <c r="J252" s="21" t="s">
        <v>16</v>
      </c>
      <c r="K252" s="30"/>
      <c r="M252" s="37">
        <v>64</v>
      </c>
      <c r="N252" s="25">
        <f t="shared" si="15"/>
        <v>153600</v>
      </c>
      <c r="O252" s="32"/>
      <c r="Q252" s="37"/>
      <c r="R252" s="25"/>
    </row>
    <row r="253" spans="3:19" x14ac:dyDescent="0.25">
      <c r="C253" s="29" t="s">
        <v>106</v>
      </c>
      <c r="G253" s="42">
        <f>SUM(G6:G252)</f>
        <v>20435905</v>
      </c>
      <c r="H253" s="42"/>
      <c r="I253" s="42"/>
      <c r="J253" s="42"/>
      <c r="K253" s="42"/>
      <c r="L253" s="42">
        <f t="shared" ref="L253:R253" si="19">SUM(L6:L252)</f>
        <v>4611555</v>
      </c>
      <c r="M253" s="42"/>
      <c r="N253" s="42">
        <f t="shared" si="19"/>
        <v>8531075</v>
      </c>
      <c r="O253" s="42"/>
      <c r="P253" s="42">
        <f t="shared" si="19"/>
        <v>3947995</v>
      </c>
      <c r="Q253" s="42"/>
      <c r="R253" s="42">
        <f t="shared" si="19"/>
        <v>3345280</v>
      </c>
      <c r="S253" s="42">
        <f>SUM(K253:R253)</f>
        <v>20435905</v>
      </c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4"/>
  <sheetViews>
    <sheetView topLeftCell="A199" zoomScale="130" zoomScaleNormal="130" workbookViewId="0">
      <selection activeCell="B16" sqref="B16"/>
    </sheetView>
  </sheetViews>
  <sheetFormatPr defaultRowHeight="15" x14ac:dyDescent="0.25"/>
  <cols>
    <col min="2" max="2" width="39" customWidth="1"/>
    <col min="6" max="6" width="13.42578125" customWidth="1"/>
    <col min="9" max="9" width="14.42578125" customWidth="1"/>
    <col min="11" max="11" width="14.28515625" customWidth="1"/>
    <col min="13" max="13" width="13.7109375" customWidth="1"/>
    <col min="15" max="15" width="13.85546875" customWidth="1"/>
    <col min="17" max="17" width="12.28515625" customWidth="1"/>
  </cols>
  <sheetData>
    <row r="1" spans="1:17" ht="27" x14ac:dyDescent="0.25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2" t="s">
        <v>5</v>
      </c>
      <c r="H1" s="2" t="s">
        <v>6</v>
      </c>
      <c r="I1" s="2" t="s">
        <v>7</v>
      </c>
      <c r="J1" s="56" t="s">
        <v>8</v>
      </c>
      <c r="K1" s="57"/>
      <c r="L1" s="57"/>
      <c r="M1" s="57"/>
      <c r="N1" s="57"/>
      <c r="O1" s="57"/>
      <c r="P1" s="57"/>
      <c r="Q1" s="58"/>
    </row>
    <row r="2" spans="1:17" x14ac:dyDescent="0.25">
      <c r="A2" s="6"/>
      <c r="B2" s="7"/>
      <c r="C2" s="7"/>
      <c r="D2" s="8"/>
      <c r="E2" s="9"/>
      <c r="F2" s="10"/>
      <c r="G2" s="7"/>
      <c r="H2" s="7"/>
      <c r="I2" s="7"/>
      <c r="J2" s="59" t="s">
        <v>9</v>
      </c>
      <c r="K2" s="59"/>
      <c r="L2" s="59" t="s">
        <v>10</v>
      </c>
      <c r="M2" s="59"/>
      <c r="N2" s="59" t="s">
        <v>11</v>
      </c>
      <c r="O2" s="59"/>
      <c r="P2" s="59" t="s">
        <v>12</v>
      </c>
      <c r="Q2" s="59"/>
    </row>
    <row r="3" spans="1:17" x14ac:dyDescent="0.25">
      <c r="A3" s="11"/>
      <c r="B3" s="11"/>
      <c r="C3" s="12"/>
      <c r="D3" s="13"/>
      <c r="E3" s="14"/>
      <c r="F3" s="15"/>
      <c r="G3" s="16"/>
      <c r="H3" s="16"/>
      <c r="I3" s="16"/>
      <c r="J3" s="17" t="s">
        <v>13</v>
      </c>
      <c r="K3" s="18" t="s">
        <v>14</v>
      </c>
      <c r="L3" s="19" t="s">
        <v>13</v>
      </c>
      <c r="M3" s="18" t="s">
        <v>14</v>
      </c>
      <c r="N3" s="19" t="s">
        <v>13</v>
      </c>
      <c r="O3" s="18" t="s">
        <v>14</v>
      </c>
      <c r="P3" s="19" t="s">
        <v>13</v>
      </c>
      <c r="Q3" s="18" t="s">
        <v>14</v>
      </c>
    </row>
    <row r="4" spans="1:17" x14ac:dyDescent="0.25">
      <c r="A4" s="44">
        <v>1</v>
      </c>
      <c r="B4" s="45" t="s">
        <v>109</v>
      </c>
      <c r="C4" s="46" t="s">
        <v>124</v>
      </c>
      <c r="D4" s="45">
        <v>12</v>
      </c>
      <c r="E4" s="47">
        <v>3100</v>
      </c>
      <c r="F4" s="48">
        <f>D4*E4</f>
        <v>37200</v>
      </c>
      <c r="G4" s="46" t="s">
        <v>108</v>
      </c>
      <c r="H4" s="46" t="s">
        <v>15</v>
      </c>
      <c r="I4" s="46" t="s">
        <v>16</v>
      </c>
      <c r="J4" s="45">
        <v>5</v>
      </c>
      <c r="K4" s="49">
        <f>E4*J4</f>
        <v>15500</v>
      </c>
      <c r="L4" s="47">
        <v>3</v>
      </c>
      <c r="M4" s="49">
        <f>E4*L4</f>
        <v>9300</v>
      </c>
      <c r="N4" s="47">
        <v>2</v>
      </c>
      <c r="O4" s="49">
        <f>E4*N4</f>
        <v>6200</v>
      </c>
      <c r="P4" s="47">
        <v>2</v>
      </c>
      <c r="Q4" s="49">
        <f>E4*P4</f>
        <v>6200</v>
      </c>
    </row>
    <row r="5" spans="1:17" x14ac:dyDescent="0.25">
      <c r="A5" s="44">
        <v>2</v>
      </c>
      <c r="B5" s="45" t="s">
        <v>114</v>
      </c>
      <c r="C5" s="46" t="s">
        <v>125</v>
      </c>
      <c r="D5" s="45">
        <v>12</v>
      </c>
      <c r="E5" s="47">
        <v>9600</v>
      </c>
      <c r="F5" s="48">
        <f t="shared" ref="F5:F60" si="0">D5*E5</f>
        <v>115200</v>
      </c>
      <c r="G5" s="46" t="s">
        <v>108</v>
      </c>
      <c r="H5" s="46" t="s">
        <v>15</v>
      </c>
      <c r="I5" s="46" t="s">
        <v>16</v>
      </c>
      <c r="J5" s="45">
        <v>5</v>
      </c>
      <c r="K5" s="49">
        <f t="shared" ref="K5:K60" si="1">E5*J5</f>
        <v>48000</v>
      </c>
      <c r="L5" s="47">
        <v>3</v>
      </c>
      <c r="M5" s="49">
        <f t="shared" ref="M5:M59" si="2">E5*L5</f>
        <v>28800</v>
      </c>
      <c r="N5" s="47">
        <v>2</v>
      </c>
      <c r="O5" s="49">
        <f t="shared" ref="O5:O60" si="3">E5*N5</f>
        <v>19200</v>
      </c>
      <c r="P5" s="47">
        <v>2</v>
      </c>
      <c r="Q5" s="49">
        <f t="shared" ref="Q5:Q59" si="4">E5*P5</f>
        <v>19200</v>
      </c>
    </row>
    <row r="6" spans="1:17" x14ac:dyDescent="0.25">
      <c r="A6" s="44">
        <v>3</v>
      </c>
      <c r="B6" s="45" t="s">
        <v>115</v>
      </c>
      <c r="C6" s="46" t="s">
        <v>125</v>
      </c>
      <c r="D6" s="45">
        <v>12</v>
      </c>
      <c r="E6" s="47">
        <v>9600</v>
      </c>
      <c r="F6" s="48">
        <f t="shared" si="0"/>
        <v>115200</v>
      </c>
      <c r="G6" s="46" t="s">
        <v>108</v>
      </c>
      <c r="H6" s="46" t="s">
        <v>15</v>
      </c>
      <c r="I6" s="46" t="s">
        <v>16</v>
      </c>
      <c r="J6" s="45">
        <v>5</v>
      </c>
      <c r="K6" s="49">
        <f t="shared" si="1"/>
        <v>48000</v>
      </c>
      <c r="L6" s="47">
        <v>3</v>
      </c>
      <c r="M6" s="49">
        <f t="shared" si="2"/>
        <v>28800</v>
      </c>
      <c r="N6" s="47">
        <v>2</v>
      </c>
      <c r="O6" s="49">
        <f t="shared" si="3"/>
        <v>19200</v>
      </c>
      <c r="P6" s="47">
        <v>2</v>
      </c>
      <c r="Q6" s="49">
        <f t="shared" si="4"/>
        <v>19200</v>
      </c>
    </row>
    <row r="7" spans="1:17" x14ac:dyDescent="0.25">
      <c r="A7" s="44">
        <v>4</v>
      </c>
      <c r="B7" s="45" t="s">
        <v>116</v>
      </c>
      <c r="C7" s="46" t="s">
        <v>125</v>
      </c>
      <c r="D7" s="45">
        <v>6</v>
      </c>
      <c r="E7" s="47">
        <v>9600</v>
      </c>
      <c r="F7" s="48">
        <f t="shared" si="0"/>
        <v>57600</v>
      </c>
      <c r="G7" s="46" t="s">
        <v>108</v>
      </c>
      <c r="H7" s="46" t="s">
        <v>15</v>
      </c>
      <c r="I7" s="46" t="s">
        <v>16</v>
      </c>
      <c r="J7" s="45">
        <v>3</v>
      </c>
      <c r="K7" s="49">
        <f t="shared" si="1"/>
        <v>28800</v>
      </c>
      <c r="L7" s="50">
        <v>1</v>
      </c>
      <c r="M7" s="49">
        <f t="shared" si="2"/>
        <v>9600</v>
      </c>
      <c r="N7" s="47">
        <v>1</v>
      </c>
      <c r="O7" s="49">
        <f t="shared" si="3"/>
        <v>9600</v>
      </c>
      <c r="P7" s="47">
        <v>1</v>
      </c>
      <c r="Q7" s="49">
        <f t="shared" si="4"/>
        <v>9600</v>
      </c>
    </row>
    <row r="8" spans="1:17" x14ac:dyDescent="0.25">
      <c r="A8" s="44">
        <v>5</v>
      </c>
      <c r="B8" s="45" t="s">
        <v>117</v>
      </c>
      <c r="C8" s="46" t="s">
        <v>110</v>
      </c>
      <c r="D8" s="45">
        <v>10</v>
      </c>
      <c r="E8" s="47">
        <v>12000</v>
      </c>
      <c r="F8" s="48">
        <f t="shared" si="0"/>
        <v>120000</v>
      </c>
      <c r="G8" s="46" t="s">
        <v>108</v>
      </c>
      <c r="H8" s="46" t="s">
        <v>15</v>
      </c>
      <c r="I8" s="46" t="s">
        <v>16</v>
      </c>
      <c r="J8" s="45">
        <v>3</v>
      </c>
      <c r="K8" s="49">
        <f t="shared" si="1"/>
        <v>36000</v>
      </c>
      <c r="L8" s="47">
        <v>3</v>
      </c>
      <c r="M8" s="49">
        <f t="shared" si="2"/>
        <v>36000</v>
      </c>
      <c r="N8" s="47">
        <v>2</v>
      </c>
      <c r="O8" s="49">
        <f t="shared" si="3"/>
        <v>24000</v>
      </c>
      <c r="P8" s="47">
        <v>2</v>
      </c>
      <c r="Q8" s="49">
        <f t="shared" si="4"/>
        <v>24000</v>
      </c>
    </row>
    <row r="9" spans="1:17" x14ac:dyDescent="0.25">
      <c r="A9" s="44">
        <v>6</v>
      </c>
      <c r="B9" s="45" t="s">
        <v>118</v>
      </c>
      <c r="C9" s="46" t="s">
        <v>111</v>
      </c>
      <c r="D9" s="45">
        <v>160</v>
      </c>
      <c r="E9" s="47">
        <v>2500</v>
      </c>
      <c r="F9" s="48">
        <f t="shared" si="0"/>
        <v>400000</v>
      </c>
      <c r="G9" s="46" t="s">
        <v>108</v>
      </c>
      <c r="H9" s="46" t="s">
        <v>15</v>
      </c>
      <c r="I9" s="46" t="s">
        <v>16</v>
      </c>
      <c r="J9" s="45">
        <v>40</v>
      </c>
      <c r="K9" s="49">
        <f t="shared" si="1"/>
        <v>100000</v>
      </c>
      <c r="L9" s="47">
        <v>40</v>
      </c>
      <c r="M9" s="49">
        <f t="shared" si="2"/>
        <v>100000</v>
      </c>
      <c r="N9" s="47">
        <v>40</v>
      </c>
      <c r="O9" s="49">
        <f t="shared" si="3"/>
        <v>100000</v>
      </c>
      <c r="P9" s="47">
        <v>40</v>
      </c>
      <c r="Q9" s="49">
        <f t="shared" si="4"/>
        <v>100000</v>
      </c>
    </row>
    <row r="10" spans="1:17" x14ac:dyDescent="0.25">
      <c r="A10" s="44">
        <v>7</v>
      </c>
      <c r="B10" s="45" t="s">
        <v>119</v>
      </c>
      <c r="C10" s="46" t="s">
        <v>112</v>
      </c>
      <c r="D10" s="45">
        <v>6</v>
      </c>
      <c r="E10" s="47">
        <v>5800</v>
      </c>
      <c r="F10" s="48">
        <f t="shared" si="0"/>
        <v>34800</v>
      </c>
      <c r="G10" s="46" t="s">
        <v>108</v>
      </c>
      <c r="H10" s="46" t="s">
        <v>15</v>
      </c>
      <c r="I10" s="46" t="s">
        <v>16</v>
      </c>
      <c r="J10" s="45">
        <v>3</v>
      </c>
      <c r="K10" s="49">
        <f t="shared" si="1"/>
        <v>17400</v>
      </c>
      <c r="L10" s="47">
        <v>2</v>
      </c>
      <c r="M10" s="49">
        <f t="shared" si="2"/>
        <v>11600</v>
      </c>
      <c r="N10" s="47">
        <v>1</v>
      </c>
      <c r="O10" s="49">
        <f t="shared" si="3"/>
        <v>5800</v>
      </c>
      <c r="P10" s="47"/>
      <c r="Q10" s="49"/>
    </row>
    <row r="11" spans="1:17" x14ac:dyDescent="0.25">
      <c r="A11" s="44">
        <v>8</v>
      </c>
      <c r="B11" s="45" t="s">
        <v>120</v>
      </c>
      <c r="C11" s="46" t="s">
        <v>113</v>
      </c>
      <c r="D11" s="45">
        <v>5</v>
      </c>
      <c r="E11" s="47">
        <v>2400</v>
      </c>
      <c r="F11" s="48">
        <f t="shared" si="0"/>
        <v>12000</v>
      </c>
      <c r="G11" s="46" t="s">
        <v>108</v>
      </c>
      <c r="H11" s="46" t="s">
        <v>15</v>
      </c>
      <c r="I11" s="46" t="s">
        <v>16</v>
      </c>
      <c r="J11" s="45">
        <v>2</v>
      </c>
      <c r="K11" s="49">
        <f t="shared" si="1"/>
        <v>4800</v>
      </c>
      <c r="L11" s="47">
        <v>1</v>
      </c>
      <c r="M11" s="49">
        <f t="shared" si="2"/>
        <v>2400</v>
      </c>
      <c r="N11" s="47">
        <v>1</v>
      </c>
      <c r="O11" s="49">
        <f t="shared" si="3"/>
        <v>2400</v>
      </c>
      <c r="P11" s="47">
        <v>1</v>
      </c>
      <c r="Q11" s="49">
        <f t="shared" si="4"/>
        <v>2400</v>
      </c>
    </row>
    <row r="12" spans="1:17" x14ac:dyDescent="0.25">
      <c r="A12" s="44">
        <v>9</v>
      </c>
      <c r="B12" s="45" t="s">
        <v>121</v>
      </c>
      <c r="C12" s="46" t="s">
        <v>124</v>
      </c>
      <c r="D12" s="45">
        <v>240</v>
      </c>
      <c r="E12" s="47">
        <v>1200</v>
      </c>
      <c r="F12" s="48">
        <f t="shared" si="0"/>
        <v>288000</v>
      </c>
      <c r="G12" s="46" t="s">
        <v>108</v>
      </c>
      <c r="H12" s="46" t="s">
        <v>15</v>
      </c>
      <c r="I12" s="46" t="s">
        <v>16</v>
      </c>
      <c r="J12" s="45">
        <v>60</v>
      </c>
      <c r="K12" s="49">
        <f t="shared" si="1"/>
        <v>72000</v>
      </c>
      <c r="L12" s="47">
        <v>60</v>
      </c>
      <c r="M12" s="49">
        <f t="shared" si="2"/>
        <v>72000</v>
      </c>
      <c r="N12" s="47">
        <v>60</v>
      </c>
      <c r="O12" s="49">
        <f t="shared" si="3"/>
        <v>72000</v>
      </c>
      <c r="P12" s="47">
        <v>60</v>
      </c>
      <c r="Q12" s="49">
        <f t="shared" si="4"/>
        <v>72000</v>
      </c>
    </row>
    <row r="13" spans="1:17" x14ac:dyDescent="0.25">
      <c r="A13" s="44">
        <v>10</v>
      </c>
      <c r="B13" s="45" t="s">
        <v>122</v>
      </c>
      <c r="C13" s="46" t="s">
        <v>124</v>
      </c>
      <c r="D13" s="45">
        <v>80</v>
      </c>
      <c r="E13" s="47">
        <v>1200</v>
      </c>
      <c r="F13" s="48">
        <f t="shared" si="0"/>
        <v>96000</v>
      </c>
      <c r="G13" s="46" t="s">
        <v>108</v>
      </c>
      <c r="H13" s="46" t="s">
        <v>15</v>
      </c>
      <c r="I13" s="46" t="s">
        <v>16</v>
      </c>
      <c r="J13" s="45">
        <v>20</v>
      </c>
      <c r="K13" s="49">
        <f t="shared" si="1"/>
        <v>24000</v>
      </c>
      <c r="L13" s="47">
        <v>20</v>
      </c>
      <c r="M13" s="49">
        <f t="shared" si="2"/>
        <v>24000</v>
      </c>
      <c r="N13" s="47">
        <v>20</v>
      </c>
      <c r="O13" s="49">
        <f t="shared" si="3"/>
        <v>24000</v>
      </c>
      <c r="P13" s="47">
        <v>20</v>
      </c>
      <c r="Q13" s="49">
        <f t="shared" si="4"/>
        <v>24000</v>
      </c>
    </row>
    <row r="14" spans="1:17" x14ac:dyDescent="0.25">
      <c r="A14" s="44">
        <v>11</v>
      </c>
      <c r="B14" s="45" t="s">
        <v>123</v>
      </c>
      <c r="C14" s="46" t="s">
        <v>124</v>
      </c>
      <c r="D14" s="45">
        <v>240</v>
      </c>
      <c r="E14" s="47">
        <v>550</v>
      </c>
      <c r="F14" s="48">
        <f t="shared" si="0"/>
        <v>132000</v>
      </c>
      <c r="G14" s="46" t="s">
        <v>108</v>
      </c>
      <c r="H14" s="46" t="s">
        <v>15</v>
      </c>
      <c r="I14" s="46" t="s">
        <v>16</v>
      </c>
      <c r="J14" s="45">
        <v>60</v>
      </c>
      <c r="K14" s="49">
        <f t="shared" si="1"/>
        <v>33000</v>
      </c>
      <c r="L14" s="47">
        <v>60</v>
      </c>
      <c r="M14" s="49">
        <f t="shared" si="2"/>
        <v>33000</v>
      </c>
      <c r="N14" s="47">
        <v>60</v>
      </c>
      <c r="O14" s="49">
        <f t="shared" si="3"/>
        <v>33000</v>
      </c>
      <c r="P14" s="47">
        <v>60</v>
      </c>
      <c r="Q14" s="49">
        <f t="shared" si="4"/>
        <v>33000</v>
      </c>
    </row>
    <row r="15" spans="1:17" x14ac:dyDescent="0.25">
      <c r="A15" s="44">
        <v>12</v>
      </c>
      <c r="B15" s="45" t="s">
        <v>19</v>
      </c>
      <c r="C15" s="46" t="s">
        <v>124</v>
      </c>
      <c r="D15" s="45">
        <v>40</v>
      </c>
      <c r="E15" s="47">
        <v>2450</v>
      </c>
      <c r="F15" s="48">
        <f t="shared" si="0"/>
        <v>98000</v>
      </c>
      <c r="G15" s="46" t="s">
        <v>108</v>
      </c>
      <c r="H15" s="46" t="s">
        <v>15</v>
      </c>
      <c r="I15" s="46" t="s">
        <v>16</v>
      </c>
      <c r="J15" s="45">
        <v>20</v>
      </c>
      <c r="K15" s="49">
        <f t="shared" si="1"/>
        <v>49000</v>
      </c>
      <c r="L15" s="47">
        <v>10</v>
      </c>
      <c r="M15" s="49">
        <f t="shared" si="2"/>
        <v>24500</v>
      </c>
      <c r="N15" s="47">
        <v>5</v>
      </c>
      <c r="O15" s="49">
        <f t="shared" si="3"/>
        <v>12250</v>
      </c>
      <c r="P15" s="47">
        <v>5</v>
      </c>
      <c r="Q15" s="49">
        <f t="shared" si="4"/>
        <v>12250</v>
      </c>
    </row>
    <row r="16" spans="1:17" x14ac:dyDescent="0.25">
      <c r="A16" s="44">
        <v>13</v>
      </c>
      <c r="B16" s="45" t="s">
        <v>21</v>
      </c>
      <c r="C16" s="46" t="s">
        <v>126</v>
      </c>
      <c r="D16" s="45">
        <v>5</v>
      </c>
      <c r="E16" s="47">
        <v>33000</v>
      </c>
      <c r="F16" s="48">
        <f t="shared" si="0"/>
        <v>165000</v>
      </c>
      <c r="G16" s="46" t="s">
        <v>108</v>
      </c>
      <c r="H16" s="46" t="s">
        <v>15</v>
      </c>
      <c r="I16" s="46" t="s">
        <v>16</v>
      </c>
      <c r="J16" s="45">
        <v>2</v>
      </c>
      <c r="K16" s="49">
        <f t="shared" si="1"/>
        <v>66000</v>
      </c>
      <c r="L16" s="47">
        <v>1</v>
      </c>
      <c r="M16" s="49">
        <f t="shared" si="2"/>
        <v>33000</v>
      </c>
      <c r="N16" s="47">
        <v>1</v>
      </c>
      <c r="O16" s="49">
        <f t="shared" si="3"/>
        <v>33000</v>
      </c>
      <c r="P16" s="47">
        <v>1</v>
      </c>
      <c r="Q16" s="49">
        <f t="shared" si="4"/>
        <v>33000</v>
      </c>
    </row>
    <row r="17" spans="1:17" x14ac:dyDescent="0.25">
      <c r="A17" s="44">
        <v>14</v>
      </c>
      <c r="B17" s="45" t="s">
        <v>22</v>
      </c>
      <c r="C17" s="46" t="s">
        <v>126</v>
      </c>
      <c r="D17" s="45">
        <v>5</v>
      </c>
      <c r="E17" s="47">
        <v>2500</v>
      </c>
      <c r="F17" s="48">
        <f t="shared" si="0"/>
        <v>12500</v>
      </c>
      <c r="G17" s="46" t="s">
        <v>108</v>
      </c>
      <c r="H17" s="46" t="s">
        <v>15</v>
      </c>
      <c r="I17" s="46" t="s">
        <v>16</v>
      </c>
      <c r="J17" s="45">
        <v>2</v>
      </c>
      <c r="K17" s="49">
        <f t="shared" si="1"/>
        <v>5000</v>
      </c>
      <c r="L17" s="47">
        <v>1</v>
      </c>
      <c r="M17" s="49">
        <f t="shared" si="2"/>
        <v>2500</v>
      </c>
      <c r="N17" s="47">
        <v>1</v>
      </c>
      <c r="O17" s="49">
        <f t="shared" si="3"/>
        <v>2500</v>
      </c>
      <c r="P17" s="47">
        <v>1</v>
      </c>
      <c r="Q17" s="49">
        <f t="shared" si="4"/>
        <v>2500</v>
      </c>
    </row>
    <row r="18" spans="1:17" x14ac:dyDescent="0.25">
      <c r="A18" s="44">
        <v>15</v>
      </c>
      <c r="B18" s="45" t="s">
        <v>23</v>
      </c>
      <c r="C18" s="46" t="s">
        <v>126</v>
      </c>
      <c r="D18" s="45">
        <v>9</v>
      </c>
      <c r="E18" s="47">
        <v>5000</v>
      </c>
      <c r="F18" s="48">
        <f t="shared" si="0"/>
        <v>45000</v>
      </c>
      <c r="G18" s="46" t="s">
        <v>108</v>
      </c>
      <c r="H18" s="46" t="s">
        <v>15</v>
      </c>
      <c r="I18" s="46" t="s">
        <v>16</v>
      </c>
      <c r="J18" s="45">
        <v>4</v>
      </c>
      <c r="K18" s="49">
        <f t="shared" si="1"/>
        <v>20000</v>
      </c>
      <c r="L18" s="47">
        <v>1</v>
      </c>
      <c r="M18" s="49">
        <f t="shared" si="2"/>
        <v>5000</v>
      </c>
      <c r="N18" s="47">
        <v>2</v>
      </c>
      <c r="O18" s="49">
        <f t="shared" si="3"/>
        <v>10000</v>
      </c>
      <c r="P18" s="47">
        <v>2</v>
      </c>
      <c r="Q18" s="49">
        <f t="shared" si="4"/>
        <v>10000</v>
      </c>
    </row>
    <row r="19" spans="1:17" x14ac:dyDescent="0.25">
      <c r="A19" s="44">
        <v>16</v>
      </c>
      <c r="B19" s="45" t="s">
        <v>127</v>
      </c>
      <c r="C19" s="46" t="s">
        <v>124</v>
      </c>
      <c r="D19" s="45">
        <v>25</v>
      </c>
      <c r="E19" s="47">
        <v>700</v>
      </c>
      <c r="F19" s="48">
        <f t="shared" si="0"/>
        <v>17500</v>
      </c>
      <c r="G19" s="46" t="s">
        <v>108</v>
      </c>
      <c r="H19" s="46" t="s">
        <v>15</v>
      </c>
      <c r="I19" s="46" t="s">
        <v>16</v>
      </c>
      <c r="J19" s="45">
        <v>10</v>
      </c>
      <c r="K19" s="49">
        <f t="shared" si="1"/>
        <v>7000</v>
      </c>
      <c r="L19" s="47">
        <v>5</v>
      </c>
      <c r="M19" s="49">
        <f t="shared" si="2"/>
        <v>3500</v>
      </c>
      <c r="N19" s="47">
        <v>5</v>
      </c>
      <c r="O19" s="49">
        <f t="shared" si="3"/>
        <v>3500</v>
      </c>
      <c r="P19" s="47">
        <v>5</v>
      </c>
      <c r="Q19" s="49">
        <f t="shared" si="4"/>
        <v>3500</v>
      </c>
    </row>
    <row r="20" spans="1:17" x14ac:dyDescent="0.25">
      <c r="A20" s="44">
        <v>17</v>
      </c>
      <c r="B20" s="45" t="s">
        <v>128</v>
      </c>
      <c r="C20" s="46" t="s">
        <v>124</v>
      </c>
      <c r="D20" s="45">
        <v>25</v>
      </c>
      <c r="E20" s="47">
        <v>400</v>
      </c>
      <c r="F20" s="48">
        <f t="shared" si="0"/>
        <v>10000</v>
      </c>
      <c r="G20" s="46" t="s">
        <v>108</v>
      </c>
      <c r="H20" s="46" t="s">
        <v>15</v>
      </c>
      <c r="I20" s="46" t="s">
        <v>16</v>
      </c>
      <c r="J20" s="45">
        <v>10</v>
      </c>
      <c r="K20" s="49">
        <f t="shared" si="1"/>
        <v>4000</v>
      </c>
      <c r="L20" s="47">
        <v>5</v>
      </c>
      <c r="M20" s="49">
        <f t="shared" si="2"/>
        <v>2000</v>
      </c>
      <c r="N20" s="47">
        <v>5</v>
      </c>
      <c r="O20" s="49">
        <f t="shared" si="3"/>
        <v>2000</v>
      </c>
      <c r="P20" s="47">
        <v>5</v>
      </c>
      <c r="Q20" s="49">
        <f t="shared" si="4"/>
        <v>2000</v>
      </c>
    </row>
    <row r="21" spans="1:17" x14ac:dyDescent="0.25">
      <c r="A21" s="44">
        <v>18</v>
      </c>
      <c r="B21" s="45" t="s">
        <v>129</v>
      </c>
      <c r="C21" s="46" t="s">
        <v>124</v>
      </c>
      <c r="D21" s="45">
        <v>25</v>
      </c>
      <c r="E21" s="47">
        <v>400</v>
      </c>
      <c r="F21" s="48">
        <f t="shared" si="0"/>
        <v>10000</v>
      </c>
      <c r="G21" s="46" t="s">
        <v>108</v>
      </c>
      <c r="H21" s="46" t="s">
        <v>15</v>
      </c>
      <c r="I21" s="46" t="s">
        <v>16</v>
      </c>
      <c r="J21" s="45">
        <v>10</v>
      </c>
      <c r="K21" s="49">
        <f t="shared" si="1"/>
        <v>4000</v>
      </c>
      <c r="L21" s="47">
        <v>5</v>
      </c>
      <c r="M21" s="49">
        <f t="shared" si="2"/>
        <v>2000</v>
      </c>
      <c r="N21" s="47">
        <v>5</v>
      </c>
      <c r="O21" s="49">
        <f t="shared" si="3"/>
        <v>2000</v>
      </c>
      <c r="P21" s="47">
        <v>5</v>
      </c>
      <c r="Q21" s="49">
        <f t="shared" si="4"/>
        <v>2000</v>
      </c>
    </row>
    <row r="22" spans="1:17" x14ac:dyDescent="0.25">
      <c r="A22" s="44">
        <v>19</v>
      </c>
      <c r="B22" s="45" t="s">
        <v>130</v>
      </c>
      <c r="C22" s="46" t="s">
        <v>124</v>
      </c>
      <c r="D22" s="45">
        <v>15</v>
      </c>
      <c r="E22" s="47">
        <v>2400</v>
      </c>
      <c r="F22" s="48">
        <f t="shared" si="0"/>
        <v>36000</v>
      </c>
      <c r="G22" s="46" t="s">
        <v>108</v>
      </c>
      <c r="H22" s="46" t="s">
        <v>15</v>
      </c>
      <c r="I22" s="46" t="s">
        <v>16</v>
      </c>
      <c r="J22" s="45">
        <v>5</v>
      </c>
      <c r="K22" s="49">
        <f t="shared" si="1"/>
        <v>12000</v>
      </c>
      <c r="L22" s="47"/>
      <c r="M22" s="49">
        <f t="shared" si="2"/>
        <v>0</v>
      </c>
      <c r="N22" s="47">
        <v>5</v>
      </c>
      <c r="O22" s="49">
        <f t="shared" si="3"/>
        <v>12000</v>
      </c>
      <c r="P22" s="47">
        <v>5</v>
      </c>
      <c r="Q22" s="49">
        <f t="shared" si="4"/>
        <v>12000</v>
      </c>
    </row>
    <row r="23" spans="1:17" x14ac:dyDescent="0.25">
      <c r="A23" s="44">
        <v>20</v>
      </c>
      <c r="B23" s="45" t="s">
        <v>132</v>
      </c>
      <c r="C23" s="46" t="s">
        <v>124</v>
      </c>
      <c r="D23" s="45">
        <v>20</v>
      </c>
      <c r="E23" s="47">
        <v>450</v>
      </c>
      <c r="F23" s="48">
        <f t="shared" si="0"/>
        <v>9000</v>
      </c>
      <c r="G23" s="46" t="s">
        <v>108</v>
      </c>
      <c r="H23" s="46" t="s">
        <v>15</v>
      </c>
      <c r="I23" s="46" t="s">
        <v>16</v>
      </c>
      <c r="J23" s="45">
        <v>5</v>
      </c>
      <c r="K23" s="49">
        <f t="shared" si="1"/>
        <v>2250</v>
      </c>
      <c r="L23" s="47">
        <v>5</v>
      </c>
      <c r="M23" s="49">
        <f t="shared" si="2"/>
        <v>2250</v>
      </c>
      <c r="N23" s="47">
        <v>5</v>
      </c>
      <c r="O23" s="49">
        <f t="shared" si="3"/>
        <v>2250</v>
      </c>
      <c r="P23" s="47">
        <v>5</v>
      </c>
      <c r="Q23" s="49">
        <f t="shared" si="4"/>
        <v>2250</v>
      </c>
    </row>
    <row r="24" spans="1:17" x14ac:dyDescent="0.25">
      <c r="A24" s="44">
        <v>21</v>
      </c>
      <c r="B24" s="45" t="s">
        <v>131</v>
      </c>
      <c r="C24" s="46" t="s">
        <v>126</v>
      </c>
      <c r="D24" s="45">
        <v>80</v>
      </c>
      <c r="E24" s="47">
        <v>400</v>
      </c>
      <c r="F24" s="48">
        <f t="shared" si="0"/>
        <v>32000</v>
      </c>
      <c r="G24" s="46" t="s">
        <v>108</v>
      </c>
      <c r="H24" s="46" t="s">
        <v>15</v>
      </c>
      <c r="I24" s="46" t="s">
        <v>16</v>
      </c>
      <c r="J24" s="45">
        <v>20</v>
      </c>
      <c r="K24" s="49">
        <f t="shared" si="1"/>
        <v>8000</v>
      </c>
      <c r="L24" s="47">
        <v>20</v>
      </c>
      <c r="M24" s="49">
        <f t="shared" si="2"/>
        <v>8000</v>
      </c>
      <c r="N24" s="47">
        <v>20</v>
      </c>
      <c r="O24" s="49">
        <f t="shared" si="3"/>
        <v>8000</v>
      </c>
      <c r="P24" s="47">
        <v>20</v>
      </c>
      <c r="Q24" s="49">
        <f t="shared" si="4"/>
        <v>8000</v>
      </c>
    </row>
    <row r="25" spans="1:17" x14ac:dyDescent="0.25">
      <c r="A25" s="44">
        <v>22</v>
      </c>
      <c r="B25" s="45" t="s">
        <v>134</v>
      </c>
      <c r="C25" s="46" t="s">
        <v>124</v>
      </c>
      <c r="D25" s="45">
        <v>25</v>
      </c>
      <c r="E25" s="47">
        <v>2400</v>
      </c>
      <c r="F25" s="48">
        <f t="shared" si="0"/>
        <v>60000</v>
      </c>
      <c r="G25" s="46" t="s">
        <v>108</v>
      </c>
      <c r="H25" s="46" t="s">
        <v>15</v>
      </c>
      <c r="I25" s="46" t="s">
        <v>16</v>
      </c>
      <c r="J25" s="45">
        <v>10</v>
      </c>
      <c r="K25" s="49">
        <f t="shared" si="1"/>
        <v>24000</v>
      </c>
      <c r="L25" s="47">
        <v>5</v>
      </c>
      <c r="M25" s="49">
        <f t="shared" si="2"/>
        <v>12000</v>
      </c>
      <c r="N25" s="47">
        <v>5</v>
      </c>
      <c r="O25" s="49">
        <f t="shared" si="3"/>
        <v>12000</v>
      </c>
      <c r="P25" s="47">
        <v>5</v>
      </c>
      <c r="Q25" s="49">
        <f t="shared" si="4"/>
        <v>12000</v>
      </c>
    </row>
    <row r="26" spans="1:17" x14ac:dyDescent="0.25">
      <c r="A26" s="44">
        <v>23</v>
      </c>
      <c r="B26" s="45" t="s">
        <v>133</v>
      </c>
      <c r="C26" s="46" t="s">
        <v>124</v>
      </c>
      <c r="D26" s="45">
        <v>25</v>
      </c>
      <c r="E26" s="47">
        <v>700</v>
      </c>
      <c r="F26" s="48">
        <f t="shared" si="0"/>
        <v>17500</v>
      </c>
      <c r="G26" s="46" t="s">
        <v>108</v>
      </c>
      <c r="H26" s="46" t="s">
        <v>15</v>
      </c>
      <c r="I26" s="46" t="s">
        <v>16</v>
      </c>
      <c r="J26" s="45">
        <v>10</v>
      </c>
      <c r="K26" s="49">
        <f t="shared" si="1"/>
        <v>7000</v>
      </c>
      <c r="L26" s="47">
        <v>5</v>
      </c>
      <c r="M26" s="49">
        <f t="shared" si="2"/>
        <v>3500</v>
      </c>
      <c r="N26" s="47">
        <v>5</v>
      </c>
      <c r="O26" s="49">
        <f t="shared" si="3"/>
        <v>3500</v>
      </c>
      <c r="P26" s="47">
        <v>5</v>
      </c>
      <c r="Q26" s="49">
        <f t="shared" si="4"/>
        <v>3500</v>
      </c>
    </row>
    <row r="27" spans="1:17" x14ac:dyDescent="0.25">
      <c r="A27" s="44">
        <v>24</v>
      </c>
      <c r="B27" s="45" t="s">
        <v>135</v>
      </c>
      <c r="C27" s="46" t="s">
        <v>124</v>
      </c>
      <c r="D27" s="45">
        <v>25</v>
      </c>
      <c r="E27" s="47">
        <v>690</v>
      </c>
      <c r="F27" s="48">
        <f t="shared" si="0"/>
        <v>17250</v>
      </c>
      <c r="G27" s="46" t="s">
        <v>108</v>
      </c>
      <c r="H27" s="46" t="s">
        <v>15</v>
      </c>
      <c r="I27" s="46" t="s">
        <v>16</v>
      </c>
      <c r="J27" s="45">
        <v>10</v>
      </c>
      <c r="K27" s="49">
        <f t="shared" si="1"/>
        <v>6900</v>
      </c>
      <c r="L27" s="47">
        <v>5</v>
      </c>
      <c r="M27" s="49">
        <f t="shared" si="2"/>
        <v>3450</v>
      </c>
      <c r="N27" s="47">
        <v>5</v>
      </c>
      <c r="O27" s="49">
        <f t="shared" si="3"/>
        <v>3450</v>
      </c>
      <c r="P27" s="47">
        <v>5</v>
      </c>
      <c r="Q27" s="49">
        <f t="shared" si="4"/>
        <v>3450</v>
      </c>
    </row>
    <row r="28" spans="1:17" x14ac:dyDescent="0.25">
      <c r="A28" s="44">
        <v>25</v>
      </c>
      <c r="B28" s="45" t="s">
        <v>136</v>
      </c>
      <c r="C28" s="46" t="s">
        <v>124</v>
      </c>
      <c r="D28" s="45">
        <v>30</v>
      </c>
      <c r="E28" s="47">
        <v>900</v>
      </c>
      <c r="F28" s="48">
        <f t="shared" si="0"/>
        <v>27000</v>
      </c>
      <c r="G28" s="46" t="s">
        <v>108</v>
      </c>
      <c r="H28" s="46" t="s">
        <v>15</v>
      </c>
      <c r="I28" s="46" t="s">
        <v>16</v>
      </c>
      <c r="J28" s="45">
        <v>15</v>
      </c>
      <c r="K28" s="49">
        <f t="shared" si="1"/>
        <v>13500</v>
      </c>
      <c r="L28" s="47">
        <v>5</v>
      </c>
      <c r="M28" s="49">
        <f t="shared" si="2"/>
        <v>4500</v>
      </c>
      <c r="N28" s="47">
        <v>5</v>
      </c>
      <c r="O28" s="49">
        <f t="shared" si="3"/>
        <v>4500</v>
      </c>
      <c r="P28" s="47">
        <v>5</v>
      </c>
      <c r="Q28" s="49">
        <f t="shared" si="4"/>
        <v>4500</v>
      </c>
    </row>
    <row r="29" spans="1:17" x14ac:dyDescent="0.25">
      <c r="A29" s="44">
        <v>26</v>
      </c>
      <c r="B29" s="45" t="s">
        <v>137</v>
      </c>
      <c r="C29" s="46" t="s">
        <v>124</v>
      </c>
      <c r="D29" s="45">
        <v>25</v>
      </c>
      <c r="E29" s="47">
        <v>1200</v>
      </c>
      <c r="F29" s="48">
        <f t="shared" si="0"/>
        <v>30000</v>
      </c>
      <c r="G29" s="46" t="s">
        <v>108</v>
      </c>
      <c r="H29" s="46" t="s">
        <v>15</v>
      </c>
      <c r="I29" s="46" t="s">
        <v>16</v>
      </c>
      <c r="J29" s="45">
        <v>10</v>
      </c>
      <c r="K29" s="49">
        <f t="shared" si="1"/>
        <v>12000</v>
      </c>
      <c r="L29" s="47">
        <v>5</v>
      </c>
      <c r="M29" s="49">
        <f t="shared" si="2"/>
        <v>6000</v>
      </c>
      <c r="N29" s="47">
        <v>5</v>
      </c>
      <c r="O29" s="49">
        <f t="shared" si="3"/>
        <v>6000</v>
      </c>
      <c r="P29" s="47">
        <v>5</v>
      </c>
      <c r="Q29" s="49">
        <f t="shared" si="4"/>
        <v>6000</v>
      </c>
    </row>
    <row r="30" spans="1:17" x14ac:dyDescent="0.25">
      <c r="A30" s="44">
        <v>27</v>
      </c>
      <c r="B30" s="45" t="s">
        <v>138</v>
      </c>
      <c r="C30" s="46" t="s">
        <v>124</v>
      </c>
      <c r="D30" s="45">
        <v>8</v>
      </c>
      <c r="E30" s="47">
        <v>6200</v>
      </c>
      <c r="F30" s="48">
        <f t="shared" si="0"/>
        <v>49600</v>
      </c>
      <c r="G30" s="46" t="s">
        <v>108</v>
      </c>
      <c r="H30" s="46" t="s">
        <v>15</v>
      </c>
      <c r="I30" s="46" t="s">
        <v>16</v>
      </c>
      <c r="J30" s="45">
        <v>2</v>
      </c>
      <c r="K30" s="49">
        <f t="shared" si="1"/>
        <v>12400</v>
      </c>
      <c r="L30" s="47">
        <v>2</v>
      </c>
      <c r="M30" s="49">
        <f t="shared" si="2"/>
        <v>12400</v>
      </c>
      <c r="N30" s="47">
        <v>2</v>
      </c>
      <c r="O30" s="49">
        <f t="shared" si="3"/>
        <v>12400</v>
      </c>
      <c r="P30" s="47">
        <v>2</v>
      </c>
      <c r="Q30" s="49">
        <f t="shared" si="4"/>
        <v>12400</v>
      </c>
    </row>
    <row r="31" spans="1:17" x14ac:dyDescent="0.25">
      <c r="A31" s="44">
        <v>28</v>
      </c>
      <c r="B31" s="45" t="s">
        <v>139</v>
      </c>
      <c r="C31" s="46" t="s">
        <v>126</v>
      </c>
      <c r="D31" s="45">
        <v>320</v>
      </c>
      <c r="E31" s="47">
        <v>350</v>
      </c>
      <c r="F31" s="48">
        <f t="shared" si="0"/>
        <v>112000</v>
      </c>
      <c r="G31" s="46" t="s">
        <v>108</v>
      </c>
      <c r="H31" s="46" t="s">
        <v>15</v>
      </c>
      <c r="I31" s="46" t="s">
        <v>16</v>
      </c>
      <c r="J31" s="45">
        <v>80</v>
      </c>
      <c r="K31" s="49">
        <f t="shared" si="1"/>
        <v>28000</v>
      </c>
      <c r="L31" s="47">
        <v>80</v>
      </c>
      <c r="M31" s="49">
        <f t="shared" si="2"/>
        <v>28000</v>
      </c>
      <c r="N31" s="47">
        <v>80</v>
      </c>
      <c r="O31" s="49">
        <f t="shared" si="3"/>
        <v>28000</v>
      </c>
      <c r="P31" s="47">
        <v>80</v>
      </c>
      <c r="Q31" s="49">
        <f t="shared" si="4"/>
        <v>28000</v>
      </c>
    </row>
    <row r="32" spans="1:17" x14ac:dyDescent="0.25">
      <c r="A32" s="44">
        <v>29</v>
      </c>
      <c r="B32" s="45" t="s">
        <v>26</v>
      </c>
      <c r="C32" s="46" t="s">
        <v>126</v>
      </c>
      <c r="D32" s="45">
        <v>10</v>
      </c>
      <c r="E32" s="47">
        <v>6850</v>
      </c>
      <c r="F32" s="48">
        <f t="shared" si="0"/>
        <v>68500</v>
      </c>
      <c r="G32" s="46" t="s">
        <v>108</v>
      </c>
      <c r="H32" s="46" t="s">
        <v>15</v>
      </c>
      <c r="I32" s="46" t="s">
        <v>16</v>
      </c>
      <c r="J32" s="45">
        <v>10</v>
      </c>
      <c r="K32" s="49">
        <f t="shared" si="1"/>
        <v>68500</v>
      </c>
      <c r="L32" s="47"/>
      <c r="M32" s="49"/>
      <c r="N32" s="47"/>
      <c r="O32" s="49"/>
      <c r="P32" s="47"/>
      <c r="Q32" s="49"/>
    </row>
    <row r="33" spans="1:17" x14ac:dyDescent="0.25">
      <c r="A33" s="44">
        <v>30</v>
      </c>
      <c r="B33" s="45" t="s">
        <v>27</v>
      </c>
      <c r="C33" s="46" t="s">
        <v>126</v>
      </c>
      <c r="D33" s="45">
        <v>10</v>
      </c>
      <c r="E33" s="47">
        <v>800</v>
      </c>
      <c r="F33" s="48">
        <f t="shared" si="0"/>
        <v>8000</v>
      </c>
      <c r="G33" s="46" t="s">
        <v>108</v>
      </c>
      <c r="H33" s="46" t="s">
        <v>15</v>
      </c>
      <c r="I33" s="46" t="s">
        <v>16</v>
      </c>
      <c r="J33" s="45">
        <v>10</v>
      </c>
      <c r="K33" s="49">
        <f t="shared" si="1"/>
        <v>8000</v>
      </c>
      <c r="L33" s="47"/>
      <c r="M33" s="49"/>
      <c r="N33" s="47"/>
      <c r="O33" s="49"/>
      <c r="P33" s="47"/>
      <c r="Q33" s="49"/>
    </row>
    <row r="34" spans="1:17" x14ac:dyDescent="0.25">
      <c r="A34" s="44">
        <v>31</v>
      </c>
      <c r="B34" s="45" t="s">
        <v>28</v>
      </c>
      <c r="C34" s="46" t="s">
        <v>126</v>
      </c>
      <c r="D34" s="45">
        <v>20</v>
      </c>
      <c r="E34" s="47">
        <v>850</v>
      </c>
      <c r="F34" s="48">
        <f t="shared" si="0"/>
        <v>17000</v>
      </c>
      <c r="G34" s="46" t="s">
        <v>108</v>
      </c>
      <c r="H34" s="46" t="s">
        <v>15</v>
      </c>
      <c r="I34" s="46" t="s">
        <v>16</v>
      </c>
      <c r="J34" s="45">
        <v>10</v>
      </c>
      <c r="K34" s="49">
        <f t="shared" si="1"/>
        <v>8500</v>
      </c>
      <c r="L34" s="47">
        <v>5</v>
      </c>
      <c r="M34" s="49">
        <f t="shared" si="2"/>
        <v>4250</v>
      </c>
      <c r="N34" s="47"/>
      <c r="O34" s="49"/>
      <c r="P34" s="47">
        <v>5</v>
      </c>
      <c r="Q34" s="49">
        <f t="shared" si="4"/>
        <v>4250</v>
      </c>
    </row>
    <row r="35" spans="1:17" x14ac:dyDescent="0.25">
      <c r="A35" s="44">
        <v>32</v>
      </c>
      <c r="B35" s="45" t="s">
        <v>29</v>
      </c>
      <c r="C35" s="46" t="s">
        <v>124</v>
      </c>
      <c r="D35" s="45">
        <v>400</v>
      </c>
      <c r="E35" s="47">
        <v>80</v>
      </c>
      <c r="F35" s="48">
        <f t="shared" si="0"/>
        <v>32000</v>
      </c>
      <c r="G35" s="46" t="s">
        <v>108</v>
      </c>
      <c r="H35" s="46" t="s">
        <v>15</v>
      </c>
      <c r="I35" s="46" t="s">
        <v>16</v>
      </c>
      <c r="J35" s="45">
        <v>100</v>
      </c>
      <c r="K35" s="49">
        <f t="shared" si="1"/>
        <v>8000</v>
      </c>
      <c r="L35" s="47">
        <v>100</v>
      </c>
      <c r="M35" s="49">
        <f t="shared" si="2"/>
        <v>8000</v>
      </c>
      <c r="N35" s="47">
        <v>100</v>
      </c>
      <c r="O35" s="49">
        <f t="shared" si="3"/>
        <v>8000</v>
      </c>
      <c r="P35" s="47">
        <v>100</v>
      </c>
      <c r="Q35" s="49">
        <f t="shared" si="4"/>
        <v>8000</v>
      </c>
    </row>
    <row r="36" spans="1:17" x14ac:dyDescent="0.25">
      <c r="A36" s="44">
        <v>33</v>
      </c>
      <c r="B36" s="45" t="s">
        <v>30</v>
      </c>
      <c r="C36" s="46" t="s">
        <v>124</v>
      </c>
      <c r="D36" s="45">
        <v>80</v>
      </c>
      <c r="E36" s="47">
        <v>900</v>
      </c>
      <c r="F36" s="48">
        <f t="shared" si="0"/>
        <v>72000</v>
      </c>
      <c r="G36" s="46" t="s">
        <v>108</v>
      </c>
      <c r="H36" s="46" t="s">
        <v>15</v>
      </c>
      <c r="I36" s="46" t="s">
        <v>16</v>
      </c>
      <c r="J36" s="45">
        <v>20</v>
      </c>
      <c r="K36" s="49">
        <f t="shared" si="1"/>
        <v>18000</v>
      </c>
      <c r="L36" s="47">
        <v>20</v>
      </c>
      <c r="M36" s="49">
        <f t="shared" si="2"/>
        <v>18000</v>
      </c>
      <c r="N36" s="47">
        <v>20</v>
      </c>
      <c r="O36" s="49">
        <f t="shared" si="3"/>
        <v>18000</v>
      </c>
      <c r="P36" s="47">
        <v>20</v>
      </c>
      <c r="Q36" s="49">
        <f t="shared" si="4"/>
        <v>18000</v>
      </c>
    </row>
    <row r="37" spans="1:17" x14ac:dyDescent="0.25">
      <c r="A37" s="44">
        <v>34</v>
      </c>
      <c r="B37" s="45" t="s">
        <v>141</v>
      </c>
      <c r="C37" s="46" t="s">
        <v>151</v>
      </c>
      <c r="D37" s="45">
        <v>8</v>
      </c>
      <c r="E37" s="47">
        <v>450</v>
      </c>
      <c r="F37" s="48">
        <f t="shared" si="0"/>
        <v>3600</v>
      </c>
      <c r="G37" s="46" t="s">
        <v>108</v>
      </c>
      <c r="H37" s="46" t="s">
        <v>15</v>
      </c>
      <c r="I37" s="46" t="s">
        <v>16</v>
      </c>
      <c r="J37" s="45">
        <v>2</v>
      </c>
      <c r="K37" s="49">
        <f t="shared" si="1"/>
        <v>900</v>
      </c>
      <c r="L37" s="47">
        <v>2</v>
      </c>
      <c r="M37" s="49">
        <f t="shared" si="2"/>
        <v>900</v>
      </c>
      <c r="N37" s="47">
        <v>2</v>
      </c>
      <c r="O37" s="49">
        <f t="shared" si="3"/>
        <v>900</v>
      </c>
      <c r="P37" s="47">
        <v>2</v>
      </c>
      <c r="Q37" s="49">
        <f t="shared" si="4"/>
        <v>900</v>
      </c>
    </row>
    <row r="38" spans="1:17" x14ac:dyDescent="0.25">
      <c r="A38" s="44">
        <v>35</v>
      </c>
      <c r="B38" s="45" t="s">
        <v>142</v>
      </c>
      <c r="C38" s="46" t="s">
        <v>151</v>
      </c>
      <c r="D38" s="45">
        <v>8</v>
      </c>
      <c r="E38" s="47">
        <v>450</v>
      </c>
      <c r="F38" s="48">
        <f t="shared" si="0"/>
        <v>3600</v>
      </c>
      <c r="G38" s="46" t="s">
        <v>108</v>
      </c>
      <c r="H38" s="46" t="s">
        <v>15</v>
      </c>
      <c r="I38" s="46" t="s">
        <v>16</v>
      </c>
      <c r="J38" s="45">
        <v>2</v>
      </c>
      <c r="K38" s="49">
        <f t="shared" si="1"/>
        <v>900</v>
      </c>
      <c r="L38" s="47">
        <v>2</v>
      </c>
      <c r="M38" s="49">
        <f t="shared" si="2"/>
        <v>900</v>
      </c>
      <c r="N38" s="47">
        <v>2</v>
      </c>
      <c r="O38" s="49">
        <f t="shared" si="3"/>
        <v>900</v>
      </c>
      <c r="P38" s="47">
        <v>2</v>
      </c>
      <c r="Q38" s="49">
        <f t="shared" si="4"/>
        <v>900</v>
      </c>
    </row>
    <row r="39" spans="1:17" x14ac:dyDescent="0.25">
      <c r="A39" s="44">
        <v>36</v>
      </c>
      <c r="B39" s="45" t="s">
        <v>143</v>
      </c>
      <c r="C39" s="46" t="s">
        <v>140</v>
      </c>
      <c r="D39" s="45">
        <v>12</v>
      </c>
      <c r="E39" s="47">
        <v>1400</v>
      </c>
      <c r="F39" s="48">
        <f t="shared" si="0"/>
        <v>16800</v>
      </c>
      <c r="G39" s="46" t="s">
        <v>108</v>
      </c>
      <c r="H39" s="46" t="s">
        <v>15</v>
      </c>
      <c r="I39" s="46" t="s">
        <v>16</v>
      </c>
      <c r="J39" s="45">
        <v>3</v>
      </c>
      <c r="K39" s="49">
        <f t="shared" si="1"/>
        <v>4200</v>
      </c>
      <c r="L39" s="47">
        <v>3</v>
      </c>
      <c r="M39" s="49">
        <f t="shared" si="2"/>
        <v>4200</v>
      </c>
      <c r="N39" s="47">
        <v>3</v>
      </c>
      <c r="O39" s="49">
        <f t="shared" si="3"/>
        <v>4200</v>
      </c>
      <c r="P39" s="47">
        <v>3</v>
      </c>
      <c r="Q39" s="49">
        <f t="shared" si="4"/>
        <v>4200</v>
      </c>
    </row>
    <row r="40" spans="1:17" x14ac:dyDescent="0.25">
      <c r="A40" s="44">
        <v>37</v>
      </c>
      <c r="B40" s="45" t="s">
        <v>32</v>
      </c>
      <c r="C40" s="46" t="s">
        <v>154</v>
      </c>
      <c r="D40" s="45">
        <v>25</v>
      </c>
      <c r="E40" s="47">
        <v>150</v>
      </c>
      <c r="F40" s="48">
        <f t="shared" si="0"/>
        <v>3750</v>
      </c>
      <c r="G40" s="46" t="s">
        <v>108</v>
      </c>
      <c r="H40" s="46" t="s">
        <v>15</v>
      </c>
      <c r="I40" s="46" t="s">
        <v>16</v>
      </c>
      <c r="J40" s="45">
        <v>10</v>
      </c>
      <c r="K40" s="49">
        <f t="shared" si="1"/>
        <v>1500</v>
      </c>
      <c r="L40" s="47">
        <v>5</v>
      </c>
      <c r="M40" s="49">
        <f t="shared" si="2"/>
        <v>750</v>
      </c>
      <c r="N40" s="47">
        <v>5</v>
      </c>
      <c r="O40" s="49">
        <f t="shared" si="3"/>
        <v>750</v>
      </c>
      <c r="P40" s="47">
        <v>5</v>
      </c>
      <c r="Q40" s="49">
        <f t="shared" si="4"/>
        <v>750</v>
      </c>
    </row>
    <row r="41" spans="1:17" x14ac:dyDescent="0.25">
      <c r="A41" s="44">
        <v>38</v>
      </c>
      <c r="B41" s="45" t="s">
        <v>145</v>
      </c>
      <c r="C41" s="46" t="s">
        <v>154</v>
      </c>
      <c r="D41" s="45">
        <v>25</v>
      </c>
      <c r="E41" s="47">
        <v>100</v>
      </c>
      <c r="F41" s="48">
        <f t="shared" si="0"/>
        <v>2500</v>
      </c>
      <c r="G41" s="46" t="s">
        <v>108</v>
      </c>
      <c r="H41" s="46" t="s">
        <v>15</v>
      </c>
      <c r="I41" s="46" t="s">
        <v>16</v>
      </c>
      <c r="J41" s="45">
        <v>10</v>
      </c>
      <c r="K41" s="49">
        <f t="shared" si="1"/>
        <v>1000</v>
      </c>
      <c r="L41" s="47">
        <v>5</v>
      </c>
      <c r="M41" s="49">
        <f t="shared" si="2"/>
        <v>500</v>
      </c>
      <c r="N41" s="47">
        <v>5</v>
      </c>
      <c r="O41" s="49">
        <f t="shared" si="3"/>
        <v>500</v>
      </c>
      <c r="P41" s="47">
        <v>5</v>
      </c>
      <c r="Q41" s="49">
        <f t="shared" si="4"/>
        <v>500</v>
      </c>
    </row>
    <row r="42" spans="1:17" x14ac:dyDescent="0.25">
      <c r="A42" s="44">
        <v>39</v>
      </c>
      <c r="B42" s="45" t="s">
        <v>144</v>
      </c>
      <c r="C42" s="46" t="s">
        <v>154</v>
      </c>
      <c r="D42" s="45">
        <v>25</v>
      </c>
      <c r="E42" s="47">
        <v>100</v>
      </c>
      <c r="F42" s="48">
        <f t="shared" si="0"/>
        <v>2500</v>
      </c>
      <c r="G42" s="46" t="s">
        <v>108</v>
      </c>
      <c r="H42" s="46" t="s">
        <v>15</v>
      </c>
      <c r="I42" s="46" t="s">
        <v>16</v>
      </c>
      <c r="J42" s="45">
        <v>10</v>
      </c>
      <c r="K42" s="49">
        <f t="shared" si="1"/>
        <v>1000</v>
      </c>
      <c r="L42" s="47">
        <v>5</v>
      </c>
      <c r="M42" s="49">
        <f t="shared" si="2"/>
        <v>500</v>
      </c>
      <c r="N42" s="47">
        <v>5</v>
      </c>
      <c r="O42" s="49">
        <f t="shared" si="3"/>
        <v>500</v>
      </c>
      <c r="P42" s="47">
        <v>5</v>
      </c>
      <c r="Q42" s="49">
        <f t="shared" si="4"/>
        <v>500</v>
      </c>
    </row>
    <row r="43" spans="1:17" x14ac:dyDescent="0.25">
      <c r="A43" s="44">
        <v>40</v>
      </c>
      <c r="B43" s="45" t="s">
        <v>146</v>
      </c>
      <c r="C43" s="51" t="s">
        <v>148</v>
      </c>
      <c r="D43" s="45">
        <v>8</v>
      </c>
      <c r="E43" s="47">
        <v>1200</v>
      </c>
      <c r="F43" s="48">
        <f t="shared" si="0"/>
        <v>9600</v>
      </c>
      <c r="G43" s="46" t="s">
        <v>108</v>
      </c>
      <c r="H43" s="46" t="s">
        <v>15</v>
      </c>
      <c r="I43" s="46" t="s">
        <v>16</v>
      </c>
      <c r="J43" s="45">
        <v>2</v>
      </c>
      <c r="K43" s="49">
        <f t="shared" si="1"/>
        <v>2400</v>
      </c>
      <c r="L43" s="47">
        <v>2</v>
      </c>
      <c r="M43" s="49">
        <f t="shared" si="2"/>
        <v>2400</v>
      </c>
      <c r="N43" s="47">
        <v>2</v>
      </c>
      <c r="O43" s="49">
        <f t="shared" si="3"/>
        <v>2400</v>
      </c>
      <c r="P43" s="47">
        <v>2</v>
      </c>
      <c r="Q43" s="49">
        <f t="shared" si="4"/>
        <v>2400</v>
      </c>
    </row>
    <row r="44" spans="1:17" x14ac:dyDescent="0.25">
      <c r="A44" s="44">
        <v>41</v>
      </c>
      <c r="B44" s="45" t="s">
        <v>147</v>
      </c>
      <c r="C44" s="51" t="s">
        <v>148</v>
      </c>
      <c r="D44" s="45">
        <v>8</v>
      </c>
      <c r="E44" s="47">
        <v>450</v>
      </c>
      <c r="F44" s="48">
        <f t="shared" si="0"/>
        <v>3600</v>
      </c>
      <c r="G44" s="46" t="s">
        <v>108</v>
      </c>
      <c r="H44" s="46" t="s">
        <v>15</v>
      </c>
      <c r="I44" s="46" t="s">
        <v>16</v>
      </c>
      <c r="J44" s="45">
        <v>2</v>
      </c>
      <c r="K44" s="49">
        <f t="shared" si="1"/>
        <v>900</v>
      </c>
      <c r="L44" s="47">
        <v>2</v>
      </c>
      <c r="M44" s="49">
        <f t="shared" si="2"/>
        <v>900</v>
      </c>
      <c r="N44" s="47">
        <v>2</v>
      </c>
      <c r="O44" s="49">
        <f t="shared" si="3"/>
        <v>900</v>
      </c>
      <c r="P44" s="47">
        <v>2</v>
      </c>
      <c r="Q44" s="49">
        <f t="shared" si="4"/>
        <v>900</v>
      </c>
    </row>
    <row r="45" spans="1:17" x14ac:dyDescent="0.25">
      <c r="A45" s="44">
        <v>42</v>
      </c>
      <c r="B45" s="45" t="s">
        <v>169</v>
      </c>
      <c r="C45" s="51" t="s">
        <v>149</v>
      </c>
      <c r="D45" s="45">
        <v>50</v>
      </c>
      <c r="E45" s="47">
        <v>40</v>
      </c>
      <c r="F45" s="48">
        <f t="shared" si="0"/>
        <v>2000</v>
      </c>
      <c r="G45" s="46" t="s">
        <v>108</v>
      </c>
      <c r="H45" s="46" t="s">
        <v>15</v>
      </c>
      <c r="I45" s="46" t="s">
        <v>16</v>
      </c>
      <c r="J45" s="45">
        <v>20</v>
      </c>
      <c r="K45" s="49">
        <f t="shared" si="1"/>
        <v>800</v>
      </c>
      <c r="L45" s="47">
        <v>10</v>
      </c>
      <c r="M45" s="49">
        <f t="shared" si="2"/>
        <v>400</v>
      </c>
      <c r="N45" s="47">
        <v>10</v>
      </c>
      <c r="O45" s="49">
        <f t="shared" si="3"/>
        <v>400</v>
      </c>
      <c r="P45" s="47">
        <v>10</v>
      </c>
      <c r="Q45" s="49">
        <f t="shared" si="4"/>
        <v>400</v>
      </c>
    </row>
    <row r="46" spans="1:17" x14ac:dyDescent="0.25">
      <c r="A46" s="44">
        <v>43</v>
      </c>
      <c r="B46" s="45" t="s">
        <v>158</v>
      </c>
      <c r="C46" s="51" t="s">
        <v>150</v>
      </c>
      <c r="D46" s="45">
        <v>6</v>
      </c>
      <c r="E46" s="47">
        <v>120</v>
      </c>
      <c r="F46" s="48">
        <f t="shared" si="0"/>
        <v>720</v>
      </c>
      <c r="G46" s="46" t="s">
        <v>108</v>
      </c>
      <c r="H46" s="46" t="s">
        <v>15</v>
      </c>
      <c r="I46" s="46" t="s">
        <v>16</v>
      </c>
      <c r="J46" s="45">
        <v>3</v>
      </c>
      <c r="K46" s="49">
        <f t="shared" si="1"/>
        <v>360</v>
      </c>
      <c r="L46" s="47">
        <v>1</v>
      </c>
      <c r="M46" s="49">
        <f t="shared" si="2"/>
        <v>120</v>
      </c>
      <c r="N46" s="47">
        <v>1</v>
      </c>
      <c r="O46" s="49">
        <f t="shared" si="3"/>
        <v>120</v>
      </c>
      <c r="P46" s="47">
        <v>1</v>
      </c>
      <c r="Q46" s="49">
        <f t="shared" si="4"/>
        <v>120</v>
      </c>
    </row>
    <row r="47" spans="1:17" x14ac:dyDescent="0.25">
      <c r="A47" s="44">
        <v>44</v>
      </c>
      <c r="B47" s="45" t="s">
        <v>170</v>
      </c>
      <c r="C47" s="51" t="s">
        <v>149</v>
      </c>
      <c r="D47" s="45">
        <v>50</v>
      </c>
      <c r="E47" s="47">
        <v>120</v>
      </c>
      <c r="F47" s="48">
        <f t="shared" si="0"/>
        <v>6000</v>
      </c>
      <c r="G47" s="46" t="s">
        <v>108</v>
      </c>
      <c r="H47" s="46" t="s">
        <v>15</v>
      </c>
      <c r="I47" s="46" t="s">
        <v>16</v>
      </c>
      <c r="J47" s="45">
        <v>20</v>
      </c>
      <c r="K47" s="49">
        <f t="shared" si="1"/>
        <v>2400</v>
      </c>
      <c r="L47" s="47">
        <v>10</v>
      </c>
      <c r="M47" s="49">
        <f t="shared" si="2"/>
        <v>1200</v>
      </c>
      <c r="N47" s="47">
        <v>10</v>
      </c>
      <c r="O47" s="49">
        <f t="shared" si="3"/>
        <v>1200</v>
      </c>
      <c r="P47" s="47">
        <v>10</v>
      </c>
      <c r="Q47" s="49">
        <f t="shared" si="4"/>
        <v>1200</v>
      </c>
    </row>
    <row r="48" spans="1:17" x14ac:dyDescent="0.25">
      <c r="A48" s="44">
        <v>45</v>
      </c>
      <c r="B48" s="45" t="s">
        <v>171</v>
      </c>
      <c r="C48" s="51" t="s">
        <v>151</v>
      </c>
      <c r="D48" s="45">
        <v>6</v>
      </c>
      <c r="E48" s="47">
        <v>550</v>
      </c>
      <c r="F48" s="48">
        <f t="shared" si="0"/>
        <v>3300</v>
      </c>
      <c r="G48" s="46" t="s">
        <v>108</v>
      </c>
      <c r="H48" s="46" t="s">
        <v>15</v>
      </c>
      <c r="I48" s="46" t="s">
        <v>16</v>
      </c>
      <c r="J48" s="45">
        <v>3</v>
      </c>
      <c r="K48" s="49">
        <f t="shared" si="1"/>
        <v>1650</v>
      </c>
      <c r="L48" s="47">
        <v>1</v>
      </c>
      <c r="M48" s="49">
        <f t="shared" si="2"/>
        <v>550</v>
      </c>
      <c r="N48" s="47">
        <v>1</v>
      </c>
      <c r="O48" s="49">
        <f t="shared" si="3"/>
        <v>550</v>
      </c>
      <c r="P48" s="47">
        <v>1</v>
      </c>
      <c r="Q48" s="49">
        <f t="shared" si="4"/>
        <v>550</v>
      </c>
    </row>
    <row r="49" spans="1:17" x14ac:dyDescent="0.25">
      <c r="A49" s="44">
        <v>46</v>
      </c>
      <c r="B49" s="45" t="s">
        <v>172</v>
      </c>
      <c r="C49" s="51" t="s">
        <v>152</v>
      </c>
      <c r="D49" s="45">
        <v>4</v>
      </c>
      <c r="E49" s="47">
        <v>650</v>
      </c>
      <c r="F49" s="48">
        <f t="shared" si="0"/>
        <v>2600</v>
      </c>
      <c r="G49" s="46" t="s">
        <v>108</v>
      </c>
      <c r="H49" s="46" t="s">
        <v>15</v>
      </c>
      <c r="I49" s="46" t="s">
        <v>16</v>
      </c>
      <c r="J49" s="45">
        <v>1</v>
      </c>
      <c r="K49" s="49">
        <f t="shared" si="1"/>
        <v>650</v>
      </c>
      <c r="L49" s="47">
        <v>1</v>
      </c>
      <c r="M49" s="49">
        <f t="shared" si="2"/>
        <v>650</v>
      </c>
      <c r="N49" s="47">
        <v>1</v>
      </c>
      <c r="O49" s="49">
        <f t="shared" si="3"/>
        <v>650</v>
      </c>
      <c r="P49" s="47">
        <v>1</v>
      </c>
      <c r="Q49" s="49">
        <f t="shared" si="4"/>
        <v>650</v>
      </c>
    </row>
    <row r="50" spans="1:17" x14ac:dyDescent="0.25">
      <c r="A50" s="44">
        <v>47</v>
      </c>
      <c r="B50" s="45" t="s">
        <v>153</v>
      </c>
      <c r="C50" s="51" t="s">
        <v>155</v>
      </c>
      <c r="D50" s="45">
        <v>10</v>
      </c>
      <c r="E50" s="47">
        <v>50</v>
      </c>
      <c r="F50" s="48">
        <f t="shared" si="0"/>
        <v>500</v>
      </c>
      <c r="G50" s="46" t="s">
        <v>108</v>
      </c>
      <c r="H50" s="46" t="s">
        <v>15</v>
      </c>
      <c r="I50" s="46" t="s">
        <v>16</v>
      </c>
      <c r="J50" s="45">
        <v>10</v>
      </c>
      <c r="K50" s="49">
        <f t="shared" si="1"/>
        <v>500</v>
      </c>
      <c r="L50" s="47"/>
      <c r="M50" s="49"/>
      <c r="N50" s="47"/>
      <c r="O50" s="49"/>
      <c r="P50" s="47"/>
      <c r="Q50" s="49"/>
    </row>
    <row r="51" spans="1:17" x14ac:dyDescent="0.25">
      <c r="A51" s="44">
        <v>48</v>
      </c>
      <c r="B51" s="45" t="s">
        <v>174</v>
      </c>
      <c r="C51" s="51" t="s">
        <v>149</v>
      </c>
      <c r="D51" s="45">
        <v>50</v>
      </c>
      <c r="E51" s="47">
        <v>80</v>
      </c>
      <c r="F51" s="48">
        <f t="shared" si="0"/>
        <v>4000</v>
      </c>
      <c r="G51" s="46" t="s">
        <v>108</v>
      </c>
      <c r="H51" s="46" t="s">
        <v>15</v>
      </c>
      <c r="I51" s="46" t="s">
        <v>16</v>
      </c>
      <c r="J51" s="45">
        <v>20</v>
      </c>
      <c r="K51" s="49">
        <f t="shared" si="1"/>
        <v>1600</v>
      </c>
      <c r="L51" s="47">
        <v>10</v>
      </c>
      <c r="M51" s="49">
        <f t="shared" si="2"/>
        <v>800</v>
      </c>
      <c r="N51" s="47">
        <v>10</v>
      </c>
      <c r="O51" s="49">
        <f t="shared" si="3"/>
        <v>800</v>
      </c>
      <c r="P51" s="47">
        <v>10</v>
      </c>
      <c r="Q51" s="49">
        <f t="shared" si="4"/>
        <v>800</v>
      </c>
    </row>
    <row r="52" spans="1:17" x14ac:dyDescent="0.25">
      <c r="A52" s="44">
        <v>49</v>
      </c>
      <c r="B52" s="45" t="s">
        <v>173</v>
      </c>
      <c r="C52" s="51" t="s">
        <v>168</v>
      </c>
      <c r="D52" s="45">
        <v>4</v>
      </c>
      <c r="E52" s="47">
        <v>1400</v>
      </c>
      <c r="F52" s="48">
        <f t="shared" si="0"/>
        <v>5600</v>
      </c>
      <c r="G52" s="46" t="s">
        <v>108</v>
      </c>
      <c r="H52" s="46" t="s">
        <v>15</v>
      </c>
      <c r="I52" s="46" t="s">
        <v>16</v>
      </c>
      <c r="J52" s="45">
        <v>1</v>
      </c>
      <c r="K52" s="49">
        <f t="shared" si="1"/>
        <v>1400</v>
      </c>
      <c r="L52" s="47">
        <v>1</v>
      </c>
      <c r="M52" s="49">
        <f t="shared" si="2"/>
        <v>1400</v>
      </c>
      <c r="N52" s="47">
        <v>1</v>
      </c>
      <c r="O52" s="49">
        <f t="shared" si="3"/>
        <v>1400</v>
      </c>
      <c r="P52" s="47">
        <v>1</v>
      </c>
      <c r="Q52" s="49">
        <f t="shared" si="4"/>
        <v>1400</v>
      </c>
    </row>
    <row r="53" spans="1:17" x14ac:dyDescent="0.25">
      <c r="A53" s="44">
        <v>50</v>
      </c>
      <c r="B53" s="45" t="s">
        <v>34</v>
      </c>
      <c r="C53" s="51" t="s">
        <v>168</v>
      </c>
      <c r="D53" s="45">
        <v>5</v>
      </c>
      <c r="E53" s="47">
        <v>1900</v>
      </c>
      <c r="F53" s="48">
        <f t="shared" si="0"/>
        <v>9500</v>
      </c>
      <c r="G53" s="46" t="s">
        <v>108</v>
      </c>
      <c r="H53" s="46" t="s">
        <v>15</v>
      </c>
      <c r="I53" s="46" t="s">
        <v>16</v>
      </c>
      <c r="J53" s="45">
        <v>2</v>
      </c>
      <c r="K53" s="49">
        <f t="shared" si="1"/>
        <v>3800</v>
      </c>
      <c r="L53" s="47">
        <v>1</v>
      </c>
      <c r="M53" s="49">
        <f t="shared" si="2"/>
        <v>1900</v>
      </c>
      <c r="N53" s="47">
        <v>1</v>
      </c>
      <c r="O53" s="49">
        <f t="shared" si="3"/>
        <v>1900</v>
      </c>
      <c r="P53" s="47">
        <v>1</v>
      </c>
      <c r="Q53" s="49">
        <f t="shared" si="4"/>
        <v>1900</v>
      </c>
    </row>
    <row r="54" spans="1:17" x14ac:dyDescent="0.25">
      <c r="A54" s="44">
        <v>51</v>
      </c>
      <c r="B54" s="45" t="s">
        <v>159</v>
      </c>
      <c r="C54" s="51" t="s">
        <v>150</v>
      </c>
      <c r="D54" s="45">
        <v>50</v>
      </c>
      <c r="E54" s="47">
        <v>150</v>
      </c>
      <c r="F54" s="48">
        <f t="shared" si="0"/>
        <v>7500</v>
      </c>
      <c r="G54" s="46" t="s">
        <v>108</v>
      </c>
      <c r="H54" s="46" t="s">
        <v>15</v>
      </c>
      <c r="I54" s="46" t="s">
        <v>16</v>
      </c>
      <c r="J54" s="45">
        <v>20</v>
      </c>
      <c r="K54" s="49">
        <f t="shared" si="1"/>
        <v>3000</v>
      </c>
      <c r="L54" s="47">
        <v>10</v>
      </c>
      <c r="M54" s="49">
        <f t="shared" si="2"/>
        <v>1500</v>
      </c>
      <c r="N54" s="47">
        <v>10</v>
      </c>
      <c r="O54" s="49">
        <f t="shared" si="3"/>
        <v>1500</v>
      </c>
      <c r="P54" s="47">
        <v>10</v>
      </c>
      <c r="Q54" s="49">
        <f t="shared" si="4"/>
        <v>1500</v>
      </c>
    </row>
    <row r="55" spans="1:17" x14ac:dyDescent="0.25">
      <c r="A55" s="44">
        <v>52</v>
      </c>
      <c r="B55" s="45" t="s">
        <v>175</v>
      </c>
      <c r="C55" s="51" t="s">
        <v>124</v>
      </c>
      <c r="D55" s="45">
        <v>2</v>
      </c>
      <c r="E55" s="47">
        <v>250</v>
      </c>
      <c r="F55" s="48">
        <f t="shared" si="0"/>
        <v>500</v>
      </c>
      <c r="G55" s="46" t="s">
        <v>108</v>
      </c>
      <c r="H55" s="46" t="s">
        <v>15</v>
      </c>
      <c r="I55" s="46" t="s">
        <v>16</v>
      </c>
      <c r="J55" s="45"/>
      <c r="K55" s="49"/>
      <c r="L55" s="47">
        <v>1</v>
      </c>
      <c r="M55" s="49">
        <f t="shared" si="2"/>
        <v>250</v>
      </c>
      <c r="N55" s="47"/>
      <c r="O55" s="49"/>
      <c r="P55" s="47">
        <v>1</v>
      </c>
      <c r="Q55" s="49">
        <f t="shared" si="4"/>
        <v>250</v>
      </c>
    </row>
    <row r="56" spans="1:17" x14ac:dyDescent="0.25">
      <c r="A56" s="44">
        <v>53</v>
      </c>
      <c r="B56" s="45" t="s">
        <v>176</v>
      </c>
      <c r="C56" s="51" t="s">
        <v>124</v>
      </c>
      <c r="D56" s="45">
        <v>2</v>
      </c>
      <c r="E56" s="47">
        <v>250</v>
      </c>
      <c r="F56" s="48">
        <f t="shared" si="0"/>
        <v>500</v>
      </c>
      <c r="G56" s="46" t="s">
        <v>108</v>
      </c>
      <c r="H56" s="46" t="s">
        <v>15</v>
      </c>
      <c r="I56" s="46" t="s">
        <v>16</v>
      </c>
      <c r="J56" s="45"/>
      <c r="K56" s="49"/>
      <c r="L56" s="47">
        <v>1</v>
      </c>
      <c r="M56" s="49">
        <f t="shared" si="2"/>
        <v>250</v>
      </c>
      <c r="N56" s="47"/>
      <c r="O56" s="49"/>
      <c r="P56" s="47">
        <v>1</v>
      </c>
      <c r="Q56" s="49">
        <f t="shared" si="4"/>
        <v>250</v>
      </c>
    </row>
    <row r="57" spans="1:17" x14ac:dyDescent="0.25">
      <c r="A57" s="44">
        <v>54</v>
      </c>
      <c r="B57" s="45" t="s">
        <v>177</v>
      </c>
      <c r="C57" s="51" t="s">
        <v>124</v>
      </c>
      <c r="D57" s="45">
        <v>2</v>
      </c>
      <c r="E57" s="47">
        <v>1250</v>
      </c>
      <c r="F57" s="48">
        <f t="shared" si="0"/>
        <v>2500</v>
      </c>
      <c r="G57" s="46" t="s">
        <v>108</v>
      </c>
      <c r="H57" s="46" t="s">
        <v>15</v>
      </c>
      <c r="I57" s="46" t="s">
        <v>16</v>
      </c>
      <c r="J57" s="45"/>
      <c r="K57" s="49"/>
      <c r="L57" s="47">
        <v>1</v>
      </c>
      <c r="M57" s="49">
        <f t="shared" si="2"/>
        <v>1250</v>
      </c>
      <c r="N57" s="47"/>
      <c r="O57" s="49"/>
      <c r="P57" s="47">
        <v>1</v>
      </c>
      <c r="Q57" s="49">
        <f t="shared" si="4"/>
        <v>1250</v>
      </c>
    </row>
    <row r="58" spans="1:17" x14ac:dyDescent="0.25">
      <c r="A58" s="44">
        <v>55</v>
      </c>
      <c r="B58" s="45" t="s">
        <v>178</v>
      </c>
      <c r="C58" s="51" t="s">
        <v>124</v>
      </c>
      <c r="D58" s="45">
        <v>2</v>
      </c>
      <c r="E58" s="47">
        <v>1250</v>
      </c>
      <c r="F58" s="48">
        <f t="shared" si="0"/>
        <v>2500</v>
      </c>
      <c r="G58" s="46" t="s">
        <v>108</v>
      </c>
      <c r="H58" s="46" t="s">
        <v>15</v>
      </c>
      <c r="I58" s="46" t="s">
        <v>16</v>
      </c>
      <c r="J58" s="45"/>
      <c r="K58" s="49"/>
      <c r="L58" s="47">
        <v>1</v>
      </c>
      <c r="M58" s="49">
        <f t="shared" si="2"/>
        <v>1250</v>
      </c>
      <c r="N58" s="47"/>
      <c r="O58" s="49"/>
      <c r="P58" s="47">
        <v>1</v>
      </c>
      <c r="Q58" s="49">
        <f t="shared" si="4"/>
        <v>1250</v>
      </c>
    </row>
    <row r="59" spans="1:17" x14ac:dyDescent="0.25">
      <c r="A59" s="44">
        <v>56</v>
      </c>
      <c r="B59" s="45" t="s">
        <v>179</v>
      </c>
      <c r="C59" s="51" t="s">
        <v>126</v>
      </c>
      <c r="D59" s="45">
        <v>15</v>
      </c>
      <c r="E59" s="47">
        <v>50</v>
      </c>
      <c r="F59" s="48">
        <f t="shared" si="0"/>
        <v>750</v>
      </c>
      <c r="G59" s="46" t="s">
        <v>108</v>
      </c>
      <c r="H59" s="46" t="s">
        <v>15</v>
      </c>
      <c r="I59" s="46" t="s">
        <v>16</v>
      </c>
      <c r="J59" s="45"/>
      <c r="K59" s="49"/>
      <c r="L59" s="47">
        <v>10</v>
      </c>
      <c r="M59" s="49">
        <f t="shared" si="2"/>
        <v>500</v>
      </c>
      <c r="N59" s="47"/>
      <c r="O59" s="49"/>
      <c r="P59" s="47">
        <v>5</v>
      </c>
      <c r="Q59" s="49">
        <f t="shared" si="4"/>
        <v>250</v>
      </c>
    </row>
    <row r="60" spans="1:17" x14ac:dyDescent="0.25">
      <c r="A60" s="44">
        <v>57</v>
      </c>
      <c r="B60" s="45" t="s">
        <v>190</v>
      </c>
      <c r="C60" s="51" t="s">
        <v>180</v>
      </c>
      <c r="D60" s="45">
        <v>7</v>
      </c>
      <c r="E60" s="47">
        <v>850</v>
      </c>
      <c r="F60" s="48">
        <f t="shared" si="0"/>
        <v>5950</v>
      </c>
      <c r="G60" s="46" t="s">
        <v>108</v>
      </c>
      <c r="H60" s="46" t="s">
        <v>15</v>
      </c>
      <c r="I60" s="46" t="s">
        <v>16</v>
      </c>
      <c r="J60" s="45">
        <v>2</v>
      </c>
      <c r="K60" s="49">
        <f t="shared" si="1"/>
        <v>1700</v>
      </c>
      <c r="L60" s="47"/>
      <c r="M60" s="49"/>
      <c r="N60" s="47">
        <v>5</v>
      </c>
      <c r="O60" s="49">
        <f t="shared" si="3"/>
        <v>4250</v>
      </c>
      <c r="P60" s="47"/>
      <c r="Q60" s="49"/>
    </row>
    <row r="61" spans="1:17" x14ac:dyDescent="0.25">
      <c r="A61" s="44">
        <v>58</v>
      </c>
      <c r="B61" s="45" t="s">
        <v>189</v>
      </c>
      <c r="C61" s="51" t="s">
        <v>151</v>
      </c>
      <c r="D61" s="45">
        <v>5</v>
      </c>
      <c r="E61" s="47">
        <v>1200</v>
      </c>
      <c r="F61" s="48">
        <f t="shared" ref="F61:F118" si="5">D61*E61</f>
        <v>6000</v>
      </c>
      <c r="G61" s="46" t="s">
        <v>108</v>
      </c>
      <c r="H61" s="46" t="s">
        <v>15</v>
      </c>
      <c r="I61" s="46" t="s">
        <v>16</v>
      </c>
      <c r="J61" s="45">
        <v>3</v>
      </c>
      <c r="K61" s="49">
        <f t="shared" ref="K61:K118" si="6">E61*J61</f>
        <v>3600</v>
      </c>
      <c r="L61" s="47"/>
      <c r="M61" s="49"/>
      <c r="N61" s="47">
        <v>2</v>
      </c>
      <c r="O61" s="49">
        <f t="shared" ref="O61:O118" si="7">E61*N61</f>
        <v>2400</v>
      </c>
      <c r="P61" s="47"/>
      <c r="Q61" s="49"/>
    </row>
    <row r="62" spans="1:17" x14ac:dyDescent="0.25">
      <c r="A62" s="44">
        <v>59</v>
      </c>
      <c r="B62" s="45" t="s">
        <v>188</v>
      </c>
      <c r="C62" s="51" t="s">
        <v>151</v>
      </c>
      <c r="D62" s="45">
        <v>2</v>
      </c>
      <c r="E62" s="47">
        <v>850</v>
      </c>
      <c r="F62" s="48">
        <f t="shared" si="5"/>
        <v>1700</v>
      </c>
      <c r="G62" s="46" t="s">
        <v>108</v>
      </c>
      <c r="H62" s="46" t="s">
        <v>15</v>
      </c>
      <c r="I62" s="46" t="s">
        <v>16</v>
      </c>
      <c r="J62" s="45">
        <v>1</v>
      </c>
      <c r="K62" s="49">
        <f t="shared" si="6"/>
        <v>850</v>
      </c>
      <c r="L62" s="47"/>
      <c r="M62" s="49"/>
      <c r="N62" s="47">
        <v>1</v>
      </c>
      <c r="O62" s="49">
        <f t="shared" si="7"/>
        <v>850</v>
      </c>
      <c r="P62" s="47"/>
      <c r="Q62" s="49"/>
    </row>
    <row r="63" spans="1:17" x14ac:dyDescent="0.25">
      <c r="A63" s="44">
        <v>60</v>
      </c>
      <c r="B63" s="45" t="s">
        <v>187</v>
      </c>
      <c r="C63" s="51" t="s">
        <v>151</v>
      </c>
      <c r="D63" s="45">
        <v>4</v>
      </c>
      <c r="E63" s="47">
        <v>800</v>
      </c>
      <c r="F63" s="48">
        <f t="shared" si="5"/>
        <v>3200</v>
      </c>
      <c r="G63" s="46" t="s">
        <v>108</v>
      </c>
      <c r="H63" s="46" t="s">
        <v>15</v>
      </c>
      <c r="I63" s="46" t="s">
        <v>16</v>
      </c>
      <c r="J63" s="45">
        <v>3</v>
      </c>
      <c r="K63" s="49">
        <f t="shared" si="6"/>
        <v>2400</v>
      </c>
      <c r="L63" s="47"/>
      <c r="M63" s="49"/>
      <c r="N63" s="47">
        <v>1</v>
      </c>
      <c r="O63" s="49">
        <f t="shared" si="7"/>
        <v>800</v>
      </c>
      <c r="P63" s="47"/>
      <c r="Q63" s="49"/>
    </row>
    <row r="64" spans="1:17" x14ac:dyDescent="0.25">
      <c r="A64" s="44">
        <v>61</v>
      </c>
      <c r="B64" s="45" t="s">
        <v>37</v>
      </c>
      <c r="C64" s="51" t="s">
        <v>157</v>
      </c>
      <c r="D64" s="45">
        <v>3</v>
      </c>
      <c r="E64" s="47">
        <v>1590</v>
      </c>
      <c r="F64" s="48">
        <f t="shared" si="5"/>
        <v>4770</v>
      </c>
      <c r="G64" s="46" t="s">
        <v>108</v>
      </c>
      <c r="H64" s="46" t="s">
        <v>15</v>
      </c>
      <c r="I64" s="46" t="s">
        <v>16</v>
      </c>
      <c r="J64" s="45">
        <v>2</v>
      </c>
      <c r="K64" s="49">
        <f t="shared" si="6"/>
        <v>3180</v>
      </c>
      <c r="L64" s="47"/>
      <c r="M64" s="49"/>
      <c r="N64" s="47">
        <v>1</v>
      </c>
      <c r="O64" s="49">
        <f t="shared" si="7"/>
        <v>1590</v>
      </c>
      <c r="P64" s="47"/>
      <c r="Q64" s="49"/>
    </row>
    <row r="65" spans="1:17" x14ac:dyDescent="0.25">
      <c r="A65" s="44">
        <v>62</v>
      </c>
      <c r="B65" s="45" t="s">
        <v>186</v>
      </c>
      <c r="C65" s="51" t="s">
        <v>151</v>
      </c>
      <c r="D65" s="45">
        <v>3</v>
      </c>
      <c r="E65" s="47">
        <v>700</v>
      </c>
      <c r="F65" s="48">
        <f t="shared" si="5"/>
        <v>2100</v>
      </c>
      <c r="G65" s="46" t="s">
        <v>108</v>
      </c>
      <c r="H65" s="46" t="s">
        <v>15</v>
      </c>
      <c r="I65" s="46" t="s">
        <v>16</v>
      </c>
      <c r="J65" s="45">
        <v>1</v>
      </c>
      <c r="K65" s="49">
        <f t="shared" si="6"/>
        <v>700</v>
      </c>
      <c r="L65" s="47"/>
      <c r="M65" s="49"/>
      <c r="N65" s="47">
        <v>2</v>
      </c>
      <c r="O65" s="49">
        <f t="shared" si="7"/>
        <v>1400</v>
      </c>
      <c r="P65" s="47"/>
      <c r="Q65" s="49"/>
    </row>
    <row r="66" spans="1:17" x14ac:dyDescent="0.25">
      <c r="A66" s="44">
        <v>63</v>
      </c>
      <c r="B66" s="45" t="s">
        <v>185</v>
      </c>
      <c r="C66" s="51" t="s">
        <v>151</v>
      </c>
      <c r="D66" s="45">
        <v>6</v>
      </c>
      <c r="E66" s="47">
        <v>800</v>
      </c>
      <c r="F66" s="48">
        <f t="shared" si="5"/>
        <v>4800</v>
      </c>
      <c r="G66" s="46" t="s">
        <v>108</v>
      </c>
      <c r="H66" s="46" t="s">
        <v>15</v>
      </c>
      <c r="I66" s="46" t="s">
        <v>16</v>
      </c>
      <c r="J66" s="45">
        <v>3</v>
      </c>
      <c r="K66" s="49">
        <f t="shared" si="6"/>
        <v>2400</v>
      </c>
      <c r="L66" s="47"/>
      <c r="M66" s="49"/>
      <c r="N66" s="47">
        <v>3</v>
      </c>
      <c r="O66" s="49">
        <f t="shared" si="7"/>
        <v>2400</v>
      </c>
      <c r="P66" s="47"/>
      <c r="Q66" s="49"/>
    </row>
    <row r="67" spans="1:17" x14ac:dyDescent="0.25">
      <c r="A67" s="44">
        <v>64</v>
      </c>
      <c r="B67" s="45" t="s">
        <v>184</v>
      </c>
      <c r="C67" s="51" t="s">
        <v>151</v>
      </c>
      <c r="D67" s="45">
        <v>4</v>
      </c>
      <c r="E67" s="47">
        <v>500</v>
      </c>
      <c r="F67" s="48">
        <f t="shared" si="5"/>
        <v>2000</v>
      </c>
      <c r="G67" s="46" t="s">
        <v>108</v>
      </c>
      <c r="H67" s="46" t="s">
        <v>15</v>
      </c>
      <c r="I67" s="46" t="s">
        <v>16</v>
      </c>
      <c r="J67" s="45">
        <v>2</v>
      </c>
      <c r="K67" s="49">
        <f t="shared" si="6"/>
        <v>1000</v>
      </c>
      <c r="L67" s="47"/>
      <c r="M67" s="49"/>
      <c r="N67" s="47">
        <v>2</v>
      </c>
      <c r="O67" s="49">
        <f t="shared" si="7"/>
        <v>1000</v>
      </c>
      <c r="P67" s="47"/>
      <c r="Q67" s="49"/>
    </row>
    <row r="68" spans="1:17" x14ac:dyDescent="0.25">
      <c r="A68" s="44">
        <v>65</v>
      </c>
      <c r="B68" s="45" t="s">
        <v>183</v>
      </c>
      <c r="C68" s="51" t="s">
        <v>156</v>
      </c>
      <c r="D68" s="45">
        <v>20</v>
      </c>
      <c r="E68" s="47">
        <v>280</v>
      </c>
      <c r="F68" s="48">
        <f t="shared" si="5"/>
        <v>5600</v>
      </c>
      <c r="G68" s="46" t="s">
        <v>108</v>
      </c>
      <c r="H68" s="46" t="s">
        <v>15</v>
      </c>
      <c r="I68" s="46" t="s">
        <v>16</v>
      </c>
      <c r="J68" s="45">
        <v>10</v>
      </c>
      <c r="K68" s="49">
        <f t="shared" si="6"/>
        <v>2800</v>
      </c>
      <c r="L68" s="47"/>
      <c r="M68" s="49"/>
      <c r="N68" s="47">
        <v>10</v>
      </c>
      <c r="O68" s="49">
        <f t="shared" si="7"/>
        <v>2800</v>
      </c>
      <c r="P68" s="47"/>
      <c r="Q68" s="49"/>
    </row>
    <row r="69" spans="1:17" x14ac:dyDescent="0.25">
      <c r="A69" s="44">
        <v>66</v>
      </c>
      <c r="B69" s="45" t="s">
        <v>38</v>
      </c>
      <c r="C69" s="51" t="s">
        <v>168</v>
      </c>
      <c r="D69" s="45">
        <v>6</v>
      </c>
      <c r="E69" s="47">
        <v>210</v>
      </c>
      <c r="F69" s="48">
        <f t="shared" si="5"/>
        <v>1260</v>
      </c>
      <c r="G69" s="46" t="s">
        <v>108</v>
      </c>
      <c r="H69" s="46" t="s">
        <v>15</v>
      </c>
      <c r="I69" s="46" t="s">
        <v>16</v>
      </c>
      <c r="J69" s="45">
        <v>3</v>
      </c>
      <c r="K69" s="49">
        <f t="shared" si="6"/>
        <v>630</v>
      </c>
      <c r="L69" s="47"/>
      <c r="M69" s="49"/>
      <c r="N69" s="47">
        <v>3</v>
      </c>
      <c r="O69" s="49">
        <f t="shared" si="7"/>
        <v>630</v>
      </c>
      <c r="P69" s="47"/>
      <c r="Q69" s="49"/>
    </row>
    <row r="70" spans="1:17" x14ac:dyDescent="0.25">
      <c r="A70" s="44">
        <v>67</v>
      </c>
      <c r="B70" s="45" t="s">
        <v>182</v>
      </c>
      <c r="C70" s="51" t="s">
        <v>181</v>
      </c>
      <c r="D70" s="45">
        <v>10</v>
      </c>
      <c r="E70" s="47">
        <v>250</v>
      </c>
      <c r="F70" s="48">
        <f t="shared" si="5"/>
        <v>2500</v>
      </c>
      <c r="G70" s="46" t="s">
        <v>108</v>
      </c>
      <c r="H70" s="46" t="s">
        <v>15</v>
      </c>
      <c r="I70" s="46" t="s">
        <v>16</v>
      </c>
      <c r="J70" s="45">
        <v>5</v>
      </c>
      <c r="K70" s="49">
        <f t="shared" si="6"/>
        <v>1250</v>
      </c>
      <c r="L70" s="47"/>
      <c r="M70" s="49"/>
      <c r="N70" s="47">
        <v>5</v>
      </c>
      <c r="O70" s="49">
        <f t="shared" si="7"/>
        <v>1250</v>
      </c>
      <c r="P70" s="47"/>
      <c r="Q70" s="49"/>
    </row>
    <row r="71" spans="1:17" x14ac:dyDescent="0.25">
      <c r="A71" s="44">
        <v>68</v>
      </c>
      <c r="B71" s="45" t="s">
        <v>193</v>
      </c>
      <c r="C71" s="51" t="s">
        <v>151</v>
      </c>
      <c r="D71" s="45">
        <v>6</v>
      </c>
      <c r="E71" s="47">
        <v>4500</v>
      </c>
      <c r="F71" s="48">
        <f t="shared" si="5"/>
        <v>27000</v>
      </c>
      <c r="G71" s="46" t="s">
        <v>108</v>
      </c>
      <c r="H71" s="46" t="s">
        <v>15</v>
      </c>
      <c r="I71" s="46" t="s">
        <v>16</v>
      </c>
      <c r="J71" s="45">
        <v>3</v>
      </c>
      <c r="K71" s="49">
        <f t="shared" si="6"/>
        <v>13500</v>
      </c>
      <c r="L71" s="47"/>
      <c r="M71" s="49"/>
      <c r="N71" s="47">
        <v>3</v>
      </c>
      <c r="O71" s="49">
        <f t="shared" si="7"/>
        <v>13500</v>
      </c>
      <c r="P71" s="47"/>
      <c r="Q71" s="49"/>
    </row>
    <row r="72" spans="1:17" x14ac:dyDescent="0.25">
      <c r="A72" s="44">
        <v>69</v>
      </c>
      <c r="B72" s="45" t="s">
        <v>195</v>
      </c>
      <c r="C72" s="51" t="s">
        <v>192</v>
      </c>
      <c r="D72" s="45">
        <v>8</v>
      </c>
      <c r="E72" s="47">
        <v>4800</v>
      </c>
      <c r="F72" s="48">
        <f t="shared" si="5"/>
        <v>38400</v>
      </c>
      <c r="G72" s="46" t="s">
        <v>108</v>
      </c>
      <c r="H72" s="46" t="s">
        <v>15</v>
      </c>
      <c r="I72" s="46" t="s">
        <v>16</v>
      </c>
      <c r="J72" s="45">
        <v>4</v>
      </c>
      <c r="K72" s="49">
        <f t="shared" si="6"/>
        <v>19200</v>
      </c>
      <c r="L72" s="47"/>
      <c r="M72" s="49"/>
      <c r="N72" s="47">
        <v>4</v>
      </c>
      <c r="O72" s="49">
        <f t="shared" si="7"/>
        <v>19200</v>
      </c>
      <c r="P72" s="47"/>
      <c r="Q72" s="49"/>
    </row>
    <row r="73" spans="1:17" x14ac:dyDescent="0.25">
      <c r="A73" s="44">
        <v>70</v>
      </c>
      <c r="B73" s="45" t="s">
        <v>194</v>
      </c>
      <c r="C73" s="51" t="s">
        <v>151</v>
      </c>
      <c r="D73" s="45">
        <v>80</v>
      </c>
      <c r="E73" s="47">
        <v>450</v>
      </c>
      <c r="F73" s="48">
        <f t="shared" si="5"/>
        <v>36000</v>
      </c>
      <c r="G73" s="46" t="s">
        <v>108</v>
      </c>
      <c r="H73" s="46" t="s">
        <v>15</v>
      </c>
      <c r="I73" s="46" t="s">
        <v>16</v>
      </c>
      <c r="J73" s="45">
        <v>40</v>
      </c>
      <c r="K73" s="49">
        <f t="shared" si="6"/>
        <v>18000</v>
      </c>
      <c r="L73" s="47"/>
      <c r="M73" s="49"/>
      <c r="N73" s="47">
        <v>40</v>
      </c>
      <c r="O73" s="49">
        <f t="shared" si="7"/>
        <v>18000</v>
      </c>
      <c r="P73" s="47"/>
      <c r="Q73" s="49"/>
    </row>
    <row r="74" spans="1:17" x14ac:dyDescent="0.25">
      <c r="A74" s="44">
        <v>71</v>
      </c>
      <c r="B74" s="45" t="s">
        <v>198</v>
      </c>
      <c r="C74" s="51" t="s">
        <v>148</v>
      </c>
      <c r="D74" s="45">
        <v>2</v>
      </c>
      <c r="E74" s="47">
        <v>2400</v>
      </c>
      <c r="F74" s="48">
        <f t="shared" si="5"/>
        <v>4800</v>
      </c>
      <c r="G74" s="46" t="s">
        <v>108</v>
      </c>
      <c r="H74" s="46" t="s">
        <v>15</v>
      </c>
      <c r="I74" s="46" t="s">
        <v>16</v>
      </c>
      <c r="J74" s="45">
        <v>1</v>
      </c>
      <c r="K74" s="49">
        <f t="shared" si="6"/>
        <v>2400</v>
      </c>
      <c r="L74" s="47"/>
      <c r="M74" s="49"/>
      <c r="N74" s="47">
        <v>1</v>
      </c>
      <c r="O74" s="49">
        <f t="shared" si="7"/>
        <v>2400</v>
      </c>
      <c r="P74" s="47"/>
      <c r="Q74" s="49"/>
    </row>
    <row r="75" spans="1:17" x14ac:dyDescent="0.25">
      <c r="A75" s="44">
        <v>72</v>
      </c>
      <c r="B75" s="45" t="s">
        <v>197</v>
      </c>
      <c r="C75" s="51" t="s">
        <v>124</v>
      </c>
      <c r="D75" s="45">
        <v>2</v>
      </c>
      <c r="E75" s="47">
        <v>5000</v>
      </c>
      <c r="F75" s="48">
        <f t="shared" si="5"/>
        <v>10000</v>
      </c>
      <c r="G75" s="46" t="s">
        <v>108</v>
      </c>
      <c r="H75" s="46" t="s">
        <v>15</v>
      </c>
      <c r="I75" s="46" t="s">
        <v>16</v>
      </c>
      <c r="J75" s="45">
        <v>1</v>
      </c>
      <c r="K75" s="49">
        <f t="shared" si="6"/>
        <v>5000</v>
      </c>
      <c r="L75" s="47"/>
      <c r="M75" s="49"/>
      <c r="N75" s="47">
        <v>1</v>
      </c>
      <c r="O75" s="49">
        <f t="shared" si="7"/>
        <v>5000</v>
      </c>
      <c r="P75" s="47"/>
      <c r="Q75" s="49"/>
    </row>
    <row r="76" spans="1:17" x14ac:dyDescent="0.25">
      <c r="A76" s="44">
        <v>73</v>
      </c>
      <c r="B76" s="45" t="s">
        <v>196</v>
      </c>
      <c r="C76" s="51" t="s">
        <v>124</v>
      </c>
      <c r="D76" s="45">
        <v>2</v>
      </c>
      <c r="E76" s="47">
        <v>6500</v>
      </c>
      <c r="F76" s="48">
        <f t="shared" si="5"/>
        <v>13000</v>
      </c>
      <c r="G76" s="46" t="s">
        <v>108</v>
      </c>
      <c r="H76" s="46" t="s">
        <v>15</v>
      </c>
      <c r="I76" s="46" t="s">
        <v>16</v>
      </c>
      <c r="J76" s="45">
        <v>1</v>
      </c>
      <c r="K76" s="49">
        <f t="shared" si="6"/>
        <v>6500</v>
      </c>
      <c r="L76" s="47"/>
      <c r="M76" s="49"/>
      <c r="N76" s="47">
        <v>1</v>
      </c>
      <c r="O76" s="49">
        <f t="shared" si="7"/>
        <v>6500</v>
      </c>
      <c r="P76" s="47"/>
      <c r="Q76" s="49"/>
    </row>
    <row r="77" spans="1:17" x14ac:dyDescent="0.25">
      <c r="A77" s="44">
        <v>74</v>
      </c>
      <c r="B77" s="45" t="s">
        <v>202</v>
      </c>
      <c r="C77" s="51" t="s">
        <v>199</v>
      </c>
      <c r="D77" s="45">
        <v>20</v>
      </c>
      <c r="E77" s="47">
        <v>650</v>
      </c>
      <c r="F77" s="48">
        <f t="shared" si="5"/>
        <v>13000</v>
      </c>
      <c r="G77" s="46" t="s">
        <v>108</v>
      </c>
      <c r="H77" s="46" t="s">
        <v>15</v>
      </c>
      <c r="I77" s="46" t="s">
        <v>16</v>
      </c>
      <c r="J77" s="45">
        <v>10</v>
      </c>
      <c r="K77" s="49">
        <f t="shared" si="6"/>
        <v>6500</v>
      </c>
      <c r="L77" s="47"/>
      <c r="M77" s="49"/>
      <c r="N77" s="47">
        <v>10</v>
      </c>
      <c r="O77" s="49">
        <f t="shared" si="7"/>
        <v>6500</v>
      </c>
      <c r="P77" s="47"/>
      <c r="Q77" s="49"/>
    </row>
    <row r="78" spans="1:17" x14ac:dyDescent="0.25">
      <c r="A78" s="44">
        <v>75</v>
      </c>
      <c r="B78" s="45" t="s">
        <v>203</v>
      </c>
      <c r="C78" s="51" t="s">
        <v>200</v>
      </c>
      <c r="D78" s="45">
        <v>40</v>
      </c>
      <c r="E78" s="47">
        <v>780</v>
      </c>
      <c r="F78" s="48">
        <f t="shared" si="5"/>
        <v>31200</v>
      </c>
      <c r="G78" s="46" t="s">
        <v>108</v>
      </c>
      <c r="H78" s="46" t="s">
        <v>15</v>
      </c>
      <c r="I78" s="46" t="s">
        <v>16</v>
      </c>
      <c r="J78" s="45">
        <v>20</v>
      </c>
      <c r="K78" s="49">
        <f t="shared" si="6"/>
        <v>15600</v>
      </c>
      <c r="L78" s="47"/>
      <c r="M78" s="49"/>
      <c r="N78" s="47">
        <v>20</v>
      </c>
      <c r="O78" s="49">
        <f t="shared" si="7"/>
        <v>15600</v>
      </c>
      <c r="P78" s="47"/>
      <c r="Q78" s="49"/>
    </row>
    <row r="79" spans="1:17" x14ac:dyDescent="0.25">
      <c r="A79" s="44">
        <v>76</v>
      </c>
      <c r="B79" s="45" t="s">
        <v>204</v>
      </c>
      <c r="C79" s="51" t="s">
        <v>124</v>
      </c>
      <c r="D79" s="45">
        <v>200</v>
      </c>
      <c r="E79" s="47">
        <v>450</v>
      </c>
      <c r="F79" s="48">
        <f t="shared" si="5"/>
        <v>90000</v>
      </c>
      <c r="G79" s="46" t="s">
        <v>108</v>
      </c>
      <c r="H79" s="46" t="s">
        <v>15</v>
      </c>
      <c r="I79" s="46" t="s">
        <v>16</v>
      </c>
      <c r="J79" s="45">
        <v>100</v>
      </c>
      <c r="K79" s="49">
        <f t="shared" si="6"/>
        <v>45000</v>
      </c>
      <c r="L79" s="47"/>
      <c r="M79" s="49"/>
      <c r="N79" s="47">
        <v>100</v>
      </c>
      <c r="O79" s="49">
        <f t="shared" si="7"/>
        <v>45000</v>
      </c>
      <c r="P79" s="47"/>
      <c r="Q79" s="49"/>
    </row>
    <row r="80" spans="1:17" x14ac:dyDescent="0.25">
      <c r="A80" s="44">
        <v>77</v>
      </c>
      <c r="B80" s="45" t="s">
        <v>205</v>
      </c>
      <c r="C80" s="51" t="s">
        <v>125</v>
      </c>
      <c r="D80" s="45">
        <v>10</v>
      </c>
      <c r="E80" s="47">
        <v>1200</v>
      </c>
      <c r="F80" s="48">
        <f t="shared" si="5"/>
        <v>12000</v>
      </c>
      <c r="G80" s="46" t="s">
        <v>108</v>
      </c>
      <c r="H80" s="46" t="s">
        <v>15</v>
      </c>
      <c r="I80" s="46" t="s">
        <v>16</v>
      </c>
      <c r="J80" s="45">
        <v>5</v>
      </c>
      <c r="K80" s="49">
        <f t="shared" si="6"/>
        <v>6000</v>
      </c>
      <c r="L80" s="47"/>
      <c r="M80" s="49"/>
      <c r="N80" s="47">
        <v>5</v>
      </c>
      <c r="O80" s="49">
        <f t="shared" si="7"/>
        <v>6000</v>
      </c>
      <c r="P80" s="47"/>
      <c r="Q80" s="49"/>
    </row>
    <row r="81" spans="1:17" x14ac:dyDescent="0.25">
      <c r="A81" s="44">
        <v>78</v>
      </c>
      <c r="B81" s="45" t="s">
        <v>206</v>
      </c>
      <c r="C81" s="51" t="s">
        <v>126</v>
      </c>
      <c r="D81" s="45">
        <v>10</v>
      </c>
      <c r="E81" s="47">
        <v>250</v>
      </c>
      <c r="F81" s="48">
        <f t="shared" si="5"/>
        <v>2500</v>
      </c>
      <c r="G81" s="46" t="s">
        <v>108</v>
      </c>
      <c r="H81" s="46" t="s">
        <v>15</v>
      </c>
      <c r="I81" s="46" t="s">
        <v>16</v>
      </c>
      <c r="J81" s="45">
        <v>5</v>
      </c>
      <c r="K81" s="49">
        <f t="shared" si="6"/>
        <v>1250</v>
      </c>
      <c r="L81" s="47"/>
      <c r="M81" s="49"/>
      <c r="N81" s="47">
        <v>5</v>
      </c>
      <c r="O81" s="49">
        <f t="shared" si="7"/>
        <v>1250</v>
      </c>
      <c r="P81" s="47"/>
      <c r="Q81" s="49"/>
    </row>
    <row r="82" spans="1:17" x14ac:dyDescent="0.25">
      <c r="A82" s="44">
        <v>79</v>
      </c>
      <c r="B82" s="45" t="s">
        <v>42</v>
      </c>
      <c r="C82" s="51" t="s">
        <v>126</v>
      </c>
      <c r="D82" s="45">
        <v>4</v>
      </c>
      <c r="E82" s="47">
        <v>1800</v>
      </c>
      <c r="F82" s="48">
        <f t="shared" si="5"/>
        <v>7200</v>
      </c>
      <c r="G82" s="46" t="s">
        <v>108</v>
      </c>
      <c r="H82" s="46" t="s">
        <v>15</v>
      </c>
      <c r="I82" s="46" t="s">
        <v>16</v>
      </c>
      <c r="J82" s="45">
        <v>2</v>
      </c>
      <c r="K82" s="49">
        <f t="shared" si="6"/>
        <v>3600</v>
      </c>
      <c r="L82" s="47"/>
      <c r="M82" s="49"/>
      <c r="N82" s="47">
        <v>2</v>
      </c>
      <c r="O82" s="49">
        <f t="shared" si="7"/>
        <v>3600</v>
      </c>
      <c r="P82" s="47"/>
      <c r="Q82" s="49"/>
    </row>
    <row r="83" spans="1:17" x14ac:dyDescent="0.25">
      <c r="A83" s="44">
        <v>80</v>
      </c>
      <c r="B83" s="45" t="s">
        <v>43</v>
      </c>
      <c r="C83" s="51" t="s">
        <v>126</v>
      </c>
      <c r="D83" s="45">
        <v>8</v>
      </c>
      <c r="E83" s="47">
        <v>1120</v>
      </c>
      <c r="F83" s="48">
        <f t="shared" si="5"/>
        <v>8960</v>
      </c>
      <c r="G83" s="46" t="s">
        <v>108</v>
      </c>
      <c r="H83" s="46" t="s">
        <v>15</v>
      </c>
      <c r="I83" s="46" t="s">
        <v>16</v>
      </c>
      <c r="J83" s="45">
        <v>4</v>
      </c>
      <c r="K83" s="49">
        <f t="shared" si="6"/>
        <v>4480</v>
      </c>
      <c r="L83" s="47"/>
      <c r="M83" s="49"/>
      <c r="N83" s="47">
        <v>4</v>
      </c>
      <c r="O83" s="49">
        <f t="shared" si="7"/>
        <v>4480</v>
      </c>
      <c r="P83" s="47"/>
      <c r="Q83" s="49"/>
    </row>
    <row r="84" spans="1:17" x14ac:dyDescent="0.25">
      <c r="A84" s="44">
        <v>81</v>
      </c>
      <c r="B84" s="45" t="s">
        <v>207</v>
      </c>
      <c r="C84" s="51" t="s">
        <v>126</v>
      </c>
      <c r="D84" s="45">
        <v>25</v>
      </c>
      <c r="E84" s="47">
        <v>160</v>
      </c>
      <c r="F84" s="48">
        <f t="shared" si="5"/>
        <v>4000</v>
      </c>
      <c r="G84" s="46" t="s">
        <v>108</v>
      </c>
      <c r="H84" s="46" t="s">
        <v>15</v>
      </c>
      <c r="I84" s="46" t="s">
        <v>16</v>
      </c>
      <c r="J84" s="45">
        <v>10</v>
      </c>
      <c r="K84" s="49">
        <f t="shared" si="6"/>
        <v>1600</v>
      </c>
      <c r="L84" s="47">
        <v>5</v>
      </c>
      <c r="M84" s="49">
        <f t="shared" ref="M84:M112" si="8">E84*L84</f>
        <v>800</v>
      </c>
      <c r="N84" s="47">
        <v>5</v>
      </c>
      <c r="O84" s="49">
        <f t="shared" si="7"/>
        <v>800</v>
      </c>
      <c r="P84" s="47">
        <v>5</v>
      </c>
      <c r="Q84" s="49">
        <f t="shared" ref="Q84:Q112" si="9">E84*P84</f>
        <v>800</v>
      </c>
    </row>
    <row r="85" spans="1:17" x14ac:dyDescent="0.25">
      <c r="A85" s="44">
        <v>82</v>
      </c>
      <c r="B85" s="45" t="s">
        <v>208</v>
      </c>
      <c r="C85" s="51" t="s">
        <v>126</v>
      </c>
      <c r="D85" s="45">
        <v>13</v>
      </c>
      <c r="E85" s="47">
        <v>1300</v>
      </c>
      <c r="F85" s="48">
        <f t="shared" si="5"/>
        <v>16900</v>
      </c>
      <c r="G85" s="46" t="s">
        <v>108</v>
      </c>
      <c r="H85" s="46" t="s">
        <v>15</v>
      </c>
      <c r="I85" s="46" t="s">
        <v>16</v>
      </c>
      <c r="J85" s="45">
        <v>5</v>
      </c>
      <c r="K85" s="49">
        <f t="shared" si="6"/>
        <v>6500</v>
      </c>
      <c r="L85" s="47">
        <v>3</v>
      </c>
      <c r="M85" s="49">
        <f t="shared" si="8"/>
        <v>3900</v>
      </c>
      <c r="N85" s="47">
        <v>3</v>
      </c>
      <c r="O85" s="49">
        <f t="shared" si="7"/>
        <v>3900</v>
      </c>
      <c r="P85" s="47">
        <v>2</v>
      </c>
      <c r="Q85" s="49">
        <f t="shared" si="9"/>
        <v>2600</v>
      </c>
    </row>
    <row r="86" spans="1:17" x14ac:dyDescent="0.25">
      <c r="A86" s="44">
        <v>83</v>
      </c>
      <c r="B86" s="45" t="s">
        <v>209</v>
      </c>
      <c r="C86" s="51" t="s">
        <v>201</v>
      </c>
      <c r="D86" s="45">
        <v>4</v>
      </c>
      <c r="E86" s="47">
        <v>880</v>
      </c>
      <c r="F86" s="48">
        <f t="shared" si="5"/>
        <v>3520</v>
      </c>
      <c r="G86" s="46" t="s">
        <v>108</v>
      </c>
      <c r="H86" s="46" t="s">
        <v>15</v>
      </c>
      <c r="I86" s="46" t="s">
        <v>16</v>
      </c>
      <c r="J86" s="45">
        <v>2</v>
      </c>
      <c r="K86" s="49">
        <f t="shared" si="6"/>
        <v>1760</v>
      </c>
      <c r="L86" s="47"/>
      <c r="M86" s="49"/>
      <c r="N86" s="47">
        <v>2</v>
      </c>
      <c r="O86" s="49">
        <f t="shared" si="7"/>
        <v>1760</v>
      </c>
      <c r="P86" s="47"/>
      <c r="Q86" s="49"/>
    </row>
    <row r="87" spans="1:17" x14ac:dyDescent="0.25">
      <c r="A87" s="44">
        <v>84</v>
      </c>
      <c r="B87" s="45" t="s">
        <v>210</v>
      </c>
      <c r="C87" s="51" t="s">
        <v>168</v>
      </c>
      <c r="D87" s="45">
        <v>20</v>
      </c>
      <c r="E87" s="47">
        <v>6550</v>
      </c>
      <c r="F87" s="48">
        <f t="shared" si="5"/>
        <v>131000</v>
      </c>
      <c r="G87" s="46" t="s">
        <v>108</v>
      </c>
      <c r="H87" s="46" t="s">
        <v>15</v>
      </c>
      <c r="I87" s="46" t="s">
        <v>16</v>
      </c>
      <c r="J87" s="45">
        <v>10</v>
      </c>
      <c r="K87" s="49">
        <f t="shared" si="6"/>
        <v>65500</v>
      </c>
      <c r="L87" s="47"/>
      <c r="M87" s="49"/>
      <c r="N87" s="47">
        <v>10</v>
      </c>
      <c r="O87" s="49">
        <f t="shared" si="7"/>
        <v>65500</v>
      </c>
      <c r="P87" s="47"/>
      <c r="Q87" s="49"/>
    </row>
    <row r="88" spans="1:17" x14ac:dyDescent="0.25">
      <c r="A88" s="44">
        <v>85</v>
      </c>
      <c r="B88" s="45" t="s">
        <v>213</v>
      </c>
      <c r="C88" s="51" t="s">
        <v>211</v>
      </c>
      <c r="D88" s="45">
        <v>40</v>
      </c>
      <c r="E88" s="47">
        <v>3210</v>
      </c>
      <c r="F88" s="48">
        <f t="shared" si="5"/>
        <v>128400</v>
      </c>
      <c r="G88" s="46" t="s">
        <v>108</v>
      </c>
      <c r="H88" s="46" t="s">
        <v>15</v>
      </c>
      <c r="I88" s="46" t="s">
        <v>16</v>
      </c>
      <c r="J88" s="45">
        <v>10</v>
      </c>
      <c r="K88" s="49">
        <f t="shared" si="6"/>
        <v>32100</v>
      </c>
      <c r="L88" s="47">
        <v>10</v>
      </c>
      <c r="M88" s="49">
        <f t="shared" si="8"/>
        <v>32100</v>
      </c>
      <c r="N88" s="47">
        <v>10</v>
      </c>
      <c r="O88" s="49">
        <f t="shared" si="7"/>
        <v>32100</v>
      </c>
      <c r="P88" s="47">
        <v>10</v>
      </c>
      <c r="Q88" s="49">
        <f t="shared" si="9"/>
        <v>32100</v>
      </c>
    </row>
    <row r="89" spans="1:17" x14ac:dyDescent="0.25">
      <c r="A89" s="44">
        <v>86</v>
      </c>
      <c r="B89" s="45" t="s">
        <v>214</v>
      </c>
      <c r="C89" s="51" t="s">
        <v>157</v>
      </c>
      <c r="D89" s="45">
        <v>80</v>
      </c>
      <c r="E89" s="47">
        <v>1650</v>
      </c>
      <c r="F89" s="48">
        <f t="shared" si="5"/>
        <v>132000</v>
      </c>
      <c r="G89" s="46" t="s">
        <v>108</v>
      </c>
      <c r="H89" s="46" t="s">
        <v>15</v>
      </c>
      <c r="I89" s="46" t="s">
        <v>16</v>
      </c>
      <c r="J89" s="45">
        <v>20</v>
      </c>
      <c r="K89" s="49">
        <f t="shared" si="6"/>
        <v>33000</v>
      </c>
      <c r="L89" s="47">
        <v>20</v>
      </c>
      <c r="M89" s="49">
        <f t="shared" si="8"/>
        <v>33000</v>
      </c>
      <c r="N89" s="47">
        <v>20</v>
      </c>
      <c r="O89" s="49">
        <f t="shared" si="7"/>
        <v>33000</v>
      </c>
      <c r="P89" s="47">
        <v>20</v>
      </c>
      <c r="Q89" s="49">
        <f t="shared" si="9"/>
        <v>33000</v>
      </c>
    </row>
    <row r="90" spans="1:17" x14ac:dyDescent="0.25">
      <c r="A90" s="44">
        <v>87</v>
      </c>
      <c r="B90" s="45" t="s">
        <v>215</v>
      </c>
      <c r="C90" s="51" t="s">
        <v>157</v>
      </c>
      <c r="D90" s="45">
        <v>8</v>
      </c>
      <c r="E90" s="47">
        <v>3200</v>
      </c>
      <c r="F90" s="48">
        <f t="shared" si="5"/>
        <v>25600</v>
      </c>
      <c r="G90" s="46" t="s">
        <v>108</v>
      </c>
      <c r="H90" s="46" t="s">
        <v>15</v>
      </c>
      <c r="I90" s="46" t="s">
        <v>16</v>
      </c>
      <c r="J90" s="45">
        <v>2</v>
      </c>
      <c r="K90" s="49">
        <f t="shared" si="6"/>
        <v>6400</v>
      </c>
      <c r="L90" s="47">
        <v>2</v>
      </c>
      <c r="M90" s="49">
        <f t="shared" si="8"/>
        <v>6400</v>
      </c>
      <c r="N90" s="47">
        <v>2</v>
      </c>
      <c r="O90" s="49">
        <f t="shared" si="7"/>
        <v>6400</v>
      </c>
      <c r="P90" s="47">
        <v>2</v>
      </c>
      <c r="Q90" s="49">
        <f t="shared" si="9"/>
        <v>6400</v>
      </c>
    </row>
    <row r="91" spans="1:17" x14ac:dyDescent="0.25">
      <c r="A91" s="44">
        <v>88</v>
      </c>
      <c r="B91" s="45" t="s">
        <v>216</v>
      </c>
      <c r="C91" s="51" t="s">
        <v>157</v>
      </c>
      <c r="D91" s="45">
        <v>4</v>
      </c>
      <c r="E91" s="47">
        <v>2400</v>
      </c>
      <c r="F91" s="48">
        <f t="shared" si="5"/>
        <v>9600</v>
      </c>
      <c r="G91" s="46" t="s">
        <v>108</v>
      </c>
      <c r="H91" s="46" t="s">
        <v>15</v>
      </c>
      <c r="I91" s="46" t="s">
        <v>16</v>
      </c>
      <c r="J91" s="45">
        <v>1</v>
      </c>
      <c r="K91" s="49">
        <f t="shared" si="6"/>
        <v>2400</v>
      </c>
      <c r="L91" s="47">
        <v>1</v>
      </c>
      <c r="M91" s="49">
        <f t="shared" si="8"/>
        <v>2400</v>
      </c>
      <c r="N91" s="47">
        <v>1</v>
      </c>
      <c r="O91" s="49">
        <f t="shared" si="7"/>
        <v>2400</v>
      </c>
      <c r="P91" s="47">
        <v>1</v>
      </c>
      <c r="Q91" s="49">
        <f t="shared" si="9"/>
        <v>2400</v>
      </c>
    </row>
    <row r="92" spans="1:17" x14ac:dyDescent="0.25">
      <c r="A92" s="44">
        <v>89</v>
      </c>
      <c r="B92" s="45" t="s">
        <v>217</v>
      </c>
      <c r="C92" s="51" t="s">
        <v>157</v>
      </c>
      <c r="D92" s="45">
        <v>8</v>
      </c>
      <c r="E92" s="47">
        <v>1200</v>
      </c>
      <c r="F92" s="48">
        <f t="shared" si="5"/>
        <v>9600</v>
      </c>
      <c r="G92" s="46" t="s">
        <v>108</v>
      </c>
      <c r="H92" s="46" t="s">
        <v>15</v>
      </c>
      <c r="I92" s="46" t="s">
        <v>16</v>
      </c>
      <c r="J92" s="45">
        <v>2</v>
      </c>
      <c r="K92" s="49">
        <f t="shared" si="6"/>
        <v>2400</v>
      </c>
      <c r="L92" s="47">
        <v>2</v>
      </c>
      <c r="M92" s="49">
        <f t="shared" si="8"/>
        <v>2400</v>
      </c>
      <c r="N92" s="47">
        <v>2</v>
      </c>
      <c r="O92" s="49">
        <f t="shared" si="7"/>
        <v>2400</v>
      </c>
      <c r="P92" s="47">
        <v>2</v>
      </c>
      <c r="Q92" s="49">
        <f t="shared" si="9"/>
        <v>2400</v>
      </c>
    </row>
    <row r="93" spans="1:17" x14ac:dyDescent="0.25">
      <c r="A93" s="44">
        <v>90</v>
      </c>
      <c r="B93" s="45" t="s">
        <v>218</v>
      </c>
      <c r="C93" s="51" t="s">
        <v>157</v>
      </c>
      <c r="D93" s="45">
        <v>8</v>
      </c>
      <c r="E93" s="47">
        <v>13000</v>
      </c>
      <c r="F93" s="48">
        <f t="shared" si="5"/>
        <v>104000</v>
      </c>
      <c r="G93" s="46" t="s">
        <v>108</v>
      </c>
      <c r="H93" s="46" t="s">
        <v>15</v>
      </c>
      <c r="I93" s="46" t="s">
        <v>16</v>
      </c>
      <c r="J93" s="45">
        <v>2</v>
      </c>
      <c r="K93" s="49">
        <f t="shared" si="6"/>
        <v>26000</v>
      </c>
      <c r="L93" s="47">
        <v>2</v>
      </c>
      <c r="M93" s="49">
        <f t="shared" si="8"/>
        <v>26000</v>
      </c>
      <c r="N93" s="47">
        <v>2</v>
      </c>
      <c r="O93" s="49">
        <f t="shared" si="7"/>
        <v>26000</v>
      </c>
      <c r="P93" s="47">
        <v>2</v>
      </c>
      <c r="Q93" s="49">
        <f t="shared" si="9"/>
        <v>26000</v>
      </c>
    </row>
    <row r="94" spans="1:17" x14ac:dyDescent="0.25">
      <c r="A94" s="44">
        <v>91</v>
      </c>
      <c r="B94" s="45" t="s">
        <v>219</v>
      </c>
      <c r="C94" s="51" t="s">
        <v>157</v>
      </c>
      <c r="D94" s="45">
        <v>9</v>
      </c>
      <c r="E94" s="47">
        <v>9600</v>
      </c>
      <c r="F94" s="48">
        <f t="shared" si="5"/>
        <v>86400</v>
      </c>
      <c r="G94" s="46" t="s">
        <v>108</v>
      </c>
      <c r="H94" s="46" t="s">
        <v>15</v>
      </c>
      <c r="I94" s="46" t="s">
        <v>16</v>
      </c>
      <c r="J94" s="45">
        <v>3</v>
      </c>
      <c r="K94" s="49">
        <f t="shared" si="6"/>
        <v>28800</v>
      </c>
      <c r="L94" s="47">
        <v>2</v>
      </c>
      <c r="M94" s="49">
        <f t="shared" si="8"/>
        <v>19200</v>
      </c>
      <c r="N94" s="47">
        <v>2</v>
      </c>
      <c r="O94" s="49">
        <f t="shared" si="7"/>
        <v>19200</v>
      </c>
      <c r="P94" s="47">
        <v>2</v>
      </c>
      <c r="Q94" s="49">
        <f t="shared" si="9"/>
        <v>19200</v>
      </c>
    </row>
    <row r="95" spans="1:17" x14ac:dyDescent="0.25">
      <c r="A95" s="44">
        <v>92</v>
      </c>
      <c r="B95" s="45" t="s">
        <v>220</v>
      </c>
      <c r="C95" s="51" t="s">
        <v>157</v>
      </c>
      <c r="D95" s="45">
        <v>8</v>
      </c>
      <c r="E95" s="47">
        <v>1800</v>
      </c>
      <c r="F95" s="48">
        <f t="shared" si="5"/>
        <v>14400</v>
      </c>
      <c r="G95" s="46" t="s">
        <v>108</v>
      </c>
      <c r="H95" s="46" t="s">
        <v>15</v>
      </c>
      <c r="I95" s="46" t="s">
        <v>16</v>
      </c>
      <c r="J95" s="45">
        <v>2</v>
      </c>
      <c r="K95" s="49">
        <f t="shared" si="6"/>
        <v>3600</v>
      </c>
      <c r="L95" s="47">
        <v>2</v>
      </c>
      <c r="M95" s="49">
        <f t="shared" si="8"/>
        <v>3600</v>
      </c>
      <c r="N95" s="47">
        <v>2</v>
      </c>
      <c r="O95" s="49">
        <f t="shared" si="7"/>
        <v>3600</v>
      </c>
      <c r="P95" s="47">
        <v>2</v>
      </c>
      <c r="Q95" s="49">
        <f t="shared" si="9"/>
        <v>3600</v>
      </c>
    </row>
    <row r="96" spans="1:17" x14ac:dyDescent="0.25">
      <c r="A96" s="44">
        <v>93</v>
      </c>
      <c r="B96" s="45" t="s">
        <v>221</v>
      </c>
      <c r="C96" s="51" t="s">
        <v>157</v>
      </c>
      <c r="D96" s="45">
        <v>7</v>
      </c>
      <c r="E96" s="47">
        <v>1560</v>
      </c>
      <c r="F96" s="48">
        <f t="shared" si="5"/>
        <v>10920</v>
      </c>
      <c r="G96" s="46" t="s">
        <v>108</v>
      </c>
      <c r="H96" s="46" t="s">
        <v>15</v>
      </c>
      <c r="I96" s="46" t="s">
        <v>16</v>
      </c>
      <c r="J96" s="45">
        <v>2</v>
      </c>
      <c r="K96" s="49">
        <f t="shared" si="6"/>
        <v>3120</v>
      </c>
      <c r="L96" s="47">
        <v>1</v>
      </c>
      <c r="M96" s="49">
        <f t="shared" si="8"/>
        <v>1560</v>
      </c>
      <c r="N96" s="47">
        <v>2</v>
      </c>
      <c r="O96" s="49">
        <f t="shared" si="7"/>
        <v>3120</v>
      </c>
      <c r="P96" s="47">
        <v>2</v>
      </c>
      <c r="Q96" s="49">
        <f t="shared" si="9"/>
        <v>3120</v>
      </c>
    </row>
    <row r="97" spans="1:17" x14ac:dyDescent="0.25">
      <c r="A97" s="44">
        <v>94</v>
      </c>
      <c r="B97" s="45" t="s">
        <v>222</v>
      </c>
      <c r="C97" s="51" t="s">
        <v>157</v>
      </c>
      <c r="D97" s="45">
        <v>8</v>
      </c>
      <c r="E97" s="47">
        <v>7500</v>
      </c>
      <c r="F97" s="48">
        <f t="shared" si="5"/>
        <v>60000</v>
      </c>
      <c r="G97" s="46" t="s">
        <v>108</v>
      </c>
      <c r="H97" s="46" t="s">
        <v>15</v>
      </c>
      <c r="I97" s="46" t="s">
        <v>16</v>
      </c>
      <c r="J97" s="45">
        <v>2</v>
      </c>
      <c r="K97" s="49">
        <f t="shared" si="6"/>
        <v>15000</v>
      </c>
      <c r="L97" s="47">
        <v>2</v>
      </c>
      <c r="M97" s="49">
        <f t="shared" si="8"/>
        <v>15000</v>
      </c>
      <c r="N97" s="47">
        <v>2</v>
      </c>
      <c r="O97" s="49">
        <f t="shared" si="7"/>
        <v>15000</v>
      </c>
      <c r="P97" s="47">
        <v>2</v>
      </c>
      <c r="Q97" s="49">
        <f t="shared" si="9"/>
        <v>15000</v>
      </c>
    </row>
    <row r="98" spans="1:17" x14ac:dyDescent="0.25">
      <c r="A98" s="44">
        <v>95</v>
      </c>
      <c r="B98" s="45" t="s">
        <v>46</v>
      </c>
      <c r="C98" s="51" t="s">
        <v>148</v>
      </c>
      <c r="D98" s="45">
        <v>40</v>
      </c>
      <c r="E98" s="47">
        <v>450</v>
      </c>
      <c r="F98" s="48">
        <f t="shared" si="5"/>
        <v>18000</v>
      </c>
      <c r="G98" s="46" t="s">
        <v>108</v>
      </c>
      <c r="H98" s="46" t="s">
        <v>15</v>
      </c>
      <c r="I98" s="46" t="s">
        <v>16</v>
      </c>
      <c r="J98" s="45">
        <v>10</v>
      </c>
      <c r="K98" s="49">
        <f t="shared" si="6"/>
        <v>4500</v>
      </c>
      <c r="L98" s="47">
        <v>10</v>
      </c>
      <c r="M98" s="49">
        <f t="shared" si="8"/>
        <v>4500</v>
      </c>
      <c r="N98" s="47">
        <v>10</v>
      </c>
      <c r="O98" s="49">
        <f t="shared" si="7"/>
        <v>4500</v>
      </c>
      <c r="P98" s="47">
        <v>10</v>
      </c>
      <c r="Q98" s="49">
        <f t="shared" si="9"/>
        <v>4500</v>
      </c>
    </row>
    <row r="99" spans="1:17" x14ac:dyDescent="0.25">
      <c r="A99" s="44">
        <v>96</v>
      </c>
      <c r="B99" s="45" t="s">
        <v>223</v>
      </c>
      <c r="C99" s="51" t="s">
        <v>191</v>
      </c>
      <c r="D99" s="45">
        <v>40</v>
      </c>
      <c r="E99" s="47">
        <v>120</v>
      </c>
      <c r="F99" s="48">
        <f t="shared" si="5"/>
        <v>4800</v>
      </c>
      <c r="G99" s="46" t="s">
        <v>108</v>
      </c>
      <c r="H99" s="46" t="s">
        <v>15</v>
      </c>
      <c r="I99" s="46" t="s">
        <v>16</v>
      </c>
      <c r="J99" s="45">
        <v>10</v>
      </c>
      <c r="K99" s="49">
        <f t="shared" si="6"/>
        <v>1200</v>
      </c>
      <c r="L99" s="47">
        <v>10</v>
      </c>
      <c r="M99" s="49">
        <f t="shared" si="8"/>
        <v>1200</v>
      </c>
      <c r="N99" s="47">
        <v>10</v>
      </c>
      <c r="O99" s="49">
        <f t="shared" si="7"/>
        <v>1200</v>
      </c>
      <c r="P99" s="47">
        <v>10</v>
      </c>
      <c r="Q99" s="49">
        <f t="shared" si="9"/>
        <v>1200</v>
      </c>
    </row>
    <row r="100" spans="1:17" x14ac:dyDescent="0.25">
      <c r="A100" s="44">
        <v>97</v>
      </c>
      <c r="B100" s="45" t="s">
        <v>224</v>
      </c>
      <c r="C100" s="51" t="s">
        <v>180</v>
      </c>
      <c r="D100" s="45">
        <v>18</v>
      </c>
      <c r="E100" s="47">
        <v>1110</v>
      </c>
      <c r="F100" s="48">
        <f t="shared" si="5"/>
        <v>19980</v>
      </c>
      <c r="G100" s="46" t="s">
        <v>108</v>
      </c>
      <c r="H100" s="46" t="s">
        <v>15</v>
      </c>
      <c r="I100" s="46" t="s">
        <v>16</v>
      </c>
      <c r="J100" s="45">
        <v>6</v>
      </c>
      <c r="K100" s="49">
        <f t="shared" si="6"/>
        <v>6660</v>
      </c>
      <c r="L100" s="47">
        <v>6</v>
      </c>
      <c r="M100" s="49">
        <f t="shared" si="8"/>
        <v>6660</v>
      </c>
      <c r="N100" s="47">
        <v>3</v>
      </c>
      <c r="O100" s="49">
        <f t="shared" si="7"/>
        <v>3330</v>
      </c>
      <c r="P100" s="47">
        <v>3</v>
      </c>
      <c r="Q100" s="49">
        <f t="shared" si="9"/>
        <v>3330</v>
      </c>
    </row>
    <row r="101" spans="1:17" x14ac:dyDescent="0.25">
      <c r="A101" s="44">
        <v>98</v>
      </c>
      <c r="B101" s="45" t="s">
        <v>47</v>
      </c>
      <c r="C101" s="51" t="s">
        <v>126</v>
      </c>
      <c r="D101" s="45">
        <v>420</v>
      </c>
      <c r="E101" s="47">
        <v>275</v>
      </c>
      <c r="F101" s="48">
        <f t="shared" si="5"/>
        <v>115500</v>
      </c>
      <c r="G101" s="46" t="s">
        <v>108</v>
      </c>
      <c r="H101" s="46" t="s">
        <v>15</v>
      </c>
      <c r="I101" s="46" t="s">
        <v>16</v>
      </c>
      <c r="J101" s="45">
        <v>105</v>
      </c>
      <c r="K101" s="49">
        <f t="shared" si="6"/>
        <v>28875</v>
      </c>
      <c r="L101" s="47">
        <v>105</v>
      </c>
      <c r="M101" s="49">
        <f t="shared" si="8"/>
        <v>28875</v>
      </c>
      <c r="N101" s="47">
        <v>105</v>
      </c>
      <c r="O101" s="49">
        <f t="shared" si="7"/>
        <v>28875</v>
      </c>
      <c r="P101" s="47">
        <v>105</v>
      </c>
      <c r="Q101" s="49">
        <f t="shared" si="9"/>
        <v>28875</v>
      </c>
    </row>
    <row r="102" spans="1:17" x14ac:dyDescent="0.25">
      <c r="A102" s="44">
        <v>99</v>
      </c>
      <c r="B102" s="45" t="s">
        <v>225</v>
      </c>
      <c r="C102" s="51" t="s">
        <v>126</v>
      </c>
      <c r="D102" s="45">
        <v>845</v>
      </c>
      <c r="E102" s="47">
        <v>215</v>
      </c>
      <c r="F102" s="48">
        <f t="shared" si="5"/>
        <v>181675</v>
      </c>
      <c r="G102" s="46" t="s">
        <v>108</v>
      </c>
      <c r="H102" s="46" t="s">
        <v>15</v>
      </c>
      <c r="I102" s="46" t="s">
        <v>16</v>
      </c>
      <c r="J102" s="45">
        <v>210</v>
      </c>
      <c r="K102" s="49">
        <f t="shared" si="6"/>
        <v>45150</v>
      </c>
      <c r="L102" s="47">
        <v>210</v>
      </c>
      <c r="M102" s="49">
        <f t="shared" si="8"/>
        <v>45150</v>
      </c>
      <c r="N102" s="47">
        <v>210</v>
      </c>
      <c r="O102" s="49">
        <f t="shared" si="7"/>
        <v>45150</v>
      </c>
      <c r="P102" s="47">
        <v>215</v>
      </c>
      <c r="Q102" s="49">
        <f t="shared" si="9"/>
        <v>46225</v>
      </c>
    </row>
    <row r="103" spans="1:17" x14ac:dyDescent="0.25">
      <c r="A103" s="44">
        <v>100</v>
      </c>
      <c r="B103" s="45" t="s">
        <v>226</v>
      </c>
      <c r="C103" s="51" t="s">
        <v>212</v>
      </c>
      <c r="D103" s="45">
        <v>350</v>
      </c>
      <c r="E103" s="47">
        <v>650</v>
      </c>
      <c r="F103" s="48">
        <f t="shared" si="5"/>
        <v>227500</v>
      </c>
      <c r="G103" s="46" t="s">
        <v>108</v>
      </c>
      <c r="H103" s="46" t="s">
        <v>15</v>
      </c>
      <c r="I103" s="46" t="s">
        <v>16</v>
      </c>
      <c r="J103" s="45">
        <v>150</v>
      </c>
      <c r="K103" s="49">
        <f t="shared" si="6"/>
        <v>97500</v>
      </c>
      <c r="L103" s="47">
        <v>100</v>
      </c>
      <c r="M103" s="49">
        <f t="shared" si="8"/>
        <v>65000</v>
      </c>
      <c r="N103" s="47">
        <v>50</v>
      </c>
      <c r="O103" s="49">
        <f t="shared" si="7"/>
        <v>32500</v>
      </c>
      <c r="P103" s="47">
        <v>50</v>
      </c>
      <c r="Q103" s="49">
        <f t="shared" si="9"/>
        <v>32500</v>
      </c>
    </row>
    <row r="104" spans="1:17" x14ac:dyDescent="0.25">
      <c r="A104" s="44">
        <v>101</v>
      </c>
      <c r="B104" s="45" t="s">
        <v>48</v>
      </c>
      <c r="C104" s="51" t="s">
        <v>126</v>
      </c>
      <c r="D104" s="45">
        <v>25</v>
      </c>
      <c r="E104" s="47">
        <v>800</v>
      </c>
      <c r="F104" s="48">
        <f t="shared" si="5"/>
        <v>20000</v>
      </c>
      <c r="G104" s="46" t="s">
        <v>108</v>
      </c>
      <c r="H104" s="46" t="s">
        <v>15</v>
      </c>
      <c r="I104" s="46" t="s">
        <v>16</v>
      </c>
      <c r="J104" s="45">
        <v>10</v>
      </c>
      <c r="K104" s="49">
        <f t="shared" si="6"/>
        <v>8000</v>
      </c>
      <c r="L104" s="47">
        <v>10</v>
      </c>
      <c r="M104" s="49">
        <f t="shared" si="8"/>
        <v>8000</v>
      </c>
      <c r="N104" s="47"/>
      <c r="O104" s="49"/>
      <c r="P104" s="47">
        <v>5</v>
      </c>
      <c r="Q104" s="49">
        <f t="shared" si="9"/>
        <v>4000</v>
      </c>
    </row>
    <row r="105" spans="1:17" x14ac:dyDescent="0.25">
      <c r="A105" s="44">
        <v>102</v>
      </c>
      <c r="B105" s="45" t="s">
        <v>49</v>
      </c>
      <c r="C105" s="51" t="s">
        <v>126</v>
      </c>
      <c r="D105" s="45">
        <v>35</v>
      </c>
      <c r="E105" s="47">
        <v>480</v>
      </c>
      <c r="F105" s="48">
        <f t="shared" si="5"/>
        <v>16800</v>
      </c>
      <c r="G105" s="46" t="s">
        <v>108</v>
      </c>
      <c r="H105" s="46" t="s">
        <v>15</v>
      </c>
      <c r="I105" s="46" t="s">
        <v>16</v>
      </c>
      <c r="J105" s="45">
        <v>20</v>
      </c>
      <c r="K105" s="49">
        <f t="shared" si="6"/>
        <v>9600</v>
      </c>
      <c r="L105" s="47">
        <v>10</v>
      </c>
      <c r="M105" s="49">
        <f t="shared" si="8"/>
        <v>4800</v>
      </c>
      <c r="N105" s="47"/>
      <c r="O105" s="49"/>
      <c r="P105" s="47">
        <v>5</v>
      </c>
      <c r="Q105" s="49">
        <f t="shared" si="9"/>
        <v>2400</v>
      </c>
    </row>
    <row r="106" spans="1:17" x14ac:dyDescent="0.25">
      <c r="A106" s="44">
        <v>103</v>
      </c>
      <c r="B106" s="45" t="s">
        <v>50</v>
      </c>
      <c r="C106" s="51" t="s">
        <v>126</v>
      </c>
      <c r="D106" s="45">
        <v>45</v>
      </c>
      <c r="E106" s="47">
        <v>520</v>
      </c>
      <c r="F106" s="48">
        <f t="shared" si="5"/>
        <v>23400</v>
      </c>
      <c r="G106" s="46" t="s">
        <v>108</v>
      </c>
      <c r="H106" s="46" t="s">
        <v>15</v>
      </c>
      <c r="I106" s="46" t="s">
        <v>16</v>
      </c>
      <c r="J106" s="45">
        <v>20</v>
      </c>
      <c r="K106" s="49">
        <f t="shared" si="6"/>
        <v>10400</v>
      </c>
      <c r="L106" s="47">
        <v>20</v>
      </c>
      <c r="M106" s="49">
        <f t="shared" si="8"/>
        <v>10400</v>
      </c>
      <c r="N106" s="47"/>
      <c r="O106" s="49"/>
      <c r="P106" s="47">
        <v>5</v>
      </c>
      <c r="Q106" s="49">
        <f t="shared" si="9"/>
        <v>2600</v>
      </c>
    </row>
    <row r="107" spans="1:17" x14ac:dyDescent="0.25">
      <c r="A107" s="44">
        <v>104</v>
      </c>
      <c r="B107" s="45" t="s">
        <v>227</v>
      </c>
      <c r="C107" s="51" t="s">
        <v>126</v>
      </c>
      <c r="D107" s="45">
        <v>25</v>
      </c>
      <c r="E107" s="47">
        <v>1250</v>
      </c>
      <c r="F107" s="48">
        <f t="shared" si="5"/>
        <v>31250</v>
      </c>
      <c r="G107" s="46" t="s">
        <v>108</v>
      </c>
      <c r="H107" s="46" t="s">
        <v>15</v>
      </c>
      <c r="I107" s="46" t="s">
        <v>16</v>
      </c>
      <c r="J107" s="45">
        <v>10</v>
      </c>
      <c r="K107" s="49">
        <f t="shared" si="6"/>
        <v>12500</v>
      </c>
      <c r="L107" s="47">
        <v>5</v>
      </c>
      <c r="M107" s="49">
        <f t="shared" si="8"/>
        <v>6250</v>
      </c>
      <c r="N107" s="47"/>
      <c r="O107" s="49"/>
      <c r="P107" s="47">
        <v>10</v>
      </c>
      <c r="Q107" s="49">
        <f t="shared" si="9"/>
        <v>12500</v>
      </c>
    </row>
    <row r="108" spans="1:17" x14ac:dyDescent="0.25">
      <c r="A108" s="44">
        <v>105</v>
      </c>
      <c r="B108" s="45" t="s">
        <v>51</v>
      </c>
      <c r="C108" s="51" t="s">
        <v>126</v>
      </c>
      <c r="D108" s="45">
        <v>20</v>
      </c>
      <c r="E108" s="47">
        <v>350</v>
      </c>
      <c r="F108" s="48">
        <f t="shared" si="5"/>
        <v>7000</v>
      </c>
      <c r="G108" s="46" t="s">
        <v>108</v>
      </c>
      <c r="H108" s="46" t="s">
        <v>15</v>
      </c>
      <c r="I108" s="46" t="s">
        <v>16</v>
      </c>
      <c r="J108" s="45">
        <v>10</v>
      </c>
      <c r="K108" s="49">
        <f t="shared" si="6"/>
        <v>3500</v>
      </c>
      <c r="L108" s="47">
        <v>5</v>
      </c>
      <c r="M108" s="49">
        <f t="shared" si="8"/>
        <v>1750</v>
      </c>
      <c r="N108" s="47"/>
      <c r="O108" s="49"/>
      <c r="P108" s="47">
        <v>5</v>
      </c>
      <c r="Q108" s="49">
        <f t="shared" si="9"/>
        <v>1750</v>
      </c>
    </row>
    <row r="109" spans="1:17" x14ac:dyDescent="0.25">
      <c r="A109" s="44">
        <v>106</v>
      </c>
      <c r="B109" s="45" t="s">
        <v>52</v>
      </c>
      <c r="C109" s="51" t="s">
        <v>126</v>
      </c>
      <c r="D109" s="45">
        <v>20</v>
      </c>
      <c r="E109" s="47">
        <v>350</v>
      </c>
      <c r="F109" s="48">
        <f t="shared" si="5"/>
        <v>7000</v>
      </c>
      <c r="G109" s="46" t="s">
        <v>108</v>
      </c>
      <c r="H109" s="46" t="s">
        <v>15</v>
      </c>
      <c r="I109" s="46" t="s">
        <v>16</v>
      </c>
      <c r="J109" s="45">
        <v>10</v>
      </c>
      <c r="K109" s="49">
        <f t="shared" si="6"/>
        <v>3500</v>
      </c>
      <c r="L109" s="47">
        <v>5</v>
      </c>
      <c r="M109" s="49">
        <f t="shared" si="8"/>
        <v>1750</v>
      </c>
      <c r="N109" s="47"/>
      <c r="O109" s="49"/>
      <c r="P109" s="47">
        <v>5</v>
      </c>
      <c r="Q109" s="49">
        <f t="shared" si="9"/>
        <v>1750</v>
      </c>
    </row>
    <row r="110" spans="1:17" x14ac:dyDescent="0.25">
      <c r="A110" s="44">
        <v>107</v>
      </c>
      <c r="B110" s="45" t="s">
        <v>53</v>
      </c>
      <c r="C110" s="51" t="s">
        <v>126</v>
      </c>
      <c r="D110" s="45">
        <v>20</v>
      </c>
      <c r="E110" s="47">
        <v>400</v>
      </c>
      <c r="F110" s="48">
        <f t="shared" si="5"/>
        <v>8000</v>
      </c>
      <c r="G110" s="46" t="s">
        <v>108</v>
      </c>
      <c r="H110" s="46" t="s">
        <v>15</v>
      </c>
      <c r="I110" s="46" t="s">
        <v>16</v>
      </c>
      <c r="J110" s="45">
        <v>10</v>
      </c>
      <c r="K110" s="49">
        <f t="shared" si="6"/>
        <v>4000</v>
      </c>
      <c r="L110" s="47">
        <v>5</v>
      </c>
      <c r="M110" s="49">
        <f t="shared" si="8"/>
        <v>2000</v>
      </c>
      <c r="N110" s="47"/>
      <c r="O110" s="49"/>
      <c r="P110" s="47">
        <v>5</v>
      </c>
      <c r="Q110" s="49">
        <f t="shared" si="9"/>
        <v>2000</v>
      </c>
    </row>
    <row r="111" spans="1:17" x14ac:dyDescent="0.25">
      <c r="A111" s="44">
        <v>108</v>
      </c>
      <c r="B111" s="45" t="s">
        <v>54</v>
      </c>
      <c r="C111" s="51" t="s">
        <v>126</v>
      </c>
      <c r="D111" s="45">
        <v>20</v>
      </c>
      <c r="E111" s="47">
        <v>400</v>
      </c>
      <c r="F111" s="48">
        <f t="shared" si="5"/>
        <v>8000</v>
      </c>
      <c r="G111" s="46" t="s">
        <v>108</v>
      </c>
      <c r="H111" s="46" t="s">
        <v>15</v>
      </c>
      <c r="I111" s="46" t="s">
        <v>16</v>
      </c>
      <c r="J111" s="45">
        <v>10</v>
      </c>
      <c r="K111" s="49">
        <f t="shared" si="6"/>
        <v>4000</v>
      </c>
      <c r="L111" s="47">
        <v>5</v>
      </c>
      <c r="M111" s="49">
        <f t="shared" si="8"/>
        <v>2000</v>
      </c>
      <c r="N111" s="47"/>
      <c r="O111" s="49"/>
      <c r="P111" s="47">
        <v>5</v>
      </c>
      <c r="Q111" s="49">
        <f t="shared" si="9"/>
        <v>2000</v>
      </c>
    </row>
    <row r="112" spans="1:17" x14ac:dyDescent="0.25">
      <c r="A112" s="44">
        <v>109</v>
      </c>
      <c r="B112" s="45" t="s">
        <v>55</v>
      </c>
      <c r="C112" s="51" t="s">
        <v>126</v>
      </c>
      <c r="D112" s="45">
        <v>80</v>
      </c>
      <c r="E112" s="47">
        <v>210</v>
      </c>
      <c r="F112" s="48">
        <f t="shared" si="5"/>
        <v>16800</v>
      </c>
      <c r="G112" s="46" t="s">
        <v>108</v>
      </c>
      <c r="H112" s="46" t="s">
        <v>15</v>
      </c>
      <c r="I112" s="46" t="s">
        <v>16</v>
      </c>
      <c r="J112" s="45">
        <v>40</v>
      </c>
      <c r="K112" s="49">
        <f t="shared" si="6"/>
        <v>8400</v>
      </c>
      <c r="L112" s="47">
        <v>20</v>
      </c>
      <c r="M112" s="49">
        <f t="shared" si="8"/>
        <v>4200</v>
      </c>
      <c r="N112" s="47" t="s">
        <v>107</v>
      </c>
      <c r="O112" s="49"/>
      <c r="P112" s="47">
        <v>20</v>
      </c>
      <c r="Q112" s="49">
        <f t="shared" si="9"/>
        <v>4200</v>
      </c>
    </row>
    <row r="113" spans="1:17" x14ac:dyDescent="0.25">
      <c r="A113" s="44">
        <v>110</v>
      </c>
      <c r="B113" s="45" t="s">
        <v>56</v>
      </c>
      <c r="C113" s="51" t="s">
        <v>126</v>
      </c>
      <c r="D113" s="45">
        <v>6</v>
      </c>
      <c r="E113" s="47">
        <v>6500</v>
      </c>
      <c r="F113" s="48">
        <f t="shared" si="5"/>
        <v>39000</v>
      </c>
      <c r="G113" s="46" t="s">
        <v>108</v>
      </c>
      <c r="H113" s="46" t="s">
        <v>15</v>
      </c>
      <c r="I113" s="46" t="s">
        <v>16</v>
      </c>
      <c r="J113" s="45">
        <v>6</v>
      </c>
      <c r="K113" s="49">
        <f t="shared" si="6"/>
        <v>39000</v>
      </c>
      <c r="L113" s="47"/>
      <c r="M113" s="49"/>
      <c r="N113" s="47"/>
      <c r="O113" s="49"/>
      <c r="P113" s="47"/>
      <c r="Q113" s="49"/>
    </row>
    <row r="114" spans="1:17" x14ac:dyDescent="0.25">
      <c r="A114" s="44">
        <v>111</v>
      </c>
      <c r="B114" s="45" t="s">
        <v>228</v>
      </c>
      <c r="C114" s="51" t="s">
        <v>157</v>
      </c>
      <c r="D114" s="45">
        <v>4</v>
      </c>
      <c r="E114" s="47">
        <v>4800</v>
      </c>
      <c r="F114" s="48">
        <f t="shared" si="5"/>
        <v>19200</v>
      </c>
      <c r="G114" s="46" t="s">
        <v>108</v>
      </c>
      <c r="H114" s="46" t="s">
        <v>15</v>
      </c>
      <c r="I114" s="46" t="s">
        <v>16</v>
      </c>
      <c r="J114" s="45">
        <v>2</v>
      </c>
      <c r="K114" s="49">
        <f t="shared" si="6"/>
        <v>9600</v>
      </c>
      <c r="L114" s="47"/>
      <c r="M114" s="49"/>
      <c r="N114" s="47">
        <v>2</v>
      </c>
      <c r="O114" s="49">
        <f t="shared" si="7"/>
        <v>9600</v>
      </c>
      <c r="P114" s="47"/>
      <c r="Q114" s="49"/>
    </row>
    <row r="115" spans="1:17" x14ac:dyDescent="0.25">
      <c r="A115" s="44">
        <v>112</v>
      </c>
      <c r="B115" s="45" t="s">
        <v>229</v>
      </c>
      <c r="C115" s="51" t="s">
        <v>201</v>
      </c>
      <c r="D115" s="45">
        <v>6</v>
      </c>
      <c r="E115" s="47">
        <v>5200</v>
      </c>
      <c r="F115" s="48">
        <f t="shared" si="5"/>
        <v>31200</v>
      </c>
      <c r="G115" s="46" t="s">
        <v>108</v>
      </c>
      <c r="H115" s="46" t="s">
        <v>15</v>
      </c>
      <c r="I115" s="46" t="s">
        <v>16</v>
      </c>
      <c r="J115" s="45">
        <v>3</v>
      </c>
      <c r="K115" s="49">
        <f t="shared" si="6"/>
        <v>15600</v>
      </c>
      <c r="L115" s="47"/>
      <c r="M115" s="49"/>
      <c r="N115" s="47">
        <v>3</v>
      </c>
      <c r="O115" s="49">
        <f t="shared" si="7"/>
        <v>15600</v>
      </c>
      <c r="P115" s="47"/>
      <c r="Q115" s="49"/>
    </row>
    <row r="116" spans="1:17" x14ac:dyDescent="0.25">
      <c r="A116" s="44">
        <v>113</v>
      </c>
      <c r="B116" s="45" t="s">
        <v>230</v>
      </c>
      <c r="C116" s="51" t="s">
        <v>201</v>
      </c>
      <c r="D116" s="45">
        <v>6</v>
      </c>
      <c r="E116" s="47">
        <v>5600</v>
      </c>
      <c r="F116" s="48">
        <f t="shared" si="5"/>
        <v>33600</v>
      </c>
      <c r="G116" s="46" t="s">
        <v>108</v>
      </c>
      <c r="H116" s="46" t="s">
        <v>15</v>
      </c>
      <c r="I116" s="46" t="s">
        <v>16</v>
      </c>
      <c r="J116" s="45">
        <v>3</v>
      </c>
      <c r="K116" s="49">
        <f t="shared" si="6"/>
        <v>16800</v>
      </c>
      <c r="L116" s="47"/>
      <c r="M116" s="49"/>
      <c r="N116" s="47">
        <v>3</v>
      </c>
      <c r="O116" s="49">
        <f t="shared" si="7"/>
        <v>16800</v>
      </c>
      <c r="P116" s="47"/>
      <c r="Q116" s="49"/>
    </row>
    <row r="117" spans="1:17" x14ac:dyDescent="0.25">
      <c r="A117" s="44">
        <v>114</v>
      </c>
      <c r="B117" s="45" t="s">
        <v>231</v>
      </c>
      <c r="C117" s="51" t="s">
        <v>201</v>
      </c>
      <c r="D117" s="45">
        <v>2</v>
      </c>
      <c r="E117" s="47">
        <v>4210</v>
      </c>
      <c r="F117" s="48">
        <f t="shared" si="5"/>
        <v>8420</v>
      </c>
      <c r="G117" s="46" t="s">
        <v>108</v>
      </c>
      <c r="H117" s="46" t="s">
        <v>15</v>
      </c>
      <c r="I117" s="46" t="s">
        <v>16</v>
      </c>
      <c r="J117" s="45">
        <v>1</v>
      </c>
      <c r="K117" s="49">
        <f t="shared" si="6"/>
        <v>4210</v>
      </c>
      <c r="L117" s="47"/>
      <c r="M117" s="49"/>
      <c r="N117" s="47">
        <v>1</v>
      </c>
      <c r="O117" s="49">
        <f t="shared" si="7"/>
        <v>4210</v>
      </c>
      <c r="P117" s="47"/>
      <c r="Q117" s="49"/>
    </row>
    <row r="118" spans="1:17" x14ac:dyDescent="0.25">
      <c r="A118" s="44">
        <v>115</v>
      </c>
      <c r="B118" s="45" t="s">
        <v>232</v>
      </c>
      <c r="C118" s="51" t="s">
        <v>201</v>
      </c>
      <c r="D118" s="45">
        <v>16</v>
      </c>
      <c r="E118" s="47">
        <v>6800</v>
      </c>
      <c r="F118" s="48">
        <f t="shared" si="5"/>
        <v>108800</v>
      </c>
      <c r="G118" s="46" t="s">
        <v>108</v>
      </c>
      <c r="H118" s="46" t="s">
        <v>15</v>
      </c>
      <c r="I118" s="46" t="s">
        <v>16</v>
      </c>
      <c r="J118" s="45">
        <v>8</v>
      </c>
      <c r="K118" s="49">
        <f t="shared" si="6"/>
        <v>54400</v>
      </c>
      <c r="L118" s="47"/>
      <c r="M118" s="49"/>
      <c r="N118" s="47">
        <v>8</v>
      </c>
      <c r="O118" s="49">
        <f t="shared" si="7"/>
        <v>54400</v>
      </c>
      <c r="P118" s="47"/>
      <c r="Q118" s="49"/>
    </row>
    <row r="119" spans="1:17" x14ac:dyDescent="0.25">
      <c r="A119" s="44">
        <v>116</v>
      </c>
      <c r="B119" s="45" t="s">
        <v>233</v>
      </c>
      <c r="C119" s="51" t="s">
        <v>201</v>
      </c>
      <c r="D119" s="45">
        <v>2</v>
      </c>
      <c r="E119" s="47">
        <v>5200</v>
      </c>
      <c r="F119" s="48">
        <f t="shared" ref="F119:F173" si="10">D119*E119</f>
        <v>10400</v>
      </c>
      <c r="G119" s="46" t="s">
        <v>108</v>
      </c>
      <c r="H119" s="46" t="s">
        <v>15</v>
      </c>
      <c r="I119" s="46" t="s">
        <v>16</v>
      </c>
      <c r="J119" s="45">
        <v>1</v>
      </c>
      <c r="K119" s="49">
        <f t="shared" ref="K119:K173" si="11">E119*J119</f>
        <v>5200</v>
      </c>
      <c r="L119" s="47"/>
      <c r="M119" s="49"/>
      <c r="N119" s="47">
        <v>1</v>
      </c>
      <c r="O119" s="49">
        <f t="shared" ref="O119:O173" si="12">E119*N119</f>
        <v>5200</v>
      </c>
      <c r="P119" s="47"/>
      <c r="Q119" s="49"/>
    </row>
    <row r="120" spans="1:17" x14ac:dyDescent="0.25">
      <c r="A120" s="44">
        <v>117</v>
      </c>
      <c r="B120" s="45" t="s">
        <v>234</v>
      </c>
      <c r="C120" s="51" t="s">
        <v>201</v>
      </c>
      <c r="D120" s="45">
        <v>2</v>
      </c>
      <c r="E120" s="47">
        <v>3250</v>
      </c>
      <c r="F120" s="48">
        <f t="shared" si="10"/>
        <v>6500</v>
      </c>
      <c r="G120" s="46" t="s">
        <v>108</v>
      </c>
      <c r="H120" s="46" t="s">
        <v>15</v>
      </c>
      <c r="I120" s="46" t="s">
        <v>16</v>
      </c>
      <c r="J120" s="45">
        <v>1</v>
      </c>
      <c r="K120" s="49">
        <f t="shared" si="11"/>
        <v>3250</v>
      </c>
      <c r="L120" s="47"/>
      <c r="M120" s="49"/>
      <c r="N120" s="47">
        <v>1</v>
      </c>
      <c r="O120" s="49">
        <f t="shared" si="12"/>
        <v>3250</v>
      </c>
      <c r="P120" s="47"/>
      <c r="Q120" s="49"/>
    </row>
    <row r="121" spans="1:17" x14ac:dyDescent="0.25">
      <c r="A121" s="44">
        <v>118</v>
      </c>
      <c r="B121" s="45" t="s">
        <v>235</v>
      </c>
      <c r="C121" s="51" t="s">
        <v>154</v>
      </c>
      <c r="D121" s="45">
        <v>2</v>
      </c>
      <c r="E121" s="47">
        <v>2120</v>
      </c>
      <c r="F121" s="48">
        <f t="shared" si="10"/>
        <v>4240</v>
      </c>
      <c r="G121" s="46" t="s">
        <v>108</v>
      </c>
      <c r="H121" s="46" t="s">
        <v>15</v>
      </c>
      <c r="I121" s="46" t="s">
        <v>16</v>
      </c>
      <c r="J121" s="45">
        <v>1</v>
      </c>
      <c r="K121" s="49">
        <f t="shared" si="11"/>
        <v>2120</v>
      </c>
      <c r="L121" s="47"/>
      <c r="M121" s="49"/>
      <c r="N121" s="47">
        <v>1</v>
      </c>
      <c r="O121" s="49">
        <f t="shared" si="12"/>
        <v>2120</v>
      </c>
      <c r="P121" s="47"/>
      <c r="Q121" s="49"/>
    </row>
    <row r="122" spans="1:17" x14ac:dyDescent="0.25">
      <c r="A122" s="44">
        <v>119</v>
      </c>
      <c r="B122" s="45" t="s">
        <v>236</v>
      </c>
      <c r="C122" s="51" t="s">
        <v>154</v>
      </c>
      <c r="D122" s="45">
        <v>2</v>
      </c>
      <c r="E122" s="47">
        <v>3200</v>
      </c>
      <c r="F122" s="48">
        <f t="shared" si="10"/>
        <v>6400</v>
      </c>
      <c r="G122" s="46" t="s">
        <v>108</v>
      </c>
      <c r="H122" s="46" t="s">
        <v>15</v>
      </c>
      <c r="I122" s="46" t="s">
        <v>16</v>
      </c>
      <c r="J122" s="45">
        <v>1</v>
      </c>
      <c r="K122" s="49">
        <f t="shared" si="11"/>
        <v>3200</v>
      </c>
      <c r="L122" s="47"/>
      <c r="M122" s="49"/>
      <c r="N122" s="47">
        <v>1</v>
      </c>
      <c r="O122" s="49">
        <f t="shared" si="12"/>
        <v>3200</v>
      </c>
      <c r="P122" s="47"/>
      <c r="Q122" s="49"/>
    </row>
    <row r="123" spans="1:17" x14ac:dyDescent="0.25">
      <c r="A123" s="44">
        <v>120</v>
      </c>
      <c r="B123" s="45" t="s">
        <v>237</v>
      </c>
      <c r="C123" s="51" t="s">
        <v>148</v>
      </c>
      <c r="D123" s="45">
        <v>4</v>
      </c>
      <c r="E123" s="47">
        <v>8000</v>
      </c>
      <c r="F123" s="48">
        <f t="shared" si="10"/>
        <v>32000</v>
      </c>
      <c r="G123" s="46" t="s">
        <v>108</v>
      </c>
      <c r="H123" s="46" t="s">
        <v>15</v>
      </c>
      <c r="I123" s="46" t="s">
        <v>16</v>
      </c>
      <c r="J123" s="45">
        <v>2</v>
      </c>
      <c r="K123" s="49">
        <f t="shared" si="11"/>
        <v>16000</v>
      </c>
      <c r="L123" s="47"/>
      <c r="M123" s="49"/>
      <c r="N123" s="47">
        <v>2</v>
      </c>
      <c r="O123" s="49">
        <f t="shared" si="12"/>
        <v>16000</v>
      </c>
      <c r="P123" s="47"/>
      <c r="Q123" s="49"/>
    </row>
    <row r="124" spans="1:17" x14ac:dyDescent="0.25">
      <c r="A124" s="44">
        <v>121</v>
      </c>
      <c r="B124" s="45" t="s">
        <v>238</v>
      </c>
      <c r="C124" s="51" t="s">
        <v>148</v>
      </c>
      <c r="D124" s="45">
        <v>4</v>
      </c>
      <c r="E124" s="47">
        <v>9800</v>
      </c>
      <c r="F124" s="48">
        <f t="shared" si="10"/>
        <v>39200</v>
      </c>
      <c r="G124" s="46" t="s">
        <v>108</v>
      </c>
      <c r="H124" s="46" t="s">
        <v>15</v>
      </c>
      <c r="I124" s="46" t="s">
        <v>16</v>
      </c>
      <c r="J124" s="45">
        <v>2</v>
      </c>
      <c r="K124" s="49">
        <f t="shared" si="11"/>
        <v>19600</v>
      </c>
      <c r="L124" s="47"/>
      <c r="M124" s="49"/>
      <c r="N124" s="47">
        <v>2</v>
      </c>
      <c r="O124" s="49">
        <f t="shared" si="12"/>
        <v>19600</v>
      </c>
      <c r="P124" s="47"/>
      <c r="Q124" s="49"/>
    </row>
    <row r="125" spans="1:17" x14ac:dyDescent="0.25">
      <c r="A125" s="44">
        <v>122</v>
      </c>
      <c r="B125" s="45" t="s">
        <v>239</v>
      </c>
      <c r="C125" s="51" t="s">
        <v>148</v>
      </c>
      <c r="D125" s="45">
        <v>4</v>
      </c>
      <c r="E125" s="47">
        <v>1800</v>
      </c>
      <c r="F125" s="48">
        <f t="shared" si="10"/>
        <v>7200</v>
      </c>
      <c r="G125" s="46" t="s">
        <v>108</v>
      </c>
      <c r="H125" s="46" t="s">
        <v>15</v>
      </c>
      <c r="I125" s="46" t="s">
        <v>16</v>
      </c>
      <c r="J125" s="45">
        <v>2</v>
      </c>
      <c r="K125" s="49">
        <f t="shared" si="11"/>
        <v>3600</v>
      </c>
      <c r="L125" s="47"/>
      <c r="M125" s="49"/>
      <c r="N125" s="47">
        <v>2</v>
      </c>
      <c r="O125" s="49">
        <f t="shared" si="12"/>
        <v>3600</v>
      </c>
      <c r="P125" s="47"/>
      <c r="Q125" s="49"/>
    </row>
    <row r="126" spans="1:17" x14ac:dyDescent="0.25">
      <c r="A126" s="44">
        <v>123</v>
      </c>
      <c r="B126" s="45" t="s">
        <v>240</v>
      </c>
      <c r="C126" s="51" t="s">
        <v>124</v>
      </c>
      <c r="D126" s="45">
        <v>40</v>
      </c>
      <c r="E126" s="47">
        <v>300</v>
      </c>
      <c r="F126" s="48">
        <f t="shared" si="10"/>
        <v>12000</v>
      </c>
      <c r="G126" s="46" t="s">
        <v>108</v>
      </c>
      <c r="H126" s="46" t="s">
        <v>15</v>
      </c>
      <c r="I126" s="46" t="s">
        <v>16</v>
      </c>
      <c r="J126" s="45">
        <v>20</v>
      </c>
      <c r="K126" s="49">
        <f t="shared" si="11"/>
        <v>6000</v>
      </c>
      <c r="L126" s="47"/>
      <c r="M126" s="49"/>
      <c r="N126" s="47">
        <v>20</v>
      </c>
      <c r="O126" s="49">
        <f t="shared" si="12"/>
        <v>6000</v>
      </c>
      <c r="P126" s="47"/>
      <c r="Q126" s="49"/>
    </row>
    <row r="127" spans="1:17" x14ac:dyDescent="0.25">
      <c r="A127" s="44">
        <v>124</v>
      </c>
      <c r="B127" s="45" t="s">
        <v>241</v>
      </c>
      <c r="C127" s="51" t="s">
        <v>124</v>
      </c>
      <c r="D127" s="45">
        <v>20</v>
      </c>
      <c r="E127" s="47">
        <v>240</v>
      </c>
      <c r="F127" s="48">
        <f t="shared" si="10"/>
        <v>4800</v>
      </c>
      <c r="G127" s="46" t="s">
        <v>108</v>
      </c>
      <c r="H127" s="46" t="s">
        <v>15</v>
      </c>
      <c r="I127" s="46" t="s">
        <v>16</v>
      </c>
      <c r="J127" s="45">
        <v>10</v>
      </c>
      <c r="K127" s="49">
        <f t="shared" si="11"/>
        <v>2400</v>
      </c>
      <c r="L127" s="47"/>
      <c r="M127" s="49"/>
      <c r="N127" s="47">
        <v>10</v>
      </c>
      <c r="O127" s="49">
        <f t="shared" si="12"/>
        <v>2400</v>
      </c>
      <c r="P127" s="47"/>
      <c r="Q127" s="49"/>
    </row>
    <row r="128" spans="1:17" x14ac:dyDescent="0.25">
      <c r="A128" s="44">
        <v>125</v>
      </c>
      <c r="B128" s="45" t="s">
        <v>242</v>
      </c>
      <c r="C128" s="51" t="s">
        <v>124</v>
      </c>
      <c r="D128" s="45">
        <v>40</v>
      </c>
      <c r="E128" s="47">
        <v>240</v>
      </c>
      <c r="F128" s="48">
        <f t="shared" si="10"/>
        <v>9600</v>
      </c>
      <c r="G128" s="46" t="s">
        <v>108</v>
      </c>
      <c r="H128" s="46" t="s">
        <v>15</v>
      </c>
      <c r="I128" s="46" t="s">
        <v>16</v>
      </c>
      <c r="J128" s="45">
        <v>20</v>
      </c>
      <c r="K128" s="49">
        <f t="shared" si="11"/>
        <v>4800</v>
      </c>
      <c r="L128" s="47"/>
      <c r="M128" s="49"/>
      <c r="N128" s="47">
        <v>20</v>
      </c>
      <c r="O128" s="49">
        <f t="shared" si="12"/>
        <v>4800</v>
      </c>
      <c r="P128" s="47"/>
      <c r="Q128" s="49"/>
    </row>
    <row r="129" spans="1:17" x14ac:dyDescent="0.25">
      <c r="A129" s="44">
        <v>126</v>
      </c>
      <c r="B129" s="45" t="s">
        <v>61</v>
      </c>
      <c r="C129" s="51" t="s">
        <v>126</v>
      </c>
      <c r="D129" s="45">
        <v>200</v>
      </c>
      <c r="E129" s="47">
        <v>240</v>
      </c>
      <c r="F129" s="48">
        <f t="shared" si="10"/>
        <v>48000</v>
      </c>
      <c r="G129" s="46" t="s">
        <v>108</v>
      </c>
      <c r="H129" s="46" t="s">
        <v>15</v>
      </c>
      <c r="I129" s="46" t="s">
        <v>16</v>
      </c>
      <c r="J129" s="45">
        <v>200</v>
      </c>
      <c r="K129" s="49">
        <f t="shared" si="11"/>
        <v>48000</v>
      </c>
      <c r="L129" s="47"/>
      <c r="M129" s="49"/>
      <c r="N129" s="47"/>
      <c r="O129" s="49">
        <f t="shared" si="12"/>
        <v>0</v>
      </c>
      <c r="P129" s="47"/>
      <c r="Q129" s="49"/>
    </row>
    <row r="130" spans="1:17" x14ac:dyDescent="0.25">
      <c r="A130" s="44">
        <v>127</v>
      </c>
      <c r="B130" s="45" t="s">
        <v>62</v>
      </c>
      <c r="C130" s="51" t="s">
        <v>124</v>
      </c>
      <c r="D130" s="45">
        <v>10</v>
      </c>
      <c r="E130" s="47">
        <v>2500</v>
      </c>
      <c r="F130" s="48">
        <f t="shared" si="10"/>
        <v>25000</v>
      </c>
      <c r="G130" s="46" t="s">
        <v>108</v>
      </c>
      <c r="H130" s="46" t="s">
        <v>15</v>
      </c>
      <c r="I130" s="46" t="s">
        <v>16</v>
      </c>
      <c r="J130" s="45">
        <v>5</v>
      </c>
      <c r="K130" s="49">
        <f t="shared" si="11"/>
        <v>12500</v>
      </c>
      <c r="L130" s="47"/>
      <c r="M130" s="49"/>
      <c r="N130" s="47">
        <v>5</v>
      </c>
      <c r="O130" s="49">
        <f t="shared" si="12"/>
        <v>12500</v>
      </c>
      <c r="P130" s="47"/>
      <c r="Q130" s="49"/>
    </row>
    <row r="131" spans="1:17" x14ac:dyDescent="0.25">
      <c r="A131" s="44">
        <v>128</v>
      </c>
      <c r="B131" s="45" t="s">
        <v>63</v>
      </c>
      <c r="C131" s="51" t="s">
        <v>124</v>
      </c>
      <c r="D131" s="45">
        <v>10</v>
      </c>
      <c r="E131" s="47">
        <v>3000</v>
      </c>
      <c r="F131" s="48">
        <f t="shared" si="10"/>
        <v>30000</v>
      </c>
      <c r="G131" s="46" t="s">
        <v>108</v>
      </c>
      <c r="H131" s="46" t="s">
        <v>15</v>
      </c>
      <c r="I131" s="46" t="s">
        <v>16</v>
      </c>
      <c r="J131" s="45">
        <v>10</v>
      </c>
      <c r="K131" s="49">
        <f t="shared" si="11"/>
        <v>30000</v>
      </c>
      <c r="L131" s="47"/>
      <c r="M131" s="49"/>
      <c r="N131" s="47"/>
      <c r="O131" s="49">
        <f t="shared" si="12"/>
        <v>0</v>
      </c>
      <c r="P131" s="47"/>
      <c r="Q131" s="49"/>
    </row>
    <row r="132" spans="1:17" x14ac:dyDescent="0.25">
      <c r="A132" s="44">
        <v>129</v>
      </c>
      <c r="B132" s="45" t="s">
        <v>64</v>
      </c>
      <c r="C132" s="51" t="s">
        <v>124</v>
      </c>
      <c r="D132" s="45">
        <v>20</v>
      </c>
      <c r="E132" s="47">
        <v>3500</v>
      </c>
      <c r="F132" s="48">
        <f t="shared" si="10"/>
        <v>70000</v>
      </c>
      <c r="G132" s="46" t="s">
        <v>108</v>
      </c>
      <c r="H132" s="46" t="s">
        <v>15</v>
      </c>
      <c r="I132" s="46" t="s">
        <v>16</v>
      </c>
      <c r="J132" s="45">
        <v>20</v>
      </c>
      <c r="K132" s="49">
        <f t="shared" si="11"/>
        <v>70000</v>
      </c>
      <c r="L132" s="47"/>
      <c r="M132" s="49"/>
      <c r="N132" s="47"/>
      <c r="O132" s="49">
        <f t="shared" si="12"/>
        <v>0</v>
      </c>
      <c r="P132" s="47"/>
      <c r="Q132" s="49"/>
    </row>
    <row r="133" spans="1:17" x14ac:dyDescent="0.25">
      <c r="A133" s="44">
        <v>130</v>
      </c>
      <c r="B133" s="45" t="s">
        <v>245</v>
      </c>
      <c r="C133" s="51" t="s">
        <v>243</v>
      </c>
      <c r="D133" s="45">
        <v>4</v>
      </c>
      <c r="E133" s="47">
        <v>3800</v>
      </c>
      <c r="F133" s="48">
        <f t="shared" si="10"/>
        <v>15200</v>
      </c>
      <c r="G133" s="46" t="s">
        <v>108</v>
      </c>
      <c r="H133" s="46" t="s">
        <v>15</v>
      </c>
      <c r="I133" s="46" t="s">
        <v>16</v>
      </c>
      <c r="J133" s="45">
        <v>2</v>
      </c>
      <c r="K133" s="49">
        <f t="shared" si="11"/>
        <v>7600</v>
      </c>
      <c r="L133" s="47"/>
      <c r="M133" s="49"/>
      <c r="N133" s="47">
        <v>2</v>
      </c>
      <c r="O133" s="49">
        <f t="shared" si="12"/>
        <v>7600</v>
      </c>
      <c r="P133" s="47"/>
      <c r="Q133" s="49"/>
    </row>
    <row r="134" spans="1:17" x14ac:dyDescent="0.25">
      <c r="A134" s="44">
        <v>131</v>
      </c>
      <c r="B134" s="45" t="s">
        <v>246</v>
      </c>
      <c r="C134" s="51" t="s">
        <v>124</v>
      </c>
      <c r="D134" s="45">
        <v>8</v>
      </c>
      <c r="E134" s="47">
        <v>6400</v>
      </c>
      <c r="F134" s="48">
        <f t="shared" si="10"/>
        <v>51200</v>
      </c>
      <c r="G134" s="46" t="s">
        <v>108</v>
      </c>
      <c r="H134" s="46" t="s">
        <v>15</v>
      </c>
      <c r="I134" s="46" t="s">
        <v>16</v>
      </c>
      <c r="J134" s="45">
        <v>4</v>
      </c>
      <c r="K134" s="49">
        <f t="shared" si="11"/>
        <v>25600</v>
      </c>
      <c r="L134" s="47"/>
      <c r="M134" s="49"/>
      <c r="N134" s="47">
        <v>4</v>
      </c>
      <c r="O134" s="49">
        <f t="shared" si="12"/>
        <v>25600</v>
      </c>
      <c r="P134" s="47"/>
      <c r="Q134" s="49"/>
    </row>
    <row r="135" spans="1:17" x14ac:dyDescent="0.25">
      <c r="A135" s="44">
        <v>132</v>
      </c>
      <c r="B135" s="45" t="s">
        <v>66</v>
      </c>
      <c r="C135" s="51" t="s">
        <v>124</v>
      </c>
      <c r="D135" s="45">
        <v>1</v>
      </c>
      <c r="E135" s="47">
        <v>15650</v>
      </c>
      <c r="F135" s="48">
        <f t="shared" si="10"/>
        <v>15650</v>
      </c>
      <c r="G135" s="46" t="s">
        <v>108</v>
      </c>
      <c r="H135" s="46" t="s">
        <v>15</v>
      </c>
      <c r="I135" s="46" t="s">
        <v>16</v>
      </c>
      <c r="J135" s="45"/>
      <c r="K135" s="49"/>
      <c r="L135" s="47">
        <v>1</v>
      </c>
      <c r="M135" s="49">
        <f t="shared" ref="M135:M168" si="13">E135*L135</f>
        <v>15650</v>
      </c>
      <c r="N135" s="47"/>
      <c r="O135" s="49">
        <f t="shared" si="12"/>
        <v>0</v>
      </c>
      <c r="P135" s="47"/>
      <c r="Q135" s="49"/>
    </row>
    <row r="136" spans="1:17" x14ac:dyDescent="0.25">
      <c r="A136" s="44">
        <v>133</v>
      </c>
      <c r="B136" s="45" t="s">
        <v>67</v>
      </c>
      <c r="C136" s="51" t="s">
        <v>124</v>
      </c>
      <c r="D136" s="45">
        <v>1</v>
      </c>
      <c r="E136" s="47">
        <v>18500</v>
      </c>
      <c r="F136" s="48">
        <f t="shared" si="10"/>
        <v>18500</v>
      </c>
      <c r="G136" s="46" t="s">
        <v>108</v>
      </c>
      <c r="H136" s="46" t="s">
        <v>15</v>
      </c>
      <c r="I136" s="46" t="s">
        <v>16</v>
      </c>
      <c r="J136" s="45"/>
      <c r="K136" s="49"/>
      <c r="L136" s="47">
        <v>1</v>
      </c>
      <c r="M136" s="49">
        <f t="shared" si="13"/>
        <v>18500</v>
      </c>
      <c r="N136" s="47"/>
      <c r="O136" s="49">
        <f t="shared" si="12"/>
        <v>0</v>
      </c>
      <c r="P136" s="47"/>
      <c r="Q136" s="49"/>
    </row>
    <row r="137" spans="1:17" x14ac:dyDescent="0.25">
      <c r="A137" s="44">
        <v>134</v>
      </c>
      <c r="B137" s="45" t="s">
        <v>247</v>
      </c>
      <c r="C137" s="51" t="s">
        <v>161</v>
      </c>
      <c r="D137" s="45">
        <v>6</v>
      </c>
      <c r="E137" s="47">
        <v>4520</v>
      </c>
      <c r="F137" s="48">
        <f t="shared" si="10"/>
        <v>27120</v>
      </c>
      <c r="G137" s="46" t="s">
        <v>108</v>
      </c>
      <c r="H137" s="46" t="s">
        <v>15</v>
      </c>
      <c r="I137" s="46" t="s">
        <v>16</v>
      </c>
      <c r="J137" s="45">
        <v>3</v>
      </c>
      <c r="K137" s="49">
        <f t="shared" si="11"/>
        <v>13560</v>
      </c>
      <c r="L137" s="47"/>
      <c r="M137" s="49"/>
      <c r="N137" s="47">
        <v>3</v>
      </c>
      <c r="O137" s="49">
        <f t="shared" si="12"/>
        <v>13560</v>
      </c>
      <c r="P137" s="47"/>
      <c r="Q137" s="49"/>
    </row>
    <row r="138" spans="1:17" x14ac:dyDescent="0.25">
      <c r="A138" s="44">
        <v>135</v>
      </c>
      <c r="B138" s="45" t="s">
        <v>248</v>
      </c>
      <c r="C138" s="51" t="s">
        <v>192</v>
      </c>
      <c r="D138" s="45">
        <v>2</v>
      </c>
      <c r="E138" s="47">
        <v>11500</v>
      </c>
      <c r="F138" s="48">
        <f t="shared" si="10"/>
        <v>23000</v>
      </c>
      <c r="G138" s="46" t="s">
        <v>108</v>
      </c>
      <c r="H138" s="46" t="s">
        <v>15</v>
      </c>
      <c r="I138" s="46" t="s">
        <v>16</v>
      </c>
      <c r="J138" s="45">
        <v>1</v>
      </c>
      <c r="K138" s="49">
        <f t="shared" si="11"/>
        <v>11500</v>
      </c>
      <c r="L138" s="47"/>
      <c r="M138" s="49"/>
      <c r="N138" s="47">
        <v>1</v>
      </c>
      <c r="O138" s="49">
        <f t="shared" si="12"/>
        <v>11500</v>
      </c>
      <c r="P138" s="47"/>
      <c r="Q138" s="49"/>
    </row>
    <row r="139" spans="1:17" x14ac:dyDescent="0.25">
      <c r="A139" s="44">
        <v>136</v>
      </c>
      <c r="B139" s="45" t="s">
        <v>249</v>
      </c>
      <c r="C139" s="51" t="s">
        <v>192</v>
      </c>
      <c r="D139" s="45">
        <v>2</v>
      </c>
      <c r="E139" s="47">
        <v>10500</v>
      </c>
      <c r="F139" s="48">
        <f t="shared" si="10"/>
        <v>21000</v>
      </c>
      <c r="G139" s="46" t="s">
        <v>108</v>
      </c>
      <c r="H139" s="46" t="s">
        <v>15</v>
      </c>
      <c r="I139" s="46" t="s">
        <v>16</v>
      </c>
      <c r="J139" s="45">
        <v>1</v>
      </c>
      <c r="K139" s="49">
        <f t="shared" si="11"/>
        <v>10500</v>
      </c>
      <c r="L139" s="47"/>
      <c r="M139" s="49"/>
      <c r="N139" s="47">
        <v>1</v>
      </c>
      <c r="O139" s="49">
        <f t="shared" si="12"/>
        <v>10500</v>
      </c>
      <c r="P139" s="47"/>
      <c r="Q139" s="49"/>
    </row>
    <row r="140" spans="1:17" x14ac:dyDescent="0.25">
      <c r="A140" s="44">
        <v>137</v>
      </c>
      <c r="B140" s="45" t="s">
        <v>250</v>
      </c>
      <c r="C140" s="51" t="s">
        <v>192</v>
      </c>
      <c r="D140" s="45">
        <v>2</v>
      </c>
      <c r="E140" s="47">
        <v>9500</v>
      </c>
      <c r="F140" s="48">
        <f t="shared" si="10"/>
        <v>19000</v>
      </c>
      <c r="G140" s="46" t="s">
        <v>108</v>
      </c>
      <c r="H140" s="46" t="s">
        <v>15</v>
      </c>
      <c r="I140" s="46" t="s">
        <v>16</v>
      </c>
      <c r="J140" s="45">
        <v>1</v>
      </c>
      <c r="K140" s="49">
        <f t="shared" si="11"/>
        <v>9500</v>
      </c>
      <c r="L140" s="47"/>
      <c r="M140" s="49"/>
      <c r="N140" s="47">
        <v>1</v>
      </c>
      <c r="O140" s="49">
        <f t="shared" si="12"/>
        <v>9500</v>
      </c>
      <c r="P140" s="47"/>
      <c r="Q140" s="49"/>
    </row>
    <row r="141" spans="1:17" x14ac:dyDescent="0.25">
      <c r="A141" s="44">
        <v>138</v>
      </c>
      <c r="B141" s="45" t="s">
        <v>251</v>
      </c>
      <c r="C141" s="51" t="s">
        <v>244</v>
      </c>
      <c r="D141" s="45">
        <v>2</v>
      </c>
      <c r="E141" s="47">
        <v>2500</v>
      </c>
      <c r="F141" s="48">
        <f t="shared" si="10"/>
        <v>5000</v>
      </c>
      <c r="G141" s="46" t="s">
        <v>108</v>
      </c>
      <c r="H141" s="46" t="s">
        <v>15</v>
      </c>
      <c r="I141" s="46" t="s">
        <v>16</v>
      </c>
      <c r="J141" s="45">
        <v>1</v>
      </c>
      <c r="K141" s="49">
        <f t="shared" si="11"/>
        <v>2500</v>
      </c>
      <c r="L141" s="47"/>
      <c r="M141" s="49"/>
      <c r="N141" s="47">
        <v>1</v>
      </c>
      <c r="O141" s="49">
        <f t="shared" si="12"/>
        <v>2500</v>
      </c>
      <c r="P141" s="47"/>
      <c r="Q141" s="49"/>
    </row>
    <row r="142" spans="1:17" x14ac:dyDescent="0.25">
      <c r="A142" s="44">
        <v>139</v>
      </c>
      <c r="B142" s="45" t="s">
        <v>252</v>
      </c>
      <c r="C142" s="51" t="s">
        <v>244</v>
      </c>
      <c r="D142" s="45">
        <v>2</v>
      </c>
      <c r="E142" s="47">
        <v>2500</v>
      </c>
      <c r="F142" s="48">
        <f t="shared" si="10"/>
        <v>5000</v>
      </c>
      <c r="G142" s="46" t="s">
        <v>108</v>
      </c>
      <c r="H142" s="46" t="s">
        <v>15</v>
      </c>
      <c r="I142" s="46" t="s">
        <v>16</v>
      </c>
      <c r="J142" s="45">
        <v>1</v>
      </c>
      <c r="K142" s="49">
        <f t="shared" si="11"/>
        <v>2500</v>
      </c>
      <c r="L142" s="47"/>
      <c r="M142" s="49"/>
      <c r="N142" s="47">
        <v>1</v>
      </c>
      <c r="O142" s="49">
        <f t="shared" si="12"/>
        <v>2500</v>
      </c>
      <c r="P142" s="47"/>
      <c r="Q142" s="49"/>
    </row>
    <row r="143" spans="1:17" x14ac:dyDescent="0.25">
      <c r="A143" s="44">
        <v>140</v>
      </c>
      <c r="B143" s="45" t="s">
        <v>70</v>
      </c>
      <c r="C143" s="51" t="s">
        <v>192</v>
      </c>
      <c r="D143" s="45">
        <v>6</v>
      </c>
      <c r="E143" s="47">
        <v>13000</v>
      </c>
      <c r="F143" s="48">
        <f t="shared" si="10"/>
        <v>78000</v>
      </c>
      <c r="G143" s="46" t="s">
        <v>108</v>
      </c>
      <c r="H143" s="46" t="s">
        <v>15</v>
      </c>
      <c r="I143" s="46" t="s">
        <v>16</v>
      </c>
      <c r="J143" s="45">
        <v>3</v>
      </c>
      <c r="K143" s="49">
        <f t="shared" si="11"/>
        <v>39000</v>
      </c>
      <c r="L143" s="47"/>
      <c r="M143" s="49"/>
      <c r="N143" s="47">
        <v>3</v>
      </c>
      <c r="O143" s="49">
        <f t="shared" si="12"/>
        <v>39000</v>
      </c>
      <c r="P143" s="47"/>
      <c r="Q143" s="49"/>
    </row>
    <row r="144" spans="1:17" x14ac:dyDescent="0.25">
      <c r="A144" s="44">
        <v>141</v>
      </c>
      <c r="B144" s="45" t="s">
        <v>71</v>
      </c>
      <c r="C144" s="51" t="s">
        <v>253</v>
      </c>
      <c r="D144" s="45">
        <v>4</v>
      </c>
      <c r="E144" s="47">
        <v>30000</v>
      </c>
      <c r="F144" s="48">
        <f t="shared" si="10"/>
        <v>120000</v>
      </c>
      <c r="G144" s="46" t="s">
        <v>108</v>
      </c>
      <c r="H144" s="46" t="s">
        <v>15</v>
      </c>
      <c r="I144" s="46" t="s">
        <v>16</v>
      </c>
      <c r="J144" s="45">
        <v>2</v>
      </c>
      <c r="K144" s="49">
        <f t="shared" si="11"/>
        <v>60000</v>
      </c>
      <c r="L144" s="47"/>
      <c r="M144" s="49"/>
      <c r="N144" s="47">
        <v>2</v>
      </c>
      <c r="O144" s="49">
        <f t="shared" si="12"/>
        <v>60000</v>
      </c>
      <c r="P144" s="47"/>
      <c r="Q144" s="49"/>
    </row>
    <row r="145" spans="1:17" x14ac:dyDescent="0.25">
      <c r="A145" s="44">
        <v>142</v>
      </c>
      <c r="B145" s="45" t="s">
        <v>72</v>
      </c>
      <c r="C145" s="51" t="s">
        <v>192</v>
      </c>
      <c r="D145" s="45">
        <v>4</v>
      </c>
      <c r="E145" s="47">
        <v>35000</v>
      </c>
      <c r="F145" s="48">
        <f t="shared" si="10"/>
        <v>140000</v>
      </c>
      <c r="G145" s="46" t="s">
        <v>108</v>
      </c>
      <c r="H145" s="46" t="s">
        <v>15</v>
      </c>
      <c r="I145" s="46" t="s">
        <v>16</v>
      </c>
      <c r="J145" s="45">
        <v>2</v>
      </c>
      <c r="K145" s="49">
        <f t="shared" si="11"/>
        <v>70000</v>
      </c>
      <c r="L145" s="47"/>
      <c r="M145" s="49"/>
      <c r="N145" s="47">
        <v>2</v>
      </c>
      <c r="O145" s="49">
        <f t="shared" si="12"/>
        <v>70000</v>
      </c>
      <c r="P145" s="47"/>
      <c r="Q145" s="49"/>
    </row>
    <row r="146" spans="1:17" x14ac:dyDescent="0.25">
      <c r="A146" s="44">
        <v>143</v>
      </c>
      <c r="B146" s="45" t="s">
        <v>73</v>
      </c>
      <c r="C146" s="51" t="s">
        <v>192</v>
      </c>
      <c r="D146" s="45">
        <v>4</v>
      </c>
      <c r="E146" s="47">
        <v>34000</v>
      </c>
      <c r="F146" s="48">
        <f t="shared" si="10"/>
        <v>136000</v>
      </c>
      <c r="G146" s="46" t="s">
        <v>108</v>
      </c>
      <c r="H146" s="46" t="s">
        <v>15</v>
      </c>
      <c r="I146" s="46" t="s">
        <v>16</v>
      </c>
      <c r="J146" s="45">
        <v>2</v>
      </c>
      <c r="K146" s="49">
        <f t="shared" si="11"/>
        <v>68000</v>
      </c>
      <c r="L146" s="47"/>
      <c r="M146" s="49"/>
      <c r="N146" s="47">
        <v>2</v>
      </c>
      <c r="O146" s="49">
        <f t="shared" si="12"/>
        <v>68000</v>
      </c>
      <c r="P146" s="47"/>
      <c r="Q146" s="49"/>
    </row>
    <row r="147" spans="1:17" x14ac:dyDescent="0.25">
      <c r="A147" s="44">
        <v>144</v>
      </c>
      <c r="B147" s="45" t="s">
        <v>74</v>
      </c>
      <c r="C147" s="51" t="s">
        <v>211</v>
      </c>
      <c r="D147" s="45">
        <v>4</v>
      </c>
      <c r="E147" s="47">
        <v>24000</v>
      </c>
      <c r="F147" s="48">
        <f t="shared" si="10"/>
        <v>96000</v>
      </c>
      <c r="G147" s="46" t="s">
        <v>108</v>
      </c>
      <c r="H147" s="46" t="s">
        <v>15</v>
      </c>
      <c r="I147" s="46" t="s">
        <v>16</v>
      </c>
      <c r="J147" s="45">
        <v>2</v>
      </c>
      <c r="K147" s="49">
        <f t="shared" si="11"/>
        <v>48000</v>
      </c>
      <c r="L147" s="47"/>
      <c r="M147" s="49"/>
      <c r="N147" s="47">
        <v>2</v>
      </c>
      <c r="O147" s="49">
        <f t="shared" si="12"/>
        <v>48000</v>
      </c>
      <c r="P147" s="47"/>
      <c r="Q147" s="49"/>
    </row>
    <row r="148" spans="1:17" x14ac:dyDescent="0.25">
      <c r="A148" s="44">
        <v>145</v>
      </c>
      <c r="B148" s="45" t="s">
        <v>259</v>
      </c>
      <c r="C148" s="51" t="s">
        <v>124</v>
      </c>
      <c r="D148" s="45">
        <v>2</v>
      </c>
      <c r="E148" s="52">
        <v>21500</v>
      </c>
      <c r="F148" s="48">
        <f t="shared" si="10"/>
        <v>43000</v>
      </c>
      <c r="G148" s="46" t="s">
        <v>108</v>
      </c>
      <c r="H148" s="46" t="s">
        <v>15</v>
      </c>
      <c r="I148" s="46" t="s">
        <v>16</v>
      </c>
      <c r="J148" s="45"/>
      <c r="K148" s="49"/>
      <c r="L148" s="45">
        <v>2</v>
      </c>
      <c r="M148" s="49">
        <f t="shared" si="13"/>
        <v>43000</v>
      </c>
      <c r="N148" s="45"/>
      <c r="O148" s="49"/>
      <c r="P148" s="45"/>
      <c r="Q148" s="49"/>
    </row>
    <row r="149" spans="1:17" x14ac:dyDescent="0.25">
      <c r="A149" s="44">
        <v>146</v>
      </c>
      <c r="B149" s="45" t="s">
        <v>257</v>
      </c>
      <c r="C149" s="51" t="s">
        <v>148</v>
      </c>
      <c r="D149" s="45">
        <v>1</v>
      </c>
      <c r="E149" s="52">
        <v>19850</v>
      </c>
      <c r="F149" s="48">
        <f t="shared" si="10"/>
        <v>19850</v>
      </c>
      <c r="G149" s="46" t="s">
        <v>108</v>
      </c>
      <c r="H149" s="46" t="s">
        <v>15</v>
      </c>
      <c r="I149" s="46" t="s">
        <v>16</v>
      </c>
      <c r="J149" s="45"/>
      <c r="K149" s="49"/>
      <c r="L149" s="45">
        <v>1</v>
      </c>
      <c r="M149" s="49">
        <f t="shared" si="13"/>
        <v>19850</v>
      </c>
      <c r="N149" s="45"/>
      <c r="O149" s="49"/>
      <c r="P149" s="45"/>
      <c r="Q149" s="49"/>
    </row>
    <row r="150" spans="1:17" x14ac:dyDescent="0.25">
      <c r="A150" s="44">
        <v>147</v>
      </c>
      <c r="B150" s="45" t="s">
        <v>258</v>
      </c>
      <c r="C150" s="51" t="s">
        <v>148</v>
      </c>
      <c r="D150" s="45">
        <v>1</v>
      </c>
      <c r="E150" s="52">
        <v>21500</v>
      </c>
      <c r="F150" s="48">
        <f t="shared" si="10"/>
        <v>21500</v>
      </c>
      <c r="G150" s="46" t="s">
        <v>108</v>
      </c>
      <c r="H150" s="46" t="s">
        <v>15</v>
      </c>
      <c r="I150" s="46" t="s">
        <v>16</v>
      </c>
      <c r="J150" s="45"/>
      <c r="K150" s="49"/>
      <c r="L150" s="45">
        <v>1</v>
      </c>
      <c r="M150" s="49">
        <f t="shared" si="13"/>
        <v>21500</v>
      </c>
      <c r="N150" s="45"/>
      <c r="O150" s="49"/>
      <c r="P150" s="45"/>
      <c r="Q150" s="49"/>
    </row>
    <row r="151" spans="1:17" x14ac:dyDescent="0.25">
      <c r="A151" s="44">
        <v>148</v>
      </c>
      <c r="B151" s="45" t="s">
        <v>256</v>
      </c>
      <c r="C151" s="51" t="s">
        <v>124</v>
      </c>
      <c r="D151" s="45">
        <v>1</v>
      </c>
      <c r="E151" s="52">
        <v>18900</v>
      </c>
      <c r="F151" s="48">
        <f t="shared" si="10"/>
        <v>18900</v>
      </c>
      <c r="G151" s="46" t="s">
        <v>108</v>
      </c>
      <c r="H151" s="46" t="s">
        <v>15</v>
      </c>
      <c r="I151" s="46" t="s">
        <v>16</v>
      </c>
      <c r="J151" s="45"/>
      <c r="K151" s="49"/>
      <c r="L151" s="45">
        <v>1</v>
      </c>
      <c r="M151" s="49">
        <f t="shared" si="13"/>
        <v>18900</v>
      </c>
      <c r="N151" s="45"/>
      <c r="O151" s="49"/>
      <c r="P151" s="45"/>
      <c r="Q151" s="49"/>
    </row>
    <row r="152" spans="1:17" x14ac:dyDescent="0.25">
      <c r="A152" s="44">
        <v>149</v>
      </c>
      <c r="B152" s="45" t="s">
        <v>255</v>
      </c>
      <c r="C152" s="51" t="s">
        <v>148</v>
      </c>
      <c r="D152" s="45">
        <v>1</v>
      </c>
      <c r="E152" s="52">
        <v>19500</v>
      </c>
      <c r="F152" s="48">
        <f t="shared" si="10"/>
        <v>19500</v>
      </c>
      <c r="G152" s="46" t="s">
        <v>108</v>
      </c>
      <c r="H152" s="46" t="s">
        <v>15</v>
      </c>
      <c r="I152" s="46" t="s">
        <v>16</v>
      </c>
      <c r="J152" s="45"/>
      <c r="K152" s="49"/>
      <c r="L152" s="45">
        <v>1</v>
      </c>
      <c r="M152" s="49">
        <f t="shared" si="13"/>
        <v>19500</v>
      </c>
      <c r="N152" s="45"/>
      <c r="O152" s="49"/>
      <c r="P152" s="45"/>
      <c r="Q152" s="49"/>
    </row>
    <row r="153" spans="1:17" x14ac:dyDescent="0.25">
      <c r="A153" s="44">
        <v>150</v>
      </c>
      <c r="B153" s="45" t="s">
        <v>76</v>
      </c>
      <c r="C153" s="51" t="s">
        <v>151</v>
      </c>
      <c r="D153" s="45">
        <v>2</v>
      </c>
      <c r="E153" s="52">
        <v>3200</v>
      </c>
      <c r="F153" s="48">
        <f t="shared" si="10"/>
        <v>6400</v>
      </c>
      <c r="G153" s="46" t="s">
        <v>108</v>
      </c>
      <c r="H153" s="46" t="s">
        <v>15</v>
      </c>
      <c r="I153" s="46" t="s">
        <v>16</v>
      </c>
      <c r="J153" s="45"/>
      <c r="K153" s="49"/>
      <c r="L153" s="45">
        <v>2</v>
      </c>
      <c r="M153" s="49">
        <f t="shared" si="13"/>
        <v>6400</v>
      </c>
      <c r="N153" s="45"/>
      <c r="O153" s="49"/>
      <c r="P153" s="45"/>
      <c r="Q153" s="49"/>
    </row>
    <row r="154" spans="1:17" x14ac:dyDescent="0.25">
      <c r="A154" s="44">
        <v>151</v>
      </c>
      <c r="B154" s="45" t="s">
        <v>77</v>
      </c>
      <c r="C154" s="51" t="s">
        <v>124</v>
      </c>
      <c r="D154" s="45">
        <v>20</v>
      </c>
      <c r="E154" s="52">
        <v>3200</v>
      </c>
      <c r="F154" s="48">
        <f t="shared" si="10"/>
        <v>64000</v>
      </c>
      <c r="G154" s="46" t="s">
        <v>108</v>
      </c>
      <c r="H154" s="46" t="s">
        <v>15</v>
      </c>
      <c r="I154" s="46" t="s">
        <v>16</v>
      </c>
      <c r="J154" s="45"/>
      <c r="K154" s="49"/>
      <c r="L154" s="45">
        <v>20</v>
      </c>
      <c r="M154" s="49">
        <f t="shared" si="13"/>
        <v>64000</v>
      </c>
      <c r="N154" s="45"/>
      <c r="O154" s="49"/>
      <c r="P154" s="45"/>
      <c r="Q154" s="49"/>
    </row>
    <row r="155" spans="1:17" x14ac:dyDescent="0.25">
      <c r="A155" s="44">
        <v>152</v>
      </c>
      <c r="B155" s="45" t="s">
        <v>78</v>
      </c>
      <c r="C155" s="51" t="s">
        <v>124</v>
      </c>
      <c r="D155" s="45">
        <v>3</v>
      </c>
      <c r="E155" s="52">
        <v>2150</v>
      </c>
      <c r="F155" s="48">
        <f t="shared" si="10"/>
        <v>6450</v>
      </c>
      <c r="G155" s="46" t="s">
        <v>108</v>
      </c>
      <c r="H155" s="46" t="s">
        <v>15</v>
      </c>
      <c r="I155" s="46" t="s">
        <v>16</v>
      </c>
      <c r="J155" s="45"/>
      <c r="K155" s="49"/>
      <c r="L155" s="45">
        <v>3</v>
      </c>
      <c r="M155" s="49">
        <f t="shared" si="13"/>
        <v>6450</v>
      </c>
      <c r="N155" s="45"/>
      <c r="O155" s="49"/>
      <c r="P155" s="45"/>
      <c r="Q155" s="49"/>
    </row>
    <row r="156" spans="1:17" x14ac:dyDescent="0.25">
      <c r="A156" s="44">
        <v>153</v>
      </c>
      <c r="B156" s="45" t="s">
        <v>80</v>
      </c>
      <c r="C156" s="51" t="s">
        <v>260</v>
      </c>
      <c r="D156" s="45">
        <v>2</v>
      </c>
      <c r="E156" s="52">
        <v>19000</v>
      </c>
      <c r="F156" s="48">
        <f t="shared" si="10"/>
        <v>38000</v>
      </c>
      <c r="G156" s="46" t="s">
        <v>108</v>
      </c>
      <c r="H156" s="46" t="s">
        <v>15</v>
      </c>
      <c r="I156" s="46" t="s">
        <v>16</v>
      </c>
      <c r="J156" s="45"/>
      <c r="K156" s="49"/>
      <c r="L156" s="45">
        <v>2</v>
      </c>
      <c r="M156" s="49">
        <f t="shared" si="13"/>
        <v>38000</v>
      </c>
      <c r="N156" s="45"/>
      <c r="O156" s="49"/>
      <c r="P156" s="45"/>
      <c r="Q156" s="49"/>
    </row>
    <row r="157" spans="1:17" x14ac:dyDescent="0.25">
      <c r="A157" s="44">
        <v>154</v>
      </c>
      <c r="B157" s="45" t="s">
        <v>81</v>
      </c>
      <c r="C157" s="51" t="s">
        <v>260</v>
      </c>
      <c r="D157" s="45">
        <v>2</v>
      </c>
      <c r="E157" s="52">
        <v>26000</v>
      </c>
      <c r="F157" s="48">
        <f t="shared" si="10"/>
        <v>52000</v>
      </c>
      <c r="G157" s="46" t="s">
        <v>108</v>
      </c>
      <c r="H157" s="46" t="s">
        <v>15</v>
      </c>
      <c r="I157" s="46" t="s">
        <v>16</v>
      </c>
      <c r="J157" s="45"/>
      <c r="K157" s="49"/>
      <c r="L157" s="45">
        <v>2</v>
      </c>
      <c r="M157" s="49">
        <f t="shared" si="13"/>
        <v>52000</v>
      </c>
      <c r="N157" s="45"/>
      <c r="O157" s="49"/>
      <c r="P157" s="45"/>
      <c r="Q157" s="49"/>
    </row>
    <row r="158" spans="1:17" x14ac:dyDescent="0.25">
      <c r="A158" s="44">
        <v>155</v>
      </c>
      <c r="B158" s="45" t="s">
        <v>82</v>
      </c>
      <c r="C158" s="51" t="s">
        <v>260</v>
      </c>
      <c r="D158" s="45">
        <v>2</v>
      </c>
      <c r="E158" s="52">
        <v>26000</v>
      </c>
      <c r="F158" s="48">
        <f t="shared" si="10"/>
        <v>52000</v>
      </c>
      <c r="G158" s="46" t="s">
        <v>108</v>
      </c>
      <c r="H158" s="46" t="s">
        <v>15</v>
      </c>
      <c r="I158" s="46" t="s">
        <v>16</v>
      </c>
      <c r="J158" s="45"/>
      <c r="K158" s="49"/>
      <c r="L158" s="45">
        <v>2</v>
      </c>
      <c r="M158" s="49">
        <f t="shared" si="13"/>
        <v>52000</v>
      </c>
      <c r="N158" s="45"/>
      <c r="O158" s="49"/>
      <c r="P158" s="45"/>
      <c r="Q158" s="49"/>
    </row>
    <row r="159" spans="1:17" x14ac:dyDescent="0.25">
      <c r="A159" s="44">
        <v>156</v>
      </c>
      <c r="B159" s="45" t="s">
        <v>83</v>
      </c>
      <c r="C159" s="51" t="s">
        <v>260</v>
      </c>
      <c r="D159" s="45">
        <v>2</v>
      </c>
      <c r="E159" s="52">
        <v>26000</v>
      </c>
      <c r="F159" s="48">
        <f t="shared" si="10"/>
        <v>52000</v>
      </c>
      <c r="G159" s="46" t="s">
        <v>108</v>
      </c>
      <c r="H159" s="46" t="s">
        <v>15</v>
      </c>
      <c r="I159" s="46" t="s">
        <v>16</v>
      </c>
      <c r="J159" s="45"/>
      <c r="K159" s="49"/>
      <c r="L159" s="45">
        <v>2</v>
      </c>
      <c r="M159" s="49">
        <f t="shared" si="13"/>
        <v>52000</v>
      </c>
      <c r="N159" s="45"/>
      <c r="O159" s="49"/>
      <c r="P159" s="45"/>
      <c r="Q159" s="49"/>
    </row>
    <row r="160" spans="1:17" x14ac:dyDescent="0.25">
      <c r="A160" s="44">
        <v>157</v>
      </c>
      <c r="B160" s="45" t="s">
        <v>304</v>
      </c>
      <c r="C160" s="51" t="s">
        <v>260</v>
      </c>
      <c r="D160" s="45">
        <v>3</v>
      </c>
      <c r="E160" s="52">
        <v>8500</v>
      </c>
      <c r="F160" s="48">
        <f t="shared" si="10"/>
        <v>25500</v>
      </c>
      <c r="G160" s="46" t="s">
        <v>108</v>
      </c>
      <c r="H160" s="46" t="s">
        <v>15</v>
      </c>
      <c r="I160" s="46" t="s">
        <v>16</v>
      </c>
      <c r="J160" s="45"/>
      <c r="K160" s="49"/>
      <c r="L160" s="45">
        <v>3</v>
      </c>
      <c r="M160" s="49">
        <f t="shared" si="13"/>
        <v>25500</v>
      </c>
      <c r="N160" s="45"/>
      <c r="O160" s="49"/>
      <c r="P160" s="45"/>
      <c r="Q160" s="49"/>
    </row>
    <row r="161" spans="1:17" x14ac:dyDescent="0.25">
      <c r="A161" s="44">
        <v>158</v>
      </c>
      <c r="B161" s="45" t="s">
        <v>303</v>
      </c>
      <c r="C161" s="51" t="s">
        <v>260</v>
      </c>
      <c r="D161" s="45">
        <v>3</v>
      </c>
      <c r="E161" s="52">
        <v>8500</v>
      </c>
      <c r="F161" s="48">
        <f t="shared" si="10"/>
        <v>25500</v>
      </c>
      <c r="G161" s="46" t="s">
        <v>108</v>
      </c>
      <c r="H161" s="46" t="s">
        <v>15</v>
      </c>
      <c r="I161" s="46" t="s">
        <v>16</v>
      </c>
      <c r="J161" s="45"/>
      <c r="K161" s="49"/>
      <c r="L161" s="45">
        <v>3</v>
      </c>
      <c r="M161" s="49">
        <f t="shared" si="13"/>
        <v>25500</v>
      </c>
      <c r="N161" s="45"/>
      <c r="O161" s="49"/>
      <c r="P161" s="45"/>
      <c r="Q161" s="49"/>
    </row>
    <row r="162" spans="1:17" x14ac:dyDescent="0.25">
      <c r="A162" s="44">
        <v>159</v>
      </c>
      <c r="B162" s="45" t="s">
        <v>302</v>
      </c>
      <c r="C162" s="51" t="s">
        <v>260</v>
      </c>
      <c r="D162" s="45">
        <v>3</v>
      </c>
      <c r="E162" s="52">
        <v>8500</v>
      </c>
      <c r="F162" s="48">
        <f t="shared" si="10"/>
        <v>25500</v>
      </c>
      <c r="G162" s="46" t="s">
        <v>108</v>
      </c>
      <c r="H162" s="46" t="s">
        <v>15</v>
      </c>
      <c r="I162" s="46" t="s">
        <v>16</v>
      </c>
      <c r="J162" s="45"/>
      <c r="K162" s="49"/>
      <c r="L162" s="45">
        <v>3</v>
      </c>
      <c r="M162" s="49">
        <f t="shared" si="13"/>
        <v>25500</v>
      </c>
      <c r="N162" s="45"/>
      <c r="O162" s="49"/>
      <c r="P162" s="45"/>
      <c r="Q162" s="49"/>
    </row>
    <row r="163" spans="1:17" x14ac:dyDescent="0.25">
      <c r="A163" s="44">
        <v>160</v>
      </c>
      <c r="B163" s="45" t="s">
        <v>162</v>
      </c>
      <c r="C163" s="51" t="s">
        <v>260</v>
      </c>
      <c r="D163" s="45">
        <v>3</v>
      </c>
      <c r="E163" s="52">
        <v>8500</v>
      </c>
      <c r="F163" s="48">
        <f t="shared" si="10"/>
        <v>25500</v>
      </c>
      <c r="G163" s="46" t="s">
        <v>108</v>
      </c>
      <c r="H163" s="46" t="s">
        <v>15</v>
      </c>
      <c r="I163" s="46" t="s">
        <v>16</v>
      </c>
      <c r="J163" s="45"/>
      <c r="K163" s="49"/>
      <c r="L163" s="45">
        <v>3</v>
      </c>
      <c r="M163" s="49">
        <f t="shared" si="13"/>
        <v>25500</v>
      </c>
      <c r="N163" s="45"/>
      <c r="O163" s="49"/>
      <c r="P163" s="45"/>
      <c r="Q163" s="49"/>
    </row>
    <row r="164" spans="1:17" x14ac:dyDescent="0.25">
      <c r="A164" s="44">
        <v>161</v>
      </c>
      <c r="B164" s="45" t="s">
        <v>301</v>
      </c>
      <c r="C164" s="51" t="s">
        <v>260</v>
      </c>
      <c r="D164" s="45">
        <v>3</v>
      </c>
      <c r="E164" s="52">
        <v>8500</v>
      </c>
      <c r="F164" s="48">
        <f t="shared" si="10"/>
        <v>25500</v>
      </c>
      <c r="G164" s="46" t="s">
        <v>108</v>
      </c>
      <c r="H164" s="46" t="s">
        <v>15</v>
      </c>
      <c r="I164" s="46" t="s">
        <v>16</v>
      </c>
      <c r="J164" s="45"/>
      <c r="K164" s="49"/>
      <c r="L164" s="45">
        <v>3</v>
      </c>
      <c r="M164" s="49">
        <f t="shared" si="13"/>
        <v>25500</v>
      </c>
      <c r="N164" s="45"/>
      <c r="O164" s="49"/>
      <c r="P164" s="45"/>
      <c r="Q164" s="49"/>
    </row>
    <row r="165" spans="1:17" x14ac:dyDescent="0.25">
      <c r="A165" s="44">
        <v>162</v>
      </c>
      <c r="B165" s="45" t="s">
        <v>163</v>
      </c>
      <c r="C165" s="51" t="s">
        <v>260</v>
      </c>
      <c r="D165" s="45">
        <v>3</v>
      </c>
      <c r="E165" s="52">
        <v>8500</v>
      </c>
      <c r="F165" s="48">
        <f t="shared" si="10"/>
        <v>25500</v>
      </c>
      <c r="G165" s="46" t="s">
        <v>108</v>
      </c>
      <c r="H165" s="46" t="s">
        <v>15</v>
      </c>
      <c r="I165" s="46" t="s">
        <v>16</v>
      </c>
      <c r="J165" s="45"/>
      <c r="K165" s="49"/>
      <c r="L165" s="45">
        <v>3</v>
      </c>
      <c r="M165" s="49">
        <f t="shared" si="13"/>
        <v>25500</v>
      </c>
      <c r="N165" s="45"/>
      <c r="O165" s="49"/>
      <c r="P165" s="45"/>
      <c r="Q165" s="49"/>
    </row>
    <row r="166" spans="1:17" x14ac:dyDescent="0.25">
      <c r="A166" s="44">
        <v>163</v>
      </c>
      <c r="B166" s="45" t="s">
        <v>164</v>
      </c>
      <c r="C166" s="51" t="s">
        <v>260</v>
      </c>
      <c r="D166" s="45">
        <v>3</v>
      </c>
      <c r="E166" s="52">
        <v>8500</v>
      </c>
      <c r="F166" s="48">
        <f t="shared" si="10"/>
        <v>25500</v>
      </c>
      <c r="G166" s="46" t="s">
        <v>108</v>
      </c>
      <c r="H166" s="46" t="s">
        <v>15</v>
      </c>
      <c r="I166" s="46" t="s">
        <v>16</v>
      </c>
      <c r="J166" s="45"/>
      <c r="K166" s="49"/>
      <c r="L166" s="45">
        <v>3</v>
      </c>
      <c r="M166" s="49">
        <f t="shared" si="13"/>
        <v>25500</v>
      </c>
      <c r="N166" s="45"/>
      <c r="O166" s="49"/>
      <c r="P166" s="45"/>
      <c r="Q166" s="49"/>
    </row>
    <row r="167" spans="1:17" x14ac:dyDescent="0.25">
      <c r="A167" s="44">
        <v>164</v>
      </c>
      <c r="B167" s="45" t="s">
        <v>300</v>
      </c>
      <c r="C167" s="51" t="s">
        <v>260</v>
      </c>
      <c r="D167" s="45">
        <v>3</v>
      </c>
      <c r="E167" s="52">
        <v>8500</v>
      </c>
      <c r="F167" s="48">
        <f t="shared" si="10"/>
        <v>25500</v>
      </c>
      <c r="G167" s="46" t="s">
        <v>108</v>
      </c>
      <c r="H167" s="46" t="s">
        <v>15</v>
      </c>
      <c r="I167" s="46" t="s">
        <v>16</v>
      </c>
      <c r="J167" s="45"/>
      <c r="K167" s="49"/>
      <c r="L167" s="45">
        <v>3</v>
      </c>
      <c r="M167" s="49">
        <f t="shared" si="13"/>
        <v>25500</v>
      </c>
      <c r="N167" s="45"/>
      <c r="O167" s="49"/>
      <c r="P167" s="45"/>
      <c r="Q167" s="49"/>
    </row>
    <row r="168" spans="1:17" x14ac:dyDescent="0.25">
      <c r="A168" s="44">
        <v>165</v>
      </c>
      <c r="B168" s="45" t="s">
        <v>84</v>
      </c>
      <c r="C168" s="51" t="s">
        <v>124</v>
      </c>
      <c r="D168" s="45">
        <v>2</v>
      </c>
      <c r="E168" s="52">
        <v>23500</v>
      </c>
      <c r="F168" s="48">
        <f t="shared" si="10"/>
        <v>47000</v>
      </c>
      <c r="G168" s="46" t="s">
        <v>108</v>
      </c>
      <c r="H168" s="46" t="s">
        <v>15</v>
      </c>
      <c r="I168" s="46" t="s">
        <v>16</v>
      </c>
      <c r="J168" s="45"/>
      <c r="K168" s="49"/>
      <c r="L168" s="45">
        <v>2</v>
      </c>
      <c r="M168" s="49">
        <f t="shared" si="13"/>
        <v>47000</v>
      </c>
      <c r="N168" s="45"/>
      <c r="O168" s="49"/>
      <c r="P168" s="45"/>
      <c r="Q168" s="49"/>
    </row>
    <row r="169" spans="1:17" x14ac:dyDescent="0.25">
      <c r="A169" s="44">
        <v>166</v>
      </c>
      <c r="B169" s="45" t="s">
        <v>262</v>
      </c>
      <c r="C169" s="51" t="s">
        <v>261</v>
      </c>
      <c r="D169" s="45">
        <v>20</v>
      </c>
      <c r="E169" s="52">
        <v>950</v>
      </c>
      <c r="F169" s="48">
        <f t="shared" si="10"/>
        <v>19000</v>
      </c>
      <c r="G169" s="46" t="s">
        <v>108</v>
      </c>
      <c r="H169" s="46" t="s">
        <v>15</v>
      </c>
      <c r="I169" s="46" t="s">
        <v>16</v>
      </c>
      <c r="J169" s="45">
        <v>10</v>
      </c>
      <c r="K169" s="49">
        <f t="shared" si="11"/>
        <v>9500</v>
      </c>
      <c r="L169" s="45"/>
      <c r="M169" s="49"/>
      <c r="N169" s="45">
        <v>10</v>
      </c>
      <c r="O169" s="49">
        <f t="shared" si="12"/>
        <v>9500</v>
      </c>
      <c r="P169" s="45"/>
      <c r="Q169" s="49"/>
    </row>
    <row r="170" spans="1:17" x14ac:dyDescent="0.25">
      <c r="A170" s="44">
        <v>167</v>
      </c>
      <c r="B170" s="45" t="s">
        <v>299</v>
      </c>
      <c r="C170" s="51" t="s">
        <v>124</v>
      </c>
      <c r="D170" s="45">
        <v>4</v>
      </c>
      <c r="E170" s="52">
        <v>700</v>
      </c>
      <c r="F170" s="48">
        <f t="shared" si="10"/>
        <v>2800</v>
      </c>
      <c r="G170" s="46" t="s">
        <v>108</v>
      </c>
      <c r="H170" s="46" t="s">
        <v>15</v>
      </c>
      <c r="I170" s="46" t="s">
        <v>16</v>
      </c>
      <c r="J170" s="45">
        <v>2</v>
      </c>
      <c r="K170" s="49">
        <f t="shared" si="11"/>
        <v>1400</v>
      </c>
      <c r="L170" s="45"/>
      <c r="M170" s="49"/>
      <c r="N170" s="45">
        <v>2</v>
      </c>
      <c r="O170" s="49">
        <f t="shared" si="12"/>
        <v>1400</v>
      </c>
      <c r="P170" s="45"/>
      <c r="Q170" s="49"/>
    </row>
    <row r="171" spans="1:17" x14ac:dyDescent="0.25">
      <c r="A171" s="44">
        <v>168</v>
      </c>
      <c r="B171" s="45" t="s">
        <v>263</v>
      </c>
      <c r="C171" s="51" t="s">
        <v>124</v>
      </c>
      <c r="D171" s="45">
        <v>10</v>
      </c>
      <c r="E171" s="52">
        <v>1200</v>
      </c>
      <c r="F171" s="48">
        <f t="shared" si="10"/>
        <v>12000</v>
      </c>
      <c r="G171" s="46" t="s">
        <v>108</v>
      </c>
      <c r="H171" s="46" t="s">
        <v>15</v>
      </c>
      <c r="I171" s="46" t="s">
        <v>16</v>
      </c>
      <c r="J171" s="45">
        <v>5</v>
      </c>
      <c r="K171" s="49">
        <f t="shared" si="11"/>
        <v>6000</v>
      </c>
      <c r="L171" s="45"/>
      <c r="M171" s="49"/>
      <c r="N171" s="45">
        <v>5</v>
      </c>
      <c r="O171" s="49">
        <f t="shared" si="12"/>
        <v>6000</v>
      </c>
      <c r="P171" s="45"/>
      <c r="Q171" s="49"/>
    </row>
    <row r="172" spans="1:17" x14ac:dyDescent="0.25">
      <c r="A172" s="44">
        <v>169</v>
      </c>
      <c r="B172" s="45" t="s">
        <v>264</v>
      </c>
      <c r="C172" s="51" t="s">
        <v>126</v>
      </c>
      <c r="D172" s="45">
        <v>24</v>
      </c>
      <c r="E172" s="52">
        <v>350</v>
      </c>
      <c r="F172" s="48">
        <f t="shared" si="10"/>
        <v>8400</v>
      </c>
      <c r="G172" s="46" t="s">
        <v>108</v>
      </c>
      <c r="H172" s="46" t="s">
        <v>15</v>
      </c>
      <c r="I172" s="46" t="s">
        <v>16</v>
      </c>
      <c r="J172" s="45">
        <v>12</v>
      </c>
      <c r="K172" s="49">
        <f t="shared" si="11"/>
        <v>4200</v>
      </c>
      <c r="L172" s="45"/>
      <c r="M172" s="49"/>
      <c r="N172" s="45">
        <v>12</v>
      </c>
      <c r="O172" s="49">
        <f t="shared" si="12"/>
        <v>4200</v>
      </c>
      <c r="P172" s="45"/>
      <c r="Q172" s="49"/>
    </row>
    <row r="173" spans="1:17" x14ac:dyDescent="0.25">
      <c r="A173" s="44">
        <v>170</v>
      </c>
      <c r="B173" s="45" t="s">
        <v>265</v>
      </c>
      <c r="C173" s="51" t="s">
        <v>126</v>
      </c>
      <c r="D173" s="45">
        <v>40</v>
      </c>
      <c r="E173" s="52">
        <v>250</v>
      </c>
      <c r="F173" s="48">
        <f t="shared" si="10"/>
        <v>10000</v>
      </c>
      <c r="G173" s="46" t="s">
        <v>108</v>
      </c>
      <c r="H173" s="46" t="s">
        <v>15</v>
      </c>
      <c r="I173" s="46" t="s">
        <v>16</v>
      </c>
      <c r="J173" s="45">
        <v>20</v>
      </c>
      <c r="K173" s="49">
        <f t="shared" si="11"/>
        <v>5000</v>
      </c>
      <c r="L173" s="45"/>
      <c r="M173" s="49"/>
      <c r="N173" s="45">
        <v>20</v>
      </c>
      <c r="O173" s="49">
        <f t="shared" si="12"/>
        <v>5000</v>
      </c>
      <c r="P173" s="45"/>
      <c r="Q173" s="49"/>
    </row>
    <row r="174" spans="1:17" x14ac:dyDescent="0.25">
      <c r="A174" s="44">
        <v>171</v>
      </c>
      <c r="B174" s="45" t="s">
        <v>86</v>
      </c>
      <c r="C174" s="51" t="s">
        <v>126</v>
      </c>
      <c r="D174" s="45">
        <v>6</v>
      </c>
      <c r="E174" s="47">
        <v>12000</v>
      </c>
      <c r="F174" s="48">
        <f t="shared" ref="F174:F221" si="14">D174*E174</f>
        <v>72000</v>
      </c>
      <c r="G174" s="46" t="s">
        <v>108</v>
      </c>
      <c r="H174" s="46" t="s">
        <v>15</v>
      </c>
      <c r="I174" s="46" t="s">
        <v>16</v>
      </c>
      <c r="J174" s="45"/>
      <c r="K174" s="49"/>
      <c r="L174" s="47">
        <v>3</v>
      </c>
      <c r="M174" s="49">
        <f t="shared" ref="M174:M221" si="15">E174*L174</f>
        <v>36000</v>
      </c>
      <c r="N174" s="47"/>
      <c r="O174" s="49"/>
      <c r="P174" s="47">
        <v>3</v>
      </c>
      <c r="Q174" s="49">
        <f t="shared" ref="Q174:Q212" si="16">E174*P174</f>
        <v>36000</v>
      </c>
    </row>
    <row r="175" spans="1:17" x14ac:dyDescent="0.25">
      <c r="A175" s="44">
        <v>172</v>
      </c>
      <c r="B175" s="45" t="s">
        <v>87</v>
      </c>
      <c r="C175" s="51" t="s">
        <v>126</v>
      </c>
      <c r="D175" s="45">
        <v>4</v>
      </c>
      <c r="E175" s="47">
        <v>10250</v>
      </c>
      <c r="F175" s="48">
        <f t="shared" si="14"/>
        <v>41000</v>
      </c>
      <c r="G175" s="46" t="s">
        <v>108</v>
      </c>
      <c r="H175" s="46" t="s">
        <v>15</v>
      </c>
      <c r="I175" s="46" t="s">
        <v>16</v>
      </c>
      <c r="J175" s="45"/>
      <c r="K175" s="49"/>
      <c r="L175" s="47">
        <v>2</v>
      </c>
      <c r="M175" s="49">
        <f t="shared" si="15"/>
        <v>20500</v>
      </c>
      <c r="N175" s="47"/>
      <c r="O175" s="49"/>
      <c r="P175" s="47">
        <v>2</v>
      </c>
      <c r="Q175" s="49">
        <f t="shared" si="16"/>
        <v>20500</v>
      </c>
    </row>
    <row r="176" spans="1:17" x14ac:dyDescent="0.25">
      <c r="A176" s="44">
        <v>173</v>
      </c>
      <c r="B176" s="45" t="s">
        <v>266</v>
      </c>
      <c r="C176" s="51" t="s">
        <v>165</v>
      </c>
      <c r="D176" s="45">
        <v>14</v>
      </c>
      <c r="E176" s="47">
        <v>800</v>
      </c>
      <c r="F176" s="48">
        <f t="shared" si="14"/>
        <v>11200</v>
      </c>
      <c r="G176" s="46" t="s">
        <v>108</v>
      </c>
      <c r="H176" s="46" t="s">
        <v>15</v>
      </c>
      <c r="I176" s="46" t="s">
        <v>16</v>
      </c>
      <c r="J176" s="45"/>
      <c r="K176" s="49"/>
      <c r="L176" s="47">
        <v>7</v>
      </c>
      <c r="M176" s="49">
        <f t="shared" si="15"/>
        <v>5600</v>
      </c>
      <c r="N176" s="47"/>
      <c r="O176" s="49"/>
      <c r="P176" s="47">
        <v>7</v>
      </c>
      <c r="Q176" s="49">
        <f t="shared" si="16"/>
        <v>5600</v>
      </c>
    </row>
    <row r="177" spans="1:17" x14ac:dyDescent="0.25">
      <c r="A177" s="44">
        <v>174</v>
      </c>
      <c r="B177" s="45" t="s">
        <v>298</v>
      </c>
      <c r="C177" s="51" t="s">
        <v>165</v>
      </c>
      <c r="D177" s="45">
        <v>12</v>
      </c>
      <c r="E177" s="47">
        <v>4000</v>
      </c>
      <c r="F177" s="48">
        <f t="shared" si="14"/>
        <v>48000</v>
      </c>
      <c r="G177" s="46" t="s">
        <v>108</v>
      </c>
      <c r="H177" s="46" t="s">
        <v>15</v>
      </c>
      <c r="I177" s="46" t="s">
        <v>16</v>
      </c>
      <c r="J177" s="45"/>
      <c r="K177" s="49"/>
      <c r="L177" s="47">
        <v>6</v>
      </c>
      <c r="M177" s="49">
        <f t="shared" si="15"/>
        <v>24000</v>
      </c>
      <c r="N177" s="47"/>
      <c r="O177" s="49"/>
      <c r="P177" s="47">
        <v>6</v>
      </c>
      <c r="Q177" s="49">
        <f t="shared" si="16"/>
        <v>24000</v>
      </c>
    </row>
    <row r="178" spans="1:17" x14ac:dyDescent="0.25">
      <c r="A178" s="44">
        <v>175</v>
      </c>
      <c r="B178" s="45" t="s">
        <v>297</v>
      </c>
      <c r="C178" s="51" t="s">
        <v>125</v>
      </c>
      <c r="D178" s="45">
        <v>8</v>
      </c>
      <c r="E178" s="47">
        <v>600</v>
      </c>
      <c r="F178" s="48">
        <f t="shared" si="14"/>
        <v>4800</v>
      </c>
      <c r="G178" s="46" t="s">
        <v>108</v>
      </c>
      <c r="H178" s="46" t="s">
        <v>15</v>
      </c>
      <c r="I178" s="46" t="s">
        <v>16</v>
      </c>
      <c r="J178" s="45"/>
      <c r="K178" s="49"/>
      <c r="L178" s="47">
        <v>4</v>
      </c>
      <c r="M178" s="49">
        <f t="shared" si="15"/>
        <v>2400</v>
      </c>
      <c r="N178" s="47"/>
      <c r="O178" s="49"/>
      <c r="P178" s="47">
        <v>4</v>
      </c>
      <c r="Q178" s="49">
        <f t="shared" si="16"/>
        <v>2400</v>
      </c>
    </row>
    <row r="179" spans="1:17" x14ac:dyDescent="0.25">
      <c r="A179" s="44">
        <v>176</v>
      </c>
      <c r="B179" s="45" t="s">
        <v>296</v>
      </c>
      <c r="C179" s="51" t="s">
        <v>125</v>
      </c>
      <c r="D179" s="45">
        <v>2</v>
      </c>
      <c r="E179" s="47">
        <v>720</v>
      </c>
      <c r="F179" s="48">
        <f t="shared" si="14"/>
        <v>1440</v>
      </c>
      <c r="G179" s="46" t="s">
        <v>108</v>
      </c>
      <c r="H179" s="46" t="s">
        <v>15</v>
      </c>
      <c r="I179" s="46" t="s">
        <v>16</v>
      </c>
      <c r="J179" s="45"/>
      <c r="K179" s="49"/>
      <c r="L179" s="47">
        <v>1</v>
      </c>
      <c r="M179" s="49">
        <f t="shared" si="15"/>
        <v>720</v>
      </c>
      <c r="N179" s="47"/>
      <c r="O179" s="49"/>
      <c r="P179" s="47">
        <v>1</v>
      </c>
      <c r="Q179" s="49">
        <f t="shared" si="16"/>
        <v>720</v>
      </c>
    </row>
    <row r="180" spans="1:17" x14ac:dyDescent="0.25">
      <c r="A180" s="44">
        <v>177</v>
      </c>
      <c r="B180" s="45" t="s">
        <v>295</v>
      </c>
      <c r="C180" s="51" t="s">
        <v>125</v>
      </c>
      <c r="D180" s="45">
        <v>6</v>
      </c>
      <c r="E180" s="47">
        <v>1440</v>
      </c>
      <c r="F180" s="48">
        <f t="shared" si="14"/>
        <v>8640</v>
      </c>
      <c r="G180" s="46" t="s">
        <v>108</v>
      </c>
      <c r="H180" s="46" t="s">
        <v>15</v>
      </c>
      <c r="I180" s="46" t="s">
        <v>16</v>
      </c>
      <c r="J180" s="45"/>
      <c r="K180" s="49"/>
      <c r="L180" s="47">
        <v>3</v>
      </c>
      <c r="M180" s="49">
        <f t="shared" si="15"/>
        <v>4320</v>
      </c>
      <c r="N180" s="47"/>
      <c r="O180" s="49"/>
      <c r="P180" s="47">
        <v>3</v>
      </c>
      <c r="Q180" s="49">
        <f t="shared" si="16"/>
        <v>4320</v>
      </c>
    </row>
    <row r="181" spans="1:17" x14ac:dyDescent="0.25">
      <c r="A181" s="44">
        <v>178</v>
      </c>
      <c r="B181" s="45" t="s">
        <v>294</v>
      </c>
      <c r="C181" s="51" t="s">
        <v>125</v>
      </c>
      <c r="D181" s="45">
        <v>6</v>
      </c>
      <c r="E181" s="47">
        <v>1440</v>
      </c>
      <c r="F181" s="48">
        <f t="shared" si="14"/>
        <v>8640</v>
      </c>
      <c r="G181" s="46" t="s">
        <v>108</v>
      </c>
      <c r="H181" s="46" t="s">
        <v>15</v>
      </c>
      <c r="I181" s="46" t="s">
        <v>16</v>
      </c>
      <c r="J181" s="45"/>
      <c r="K181" s="49"/>
      <c r="L181" s="47">
        <v>3</v>
      </c>
      <c r="M181" s="49">
        <f t="shared" si="15"/>
        <v>4320</v>
      </c>
      <c r="N181" s="47"/>
      <c r="O181" s="49"/>
      <c r="P181" s="47">
        <v>3</v>
      </c>
      <c r="Q181" s="49">
        <f t="shared" si="16"/>
        <v>4320</v>
      </c>
    </row>
    <row r="182" spans="1:17" x14ac:dyDescent="0.25">
      <c r="A182" s="44">
        <v>179</v>
      </c>
      <c r="B182" s="45" t="s">
        <v>293</v>
      </c>
      <c r="C182" s="51" t="s">
        <v>124</v>
      </c>
      <c r="D182" s="45">
        <v>6</v>
      </c>
      <c r="E182" s="47">
        <v>700</v>
      </c>
      <c r="F182" s="48">
        <f t="shared" si="14"/>
        <v>4200</v>
      </c>
      <c r="G182" s="46" t="s">
        <v>108</v>
      </c>
      <c r="H182" s="46" t="s">
        <v>15</v>
      </c>
      <c r="I182" s="46" t="s">
        <v>16</v>
      </c>
      <c r="J182" s="45"/>
      <c r="K182" s="49"/>
      <c r="L182" s="47">
        <v>3</v>
      </c>
      <c r="M182" s="49">
        <f t="shared" si="15"/>
        <v>2100</v>
      </c>
      <c r="N182" s="47"/>
      <c r="O182" s="49"/>
      <c r="P182" s="47">
        <v>3</v>
      </c>
      <c r="Q182" s="49">
        <f t="shared" si="16"/>
        <v>2100</v>
      </c>
    </row>
    <row r="183" spans="1:17" x14ac:dyDescent="0.25">
      <c r="A183" s="44">
        <v>180</v>
      </c>
      <c r="B183" s="45" t="s">
        <v>292</v>
      </c>
      <c r="C183" s="51" t="s">
        <v>125</v>
      </c>
      <c r="D183" s="45">
        <v>6</v>
      </c>
      <c r="E183" s="47">
        <v>180</v>
      </c>
      <c r="F183" s="48">
        <f t="shared" si="14"/>
        <v>1080</v>
      </c>
      <c r="G183" s="46" t="s">
        <v>108</v>
      </c>
      <c r="H183" s="46" t="s">
        <v>15</v>
      </c>
      <c r="I183" s="46" t="s">
        <v>16</v>
      </c>
      <c r="J183" s="45"/>
      <c r="K183" s="49"/>
      <c r="L183" s="47">
        <v>3</v>
      </c>
      <c r="M183" s="49">
        <f t="shared" si="15"/>
        <v>540</v>
      </c>
      <c r="N183" s="47"/>
      <c r="O183" s="49"/>
      <c r="P183" s="47">
        <v>3</v>
      </c>
      <c r="Q183" s="49">
        <f t="shared" si="16"/>
        <v>540</v>
      </c>
    </row>
    <row r="184" spans="1:17" x14ac:dyDescent="0.25">
      <c r="A184" s="44">
        <v>181</v>
      </c>
      <c r="B184" s="45" t="s">
        <v>291</v>
      </c>
      <c r="C184" s="51" t="s">
        <v>125</v>
      </c>
      <c r="D184" s="45">
        <v>4</v>
      </c>
      <c r="E184" s="47">
        <v>700</v>
      </c>
      <c r="F184" s="48">
        <f t="shared" si="14"/>
        <v>2800</v>
      </c>
      <c r="G184" s="46" t="s">
        <v>108</v>
      </c>
      <c r="H184" s="46" t="s">
        <v>15</v>
      </c>
      <c r="I184" s="46" t="s">
        <v>16</v>
      </c>
      <c r="J184" s="45"/>
      <c r="K184" s="49"/>
      <c r="L184" s="47">
        <v>2</v>
      </c>
      <c r="M184" s="49">
        <f t="shared" si="15"/>
        <v>1400</v>
      </c>
      <c r="N184" s="47"/>
      <c r="O184" s="49"/>
      <c r="P184" s="47">
        <v>2</v>
      </c>
      <c r="Q184" s="49">
        <f t="shared" si="16"/>
        <v>1400</v>
      </c>
    </row>
    <row r="185" spans="1:17" x14ac:dyDescent="0.25">
      <c r="A185" s="44">
        <v>182</v>
      </c>
      <c r="B185" s="45" t="s">
        <v>290</v>
      </c>
      <c r="C185" s="51" t="s">
        <v>124</v>
      </c>
      <c r="D185" s="45">
        <v>6</v>
      </c>
      <c r="E185" s="47">
        <v>350</v>
      </c>
      <c r="F185" s="48">
        <f t="shared" si="14"/>
        <v>2100</v>
      </c>
      <c r="G185" s="46" t="s">
        <v>108</v>
      </c>
      <c r="H185" s="46" t="s">
        <v>15</v>
      </c>
      <c r="I185" s="46" t="s">
        <v>16</v>
      </c>
      <c r="J185" s="45"/>
      <c r="K185" s="49"/>
      <c r="L185" s="47">
        <v>3</v>
      </c>
      <c r="M185" s="49">
        <f t="shared" si="15"/>
        <v>1050</v>
      </c>
      <c r="N185" s="47"/>
      <c r="O185" s="49"/>
      <c r="P185" s="47">
        <v>3</v>
      </c>
      <c r="Q185" s="49">
        <f t="shared" si="16"/>
        <v>1050</v>
      </c>
    </row>
    <row r="186" spans="1:17" x14ac:dyDescent="0.25">
      <c r="A186" s="44">
        <v>183</v>
      </c>
      <c r="B186" s="45" t="s">
        <v>289</v>
      </c>
      <c r="C186" s="51" t="s">
        <v>124</v>
      </c>
      <c r="D186" s="45">
        <v>6</v>
      </c>
      <c r="E186" s="47">
        <v>300</v>
      </c>
      <c r="F186" s="48">
        <f t="shared" si="14"/>
        <v>1800</v>
      </c>
      <c r="G186" s="46" t="s">
        <v>108</v>
      </c>
      <c r="H186" s="46" t="s">
        <v>15</v>
      </c>
      <c r="I186" s="46" t="s">
        <v>16</v>
      </c>
      <c r="J186" s="45"/>
      <c r="K186" s="49"/>
      <c r="L186" s="47">
        <v>3</v>
      </c>
      <c r="M186" s="49">
        <f t="shared" si="15"/>
        <v>900</v>
      </c>
      <c r="N186" s="47"/>
      <c r="O186" s="49"/>
      <c r="P186" s="47">
        <v>3</v>
      </c>
      <c r="Q186" s="49">
        <f t="shared" si="16"/>
        <v>900</v>
      </c>
    </row>
    <row r="187" spans="1:17" x14ac:dyDescent="0.25">
      <c r="A187" s="44">
        <v>184</v>
      </c>
      <c r="B187" s="45" t="s">
        <v>288</v>
      </c>
      <c r="C187" s="51" t="s">
        <v>124</v>
      </c>
      <c r="D187" s="45">
        <v>6</v>
      </c>
      <c r="E187" s="47">
        <v>500</v>
      </c>
      <c r="F187" s="48">
        <f t="shared" si="14"/>
        <v>3000</v>
      </c>
      <c r="G187" s="46" t="s">
        <v>108</v>
      </c>
      <c r="H187" s="46" t="s">
        <v>15</v>
      </c>
      <c r="I187" s="46" t="s">
        <v>16</v>
      </c>
      <c r="J187" s="45"/>
      <c r="K187" s="49"/>
      <c r="L187" s="47">
        <v>3</v>
      </c>
      <c r="M187" s="49">
        <f t="shared" si="15"/>
        <v>1500</v>
      </c>
      <c r="N187" s="47"/>
      <c r="O187" s="49"/>
      <c r="P187" s="47">
        <v>3</v>
      </c>
      <c r="Q187" s="49">
        <f t="shared" si="16"/>
        <v>1500</v>
      </c>
    </row>
    <row r="188" spans="1:17" x14ac:dyDescent="0.25">
      <c r="A188" s="44">
        <v>185</v>
      </c>
      <c r="B188" s="45" t="s">
        <v>287</v>
      </c>
      <c r="C188" s="51" t="s">
        <v>126</v>
      </c>
      <c r="D188" s="45">
        <v>12</v>
      </c>
      <c r="E188" s="47">
        <v>250</v>
      </c>
      <c r="F188" s="48">
        <f t="shared" si="14"/>
        <v>3000</v>
      </c>
      <c r="G188" s="46" t="s">
        <v>108</v>
      </c>
      <c r="H188" s="46" t="s">
        <v>15</v>
      </c>
      <c r="I188" s="46" t="s">
        <v>16</v>
      </c>
      <c r="J188" s="45"/>
      <c r="K188" s="49"/>
      <c r="L188" s="47">
        <v>6</v>
      </c>
      <c r="M188" s="49">
        <f t="shared" si="15"/>
        <v>1500</v>
      </c>
      <c r="N188" s="47"/>
      <c r="O188" s="49"/>
      <c r="P188" s="47">
        <v>6</v>
      </c>
      <c r="Q188" s="49">
        <f t="shared" si="16"/>
        <v>1500</v>
      </c>
    </row>
    <row r="189" spans="1:17" x14ac:dyDescent="0.25">
      <c r="A189" s="44">
        <v>186</v>
      </c>
      <c r="B189" s="45" t="s">
        <v>286</v>
      </c>
      <c r="C189" s="51" t="s">
        <v>124</v>
      </c>
      <c r="D189" s="45">
        <v>12</v>
      </c>
      <c r="E189" s="47">
        <v>400</v>
      </c>
      <c r="F189" s="48">
        <f t="shared" si="14"/>
        <v>4800</v>
      </c>
      <c r="G189" s="46" t="s">
        <v>108</v>
      </c>
      <c r="H189" s="46" t="s">
        <v>15</v>
      </c>
      <c r="I189" s="46" t="s">
        <v>16</v>
      </c>
      <c r="J189" s="45"/>
      <c r="K189" s="49"/>
      <c r="L189" s="47">
        <v>6</v>
      </c>
      <c r="M189" s="49">
        <f t="shared" si="15"/>
        <v>2400</v>
      </c>
      <c r="N189" s="47"/>
      <c r="O189" s="49"/>
      <c r="P189" s="47">
        <v>6</v>
      </c>
      <c r="Q189" s="49">
        <f t="shared" si="16"/>
        <v>2400</v>
      </c>
    </row>
    <row r="190" spans="1:17" x14ac:dyDescent="0.25">
      <c r="A190" s="44">
        <v>187</v>
      </c>
      <c r="B190" s="45" t="s">
        <v>285</v>
      </c>
      <c r="C190" s="51" t="s">
        <v>125</v>
      </c>
      <c r="D190" s="45">
        <v>2</v>
      </c>
      <c r="E190" s="47">
        <v>840</v>
      </c>
      <c r="F190" s="48">
        <f t="shared" si="14"/>
        <v>1680</v>
      </c>
      <c r="G190" s="46" t="s">
        <v>108</v>
      </c>
      <c r="H190" s="46" t="s">
        <v>15</v>
      </c>
      <c r="I190" s="46" t="s">
        <v>16</v>
      </c>
      <c r="J190" s="45"/>
      <c r="K190" s="49"/>
      <c r="L190" s="47">
        <v>1</v>
      </c>
      <c r="M190" s="49">
        <f t="shared" si="15"/>
        <v>840</v>
      </c>
      <c r="N190" s="47"/>
      <c r="O190" s="49"/>
      <c r="P190" s="47">
        <v>1</v>
      </c>
      <c r="Q190" s="49">
        <f t="shared" si="16"/>
        <v>840</v>
      </c>
    </row>
    <row r="191" spans="1:17" x14ac:dyDescent="0.25">
      <c r="A191" s="44">
        <v>188</v>
      </c>
      <c r="B191" s="45" t="s">
        <v>284</v>
      </c>
      <c r="C191" s="51" t="s">
        <v>125</v>
      </c>
      <c r="D191" s="45">
        <v>2</v>
      </c>
      <c r="E191" s="47">
        <v>750</v>
      </c>
      <c r="F191" s="48">
        <f t="shared" si="14"/>
        <v>1500</v>
      </c>
      <c r="G191" s="46" t="s">
        <v>108</v>
      </c>
      <c r="H191" s="46" t="s">
        <v>15</v>
      </c>
      <c r="I191" s="46" t="s">
        <v>16</v>
      </c>
      <c r="J191" s="45"/>
      <c r="K191" s="49"/>
      <c r="L191" s="47">
        <v>1</v>
      </c>
      <c r="M191" s="49">
        <f t="shared" si="15"/>
        <v>750</v>
      </c>
      <c r="N191" s="47"/>
      <c r="O191" s="49"/>
      <c r="P191" s="47">
        <v>1</v>
      </c>
      <c r="Q191" s="49">
        <f t="shared" si="16"/>
        <v>750</v>
      </c>
    </row>
    <row r="192" spans="1:17" x14ac:dyDescent="0.25">
      <c r="A192" s="44">
        <v>189</v>
      </c>
      <c r="B192" s="45" t="s">
        <v>283</v>
      </c>
      <c r="C192" s="51" t="s">
        <v>124</v>
      </c>
      <c r="D192" s="45">
        <v>4</v>
      </c>
      <c r="E192" s="47">
        <v>550</v>
      </c>
      <c r="F192" s="48">
        <f t="shared" si="14"/>
        <v>2200</v>
      </c>
      <c r="G192" s="46" t="s">
        <v>108</v>
      </c>
      <c r="H192" s="46" t="s">
        <v>15</v>
      </c>
      <c r="I192" s="46" t="s">
        <v>16</v>
      </c>
      <c r="J192" s="45"/>
      <c r="K192" s="49"/>
      <c r="L192" s="47">
        <v>2</v>
      </c>
      <c r="M192" s="49">
        <f t="shared" si="15"/>
        <v>1100</v>
      </c>
      <c r="N192" s="47"/>
      <c r="O192" s="49"/>
      <c r="P192" s="47">
        <v>2</v>
      </c>
      <c r="Q192" s="49">
        <f t="shared" si="16"/>
        <v>1100</v>
      </c>
    </row>
    <row r="193" spans="1:17" x14ac:dyDescent="0.25">
      <c r="A193" s="44">
        <v>190</v>
      </c>
      <c r="B193" s="45" t="s">
        <v>282</v>
      </c>
      <c r="C193" s="51" t="s">
        <v>124</v>
      </c>
      <c r="D193" s="45">
        <v>6</v>
      </c>
      <c r="E193" s="47">
        <v>350</v>
      </c>
      <c r="F193" s="48">
        <f t="shared" si="14"/>
        <v>2100</v>
      </c>
      <c r="G193" s="46" t="s">
        <v>108</v>
      </c>
      <c r="H193" s="46" t="s">
        <v>15</v>
      </c>
      <c r="I193" s="46" t="s">
        <v>16</v>
      </c>
      <c r="J193" s="45"/>
      <c r="K193" s="49"/>
      <c r="L193" s="47">
        <v>3</v>
      </c>
      <c r="M193" s="49">
        <f t="shared" si="15"/>
        <v>1050</v>
      </c>
      <c r="N193" s="47"/>
      <c r="O193" s="49"/>
      <c r="P193" s="47">
        <v>3</v>
      </c>
      <c r="Q193" s="49">
        <f t="shared" si="16"/>
        <v>1050</v>
      </c>
    </row>
    <row r="194" spans="1:17" x14ac:dyDescent="0.25">
      <c r="A194" s="44">
        <v>191</v>
      </c>
      <c r="B194" s="45" t="s">
        <v>281</v>
      </c>
      <c r="C194" s="51" t="s">
        <v>124</v>
      </c>
      <c r="D194" s="45">
        <v>6</v>
      </c>
      <c r="E194" s="47">
        <v>240</v>
      </c>
      <c r="F194" s="48">
        <f t="shared" si="14"/>
        <v>1440</v>
      </c>
      <c r="G194" s="46" t="s">
        <v>108</v>
      </c>
      <c r="H194" s="46" t="s">
        <v>15</v>
      </c>
      <c r="I194" s="46" t="s">
        <v>16</v>
      </c>
      <c r="J194" s="45"/>
      <c r="K194" s="49"/>
      <c r="L194" s="47">
        <v>3</v>
      </c>
      <c r="M194" s="49">
        <f t="shared" si="15"/>
        <v>720</v>
      </c>
      <c r="N194" s="47"/>
      <c r="O194" s="49"/>
      <c r="P194" s="47">
        <v>3</v>
      </c>
      <c r="Q194" s="49">
        <f t="shared" si="16"/>
        <v>720</v>
      </c>
    </row>
    <row r="195" spans="1:17" x14ac:dyDescent="0.25">
      <c r="A195" s="44">
        <v>192</v>
      </c>
      <c r="B195" s="45" t="s">
        <v>280</v>
      </c>
      <c r="C195" s="51" t="s">
        <v>165</v>
      </c>
      <c r="D195" s="45">
        <v>4</v>
      </c>
      <c r="E195" s="47">
        <v>600</v>
      </c>
      <c r="F195" s="48">
        <f t="shared" si="14"/>
        <v>2400</v>
      </c>
      <c r="G195" s="46" t="s">
        <v>108</v>
      </c>
      <c r="H195" s="46" t="s">
        <v>15</v>
      </c>
      <c r="I195" s="46" t="s">
        <v>16</v>
      </c>
      <c r="J195" s="45"/>
      <c r="K195" s="49"/>
      <c r="L195" s="47">
        <v>2</v>
      </c>
      <c r="M195" s="49">
        <f t="shared" si="15"/>
        <v>1200</v>
      </c>
      <c r="N195" s="47"/>
      <c r="O195" s="49"/>
      <c r="P195" s="47">
        <v>2</v>
      </c>
      <c r="Q195" s="49">
        <f t="shared" si="16"/>
        <v>1200</v>
      </c>
    </row>
    <row r="196" spans="1:17" x14ac:dyDescent="0.25">
      <c r="A196" s="44">
        <v>193</v>
      </c>
      <c r="B196" s="45" t="s">
        <v>279</v>
      </c>
      <c r="C196" s="51" t="s">
        <v>124</v>
      </c>
      <c r="D196" s="45">
        <v>4</v>
      </c>
      <c r="E196" s="47">
        <v>350</v>
      </c>
      <c r="F196" s="48">
        <f t="shared" si="14"/>
        <v>1400</v>
      </c>
      <c r="G196" s="46" t="s">
        <v>108</v>
      </c>
      <c r="H196" s="46" t="s">
        <v>15</v>
      </c>
      <c r="I196" s="46" t="s">
        <v>16</v>
      </c>
      <c r="J196" s="45"/>
      <c r="K196" s="49"/>
      <c r="L196" s="47">
        <v>2</v>
      </c>
      <c r="M196" s="49">
        <f t="shared" si="15"/>
        <v>700</v>
      </c>
      <c r="N196" s="47"/>
      <c r="O196" s="49"/>
      <c r="P196" s="47">
        <v>2</v>
      </c>
      <c r="Q196" s="49">
        <f t="shared" si="16"/>
        <v>700</v>
      </c>
    </row>
    <row r="197" spans="1:17" x14ac:dyDescent="0.25">
      <c r="A197" s="44">
        <v>194</v>
      </c>
      <c r="B197" s="45" t="s">
        <v>278</v>
      </c>
      <c r="C197" s="51" t="s">
        <v>124</v>
      </c>
      <c r="D197" s="45">
        <v>2</v>
      </c>
      <c r="E197" s="47">
        <v>350</v>
      </c>
      <c r="F197" s="48">
        <f t="shared" si="14"/>
        <v>700</v>
      </c>
      <c r="G197" s="46" t="s">
        <v>108</v>
      </c>
      <c r="H197" s="46" t="s">
        <v>15</v>
      </c>
      <c r="I197" s="46" t="s">
        <v>16</v>
      </c>
      <c r="J197" s="45"/>
      <c r="K197" s="49"/>
      <c r="L197" s="47">
        <v>1</v>
      </c>
      <c r="M197" s="49">
        <f t="shared" si="15"/>
        <v>350</v>
      </c>
      <c r="N197" s="47"/>
      <c r="O197" s="49"/>
      <c r="P197" s="47">
        <v>1</v>
      </c>
      <c r="Q197" s="49">
        <f t="shared" si="16"/>
        <v>350</v>
      </c>
    </row>
    <row r="198" spans="1:17" x14ac:dyDescent="0.25">
      <c r="A198" s="44">
        <v>195</v>
      </c>
      <c r="B198" s="45" t="s">
        <v>277</v>
      </c>
      <c r="C198" s="51" t="s">
        <v>212</v>
      </c>
      <c r="D198" s="45">
        <v>10</v>
      </c>
      <c r="E198" s="47">
        <v>350</v>
      </c>
      <c r="F198" s="48">
        <f t="shared" si="14"/>
        <v>3500</v>
      </c>
      <c r="G198" s="46" t="s">
        <v>108</v>
      </c>
      <c r="H198" s="46" t="s">
        <v>15</v>
      </c>
      <c r="I198" s="46" t="s">
        <v>16</v>
      </c>
      <c r="J198" s="45"/>
      <c r="K198" s="49"/>
      <c r="L198" s="47">
        <v>5</v>
      </c>
      <c r="M198" s="49">
        <f t="shared" si="15"/>
        <v>1750</v>
      </c>
      <c r="N198" s="47"/>
      <c r="O198" s="49"/>
      <c r="P198" s="47">
        <v>5</v>
      </c>
      <c r="Q198" s="49">
        <f t="shared" si="16"/>
        <v>1750</v>
      </c>
    </row>
    <row r="199" spans="1:17" x14ac:dyDescent="0.25">
      <c r="A199" s="44">
        <v>196</v>
      </c>
      <c r="B199" s="45" t="s">
        <v>276</v>
      </c>
      <c r="C199" s="51" t="s">
        <v>212</v>
      </c>
      <c r="D199" s="45">
        <v>12</v>
      </c>
      <c r="E199" s="47">
        <v>450</v>
      </c>
      <c r="F199" s="48">
        <f t="shared" si="14"/>
        <v>5400</v>
      </c>
      <c r="G199" s="46" t="s">
        <v>108</v>
      </c>
      <c r="H199" s="46" t="s">
        <v>15</v>
      </c>
      <c r="I199" s="46" t="s">
        <v>16</v>
      </c>
      <c r="J199" s="45"/>
      <c r="K199" s="49"/>
      <c r="L199" s="47">
        <v>6</v>
      </c>
      <c r="M199" s="49">
        <f t="shared" si="15"/>
        <v>2700</v>
      </c>
      <c r="N199" s="47"/>
      <c r="O199" s="49"/>
      <c r="P199" s="47">
        <v>6</v>
      </c>
      <c r="Q199" s="49">
        <f t="shared" si="16"/>
        <v>2700</v>
      </c>
    </row>
    <row r="200" spans="1:17" x14ac:dyDescent="0.25">
      <c r="A200" s="44">
        <v>197</v>
      </c>
      <c r="B200" s="45" t="s">
        <v>275</v>
      </c>
      <c r="C200" s="51" t="s">
        <v>212</v>
      </c>
      <c r="D200" s="45">
        <v>10</v>
      </c>
      <c r="E200" s="47">
        <v>700</v>
      </c>
      <c r="F200" s="48">
        <f t="shared" si="14"/>
        <v>7000</v>
      </c>
      <c r="G200" s="46" t="s">
        <v>108</v>
      </c>
      <c r="H200" s="46" t="s">
        <v>15</v>
      </c>
      <c r="I200" s="46" t="s">
        <v>16</v>
      </c>
      <c r="J200" s="45"/>
      <c r="K200" s="49"/>
      <c r="L200" s="47">
        <v>5</v>
      </c>
      <c r="M200" s="49">
        <f t="shared" si="15"/>
        <v>3500</v>
      </c>
      <c r="N200" s="47"/>
      <c r="O200" s="49"/>
      <c r="P200" s="47">
        <v>5</v>
      </c>
      <c r="Q200" s="49">
        <f t="shared" si="16"/>
        <v>3500</v>
      </c>
    </row>
    <row r="201" spans="1:17" x14ac:dyDescent="0.25">
      <c r="A201" s="44">
        <v>198</v>
      </c>
      <c r="B201" s="45" t="s">
        <v>274</v>
      </c>
      <c r="C201" s="51" t="s">
        <v>267</v>
      </c>
      <c r="D201" s="45">
        <v>1200</v>
      </c>
      <c r="E201" s="52">
        <v>5400</v>
      </c>
      <c r="F201" s="48">
        <f t="shared" si="14"/>
        <v>6480000</v>
      </c>
      <c r="G201" s="46" t="s">
        <v>108</v>
      </c>
      <c r="H201" s="46" t="s">
        <v>15</v>
      </c>
      <c r="I201" s="46" t="s">
        <v>16</v>
      </c>
      <c r="J201" s="45">
        <v>300</v>
      </c>
      <c r="K201" s="49">
        <f t="shared" ref="K201:K212" si="17">E201*J201</f>
        <v>1620000</v>
      </c>
      <c r="L201" s="45">
        <v>300</v>
      </c>
      <c r="M201" s="49">
        <f t="shared" si="15"/>
        <v>1620000</v>
      </c>
      <c r="N201" s="45">
        <v>300</v>
      </c>
      <c r="O201" s="49">
        <f t="shared" ref="O201:O212" si="18">E201*N201</f>
        <v>1620000</v>
      </c>
      <c r="P201" s="45">
        <v>300</v>
      </c>
      <c r="Q201" s="49">
        <f t="shared" si="16"/>
        <v>1620000</v>
      </c>
    </row>
    <row r="202" spans="1:17" x14ac:dyDescent="0.25">
      <c r="A202" s="44">
        <v>199</v>
      </c>
      <c r="B202" s="45" t="s">
        <v>89</v>
      </c>
      <c r="C202" s="51" t="s">
        <v>268</v>
      </c>
      <c r="D202" s="45">
        <v>48</v>
      </c>
      <c r="E202" s="52">
        <v>28200</v>
      </c>
      <c r="F202" s="48">
        <f t="shared" si="14"/>
        <v>1353600</v>
      </c>
      <c r="G202" s="46" t="s">
        <v>108</v>
      </c>
      <c r="H202" s="46" t="s">
        <v>15</v>
      </c>
      <c r="I202" s="46" t="s">
        <v>16</v>
      </c>
      <c r="J202" s="45">
        <v>12</v>
      </c>
      <c r="K202" s="49">
        <f t="shared" si="17"/>
        <v>338400</v>
      </c>
      <c r="L202" s="45">
        <v>12</v>
      </c>
      <c r="M202" s="49">
        <f t="shared" si="15"/>
        <v>338400</v>
      </c>
      <c r="N202" s="45">
        <v>12</v>
      </c>
      <c r="O202" s="49">
        <f t="shared" si="18"/>
        <v>338400</v>
      </c>
      <c r="P202" s="45">
        <v>12</v>
      </c>
      <c r="Q202" s="49">
        <f t="shared" si="16"/>
        <v>338400</v>
      </c>
    </row>
    <row r="203" spans="1:17" x14ac:dyDescent="0.25">
      <c r="A203" s="44">
        <v>200</v>
      </c>
      <c r="B203" s="45" t="s">
        <v>273</v>
      </c>
      <c r="C203" s="51" t="s">
        <v>267</v>
      </c>
      <c r="D203" s="45">
        <v>120</v>
      </c>
      <c r="E203" s="52">
        <v>3800</v>
      </c>
      <c r="F203" s="48">
        <f t="shared" si="14"/>
        <v>456000</v>
      </c>
      <c r="G203" s="46" t="s">
        <v>108</v>
      </c>
      <c r="H203" s="46" t="s">
        <v>15</v>
      </c>
      <c r="I203" s="46" t="s">
        <v>16</v>
      </c>
      <c r="J203" s="45">
        <v>30</v>
      </c>
      <c r="K203" s="49">
        <f t="shared" si="17"/>
        <v>114000</v>
      </c>
      <c r="L203" s="45">
        <v>30</v>
      </c>
      <c r="M203" s="49">
        <f t="shared" si="15"/>
        <v>114000</v>
      </c>
      <c r="N203" s="45">
        <v>30</v>
      </c>
      <c r="O203" s="49">
        <f t="shared" si="18"/>
        <v>114000</v>
      </c>
      <c r="P203" s="45">
        <v>30</v>
      </c>
      <c r="Q203" s="49">
        <f t="shared" si="16"/>
        <v>114000</v>
      </c>
    </row>
    <row r="204" spans="1:17" x14ac:dyDescent="0.25">
      <c r="A204" s="44">
        <v>201</v>
      </c>
      <c r="B204" s="45" t="s">
        <v>91</v>
      </c>
      <c r="C204" s="51" t="s">
        <v>126</v>
      </c>
      <c r="D204" s="45">
        <v>3</v>
      </c>
      <c r="E204" s="47">
        <v>185000</v>
      </c>
      <c r="F204" s="48">
        <f t="shared" si="14"/>
        <v>555000</v>
      </c>
      <c r="G204" s="46" t="s">
        <v>108</v>
      </c>
      <c r="H204" s="46" t="s">
        <v>15</v>
      </c>
      <c r="I204" s="46" t="s">
        <v>16</v>
      </c>
      <c r="J204" s="45"/>
      <c r="K204" s="49"/>
      <c r="L204" s="47">
        <v>3</v>
      </c>
      <c r="M204" s="49">
        <f t="shared" si="15"/>
        <v>555000</v>
      </c>
      <c r="N204" s="47"/>
      <c r="O204" s="49"/>
      <c r="P204" s="47"/>
      <c r="Q204" s="49"/>
    </row>
    <row r="205" spans="1:17" x14ac:dyDescent="0.25">
      <c r="A205" s="44">
        <v>202</v>
      </c>
      <c r="B205" s="45" t="s">
        <v>92</v>
      </c>
      <c r="C205" s="51" t="s">
        <v>126</v>
      </c>
      <c r="D205" s="45">
        <v>1</v>
      </c>
      <c r="E205" s="47">
        <v>2435600</v>
      </c>
      <c r="F205" s="48">
        <f t="shared" si="14"/>
        <v>2435600</v>
      </c>
      <c r="G205" s="46" t="s">
        <v>108</v>
      </c>
      <c r="H205" s="46" t="s">
        <v>15</v>
      </c>
      <c r="I205" s="46" t="s">
        <v>16</v>
      </c>
      <c r="J205" s="45"/>
      <c r="K205" s="49"/>
      <c r="L205" s="47">
        <v>1</v>
      </c>
      <c r="M205" s="49">
        <f t="shared" si="15"/>
        <v>2435600</v>
      </c>
      <c r="N205" s="47"/>
      <c r="O205" s="49"/>
      <c r="P205" s="47"/>
      <c r="Q205" s="49"/>
    </row>
    <row r="206" spans="1:17" x14ac:dyDescent="0.25">
      <c r="A206" s="44">
        <v>203</v>
      </c>
      <c r="B206" s="45" t="s">
        <v>93</v>
      </c>
      <c r="C206" s="51" t="s">
        <v>126</v>
      </c>
      <c r="D206" s="45">
        <v>20</v>
      </c>
      <c r="E206" s="47">
        <v>28450</v>
      </c>
      <c r="F206" s="48">
        <f t="shared" si="14"/>
        <v>569000</v>
      </c>
      <c r="G206" s="46" t="s">
        <v>108</v>
      </c>
      <c r="H206" s="46" t="s">
        <v>15</v>
      </c>
      <c r="I206" s="46" t="s">
        <v>16</v>
      </c>
      <c r="J206" s="45"/>
      <c r="K206" s="49"/>
      <c r="L206" s="47">
        <v>20</v>
      </c>
      <c r="M206" s="49">
        <f t="shared" si="15"/>
        <v>569000</v>
      </c>
      <c r="N206" s="47"/>
      <c r="O206" s="49"/>
      <c r="P206" s="47"/>
      <c r="Q206" s="49"/>
    </row>
    <row r="207" spans="1:17" x14ac:dyDescent="0.25">
      <c r="A207" s="44">
        <v>204</v>
      </c>
      <c r="B207" s="45" t="s">
        <v>95</v>
      </c>
      <c r="C207" s="51" t="s">
        <v>126</v>
      </c>
      <c r="D207" s="45">
        <v>2</v>
      </c>
      <c r="E207" s="47">
        <v>120000</v>
      </c>
      <c r="F207" s="48">
        <f t="shared" si="14"/>
        <v>240000</v>
      </c>
      <c r="G207" s="46" t="s">
        <v>108</v>
      </c>
      <c r="H207" s="46" t="s">
        <v>15</v>
      </c>
      <c r="I207" s="46" t="s">
        <v>16</v>
      </c>
      <c r="J207" s="45" t="s">
        <v>107</v>
      </c>
      <c r="K207" s="49"/>
      <c r="L207" s="47">
        <v>1</v>
      </c>
      <c r="M207" s="49">
        <f t="shared" si="15"/>
        <v>120000</v>
      </c>
      <c r="N207" s="47"/>
      <c r="O207" s="49"/>
      <c r="P207" s="47">
        <v>1</v>
      </c>
      <c r="Q207" s="49">
        <f t="shared" si="16"/>
        <v>120000</v>
      </c>
    </row>
    <row r="208" spans="1:17" x14ac:dyDescent="0.25">
      <c r="A208" s="44">
        <v>205</v>
      </c>
      <c r="B208" s="45" t="s">
        <v>272</v>
      </c>
      <c r="C208" s="51" t="s">
        <v>126</v>
      </c>
      <c r="D208" s="45">
        <v>2</v>
      </c>
      <c r="E208" s="47">
        <v>150000</v>
      </c>
      <c r="F208" s="48">
        <f t="shared" si="14"/>
        <v>300000</v>
      </c>
      <c r="G208" s="46" t="s">
        <v>108</v>
      </c>
      <c r="H208" s="46" t="s">
        <v>15</v>
      </c>
      <c r="I208" s="46" t="s">
        <v>16</v>
      </c>
      <c r="J208" s="45"/>
      <c r="K208" s="49"/>
      <c r="L208" s="47">
        <v>1</v>
      </c>
      <c r="M208" s="49">
        <f t="shared" si="15"/>
        <v>150000</v>
      </c>
      <c r="N208" s="47"/>
      <c r="O208" s="49"/>
      <c r="P208" s="47">
        <v>1</v>
      </c>
      <c r="Q208" s="49">
        <f t="shared" si="16"/>
        <v>150000</v>
      </c>
    </row>
    <row r="209" spans="1:17" x14ac:dyDescent="0.25">
      <c r="A209" s="44">
        <v>206</v>
      </c>
      <c r="B209" s="45" t="s">
        <v>96</v>
      </c>
      <c r="C209" s="51" t="s">
        <v>126</v>
      </c>
      <c r="D209" s="45">
        <v>2</v>
      </c>
      <c r="E209" s="47">
        <v>224000</v>
      </c>
      <c r="F209" s="48">
        <f t="shared" si="14"/>
        <v>448000</v>
      </c>
      <c r="G209" s="46" t="s">
        <v>108</v>
      </c>
      <c r="H209" s="46" t="s">
        <v>15</v>
      </c>
      <c r="I209" s="46" t="s">
        <v>16</v>
      </c>
      <c r="J209" s="45">
        <v>1</v>
      </c>
      <c r="K209" s="49">
        <f t="shared" si="17"/>
        <v>224000</v>
      </c>
      <c r="L209" s="47"/>
      <c r="M209" s="49">
        <f t="shared" si="15"/>
        <v>0</v>
      </c>
      <c r="N209" s="47">
        <v>1</v>
      </c>
      <c r="O209" s="49">
        <f t="shared" si="18"/>
        <v>224000</v>
      </c>
      <c r="P209" s="47"/>
      <c r="Q209" s="49"/>
    </row>
    <row r="210" spans="1:17" x14ac:dyDescent="0.25">
      <c r="A210" s="44">
        <v>207</v>
      </c>
      <c r="B210" s="45" t="s">
        <v>166</v>
      </c>
      <c r="C210" s="51" t="s">
        <v>254</v>
      </c>
      <c r="D210" s="45">
        <v>320</v>
      </c>
      <c r="E210" s="47">
        <v>450</v>
      </c>
      <c r="F210" s="48">
        <f t="shared" si="14"/>
        <v>144000</v>
      </c>
      <c r="G210" s="46" t="s">
        <v>108</v>
      </c>
      <c r="H210" s="46" t="s">
        <v>15</v>
      </c>
      <c r="I210" s="46" t="s">
        <v>16</v>
      </c>
      <c r="J210" s="45">
        <v>80</v>
      </c>
      <c r="K210" s="49">
        <f t="shared" si="17"/>
        <v>36000</v>
      </c>
      <c r="L210" s="47">
        <v>80</v>
      </c>
      <c r="M210" s="49">
        <f t="shared" si="15"/>
        <v>36000</v>
      </c>
      <c r="N210" s="47">
        <v>80</v>
      </c>
      <c r="O210" s="49">
        <f t="shared" si="18"/>
        <v>36000</v>
      </c>
      <c r="P210" s="47">
        <v>80</v>
      </c>
      <c r="Q210" s="49">
        <f t="shared" si="16"/>
        <v>36000</v>
      </c>
    </row>
    <row r="211" spans="1:17" x14ac:dyDescent="0.25">
      <c r="A211" s="44">
        <v>208</v>
      </c>
      <c r="B211" s="45" t="s">
        <v>271</v>
      </c>
      <c r="C211" s="51" t="s">
        <v>267</v>
      </c>
      <c r="D211" s="45">
        <v>80</v>
      </c>
      <c r="E211" s="47">
        <v>450</v>
      </c>
      <c r="F211" s="48">
        <f t="shared" si="14"/>
        <v>36000</v>
      </c>
      <c r="G211" s="46" t="s">
        <v>108</v>
      </c>
      <c r="H211" s="46" t="s">
        <v>15</v>
      </c>
      <c r="I211" s="46" t="s">
        <v>16</v>
      </c>
      <c r="J211" s="45">
        <v>20</v>
      </c>
      <c r="K211" s="49">
        <f t="shared" si="17"/>
        <v>9000</v>
      </c>
      <c r="L211" s="47">
        <v>20</v>
      </c>
      <c r="M211" s="49">
        <f t="shared" si="15"/>
        <v>9000</v>
      </c>
      <c r="N211" s="47">
        <v>20</v>
      </c>
      <c r="O211" s="49">
        <f t="shared" si="18"/>
        <v>9000</v>
      </c>
      <c r="P211" s="47">
        <v>20</v>
      </c>
      <c r="Q211" s="49">
        <f t="shared" si="16"/>
        <v>9000</v>
      </c>
    </row>
    <row r="212" spans="1:17" x14ac:dyDescent="0.25">
      <c r="A212" s="44">
        <v>209</v>
      </c>
      <c r="B212" s="45" t="s">
        <v>98</v>
      </c>
      <c r="C212" s="51" t="s">
        <v>160</v>
      </c>
      <c r="D212" s="45">
        <v>200</v>
      </c>
      <c r="E212" s="47">
        <v>350</v>
      </c>
      <c r="F212" s="48">
        <f t="shared" si="14"/>
        <v>70000</v>
      </c>
      <c r="G212" s="46" t="s">
        <v>108</v>
      </c>
      <c r="H212" s="46" t="s">
        <v>15</v>
      </c>
      <c r="I212" s="46" t="s">
        <v>16</v>
      </c>
      <c r="J212" s="45">
        <v>50</v>
      </c>
      <c r="K212" s="49">
        <f t="shared" si="17"/>
        <v>17500</v>
      </c>
      <c r="L212" s="45">
        <v>50</v>
      </c>
      <c r="M212" s="49">
        <f t="shared" si="15"/>
        <v>17500</v>
      </c>
      <c r="N212" s="45">
        <v>50</v>
      </c>
      <c r="O212" s="49">
        <f t="shared" si="18"/>
        <v>17500</v>
      </c>
      <c r="P212" s="45">
        <v>50</v>
      </c>
      <c r="Q212" s="49">
        <f t="shared" si="16"/>
        <v>17500</v>
      </c>
    </row>
    <row r="213" spans="1:17" x14ac:dyDescent="0.25">
      <c r="A213" s="44">
        <v>210</v>
      </c>
      <c r="B213" s="45" t="s">
        <v>100</v>
      </c>
      <c r="C213" s="51" t="s">
        <v>126</v>
      </c>
      <c r="D213" s="45">
        <v>40</v>
      </c>
      <c r="E213" s="47">
        <v>5500</v>
      </c>
      <c r="F213" s="48">
        <f t="shared" si="14"/>
        <v>220000</v>
      </c>
      <c r="G213" s="46" t="s">
        <v>108</v>
      </c>
      <c r="H213" s="46" t="s">
        <v>15</v>
      </c>
      <c r="I213" s="46" t="s">
        <v>16</v>
      </c>
      <c r="J213" s="45"/>
      <c r="K213" s="51"/>
      <c r="L213" s="47">
        <v>40</v>
      </c>
      <c r="M213" s="49">
        <f t="shared" si="15"/>
        <v>220000</v>
      </c>
      <c r="N213" s="47"/>
      <c r="O213" s="51"/>
      <c r="P213" s="47"/>
      <c r="Q213" s="49"/>
    </row>
    <row r="214" spans="1:17" x14ac:dyDescent="0.25">
      <c r="A214" s="44">
        <v>211</v>
      </c>
      <c r="B214" s="45" t="s">
        <v>101</v>
      </c>
      <c r="C214" s="51" t="s">
        <v>126</v>
      </c>
      <c r="D214" s="45">
        <v>40</v>
      </c>
      <c r="E214" s="47">
        <v>750</v>
      </c>
      <c r="F214" s="48">
        <f t="shared" si="14"/>
        <v>30000</v>
      </c>
      <c r="G214" s="46" t="s">
        <v>108</v>
      </c>
      <c r="H214" s="46" t="s">
        <v>15</v>
      </c>
      <c r="I214" s="46" t="s">
        <v>16</v>
      </c>
      <c r="J214" s="45"/>
      <c r="K214" s="51"/>
      <c r="L214" s="47">
        <v>40</v>
      </c>
      <c r="M214" s="49">
        <f t="shared" si="15"/>
        <v>30000</v>
      </c>
      <c r="N214" s="47"/>
      <c r="O214" s="51"/>
      <c r="P214" s="47"/>
      <c r="Q214" s="49"/>
    </row>
    <row r="215" spans="1:17" x14ac:dyDescent="0.25">
      <c r="A215" s="44">
        <v>212</v>
      </c>
      <c r="B215" s="45" t="s">
        <v>102</v>
      </c>
      <c r="C215" s="51" t="s">
        <v>126</v>
      </c>
      <c r="D215" s="45">
        <v>30</v>
      </c>
      <c r="E215" s="47">
        <v>1400</v>
      </c>
      <c r="F215" s="48">
        <f t="shared" si="14"/>
        <v>42000</v>
      </c>
      <c r="G215" s="46" t="s">
        <v>108</v>
      </c>
      <c r="H215" s="46" t="s">
        <v>15</v>
      </c>
      <c r="I215" s="46" t="s">
        <v>16</v>
      </c>
      <c r="J215" s="45"/>
      <c r="K215" s="51"/>
      <c r="L215" s="47">
        <v>30</v>
      </c>
      <c r="M215" s="49">
        <f t="shared" si="15"/>
        <v>42000</v>
      </c>
      <c r="N215" s="47"/>
      <c r="O215" s="51"/>
      <c r="P215" s="47"/>
      <c r="Q215" s="49"/>
    </row>
    <row r="216" spans="1:17" x14ac:dyDescent="0.25">
      <c r="A216" s="44">
        <v>213</v>
      </c>
      <c r="B216" s="45" t="s">
        <v>103</v>
      </c>
      <c r="C216" s="51" t="s">
        <v>126</v>
      </c>
      <c r="D216" s="45">
        <v>40</v>
      </c>
      <c r="E216" s="47">
        <v>1400</v>
      </c>
      <c r="F216" s="48">
        <f t="shared" si="14"/>
        <v>56000</v>
      </c>
      <c r="G216" s="46" t="s">
        <v>108</v>
      </c>
      <c r="H216" s="46" t="s">
        <v>15</v>
      </c>
      <c r="I216" s="46" t="s">
        <v>16</v>
      </c>
      <c r="J216" s="45"/>
      <c r="K216" s="51"/>
      <c r="L216" s="47">
        <v>40</v>
      </c>
      <c r="M216" s="49">
        <f t="shared" si="15"/>
        <v>56000</v>
      </c>
      <c r="N216" s="47"/>
      <c r="O216" s="51"/>
      <c r="P216" s="47"/>
      <c r="Q216" s="49"/>
    </row>
    <row r="217" spans="1:17" x14ac:dyDescent="0.25">
      <c r="A217" s="44">
        <v>214</v>
      </c>
      <c r="B217" s="45" t="s">
        <v>104</v>
      </c>
      <c r="C217" s="51" t="s">
        <v>126</v>
      </c>
      <c r="D217" s="45">
        <v>14</v>
      </c>
      <c r="E217" s="47">
        <v>2400</v>
      </c>
      <c r="F217" s="48">
        <f t="shared" si="14"/>
        <v>33600</v>
      </c>
      <c r="G217" s="46" t="s">
        <v>108</v>
      </c>
      <c r="H217" s="46" t="s">
        <v>15</v>
      </c>
      <c r="I217" s="46" t="s">
        <v>16</v>
      </c>
      <c r="J217" s="45"/>
      <c r="K217" s="51"/>
      <c r="L217" s="47">
        <v>14</v>
      </c>
      <c r="M217" s="49">
        <f t="shared" si="15"/>
        <v>33600</v>
      </c>
      <c r="N217" s="47"/>
      <c r="O217" s="51"/>
      <c r="P217" s="47"/>
      <c r="Q217" s="49"/>
    </row>
    <row r="218" spans="1:17" x14ac:dyDescent="0.25">
      <c r="A218" s="44">
        <v>215</v>
      </c>
      <c r="B218" s="45" t="s">
        <v>105</v>
      </c>
      <c r="C218" s="51" t="s">
        <v>126</v>
      </c>
      <c r="D218" s="45">
        <v>10</v>
      </c>
      <c r="E218" s="47">
        <v>1400</v>
      </c>
      <c r="F218" s="48">
        <f t="shared" si="14"/>
        <v>14000</v>
      </c>
      <c r="G218" s="46" t="s">
        <v>108</v>
      </c>
      <c r="H218" s="46" t="s">
        <v>15</v>
      </c>
      <c r="I218" s="46" t="s">
        <v>16</v>
      </c>
      <c r="J218" s="45"/>
      <c r="K218" s="51"/>
      <c r="L218" s="47">
        <v>10</v>
      </c>
      <c r="M218" s="49">
        <f t="shared" si="15"/>
        <v>14000</v>
      </c>
      <c r="N218" s="47"/>
      <c r="O218" s="51"/>
      <c r="P218" s="47"/>
      <c r="Q218" s="49"/>
    </row>
    <row r="219" spans="1:17" x14ac:dyDescent="0.25">
      <c r="A219" s="44">
        <v>216</v>
      </c>
      <c r="B219" s="45" t="s">
        <v>270</v>
      </c>
      <c r="C219" s="51" t="s">
        <v>212</v>
      </c>
      <c r="D219" s="45">
        <v>60</v>
      </c>
      <c r="E219" s="47">
        <v>1400</v>
      </c>
      <c r="F219" s="48">
        <f t="shared" si="14"/>
        <v>84000</v>
      </c>
      <c r="G219" s="46" t="s">
        <v>108</v>
      </c>
      <c r="H219" s="46" t="s">
        <v>15</v>
      </c>
      <c r="I219" s="46" t="s">
        <v>16</v>
      </c>
      <c r="J219" s="45"/>
      <c r="K219" s="51"/>
      <c r="L219" s="47">
        <v>60</v>
      </c>
      <c r="M219" s="49">
        <f t="shared" si="15"/>
        <v>84000</v>
      </c>
      <c r="N219" s="47"/>
      <c r="O219" s="51"/>
      <c r="P219" s="47"/>
      <c r="Q219" s="49"/>
    </row>
    <row r="220" spans="1:17" x14ac:dyDescent="0.25">
      <c r="A220" s="44">
        <v>217</v>
      </c>
      <c r="B220" s="45" t="s">
        <v>167</v>
      </c>
      <c r="C220" s="51" t="s">
        <v>212</v>
      </c>
      <c r="D220" s="45">
        <v>64</v>
      </c>
      <c r="E220" s="47">
        <v>3600</v>
      </c>
      <c r="F220" s="48">
        <f t="shared" si="14"/>
        <v>230400</v>
      </c>
      <c r="G220" s="46" t="s">
        <v>108</v>
      </c>
      <c r="H220" s="46" t="s">
        <v>15</v>
      </c>
      <c r="I220" s="46" t="s">
        <v>16</v>
      </c>
      <c r="J220" s="45"/>
      <c r="K220" s="51"/>
      <c r="L220" s="47">
        <v>64</v>
      </c>
      <c r="M220" s="49">
        <f t="shared" si="15"/>
        <v>230400</v>
      </c>
      <c r="N220" s="47"/>
      <c r="O220" s="51"/>
      <c r="P220" s="47"/>
      <c r="Q220" s="49"/>
    </row>
    <row r="221" spans="1:17" x14ac:dyDescent="0.25">
      <c r="A221" s="44">
        <v>218</v>
      </c>
      <c r="B221" s="45" t="s">
        <v>269</v>
      </c>
      <c r="C221" s="51" t="s">
        <v>126</v>
      </c>
      <c r="D221" s="45">
        <v>64</v>
      </c>
      <c r="E221" s="47">
        <v>2400</v>
      </c>
      <c r="F221" s="48">
        <f t="shared" si="14"/>
        <v>153600</v>
      </c>
      <c r="G221" s="46" t="s">
        <v>108</v>
      </c>
      <c r="H221" s="46" t="s">
        <v>15</v>
      </c>
      <c r="I221" s="46" t="s">
        <v>16</v>
      </c>
      <c r="J221" s="45"/>
      <c r="K221" s="51"/>
      <c r="L221" s="47">
        <v>64</v>
      </c>
      <c r="M221" s="49">
        <f t="shared" si="15"/>
        <v>153600</v>
      </c>
      <c r="N221" s="47"/>
      <c r="O221" s="51"/>
      <c r="P221" s="47"/>
      <c r="Q221" s="49"/>
    </row>
    <row r="222" spans="1:17" x14ac:dyDescent="0.25">
      <c r="A222" s="51"/>
      <c r="B222" s="53" t="s">
        <v>106</v>
      </c>
      <c r="C222" s="51"/>
      <c r="D222" s="51"/>
      <c r="E222" s="51"/>
      <c r="F222" s="54">
        <f>SUM(F4:F221)</f>
        <v>20435905</v>
      </c>
      <c r="G222" s="55"/>
      <c r="H222" s="55"/>
      <c r="I222" s="55"/>
      <c r="J222" s="55"/>
      <c r="K222" s="54">
        <f t="shared" ref="K222:Q222" si="19">SUM(K4:K221)</f>
        <v>4611555</v>
      </c>
      <c r="L222" s="54"/>
      <c r="M222" s="54">
        <f t="shared" si="19"/>
        <v>8531075</v>
      </c>
      <c r="N222" s="54"/>
      <c r="O222" s="54">
        <f t="shared" si="19"/>
        <v>3947995</v>
      </c>
      <c r="P222" s="54"/>
      <c r="Q222" s="54">
        <f t="shared" si="19"/>
        <v>3345280</v>
      </c>
    </row>
    <row r="224" spans="1:17" x14ac:dyDescent="0.25">
      <c r="F224" s="42"/>
    </row>
  </sheetData>
  <mergeCells count="5">
    <mergeCell ref="J1:Q1"/>
    <mergeCell ref="J2:K2"/>
    <mergeCell ref="L2:M2"/>
    <mergeCell ref="N2:O2"/>
    <mergeCell ref="P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Clustered</vt:lpstr>
      <vt:lpstr>Pooled together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cp:lastPrinted>2023-07-04T11:56:11Z</cp:lastPrinted>
  <dcterms:created xsi:type="dcterms:W3CDTF">2023-06-09T06:37:43Z</dcterms:created>
  <dcterms:modified xsi:type="dcterms:W3CDTF">2023-07-05T09:38:40Z</dcterms:modified>
</cp:coreProperties>
</file>