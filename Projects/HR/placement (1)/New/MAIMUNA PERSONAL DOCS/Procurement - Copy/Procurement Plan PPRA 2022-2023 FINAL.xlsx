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5125" windowHeight="12435"/>
  </bookViews>
  <sheets>
    <sheet name="PROCUREMENT PLAN 2022-2023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99" i="1" l="1"/>
  <c r="E492" i="1" l="1"/>
  <c r="E481" i="1"/>
  <c r="E480" i="1"/>
  <c r="E758" i="1" l="1"/>
  <c r="E749" i="1"/>
  <c r="E747" i="1"/>
  <c r="E740" i="1"/>
  <c r="E739" i="1"/>
  <c r="E738" i="1"/>
  <c r="E737" i="1"/>
  <c r="E736" i="1"/>
  <c r="E735" i="1"/>
  <c r="E751" i="1" l="1"/>
  <c r="E741" i="1"/>
  <c r="E703" i="1" l="1"/>
  <c r="E661" i="1"/>
  <c r="D589" i="1"/>
  <c r="D349" i="1" l="1"/>
  <c r="E293" i="1"/>
  <c r="E286" i="1"/>
  <c r="E6" i="1" l="1"/>
  <c r="E719" i="1"/>
  <c r="E721" i="1" s="1"/>
  <c r="E258" i="1"/>
  <c r="E334" i="1"/>
  <c r="E333" i="1"/>
  <c r="E332" i="1"/>
  <c r="E331" i="1"/>
  <c r="E329" i="1"/>
  <c r="E82" i="1" l="1"/>
  <c r="E112" i="1"/>
  <c r="E111" i="1"/>
  <c r="E110" i="1"/>
  <c r="E252" i="1"/>
  <c r="E109" i="1"/>
  <c r="E251" i="1"/>
  <c r="E250" i="1"/>
  <c r="E249" i="1"/>
  <c r="E328" i="1"/>
  <c r="E554" i="1"/>
  <c r="E553" i="1"/>
  <c r="E552" i="1"/>
  <c r="E551" i="1"/>
  <c r="E550" i="1"/>
  <c r="E108" i="1"/>
  <c r="E211" i="1"/>
  <c r="E107" i="1"/>
  <c r="E376" i="1"/>
  <c r="E347" i="1"/>
  <c r="E106" i="1"/>
  <c r="E38" i="1"/>
  <c r="E18" i="1"/>
  <c r="E210" i="1"/>
  <c r="E692" i="1"/>
  <c r="E691" i="1"/>
  <c r="E690" i="1"/>
  <c r="E248" i="1"/>
  <c r="E715" i="1"/>
  <c r="E327" i="1"/>
  <c r="E17" i="1"/>
  <c r="E325" i="1"/>
  <c r="E324" i="1"/>
  <c r="E689" i="1"/>
  <c r="E688" i="1"/>
  <c r="E105" i="1"/>
  <c r="E104" i="1"/>
  <c r="E103" i="1"/>
  <c r="E102" i="1"/>
  <c r="E101" i="1"/>
  <c r="E100" i="1"/>
  <c r="E687" i="1"/>
  <c r="E256" i="1"/>
  <c r="E259" i="1" s="1"/>
  <c r="E714" i="1"/>
  <c r="E713" i="1"/>
  <c r="E712" i="1"/>
  <c r="E711" i="1"/>
  <c r="E710" i="1"/>
  <c r="E708" i="1"/>
  <c r="E707" i="1"/>
  <c r="E93" i="1"/>
  <c r="E686" i="1"/>
  <c r="E521" i="1"/>
  <c r="E520" i="1"/>
  <c r="E519" i="1"/>
  <c r="E518" i="1"/>
  <c r="E517" i="1"/>
  <c r="E516" i="1"/>
  <c r="E515" i="1"/>
  <c r="E514" i="1"/>
  <c r="E512" i="1"/>
  <c r="E511" i="1"/>
  <c r="E510" i="1"/>
  <c r="E509" i="1"/>
  <c r="E508" i="1"/>
  <c r="E506" i="1"/>
  <c r="E505" i="1"/>
  <c r="E504" i="1"/>
  <c r="E502" i="1"/>
  <c r="E501" i="1"/>
  <c r="E499" i="1"/>
  <c r="E498" i="1"/>
  <c r="E497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543" i="1"/>
  <c r="E542" i="1"/>
  <c r="E541" i="1"/>
  <c r="E539" i="1"/>
  <c r="E538" i="1"/>
  <c r="E537" i="1"/>
  <c r="E536" i="1"/>
  <c r="E535" i="1"/>
  <c r="E534" i="1"/>
  <c r="E533" i="1"/>
  <c r="E532" i="1"/>
  <c r="E531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1" i="1"/>
  <c r="E450" i="1"/>
  <c r="E449" i="1"/>
  <c r="E448" i="1"/>
  <c r="E447" i="1"/>
  <c r="E446" i="1"/>
  <c r="E445" i="1"/>
  <c r="E444" i="1"/>
  <c r="E442" i="1"/>
  <c r="E441" i="1"/>
  <c r="E440" i="1"/>
  <c r="E438" i="1"/>
  <c r="E437" i="1"/>
  <c r="E436" i="1"/>
  <c r="E435" i="1"/>
  <c r="E434" i="1"/>
  <c r="E432" i="1"/>
  <c r="E431" i="1"/>
  <c r="E430" i="1"/>
  <c r="E429" i="1"/>
  <c r="E428" i="1"/>
  <c r="E427" i="1"/>
  <c r="E426" i="1"/>
  <c r="E425" i="1"/>
  <c r="E424" i="1"/>
  <c r="E423" i="1"/>
  <c r="E422" i="1"/>
  <c r="E420" i="1"/>
  <c r="E419" i="1"/>
  <c r="E417" i="1"/>
  <c r="E416" i="1"/>
  <c r="E415" i="1"/>
  <c r="E414" i="1"/>
  <c r="E413" i="1"/>
  <c r="E412" i="1"/>
  <c r="E411" i="1"/>
  <c r="E410" i="1"/>
  <c r="E409" i="1"/>
  <c r="E408" i="1"/>
  <c r="E406" i="1"/>
  <c r="E405" i="1"/>
  <c r="E404" i="1"/>
  <c r="E403" i="1"/>
  <c r="E402" i="1"/>
  <c r="E401" i="1"/>
  <c r="E400" i="1"/>
  <c r="E399" i="1"/>
  <c r="E563" i="1"/>
  <c r="E564" i="1"/>
  <c r="E565" i="1"/>
  <c r="E343" i="1"/>
  <c r="E341" i="1"/>
  <c r="E340" i="1"/>
  <c r="E339" i="1"/>
  <c r="E173" i="1"/>
  <c r="E172" i="1"/>
  <c r="E677" i="1"/>
  <c r="E678" i="1"/>
  <c r="E679" i="1"/>
  <c r="E682" i="1"/>
  <c r="E54" i="1"/>
  <c r="E87" i="1"/>
  <c r="E88" i="1"/>
  <c r="E89" i="1"/>
  <c r="E90" i="1"/>
  <c r="E91" i="1"/>
  <c r="E92" i="1"/>
  <c r="E362" i="1"/>
  <c r="E361" i="1"/>
  <c r="E360" i="1"/>
  <c r="E359" i="1"/>
  <c r="E358" i="1"/>
  <c r="E357" i="1"/>
  <c r="E356" i="1"/>
  <c r="E355" i="1"/>
  <c r="E354" i="1"/>
  <c r="E393" i="1"/>
  <c r="E392" i="1"/>
  <c r="E730" i="1"/>
  <c r="E731" i="1" s="1"/>
  <c r="E391" i="1"/>
  <c r="E247" i="1"/>
  <c r="E246" i="1"/>
  <c r="E245" i="1"/>
  <c r="E244" i="1"/>
  <c r="E243" i="1"/>
  <c r="E242" i="1"/>
  <c r="E241" i="1"/>
  <c r="E240" i="1"/>
  <c r="E239" i="1"/>
  <c r="E238" i="1"/>
  <c r="E237" i="1"/>
  <c r="E353" i="1"/>
  <c r="E299" i="1"/>
  <c r="E35" i="1"/>
  <c r="E34" i="1"/>
  <c r="E33" i="1"/>
  <c r="E32" i="1"/>
  <c r="E31" i="1"/>
  <c r="E30" i="1"/>
  <c r="E29" i="1"/>
  <c r="E28" i="1"/>
  <c r="E27" i="1"/>
  <c r="E26" i="1"/>
  <c r="E25" i="1"/>
  <c r="E24" i="1"/>
  <c r="E684" i="1"/>
  <c r="E683" i="1"/>
  <c r="E207" i="1"/>
  <c r="E206" i="1"/>
  <c r="E205" i="1"/>
  <c r="E128" i="1"/>
  <c r="E127" i="1"/>
  <c r="E126" i="1"/>
  <c r="E125" i="1"/>
  <c r="E124" i="1"/>
  <c r="E143" i="1"/>
  <c r="E144" i="1"/>
  <c r="E123" i="1"/>
  <c r="E122" i="1"/>
  <c r="E121" i="1"/>
  <c r="E120" i="1"/>
  <c r="E119" i="1"/>
  <c r="E14" i="1"/>
  <c r="E235" i="1"/>
  <c r="E352" i="1"/>
  <c r="E297" i="1"/>
  <c r="E296" i="1"/>
  <c r="E394" i="1" l="1"/>
  <c r="E545" i="1"/>
  <c r="E482" i="1"/>
  <c r="E716" i="1"/>
  <c r="E699" i="1"/>
  <c r="E567" i="1"/>
  <c r="E558" i="1"/>
  <c r="E378" i="1"/>
  <c r="E344" i="1"/>
  <c r="E83" i="1"/>
  <c r="E335" i="1"/>
  <c r="E212" i="1"/>
  <c r="E114" i="1"/>
  <c r="E138" i="1"/>
  <c r="E40" i="1"/>
  <c r="E12" i="1"/>
  <c r="E11" i="1"/>
  <c r="E10" i="1"/>
  <c r="E9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53" i="1" l="1"/>
  <c r="E199" i="1"/>
  <c r="E20" i="1"/>
</calcChain>
</file>

<file path=xl/sharedStrings.xml><?xml version="1.0" encoding="utf-8"?>
<sst xmlns="http://schemas.openxmlformats.org/spreadsheetml/2006/main" count="4626" uniqueCount="765">
  <si>
    <t>1.Advertisement</t>
  </si>
  <si>
    <t>2.Cartridges and Toners</t>
  </si>
  <si>
    <t>3.COMPUTER ACCESSORIES</t>
  </si>
  <si>
    <t>4.COMPUTER HARDWARE</t>
  </si>
  <si>
    <t xml:space="preserve"> </t>
  </si>
  <si>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</si>
  <si>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</si>
  <si>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</si>
  <si>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</si>
  <si>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</si>
  <si>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</si>
  <si>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</si>
  <si>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</si>
  <si>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</si>
  <si>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</si>
  <si>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CITIZEN</t>
  </si>
  <si>
    <t>QUARTER REQUIRED</t>
  </si>
  <si>
    <t>1ST</t>
  </si>
  <si>
    <t>2ND</t>
  </si>
  <si>
    <t>3RD</t>
  </si>
  <si>
    <t>4TH</t>
  </si>
  <si>
    <t>√</t>
  </si>
  <si>
    <t>A4 Envelopes branded</t>
  </si>
  <si>
    <t>IPR</t>
  </si>
  <si>
    <t>Quotations</t>
  </si>
  <si>
    <t>Recurrent</t>
  </si>
  <si>
    <t>A4 Loose leaf pads</t>
  </si>
  <si>
    <t>A5 Envelopes branded</t>
  </si>
  <si>
    <t>Box Files</t>
  </si>
  <si>
    <t xml:space="preserve">Cellotape </t>
  </si>
  <si>
    <t>Counter Books 4 quire</t>
  </si>
  <si>
    <t>Counter books 3 quire</t>
  </si>
  <si>
    <t xml:space="preserve"> stapler</t>
  </si>
  <si>
    <t>Glue Stick</t>
  </si>
  <si>
    <t>HighLighter</t>
  </si>
  <si>
    <t>Marker Pen</t>
  </si>
  <si>
    <t>Masking tape (1”, roll)</t>
  </si>
  <si>
    <t>Note Books A5</t>
  </si>
  <si>
    <t>Pencils HB110</t>
  </si>
  <si>
    <t>Printing papers</t>
  </si>
  <si>
    <t>Ruler</t>
  </si>
  <si>
    <t>Spring Files</t>
  </si>
  <si>
    <t>Yellow stickers</t>
  </si>
  <si>
    <t>Erasers ( rubber)</t>
  </si>
  <si>
    <t>Jumbo Tissue</t>
  </si>
  <si>
    <t>Disposable bags</t>
  </si>
  <si>
    <t>Liquid soap (Teepool)</t>
  </si>
  <si>
    <t>Bathing soap (Protex)</t>
  </si>
  <si>
    <t>Vaseline</t>
  </si>
  <si>
    <t>Yellow Dusters</t>
  </si>
  <si>
    <t>JIK</t>
  </si>
  <si>
    <t>Industrial gloves</t>
  </si>
  <si>
    <t>Air freshner</t>
  </si>
  <si>
    <t>Persil(Machine wash)</t>
  </si>
  <si>
    <t>Omo 1Kg</t>
  </si>
  <si>
    <t>Toilet balls (Coloured)</t>
  </si>
  <si>
    <t>Doom</t>
  </si>
  <si>
    <t>Harpic</t>
  </si>
  <si>
    <t>Pledge</t>
  </si>
  <si>
    <t>Superbrite (Jumbo)</t>
  </si>
  <si>
    <t>Bar soap 1kg</t>
  </si>
  <si>
    <t>Liquid hand wash 5 litres</t>
  </si>
  <si>
    <t>Dustbins</t>
  </si>
  <si>
    <t>Toilet brush</t>
  </si>
  <si>
    <t>Mop buckets</t>
  </si>
  <si>
    <t>Mop heads</t>
  </si>
  <si>
    <t>Windolene</t>
  </si>
  <si>
    <t>Vim</t>
  </si>
  <si>
    <t>Soft broom</t>
  </si>
  <si>
    <t>Hard broom</t>
  </si>
  <si>
    <t>Mop sticks</t>
  </si>
  <si>
    <t>Hand paper towels</t>
  </si>
  <si>
    <t>Climax</t>
  </si>
  <si>
    <t>Toners 05A</t>
  </si>
  <si>
    <t>procurement</t>
  </si>
  <si>
    <t>Quotation</t>
  </si>
  <si>
    <t>Toners 17A</t>
  </si>
  <si>
    <t>Toner 19A</t>
  </si>
  <si>
    <t>Tonner 59A</t>
  </si>
  <si>
    <t>Printing of DOF ,GRN and issue note books</t>
  </si>
  <si>
    <t>NEW ASSET</t>
  </si>
  <si>
    <t>Desktop computer</t>
  </si>
  <si>
    <t>medium back office chair</t>
  </si>
  <si>
    <t>Visitors chairs</t>
  </si>
  <si>
    <t>Executive Swivel Chair</t>
  </si>
  <si>
    <t>Accounts</t>
  </si>
  <si>
    <t>Water Dispenser</t>
  </si>
  <si>
    <t>Colour printer/Scanner</t>
  </si>
  <si>
    <t>UPS</t>
  </si>
  <si>
    <t>Ramtons Kettle</t>
  </si>
  <si>
    <t>Petty cash</t>
  </si>
  <si>
    <t>Voucher printing</t>
  </si>
  <si>
    <t>Copier machine</t>
  </si>
  <si>
    <t>Director</t>
  </si>
  <si>
    <t>Computer</t>
  </si>
  <si>
    <t>Telephone set</t>
  </si>
  <si>
    <t>Catridges 203</t>
  </si>
  <si>
    <t>Dust Coats</t>
  </si>
  <si>
    <t>Cashbooks</t>
  </si>
  <si>
    <t>ledger books</t>
  </si>
  <si>
    <t>CARTRIDGE</t>
  </si>
  <si>
    <t>Repro</t>
  </si>
  <si>
    <t>LAP TOP</t>
  </si>
  <si>
    <t>Petrol for KBL 126G</t>
  </si>
  <si>
    <t>Transport</t>
  </si>
  <si>
    <t>contract</t>
  </si>
  <si>
    <t>Diesel for Bus KBT 506N (staff bus)</t>
  </si>
  <si>
    <t>Petrol for KCT 811Y</t>
  </si>
  <si>
    <t>Diesel for KCP 827K</t>
  </si>
  <si>
    <t>Diesel for KCT 730Y</t>
  </si>
  <si>
    <t>Servicing &amp; Maintenance of Vehicles:</t>
  </si>
  <si>
    <t>KBL 126G</t>
  </si>
  <si>
    <t xml:space="preserve">Estimated </t>
  </si>
  <si>
    <t>500,000/=</t>
  </si>
  <si>
    <t>KBT 506N ( Staff Bus)</t>
  </si>
  <si>
    <t>Estimated</t>
  </si>
  <si>
    <t>KAL 107U</t>
  </si>
  <si>
    <t>250,000/=</t>
  </si>
  <si>
    <t xml:space="preserve">KAV 274E </t>
  </si>
  <si>
    <t>200,000/=</t>
  </si>
  <si>
    <t>KCP 827K</t>
  </si>
  <si>
    <t>150,000/=</t>
  </si>
  <si>
    <t>KCT 811Y</t>
  </si>
  <si>
    <t>KCT 730Y</t>
  </si>
  <si>
    <t>Tyres for KCP 827K</t>
  </si>
  <si>
    <t xml:space="preserve">Tyres for KBL 126G </t>
  </si>
  <si>
    <t>Tyres for KBT 506N</t>
  </si>
  <si>
    <t>Battery MF for KBL 126G</t>
  </si>
  <si>
    <t>Battery MF for KBT 506N( Staff bus)</t>
  </si>
  <si>
    <t>Purchase of Lubricants (oil, greases, etc.) and fluids (Brake fluid, Battery water, etc.)</t>
  </si>
  <si>
    <t>Assorted</t>
  </si>
  <si>
    <t>Printing of  Instituional Brochures</t>
  </si>
  <si>
    <t xml:space="preserve">PR </t>
  </si>
  <si>
    <t>Printing of Oloolua Nature trail Brocures</t>
  </si>
  <si>
    <t>Printing of Business cards</t>
  </si>
  <si>
    <t>Purchase of Computer</t>
  </si>
  <si>
    <t>Purchase of colour Printer</t>
  </si>
  <si>
    <t>Purchase of Office Desk</t>
  </si>
  <si>
    <t>purchase of Office Seats</t>
  </si>
  <si>
    <t>Purchase of Visitor Seats</t>
  </si>
  <si>
    <t>24-port  gigabit Network switches</t>
  </si>
  <si>
    <t>ICT</t>
  </si>
  <si>
    <t>50-piece networking toolkit</t>
  </si>
  <si>
    <t>Wall clips box</t>
  </si>
  <si>
    <t>Cable ties box</t>
  </si>
  <si>
    <t>Roll, CAT 6e ethernet cable</t>
  </si>
  <si>
    <t>RJ45 box</t>
  </si>
  <si>
    <t>RJ45 facewall plate double socket with modules</t>
  </si>
  <si>
    <t>WD40 spray can</t>
  </si>
  <si>
    <t>Extension Cable sollatek</t>
  </si>
  <si>
    <t>External Hard drive 1TB Transcend</t>
  </si>
  <si>
    <t>Kaspersky antivirus 3+1 license</t>
  </si>
  <si>
    <t>Windows 10 Pro OS license</t>
  </si>
  <si>
    <t>APC UPS 750va</t>
  </si>
  <si>
    <t>Dustcoats</t>
  </si>
  <si>
    <t>Refill of large Nitrous gas cylinder</t>
  </si>
  <si>
    <t>ASD</t>
  </si>
  <si>
    <t>Refill of Medical Carbon dioxide gas cylinder</t>
  </si>
  <si>
    <t>Refill of Medical Oxygen gas cylinder</t>
  </si>
  <si>
    <t>HP laser jet cartridge P2055</t>
  </si>
  <si>
    <t>HP laser jet cartridge P2014</t>
  </si>
  <si>
    <t>Assorted forms (reams)</t>
  </si>
  <si>
    <t>Yellow file folders (dozen)</t>
  </si>
  <si>
    <t>Pink file folders (dozen)</t>
  </si>
  <si>
    <t>Thump Pins (Packets)</t>
  </si>
  <si>
    <t>Dry cell Batteries (Duracell, D, pairs)</t>
  </si>
  <si>
    <t>Dry cell Batteries (Duracell, AA, pairs)</t>
  </si>
  <si>
    <t>Dry cell batteries (Duracell, C, pairs)</t>
  </si>
  <si>
    <t>Marker pens (permanent with Fine points) pcs</t>
  </si>
  <si>
    <t>Marker pens (permanent with Wedge point) pcs</t>
  </si>
  <si>
    <t>Monkey cubes (50Kg, bags)</t>
  </si>
  <si>
    <t>Vegetables (4140Kg)</t>
  </si>
  <si>
    <t>Mice feed (50-70kg, bags)</t>
  </si>
  <si>
    <t>Rabbit pellets (Bags of 50Kg)</t>
  </si>
  <si>
    <t>Beige suits</t>
  </si>
  <si>
    <t>Beige caps</t>
  </si>
  <si>
    <t>White lab coats</t>
  </si>
  <si>
    <t>Green lab coats</t>
  </si>
  <si>
    <t>Overalls</t>
  </si>
  <si>
    <t>Blue lab coats</t>
  </si>
  <si>
    <t>Gum boots, pairs</t>
  </si>
  <si>
    <t>Boots,pairs</t>
  </si>
  <si>
    <t>Bath Towels, pcs</t>
  </si>
  <si>
    <t>Trousers</t>
  </si>
  <si>
    <t>10 pieces</t>
  </si>
  <si>
    <t>Security</t>
  </si>
  <si>
    <t>Rain coat</t>
  </si>
  <si>
    <t>Great coat</t>
  </si>
  <si>
    <t>Military boot</t>
  </si>
  <si>
    <t>10 pairs</t>
  </si>
  <si>
    <t>Socks</t>
  </si>
  <si>
    <t>Sweater</t>
  </si>
  <si>
    <t>Lanyards/whistle</t>
  </si>
  <si>
    <t>Belts</t>
  </si>
  <si>
    <t>Berets</t>
  </si>
  <si>
    <t>Shirts</t>
  </si>
  <si>
    <t>Supervisors suits</t>
  </si>
  <si>
    <t>2 pieces</t>
  </si>
  <si>
    <t>Supervisors shoes</t>
  </si>
  <si>
    <t>2 pairs</t>
  </si>
  <si>
    <t>Radio handsets</t>
  </si>
  <si>
    <t>4 pieces</t>
  </si>
  <si>
    <t>Printer cartridges</t>
  </si>
  <si>
    <t>Motor vehicles log forms</t>
  </si>
  <si>
    <t>12 reams</t>
  </si>
  <si>
    <t>Electric kettle</t>
  </si>
  <si>
    <t>Visitors pass</t>
  </si>
  <si>
    <t>Rechargeable torches</t>
  </si>
  <si>
    <t>Fire extinguishers</t>
  </si>
  <si>
    <t>Cable 2.5 mm (East African)</t>
  </si>
  <si>
    <r>
      <t>ü</t>
    </r>
    <r>
      <rPr>
        <sz val="7"/>
        <color indexed="8"/>
        <rFont val="Times New Roman"/>
        <family val="1"/>
      </rPr>
      <t xml:space="preserve">  </t>
    </r>
    <r>
      <rPr>
        <sz val="10"/>
        <color indexed="8"/>
        <rFont val="Calibri"/>
        <family val="2"/>
      </rPr>
      <t> </t>
    </r>
  </si>
  <si>
    <t>Cable 1.5 mm (East African)</t>
  </si>
  <si>
    <t>Fluorescent tube 5 ft Philips</t>
  </si>
  <si>
    <t>Fluorescent tube 4 ft Philips</t>
  </si>
  <si>
    <t>Fluorescent tube 2 ft Philips</t>
  </si>
  <si>
    <t>MCB Crab Tree 30 Amp</t>
  </si>
  <si>
    <t>MCB Crab Tree 20 Amp</t>
  </si>
  <si>
    <t>MCB Crab Tree 10 Amp</t>
  </si>
  <si>
    <t>Socket outlet crab tree double</t>
  </si>
  <si>
    <t>Socket outlet crab tree single</t>
  </si>
  <si>
    <t>Top plug 13 A</t>
  </si>
  <si>
    <t>Fuse 13 A</t>
  </si>
  <si>
    <t>Deep Pattress Box</t>
  </si>
  <si>
    <t>Shallow Pattress Box</t>
  </si>
  <si>
    <t>Starters 4-80 w</t>
  </si>
  <si>
    <t>Choke L65w Schwabe</t>
  </si>
  <si>
    <t>Choke L40w Schwabe</t>
  </si>
  <si>
    <t>Choke L18w Schwabe</t>
  </si>
  <si>
    <t xml:space="preserve">Energy saver Osram 20w screw type </t>
  </si>
  <si>
    <t xml:space="preserve">Energy saver Osram 20w pin type </t>
  </si>
  <si>
    <t>Insulating tape Globe red</t>
  </si>
  <si>
    <t>Insulating tape Globe black</t>
  </si>
  <si>
    <t xml:space="preserve">Halogen tube 300w Philips </t>
  </si>
  <si>
    <t>Ordinary bulbs 40 w Philips screw</t>
  </si>
  <si>
    <t>Moonlight fitting 5ft</t>
  </si>
  <si>
    <t>Moonlight fitting 4 ft</t>
  </si>
  <si>
    <t>Moonlight fitting 2 ft</t>
  </si>
  <si>
    <t>Superglue 3 ml Sparko</t>
  </si>
  <si>
    <t>Iron sheets 2 ½” metres Gauge 26  (Brick Red  or as per sample)</t>
  </si>
  <si>
    <t>Iron sheets 2 metres Gauge 26 (Brick Red or as sample)</t>
  </si>
  <si>
    <t>Ridges (Brick Red or as per sample)</t>
  </si>
  <si>
    <t>Iron cutter heavy duty</t>
  </si>
  <si>
    <t>Ordinary nails 3” (shiny)</t>
  </si>
  <si>
    <t>25kg</t>
  </si>
  <si>
    <t xml:space="preserve">Plastic cups </t>
  </si>
  <si>
    <t>5 pkts</t>
  </si>
  <si>
    <t>Ceramic floor/Wall Tiles(Assorted)</t>
  </si>
  <si>
    <t>50 Boxes</t>
  </si>
  <si>
    <t xml:space="preserve">PVC Tiles </t>
  </si>
  <si>
    <t>25 Boxes</t>
  </si>
  <si>
    <t>Ceramic Tiles Adhesive in 1x4kgs</t>
  </si>
  <si>
    <t>10pcs</t>
  </si>
  <si>
    <t xml:space="preserve">Door Closers </t>
  </si>
  <si>
    <t>8pcs</t>
  </si>
  <si>
    <t>Chrome pipes Assorted sizes</t>
  </si>
  <si>
    <t>3 lever Mortise locks</t>
  </si>
  <si>
    <t>2 lever Mortise locks</t>
  </si>
  <si>
    <t>Dead locks Viro/Union</t>
  </si>
  <si>
    <t>Pedestal locks</t>
  </si>
  <si>
    <t>Drawer Locks</t>
  </si>
  <si>
    <t>12pcs</t>
  </si>
  <si>
    <t>Ballast size ½”x3/4”</t>
  </si>
  <si>
    <t>24 Tonnes</t>
  </si>
  <si>
    <t>Sand Fine Rive Sand)</t>
  </si>
  <si>
    <t>24Tonnes</t>
  </si>
  <si>
    <t>Cement approved Quality</t>
  </si>
  <si>
    <t>80Bags</t>
  </si>
  <si>
    <t>Nails – 4 inch</t>
  </si>
  <si>
    <t>24 kg</t>
  </si>
  <si>
    <t>Nails – 3 inch</t>
  </si>
  <si>
    <t>Nails – 2 inch</t>
  </si>
  <si>
    <t>Nails – 1 ½’ inch</t>
  </si>
  <si>
    <t>24kg</t>
  </si>
  <si>
    <t>Nails – 1 inch</t>
  </si>
  <si>
    <t xml:space="preserve">Roofing nails </t>
  </si>
  <si>
    <t xml:space="preserve">U-nails </t>
  </si>
  <si>
    <t>Louvre frame 7-blade</t>
  </si>
  <si>
    <t>24 pc</t>
  </si>
  <si>
    <t>Louvre frame 8-blade</t>
  </si>
  <si>
    <t>24pc</t>
  </si>
  <si>
    <t>Louvre frame 10-blade</t>
  </si>
  <si>
    <t>20pc</t>
  </si>
  <si>
    <t>Louvre glass 34’’</t>
  </si>
  <si>
    <t>Louvre glass 30’’</t>
  </si>
  <si>
    <t>10 prs</t>
  </si>
  <si>
    <t>Louvre glass 28.5’’</t>
  </si>
  <si>
    <t>Louvre glass 26.5’’</t>
  </si>
  <si>
    <t>5 prs</t>
  </si>
  <si>
    <t>Louvre glass 24.5’’</t>
  </si>
  <si>
    <t>10 pcs</t>
  </si>
  <si>
    <t xml:space="preserve">MDF Board </t>
  </si>
  <si>
    <t>Silicon tube</t>
  </si>
  <si>
    <t>8 tubes</t>
  </si>
  <si>
    <t>Conta glue</t>
  </si>
  <si>
    <t>20 Litres</t>
  </si>
  <si>
    <t>Timber 4x2 in</t>
  </si>
  <si>
    <t>200 ft</t>
  </si>
  <si>
    <t>Timber 3x2 in</t>
  </si>
  <si>
    <t>Timber 6x1 in</t>
  </si>
  <si>
    <t>250 ft</t>
  </si>
  <si>
    <t>Timber 8x1 in</t>
  </si>
  <si>
    <t>100 ft</t>
  </si>
  <si>
    <t>Timber 10x1 in</t>
  </si>
  <si>
    <t>Plastic composite Planks assorted sizes</t>
  </si>
  <si>
    <t>1000 ft</t>
  </si>
  <si>
    <t xml:space="preserve">Paint soft white (silk) </t>
  </si>
  <si>
    <t>60 lts</t>
  </si>
  <si>
    <t>Paint Brilliant white (silk)</t>
  </si>
  <si>
    <t>40 lts</t>
  </si>
  <si>
    <t>Paint cream(silk)</t>
  </si>
  <si>
    <t>Paint, gun metal</t>
  </si>
  <si>
    <t>80 lts</t>
  </si>
  <si>
    <t>Paint, scotch earth</t>
  </si>
  <si>
    <t>20 lts</t>
  </si>
  <si>
    <t>Paint, mouse grey</t>
  </si>
  <si>
    <t>Paint, undercoat (universal)</t>
  </si>
  <si>
    <t>50 lts</t>
  </si>
  <si>
    <t>Paint, gloss black</t>
  </si>
  <si>
    <t>16 lts</t>
  </si>
  <si>
    <t>White spirit</t>
  </si>
  <si>
    <t>Sand paper P-120</t>
  </si>
  <si>
    <t>1roll</t>
  </si>
  <si>
    <t>Sand paper P-100</t>
  </si>
  <si>
    <t>1 roll</t>
  </si>
  <si>
    <t>Sand paper P-80</t>
  </si>
  <si>
    <t>Sand paper P-60</t>
  </si>
  <si>
    <t>Barbed wire</t>
  </si>
  <si>
    <t>25roll</t>
  </si>
  <si>
    <t>Chain link assorted Heights</t>
  </si>
  <si>
    <t>50 roll</t>
  </si>
  <si>
    <t>Cider posts Assorted Heights</t>
  </si>
  <si>
    <t>100pcs</t>
  </si>
  <si>
    <t>Round 6  bar 40 ft length</t>
  </si>
  <si>
    <t>100 pcs</t>
  </si>
  <si>
    <t>Round 10  bar 40 ft length</t>
  </si>
  <si>
    <t>16 pcs</t>
  </si>
  <si>
    <t>Angle line 1’’x1’’ 16 G</t>
  </si>
  <si>
    <t>24 pcs</t>
  </si>
  <si>
    <t>Angle line 2’’x2’’ 16 G</t>
  </si>
  <si>
    <t>Angle line 1 ½’’x 1 ½’’ 16 G</t>
  </si>
  <si>
    <t>Flat bar 1 ½’’x 1/8” 18 G</t>
  </si>
  <si>
    <t>12 pcs</t>
  </si>
  <si>
    <t xml:space="preserve">Flat bar 1” 14 G  </t>
  </si>
  <si>
    <t>Round pipe ½” 16G</t>
  </si>
  <si>
    <t>Welding rods 3.2mm (Welrods)</t>
  </si>
  <si>
    <t>24pkts</t>
  </si>
  <si>
    <t>Hacksaw blade (Sandflex)</t>
  </si>
  <si>
    <t>Cutting disk 7”</t>
  </si>
  <si>
    <t>20 pcs</t>
  </si>
  <si>
    <t>Grinding disk 7”</t>
  </si>
  <si>
    <t>Wire mesh heavy gauge 4ft x 8ft</t>
  </si>
  <si>
    <t>24pcs</t>
  </si>
  <si>
    <t>Roll Bolt M 10 (4.8)</t>
  </si>
  <si>
    <t>Roll Bolt M 8 (4.8)</t>
  </si>
  <si>
    <t>5 pcs</t>
  </si>
  <si>
    <t>Roll Bolt M 12 (4.8)</t>
  </si>
  <si>
    <t>Painting brush (Harris) 4”</t>
  </si>
  <si>
    <t>Painting brush (Harris) 5”</t>
  </si>
  <si>
    <t>Painting brush (Harris) 2”</t>
  </si>
  <si>
    <t>Painting brush (Harris) 6”</t>
  </si>
  <si>
    <t>Electrical Planing Machine</t>
  </si>
  <si>
    <t>Hand saw (Stanley Brand)</t>
  </si>
  <si>
    <t>Edge Trimmer</t>
  </si>
  <si>
    <t>Trowel No.10(Australia)</t>
  </si>
  <si>
    <t>Pointing Trowel(Australia)</t>
  </si>
  <si>
    <t>Steel float(Crown Italy)</t>
  </si>
  <si>
    <t>Plumb Bob steel</t>
  </si>
  <si>
    <t>Spirit level(Germany)</t>
  </si>
  <si>
    <t>Manson Hose Pipe</t>
  </si>
  <si>
    <t>1Roll</t>
  </si>
  <si>
    <t>Cold Chisel</t>
  </si>
  <si>
    <t>String(Building Line)</t>
  </si>
  <si>
    <t>Manson Square</t>
  </si>
  <si>
    <t>Medium spraying machine</t>
  </si>
  <si>
    <t>Acetrine Gas Arc Welding Machine complete with regulator</t>
  </si>
  <si>
    <t>Gas Grider</t>
  </si>
  <si>
    <t>Hand saw 18”Stanley(plastic Handle)</t>
  </si>
  <si>
    <t>Chisels 1”,1/2”,3/4”,1/4” Stanley</t>
  </si>
  <si>
    <t xml:space="preserve">1set </t>
  </si>
  <si>
    <t>Plain cutter</t>
  </si>
  <si>
    <t>Plaining Machine combined</t>
  </si>
  <si>
    <t>Bend Saw</t>
  </si>
  <si>
    <t>Basin spanner ½”x3/4” record Original</t>
  </si>
  <si>
    <t>Purchase of assorted plumbing items (Taps, PVC pipes, Galvanized (GI) pipes, Fittings, Sockets, Bottle Traps, etc)</t>
  </si>
  <si>
    <t>PLUMBING MATERIALS</t>
  </si>
  <si>
    <t>GLOVES</t>
  </si>
  <si>
    <t>FACE MASKS</t>
  </si>
  <si>
    <t xml:space="preserve">Xenon lamp </t>
  </si>
  <si>
    <t>Annual service of Anaesthetic machine</t>
  </si>
  <si>
    <t>Service of Haematology analyzer, pc</t>
  </si>
  <si>
    <t>Calibration of machines</t>
  </si>
  <si>
    <t>Repair of Eagle hide at Oloolua Nature Trail</t>
  </si>
  <si>
    <t>Therapy Supplements</t>
  </si>
  <si>
    <t>Multivit injectable (100ml)</t>
  </si>
  <si>
    <t>Iron dextran, 100ml</t>
  </si>
  <si>
    <t>Fruit juice (pineaple, orange etc) (5L) cash</t>
  </si>
  <si>
    <t>Hartmans solution, 500ml</t>
  </si>
  <si>
    <t>Dextrose, 5%, 500ml</t>
  </si>
  <si>
    <t>Normal saline, 500ml (like a blood bag)</t>
  </si>
  <si>
    <t>Lactogen powder, 500g</t>
  </si>
  <si>
    <t>Glucose powder, 500g</t>
  </si>
  <si>
    <t>Analgesics/Emergency drugs</t>
  </si>
  <si>
    <t>Diclofenac injectable 75mg (3ml vials)</t>
  </si>
  <si>
    <t>Adrenaline (30ml vials)</t>
  </si>
  <si>
    <t>Diazepum (3ml vials)</t>
  </si>
  <si>
    <t>Lidocaine (100ml bottle)</t>
  </si>
  <si>
    <t>Dexamethasone (50ml bottle)</t>
  </si>
  <si>
    <t>Furosemide, 2ml</t>
  </si>
  <si>
    <t>Atropin injection, vials</t>
  </si>
  <si>
    <t>Cough mixture, 5L</t>
  </si>
  <si>
    <t>Heparin sodium, 10mg</t>
  </si>
  <si>
    <t>Hyscopan, vials</t>
  </si>
  <si>
    <t>IV Giving sets</t>
  </si>
  <si>
    <t>Infusion sets</t>
  </si>
  <si>
    <t>Stomach tubes</t>
  </si>
  <si>
    <t>Antibiotics</t>
  </si>
  <si>
    <t>Tetracycline wound spray (170ml)</t>
  </si>
  <si>
    <t>PenStrep LA (100ml)</t>
  </si>
  <si>
    <t>Pentomycine penicillin, 100ml</t>
  </si>
  <si>
    <t>Trimethoprim sulphamethoxazole injection, 100ml</t>
  </si>
  <si>
    <t>Septrin oral, 5L</t>
  </si>
  <si>
    <t>Erythromycin injection, 100ml</t>
  </si>
  <si>
    <t>Gentamycin injection, 100ml</t>
  </si>
  <si>
    <t>Oxytetracycline LA (100ml)</t>
  </si>
  <si>
    <t>Cefotaxine inj 1g vials</t>
  </si>
  <si>
    <t>Eye drops (Chloramphenical)</t>
  </si>
  <si>
    <t>Wound powder (Grabacin, 50g)</t>
  </si>
  <si>
    <t>Antihelmintics / Antiprotozoal</t>
  </si>
  <si>
    <t>Albendazole (Valbazen, 10%) (Litres)</t>
  </si>
  <si>
    <t>Ivermectin 1% (100ml)</t>
  </si>
  <si>
    <t>Curefluke plus 5%, 1L</t>
  </si>
  <si>
    <t>Metronidazole 200mg (100ml, bottle)</t>
  </si>
  <si>
    <t>Antifungals</t>
  </si>
  <si>
    <t>Whitefield ointment USP (500g)</t>
  </si>
  <si>
    <t>Ketoconazole tabs, pkt</t>
  </si>
  <si>
    <t>Griseofulvin tabs 500g, pkt</t>
  </si>
  <si>
    <t>Topicals and Dressings</t>
  </si>
  <si>
    <t>Povidone iodine ointment cream (40g)</t>
  </si>
  <si>
    <t>Cotton wool rolls (400g)</t>
  </si>
  <si>
    <t>Gauze swabs 3”×3” ply (pkt)</t>
  </si>
  <si>
    <t>Gauze WOW rolls  (doz)</t>
  </si>
  <si>
    <t>Adhessive plaster, pcs</t>
  </si>
  <si>
    <t>Cotton gauze 36Yd</t>
  </si>
  <si>
    <t>Cotton wool 400g</t>
  </si>
  <si>
    <t>Glycerine, 2.5L</t>
  </si>
  <si>
    <t>Surgicals / Anaesthetics</t>
  </si>
  <si>
    <t>Surgical blades #24 (pkt)</t>
  </si>
  <si>
    <t>Vicryl No. 2.0C (Doz)</t>
  </si>
  <si>
    <t>Vicryl No. 2.0R (Doz)</t>
  </si>
  <si>
    <t>Vicryl No. 3.0R (Doz)</t>
  </si>
  <si>
    <t>Isoflurane (250ml)</t>
  </si>
  <si>
    <t>Ketamine HCL 10% 25 ml vials</t>
  </si>
  <si>
    <t>Euthatal 100ml</t>
  </si>
  <si>
    <t>Lidocaine oral spray, 10%, 500ml</t>
  </si>
  <si>
    <t>None sterile gloves M+S (pkt)</t>
  </si>
  <si>
    <t>Sterile surgical gloves (pkt)</t>
  </si>
  <si>
    <t>Surgical face masks (pkt)</t>
  </si>
  <si>
    <t>N95 masks Pkt of 20</t>
  </si>
  <si>
    <t xml:space="preserve">Autoclave tape (1”, roll) </t>
  </si>
  <si>
    <t>Needles and syringes</t>
  </si>
  <si>
    <t>G25 needles BD (pkt)</t>
  </si>
  <si>
    <t>G23 needles BD (pkt)</t>
  </si>
  <si>
    <t>G21 needles BD (pkt)</t>
  </si>
  <si>
    <t>G21 Vaccutainer needles BD (pkt)</t>
  </si>
  <si>
    <t>G18 Needles, BD, pkt</t>
  </si>
  <si>
    <t>Trocar &amp; canula (pc)</t>
  </si>
  <si>
    <t>Syringes 1mlL detachable BD (pkt)</t>
  </si>
  <si>
    <t>Syringes 2mlL BD (pkt)</t>
  </si>
  <si>
    <t>Syringes 5ml BD (pkt)</t>
  </si>
  <si>
    <t>Syringes 10ml BD (pkt)</t>
  </si>
  <si>
    <t>Syringes 20ml BD (pkt)</t>
  </si>
  <si>
    <t>Syringes 60ml BD (pkt)</t>
  </si>
  <si>
    <t>Solvents and fixatives</t>
  </si>
  <si>
    <t>Formaldehyde 37-40%, 5L</t>
  </si>
  <si>
    <t>Toluene, Pancreac or Fluka AR (2.5L)</t>
  </si>
  <si>
    <t>Xylene,Pancreac or Fluka AR (2.5L)</t>
  </si>
  <si>
    <t>Acetone, Pancreac or Fluka AR (2.5L)</t>
  </si>
  <si>
    <t>Ethanol, Pancreac or Fluka AR (2.5L)</t>
  </si>
  <si>
    <t>Methanol, Pancreac or Fluka AR (2.5L)</t>
  </si>
  <si>
    <t>Di-ethyl-ether GPR, 2.5L</t>
  </si>
  <si>
    <t>DPX mountant, BDH, Pancreac or Fluka AR (500ml)</t>
  </si>
  <si>
    <t>Oil immersion, BDH, Pancreac or Fluka AR (500ml)</t>
  </si>
  <si>
    <t>Salts</t>
  </si>
  <si>
    <t>di-Sodium Hydrogen phosphate, Pancreac or Fluka AR (500g)</t>
  </si>
  <si>
    <t>Sodium diHydrogen phosphate, Pancreac or Fluka AR (500g)</t>
  </si>
  <si>
    <t>Sodium Nitrate, Pancreac or Fluka AR (500g)</t>
  </si>
  <si>
    <t>Installation of cctv within the institute and points of entry.</t>
  </si>
  <si>
    <t>Liquid soap/detergent Teepol (20L)</t>
  </si>
  <si>
    <t>Hypochlorite (Jik) (5L)</t>
  </si>
  <si>
    <t>Povidone iodine USP (5L)</t>
  </si>
  <si>
    <t>Betadine solution, 5L</t>
  </si>
  <si>
    <t>Surgical spirit (5l)</t>
  </si>
  <si>
    <t>Hibitane 5% (5L)</t>
  </si>
  <si>
    <t>Cidex cold sterilant 5L</t>
  </si>
  <si>
    <t>Savlon (Alguard, 5L)</t>
  </si>
  <si>
    <t>Hydrogen peroxide (5L)</t>
  </si>
  <si>
    <t>Kerol (5L)</t>
  </si>
  <si>
    <t>Doom spray (cans, )</t>
  </si>
  <si>
    <t>Vaseline 100g</t>
  </si>
  <si>
    <t>Protex soap #2</t>
  </si>
  <si>
    <t>Industrial gloves (pairs)</t>
  </si>
  <si>
    <t>Rubber squeezers</t>
  </si>
  <si>
    <t>Soft brooms</t>
  </si>
  <si>
    <t>Hard Brooms</t>
  </si>
  <si>
    <t>Hard brushes</t>
  </si>
  <si>
    <t>Brush/brooms handles</t>
  </si>
  <si>
    <t>Hose pipes</t>
  </si>
  <si>
    <t>Microscope slides 7105 (pkt)</t>
  </si>
  <si>
    <t>Cover slips (22x22mm, box)</t>
  </si>
  <si>
    <t>Cover slips (24x50mm, box)</t>
  </si>
  <si>
    <t>Specimen containers</t>
  </si>
  <si>
    <t>1L plastic jars</t>
  </si>
  <si>
    <t>4ml EDTA vaccutainers BD (Packs of 100)</t>
  </si>
  <si>
    <t>Histopathology tissue processing</t>
  </si>
  <si>
    <t>Paraplast (Kg)</t>
  </si>
  <si>
    <t>Microtome blades ERMA (pkt)</t>
  </si>
  <si>
    <t>OCT compound (125ml)</t>
  </si>
  <si>
    <t xml:space="preserve">Stains and staining apparatus </t>
  </si>
  <si>
    <t>Giemsa stock, Sigma (1L)</t>
  </si>
  <si>
    <t>Haematoxylin, Sigma (1L)</t>
  </si>
  <si>
    <t>Eosin Y, Sigma (1L)</t>
  </si>
  <si>
    <t>Crystal violet, Sigma (25g)</t>
  </si>
  <si>
    <t>Neutral red, Sigma (25g)</t>
  </si>
  <si>
    <t>Haematology Reagents</t>
  </si>
  <si>
    <t>ACT 5diff Rinse</t>
  </si>
  <si>
    <t>ACT 5diff Hb lyse</t>
  </si>
  <si>
    <t>ACT 5diff Fix</t>
  </si>
  <si>
    <t>ACT 5diff WBC lyse</t>
  </si>
  <si>
    <t>ACT 5diff Diluent</t>
  </si>
  <si>
    <t>Camping gas, cans</t>
  </si>
  <si>
    <t>Wooden applicator sticks, pkt</t>
  </si>
  <si>
    <t>Yellow tips, pkt</t>
  </si>
  <si>
    <t>INVERTED MICROSCOPE</t>
  </si>
  <si>
    <t>TID</t>
  </si>
  <si>
    <t>ELISA KITS</t>
  </si>
  <si>
    <t>projects</t>
  </si>
  <si>
    <t>CO2 INCUBATOR</t>
  </si>
  <si>
    <t>TID, Virology</t>
  </si>
  <si>
    <t>ANTIBODIES</t>
  </si>
  <si>
    <t>Experiments</t>
  </si>
  <si>
    <t>Computer (desktop)</t>
  </si>
  <si>
    <t>Lab Chairs (Leather)</t>
  </si>
  <si>
    <t>CONSUMABLE STORES</t>
  </si>
  <si>
    <t>Enrichment materials</t>
  </si>
  <si>
    <t>Hay, Bales</t>
  </si>
  <si>
    <t>Saw dust (Bags)</t>
  </si>
  <si>
    <t>Waste disposal containers</t>
  </si>
  <si>
    <t>Sharps disposal containers (units/boxes)</t>
  </si>
  <si>
    <t>Sieve buckets &amp; holder</t>
  </si>
  <si>
    <t>Bucket (20L)</t>
  </si>
  <si>
    <t>Biohazards bags (large, red and Yellow)</t>
  </si>
  <si>
    <t>Black polythene bags, pkt of 20</t>
  </si>
  <si>
    <t>office curtains</t>
  </si>
  <si>
    <t>Curtains for Resource Center</t>
  </si>
  <si>
    <t>Purchase of Branded macherdize eg umbrella</t>
  </si>
  <si>
    <t>Hose reel at Quarantine and Colony.</t>
  </si>
  <si>
    <t>Water dispenser</t>
  </si>
  <si>
    <t>HR</t>
  </si>
  <si>
    <t>Toner Hp laser jet print cartridge 05A</t>
  </si>
  <si>
    <t>NCD</t>
  </si>
  <si>
    <t>Office Desk</t>
  </si>
  <si>
    <t>Office chairs</t>
  </si>
  <si>
    <t>Lab chairs</t>
  </si>
  <si>
    <t xml:space="preserve">Lab Cabinets </t>
  </si>
  <si>
    <t>Laboratory  Glassware lock drawers</t>
  </si>
  <si>
    <t xml:space="preserve">Kaspersky antivirus </t>
  </si>
  <si>
    <t>Windows 10  Software</t>
  </si>
  <si>
    <t xml:space="preserve">Orthopedic chairs </t>
  </si>
  <si>
    <t>Office Chairs</t>
  </si>
  <si>
    <t>CBD</t>
  </si>
  <si>
    <t>File Cabinet</t>
  </si>
  <si>
    <t>Office desk</t>
  </si>
  <si>
    <t xml:space="preserve">Movable lockers </t>
  </si>
  <si>
    <t xml:space="preserve">White Board </t>
  </si>
  <si>
    <t>Notice Board</t>
  </si>
  <si>
    <t>Computers (Desktops)</t>
  </si>
  <si>
    <t>Laptops</t>
  </si>
  <si>
    <t>Projector</t>
  </si>
  <si>
    <t>Projector tripos</t>
  </si>
  <si>
    <t xml:space="preserve"> Screens (for education &amp; outreach)</t>
  </si>
  <si>
    <t>Tonner</t>
  </si>
  <si>
    <t>Field Uniforms 6 pairs (Boots, shirts, Trousers &amp; Dark green -Lab coats)</t>
  </si>
  <si>
    <t>Telephone Headsets</t>
  </si>
  <si>
    <t>Home Dry CLeaner</t>
  </si>
  <si>
    <t xml:space="preserve">Latex personal  files </t>
  </si>
  <si>
    <t>Photocopier machine (3 in 1)</t>
  </si>
  <si>
    <t xml:space="preserve">Office Desktop computes </t>
  </si>
  <si>
    <t>Lap tops ( PAO’s office)</t>
  </si>
  <si>
    <t>Government Printing staff files</t>
  </si>
  <si>
    <t xml:space="preserve">Tonner – Cartridges </t>
  </si>
  <si>
    <t>Transcend ( Flash disk)</t>
  </si>
  <si>
    <t xml:space="preserve">Visitors Chairs </t>
  </si>
  <si>
    <t xml:space="preserve">First aid kits  </t>
  </si>
  <si>
    <t xml:space="preserve">Dust coats </t>
  </si>
  <si>
    <t>Arm Chair</t>
  </si>
  <si>
    <t xml:space="preserve">Leave application forms booklets </t>
  </si>
  <si>
    <t xml:space="preserve">Wheel chair </t>
  </si>
  <si>
    <t>Psycho Education</t>
  </si>
  <si>
    <t>Staff Medical test</t>
  </si>
  <si>
    <t>Short time Training</t>
  </si>
  <si>
    <t>Team Building</t>
  </si>
  <si>
    <t>Staff recognition/Motivation</t>
  </si>
  <si>
    <t xml:space="preserve">Laminating machine </t>
  </si>
  <si>
    <t xml:space="preserve">Laminating papers </t>
  </si>
  <si>
    <t xml:space="preserve">File holders </t>
  </si>
  <si>
    <t>Filing Cards</t>
  </si>
  <si>
    <t xml:space="preserve">Fire proof file cabinets </t>
  </si>
  <si>
    <t xml:space="preserve">HR rubber stamp </t>
  </si>
  <si>
    <r>
      <t>Desks / tables (</t>
    </r>
    <r>
      <rPr>
        <b/>
        <sz val="12"/>
        <color theme="1"/>
        <rFont val="Calibri"/>
        <family val="2"/>
        <scheme val="minor"/>
      </rPr>
      <t xml:space="preserve"> for modern work station</t>
    </r>
    <r>
      <rPr>
        <sz val="12"/>
        <color theme="1"/>
        <rFont val="Calibri"/>
        <family val="2"/>
        <scheme val="minor"/>
      </rPr>
      <t>)</t>
    </r>
  </si>
  <si>
    <t>Cupboard ( HR and PAO’S OFFICE)</t>
  </si>
  <si>
    <t>Extension Cable</t>
  </si>
  <si>
    <t xml:space="preserve">CONFERENCE </t>
  </si>
  <si>
    <t>TRAINING FOR DEPT</t>
  </si>
  <si>
    <t>&amp; FACILITATORS</t>
  </si>
  <si>
    <t>FLOW CYTOMETRY</t>
  </si>
  <si>
    <t>project</t>
  </si>
  <si>
    <t>LAB CHAIRS</t>
  </si>
  <si>
    <t xml:space="preserve">Solar lights </t>
  </si>
  <si>
    <t>Utensils (Lumpsum)</t>
  </si>
  <si>
    <t>Storage boxes 2</t>
  </si>
  <si>
    <t xml:space="preserve">Camping Tents </t>
  </si>
  <si>
    <t>Camping Matresse</t>
  </si>
  <si>
    <t>Telephone Back Up Charge</t>
  </si>
  <si>
    <t>Reception Curtains</t>
  </si>
  <si>
    <t>External hard disk drive 1TB</t>
  </si>
  <si>
    <t>Desktop computer (think center)</t>
  </si>
  <si>
    <t>Laptop computer</t>
  </si>
  <si>
    <t>Lesser Printer (3in1)</t>
  </si>
  <si>
    <t>Chest Freezer (-20)</t>
  </si>
  <si>
    <t>Scanner</t>
  </si>
  <si>
    <t>Gloves</t>
  </si>
  <si>
    <t>Cotton gauze</t>
  </si>
  <si>
    <t>Ethanol AR</t>
  </si>
  <si>
    <t>10 Liter Nalgene containers</t>
  </si>
  <si>
    <t>5 Liter beakers</t>
  </si>
  <si>
    <t>Lab coats</t>
  </si>
  <si>
    <t>LIQUID NITROGEN GAS</t>
  </si>
  <si>
    <t>TID Labs</t>
  </si>
  <si>
    <t>BENCH TOP CENTRIFUGE</t>
  </si>
  <si>
    <t>Virology</t>
  </si>
  <si>
    <t>WEIGHING BALANCES</t>
  </si>
  <si>
    <t>REAGENTS (SALTS)</t>
  </si>
  <si>
    <t>LAPTOP</t>
  </si>
  <si>
    <t>CRYOVIALS</t>
  </si>
  <si>
    <t>15,50 ml tubes</t>
  </si>
  <si>
    <t>400pc</t>
  </si>
  <si>
    <t>30 Boxes</t>
  </si>
  <si>
    <t>Telephone Bills</t>
  </si>
  <si>
    <t>GOK</t>
  </si>
  <si>
    <t>TOTAL</t>
  </si>
  <si>
    <t xml:space="preserve">Provision of Sanitary Services </t>
  </si>
  <si>
    <t>per month</t>
  </si>
  <si>
    <t>Contract.</t>
  </si>
  <si>
    <t>Maintanace of Air conditioner</t>
  </si>
  <si>
    <t>Quarterly</t>
  </si>
  <si>
    <t>Maintenance of cold rooms.</t>
  </si>
  <si>
    <t>Collection of garbage and disposal</t>
  </si>
  <si>
    <t>Maintenance of Generator.</t>
  </si>
  <si>
    <t>per year</t>
  </si>
  <si>
    <t>Maintenance of incenerator</t>
  </si>
  <si>
    <t>Service for internet connection</t>
  </si>
  <si>
    <t xml:space="preserve">Physical </t>
  </si>
  <si>
    <t>FURNITURE</t>
  </si>
  <si>
    <t>Gok</t>
  </si>
  <si>
    <r>
      <t xml:space="preserve">            </t>
    </r>
    <r>
      <rPr>
        <b/>
        <sz val="11"/>
        <color theme="1"/>
        <rFont val="Calibri Light"/>
        <family val="2"/>
        <scheme val="major"/>
      </rPr>
      <t>WELDING MATERIALS FOR ANIMAL CAGES AND OTHER FACILITIES</t>
    </r>
  </si>
  <si>
    <r>
      <t>T</t>
    </r>
    <r>
      <rPr>
        <b/>
        <sz val="11"/>
        <color theme="1"/>
        <rFont val="Calibri"/>
        <family val="2"/>
        <scheme val="minor"/>
      </rPr>
      <t>OTAL</t>
    </r>
  </si>
  <si>
    <t>physical</t>
  </si>
  <si>
    <t>Physical</t>
  </si>
  <si>
    <t>Telephone expenses</t>
  </si>
  <si>
    <t>PURCHASE OF MOTOR VIHECLES AND EQUIPMENT</t>
  </si>
  <si>
    <t>Car Wash machine</t>
  </si>
  <si>
    <t>Development</t>
  </si>
  <si>
    <t>Motor Bike Yamaha 200 cc. ( for local  errands)</t>
  </si>
  <si>
    <t>Double Cabin Pick-up</t>
  </si>
  <si>
    <t xml:space="preserve">Pick-up </t>
  </si>
  <si>
    <t>Staff buss (33 seater)</t>
  </si>
  <si>
    <t>Saloon car</t>
  </si>
  <si>
    <t>PUBLIC RELATIONS AND MARKETING</t>
  </si>
  <si>
    <t>Construction of Shade at Oloolua Nature Trail</t>
  </si>
  <si>
    <t>Construction of Cottages and Bush Restaurant</t>
  </si>
  <si>
    <t>Tender</t>
  </si>
  <si>
    <t>Repair of Stairs at Oloolua Nature Trail</t>
  </si>
  <si>
    <t>Signage at Oloolua Nature Trail</t>
  </si>
  <si>
    <t>Extension of Oloolua Nature Trail</t>
  </si>
  <si>
    <t>Facelift of Ticketing Office</t>
  </si>
  <si>
    <t>Purchse of additional Behives</t>
  </si>
  <si>
    <t>ADMINISTRATION DEPARTMENT</t>
  </si>
  <si>
    <t>Removal of asbestos and directors house construction</t>
  </si>
  <si>
    <t>ADM</t>
  </si>
  <si>
    <t>Perimeter fence of ololua forest</t>
  </si>
  <si>
    <t>Solar system installlation</t>
  </si>
  <si>
    <t>SECURITY</t>
  </si>
  <si>
    <t>conservation biology</t>
  </si>
  <si>
    <t>Departmental Toilets constructuction</t>
  </si>
  <si>
    <t xml:space="preserve">Office painting </t>
  </si>
  <si>
    <t>Broken wall repairs</t>
  </si>
  <si>
    <t>DEVELOPMENT PROJECTS</t>
  </si>
  <si>
    <t>DESCRIPTION</t>
  </si>
  <si>
    <t>AMOUNT</t>
  </si>
  <si>
    <t>physical operation</t>
  </si>
  <si>
    <t>ADVERTISEMENT</t>
  </si>
  <si>
    <t>CATRIDGES AND TONERS</t>
  </si>
  <si>
    <t>COMPUTER ACCESSORIES</t>
  </si>
  <si>
    <t>CONTRACTED SERVICES</t>
  </si>
  <si>
    <t>ELECTRICALS</t>
  </si>
  <si>
    <t>MOTOR VEHICLE EXPENSES</t>
  </si>
  <si>
    <t>JANITORIAL</t>
  </si>
  <si>
    <t>PRINTING AND DUPLICATION</t>
  </si>
  <si>
    <t>STATIONERIES</t>
  </si>
  <si>
    <t>MAINTENANCE OF BUILDING</t>
  </si>
  <si>
    <t>CAGE MAINTENANCE</t>
  </si>
  <si>
    <t>MAINTAINANCE OF MONUMENT</t>
  </si>
  <si>
    <t>TOOLS $EQUIPMENTS NEW</t>
  </si>
  <si>
    <t>EQUIPMENTS REPAIR $ MAINTAINANCE</t>
  </si>
  <si>
    <t>FIRST AID</t>
  </si>
  <si>
    <t>UNIFORMS $PROTECTIVE CLOTHINGS</t>
  </si>
  <si>
    <t>FOOD FOR PRIMATES</t>
  </si>
  <si>
    <t>MEDICAL$SURGICAL SUPPLIES</t>
  </si>
  <si>
    <t>LABORATORY EQUIPMENTS</t>
  </si>
  <si>
    <t>LABORATORY CHEMICALS$ SUPPLIES</t>
  </si>
  <si>
    <t>CONFERENCE/RETREAT$TRAINING</t>
  </si>
  <si>
    <t>GASES</t>
  </si>
  <si>
    <t>COLONY SUPPLIES</t>
  </si>
  <si>
    <t>BUILDING $HARDWARE MATERIALS</t>
  </si>
  <si>
    <t>NEW ASSETS</t>
  </si>
  <si>
    <t>PLUMBING MATERIAL</t>
  </si>
  <si>
    <t>TELEPHONE EXPENSES</t>
  </si>
  <si>
    <t>WITHOUT DEV.PROJECTS</t>
  </si>
  <si>
    <t>WITHOUT CONTRACT</t>
  </si>
  <si>
    <t>ETHANOL GPR</t>
  </si>
  <si>
    <t>80L</t>
  </si>
  <si>
    <t>Swabs+vtm</t>
  </si>
  <si>
    <t>Surgical glasses</t>
  </si>
  <si>
    <t>3Sets</t>
  </si>
  <si>
    <t>5. ADMISSION TICKETS</t>
  </si>
  <si>
    <t>6. Electricals</t>
  </si>
  <si>
    <t>8.Motor Vehicle Expenses</t>
  </si>
  <si>
    <t>9.Janitorials</t>
  </si>
  <si>
    <t>10.Printing and duplication</t>
  </si>
  <si>
    <t>11. Stationery</t>
  </si>
  <si>
    <t>12.Maintenance of Buildings</t>
  </si>
  <si>
    <t>13.Cage maintenence</t>
  </si>
  <si>
    <t>14. Maintenance of monuments</t>
  </si>
  <si>
    <t>15.Tools and Equipments new</t>
  </si>
  <si>
    <t>16.Equipments Repairs and Maintenance</t>
  </si>
  <si>
    <t>17.First Aid</t>
  </si>
  <si>
    <t>18.. Staff Uniforms and protective clothing</t>
  </si>
  <si>
    <t>19.Food  for Rations</t>
  </si>
  <si>
    <t>20. Air Fares</t>
  </si>
  <si>
    <t>21. Food for Primates</t>
  </si>
  <si>
    <t>22. Medical and Surgical supplies</t>
  </si>
  <si>
    <t>23. laboratory  Equipment</t>
  </si>
  <si>
    <t>24.Laboratory chemicals and supplies</t>
  </si>
  <si>
    <t>25. Conferences/ Retreats/  Training</t>
  </si>
  <si>
    <t>26. Gases</t>
  </si>
  <si>
    <t>27.Fertilizers</t>
  </si>
  <si>
    <t>28. Library Books / Journals</t>
  </si>
  <si>
    <t>29..Bindery</t>
  </si>
  <si>
    <t>30.Linen</t>
  </si>
  <si>
    <t>31. Colony Supplies</t>
  </si>
  <si>
    <t>32.Internet</t>
  </si>
  <si>
    <t>33. Multimedia Expenses</t>
  </si>
  <si>
    <t>34.Building  and Hardware Materials</t>
  </si>
  <si>
    <t>35.Hire of Motor Vehicles</t>
  </si>
  <si>
    <t>36.Community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</si>
</sst>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-;\-* #,##0.00_-;_-* &quot;-&quot;??_-;_-@_-"/>
    <numFmt numFmtId="165" formatCode="&quot; &quot;#,##0&quot; &quot;;&quot;-&quot;#,##0&quot; &quot;;&quot; -&quot;00&quot; &quot;;&quot; &quot;@&quot; &quot;"/>
    <numFmt numFmtId="166" formatCode="_-* #,##0_-;\-* #,##0_-;_-* &quot;-&quot;??_-;_-@_-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Wingdings"/>
      <charset val="2"/>
    </font>
    <font>
      <sz val="7"/>
      <color indexed="8"/>
      <name val="Times New Roman"/>
      <family val="1"/>
    </font>
    <font>
      <sz val="10"/>
      <color indexed="8"/>
      <name val="Calibri"/>
      <family val="2"/>
    </font>
    <font>
      <sz val="12"/>
      <name val="Calibri"/>
      <family val="2"/>
      <scheme val="minor"/>
    </font>
    <font>
      <sz val="12"/>
      <color theme="9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2"/>
      <name val="Calibri Light"/>
      <family val="2"/>
      <scheme val="major"/>
    </font>
    <font>
      <sz val="12"/>
      <color theme="9"/>
      <name val="Calibri Light"/>
      <family val="2"/>
      <scheme val="major"/>
    </font>
    <font>
      <sz val="12"/>
      <color theme="1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" fillId="0" borderId="0"/>
  </cellStyleXfs>
  <cellXfs count="14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3" fontId="0" fillId="0" borderId="1" xfId="0" applyNumberFormat="1" applyBorder="1"/>
    <xf numFmtId="0" fontId="1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165" fontId="3" fillId="0" borderId="1" xfId="1" applyNumberFormat="1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0" fillId="0" borderId="1" xfId="0" applyFill="1" applyBorder="1"/>
    <xf numFmtId="0" fontId="3" fillId="0" borderId="1" xfId="0" applyFont="1" applyBorder="1" applyAlignment="1">
      <alignment horizontal="left" wrapText="1"/>
    </xf>
    <xf numFmtId="164" fontId="4" fillId="0" borderId="1" xfId="1" applyFont="1" applyBorder="1"/>
    <xf numFmtId="164" fontId="2" fillId="0" borderId="1" xfId="1" applyFont="1" applyBorder="1"/>
    <xf numFmtId="164" fontId="0" fillId="0" borderId="1" xfId="1" applyFont="1" applyBorder="1"/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3" fontId="5" fillId="0" borderId="1" xfId="0" applyNumberFormat="1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horizontal="right" vertical="center" wrapText="1"/>
    </xf>
    <xf numFmtId="0" fontId="0" fillId="0" borderId="1" xfId="0" applyFont="1" applyBorder="1"/>
    <xf numFmtId="0" fontId="0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vertical="center" wrapText="1"/>
    </xf>
    <xf numFmtId="0" fontId="0" fillId="2" borderId="1" xfId="0" applyFont="1" applyFill="1" applyBorder="1" applyAlignment="1">
      <alignment horizontal="right"/>
    </xf>
    <xf numFmtId="0" fontId="0" fillId="2" borderId="1" xfId="0" applyFont="1" applyFill="1" applyBorder="1"/>
    <xf numFmtId="0" fontId="5" fillId="2" borderId="1" xfId="0" applyFont="1" applyFill="1" applyBorder="1" applyAlignment="1">
      <alignment vertical="center" wrapText="1"/>
    </xf>
    <xf numFmtId="0" fontId="7" fillId="2" borderId="1" xfId="0" applyFont="1" applyFill="1" applyBorder="1"/>
    <xf numFmtId="0" fontId="8" fillId="2" borderId="1" xfId="0" applyFont="1" applyFill="1" applyBorder="1" applyAlignment="1">
      <alignment vertical="center" wrapText="1"/>
    </xf>
    <xf numFmtId="165" fontId="8" fillId="2" borderId="1" xfId="1" applyNumberFormat="1" applyFont="1" applyFill="1" applyBorder="1" applyAlignment="1">
      <alignment horizontal="right" wrapText="1"/>
    </xf>
    <xf numFmtId="3" fontId="0" fillId="0" borderId="1" xfId="0" applyNumberFormat="1" applyFont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3" fontId="5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Font="1" applyFill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/>
    <xf numFmtId="0" fontId="2" fillId="0" borderId="1" xfId="0" applyFont="1" applyBorder="1"/>
    <xf numFmtId="0" fontId="2" fillId="0" borderId="1" xfId="0" applyFont="1" applyFill="1" applyBorder="1"/>
    <xf numFmtId="4" fontId="2" fillId="0" borderId="1" xfId="0" applyNumberFormat="1" applyFont="1" applyFill="1" applyBorder="1"/>
    <xf numFmtId="0" fontId="7" fillId="2" borderId="1" xfId="0" applyFont="1" applyFill="1" applyBorder="1" applyAlignment="1">
      <alignment horizontal="right"/>
    </xf>
    <xf numFmtId="0" fontId="2" fillId="3" borderId="1" xfId="0" applyFont="1" applyFill="1" applyBorder="1"/>
    <xf numFmtId="4" fontId="2" fillId="3" borderId="1" xfId="0" applyNumberFormat="1" applyFont="1" applyFill="1" applyBorder="1"/>
    <xf numFmtId="0" fontId="0" fillId="0" borderId="1" xfId="0" applyBorder="1" applyAlignment="1">
      <alignment vertical="center" wrapText="1"/>
    </xf>
    <xf numFmtId="4" fontId="2" fillId="2" borderId="1" xfId="0" applyNumberFormat="1" applyFont="1" applyFill="1" applyBorder="1"/>
    <xf numFmtId="4" fontId="0" fillId="2" borderId="1" xfId="0" applyNumberFormat="1" applyFont="1" applyFill="1" applyBorder="1"/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0" fontId="13" fillId="2" borderId="1" xfId="0" applyFont="1" applyFill="1" applyBorder="1"/>
    <xf numFmtId="0" fontId="9" fillId="0" borderId="1" xfId="0" applyFont="1" applyBorder="1"/>
    <xf numFmtId="0" fontId="9" fillId="2" borderId="1" xfId="0" applyFont="1" applyFill="1" applyBorder="1"/>
    <xf numFmtId="0" fontId="9" fillId="2" borderId="1" xfId="0" applyFont="1" applyFill="1" applyBorder="1" applyAlignment="1">
      <alignment wrapText="1"/>
    </xf>
    <xf numFmtId="0" fontId="13" fillId="2" borderId="1" xfId="0" applyFont="1" applyFill="1" applyBorder="1" applyAlignment="1">
      <alignment wrapText="1"/>
    </xf>
    <xf numFmtId="0" fontId="14" fillId="2" borderId="1" xfId="0" applyFont="1" applyFill="1" applyBorder="1"/>
    <xf numFmtId="0" fontId="15" fillId="2" borderId="1" xfId="0" applyFont="1" applyFill="1" applyBorder="1"/>
    <xf numFmtId="0" fontId="16" fillId="2" borderId="1" xfId="0" applyFont="1" applyFill="1" applyBorder="1"/>
    <xf numFmtId="0" fontId="17" fillId="2" borderId="1" xfId="0" applyFont="1" applyFill="1" applyBorder="1"/>
    <xf numFmtId="0" fontId="0" fillId="2" borderId="1" xfId="0" applyFill="1" applyBorder="1"/>
    <xf numFmtId="0" fontId="18" fillId="0" borderId="1" xfId="0" applyFont="1" applyBorder="1" applyAlignment="1">
      <alignment vertical="top" wrapText="1"/>
    </xf>
    <xf numFmtId="0" fontId="18" fillId="0" borderId="1" xfId="0" applyFont="1" applyBorder="1"/>
    <xf numFmtId="3" fontId="18" fillId="0" borderId="1" xfId="0" applyNumberFormat="1" applyFont="1" applyBorder="1"/>
    <xf numFmtId="0" fontId="18" fillId="0" borderId="1" xfId="0" applyFont="1" applyBorder="1" applyAlignment="1">
      <alignment horizontal="right"/>
    </xf>
    <xf numFmtId="0" fontId="18" fillId="2" borderId="1" xfId="0" applyFont="1" applyFill="1" applyBorder="1"/>
    <xf numFmtId="0" fontId="18" fillId="0" borderId="1" xfId="0" applyFont="1" applyBorder="1" applyAlignment="1">
      <alignment horizontal="right" vertical="top" wrapText="1"/>
    </xf>
    <xf numFmtId="0" fontId="18" fillId="0" borderId="1" xfId="0" applyFont="1" applyBorder="1" applyAlignment="1">
      <alignment horizontal="center" vertical="center"/>
    </xf>
    <xf numFmtId="3" fontId="18" fillId="0" borderId="1" xfId="0" applyNumberFormat="1" applyFont="1" applyBorder="1" applyAlignment="1">
      <alignment vertical="center"/>
    </xf>
    <xf numFmtId="3" fontId="22" fillId="2" borderId="1" xfId="0" applyNumberFormat="1" applyFont="1" applyFill="1" applyBorder="1"/>
    <xf numFmtId="0" fontId="23" fillId="2" borderId="1" xfId="0" applyFont="1" applyFill="1" applyBorder="1"/>
    <xf numFmtId="0" fontId="8" fillId="2" borderId="1" xfId="0" applyFont="1" applyFill="1" applyBorder="1" applyAlignment="1">
      <alignment horizontal="right" vertical="center" wrapText="1"/>
    </xf>
    <xf numFmtId="3" fontId="8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/>
    <xf numFmtId="0" fontId="4" fillId="2" borderId="1" xfId="0" applyFont="1" applyFill="1" applyBorder="1"/>
    <xf numFmtId="4" fontId="4" fillId="2" borderId="1" xfId="0" applyNumberFormat="1" applyFont="1" applyFill="1" applyBorder="1"/>
    <xf numFmtId="0" fontId="9" fillId="0" borderId="1" xfId="3" applyFont="1" applyBorder="1" applyAlignment="1">
      <alignment vertical="center" wrapText="1"/>
    </xf>
    <xf numFmtId="0" fontId="9" fillId="0" borderId="1" xfId="0" applyFont="1" applyFill="1" applyBorder="1"/>
    <xf numFmtId="0" fontId="13" fillId="0" borderId="1" xfId="3" applyFont="1" applyBorder="1" applyAlignment="1">
      <alignment vertical="center" wrapText="1"/>
    </xf>
    <xf numFmtId="0" fontId="25" fillId="0" borderId="1" xfId="0" applyFont="1" applyBorder="1" applyAlignment="1">
      <alignment horizontal="right" vertical="center" wrapText="1"/>
    </xf>
    <xf numFmtId="0" fontId="4" fillId="0" borderId="1" xfId="0" applyFont="1" applyFill="1" applyBorder="1"/>
    <xf numFmtId="4" fontId="4" fillId="0" borderId="1" xfId="0" applyNumberFormat="1" applyFont="1" applyFill="1" applyBorder="1"/>
    <xf numFmtId="0" fontId="25" fillId="0" borderId="1" xfId="0" applyFont="1" applyBorder="1"/>
    <xf numFmtId="0" fontId="25" fillId="0" borderId="1" xfId="0" applyFont="1" applyBorder="1" applyAlignment="1">
      <alignment horizontal="right"/>
    </xf>
    <xf numFmtId="164" fontId="25" fillId="0" borderId="1" xfId="1" applyFont="1" applyBorder="1"/>
    <xf numFmtId="0" fontId="9" fillId="0" borderId="1" xfId="0" applyFont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wrapText="1"/>
    </xf>
    <xf numFmtId="10" fontId="2" fillId="2" borderId="1" xfId="2" applyNumberFormat="1" applyFont="1" applyFill="1" applyBorder="1"/>
    <xf numFmtId="3" fontId="9" fillId="0" borderId="1" xfId="0" applyNumberFormat="1" applyFont="1" applyBorder="1" applyAlignment="1">
      <alignment vertical="center" wrapText="1"/>
    </xf>
    <xf numFmtId="0" fontId="25" fillId="0" borderId="1" xfId="0" applyFont="1" applyFill="1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0" fillId="0" borderId="1" xfId="0" applyFont="1" applyBorder="1" applyAlignment="1">
      <alignment horizontal="right" vertical="top" wrapText="1"/>
    </xf>
    <xf numFmtId="164" fontId="4" fillId="0" borderId="1" xfId="0" applyNumberFormat="1" applyFont="1" applyBorder="1"/>
    <xf numFmtId="164" fontId="0" fillId="0" borderId="1" xfId="1" applyFont="1" applyBorder="1" applyAlignment="1"/>
    <xf numFmtId="166" fontId="0" fillId="0" borderId="1" xfId="1" applyNumberFormat="1" applyFont="1" applyBorder="1" applyAlignment="1">
      <alignment horizontal="right"/>
    </xf>
    <xf numFmtId="0" fontId="27" fillId="0" borderId="1" xfId="0" applyFont="1" applyBorder="1"/>
    <xf numFmtId="0" fontId="26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28" fillId="0" borderId="1" xfId="0" applyNumberFormat="1" applyFont="1" applyBorder="1" applyAlignment="1">
      <alignment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1" xfId="0" applyFont="1" applyFill="1" applyBorder="1" applyAlignment="1">
      <alignment horizontal="right" vertical="center" wrapText="1"/>
    </xf>
    <xf numFmtId="0" fontId="30" fillId="2" borderId="1" xfId="0" applyFont="1" applyFill="1" applyBorder="1"/>
    <xf numFmtId="164" fontId="29" fillId="2" borderId="1" xfId="1" applyFont="1" applyFill="1" applyBorder="1" applyAlignment="1">
      <alignment vertical="center" wrapText="1"/>
    </xf>
    <xf numFmtId="4" fontId="4" fillId="3" borderId="1" xfId="0" applyNumberFormat="1" applyFont="1" applyFill="1" applyBorder="1"/>
    <xf numFmtId="0" fontId="0" fillId="0" borderId="1" xfId="1" applyNumberFormat="1" applyFont="1" applyBorder="1"/>
    <xf numFmtId="0" fontId="0" fillId="0" borderId="1" xfId="0" applyNumberFormat="1" applyBorder="1"/>
    <xf numFmtId="164" fontId="18" fillId="0" borderId="1" xfId="1" applyFont="1" applyBorder="1"/>
    <xf numFmtId="164" fontId="19" fillId="0" borderId="1" xfId="1" applyFont="1" applyBorder="1"/>
    <xf numFmtId="0" fontId="19" fillId="0" borderId="1" xfId="0" applyFont="1" applyBorder="1" applyAlignment="1">
      <alignment vertical="top" wrapText="1"/>
    </xf>
    <xf numFmtId="3" fontId="4" fillId="0" borderId="1" xfId="0" applyNumberFormat="1" applyFont="1" applyBorder="1"/>
    <xf numFmtId="0" fontId="4" fillId="0" borderId="1" xfId="0" applyFont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right" vertical="center" wrapText="1"/>
    </xf>
    <xf numFmtId="4" fontId="4" fillId="0" borderId="1" xfId="0" applyNumberFormat="1" applyFont="1" applyBorder="1"/>
    <xf numFmtId="0" fontId="0" fillId="0" borderId="1" xfId="0" applyBorder="1" applyAlignment="1"/>
    <xf numFmtId="0" fontId="4" fillId="0" borderId="1" xfId="0" applyFont="1" applyBorder="1" applyAlignment="1">
      <alignment horizontal="center"/>
    </xf>
    <xf numFmtId="0" fontId="4" fillId="0" borderId="0" xfId="0" applyFont="1"/>
    <xf numFmtId="0" fontId="0" fillId="0" borderId="3" xfId="0" applyFill="1" applyBorder="1"/>
    <xf numFmtId="0" fontId="9" fillId="0" borderId="1" xfId="0" applyFont="1" applyBorder="1" applyAlignment="1">
      <alignment horizontal="right" vertical="center" wrapText="1"/>
    </xf>
    <xf numFmtId="3" fontId="29" fillId="2" borderId="1" xfId="0" applyNumberFormat="1" applyFont="1" applyFill="1" applyBorder="1" applyAlignment="1">
      <alignment vertical="center" wrapText="1"/>
    </xf>
    <xf numFmtId="0" fontId="25" fillId="0" borderId="1" xfId="0" applyFont="1" applyBorder="1" applyAlignment="1">
      <alignment vertical="center" wrapText="1"/>
    </xf>
    <xf numFmtId="166" fontId="0" fillId="0" borderId="1" xfId="1" applyNumberFormat="1" applyFont="1" applyBorder="1"/>
    <xf numFmtId="0" fontId="4" fillId="0" borderId="1" xfId="0" applyFont="1" applyBorder="1" applyAlignment="1">
      <alignment wrapText="1"/>
    </xf>
    <xf numFmtId="166" fontId="4" fillId="0" borderId="1" xfId="1" applyNumberFormat="1" applyFont="1" applyBorder="1"/>
    <xf numFmtId="166" fontId="4" fillId="0" borderId="1" xfId="0" applyNumberFormat="1" applyFont="1" applyBorder="1"/>
    <xf numFmtId="0" fontId="4" fillId="0" borderId="1" xfId="0" applyFont="1" applyBorder="1" applyAlignment="1"/>
    <xf numFmtId="164" fontId="27" fillId="0" borderId="1" xfId="1" applyFont="1" applyBorder="1"/>
    <xf numFmtId="164" fontId="0" fillId="0" borderId="0" xfId="1" applyFont="1"/>
    <xf numFmtId="164" fontId="4" fillId="0" borderId="0" xfId="1" applyFont="1"/>
    <xf numFmtId="0" fontId="0" fillId="0" borderId="3" xfId="0" applyFont="1" applyFill="1" applyBorder="1"/>
    <xf numFmtId="4" fontId="0" fillId="0" borderId="3" xfId="0" applyNumberFormat="1" applyFont="1" applyFill="1" applyBorder="1"/>
    <xf numFmtId="0" fontId="7" fillId="2" borderId="3" xfId="0" applyFont="1" applyFill="1" applyBorder="1" applyAlignment="1">
      <alignment horizontal="right"/>
    </xf>
    <xf numFmtId="0" fontId="0" fillId="0" borderId="3" xfId="0" applyFill="1" applyBorder="1" applyAlignment="1">
      <alignment horizontal="right"/>
    </xf>
    <xf numFmtId="0" fontId="7" fillId="2" borderId="3" xfId="0" applyFont="1" applyFill="1" applyBorder="1"/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20" fillId="0" borderId="1" xfId="0" applyFont="1" applyBorder="1" applyAlignment="1">
      <alignment horizontal="left" vertical="top"/>
    </xf>
  </cellXfs>
  <cellStyles count="4">
    <cellStyle name="Comma" xfId="1" builtinId="3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01"/>
  <sheetViews>
    <sheetView tabSelected="1" topLeftCell="A720" workbookViewId="0">
      <selection activeCell="A733" sqref="A733"/>
    </sheetView>
  </sheetViews>
  <sheetFormatPr defaultRowHeight="15" x14ac:dyDescent="0.25"/>
  <cols>
    <col min="1" max="1" width="7.42578125" customWidth="1"/>
    <col min="2" max="2" width="35" customWidth="1"/>
    <col min="3" max="3" width="11.28515625" customWidth="1"/>
    <col min="4" max="4" width="18.85546875" customWidth="1"/>
    <col min="5" max="5" width="16.140625" customWidth="1"/>
    <col min="6" max="6" width="17.42578125" customWidth="1"/>
    <col min="7" max="7" width="12.5703125" customWidth="1"/>
    <col min="8" max="8" width="10" customWidth="1"/>
    <col min="13" max="13" width="10.28515625" customWidth="1"/>
  </cols>
  <sheetData>
    <row r="1" spans="1:16" ht="40.5" customHeight="1" x14ac:dyDescent="0.25">
      <c r="A1" s="2"/>
      <c r="B1" s="3" t="s">
        <v>5</v>
      </c>
      <c r="C1" s="4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141" t="s">
        <v>16</v>
      </c>
      <c r="N1" s="142"/>
      <c r="O1" s="142"/>
      <c r="P1" s="143"/>
    </row>
    <row r="2" spans="1:16" ht="22.5" customHeight="1" x14ac:dyDescent="0.25">
      <c r="A2" s="2"/>
      <c r="B2" s="3"/>
      <c r="C2" s="4"/>
      <c r="D2" s="3"/>
      <c r="E2" s="3"/>
      <c r="F2" s="3"/>
      <c r="G2" s="3"/>
      <c r="H2" s="3"/>
      <c r="I2" s="4"/>
      <c r="J2" s="4"/>
      <c r="K2" s="4"/>
      <c r="L2" s="4"/>
      <c r="M2" s="5" t="s">
        <v>17</v>
      </c>
      <c r="N2" s="6" t="s">
        <v>18</v>
      </c>
      <c r="O2" s="6" t="s">
        <v>19</v>
      </c>
      <c r="P2" s="7" t="s">
        <v>20</v>
      </c>
    </row>
    <row r="3" spans="1:16" x14ac:dyDescent="0.25">
      <c r="A3" s="1"/>
      <c r="B3" s="43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30" x14ac:dyDescent="0.25">
      <c r="A4" s="1">
        <v>1</v>
      </c>
      <c r="B4" s="40" t="s">
        <v>554</v>
      </c>
      <c r="C4" s="1">
        <v>10</v>
      </c>
      <c r="D4" s="1">
        <v>2000</v>
      </c>
      <c r="E4" s="1">
        <v>200000</v>
      </c>
      <c r="F4" s="19" t="s">
        <v>132</v>
      </c>
      <c r="G4" s="19" t="s">
        <v>75</v>
      </c>
      <c r="H4" s="19" t="s">
        <v>648</v>
      </c>
      <c r="I4" s="11" t="s">
        <v>21</v>
      </c>
      <c r="J4" s="11" t="s">
        <v>21</v>
      </c>
      <c r="K4" s="11" t="s">
        <v>21</v>
      </c>
      <c r="L4" s="11" t="s">
        <v>21</v>
      </c>
      <c r="M4" s="1"/>
      <c r="N4" s="1">
        <v>200000</v>
      </c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9" t="s">
        <v>648</v>
      </c>
      <c r="I5" s="1"/>
      <c r="J5" s="1"/>
      <c r="K5" s="1"/>
      <c r="L5" s="1"/>
      <c r="M5" s="1"/>
      <c r="N5" s="1"/>
      <c r="O5" s="1"/>
      <c r="P5" s="1"/>
    </row>
    <row r="6" spans="1:16" x14ac:dyDescent="0.25">
      <c r="A6" s="1"/>
      <c r="B6" s="43" t="s">
        <v>649</v>
      </c>
      <c r="C6" s="1"/>
      <c r="D6" s="1"/>
      <c r="E6" s="16">
        <f>SUM(E4:E5)</f>
        <v>200000</v>
      </c>
      <c r="F6" s="1"/>
      <c r="G6" s="1"/>
      <c r="H6" s="19" t="s">
        <v>648</v>
      </c>
      <c r="I6" s="1"/>
      <c r="J6" s="1"/>
      <c r="K6" s="1"/>
      <c r="L6" s="1"/>
      <c r="M6" s="1"/>
      <c r="N6" s="1"/>
      <c r="O6" s="1"/>
      <c r="P6" s="1"/>
    </row>
    <row r="7" spans="1:16" x14ac:dyDescent="0.25">
      <c r="A7" s="1"/>
      <c r="B7" s="1"/>
      <c r="C7" s="1"/>
      <c r="D7" s="1"/>
      <c r="E7" s="1"/>
      <c r="F7" s="1"/>
      <c r="G7" s="1"/>
      <c r="H7" s="19"/>
      <c r="I7" s="1"/>
      <c r="J7" s="1"/>
      <c r="K7" s="1"/>
      <c r="L7" s="1"/>
      <c r="M7" s="1"/>
      <c r="N7" s="1"/>
      <c r="O7" s="1"/>
      <c r="P7" s="1"/>
    </row>
    <row r="8" spans="1:16" x14ac:dyDescent="0.25">
      <c r="A8" s="43" t="s">
        <v>1</v>
      </c>
      <c r="B8" s="1"/>
      <c r="C8" s="1"/>
      <c r="D8" s="1"/>
      <c r="E8" s="1"/>
      <c r="F8" s="1"/>
      <c r="G8" s="1"/>
      <c r="H8" s="19"/>
      <c r="I8" s="1"/>
      <c r="J8" s="1"/>
      <c r="K8" s="1"/>
      <c r="L8" s="1"/>
      <c r="M8" s="1"/>
      <c r="N8" s="1"/>
      <c r="O8" s="1"/>
      <c r="P8" s="1"/>
    </row>
    <row r="9" spans="1:16" ht="15.75" x14ac:dyDescent="0.25">
      <c r="A9" s="1">
        <v>1</v>
      </c>
      <c r="B9" s="15" t="s">
        <v>73</v>
      </c>
      <c r="C9" s="1">
        <v>3</v>
      </c>
      <c r="D9" s="1">
        <v>12500</v>
      </c>
      <c r="E9" s="17">
        <f>C9*D9</f>
        <v>37500</v>
      </c>
      <c r="F9" s="13" t="s">
        <v>74</v>
      </c>
      <c r="G9" s="11" t="s">
        <v>75</v>
      </c>
      <c r="H9" s="19" t="s">
        <v>648</v>
      </c>
      <c r="I9" s="11" t="s">
        <v>21</v>
      </c>
      <c r="J9" s="11" t="s">
        <v>21</v>
      </c>
      <c r="K9" s="11" t="s">
        <v>21</v>
      </c>
      <c r="L9" s="11" t="s">
        <v>21</v>
      </c>
      <c r="M9" s="12">
        <v>12500</v>
      </c>
      <c r="N9" s="12">
        <v>12500</v>
      </c>
      <c r="O9" s="12">
        <v>12500</v>
      </c>
      <c r="P9" s="12"/>
    </row>
    <row r="10" spans="1:16" ht="15.75" x14ac:dyDescent="0.25">
      <c r="A10" s="1">
        <v>2</v>
      </c>
      <c r="B10" s="15" t="s">
        <v>76</v>
      </c>
      <c r="C10" s="1">
        <v>3</v>
      </c>
      <c r="D10" s="1">
        <v>10000</v>
      </c>
      <c r="E10" s="17">
        <f>C10*D10</f>
        <v>30000</v>
      </c>
      <c r="F10" s="13" t="s">
        <v>74</v>
      </c>
      <c r="G10" s="11" t="s">
        <v>75</v>
      </c>
      <c r="H10" s="19" t="s">
        <v>648</v>
      </c>
      <c r="I10" s="11" t="s">
        <v>21</v>
      </c>
      <c r="J10" s="11" t="s">
        <v>21</v>
      </c>
      <c r="K10" s="11" t="s">
        <v>21</v>
      </c>
      <c r="L10" s="11" t="s">
        <v>21</v>
      </c>
      <c r="M10" s="12"/>
      <c r="N10" s="12">
        <v>10000</v>
      </c>
      <c r="O10" s="12">
        <v>10000</v>
      </c>
      <c r="P10" s="12">
        <v>10000</v>
      </c>
    </row>
    <row r="11" spans="1:16" ht="15.75" x14ac:dyDescent="0.25">
      <c r="A11" s="1">
        <v>3</v>
      </c>
      <c r="B11" s="15" t="s">
        <v>77</v>
      </c>
      <c r="C11" s="1">
        <v>1</v>
      </c>
      <c r="D11" s="1">
        <v>10000</v>
      </c>
      <c r="E11" s="17">
        <f>C11*D11:D12</f>
        <v>10000</v>
      </c>
      <c r="F11" s="13" t="s">
        <v>74</v>
      </c>
      <c r="G11" s="11" t="s">
        <v>75</v>
      </c>
      <c r="H11" s="19" t="s">
        <v>648</v>
      </c>
      <c r="I11" s="11" t="s">
        <v>21</v>
      </c>
      <c r="J11" s="11" t="s">
        <v>21</v>
      </c>
      <c r="K11" s="11" t="s">
        <v>21</v>
      </c>
      <c r="L11" s="11" t="s">
        <v>21</v>
      </c>
      <c r="M11" s="12"/>
      <c r="N11" s="12">
        <v>10000</v>
      </c>
      <c r="O11" s="12"/>
      <c r="P11" s="12"/>
    </row>
    <row r="12" spans="1:16" ht="15.75" x14ac:dyDescent="0.25">
      <c r="A12" s="1">
        <v>4</v>
      </c>
      <c r="B12" s="15" t="s">
        <v>78</v>
      </c>
      <c r="C12" s="1">
        <v>2</v>
      </c>
      <c r="D12" s="1">
        <v>17000</v>
      </c>
      <c r="E12" s="17">
        <f>C12*D12</f>
        <v>34000</v>
      </c>
      <c r="F12" s="13" t="s">
        <v>74</v>
      </c>
      <c r="G12" s="11" t="s">
        <v>75</v>
      </c>
      <c r="H12" s="19" t="s">
        <v>648</v>
      </c>
      <c r="I12" s="11" t="s">
        <v>21</v>
      </c>
      <c r="J12" s="11" t="s">
        <v>21</v>
      </c>
      <c r="K12" s="11" t="s">
        <v>21</v>
      </c>
      <c r="L12" s="11" t="s">
        <v>21</v>
      </c>
      <c r="M12" s="12">
        <v>14000</v>
      </c>
      <c r="N12" s="12"/>
      <c r="O12" s="12">
        <v>14000</v>
      </c>
      <c r="P12" s="12"/>
    </row>
    <row r="13" spans="1:16" ht="15.75" x14ac:dyDescent="0.25">
      <c r="A13" s="1">
        <v>5</v>
      </c>
      <c r="B13" s="1" t="s">
        <v>96</v>
      </c>
      <c r="C13" s="19" t="s">
        <v>733</v>
      </c>
      <c r="D13" s="1">
        <v>60000</v>
      </c>
      <c r="E13" s="18">
        <v>180000</v>
      </c>
      <c r="F13" s="19" t="s">
        <v>93</v>
      </c>
      <c r="G13" s="19" t="s">
        <v>75</v>
      </c>
      <c r="H13" s="19" t="s">
        <v>648</v>
      </c>
      <c r="I13" s="11" t="s">
        <v>21</v>
      </c>
      <c r="J13" s="11" t="s">
        <v>21</v>
      </c>
      <c r="K13" s="11" t="s">
        <v>21</v>
      </c>
      <c r="L13" s="11" t="s">
        <v>21</v>
      </c>
      <c r="M13" s="1">
        <v>120000</v>
      </c>
      <c r="N13" s="1">
        <v>60000</v>
      </c>
      <c r="O13" s="1">
        <v>120000</v>
      </c>
      <c r="P13" s="12">
        <v>60000</v>
      </c>
    </row>
    <row r="14" spans="1:16" ht="15.75" x14ac:dyDescent="0.25">
      <c r="A14" s="1">
        <v>6</v>
      </c>
      <c r="B14" s="20" t="s">
        <v>100</v>
      </c>
      <c r="C14" s="21">
        <v>10</v>
      </c>
      <c r="D14" s="14">
        <v>15000</v>
      </c>
      <c r="E14" s="22">
        <f>C14*D14</f>
        <v>150000</v>
      </c>
      <c r="F14" s="19" t="s">
        <v>101</v>
      </c>
      <c r="G14" s="19" t="s">
        <v>75</v>
      </c>
      <c r="H14" s="19" t="s">
        <v>648</v>
      </c>
      <c r="I14" s="11" t="s">
        <v>21</v>
      </c>
      <c r="J14" s="11" t="s">
        <v>21</v>
      </c>
      <c r="K14" s="11" t="s">
        <v>21</v>
      </c>
      <c r="L14" s="11" t="s">
        <v>21</v>
      </c>
      <c r="M14" s="20">
        <v>75000</v>
      </c>
      <c r="N14" s="20">
        <v>75000</v>
      </c>
      <c r="O14" s="20">
        <v>75000</v>
      </c>
      <c r="P14" s="20">
        <v>75000</v>
      </c>
    </row>
    <row r="15" spans="1:16" ht="15.75" x14ac:dyDescent="0.25">
      <c r="A15" s="1">
        <v>7</v>
      </c>
      <c r="B15" s="50" t="s">
        <v>202</v>
      </c>
      <c r="C15" s="95">
        <v>2</v>
      </c>
      <c r="D15" s="51">
        <v>12500</v>
      </c>
      <c r="E15" s="51">
        <v>25000</v>
      </c>
      <c r="F15" s="47" t="s">
        <v>185</v>
      </c>
      <c r="G15" s="19" t="s">
        <v>75</v>
      </c>
      <c r="H15" s="19" t="s">
        <v>648</v>
      </c>
      <c r="I15" s="11" t="s">
        <v>21</v>
      </c>
      <c r="J15" s="11" t="s">
        <v>21</v>
      </c>
      <c r="K15" s="11" t="s">
        <v>21</v>
      </c>
      <c r="L15" s="11" t="s">
        <v>21</v>
      </c>
      <c r="M15" s="33">
        <v>12500</v>
      </c>
      <c r="N15" s="33"/>
      <c r="O15" s="33">
        <v>12500</v>
      </c>
      <c r="P15" s="33"/>
    </row>
    <row r="16" spans="1:16" ht="15.75" x14ac:dyDescent="0.25">
      <c r="A16" s="1">
        <v>8</v>
      </c>
      <c r="B16" s="1" t="s">
        <v>558</v>
      </c>
      <c r="C16" s="1">
        <v>3</v>
      </c>
      <c r="D16" s="1">
        <v>12500</v>
      </c>
      <c r="E16" s="8">
        <v>37500</v>
      </c>
      <c r="F16" s="19" t="s">
        <v>559</v>
      </c>
      <c r="G16" s="68" t="s">
        <v>75</v>
      </c>
      <c r="H16" s="19" t="s">
        <v>648</v>
      </c>
      <c r="I16" s="96" t="s">
        <v>210</v>
      </c>
      <c r="J16" s="96" t="s">
        <v>210</v>
      </c>
      <c r="K16" s="96" t="s">
        <v>210</v>
      </c>
      <c r="L16" s="96" t="s">
        <v>210</v>
      </c>
      <c r="M16" s="1">
        <v>9375</v>
      </c>
      <c r="N16" s="1">
        <v>9375</v>
      </c>
      <c r="O16" s="1">
        <v>9375</v>
      </c>
      <c r="P16" s="1">
        <v>9375</v>
      </c>
    </row>
    <row r="17" spans="1:16" ht="15.75" x14ac:dyDescent="0.25">
      <c r="A17" s="1">
        <v>9</v>
      </c>
      <c r="B17" s="1" t="s">
        <v>580</v>
      </c>
      <c r="C17" s="1">
        <v>3</v>
      </c>
      <c r="D17" s="1">
        <v>9000</v>
      </c>
      <c r="E17" s="1">
        <f>D17*3</f>
        <v>27000</v>
      </c>
      <c r="F17" s="19" t="s">
        <v>569</v>
      </c>
      <c r="G17" s="68" t="s">
        <v>75</v>
      </c>
      <c r="H17" s="19" t="s">
        <v>648</v>
      </c>
      <c r="I17" s="96" t="s">
        <v>210</v>
      </c>
      <c r="J17" s="96" t="s">
        <v>210</v>
      </c>
      <c r="K17" s="96" t="s">
        <v>210</v>
      </c>
      <c r="L17" s="96" t="s">
        <v>210</v>
      </c>
      <c r="M17" s="1">
        <v>9000</v>
      </c>
      <c r="N17" s="1">
        <v>9000</v>
      </c>
      <c r="O17" s="1"/>
      <c r="P17" s="1">
        <v>9000</v>
      </c>
    </row>
    <row r="18" spans="1:16" ht="15.75" x14ac:dyDescent="0.25">
      <c r="A18" s="1">
        <v>10</v>
      </c>
      <c r="B18" s="89" t="s">
        <v>589</v>
      </c>
      <c r="C18" s="89">
        <v>5</v>
      </c>
      <c r="D18" s="52">
        <v>12000</v>
      </c>
      <c r="E18" s="52">
        <f>C18*D18</f>
        <v>60000</v>
      </c>
      <c r="F18" s="19" t="s">
        <v>557</v>
      </c>
      <c r="G18" s="68" t="s">
        <v>75</v>
      </c>
      <c r="H18" s="19" t="s">
        <v>648</v>
      </c>
      <c r="I18" s="96" t="s">
        <v>210</v>
      </c>
      <c r="J18" s="96" t="s">
        <v>210</v>
      </c>
      <c r="K18" s="96" t="s">
        <v>210</v>
      </c>
      <c r="L18" s="96" t="s">
        <v>210</v>
      </c>
      <c r="M18" s="92"/>
      <c r="N18" s="33">
        <v>30000</v>
      </c>
      <c r="O18" s="33">
        <v>30000</v>
      </c>
      <c r="P18" s="33"/>
    </row>
    <row r="19" spans="1:16" x14ac:dyDescent="0.25">
      <c r="A19" s="1">
        <v>11</v>
      </c>
      <c r="B19" s="86" t="s">
        <v>100</v>
      </c>
      <c r="C19" s="86">
        <v>6</v>
      </c>
      <c r="D19" s="86">
        <v>8000</v>
      </c>
      <c r="E19" s="86">
        <v>48000</v>
      </c>
      <c r="F19" s="87" t="s">
        <v>533</v>
      </c>
      <c r="G19" s="19" t="s">
        <v>75</v>
      </c>
      <c r="H19" s="19" t="s">
        <v>648</v>
      </c>
      <c r="I19" s="96" t="s">
        <v>210</v>
      </c>
      <c r="J19" s="96" t="s">
        <v>210</v>
      </c>
      <c r="K19" s="96" t="s">
        <v>210</v>
      </c>
      <c r="L19" s="96" t="s">
        <v>210</v>
      </c>
      <c r="M19" s="32">
        <v>20000</v>
      </c>
      <c r="N19" s="32">
        <v>20000</v>
      </c>
      <c r="O19" s="32">
        <v>20000</v>
      </c>
      <c r="P19" s="34">
        <v>20000</v>
      </c>
    </row>
    <row r="20" spans="1:16" x14ac:dyDescent="0.25">
      <c r="A20" s="1"/>
      <c r="B20" s="43" t="s">
        <v>649</v>
      </c>
      <c r="C20" s="43"/>
      <c r="D20" s="43"/>
      <c r="E20" s="97">
        <f>SUM(E9:E19)</f>
        <v>639000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43" t="s">
        <v>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5.75" x14ac:dyDescent="0.25">
      <c r="A24" s="1">
        <v>1</v>
      </c>
      <c r="B24" s="1" t="s">
        <v>140</v>
      </c>
      <c r="C24" s="1">
        <v>5</v>
      </c>
      <c r="D24" s="1">
        <v>40000</v>
      </c>
      <c r="E24" s="14">
        <f t="shared" ref="E24:E35" si="0">C24*D24</f>
        <v>200000</v>
      </c>
      <c r="F24" s="19" t="s">
        <v>141</v>
      </c>
      <c r="G24" s="19" t="s">
        <v>75</v>
      </c>
      <c r="H24" s="19" t="s">
        <v>648</v>
      </c>
      <c r="I24" s="11" t="s">
        <v>21</v>
      </c>
      <c r="J24" s="11" t="s">
        <v>21</v>
      </c>
      <c r="K24" s="11" t="s">
        <v>21</v>
      </c>
      <c r="L24" s="11" t="s">
        <v>21</v>
      </c>
      <c r="M24" s="1">
        <v>200000</v>
      </c>
      <c r="N24" s="1"/>
      <c r="O24" s="1"/>
      <c r="P24" s="1"/>
    </row>
    <row r="25" spans="1:16" ht="15.75" x14ac:dyDescent="0.25">
      <c r="A25" s="1">
        <v>2</v>
      </c>
      <c r="B25" s="1" t="s">
        <v>142</v>
      </c>
      <c r="C25" s="1">
        <v>1</v>
      </c>
      <c r="D25" s="1">
        <v>10000</v>
      </c>
      <c r="E25" s="1">
        <f t="shared" si="0"/>
        <v>10000</v>
      </c>
      <c r="F25" s="19" t="s">
        <v>141</v>
      </c>
      <c r="G25" s="19" t="s">
        <v>75</v>
      </c>
      <c r="H25" s="19" t="s">
        <v>648</v>
      </c>
      <c r="I25" s="11" t="s">
        <v>21</v>
      </c>
      <c r="J25" s="11" t="s">
        <v>21</v>
      </c>
      <c r="K25" s="11" t="s">
        <v>21</v>
      </c>
      <c r="L25" s="11" t="s">
        <v>21</v>
      </c>
      <c r="M25" s="1">
        <v>10000</v>
      </c>
      <c r="N25" s="1"/>
      <c r="O25" s="1"/>
      <c r="P25" s="1"/>
    </row>
    <row r="26" spans="1:16" ht="15.75" x14ac:dyDescent="0.25">
      <c r="A26" s="1">
        <v>3</v>
      </c>
      <c r="B26" s="1" t="s">
        <v>143</v>
      </c>
      <c r="C26" s="1">
        <v>2</v>
      </c>
      <c r="D26" s="1">
        <v>450</v>
      </c>
      <c r="E26" s="1">
        <f t="shared" si="0"/>
        <v>900</v>
      </c>
      <c r="F26" s="19" t="s">
        <v>141</v>
      </c>
      <c r="G26" s="19" t="s">
        <v>75</v>
      </c>
      <c r="H26" s="19" t="s">
        <v>648</v>
      </c>
      <c r="I26" s="11" t="s">
        <v>21</v>
      </c>
      <c r="J26" s="11" t="s">
        <v>21</v>
      </c>
      <c r="K26" s="11" t="s">
        <v>21</v>
      </c>
      <c r="L26" s="11" t="s">
        <v>21</v>
      </c>
      <c r="M26" s="1">
        <v>900</v>
      </c>
      <c r="N26" s="1"/>
      <c r="O26" s="1"/>
      <c r="P26" s="1"/>
    </row>
    <row r="27" spans="1:16" ht="15.75" x14ac:dyDescent="0.25">
      <c r="A27" s="1">
        <v>4</v>
      </c>
      <c r="B27" s="1" t="s">
        <v>144</v>
      </c>
      <c r="C27" s="1">
        <v>5</v>
      </c>
      <c r="D27" s="1">
        <v>200</v>
      </c>
      <c r="E27" s="1">
        <f t="shared" si="0"/>
        <v>1000</v>
      </c>
      <c r="F27" s="19" t="s">
        <v>141</v>
      </c>
      <c r="G27" s="19" t="s">
        <v>75</v>
      </c>
      <c r="H27" s="19" t="s">
        <v>648</v>
      </c>
      <c r="I27" s="11" t="s">
        <v>21</v>
      </c>
      <c r="J27" s="11" t="s">
        <v>21</v>
      </c>
      <c r="K27" s="11" t="s">
        <v>21</v>
      </c>
      <c r="L27" s="11" t="s">
        <v>21</v>
      </c>
      <c r="M27" s="1">
        <v>400</v>
      </c>
      <c r="N27" s="1"/>
      <c r="O27" s="1"/>
      <c r="P27" s="1"/>
    </row>
    <row r="28" spans="1:16" ht="15.75" x14ac:dyDescent="0.25">
      <c r="A28" s="1">
        <v>5</v>
      </c>
      <c r="B28" s="1" t="s">
        <v>145</v>
      </c>
      <c r="C28" s="1">
        <v>2</v>
      </c>
      <c r="D28" s="1">
        <v>10000</v>
      </c>
      <c r="E28" s="1">
        <f t="shared" si="0"/>
        <v>20000</v>
      </c>
      <c r="F28" s="19" t="s">
        <v>141</v>
      </c>
      <c r="G28" s="19" t="s">
        <v>75</v>
      </c>
      <c r="H28" s="19" t="s">
        <v>648</v>
      </c>
      <c r="I28" s="11" t="s">
        <v>21</v>
      </c>
      <c r="J28" s="11" t="s">
        <v>21</v>
      </c>
      <c r="K28" s="11" t="s">
        <v>21</v>
      </c>
      <c r="L28" s="11" t="s">
        <v>21</v>
      </c>
      <c r="M28" s="1">
        <v>10000</v>
      </c>
      <c r="N28" s="1"/>
      <c r="O28" s="1">
        <v>10000</v>
      </c>
      <c r="P28" s="1"/>
    </row>
    <row r="29" spans="1:16" ht="15.75" x14ac:dyDescent="0.25">
      <c r="A29" s="1">
        <v>6</v>
      </c>
      <c r="B29" s="1" t="s">
        <v>146</v>
      </c>
      <c r="C29" s="1">
        <v>4</v>
      </c>
      <c r="D29" s="1">
        <v>350</v>
      </c>
      <c r="E29" s="1">
        <f t="shared" si="0"/>
        <v>1400</v>
      </c>
      <c r="F29" s="19" t="s">
        <v>141</v>
      </c>
      <c r="G29" s="19" t="s">
        <v>75</v>
      </c>
      <c r="H29" s="19" t="s">
        <v>648</v>
      </c>
      <c r="I29" s="11" t="s">
        <v>21</v>
      </c>
      <c r="J29" s="11" t="s">
        <v>21</v>
      </c>
      <c r="K29" s="11" t="s">
        <v>21</v>
      </c>
      <c r="L29" s="11" t="s">
        <v>21</v>
      </c>
      <c r="M29" s="1">
        <v>1400</v>
      </c>
      <c r="N29" s="1"/>
      <c r="O29" s="1"/>
      <c r="P29" s="1"/>
    </row>
    <row r="30" spans="1:16" ht="15.75" x14ac:dyDescent="0.25">
      <c r="A30" s="1">
        <v>7</v>
      </c>
      <c r="B30" s="1" t="s">
        <v>147</v>
      </c>
      <c r="C30" s="1">
        <v>100</v>
      </c>
      <c r="D30" s="1">
        <v>900</v>
      </c>
      <c r="E30" s="1">
        <f t="shared" si="0"/>
        <v>90000</v>
      </c>
      <c r="F30" s="19" t="s">
        <v>141</v>
      </c>
      <c r="G30" s="19" t="s">
        <v>75</v>
      </c>
      <c r="H30" s="19" t="s">
        <v>648</v>
      </c>
      <c r="I30" s="11" t="s">
        <v>21</v>
      </c>
      <c r="J30" s="11" t="s">
        <v>21</v>
      </c>
      <c r="K30" s="11" t="s">
        <v>21</v>
      </c>
      <c r="L30" s="11" t="s">
        <v>21</v>
      </c>
      <c r="M30" s="1">
        <v>90000</v>
      </c>
      <c r="N30" s="1"/>
      <c r="O30" s="1"/>
      <c r="P30" s="1"/>
    </row>
    <row r="31" spans="1:16" ht="15.75" x14ac:dyDescent="0.25">
      <c r="A31" s="1">
        <v>8</v>
      </c>
      <c r="B31" s="1" t="s">
        <v>148</v>
      </c>
      <c r="C31" s="1">
        <v>5</v>
      </c>
      <c r="D31" s="1">
        <v>850</v>
      </c>
      <c r="E31" s="1">
        <f t="shared" si="0"/>
        <v>4250</v>
      </c>
      <c r="F31" s="19" t="s">
        <v>141</v>
      </c>
      <c r="G31" s="19" t="s">
        <v>75</v>
      </c>
      <c r="H31" s="19" t="s">
        <v>648</v>
      </c>
      <c r="I31" s="11" t="s">
        <v>21</v>
      </c>
      <c r="J31" s="11" t="s">
        <v>21</v>
      </c>
      <c r="K31" s="11" t="s">
        <v>21</v>
      </c>
      <c r="L31" s="11" t="s">
        <v>21</v>
      </c>
      <c r="M31" s="1"/>
      <c r="N31" s="1"/>
      <c r="O31" s="1">
        <v>4250</v>
      </c>
      <c r="P31" s="1"/>
    </row>
    <row r="32" spans="1:16" ht="15.75" x14ac:dyDescent="0.25">
      <c r="A32" s="1">
        <v>9</v>
      </c>
      <c r="B32" s="1" t="s">
        <v>149</v>
      </c>
      <c r="C32" s="1">
        <v>5</v>
      </c>
      <c r="D32" s="1">
        <v>1500</v>
      </c>
      <c r="E32" s="1">
        <f t="shared" si="0"/>
        <v>7500</v>
      </c>
      <c r="F32" s="19" t="s">
        <v>141</v>
      </c>
      <c r="G32" s="19" t="s">
        <v>75</v>
      </c>
      <c r="H32" s="19" t="s">
        <v>648</v>
      </c>
      <c r="I32" s="11" t="s">
        <v>21</v>
      </c>
      <c r="J32" s="11" t="s">
        <v>21</v>
      </c>
      <c r="K32" s="11" t="s">
        <v>21</v>
      </c>
      <c r="L32" s="11" t="s">
        <v>21</v>
      </c>
      <c r="M32" s="1"/>
      <c r="N32" s="1">
        <v>7500</v>
      </c>
      <c r="O32" s="1"/>
      <c r="P32" s="1"/>
    </row>
    <row r="33" spans="1:16" ht="15.75" x14ac:dyDescent="0.25">
      <c r="A33" s="1">
        <v>10</v>
      </c>
      <c r="B33" s="1" t="s">
        <v>150</v>
      </c>
      <c r="C33" s="1">
        <v>2</v>
      </c>
      <c r="D33" s="1">
        <v>6000</v>
      </c>
      <c r="E33" s="1">
        <f t="shared" si="0"/>
        <v>12000</v>
      </c>
      <c r="F33" s="19" t="s">
        <v>141</v>
      </c>
      <c r="G33" s="19" t="s">
        <v>75</v>
      </c>
      <c r="H33" s="19" t="s">
        <v>648</v>
      </c>
      <c r="I33" s="11" t="s">
        <v>21</v>
      </c>
      <c r="J33" s="11" t="s">
        <v>21</v>
      </c>
      <c r="K33" s="11" t="s">
        <v>21</v>
      </c>
      <c r="L33" s="11" t="s">
        <v>21</v>
      </c>
      <c r="M33" s="1">
        <v>12000</v>
      </c>
      <c r="N33" s="1"/>
      <c r="O33" s="1"/>
      <c r="P33" s="1"/>
    </row>
    <row r="34" spans="1:16" ht="15.75" x14ac:dyDescent="0.25">
      <c r="A34" s="1">
        <v>11</v>
      </c>
      <c r="B34" s="1" t="s">
        <v>151</v>
      </c>
      <c r="C34" s="1">
        <v>6</v>
      </c>
      <c r="D34" s="1">
        <v>2000</v>
      </c>
      <c r="E34" s="1">
        <f t="shared" si="0"/>
        <v>12000</v>
      </c>
      <c r="F34" s="19" t="s">
        <v>141</v>
      </c>
      <c r="G34" s="19" t="s">
        <v>75</v>
      </c>
      <c r="H34" s="19" t="s">
        <v>648</v>
      </c>
      <c r="I34" s="11" t="s">
        <v>21</v>
      </c>
      <c r="J34" s="11" t="s">
        <v>21</v>
      </c>
      <c r="K34" s="11" t="s">
        <v>21</v>
      </c>
      <c r="L34" s="11" t="s">
        <v>21</v>
      </c>
      <c r="M34" s="1"/>
      <c r="N34" s="1"/>
      <c r="O34" s="1">
        <v>12000</v>
      </c>
      <c r="P34" s="1"/>
    </row>
    <row r="35" spans="1:16" ht="15.75" x14ac:dyDescent="0.25">
      <c r="A35" s="1">
        <v>12</v>
      </c>
      <c r="B35" s="1" t="s">
        <v>152</v>
      </c>
      <c r="C35" s="1">
        <v>6</v>
      </c>
      <c r="D35" s="1">
        <v>14000</v>
      </c>
      <c r="E35" s="1">
        <f t="shared" si="0"/>
        <v>84000</v>
      </c>
      <c r="F35" s="19" t="s">
        <v>141</v>
      </c>
      <c r="G35" s="19" t="s">
        <v>75</v>
      </c>
      <c r="H35" s="19" t="s">
        <v>648</v>
      </c>
      <c r="I35" s="11" t="s">
        <v>21</v>
      </c>
      <c r="J35" s="11" t="s">
        <v>21</v>
      </c>
      <c r="K35" s="11" t="s">
        <v>21</v>
      </c>
      <c r="L35" s="11" t="s">
        <v>21</v>
      </c>
      <c r="M35" s="1">
        <v>42000</v>
      </c>
      <c r="N35" s="1"/>
      <c r="O35" s="1">
        <v>42000</v>
      </c>
      <c r="P35" s="1"/>
    </row>
    <row r="36" spans="1:16" ht="15.75" x14ac:dyDescent="0.25">
      <c r="A36" s="1">
        <v>13</v>
      </c>
      <c r="B36" s="1" t="s">
        <v>565</v>
      </c>
      <c r="C36" s="1">
        <v>1</v>
      </c>
      <c r="D36" s="1">
        <v>2450</v>
      </c>
      <c r="E36" s="8">
        <v>2450</v>
      </c>
      <c r="F36" s="19" t="s">
        <v>559</v>
      </c>
      <c r="G36" s="68" t="s">
        <v>75</v>
      </c>
      <c r="H36" s="19" t="s">
        <v>648</v>
      </c>
      <c r="I36" s="54" t="s">
        <v>210</v>
      </c>
      <c r="J36" s="54" t="s">
        <v>210</v>
      </c>
      <c r="K36" s="54" t="s">
        <v>210</v>
      </c>
      <c r="L36" s="54" t="s">
        <v>210</v>
      </c>
      <c r="M36" s="1">
        <v>2450</v>
      </c>
      <c r="N36" s="1"/>
      <c r="O36" s="1"/>
      <c r="P36" s="1"/>
    </row>
    <row r="37" spans="1:16" ht="15.75" x14ac:dyDescent="0.25">
      <c r="A37" s="1">
        <v>14</v>
      </c>
      <c r="B37" s="1" t="s">
        <v>566</v>
      </c>
      <c r="C37" s="1">
        <v>1</v>
      </c>
      <c r="D37" s="1">
        <v>15000</v>
      </c>
      <c r="E37" s="8">
        <v>15000</v>
      </c>
      <c r="F37" s="19" t="s">
        <v>559</v>
      </c>
      <c r="G37" s="68" t="s">
        <v>75</v>
      </c>
      <c r="H37" s="19" t="s">
        <v>648</v>
      </c>
      <c r="I37" s="54" t="s">
        <v>210</v>
      </c>
      <c r="J37" s="54" t="s">
        <v>210</v>
      </c>
      <c r="K37" s="54" t="s">
        <v>210</v>
      </c>
      <c r="L37" s="54" t="s">
        <v>210</v>
      </c>
      <c r="M37" s="1">
        <v>15000</v>
      </c>
      <c r="N37" s="1"/>
      <c r="O37" s="1"/>
      <c r="P37" s="1"/>
    </row>
    <row r="38" spans="1:16" ht="15.75" x14ac:dyDescent="0.25">
      <c r="A38" s="1">
        <v>15</v>
      </c>
      <c r="B38" s="89" t="s">
        <v>590</v>
      </c>
      <c r="C38" s="89">
        <v>3</v>
      </c>
      <c r="D38" s="1">
        <v>2400</v>
      </c>
      <c r="E38" s="99">
        <f>C38*D38</f>
        <v>7200</v>
      </c>
      <c r="F38" s="19" t="s">
        <v>557</v>
      </c>
      <c r="G38" s="68" t="s">
        <v>75</v>
      </c>
      <c r="H38" s="19" t="s">
        <v>648</v>
      </c>
      <c r="I38" s="54" t="s">
        <v>210</v>
      </c>
      <c r="J38" s="54" t="s">
        <v>210</v>
      </c>
      <c r="K38" s="54" t="s">
        <v>210</v>
      </c>
      <c r="L38" s="54" t="s">
        <v>210</v>
      </c>
      <c r="M38" s="1">
        <v>7200</v>
      </c>
      <c r="N38" s="1"/>
      <c r="O38" s="1"/>
      <c r="P38" s="1"/>
    </row>
    <row r="39" spans="1:16" ht="15.75" x14ac:dyDescent="0.25">
      <c r="A39" s="1">
        <v>16</v>
      </c>
      <c r="B39" s="1" t="s">
        <v>624</v>
      </c>
      <c r="C39" s="1">
        <v>2</v>
      </c>
      <c r="D39" s="1">
        <v>9500</v>
      </c>
      <c r="E39" s="8">
        <v>19000</v>
      </c>
      <c r="F39" s="19" t="s">
        <v>559</v>
      </c>
      <c r="G39" s="68" t="s">
        <v>75</v>
      </c>
      <c r="H39" s="19" t="s">
        <v>648</v>
      </c>
      <c r="I39" s="54" t="s">
        <v>210</v>
      </c>
      <c r="J39" s="54" t="s">
        <v>210</v>
      </c>
      <c r="K39" s="54" t="s">
        <v>210</v>
      </c>
      <c r="L39" s="54" t="s">
        <v>210</v>
      </c>
      <c r="M39" s="1">
        <v>19000</v>
      </c>
      <c r="N39" s="1"/>
      <c r="O39" s="1"/>
      <c r="P39" s="1"/>
    </row>
    <row r="40" spans="1:16" x14ac:dyDescent="0.25">
      <c r="A40" s="1"/>
      <c r="B40" s="43" t="s">
        <v>649</v>
      </c>
      <c r="C40" s="1"/>
      <c r="D40" s="1"/>
      <c r="E40" s="16">
        <f>SUM(E24:E39)</f>
        <v>486700</v>
      </c>
      <c r="F40" s="43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43" t="s">
        <v>3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>
        <v>1</v>
      </c>
      <c r="B44" s="1"/>
      <c r="C44" s="1"/>
      <c r="D44" s="8"/>
      <c r="E44" s="8"/>
      <c r="F44" s="1"/>
      <c r="G44" s="1"/>
      <c r="H44" s="1"/>
      <c r="I44" s="9"/>
      <c r="J44" s="9"/>
      <c r="K44" s="9"/>
      <c r="L44" s="1"/>
      <c r="M44" s="1"/>
      <c r="N44" s="1"/>
      <c r="O44" s="1"/>
      <c r="P44" s="1"/>
    </row>
    <row r="45" spans="1:16" x14ac:dyDescent="0.25">
      <c r="A45" s="1">
        <v>2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>
        <v>3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43" t="s">
        <v>734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>
        <v>1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25">
      <c r="A51" s="1">
        <v>2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25">
      <c r="A52" s="1">
        <v>3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25">
      <c r="A53" s="43" t="s">
        <v>735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x14ac:dyDescent="0.25">
      <c r="A54" s="110">
        <v>1</v>
      </c>
      <c r="B54" s="53" t="s">
        <v>209</v>
      </c>
      <c r="C54" s="53">
        <v>3</v>
      </c>
      <c r="D54" s="1">
        <v>18000</v>
      </c>
      <c r="E54" s="18">
        <f>C54*D54</f>
        <v>54000</v>
      </c>
      <c r="F54" s="19" t="s">
        <v>661</v>
      </c>
      <c r="G54" s="19" t="s">
        <v>75</v>
      </c>
      <c r="H54" s="19" t="s">
        <v>648</v>
      </c>
      <c r="I54" s="54" t="s">
        <v>210</v>
      </c>
      <c r="J54" s="54" t="s">
        <v>210</v>
      </c>
      <c r="K54" s="54" t="s">
        <v>210</v>
      </c>
      <c r="L54" s="54" t="s">
        <v>210</v>
      </c>
      <c r="M54" s="55">
        <v>5400</v>
      </c>
      <c r="N54" s="56"/>
      <c r="O54" s="55"/>
      <c r="P54" s="57"/>
    </row>
    <row r="55" spans="1:16" ht="15.75" x14ac:dyDescent="0.25">
      <c r="A55" s="1">
        <v>2</v>
      </c>
      <c r="B55" s="53" t="s">
        <v>211</v>
      </c>
      <c r="C55" s="53">
        <v>3</v>
      </c>
      <c r="D55" s="1">
        <v>14500</v>
      </c>
      <c r="E55" s="18">
        <v>43500</v>
      </c>
      <c r="F55" s="19" t="s">
        <v>661</v>
      </c>
      <c r="G55" s="19" t="s">
        <v>75</v>
      </c>
      <c r="H55" s="19" t="s">
        <v>648</v>
      </c>
      <c r="I55" s="54" t="s">
        <v>210</v>
      </c>
      <c r="J55" s="54" t="s">
        <v>210</v>
      </c>
      <c r="K55" s="54" t="s">
        <v>210</v>
      </c>
      <c r="L55" s="54" t="s">
        <v>210</v>
      </c>
      <c r="M55" s="58">
        <v>43500</v>
      </c>
      <c r="N55" s="56"/>
      <c r="O55" s="57"/>
      <c r="P55" s="57"/>
    </row>
    <row r="56" spans="1:16" ht="15.75" x14ac:dyDescent="0.25">
      <c r="A56" s="1">
        <v>3</v>
      </c>
      <c r="B56" s="53" t="s">
        <v>212</v>
      </c>
      <c r="C56" s="53">
        <v>40</v>
      </c>
      <c r="D56" s="1">
        <v>250</v>
      </c>
      <c r="E56" s="18">
        <v>10000</v>
      </c>
      <c r="F56" s="19" t="s">
        <v>661</v>
      </c>
      <c r="G56" s="19" t="s">
        <v>75</v>
      </c>
      <c r="H56" s="19" t="s">
        <v>648</v>
      </c>
      <c r="I56" s="54" t="s">
        <v>210</v>
      </c>
      <c r="J56" s="54" t="s">
        <v>210</v>
      </c>
      <c r="K56" s="54" t="s">
        <v>210</v>
      </c>
      <c r="L56" s="54" t="s">
        <v>210</v>
      </c>
      <c r="M56" s="59">
        <v>5000</v>
      </c>
      <c r="N56" s="59">
        <v>2500</v>
      </c>
      <c r="O56" s="59">
        <v>2500</v>
      </c>
      <c r="P56" s="57"/>
    </row>
    <row r="57" spans="1:16" ht="15.75" x14ac:dyDescent="0.25">
      <c r="A57" s="1">
        <v>4</v>
      </c>
      <c r="B57" s="53" t="s">
        <v>213</v>
      </c>
      <c r="C57" s="53">
        <v>40</v>
      </c>
      <c r="D57" s="1">
        <v>220</v>
      </c>
      <c r="E57" s="18">
        <v>8800</v>
      </c>
      <c r="F57" s="19" t="s">
        <v>661</v>
      </c>
      <c r="G57" s="19" t="s">
        <v>75</v>
      </c>
      <c r="H57" s="19" t="s">
        <v>648</v>
      </c>
      <c r="I57" s="54" t="s">
        <v>210</v>
      </c>
      <c r="J57" s="54" t="s">
        <v>210</v>
      </c>
      <c r="K57" s="54" t="s">
        <v>210</v>
      </c>
      <c r="L57" s="54" t="s">
        <v>210</v>
      </c>
      <c r="M57" s="57">
        <v>4400</v>
      </c>
      <c r="N57" s="57">
        <v>4400</v>
      </c>
      <c r="O57" s="60"/>
      <c r="P57" s="57"/>
    </row>
    <row r="58" spans="1:16" ht="15.75" x14ac:dyDescent="0.25">
      <c r="A58" s="1">
        <v>5</v>
      </c>
      <c r="B58" s="53" t="s">
        <v>214</v>
      </c>
      <c r="C58" s="53">
        <v>10</v>
      </c>
      <c r="D58" s="1">
        <v>200</v>
      </c>
      <c r="E58" s="18">
        <v>2000</v>
      </c>
      <c r="F58" s="19" t="s">
        <v>661</v>
      </c>
      <c r="G58" s="19" t="s">
        <v>75</v>
      </c>
      <c r="H58" s="19" t="s">
        <v>648</v>
      </c>
      <c r="I58" s="54" t="s">
        <v>210</v>
      </c>
      <c r="J58" s="54" t="s">
        <v>210</v>
      </c>
      <c r="K58" s="54" t="s">
        <v>210</v>
      </c>
      <c r="L58" s="54" t="s">
        <v>210</v>
      </c>
      <c r="M58" s="55">
        <v>2000</v>
      </c>
      <c r="N58" s="60"/>
      <c r="O58" s="60"/>
      <c r="P58" s="57"/>
    </row>
    <row r="59" spans="1:16" ht="15.75" x14ac:dyDescent="0.25">
      <c r="A59" s="1">
        <v>6</v>
      </c>
      <c r="B59" s="53" t="s">
        <v>215</v>
      </c>
      <c r="C59" s="53">
        <v>10</v>
      </c>
      <c r="D59" s="1">
        <v>1800</v>
      </c>
      <c r="E59" s="18">
        <v>18000</v>
      </c>
      <c r="F59" s="19" t="s">
        <v>661</v>
      </c>
      <c r="G59" s="19" t="s">
        <v>75</v>
      </c>
      <c r="H59" s="19" t="s">
        <v>648</v>
      </c>
      <c r="I59" s="54" t="s">
        <v>210</v>
      </c>
      <c r="J59" s="54" t="s">
        <v>210</v>
      </c>
      <c r="K59" s="54" t="s">
        <v>210</v>
      </c>
      <c r="L59" s="54" t="s">
        <v>210</v>
      </c>
      <c r="M59" s="55"/>
      <c r="N59" s="55">
        <v>18000</v>
      </c>
      <c r="O59" s="57"/>
      <c r="P59" s="57"/>
    </row>
    <row r="60" spans="1:16" ht="15.75" x14ac:dyDescent="0.25">
      <c r="A60" s="1">
        <v>7</v>
      </c>
      <c r="B60" s="53" t="s">
        <v>216</v>
      </c>
      <c r="C60" s="53">
        <v>10</v>
      </c>
      <c r="D60" s="1">
        <v>1800</v>
      </c>
      <c r="E60" s="18">
        <v>18000</v>
      </c>
      <c r="F60" s="19" t="s">
        <v>661</v>
      </c>
      <c r="G60" s="19" t="s">
        <v>75</v>
      </c>
      <c r="H60" s="19" t="s">
        <v>648</v>
      </c>
      <c r="I60" s="54" t="s">
        <v>210</v>
      </c>
      <c r="J60" s="54" t="s">
        <v>210</v>
      </c>
      <c r="K60" s="54" t="s">
        <v>210</v>
      </c>
      <c r="L60" s="54" t="s">
        <v>210</v>
      </c>
      <c r="M60" s="55">
        <v>18000</v>
      </c>
      <c r="N60" s="60"/>
      <c r="O60" s="60"/>
      <c r="P60" s="57"/>
    </row>
    <row r="61" spans="1:16" ht="15.75" x14ac:dyDescent="0.25">
      <c r="A61" s="1">
        <v>8</v>
      </c>
      <c r="B61" s="53" t="s">
        <v>217</v>
      </c>
      <c r="C61" s="53">
        <v>10</v>
      </c>
      <c r="D61" s="1">
        <v>1800</v>
      </c>
      <c r="E61" s="18">
        <v>18000</v>
      </c>
      <c r="F61" s="19" t="s">
        <v>661</v>
      </c>
      <c r="G61" s="19" t="s">
        <v>75</v>
      </c>
      <c r="H61" s="19" t="s">
        <v>648</v>
      </c>
      <c r="I61" s="54" t="s">
        <v>210</v>
      </c>
      <c r="J61" s="54" t="s">
        <v>210</v>
      </c>
      <c r="K61" s="54" t="s">
        <v>210</v>
      </c>
      <c r="L61" s="54" t="s">
        <v>210</v>
      </c>
      <c r="M61" s="55">
        <v>18000</v>
      </c>
      <c r="N61" s="60"/>
      <c r="O61" s="60"/>
      <c r="P61" s="57"/>
    </row>
    <row r="62" spans="1:16" ht="15.75" x14ac:dyDescent="0.25">
      <c r="A62" s="1">
        <v>9</v>
      </c>
      <c r="B62" s="53" t="s">
        <v>218</v>
      </c>
      <c r="C62" s="53">
        <v>10</v>
      </c>
      <c r="D62" s="1">
        <v>650</v>
      </c>
      <c r="E62" s="18">
        <v>6500</v>
      </c>
      <c r="F62" s="19" t="s">
        <v>661</v>
      </c>
      <c r="G62" s="19" t="s">
        <v>75</v>
      </c>
      <c r="H62" s="19" t="s">
        <v>648</v>
      </c>
      <c r="I62" s="54" t="s">
        <v>210</v>
      </c>
      <c r="J62" s="54" t="s">
        <v>210</v>
      </c>
      <c r="K62" s="54" t="s">
        <v>210</v>
      </c>
      <c r="L62" s="54" t="s">
        <v>210</v>
      </c>
      <c r="M62" s="55">
        <v>6500</v>
      </c>
      <c r="N62" s="60"/>
      <c r="O62" s="60"/>
      <c r="P62" s="57"/>
    </row>
    <row r="63" spans="1:16" ht="15.75" x14ac:dyDescent="0.25">
      <c r="A63" s="1">
        <v>10</v>
      </c>
      <c r="B63" s="53" t="s">
        <v>219</v>
      </c>
      <c r="C63" s="53">
        <v>10</v>
      </c>
      <c r="D63" s="1">
        <v>550</v>
      </c>
      <c r="E63" s="18">
        <v>5500</v>
      </c>
      <c r="F63" s="19" t="s">
        <v>661</v>
      </c>
      <c r="G63" s="19" t="s">
        <v>75</v>
      </c>
      <c r="H63" s="19" t="s">
        <v>648</v>
      </c>
      <c r="I63" s="54" t="s">
        <v>210</v>
      </c>
      <c r="J63" s="54" t="s">
        <v>210</v>
      </c>
      <c r="K63" s="54" t="s">
        <v>210</v>
      </c>
      <c r="L63" s="54" t="s">
        <v>210</v>
      </c>
      <c r="M63" s="57">
        <v>5500</v>
      </c>
      <c r="N63" s="60"/>
      <c r="O63" s="60"/>
      <c r="P63" s="57"/>
    </row>
    <row r="64" spans="1:16" ht="15.75" x14ac:dyDescent="0.25">
      <c r="A64" s="1">
        <v>11</v>
      </c>
      <c r="B64" s="53" t="s">
        <v>220</v>
      </c>
      <c r="C64" s="53">
        <v>25</v>
      </c>
      <c r="D64" s="1">
        <v>450</v>
      </c>
      <c r="E64" s="18">
        <v>11250</v>
      </c>
      <c r="F64" s="19" t="s">
        <v>661</v>
      </c>
      <c r="G64" s="19" t="s">
        <v>75</v>
      </c>
      <c r="H64" s="19" t="s">
        <v>648</v>
      </c>
      <c r="I64" s="54" t="s">
        <v>210</v>
      </c>
      <c r="J64" s="54" t="s">
        <v>210</v>
      </c>
      <c r="K64" s="54" t="s">
        <v>210</v>
      </c>
      <c r="L64" s="54" t="s">
        <v>210</v>
      </c>
      <c r="M64" s="57">
        <v>11250</v>
      </c>
      <c r="N64" s="57"/>
      <c r="O64" s="60"/>
      <c r="P64" s="57"/>
    </row>
    <row r="65" spans="1:16" ht="15.75" x14ac:dyDescent="0.25">
      <c r="A65" s="1">
        <v>12</v>
      </c>
      <c r="B65" s="53" t="s">
        <v>221</v>
      </c>
      <c r="C65" s="53">
        <v>25</v>
      </c>
      <c r="D65" s="1">
        <v>40</v>
      </c>
      <c r="E65" s="18">
        <v>1000</v>
      </c>
      <c r="F65" s="19" t="s">
        <v>661</v>
      </c>
      <c r="G65" s="19" t="s">
        <v>75</v>
      </c>
      <c r="H65" s="19" t="s">
        <v>648</v>
      </c>
      <c r="I65" s="54" t="s">
        <v>210</v>
      </c>
      <c r="J65" s="54" t="s">
        <v>210</v>
      </c>
      <c r="K65" s="54" t="s">
        <v>210</v>
      </c>
      <c r="L65" s="54" t="s">
        <v>210</v>
      </c>
      <c r="M65" s="57">
        <v>1000</v>
      </c>
      <c r="N65" s="57"/>
      <c r="O65" s="57"/>
      <c r="P65" s="57"/>
    </row>
    <row r="66" spans="1:16" ht="15.75" x14ac:dyDescent="0.25">
      <c r="A66" s="1">
        <v>13</v>
      </c>
      <c r="B66" s="53" t="s">
        <v>222</v>
      </c>
      <c r="C66" s="53">
        <v>25</v>
      </c>
      <c r="D66" s="1">
        <v>250</v>
      </c>
      <c r="E66" s="18">
        <v>6250</v>
      </c>
      <c r="F66" s="19" t="s">
        <v>661</v>
      </c>
      <c r="G66" s="19" t="s">
        <v>75</v>
      </c>
      <c r="H66" s="19" t="s">
        <v>648</v>
      </c>
      <c r="I66" s="54" t="s">
        <v>210</v>
      </c>
      <c r="J66" s="54" t="s">
        <v>210</v>
      </c>
      <c r="K66" s="54" t="s">
        <v>210</v>
      </c>
      <c r="L66" s="54" t="s">
        <v>210</v>
      </c>
      <c r="M66" s="57"/>
      <c r="N66" s="57">
        <v>6250</v>
      </c>
      <c r="O66" s="57"/>
      <c r="P66" s="57"/>
    </row>
    <row r="67" spans="1:16" ht="15.75" x14ac:dyDescent="0.25">
      <c r="A67" s="1">
        <v>14</v>
      </c>
      <c r="B67" s="53" t="s">
        <v>223</v>
      </c>
      <c r="C67" s="53">
        <v>25</v>
      </c>
      <c r="D67" s="1">
        <v>250</v>
      </c>
      <c r="E67" s="18">
        <v>6250</v>
      </c>
      <c r="F67" s="19" t="s">
        <v>661</v>
      </c>
      <c r="G67" s="19" t="s">
        <v>75</v>
      </c>
      <c r="H67" s="19" t="s">
        <v>648</v>
      </c>
      <c r="I67" s="54" t="s">
        <v>210</v>
      </c>
      <c r="J67" s="54" t="s">
        <v>210</v>
      </c>
      <c r="K67" s="54" t="s">
        <v>210</v>
      </c>
      <c r="L67" s="54" t="s">
        <v>210</v>
      </c>
      <c r="M67" s="57"/>
      <c r="N67" s="57"/>
      <c r="O67" s="57">
        <v>6250</v>
      </c>
      <c r="P67" s="57"/>
    </row>
    <row r="68" spans="1:16" ht="15.75" x14ac:dyDescent="0.25">
      <c r="A68" s="1">
        <v>15</v>
      </c>
      <c r="B68" s="53" t="s">
        <v>224</v>
      </c>
      <c r="C68" s="53">
        <v>75</v>
      </c>
      <c r="D68" s="1">
        <v>80</v>
      </c>
      <c r="E68" s="18">
        <v>6000</v>
      </c>
      <c r="F68" s="19" t="s">
        <v>661</v>
      </c>
      <c r="G68" s="19" t="s">
        <v>75</v>
      </c>
      <c r="H68" s="19" t="s">
        <v>648</v>
      </c>
      <c r="I68" s="54" t="s">
        <v>210</v>
      </c>
      <c r="J68" s="54" t="s">
        <v>210</v>
      </c>
      <c r="K68" s="54" t="s">
        <v>210</v>
      </c>
      <c r="L68" s="54" t="s">
        <v>210</v>
      </c>
      <c r="M68" s="57"/>
      <c r="N68" s="57"/>
      <c r="O68" s="57">
        <v>6000</v>
      </c>
      <c r="P68" s="57"/>
    </row>
    <row r="69" spans="1:16" ht="15.75" x14ac:dyDescent="0.25">
      <c r="A69" s="1">
        <v>16</v>
      </c>
      <c r="B69" s="53" t="s">
        <v>225</v>
      </c>
      <c r="C69" s="53">
        <v>10</v>
      </c>
      <c r="D69" s="1">
        <v>750</v>
      </c>
      <c r="E69" s="18">
        <v>7500</v>
      </c>
      <c r="F69" s="19" t="s">
        <v>661</v>
      </c>
      <c r="G69" s="19" t="s">
        <v>75</v>
      </c>
      <c r="H69" s="19" t="s">
        <v>648</v>
      </c>
      <c r="I69" s="54" t="s">
        <v>210</v>
      </c>
      <c r="J69" s="54" t="s">
        <v>210</v>
      </c>
      <c r="K69" s="54" t="s">
        <v>210</v>
      </c>
      <c r="L69" s="54" t="s">
        <v>210</v>
      </c>
      <c r="M69" s="61"/>
      <c r="N69" s="62">
        <v>750007</v>
      </c>
      <c r="O69" s="63"/>
      <c r="P69" s="57">
        <v>7500</v>
      </c>
    </row>
    <row r="70" spans="1:16" ht="15.75" x14ac:dyDescent="0.25">
      <c r="A70" s="1">
        <v>16</v>
      </c>
      <c r="B70" s="53" t="s">
        <v>226</v>
      </c>
      <c r="C70" s="53">
        <v>10</v>
      </c>
      <c r="D70" s="1">
        <v>750</v>
      </c>
      <c r="E70" s="18">
        <v>7500</v>
      </c>
      <c r="F70" s="19" t="s">
        <v>661</v>
      </c>
      <c r="G70" s="19" t="s">
        <v>75</v>
      </c>
      <c r="H70" s="19" t="s">
        <v>648</v>
      </c>
      <c r="I70" s="54" t="s">
        <v>210</v>
      </c>
      <c r="J70" s="54" t="s">
        <v>210</v>
      </c>
      <c r="K70" s="54" t="s">
        <v>210</v>
      </c>
      <c r="L70" s="54" t="s">
        <v>210</v>
      </c>
      <c r="M70" s="61"/>
      <c r="N70" s="63"/>
      <c r="O70" s="61"/>
      <c r="P70" s="64">
        <v>7500</v>
      </c>
    </row>
    <row r="71" spans="1:16" ht="15.75" x14ac:dyDescent="0.25">
      <c r="A71" s="1">
        <v>17</v>
      </c>
      <c r="B71" s="53" t="s">
        <v>227</v>
      </c>
      <c r="C71" s="53">
        <v>10</v>
      </c>
      <c r="D71" s="1">
        <v>750</v>
      </c>
      <c r="E71" s="18">
        <v>7500</v>
      </c>
      <c r="F71" s="19" t="s">
        <v>661</v>
      </c>
      <c r="G71" s="19" t="s">
        <v>75</v>
      </c>
      <c r="H71" s="19" t="s">
        <v>648</v>
      </c>
      <c r="I71" s="54" t="s">
        <v>210</v>
      </c>
      <c r="J71" s="54" t="s">
        <v>210</v>
      </c>
      <c r="K71" s="54" t="s">
        <v>210</v>
      </c>
      <c r="L71" s="54" t="s">
        <v>210</v>
      </c>
      <c r="M71" s="30"/>
      <c r="N71" s="30"/>
      <c r="O71" s="30"/>
      <c r="P71" s="30">
        <v>7500</v>
      </c>
    </row>
    <row r="72" spans="1:16" ht="31.5" x14ac:dyDescent="0.25">
      <c r="A72" s="1">
        <v>18</v>
      </c>
      <c r="B72" s="53" t="s">
        <v>228</v>
      </c>
      <c r="C72" s="53">
        <v>30</v>
      </c>
      <c r="D72" s="1">
        <v>550</v>
      </c>
      <c r="E72" s="18">
        <v>16500</v>
      </c>
      <c r="F72" s="19" t="s">
        <v>661</v>
      </c>
      <c r="G72" s="19" t="s">
        <v>75</v>
      </c>
      <c r="H72" s="19" t="s">
        <v>648</v>
      </c>
      <c r="I72" s="54" t="s">
        <v>210</v>
      </c>
      <c r="J72" s="54" t="s">
        <v>210</v>
      </c>
      <c r="K72" s="54" t="s">
        <v>210</v>
      </c>
      <c r="L72" s="54" t="s">
        <v>210</v>
      </c>
      <c r="M72" s="30"/>
      <c r="N72" s="30">
        <v>16500</v>
      </c>
      <c r="O72" s="30"/>
      <c r="P72" s="30"/>
    </row>
    <row r="73" spans="1:16" ht="15.75" x14ac:dyDescent="0.25">
      <c r="A73" s="1">
        <v>19</v>
      </c>
      <c r="B73" s="53" t="s">
        <v>229</v>
      </c>
      <c r="C73" s="53">
        <v>30</v>
      </c>
      <c r="D73" s="1">
        <v>550</v>
      </c>
      <c r="E73" s="18">
        <v>16500</v>
      </c>
      <c r="F73" s="19" t="s">
        <v>661</v>
      </c>
      <c r="G73" s="19" t="s">
        <v>75</v>
      </c>
      <c r="H73" s="19" t="s">
        <v>648</v>
      </c>
      <c r="I73" s="54" t="s">
        <v>210</v>
      </c>
      <c r="J73" s="54" t="s">
        <v>210</v>
      </c>
      <c r="K73" s="54" t="s">
        <v>210</v>
      </c>
      <c r="L73" s="54" t="s">
        <v>210</v>
      </c>
      <c r="M73" s="30"/>
      <c r="N73" s="30">
        <v>16500</v>
      </c>
      <c r="O73" s="30"/>
      <c r="P73" s="30"/>
    </row>
    <row r="74" spans="1:16" ht="15.75" x14ac:dyDescent="0.25">
      <c r="A74" s="1">
        <v>20</v>
      </c>
      <c r="B74" s="53" t="s">
        <v>230</v>
      </c>
      <c r="C74" s="53">
        <v>10</v>
      </c>
      <c r="D74" s="1">
        <v>220</v>
      </c>
      <c r="E74" s="18">
        <v>2200</v>
      </c>
      <c r="F74" s="19" t="s">
        <v>661</v>
      </c>
      <c r="G74" s="19" t="s">
        <v>75</v>
      </c>
      <c r="H74" s="19" t="s">
        <v>648</v>
      </c>
      <c r="I74" s="54" t="s">
        <v>210</v>
      </c>
      <c r="J74" s="54" t="s">
        <v>210</v>
      </c>
      <c r="K74" s="54" t="s">
        <v>210</v>
      </c>
      <c r="L74" s="54" t="s">
        <v>210</v>
      </c>
      <c r="M74" s="30"/>
      <c r="N74" s="30">
        <v>2200</v>
      </c>
      <c r="O74" s="30"/>
      <c r="P74" s="30"/>
    </row>
    <row r="75" spans="1:16" ht="15.75" x14ac:dyDescent="0.25">
      <c r="A75" s="1">
        <v>21</v>
      </c>
      <c r="B75" s="53" t="s">
        <v>231</v>
      </c>
      <c r="C75" s="53">
        <v>10</v>
      </c>
      <c r="D75" s="1">
        <v>220</v>
      </c>
      <c r="E75" s="18">
        <v>2200</v>
      </c>
      <c r="F75" s="19" t="s">
        <v>661</v>
      </c>
      <c r="G75" s="19" t="s">
        <v>75</v>
      </c>
      <c r="H75" s="19" t="s">
        <v>648</v>
      </c>
      <c r="I75" s="54" t="s">
        <v>210</v>
      </c>
      <c r="J75" s="54" t="s">
        <v>210</v>
      </c>
      <c r="K75" s="54" t="s">
        <v>210</v>
      </c>
      <c r="L75" s="54" t="s">
        <v>210</v>
      </c>
      <c r="M75" s="30"/>
      <c r="N75" s="30">
        <v>2200</v>
      </c>
      <c r="O75" s="30"/>
      <c r="P75" s="30"/>
    </row>
    <row r="76" spans="1:16" ht="15.75" x14ac:dyDescent="0.25">
      <c r="A76" s="1">
        <v>22</v>
      </c>
      <c r="B76" s="53" t="s">
        <v>232</v>
      </c>
      <c r="C76" s="53">
        <v>20</v>
      </c>
      <c r="D76" s="1">
        <v>950</v>
      </c>
      <c r="E76" s="18">
        <v>19000</v>
      </c>
      <c r="F76" s="19" t="s">
        <v>661</v>
      </c>
      <c r="G76" s="19" t="s">
        <v>75</v>
      </c>
      <c r="H76" s="19" t="s">
        <v>648</v>
      </c>
      <c r="I76" s="54" t="s">
        <v>210</v>
      </c>
      <c r="J76" s="54" t="s">
        <v>210</v>
      </c>
      <c r="K76" s="54" t="s">
        <v>210</v>
      </c>
      <c r="L76" s="54" t="s">
        <v>210</v>
      </c>
      <c r="M76" s="30"/>
      <c r="N76" s="30">
        <v>19000</v>
      </c>
      <c r="O76" s="30"/>
      <c r="P76" s="30"/>
    </row>
    <row r="77" spans="1:16" ht="15.75" x14ac:dyDescent="0.25">
      <c r="A77" s="1">
        <v>23</v>
      </c>
      <c r="B77" s="53" t="s">
        <v>233</v>
      </c>
      <c r="C77" s="53">
        <v>50</v>
      </c>
      <c r="D77" s="1">
        <v>120</v>
      </c>
      <c r="E77" s="18">
        <v>6000</v>
      </c>
      <c r="F77" s="19" t="s">
        <v>661</v>
      </c>
      <c r="G77" s="19" t="s">
        <v>75</v>
      </c>
      <c r="H77" s="19" t="s">
        <v>648</v>
      </c>
      <c r="I77" s="54" t="s">
        <v>210</v>
      </c>
      <c r="J77" s="54" t="s">
        <v>210</v>
      </c>
      <c r="K77" s="54" t="s">
        <v>210</v>
      </c>
      <c r="L77" s="54" t="s">
        <v>210</v>
      </c>
      <c r="M77" s="30"/>
      <c r="N77" s="30">
        <v>6000</v>
      </c>
      <c r="O77" s="30"/>
      <c r="P77" s="30"/>
    </row>
    <row r="78" spans="1:16" ht="15.75" x14ac:dyDescent="0.25">
      <c r="A78" s="1">
        <v>24</v>
      </c>
      <c r="B78" s="53" t="s">
        <v>234</v>
      </c>
      <c r="C78" s="53">
        <v>10</v>
      </c>
      <c r="D78" s="1">
        <v>6000</v>
      </c>
      <c r="E78" s="18">
        <v>60000</v>
      </c>
      <c r="F78" s="19" t="s">
        <v>661</v>
      </c>
      <c r="G78" s="19" t="s">
        <v>75</v>
      </c>
      <c r="H78" s="19" t="s">
        <v>648</v>
      </c>
      <c r="I78" s="54" t="s">
        <v>210</v>
      </c>
      <c r="J78" s="54" t="s">
        <v>210</v>
      </c>
      <c r="K78" s="54" t="s">
        <v>210</v>
      </c>
      <c r="L78" s="54" t="s">
        <v>210</v>
      </c>
      <c r="M78" s="30"/>
      <c r="N78" s="30">
        <v>30000</v>
      </c>
      <c r="O78" s="30">
        <v>30000</v>
      </c>
      <c r="P78" s="30"/>
    </row>
    <row r="79" spans="1:16" ht="15.75" x14ac:dyDescent="0.25">
      <c r="A79" s="1">
        <v>25</v>
      </c>
      <c r="B79" s="53" t="s">
        <v>235</v>
      </c>
      <c r="C79" s="53">
        <v>10</v>
      </c>
      <c r="D79" s="1">
        <v>5000</v>
      </c>
      <c r="E79" s="18">
        <v>50000</v>
      </c>
      <c r="F79" s="19" t="s">
        <v>661</v>
      </c>
      <c r="G79" s="19" t="s">
        <v>75</v>
      </c>
      <c r="H79" s="19" t="s">
        <v>648</v>
      </c>
      <c r="I79" s="54" t="s">
        <v>210</v>
      </c>
      <c r="J79" s="54" t="s">
        <v>210</v>
      </c>
      <c r="K79" s="54" t="s">
        <v>210</v>
      </c>
      <c r="L79" s="54" t="s">
        <v>210</v>
      </c>
      <c r="M79" s="30"/>
      <c r="N79" s="30">
        <v>25000</v>
      </c>
      <c r="O79" s="30">
        <v>25000</v>
      </c>
      <c r="P79" s="30"/>
    </row>
    <row r="80" spans="1:16" ht="15.75" x14ac:dyDescent="0.25">
      <c r="A80" s="1">
        <v>26</v>
      </c>
      <c r="B80" s="53" t="s">
        <v>236</v>
      </c>
      <c r="C80" s="53">
        <v>10</v>
      </c>
      <c r="D80" s="1">
        <v>3500</v>
      </c>
      <c r="E80" s="18">
        <v>35000</v>
      </c>
      <c r="F80" s="19" t="s">
        <v>661</v>
      </c>
      <c r="G80" s="19" t="s">
        <v>75</v>
      </c>
      <c r="H80" s="19" t="s">
        <v>648</v>
      </c>
      <c r="I80" s="54" t="s">
        <v>210</v>
      </c>
      <c r="J80" s="54" t="s">
        <v>210</v>
      </c>
      <c r="K80" s="54" t="s">
        <v>210</v>
      </c>
      <c r="L80" s="54" t="s">
        <v>210</v>
      </c>
      <c r="M80" s="30"/>
      <c r="N80" s="30">
        <v>17500</v>
      </c>
      <c r="O80" s="30">
        <v>17500</v>
      </c>
      <c r="P80" s="30"/>
    </row>
    <row r="81" spans="1:16" ht="15.75" x14ac:dyDescent="0.25">
      <c r="A81" s="1">
        <v>27</v>
      </c>
      <c r="B81" s="53" t="s">
        <v>237</v>
      </c>
      <c r="C81" s="53">
        <v>10</v>
      </c>
      <c r="D81" s="1">
        <v>150</v>
      </c>
      <c r="E81" s="18">
        <v>1500</v>
      </c>
      <c r="F81" s="19" t="s">
        <v>661</v>
      </c>
      <c r="G81" s="19" t="s">
        <v>75</v>
      </c>
      <c r="H81" s="19" t="s">
        <v>648</v>
      </c>
      <c r="I81" s="54" t="s">
        <v>210</v>
      </c>
      <c r="J81" s="54" t="s">
        <v>210</v>
      </c>
      <c r="K81" s="54" t="s">
        <v>210</v>
      </c>
      <c r="L81" s="54" t="s">
        <v>210</v>
      </c>
      <c r="M81" s="30">
        <v>1500</v>
      </c>
      <c r="N81" s="30"/>
      <c r="O81" s="30"/>
      <c r="P81" s="30"/>
    </row>
    <row r="82" spans="1:16" ht="15.75" x14ac:dyDescent="0.25">
      <c r="A82" s="1">
        <v>28</v>
      </c>
      <c r="B82" s="89" t="s">
        <v>610</v>
      </c>
      <c r="C82" s="89">
        <v>3</v>
      </c>
      <c r="D82" s="1">
        <v>2500</v>
      </c>
      <c r="E82" s="18">
        <f>C82*D82</f>
        <v>7500</v>
      </c>
      <c r="F82" s="19" t="s">
        <v>557</v>
      </c>
      <c r="G82" s="68" t="s">
        <v>75</v>
      </c>
      <c r="H82" s="19" t="s">
        <v>648</v>
      </c>
      <c r="I82" s="54" t="s">
        <v>210</v>
      </c>
      <c r="J82" s="54" t="s">
        <v>210</v>
      </c>
      <c r="K82" s="54" t="s">
        <v>210</v>
      </c>
      <c r="L82" s="54" t="s">
        <v>210</v>
      </c>
      <c r="M82" s="1">
        <v>7500</v>
      </c>
      <c r="N82" s="1"/>
      <c r="O82" s="1"/>
      <c r="P82" s="12"/>
    </row>
    <row r="83" spans="1:16" x14ac:dyDescent="0.25">
      <c r="A83" s="1"/>
      <c r="B83" s="43" t="s">
        <v>649</v>
      </c>
      <c r="C83" s="1"/>
      <c r="D83" s="1"/>
      <c r="E83" s="97">
        <f>SUM(E54:E82)</f>
        <v>453950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x14ac:dyDescent="0.25">
      <c r="A86" s="43">
        <v>7</v>
      </c>
      <c r="B86" s="43" t="s">
        <v>662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x14ac:dyDescent="0.25">
      <c r="A87" s="1">
        <v>1</v>
      </c>
      <c r="B87" s="15" t="s">
        <v>82</v>
      </c>
      <c r="C87" s="1">
        <v>1</v>
      </c>
      <c r="D87" s="1">
        <v>20000</v>
      </c>
      <c r="E87" s="17">
        <f t="shared" ref="E87:E93" si="1">C87*D87</f>
        <v>20000</v>
      </c>
      <c r="F87" s="13" t="s">
        <v>74</v>
      </c>
      <c r="G87" s="11" t="s">
        <v>75</v>
      </c>
      <c r="H87" s="19" t="s">
        <v>648</v>
      </c>
      <c r="I87" s="11" t="s">
        <v>21</v>
      </c>
      <c r="J87" s="11" t="s">
        <v>21</v>
      </c>
      <c r="K87" s="11" t="s">
        <v>21</v>
      </c>
      <c r="L87" s="11" t="s">
        <v>21</v>
      </c>
      <c r="M87" s="12">
        <v>20000</v>
      </c>
      <c r="N87" s="12"/>
      <c r="O87" s="12"/>
      <c r="P87" s="12"/>
    </row>
    <row r="88" spans="1:16" ht="15.75" x14ac:dyDescent="0.25">
      <c r="A88" s="1">
        <v>2</v>
      </c>
      <c r="B88" s="15" t="s">
        <v>83</v>
      </c>
      <c r="C88" s="1">
        <v>4</v>
      </c>
      <c r="D88" s="1">
        <v>13500</v>
      </c>
      <c r="E88" s="17">
        <f t="shared" si="1"/>
        <v>54000</v>
      </c>
      <c r="F88" s="13" t="s">
        <v>74</v>
      </c>
      <c r="G88" s="11" t="s">
        <v>75</v>
      </c>
      <c r="H88" s="19" t="s">
        <v>648</v>
      </c>
      <c r="I88" s="11" t="s">
        <v>21</v>
      </c>
      <c r="J88" s="11" t="s">
        <v>21</v>
      </c>
      <c r="K88" s="11" t="s">
        <v>21</v>
      </c>
      <c r="L88" s="11" t="s">
        <v>21</v>
      </c>
      <c r="M88" s="12">
        <v>54000</v>
      </c>
      <c r="N88" s="12"/>
      <c r="O88" s="12"/>
      <c r="P88" s="12"/>
    </row>
    <row r="89" spans="1:16" ht="15.75" x14ac:dyDescent="0.25">
      <c r="A89" s="1">
        <v>3</v>
      </c>
      <c r="B89" s="1" t="s">
        <v>84</v>
      </c>
      <c r="C89" s="1">
        <v>4</v>
      </c>
      <c r="D89" s="18">
        <v>40000</v>
      </c>
      <c r="E89" s="17">
        <f t="shared" si="1"/>
        <v>160000</v>
      </c>
      <c r="F89" s="19" t="s">
        <v>85</v>
      </c>
      <c r="G89" s="19" t="s">
        <v>75</v>
      </c>
      <c r="H89" s="19" t="s">
        <v>648</v>
      </c>
      <c r="I89" s="11" t="s">
        <v>21</v>
      </c>
      <c r="J89" s="11" t="s">
        <v>21</v>
      </c>
      <c r="K89" s="11" t="s">
        <v>21</v>
      </c>
      <c r="L89" s="11" t="s">
        <v>21</v>
      </c>
      <c r="M89" s="9">
        <v>20000</v>
      </c>
      <c r="N89" s="9">
        <v>20000</v>
      </c>
      <c r="O89" s="1"/>
      <c r="P89" s="1"/>
    </row>
    <row r="90" spans="1:16" ht="15.75" x14ac:dyDescent="0.25">
      <c r="A90" s="1">
        <v>4</v>
      </c>
      <c r="B90" s="1" t="s">
        <v>137</v>
      </c>
      <c r="C90" s="1">
        <v>2</v>
      </c>
      <c r="D90" s="1">
        <v>45000</v>
      </c>
      <c r="E90" s="1">
        <f t="shared" si="1"/>
        <v>90000</v>
      </c>
      <c r="F90" s="19" t="s">
        <v>132</v>
      </c>
      <c r="G90" s="19" t="s">
        <v>75</v>
      </c>
      <c r="H90" s="19" t="s">
        <v>648</v>
      </c>
      <c r="I90" s="11" t="s">
        <v>21</v>
      </c>
      <c r="J90" s="11" t="s">
        <v>21</v>
      </c>
      <c r="K90" s="11" t="s">
        <v>21</v>
      </c>
      <c r="L90" s="11" t="s">
        <v>21</v>
      </c>
      <c r="M90" s="1">
        <v>90000</v>
      </c>
      <c r="N90" s="1"/>
      <c r="O90" s="1"/>
      <c r="P90" s="1"/>
    </row>
    <row r="91" spans="1:16" ht="15.75" x14ac:dyDescent="0.25">
      <c r="A91" s="1">
        <v>5</v>
      </c>
      <c r="B91" s="1" t="s">
        <v>138</v>
      </c>
      <c r="C91" s="1">
        <v>2</v>
      </c>
      <c r="D91" s="1">
        <v>25000</v>
      </c>
      <c r="E91" s="1">
        <f t="shared" si="1"/>
        <v>50000</v>
      </c>
      <c r="F91" s="19" t="s">
        <v>132</v>
      </c>
      <c r="G91" s="19" t="s">
        <v>75</v>
      </c>
      <c r="H91" s="19" t="s">
        <v>648</v>
      </c>
      <c r="I91" s="11" t="s">
        <v>21</v>
      </c>
      <c r="J91" s="11" t="s">
        <v>21</v>
      </c>
      <c r="K91" s="11" t="s">
        <v>21</v>
      </c>
      <c r="L91" s="11" t="s">
        <v>21</v>
      </c>
      <c r="M91" s="1">
        <v>50000</v>
      </c>
      <c r="N91" s="1"/>
      <c r="O91" s="1"/>
      <c r="P91" s="1"/>
    </row>
    <row r="92" spans="1:16" ht="15.75" x14ac:dyDescent="0.25">
      <c r="A92" s="1">
        <v>6</v>
      </c>
      <c r="B92" s="1" t="s">
        <v>139</v>
      </c>
      <c r="C92" s="1">
        <v>4</v>
      </c>
      <c r="D92" s="1">
        <v>15000</v>
      </c>
      <c r="E92" s="1">
        <f t="shared" si="1"/>
        <v>60000</v>
      </c>
      <c r="F92" s="19" t="s">
        <v>132</v>
      </c>
      <c r="G92" s="19" t="s">
        <v>75</v>
      </c>
      <c r="H92" s="19" t="s">
        <v>648</v>
      </c>
      <c r="I92" s="11" t="s">
        <v>21</v>
      </c>
      <c r="J92" s="11" t="s">
        <v>21</v>
      </c>
      <c r="K92" s="11" t="s">
        <v>21</v>
      </c>
      <c r="L92" s="11" t="s">
        <v>21</v>
      </c>
      <c r="M92" s="1">
        <v>60000</v>
      </c>
      <c r="N92" s="1"/>
      <c r="O92" s="1"/>
      <c r="P92" s="1"/>
    </row>
    <row r="93" spans="1:16" ht="15.75" x14ac:dyDescent="0.25">
      <c r="A93" s="1">
        <v>7</v>
      </c>
      <c r="B93" s="77" t="s">
        <v>541</v>
      </c>
      <c r="C93" s="45">
        <v>1</v>
      </c>
      <c r="D93" s="46">
        <v>28450</v>
      </c>
      <c r="E93" s="46">
        <f t="shared" si="1"/>
        <v>28450</v>
      </c>
      <c r="F93" s="47" t="s">
        <v>156</v>
      </c>
      <c r="G93" s="19" t="s">
        <v>75</v>
      </c>
      <c r="H93" s="19" t="s">
        <v>648</v>
      </c>
      <c r="I93" s="11" t="s">
        <v>21</v>
      </c>
      <c r="J93" s="11" t="s">
        <v>21</v>
      </c>
      <c r="K93" s="11" t="s">
        <v>21</v>
      </c>
      <c r="L93" s="11" t="s">
        <v>21</v>
      </c>
      <c r="M93" s="32"/>
      <c r="N93" s="32">
        <v>28450</v>
      </c>
      <c r="O93" s="32"/>
      <c r="P93" s="34"/>
    </row>
    <row r="94" spans="1:16" ht="15.75" x14ac:dyDescent="0.25">
      <c r="A94" s="1">
        <v>8</v>
      </c>
      <c r="B94" s="1" t="s">
        <v>560</v>
      </c>
      <c r="C94" s="1">
        <v>1</v>
      </c>
      <c r="D94" s="1">
        <v>40000</v>
      </c>
      <c r="E94" s="1">
        <v>40000</v>
      </c>
      <c r="F94" s="19" t="s">
        <v>559</v>
      </c>
      <c r="G94" s="68" t="s">
        <v>75</v>
      </c>
      <c r="H94" s="19" t="s">
        <v>648</v>
      </c>
      <c r="I94" s="54" t="s">
        <v>210</v>
      </c>
      <c r="J94" s="54" t="s">
        <v>210</v>
      </c>
      <c r="K94" s="54" t="s">
        <v>210</v>
      </c>
      <c r="L94" s="54" t="s">
        <v>210</v>
      </c>
      <c r="M94" s="1">
        <v>40000</v>
      </c>
      <c r="N94" s="1"/>
      <c r="O94" s="1"/>
      <c r="P94" s="1"/>
    </row>
    <row r="95" spans="1:16" ht="15.75" x14ac:dyDescent="0.25">
      <c r="A95" s="1">
        <v>9</v>
      </c>
      <c r="B95" s="1" t="s">
        <v>561</v>
      </c>
      <c r="C95" s="1">
        <v>1</v>
      </c>
      <c r="D95" s="1">
        <v>20000</v>
      </c>
      <c r="E95" s="1">
        <v>20000</v>
      </c>
      <c r="F95" s="19" t="s">
        <v>559</v>
      </c>
      <c r="G95" s="68" t="s">
        <v>75</v>
      </c>
      <c r="H95" s="19" t="s">
        <v>648</v>
      </c>
      <c r="I95" s="54" t="s">
        <v>210</v>
      </c>
      <c r="J95" s="54" t="s">
        <v>210</v>
      </c>
      <c r="K95" s="54" t="s">
        <v>210</v>
      </c>
      <c r="L95" s="54" t="s">
        <v>210</v>
      </c>
      <c r="M95" s="1"/>
      <c r="N95" s="1">
        <v>20000</v>
      </c>
      <c r="O95" s="1"/>
      <c r="P95" s="1"/>
    </row>
    <row r="96" spans="1:16" ht="15.75" x14ac:dyDescent="0.25">
      <c r="A96" s="1">
        <v>10</v>
      </c>
      <c r="B96" s="1" t="s">
        <v>562</v>
      </c>
      <c r="C96" s="1">
        <v>3</v>
      </c>
      <c r="D96" s="1">
        <v>28000</v>
      </c>
      <c r="E96" s="1">
        <v>84000</v>
      </c>
      <c r="F96" s="19" t="s">
        <v>559</v>
      </c>
      <c r="G96" s="68" t="s">
        <v>75</v>
      </c>
      <c r="H96" s="19" t="s">
        <v>648</v>
      </c>
      <c r="I96" s="54" t="s">
        <v>210</v>
      </c>
      <c r="J96" s="54" t="s">
        <v>210</v>
      </c>
      <c r="K96" s="54" t="s">
        <v>210</v>
      </c>
      <c r="L96" s="54" t="s">
        <v>210</v>
      </c>
      <c r="M96" s="1">
        <v>28000</v>
      </c>
      <c r="N96" s="1">
        <v>28000</v>
      </c>
      <c r="O96" s="1">
        <v>28000</v>
      </c>
      <c r="P96" s="1">
        <v>28000</v>
      </c>
    </row>
    <row r="97" spans="1:16" ht="15.75" x14ac:dyDescent="0.25">
      <c r="A97" s="1">
        <v>11</v>
      </c>
      <c r="B97" s="1" t="s">
        <v>563</v>
      </c>
      <c r="C97" s="1">
        <v>1</v>
      </c>
      <c r="D97" s="1">
        <v>20000</v>
      </c>
      <c r="E97" s="1">
        <v>20000</v>
      </c>
      <c r="F97" s="19" t="s">
        <v>559</v>
      </c>
      <c r="G97" s="68" t="s">
        <v>75</v>
      </c>
      <c r="H97" s="19" t="s">
        <v>648</v>
      </c>
      <c r="I97" s="54" t="s">
        <v>210</v>
      </c>
      <c r="J97" s="54" t="s">
        <v>210</v>
      </c>
      <c r="K97" s="54" t="s">
        <v>210</v>
      </c>
      <c r="L97" s="54" t="s">
        <v>210</v>
      </c>
      <c r="M97" s="1"/>
      <c r="N97" s="1"/>
      <c r="O97" s="1">
        <v>20000</v>
      </c>
      <c r="P97" s="1"/>
    </row>
    <row r="98" spans="1:16" ht="15.75" x14ac:dyDescent="0.25">
      <c r="A98" s="1">
        <v>12</v>
      </c>
      <c r="B98" s="1" t="s">
        <v>564</v>
      </c>
      <c r="C98" s="1">
        <v>2</v>
      </c>
      <c r="D98" s="1">
        <v>15000</v>
      </c>
      <c r="E98" s="1">
        <v>30000</v>
      </c>
      <c r="F98" s="19" t="s">
        <v>559</v>
      </c>
      <c r="G98" s="68" t="s">
        <v>75</v>
      </c>
      <c r="H98" s="19" t="s">
        <v>648</v>
      </c>
      <c r="I98" s="54" t="s">
        <v>210</v>
      </c>
      <c r="J98" s="54" t="s">
        <v>210</v>
      </c>
      <c r="K98" s="54" t="s">
        <v>210</v>
      </c>
      <c r="L98" s="54" t="s">
        <v>210</v>
      </c>
      <c r="M98" s="1">
        <v>30000</v>
      </c>
      <c r="N98" s="1"/>
      <c r="O98" s="1"/>
      <c r="P98" s="1"/>
    </row>
    <row r="99" spans="1:16" ht="15.75" x14ac:dyDescent="0.25">
      <c r="A99" s="1">
        <v>13</v>
      </c>
      <c r="B99" s="1" t="s">
        <v>567</v>
      </c>
      <c r="C99" s="1">
        <v>2</v>
      </c>
      <c r="D99" s="1">
        <v>38000</v>
      </c>
      <c r="E99" s="8">
        <v>76000</v>
      </c>
      <c r="F99" s="19" t="s">
        <v>559</v>
      </c>
      <c r="G99" s="68" t="s">
        <v>75</v>
      </c>
      <c r="H99" s="19" t="s">
        <v>648</v>
      </c>
      <c r="I99" s="54" t="s">
        <v>210</v>
      </c>
      <c r="J99" s="54" t="s">
        <v>210</v>
      </c>
      <c r="K99" s="54" t="s">
        <v>210</v>
      </c>
      <c r="L99" s="54" t="s">
        <v>210</v>
      </c>
      <c r="M99" s="1">
        <v>38000</v>
      </c>
      <c r="N99" s="1">
        <v>38000</v>
      </c>
      <c r="O99" s="1"/>
      <c r="P99" s="1"/>
    </row>
    <row r="100" spans="1:16" ht="15.75" x14ac:dyDescent="0.25">
      <c r="A100" s="1">
        <v>14</v>
      </c>
      <c r="B100" s="1" t="s">
        <v>568</v>
      </c>
      <c r="C100" s="1">
        <v>10</v>
      </c>
      <c r="D100" s="1">
        <v>10000</v>
      </c>
      <c r="E100" s="1">
        <f>D100*C100</f>
        <v>100000</v>
      </c>
      <c r="F100" s="19" t="s">
        <v>569</v>
      </c>
      <c r="G100" s="68" t="s">
        <v>75</v>
      </c>
      <c r="H100" s="19" t="s">
        <v>648</v>
      </c>
      <c r="I100" s="54" t="s">
        <v>210</v>
      </c>
      <c r="J100" s="54" t="s">
        <v>210</v>
      </c>
      <c r="K100" s="54" t="s">
        <v>210</v>
      </c>
      <c r="L100" s="54" t="s">
        <v>210</v>
      </c>
      <c r="M100" s="1">
        <v>50000</v>
      </c>
      <c r="N100" s="1">
        <v>50000</v>
      </c>
      <c r="O100" s="1"/>
      <c r="P100" s="1"/>
    </row>
    <row r="101" spans="1:16" ht="15.75" x14ac:dyDescent="0.25">
      <c r="A101" s="1">
        <v>15</v>
      </c>
      <c r="B101" s="1" t="s">
        <v>570</v>
      </c>
      <c r="C101" s="1">
        <v>2</v>
      </c>
      <c r="D101" s="1">
        <v>30000</v>
      </c>
      <c r="E101" s="1">
        <f>D101*2</f>
        <v>60000</v>
      </c>
      <c r="F101" s="19" t="s">
        <v>569</v>
      </c>
      <c r="G101" s="68" t="s">
        <v>75</v>
      </c>
      <c r="H101" s="19" t="s">
        <v>648</v>
      </c>
      <c r="I101" s="54" t="s">
        <v>210</v>
      </c>
      <c r="J101" s="54" t="s">
        <v>210</v>
      </c>
      <c r="K101" s="54" t="s">
        <v>210</v>
      </c>
      <c r="L101" s="54" t="s">
        <v>210</v>
      </c>
      <c r="M101" s="1">
        <v>2</v>
      </c>
      <c r="N101" s="1"/>
      <c r="O101" s="1"/>
      <c r="P101" s="1"/>
    </row>
    <row r="102" spans="1:16" ht="15.75" x14ac:dyDescent="0.25">
      <c r="A102" s="1">
        <v>16</v>
      </c>
      <c r="B102" s="1" t="s">
        <v>571</v>
      </c>
      <c r="C102" s="1">
        <v>3</v>
      </c>
      <c r="D102" s="1">
        <v>20000</v>
      </c>
      <c r="E102" s="1">
        <f>D102*3</f>
        <v>60000</v>
      </c>
      <c r="F102" s="19" t="s">
        <v>569</v>
      </c>
      <c r="G102" s="68" t="s">
        <v>75</v>
      </c>
      <c r="H102" s="19" t="s">
        <v>648</v>
      </c>
      <c r="I102" s="54" t="s">
        <v>210</v>
      </c>
      <c r="J102" s="54" t="s">
        <v>210</v>
      </c>
      <c r="K102" s="54" t="s">
        <v>210</v>
      </c>
      <c r="L102" s="54" t="s">
        <v>210</v>
      </c>
      <c r="M102" s="1"/>
      <c r="N102" s="1">
        <v>60000</v>
      </c>
      <c r="O102" s="1"/>
      <c r="P102" s="1"/>
    </row>
    <row r="103" spans="1:16" ht="15.75" x14ac:dyDescent="0.25">
      <c r="A103" s="1">
        <v>17</v>
      </c>
      <c r="B103" s="1" t="s">
        <v>572</v>
      </c>
      <c r="C103" s="1">
        <v>4</v>
      </c>
      <c r="D103" s="1">
        <v>25000</v>
      </c>
      <c r="E103" s="1">
        <f>D103*4</f>
        <v>100000</v>
      </c>
      <c r="F103" s="19" t="s">
        <v>569</v>
      </c>
      <c r="G103" s="68" t="s">
        <v>75</v>
      </c>
      <c r="H103" s="19" t="s">
        <v>648</v>
      </c>
      <c r="I103" s="54" t="s">
        <v>210</v>
      </c>
      <c r="J103" s="54" t="s">
        <v>210</v>
      </c>
      <c r="K103" s="54" t="s">
        <v>210</v>
      </c>
      <c r="L103" s="54" t="s">
        <v>210</v>
      </c>
      <c r="M103" s="1">
        <v>50000</v>
      </c>
      <c r="N103" s="1"/>
      <c r="O103" s="1">
        <v>50000</v>
      </c>
      <c r="P103" s="1"/>
    </row>
    <row r="104" spans="1:16" ht="15.75" x14ac:dyDescent="0.25">
      <c r="A104" s="1">
        <v>18</v>
      </c>
      <c r="B104" s="1" t="s">
        <v>573</v>
      </c>
      <c r="C104" s="1">
        <v>1</v>
      </c>
      <c r="D104" s="1">
        <v>10000</v>
      </c>
      <c r="E104" s="1">
        <f>D104*1</f>
        <v>10000</v>
      </c>
      <c r="F104" s="19" t="s">
        <v>569</v>
      </c>
      <c r="G104" s="68" t="s">
        <v>75</v>
      </c>
      <c r="H104" s="19" t="s">
        <v>648</v>
      </c>
      <c r="I104" s="54" t="s">
        <v>210</v>
      </c>
      <c r="J104" s="54" t="s">
        <v>210</v>
      </c>
      <c r="K104" s="54" t="s">
        <v>210</v>
      </c>
      <c r="L104" s="54" t="s">
        <v>210</v>
      </c>
      <c r="M104" s="1">
        <v>10000</v>
      </c>
      <c r="N104" s="1"/>
      <c r="O104" s="1"/>
      <c r="P104" s="1"/>
    </row>
    <row r="105" spans="1:16" ht="15.75" x14ac:dyDescent="0.25">
      <c r="A105" s="1">
        <v>19</v>
      </c>
      <c r="B105" s="1" t="s">
        <v>574</v>
      </c>
      <c r="C105" s="1">
        <v>1</v>
      </c>
      <c r="D105" s="1">
        <v>8000</v>
      </c>
      <c r="E105" s="1">
        <f>8000*1</f>
        <v>8000</v>
      </c>
      <c r="F105" s="19" t="s">
        <v>569</v>
      </c>
      <c r="G105" s="68" t="s">
        <v>75</v>
      </c>
      <c r="H105" s="19" t="s">
        <v>648</v>
      </c>
      <c r="I105" s="54" t="s">
        <v>210</v>
      </c>
      <c r="J105" s="54" t="s">
        <v>210</v>
      </c>
      <c r="K105" s="54" t="s">
        <v>210</v>
      </c>
      <c r="L105" s="54" t="s">
        <v>210</v>
      </c>
      <c r="M105" s="1"/>
      <c r="N105" s="1">
        <v>8000</v>
      </c>
      <c r="O105" s="1"/>
      <c r="P105" s="1"/>
    </row>
    <row r="106" spans="1:16" ht="15.75" x14ac:dyDescent="0.25">
      <c r="A106" s="1">
        <v>20</v>
      </c>
      <c r="B106" s="89" t="s">
        <v>591</v>
      </c>
      <c r="C106" s="89">
        <v>4</v>
      </c>
      <c r="D106" s="1">
        <v>13500</v>
      </c>
      <c r="E106" s="18">
        <f t="shared" ref="E106:E112" si="2">C106*D106</f>
        <v>54000</v>
      </c>
      <c r="F106" s="19" t="s">
        <v>557</v>
      </c>
      <c r="G106" s="68" t="s">
        <v>75</v>
      </c>
      <c r="H106" s="19" t="s">
        <v>648</v>
      </c>
      <c r="I106" s="54" t="s">
        <v>210</v>
      </c>
      <c r="J106" s="54" t="s">
        <v>210</v>
      </c>
      <c r="K106" s="54" t="s">
        <v>210</v>
      </c>
      <c r="L106" s="54" t="s">
        <v>210</v>
      </c>
      <c r="M106" s="1">
        <v>54000</v>
      </c>
      <c r="N106" s="1"/>
      <c r="O106" s="1"/>
      <c r="P106" s="1"/>
    </row>
    <row r="107" spans="1:16" ht="15.75" x14ac:dyDescent="0.25">
      <c r="A107" s="1">
        <v>21</v>
      </c>
      <c r="B107" s="89" t="s">
        <v>594</v>
      </c>
      <c r="C107" s="89">
        <v>4</v>
      </c>
      <c r="D107" s="49">
        <v>10000</v>
      </c>
      <c r="E107" s="49">
        <f t="shared" si="2"/>
        <v>40000</v>
      </c>
      <c r="F107" s="19" t="s">
        <v>557</v>
      </c>
      <c r="G107" s="68" t="s">
        <v>75</v>
      </c>
      <c r="H107" s="19" t="s">
        <v>648</v>
      </c>
      <c r="I107" s="54" t="s">
        <v>210</v>
      </c>
      <c r="J107" s="54" t="s">
        <v>210</v>
      </c>
      <c r="K107" s="54" t="s">
        <v>210</v>
      </c>
      <c r="L107" s="54" t="s">
        <v>210</v>
      </c>
      <c r="M107" s="32">
        <v>40000</v>
      </c>
      <c r="N107" s="32"/>
      <c r="O107" s="32"/>
      <c r="P107" s="34"/>
    </row>
    <row r="108" spans="1:16" ht="15.75" x14ac:dyDescent="0.25">
      <c r="A108" s="1">
        <v>22</v>
      </c>
      <c r="B108" s="89" t="s">
        <v>596</v>
      </c>
      <c r="C108" s="89">
        <v>1</v>
      </c>
      <c r="D108" s="51">
        <v>10500</v>
      </c>
      <c r="E108" s="51">
        <f t="shared" si="2"/>
        <v>10500</v>
      </c>
      <c r="F108" s="19" t="s">
        <v>557</v>
      </c>
      <c r="G108" s="68" t="s">
        <v>75</v>
      </c>
      <c r="H108" s="19" t="s">
        <v>648</v>
      </c>
      <c r="I108" s="54" t="s">
        <v>210</v>
      </c>
      <c r="J108" s="54" t="s">
        <v>210</v>
      </c>
      <c r="K108" s="54" t="s">
        <v>210</v>
      </c>
      <c r="L108" s="54" t="s">
        <v>210</v>
      </c>
      <c r="M108" s="33">
        <v>10500</v>
      </c>
      <c r="N108" s="33"/>
      <c r="O108" s="33"/>
      <c r="P108" s="33"/>
    </row>
    <row r="109" spans="1:16" ht="15.75" x14ac:dyDescent="0.25">
      <c r="A109" s="1">
        <v>23</v>
      </c>
      <c r="B109" s="89" t="s">
        <v>606</v>
      </c>
      <c r="C109" s="89">
        <v>4</v>
      </c>
      <c r="D109" s="1">
        <v>240000</v>
      </c>
      <c r="E109" s="18">
        <f t="shared" si="2"/>
        <v>960000</v>
      </c>
      <c r="F109" s="19" t="s">
        <v>557</v>
      </c>
      <c r="G109" s="68" t="s">
        <v>75</v>
      </c>
      <c r="H109" s="19" t="s">
        <v>648</v>
      </c>
      <c r="I109" s="54" t="s">
        <v>210</v>
      </c>
      <c r="J109" s="54" t="s">
        <v>210</v>
      </c>
      <c r="K109" s="54" t="s">
        <v>210</v>
      </c>
      <c r="L109" s="54" t="s">
        <v>210</v>
      </c>
      <c r="M109" s="1">
        <v>960000</v>
      </c>
      <c r="N109" s="1"/>
      <c r="O109" s="1"/>
      <c r="P109" s="12"/>
    </row>
    <row r="110" spans="1:16" ht="15.75" x14ac:dyDescent="0.25">
      <c r="A110" s="1">
        <v>24</v>
      </c>
      <c r="B110" s="89" t="s">
        <v>591</v>
      </c>
      <c r="C110" s="89">
        <v>4</v>
      </c>
      <c r="D110" s="1">
        <v>13500</v>
      </c>
      <c r="E110" s="18">
        <f t="shared" si="2"/>
        <v>54000</v>
      </c>
      <c r="F110" s="19" t="s">
        <v>557</v>
      </c>
      <c r="G110" s="68" t="s">
        <v>75</v>
      </c>
      <c r="H110" s="19" t="s">
        <v>648</v>
      </c>
      <c r="I110" s="54" t="s">
        <v>210</v>
      </c>
      <c r="J110" s="54" t="s">
        <v>210</v>
      </c>
      <c r="K110" s="54" t="s">
        <v>210</v>
      </c>
      <c r="L110" s="54" t="s">
        <v>210</v>
      </c>
      <c r="M110" s="1">
        <v>54000</v>
      </c>
      <c r="N110" s="1"/>
      <c r="O110" s="1"/>
      <c r="P110" s="1"/>
    </row>
    <row r="111" spans="1:16" ht="31.5" x14ac:dyDescent="0.25">
      <c r="A111" s="1">
        <v>25</v>
      </c>
      <c r="B111" s="89" t="s">
        <v>608</v>
      </c>
      <c r="C111" s="89">
        <v>1</v>
      </c>
      <c r="D111" s="1">
        <v>140000</v>
      </c>
      <c r="E111" s="18">
        <f t="shared" si="2"/>
        <v>140000</v>
      </c>
      <c r="F111" s="19" t="s">
        <v>557</v>
      </c>
      <c r="G111" s="68" t="s">
        <v>75</v>
      </c>
      <c r="H111" s="19" t="s">
        <v>648</v>
      </c>
      <c r="I111" s="54" t="s">
        <v>210</v>
      </c>
      <c r="J111" s="54" t="s">
        <v>210</v>
      </c>
      <c r="K111" s="54" t="s">
        <v>210</v>
      </c>
      <c r="L111" s="54" t="s">
        <v>210</v>
      </c>
      <c r="M111" s="1">
        <v>140000</v>
      </c>
      <c r="N111" s="1"/>
      <c r="O111" s="1"/>
      <c r="P111" s="1"/>
    </row>
    <row r="112" spans="1:16" ht="15.75" x14ac:dyDescent="0.25">
      <c r="A112" s="1">
        <v>26</v>
      </c>
      <c r="B112" s="89" t="s">
        <v>609</v>
      </c>
      <c r="C112" s="89">
        <v>1</v>
      </c>
      <c r="D112" s="1">
        <v>20000</v>
      </c>
      <c r="E112" s="18">
        <f t="shared" si="2"/>
        <v>20000</v>
      </c>
      <c r="F112" s="19" t="s">
        <v>557</v>
      </c>
      <c r="G112" s="68" t="s">
        <v>75</v>
      </c>
      <c r="H112" s="19" t="s">
        <v>648</v>
      </c>
      <c r="I112" s="54" t="s">
        <v>210</v>
      </c>
      <c r="J112" s="54" t="s">
        <v>210</v>
      </c>
      <c r="K112" s="54" t="s">
        <v>210</v>
      </c>
      <c r="L112" s="54" t="s">
        <v>210</v>
      </c>
      <c r="M112" s="1"/>
      <c r="N112" s="1">
        <v>20000</v>
      </c>
      <c r="O112" s="1"/>
      <c r="P112" s="1"/>
    </row>
    <row r="113" spans="1:16" x14ac:dyDescent="0.25">
      <c r="A113" s="1">
        <v>27</v>
      </c>
      <c r="B113" s="100" t="s">
        <v>616</v>
      </c>
      <c r="C113" s="1">
        <v>5</v>
      </c>
      <c r="D113" s="1">
        <v>30000</v>
      </c>
      <c r="E113" s="1">
        <v>150000</v>
      </c>
      <c r="F113" s="19" t="s">
        <v>533</v>
      </c>
      <c r="G113" s="19" t="s">
        <v>75</v>
      </c>
      <c r="H113" s="19" t="s">
        <v>648</v>
      </c>
      <c r="I113" s="54" t="s">
        <v>210</v>
      </c>
      <c r="J113" s="54" t="s">
        <v>210</v>
      </c>
      <c r="K113" s="54" t="s">
        <v>210</v>
      </c>
      <c r="L113" s="54" t="s">
        <v>210</v>
      </c>
      <c r="M113" s="33"/>
      <c r="N113" s="33">
        <v>150000</v>
      </c>
      <c r="O113" s="33"/>
      <c r="P113" s="33"/>
    </row>
    <row r="114" spans="1:16" ht="15.75" x14ac:dyDescent="0.25">
      <c r="A114" s="1"/>
      <c r="B114" s="101" t="s">
        <v>649</v>
      </c>
      <c r="C114" s="89"/>
      <c r="D114" s="1"/>
      <c r="E114" s="16">
        <f>SUM(E87:E113)</f>
        <v>2498950</v>
      </c>
      <c r="F114" s="19"/>
      <c r="G114" s="68"/>
      <c r="H114" s="19"/>
      <c r="I114" s="54"/>
      <c r="J114" s="54"/>
      <c r="K114" s="54"/>
      <c r="L114" s="54"/>
      <c r="M114" s="1"/>
      <c r="N114" s="1"/>
      <c r="O114" s="1"/>
      <c r="P114" s="1"/>
    </row>
    <row r="115" spans="1:16" ht="15.75" x14ac:dyDescent="0.25">
      <c r="A115" s="1"/>
      <c r="B115" s="89"/>
      <c r="C115" s="89"/>
      <c r="D115" s="1"/>
      <c r="E115" s="18"/>
      <c r="F115" s="19"/>
      <c r="G115" s="68"/>
      <c r="H115" s="19"/>
      <c r="I115" s="54"/>
      <c r="J115" s="54"/>
      <c r="K115" s="54"/>
      <c r="L115" s="54"/>
      <c r="M115" s="1"/>
      <c r="N115" s="1"/>
      <c r="O115" s="1"/>
      <c r="P115" s="1"/>
    </row>
    <row r="116" spans="1:16" ht="15.75" x14ac:dyDescent="0.25">
      <c r="A116" s="1"/>
      <c r="B116" s="89"/>
      <c r="C116" s="89"/>
      <c r="D116" s="1"/>
      <c r="E116" s="18"/>
      <c r="F116" s="19"/>
      <c r="G116" s="68"/>
      <c r="H116" s="19"/>
      <c r="I116" s="54"/>
      <c r="J116" s="54"/>
      <c r="K116" s="54"/>
      <c r="L116" s="54"/>
      <c r="M116" s="1"/>
      <c r="N116" s="1"/>
      <c r="O116" s="1"/>
      <c r="P116" s="1"/>
    </row>
    <row r="117" spans="1:16" ht="15.75" x14ac:dyDescent="0.25">
      <c r="A117" s="1"/>
      <c r="B117" s="1"/>
      <c r="C117" s="1"/>
      <c r="D117" s="1"/>
      <c r="E117" s="1"/>
      <c r="F117" s="19"/>
      <c r="G117" s="19"/>
      <c r="H117" s="19"/>
      <c r="I117" s="11"/>
      <c r="J117" s="11"/>
      <c r="K117" s="11"/>
      <c r="L117" s="11"/>
      <c r="M117" s="1"/>
      <c r="N117" s="1"/>
      <c r="O117" s="1"/>
      <c r="P117" s="1"/>
    </row>
    <row r="118" spans="1:16" x14ac:dyDescent="0.25">
      <c r="A118" s="43" t="s">
        <v>736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5.75" x14ac:dyDescent="0.25">
      <c r="A119" s="111">
        <v>1</v>
      </c>
      <c r="B119" s="23" t="s">
        <v>103</v>
      </c>
      <c r="C119" s="24">
        <v>3000</v>
      </c>
      <c r="D119" s="25">
        <v>130</v>
      </c>
      <c r="E119" s="22">
        <f t="shared" ref="E119:E128" si="3">C119*D119</f>
        <v>390000</v>
      </c>
      <c r="F119" s="26" t="s">
        <v>104</v>
      </c>
      <c r="G119" s="26" t="s">
        <v>105</v>
      </c>
      <c r="H119" s="19" t="s">
        <v>648</v>
      </c>
      <c r="I119" s="1"/>
      <c r="J119" s="1"/>
      <c r="K119" s="1"/>
      <c r="L119" s="11" t="s">
        <v>21</v>
      </c>
      <c r="M119" s="20">
        <v>97500</v>
      </c>
      <c r="N119" s="20">
        <v>97500</v>
      </c>
      <c r="O119" s="20">
        <v>97500</v>
      </c>
      <c r="P119" s="20">
        <v>97500</v>
      </c>
    </row>
    <row r="120" spans="1:16" ht="15.75" x14ac:dyDescent="0.25">
      <c r="A120" s="1">
        <v>2</v>
      </c>
      <c r="B120" s="23" t="s">
        <v>106</v>
      </c>
      <c r="C120" s="24">
        <v>5000</v>
      </c>
      <c r="D120" s="25">
        <v>115</v>
      </c>
      <c r="E120" s="22">
        <f t="shared" si="3"/>
        <v>575000</v>
      </c>
      <c r="F120" s="26" t="s">
        <v>104</v>
      </c>
      <c r="G120" s="26" t="s">
        <v>105</v>
      </c>
      <c r="H120" s="19" t="s">
        <v>648</v>
      </c>
      <c r="I120" s="1"/>
      <c r="J120" s="1"/>
      <c r="K120" s="1"/>
      <c r="L120" s="11" t="s">
        <v>21</v>
      </c>
      <c r="M120" s="20">
        <v>201250</v>
      </c>
      <c r="N120" s="20">
        <v>201250</v>
      </c>
      <c r="O120" s="20">
        <v>201250</v>
      </c>
      <c r="P120" s="20">
        <v>201250</v>
      </c>
    </row>
    <row r="121" spans="1:16" ht="15.75" x14ac:dyDescent="0.25">
      <c r="A121" s="1">
        <v>3</v>
      </c>
      <c r="B121" s="23" t="s">
        <v>107</v>
      </c>
      <c r="C121" s="24">
        <v>3000</v>
      </c>
      <c r="D121" s="25">
        <v>130</v>
      </c>
      <c r="E121" s="20">
        <f t="shared" si="3"/>
        <v>390000</v>
      </c>
      <c r="F121" s="26" t="s">
        <v>104</v>
      </c>
      <c r="G121" s="26" t="s">
        <v>105</v>
      </c>
      <c r="H121" s="19" t="s">
        <v>648</v>
      </c>
      <c r="I121" s="1"/>
      <c r="J121" s="1"/>
      <c r="K121" s="1"/>
      <c r="L121" s="11" t="s">
        <v>21</v>
      </c>
      <c r="M121" s="20">
        <v>162500</v>
      </c>
      <c r="N121" s="20">
        <v>162500</v>
      </c>
      <c r="O121" s="20">
        <v>162500</v>
      </c>
      <c r="P121" s="20">
        <v>162500</v>
      </c>
    </row>
    <row r="122" spans="1:16" ht="15.75" x14ac:dyDescent="0.25">
      <c r="A122" s="1">
        <v>4</v>
      </c>
      <c r="B122" s="23" t="s">
        <v>108</v>
      </c>
      <c r="C122" s="24">
        <v>5000</v>
      </c>
      <c r="D122" s="25">
        <v>115</v>
      </c>
      <c r="E122" s="22">
        <f t="shared" si="3"/>
        <v>575000</v>
      </c>
      <c r="F122" s="26" t="s">
        <v>104</v>
      </c>
      <c r="G122" s="26" t="s">
        <v>105</v>
      </c>
      <c r="H122" s="19" t="s">
        <v>648</v>
      </c>
      <c r="I122" s="1"/>
      <c r="J122" s="1"/>
      <c r="K122" s="1"/>
      <c r="L122" s="11" t="s">
        <v>21</v>
      </c>
      <c r="M122" s="20">
        <v>201250</v>
      </c>
      <c r="N122" s="20">
        <v>201250</v>
      </c>
      <c r="O122" s="20">
        <v>201250</v>
      </c>
      <c r="P122" s="20">
        <v>201250</v>
      </c>
    </row>
    <row r="123" spans="1:16" ht="15.75" x14ac:dyDescent="0.25">
      <c r="A123" s="1">
        <v>5</v>
      </c>
      <c r="B123" s="23" t="s">
        <v>109</v>
      </c>
      <c r="C123" s="24">
        <v>5000</v>
      </c>
      <c r="D123" s="25">
        <v>115</v>
      </c>
      <c r="E123" s="20">
        <f t="shared" si="3"/>
        <v>575000</v>
      </c>
      <c r="F123" s="26" t="s">
        <v>104</v>
      </c>
      <c r="G123" s="26" t="s">
        <v>105</v>
      </c>
      <c r="H123" s="19" t="s">
        <v>648</v>
      </c>
      <c r="I123" s="1"/>
      <c r="J123" s="1"/>
      <c r="K123" s="1"/>
      <c r="L123" s="11" t="s">
        <v>21</v>
      </c>
      <c r="M123" s="20">
        <v>201250</v>
      </c>
      <c r="N123" s="20">
        <v>201250</v>
      </c>
      <c r="O123" s="20">
        <v>201250</v>
      </c>
      <c r="P123" s="20">
        <v>201250</v>
      </c>
    </row>
    <row r="124" spans="1:16" ht="15.75" x14ac:dyDescent="0.25">
      <c r="A124" s="1">
        <v>6</v>
      </c>
      <c r="B124" s="23" t="s">
        <v>124</v>
      </c>
      <c r="C124" s="27">
        <v>5</v>
      </c>
      <c r="D124" s="25">
        <v>24000</v>
      </c>
      <c r="E124" s="20">
        <f t="shared" si="3"/>
        <v>120000</v>
      </c>
      <c r="F124" s="26" t="s">
        <v>104</v>
      </c>
      <c r="G124" s="26" t="s">
        <v>105</v>
      </c>
      <c r="H124" s="19" t="s">
        <v>648</v>
      </c>
      <c r="I124" s="11" t="s">
        <v>21</v>
      </c>
      <c r="J124" s="11" t="s">
        <v>21</v>
      </c>
      <c r="K124" s="11" t="s">
        <v>21</v>
      </c>
      <c r="L124" s="11" t="s">
        <v>21</v>
      </c>
      <c r="M124" s="20"/>
      <c r="N124" s="20"/>
      <c r="O124" s="36">
        <v>120000</v>
      </c>
      <c r="P124" s="20"/>
    </row>
    <row r="125" spans="1:16" ht="15.75" x14ac:dyDescent="0.25">
      <c r="A125" s="1">
        <v>7</v>
      </c>
      <c r="B125" s="23" t="s">
        <v>125</v>
      </c>
      <c r="C125" s="27">
        <v>5</v>
      </c>
      <c r="D125" s="25">
        <v>16000</v>
      </c>
      <c r="E125" s="20">
        <f t="shared" si="3"/>
        <v>80000</v>
      </c>
      <c r="F125" s="26" t="s">
        <v>104</v>
      </c>
      <c r="G125" s="26" t="s">
        <v>105</v>
      </c>
      <c r="H125" s="19" t="s">
        <v>648</v>
      </c>
      <c r="I125" s="11" t="s">
        <v>21</v>
      </c>
      <c r="J125" s="11" t="s">
        <v>21</v>
      </c>
      <c r="K125" s="11" t="s">
        <v>21</v>
      </c>
      <c r="L125" s="11" t="s">
        <v>21</v>
      </c>
      <c r="M125" s="20"/>
      <c r="N125" s="20"/>
      <c r="O125" s="20">
        <v>80000</v>
      </c>
      <c r="P125" s="20"/>
    </row>
    <row r="126" spans="1:16" ht="15.75" x14ac:dyDescent="0.25">
      <c r="A126" s="1">
        <v>8</v>
      </c>
      <c r="B126" s="23" t="s">
        <v>126</v>
      </c>
      <c r="C126" s="27">
        <v>7</v>
      </c>
      <c r="D126" s="30">
        <v>36000</v>
      </c>
      <c r="E126" s="37">
        <f t="shared" si="3"/>
        <v>252000</v>
      </c>
      <c r="F126" s="26" t="s">
        <v>104</v>
      </c>
      <c r="G126" s="26" t="s">
        <v>105</v>
      </c>
      <c r="H126" s="19" t="s">
        <v>648</v>
      </c>
      <c r="I126" s="11" t="s">
        <v>21</v>
      </c>
      <c r="J126" s="11" t="s">
        <v>21</v>
      </c>
      <c r="K126" s="11" t="s">
        <v>21</v>
      </c>
      <c r="L126" s="11" t="s">
        <v>21</v>
      </c>
      <c r="M126" s="33"/>
      <c r="N126" s="33">
        <v>252000</v>
      </c>
      <c r="O126" s="33"/>
      <c r="P126" s="33"/>
    </row>
    <row r="127" spans="1:16" ht="15.75" x14ac:dyDescent="0.25">
      <c r="A127" s="1">
        <v>9</v>
      </c>
      <c r="B127" s="23" t="s">
        <v>127</v>
      </c>
      <c r="C127" s="27">
        <v>1</v>
      </c>
      <c r="D127" s="30">
        <v>13500</v>
      </c>
      <c r="E127" s="37">
        <f t="shared" si="3"/>
        <v>13500</v>
      </c>
      <c r="F127" s="26" t="s">
        <v>104</v>
      </c>
      <c r="G127" s="26" t="s">
        <v>75</v>
      </c>
      <c r="H127" s="19" t="s">
        <v>648</v>
      </c>
      <c r="I127" s="11" t="s">
        <v>21</v>
      </c>
      <c r="J127" s="11" t="s">
        <v>21</v>
      </c>
      <c r="K127" s="11" t="s">
        <v>21</v>
      </c>
      <c r="L127" s="11" t="s">
        <v>21</v>
      </c>
      <c r="M127" s="33"/>
      <c r="N127" s="33">
        <v>13500</v>
      </c>
      <c r="O127" s="33"/>
      <c r="P127" s="33"/>
    </row>
    <row r="128" spans="1:16" ht="15.75" x14ac:dyDescent="0.25">
      <c r="A128" s="1">
        <v>10</v>
      </c>
      <c r="B128" s="23" t="s">
        <v>128</v>
      </c>
      <c r="C128" s="27">
        <v>2</v>
      </c>
      <c r="D128" s="30">
        <v>16000</v>
      </c>
      <c r="E128" s="37">
        <f t="shared" si="3"/>
        <v>32000</v>
      </c>
      <c r="F128" s="26" t="s">
        <v>104</v>
      </c>
      <c r="G128" s="26" t="s">
        <v>75</v>
      </c>
      <c r="H128" s="19" t="s">
        <v>648</v>
      </c>
      <c r="I128" s="11" t="s">
        <v>21</v>
      </c>
      <c r="J128" s="11" t="s">
        <v>21</v>
      </c>
      <c r="K128" s="11" t="s">
        <v>21</v>
      </c>
      <c r="L128" s="11" t="s">
        <v>21</v>
      </c>
      <c r="M128" s="33"/>
      <c r="N128" s="33">
        <v>32000</v>
      </c>
      <c r="O128" s="33"/>
      <c r="P128" s="33"/>
    </row>
    <row r="129" spans="1:16" ht="45" x14ac:dyDescent="0.25">
      <c r="A129" s="1">
        <v>11</v>
      </c>
      <c r="B129" s="23" t="s">
        <v>129</v>
      </c>
      <c r="C129" s="27" t="s">
        <v>130</v>
      </c>
      <c r="D129" s="30">
        <v>50000</v>
      </c>
      <c r="E129" s="38">
        <v>50000</v>
      </c>
      <c r="F129" s="26" t="s">
        <v>104</v>
      </c>
      <c r="G129" s="26" t="s">
        <v>75</v>
      </c>
      <c r="H129" s="19" t="s">
        <v>648</v>
      </c>
      <c r="I129" s="11" t="s">
        <v>21</v>
      </c>
      <c r="J129" s="11" t="s">
        <v>21</v>
      </c>
      <c r="K129" s="11" t="s">
        <v>21</v>
      </c>
      <c r="L129" s="11" t="s">
        <v>21</v>
      </c>
      <c r="M129" s="39">
        <v>12500</v>
      </c>
      <c r="N129" s="39">
        <v>12500</v>
      </c>
      <c r="O129" s="39">
        <v>12500</v>
      </c>
      <c r="P129" s="39">
        <v>12500</v>
      </c>
    </row>
    <row r="130" spans="1:16" x14ac:dyDescent="0.25">
      <c r="A130" s="1"/>
      <c r="B130" s="28" t="s">
        <v>110</v>
      </c>
      <c r="C130" s="29"/>
      <c r="D130" s="30"/>
      <c r="E130" s="31"/>
      <c r="F130" s="26"/>
      <c r="G130" s="29"/>
      <c r="H130" s="19" t="s">
        <v>648</v>
      </c>
      <c r="I130" s="32"/>
      <c r="J130" s="32"/>
      <c r="K130" s="32"/>
      <c r="L130" s="32"/>
      <c r="M130" s="33"/>
      <c r="N130" s="33"/>
      <c r="O130" s="33"/>
      <c r="P130" s="33"/>
    </row>
    <row r="131" spans="1:16" ht="15.75" x14ac:dyDescent="0.25">
      <c r="A131" s="1">
        <v>12</v>
      </c>
      <c r="B131" s="23" t="s">
        <v>111</v>
      </c>
      <c r="C131" s="27" t="s">
        <v>112</v>
      </c>
      <c r="D131" s="27" t="s">
        <v>113</v>
      </c>
      <c r="E131" s="24">
        <v>500000</v>
      </c>
      <c r="F131" s="26" t="s">
        <v>104</v>
      </c>
      <c r="G131" s="26" t="s">
        <v>75</v>
      </c>
      <c r="H131" s="19" t="s">
        <v>648</v>
      </c>
      <c r="I131" s="11" t="s">
        <v>21</v>
      </c>
      <c r="J131" s="11" t="s">
        <v>21</v>
      </c>
      <c r="K131" s="11" t="s">
        <v>21</v>
      </c>
      <c r="L131" s="11" t="s">
        <v>21</v>
      </c>
      <c r="M131" s="32">
        <v>125000</v>
      </c>
      <c r="N131" s="32">
        <v>125000</v>
      </c>
      <c r="O131" s="32">
        <v>125000</v>
      </c>
      <c r="P131" s="34">
        <v>125000</v>
      </c>
    </row>
    <row r="132" spans="1:16" ht="15.75" x14ac:dyDescent="0.25">
      <c r="A132" s="1">
        <v>13</v>
      </c>
      <c r="B132" s="23" t="s">
        <v>114</v>
      </c>
      <c r="C132" s="27" t="s">
        <v>115</v>
      </c>
      <c r="D132" s="27" t="s">
        <v>113</v>
      </c>
      <c r="E132" s="24">
        <v>500000</v>
      </c>
      <c r="F132" s="26" t="s">
        <v>104</v>
      </c>
      <c r="G132" s="26" t="s">
        <v>75</v>
      </c>
      <c r="H132" s="19" t="s">
        <v>648</v>
      </c>
      <c r="I132" s="11" t="s">
        <v>21</v>
      </c>
      <c r="J132" s="11" t="s">
        <v>21</v>
      </c>
      <c r="K132" s="11" t="s">
        <v>21</v>
      </c>
      <c r="L132" s="11" t="s">
        <v>21</v>
      </c>
      <c r="M132" s="20">
        <v>125000</v>
      </c>
      <c r="N132" s="20">
        <v>125000</v>
      </c>
      <c r="O132" s="20">
        <v>125000</v>
      </c>
      <c r="P132" s="20">
        <v>125000</v>
      </c>
    </row>
    <row r="133" spans="1:16" ht="15.75" x14ac:dyDescent="0.25">
      <c r="A133" s="1">
        <v>14</v>
      </c>
      <c r="B133" s="23" t="s">
        <v>116</v>
      </c>
      <c r="C133" s="27" t="s">
        <v>115</v>
      </c>
      <c r="D133" s="27" t="s">
        <v>117</v>
      </c>
      <c r="E133" s="24">
        <v>250000</v>
      </c>
      <c r="F133" s="26" t="s">
        <v>104</v>
      </c>
      <c r="G133" s="26" t="s">
        <v>75</v>
      </c>
      <c r="H133" s="19" t="s">
        <v>648</v>
      </c>
      <c r="I133" s="11" t="s">
        <v>21</v>
      </c>
      <c r="J133" s="11" t="s">
        <v>21</v>
      </c>
      <c r="K133" s="11" t="s">
        <v>21</v>
      </c>
      <c r="L133" s="11" t="s">
        <v>21</v>
      </c>
      <c r="M133" s="20">
        <v>62500</v>
      </c>
      <c r="N133" s="20">
        <v>62500</v>
      </c>
      <c r="O133" s="20">
        <v>62500</v>
      </c>
      <c r="P133" s="20">
        <v>62500</v>
      </c>
    </row>
    <row r="134" spans="1:16" ht="15.75" x14ac:dyDescent="0.25">
      <c r="A134" s="1">
        <v>15</v>
      </c>
      <c r="B134" s="23" t="s">
        <v>118</v>
      </c>
      <c r="C134" s="27" t="s">
        <v>115</v>
      </c>
      <c r="D134" s="27" t="s">
        <v>119</v>
      </c>
      <c r="E134" s="24">
        <v>200000</v>
      </c>
      <c r="F134" s="26" t="s">
        <v>104</v>
      </c>
      <c r="G134" s="26" t="s">
        <v>75</v>
      </c>
      <c r="H134" s="19" t="s">
        <v>648</v>
      </c>
      <c r="I134" s="11" t="s">
        <v>21</v>
      </c>
      <c r="J134" s="11" t="s">
        <v>21</v>
      </c>
      <c r="K134" s="11" t="s">
        <v>21</v>
      </c>
      <c r="L134" s="11" t="s">
        <v>21</v>
      </c>
      <c r="M134" s="20">
        <v>50000</v>
      </c>
      <c r="N134" s="20">
        <v>50000</v>
      </c>
      <c r="O134" s="20">
        <v>50000</v>
      </c>
      <c r="P134" s="20">
        <v>50000</v>
      </c>
    </row>
    <row r="135" spans="1:16" ht="15.75" x14ac:dyDescent="0.25">
      <c r="A135" s="1">
        <v>16</v>
      </c>
      <c r="B135" s="23" t="s">
        <v>120</v>
      </c>
      <c r="C135" s="27" t="s">
        <v>112</v>
      </c>
      <c r="D135" s="27" t="s">
        <v>121</v>
      </c>
      <c r="E135" s="24">
        <v>150000</v>
      </c>
      <c r="F135" s="26" t="s">
        <v>104</v>
      </c>
      <c r="G135" s="26" t="s">
        <v>75</v>
      </c>
      <c r="H135" s="19" t="s">
        <v>648</v>
      </c>
      <c r="I135" s="11" t="s">
        <v>21</v>
      </c>
      <c r="J135" s="11" t="s">
        <v>21</v>
      </c>
      <c r="K135" s="11" t="s">
        <v>21</v>
      </c>
      <c r="L135" s="11" t="s">
        <v>21</v>
      </c>
      <c r="M135" s="20">
        <v>37500</v>
      </c>
      <c r="N135" s="20">
        <v>37500</v>
      </c>
      <c r="O135" s="20">
        <v>37500</v>
      </c>
      <c r="P135" s="20">
        <v>37500</v>
      </c>
    </row>
    <row r="136" spans="1:16" ht="15.75" x14ac:dyDescent="0.25">
      <c r="A136" s="1">
        <v>17</v>
      </c>
      <c r="B136" s="23" t="s">
        <v>122</v>
      </c>
      <c r="C136" s="27" t="s">
        <v>112</v>
      </c>
      <c r="D136" s="35">
        <v>200000</v>
      </c>
      <c r="E136" s="24">
        <v>200000</v>
      </c>
      <c r="F136" s="26" t="s">
        <v>104</v>
      </c>
      <c r="G136" s="26" t="s">
        <v>75</v>
      </c>
      <c r="H136" s="19" t="s">
        <v>648</v>
      </c>
      <c r="I136" s="11" t="s">
        <v>21</v>
      </c>
      <c r="J136" s="11" t="s">
        <v>21</v>
      </c>
      <c r="K136" s="11" t="s">
        <v>21</v>
      </c>
      <c r="L136" s="11" t="s">
        <v>21</v>
      </c>
      <c r="M136" s="20">
        <v>50000</v>
      </c>
      <c r="N136" s="20">
        <v>50000</v>
      </c>
      <c r="O136" s="20">
        <v>50000</v>
      </c>
      <c r="P136" s="20">
        <v>50000</v>
      </c>
    </row>
    <row r="137" spans="1:16" ht="15.75" x14ac:dyDescent="0.25">
      <c r="A137" s="1">
        <v>18</v>
      </c>
      <c r="B137" s="23" t="s">
        <v>123</v>
      </c>
      <c r="C137" s="27" t="s">
        <v>112</v>
      </c>
      <c r="D137" s="35">
        <v>200000</v>
      </c>
      <c r="E137" s="24">
        <v>200000</v>
      </c>
      <c r="F137" s="26" t="s">
        <v>104</v>
      </c>
      <c r="G137" s="26" t="s">
        <v>75</v>
      </c>
      <c r="H137" s="19" t="s">
        <v>648</v>
      </c>
      <c r="I137" s="11" t="s">
        <v>21</v>
      </c>
      <c r="J137" s="11" t="s">
        <v>21</v>
      </c>
      <c r="K137" s="11" t="s">
        <v>21</v>
      </c>
      <c r="L137" s="11" t="s">
        <v>21</v>
      </c>
      <c r="M137" s="20">
        <v>50000</v>
      </c>
      <c r="N137" s="20">
        <v>50000</v>
      </c>
      <c r="O137" s="20">
        <v>50000</v>
      </c>
      <c r="P137" s="20">
        <v>50000</v>
      </c>
    </row>
    <row r="138" spans="1:16" ht="15.75" x14ac:dyDescent="0.25">
      <c r="A138" s="1"/>
      <c r="B138" s="102" t="s">
        <v>649</v>
      </c>
      <c r="C138" s="103"/>
      <c r="D138" s="43"/>
      <c r="E138" s="104">
        <f>SUM(E119:E137)</f>
        <v>5052500</v>
      </c>
      <c r="F138" s="25"/>
      <c r="G138" s="26"/>
      <c r="H138" s="27"/>
      <c r="I138" s="1"/>
      <c r="J138" s="1"/>
      <c r="K138" s="1"/>
      <c r="L138" s="11"/>
      <c r="M138" s="20"/>
      <c r="N138" s="20"/>
      <c r="O138" s="20"/>
      <c r="P138" s="20"/>
    </row>
    <row r="139" spans="1:16" ht="15.75" x14ac:dyDescent="0.25">
      <c r="A139" s="1"/>
      <c r="B139" s="23"/>
      <c r="C139" s="24"/>
      <c r="D139" s="25"/>
      <c r="E139" s="20"/>
      <c r="F139" s="25"/>
      <c r="G139" s="26"/>
      <c r="H139" s="27"/>
      <c r="I139" s="1"/>
      <c r="J139" s="1"/>
      <c r="K139" s="1"/>
      <c r="L139" s="11"/>
      <c r="M139" s="20"/>
      <c r="N139" s="20"/>
      <c r="O139" s="20"/>
      <c r="P139" s="20"/>
    </row>
    <row r="140" spans="1:16" ht="15.75" x14ac:dyDescent="0.25">
      <c r="A140" s="1"/>
      <c r="B140" s="23"/>
      <c r="C140" s="24"/>
      <c r="D140" s="25"/>
      <c r="E140" s="20"/>
      <c r="F140" s="25"/>
      <c r="G140" s="26"/>
      <c r="H140" s="27"/>
      <c r="I140" s="1"/>
      <c r="J140" s="1"/>
      <c r="K140" s="1"/>
      <c r="L140" s="11"/>
      <c r="M140" s="20"/>
      <c r="N140" s="20"/>
      <c r="O140" s="20"/>
      <c r="P140" s="20"/>
    </row>
    <row r="141" spans="1:16" ht="15.75" x14ac:dyDescent="0.25">
      <c r="A141" s="1"/>
      <c r="B141" s="23"/>
      <c r="C141" s="24"/>
      <c r="D141" s="25"/>
      <c r="E141" s="20"/>
      <c r="F141" s="25"/>
      <c r="G141" s="26"/>
      <c r="H141" s="27"/>
      <c r="I141" s="1"/>
      <c r="J141" s="1"/>
      <c r="K141" s="1"/>
      <c r="L141" s="11"/>
      <c r="M141" s="20"/>
      <c r="N141" s="20"/>
      <c r="O141" s="20"/>
      <c r="P141" s="20"/>
    </row>
    <row r="142" spans="1:16" x14ac:dyDescent="0.25">
      <c r="A142" s="43" t="s">
        <v>737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5.75" x14ac:dyDescent="0.25">
      <c r="A143" s="1">
        <v>1</v>
      </c>
      <c r="B143" s="15" t="s">
        <v>44</v>
      </c>
      <c r="C143" s="1">
        <v>50</v>
      </c>
      <c r="D143" s="1">
        <v>2160</v>
      </c>
      <c r="E143" s="1">
        <f>C143*D143</f>
        <v>108000</v>
      </c>
      <c r="F143" s="13" t="s">
        <v>23</v>
      </c>
      <c r="G143" s="11" t="s">
        <v>24</v>
      </c>
      <c r="H143" s="19" t="s">
        <v>663</v>
      </c>
      <c r="I143" s="11" t="s">
        <v>21</v>
      </c>
      <c r="J143" s="11" t="s">
        <v>21</v>
      </c>
      <c r="K143" s="11" t="s">
        <v>21</v>
      </c>
      <c r="L143" s="11" t="s">
        <v>21</v>
      </c>
      <c r="M143" s="12">
        <v>27000</v>
      </c>
      <c r="N143" s="12">
        <v>27000</v>
      </c>
      <c r="O143" s="12">
        <v>27000</v>
      </c>
      <c r="P143" s="12">
        <v>27000</v>
      </c>
    </row>
    <row r="144" spans="1:16" ht="15.75" x14ac:dyDescent="0.25">
      <c r="A144" s="1">
        <v>2</v>
      </c>
      <c r="B144" s="15" t="s">
        <v>45</v>
      </c>
      <c r="C144" s="1">
        <v>50</v>
      </c>
      <c r="D144" s="1">
        <v>950</v>
      </c>
      <c r="E144" s="1">
        <f>C144*D144</f>
        <v>47500</v>
      </c>
      <c r="F144" s="13" t="s">
        <v>23</v>
      </c>
      <c r="G144" s="11" t="s">
        <v>24</v>
      </c>
      <c r="H144" s="19" t="s">
        <v>663</v>
      </c>
      <c r="I144" s="11" t="s">
        <v>21</v>
      </c>
      <c r="J144" s="11" t="s">
        <v>21</v>
      </c>
      <c r="K144" s="11" t="s">
        <v>21</v>
      </c>
      <c r="L144" s="11" t="s">
        <v>21</v>
      </c>
      <c r="M144" s="12">
        <v>11875</v>
      </c>
      <c r="N144" s="12">
        <v>11875</v>
      </c>
      <c r="O144" s="12">
        <v>11875</v>
      </c>
      <c r="P144" s="12">
        <v>11875</v>
      </c>
    </row>
    <row r="145" spans="1:16" ht="15.75" x14ac:dyDescent="0.25">
      <c r="A145" s="1">
        <v>3</v>
      </c>
      <c r="B145" s="15" t="s">
        <v>46</v>
      </c>
      <c r="C145" s="1">
        <v>20</v>
      </c>
      <c r="D145" s="1">
        <v>2850</v>
      </c>
      <c r="E145" s="1">
        <f t="shared" ref="E145:E166" si="4">C145*D145</f>
        <v>57000</v>
      </c>
      <c r="F145" s="13" t="s">
        <v>23</v>
      </c>
      <c r="G145" s="11" t="s">
        <v>24</v>
      </c>
      <c r="H145" s="19" t="s">
        <v>663</v>
      </c>
      <c r="I145" s="11" t="s">
        <v>21</v>
      </c>
      <c r="J145" s="11" t="s">
        <v>21</v>
      </c>
      <c r="K145" s="11" t="s">
        <v>21</v>
      </c>
      <c r="L145" s="11" t="s">
        <v>21</v>
      </c>
      <c r="M145" s="12">
        <v>14250</v>
      </c>
      <c r="N145" s="12">
        <v>14250</v>
      </c>
      <c r="O145" s="12">
        <v>14250</v>
      </c>
      <c r="P145" s="12">
        <v>14250</v>
      </c>
    </row>
    <row r="146" spans="1:16" ht="15.75" x14ac:dyDescent="0.25">
      <c r="A146" s="1">
        <v>4</v>
      </c>
      <c r="B146" s="15" t="s">
        <v>47</v>
      </c>
      <c r="C146" s="1">
        <v>350</v>
      </c>
      <c r="D146" s="1">
        <v>135</v>
      </c>
      <c r="E146" s="1">
        <f t="shared" si="4"/>
        <v>47250</v>
      </c>
      <c r="F146" s="13" t="s">
        <v>23</v>
      </c>
      <c r="G146" s="11" t="s">
        <v>24</v>
      </c>
      <c r="H146" s="19" t="s">
        <v>663</v>
      </c>
      <c r="I146" s="11" t="s">
        <v>21</v>
      </c>
      <c r="J146" s="11" t="s">
        <v>21</v>
      </c>
      <c r="K146" s="11" t="s">
        <v>21</v>
      </c>
      <c r="L146" s="11" t="s">
        <v>21</v>
      </c>
      <c r="M146" s="12">
        <v>11813</v>
      </c>
      <c r="N146" s="12">
        <v>11813</v>
      </c>
      <c r="O146" s="12">
        <v>11813</v>
      </c>
      <c r="P146" s="12">
        <v>11813</v>
      </c>
    </row>
    <row r="147" spans="1:16" ht="15.75" x14ac:dyDescent="0.25">
      <c r="A147" s="1">
        <v>5</v>
      </c>
      <c r="B147" s="15" t="s">
        <v>48</v>
      </c>
      <c r="C147" s="1">
        <v>350</v>
      </c>
      <c r="D147" s="1">
        <v>145</v>
      </c>
      <c r="E147" s="1">
        <f t="shared" si="4"/>
        <v>50750</v>
      </c>
      <c r="F147" s="13" t="s">
        <v>23</v>
      </c>
      <c r="G147" s="11" t="s">
        <v>24</v>
      </c>
      <c r="H147" s="19" t="s">
        <v>663</v>
      </c>
      <c r="I147" s="11" t="s">
        <v>21</v>
      </c>
      <c r="J147" s="11" t="s">
        <v>21</v>
      </c>
      <c r="K147" s="11" t="s">
        <v>21</v>
      </c>
      <c r="L147" s="11" t="s">
        <v>21</v>
      </c>
      <c r="M147" s="12">
        <v>12688</v>
      </c>
      <c r="N147" s="12">
        <v>12688</v>
      </c>
      <c r="O147" s="12">
        <v>12688</v>
      </c>
      <c r="P147" s="12">
        <v>12688</v>
      </c>
    </row>
    <row r="148" spans="1:16" ht="15.75" x14ac:dyDescent="0.25">
      <c r="A148" s="1">
        <v>6</v>
      </c>
      <c r="B148" s="15" t="s">
        <v>49</v>
      </c>
      <c r="C148" s="1">
        <v>48</v>
      </c>
      <c r="D148" s="1">
        <v>100</v>
      </c>
      <c r="E148" s="1">
        <f t="shared" si="4"/>
        <v>4800</v>
      </c>
      <c r="F148" s="13" t="s">
        <v>23</v>
      </c>
      <c r="G148" s="11" t="s">
        <v>24</v>
      </c>
      <c r="H148" s="19" t="s">
        <v>663</v>
      </c>
      <c r="I148" s="11" t="s">
        <v>21</v>
      </c>
      <c r="J148" s="11" t="s">
        <v>21</v>
      </c>
      <c r="K148" s="11" t="s">
        <v>21</v>
      </c>
      <c r="L148" s="11" t="s">
        <v>21</v>
      </c>
      <c r="M148" s="12">
        <v>1200</v>
      </c>
      <c r="N148" s="12">
        <v>1200</v>
      </c>
      <c r="O148" s="12">
        <v>1200</v>
      </c>
      <c r="P148" s="12">
        <v>1200</v>
      </c>
    </row>
    <row r="149" spans="1:16" ht="15.75" x14ac:dyDescent="0.25">
      <c r="A149" s="1">
        <v>7</v>
      </c>
      <c r="B149" s="15" t="s">
        <v>50</v>
      </c>
      <c r="C149" s="1">
        <v>48</v>
      </c>
      <c r="D149" s="1">
        <v>1420</v>
      </c>
      <c r="E149" s="1">
        <f t="shared" si="4"/>
        <v>68160</v>
      </c>
      <c r="F149" s="13" t="s">
        <v>23</v>
      </c>
      <c r="G149" s="11" t="s">
        <v>24</v>
      </c>
      <c r="H149" s="19" t="s">
        <v>663</v>
      </c>
      <c r="I149" s="11" t="s">
        <v>21</v>
      </c>
      <c r="J149" s="11" t="s">
        <v>21</v>
      </c>
      <c r="K149" s="11" t="s">
        <v>21</v>
      </c>
      <c r="L149" s="11" t="s">
        <v>21</v>
      </c>
      <c r="M149" s="12">
        <v>17040</v>
      </c>
      <c r="N149" s="12">
        <v>17040</v>
      </c>
      <c r="O149" s="12">
        <v>17040</v>
      </c>
      <c r="P149" s="12">
        <v>17040</v>
      </c>
    </row>
    <row r="150" spans="1:16" ht="15.75" x14ac:dyDescent="0.25">
      <c r="A150" s="1">
        <v>9</v>
      </c>
      <c r="B150" s="15" t="s">
        <v>51</v>
      </c>
      <c r="C150" s="1">
        <v>200</v>
      </c>
      <c r="D150" s="1">
        <v>650</v>
      </c>
      <c r="E150" s="1">
        <f t="shared" si="4"/>
        <v>130000</v>
      </c>
      <c r="F150" s="13" t="s">
        <v>23</v>
      </c>
      <c r="G150" s="11" t="s">
        <v>24</v>
      </c>
      <c r="H150" s="19" t="s">
        <v>663</v>
      </c>
      <c r="I150" s="11" t="s">
        <v>21</v>
      </c>
      <c r="J150" s="11" t="s">
        <v>21</v>
      </c>
      <c r="K150" s="11" t="s">
        <v>21</v>
      </c>
      <c r="L150" s="11" t="s">
        <v>21</v>
      </c>
      <c r="M150" s="12">
        <v>32500</v>
      </c>
      <c r="N150" s="12">
        <v>32500</v>
      </c>
      <c r="O150" s="12">
        <v>32500</v>
      </c>
      <c r="P150" s="12">
        <v>32500</v>
      </c>
    </row>
    <row r="151" spans="1:16" ht="15.75" x14ac:dyDescent="0.25">
      <c r="A151" s="1">
        <v>10</v>
      </c>
      <c r="B151" s="15" t="s">
        <v>52</v>
      </c>
      <c r="C151" s="1">
        <v>96</v>
      </c>
      <c r="D151" s="1">
        <v>320</v>
      </c>
      <c r="E151" s="1">
        <f t="shared" si="4"/>
        <v>30720</v>
      </c>
      <c r="F151" s="13" t="s">
        <v>23</v>
      </c>
      <c r="G151" s="11" t="s">
        <v>24</v>
      </c>
      <c r="H151" s="19" t="s">
        <v>663</v>
      </c>
      <c r="I151" s="11" t="s">
        <v>21</v>
      </c>
      <c r="J151" s="11" t="s">
        <v>21</v>
      </c>
      <c r="K151" s="11" t="s">
        <v>21</v>
      </c>
      <c r="L151" s="11" t="s">
        <v>21</v>
      </c>
      <c r="M151" s="12">
        <v>7680</v>
      </c>
      <c r="N151" s="12">
        <v>7680</v>
      </c>
      <c r="O151" s="12">
        <v>7680</v>
      </c>
      <c r="P151" s="12">
        <v>7680</v>
      </c>
    </row>
    <row r="152" spans="1:16" ht="15.75" x14ac:dyDescent="0.25">
      <c r="A152" s="1">
        <v>11</v>
      </c>
      <c r="B152" s="15" t="s">
        <v>53</v>
      </c>
      <c r="C152" s="1">
        <v>6</v>
      </c>
      <c r="D152" s="1">
        <v>2900</v>
      </c>
      <c r="E152" s="1">
        <f t="shared" si="4"/>
        <v>17400</v>
      </c>
      <c r="F152" s="13" t="s">
        <v>23</v>
      </c>
      <c r="G152" s="11" t="s">
        <v>24</v>
      </c>
      <c r="H152" s="19" t="s">
        <v>663</v>
      </c>
      <c r="I152" s="11" t="s">
        <v>21</v>
      </c>
      <c r="J152" s="11" t="s">
        <v>21</v>
      </c>
      <c r="K152" s="11" t="s">
        <v>21</v>
      </c>
      <c r="L152" s="11" t="s">
        <v>21</v>
      </c>
      <c r="M152" s="12">
        <v>4350</v>
      </c>
      <c r="N152" s="12">
        <v>4350</v>
      </c>
      <c r="O152" s="12">
        <v>4350</v>
      </c>
      <c r="P152" s="12">
        <v>4350</v>
      </c>
    </row>
    <row r="153" spans="1:16" ht="15.75" x14ac:dyDescent="0.25">
      <c r="A153" s="1">
        <v>12</v>
      </c>
      <c r="B153" s="15" t="s">
        <v>54</v>
      </c>
      <c r="C153" s="1">
        <v>48</v>
      </c>
      <c r="D153" s="1">
        <v>395</v>
      </c>
      <c r="E153" s="1">
        <f t="shared" si="4"/>
        <v>18960</v>
      </c>
      <c r="F153" s="13" t="s">
        <v>23</v>
      </c>
      <c r="G153" s="11" t="s">
        <v>24</v>
      </c>
      <c r="H153" s="19" t="s">
        <v>663</v>
      </c>
      <c r="I153" s="11" t="s">
        <v>21</v>
      </c>
      <c r="J153" s="11" t="s">
        <v>21</v>
      </c>
      <c r="K153" s="11" t="s">
        <v>21</v>
      </c>
      <c r="L153" s="11" t="s">
        <v>21</v>
      </c>
      <c r="M153" s="12">
        <v>4740</v>
      </c>
      <c r="N153" s="12">
        <v>4740</v>
      </c>
      <c r="O153" s="12">
        <v>4740</v>
      </c>
      <c r="P153" s="12">
        <v>4740</v>
      </c>
    </row>
    <row r="154" spans="1:16" ht="15.75" x14ac:dyDescent="0.25">
      <c r="A154" s="1">
        <v>13</v>
      </c>
      <c r="B154" s="15" t="s">
        <v>55</v>
      </c>
      <c r="C154" s="1">
        <v>96</v>
      </c>
      <c r="D154" s="1">
        <v>220</v>
      </c>
      <c r="E154" s="1">
        <f t="shared" si="4"/>
        <v>21120</v>
      </c>
      <c r="F154" s="13" t="s">
        <v>23</v>
      </c>
      <c r="G154" s="11" t="s">
        <v>24</v>
      </c>
      <c r="H154" s="19" t="s">
        <v>663</v>
      </c>
      <c r="I154" s="11" t="s">
        <v>21</v>
      </c>
      <c r="J154" s="11" t="s">
        <v>21</v>
      </c>
      <c r="K154" s="11" t="s">
        <v>21</v>
      </c>
      <c r="L154" s="11" t="s">
        <v>21</v>
      </c>
      <c r="M154" s="12">
        <v>5280</v>
      </c>
      <c r="N154" s="12">
        <v>5280</v>
      </c>
      <c r="O154" s="12">
        <v>5280</v>
      </c>
      <c r="P154" s="12">
        <v>5280</v>
      </c>
    </row>
    <row r="155" spans="1:16" ht="15.75" x14ac:dyDescent="0.25">
      <c r="A155" s="1">
        <v>14</v>
      </c>
      <c r="B155" s="15" t="s">
        <v>56</v>
      </c>
      <c r="C155" s="1">
        <v>24</v>
      </c>
      <c r="D155" s="1">
        <v>1030</v>
      </c>
      <c r="E155" s="1">
        <f t="shared" si="4"/>
        <v>24720</v>
      </c>
      <c r="F155" s="13" t="s">
        <v>23</v>
      </c>
      <c r="G155" s="11" t="s">
        <v>24</v>
      </c>
      <c r="H155" s="19" t="s">
        <v>663</v>
      </c>
      <c r="I155" s="11" t="s">
        <v>21</v>
      </c>
      <c r="J155" s="11" t="s">
        <v>21</v>
      </c>
      <c r="K155" s="11" t="s">
        <v>21</v>
      </c>
      <c r="L155" s="11" t="s">
        <v>21</v>
      </c>
      <c r="M155" s="12">
        <v>6180</v>
      </c>
      <c r="N155" s="12">
        <v>6180</v>
      </c>
      <c r="O155" s="12">
        <v>6180</v>
      </c>
      <c r="P155" s="12">
        <v>6180</v>
      </c>
    </row>
    <row r="156" spans="1:16" ht="15.75" x14ac:dyDescent="0.25">
      <c r="A156" s="1">
        <v>15</v>
      </c>
      <c r="B156" s="15" t="s">
        <v>57</v>
      </c>
      <c r="C156" s="1">
        <v>192</v>
      </c>
      <c r="D156" s="1">
        <v>395</v>
      </c>
      <c r="E156" s="1">
        <f t="shared" si="4"/>
        <v>75840</v>
      </c>
      <c r="F156" s="13" t="s">
        <v>23</v>
      </c>
      <c r="G156" s="11" t="s">
        <v>24</v>
      </c>
      <c r="H156" s="19" t="s">
        <v>663</v>
      </c>
      <c r="I156" s="11" t="s">
        <v>21</v>
      </c>
      <c r="J156" s="11" t="s">
        <v>21</v>
      </c>
      <c r="K156" s="11" t="s">
        <v>21</v>
      </c>
      <c r="L156" s="11" t="s">
        <v>21</v>
      </c>
      <c r="M156" s="12">
        <v>18960</v>
      </c>
      <c r="N156" s="12">
        <v>18960</v>
      </c>
      <c r="O156" s="12">
        <v>18960</v>
      </c>
      <c r="P156" s="12">
        <v>18960</v>
      </c>
    </row>
    <row r="157" spans="1:16" ht="15.75" x14ac:dyDescent="0.25">
      <c r="A157" s="1">
        <v>16</v>
      </c>
      <c r="B157" s="15" t="s">
        <v>58</v>
      </c>
      <c r="C157" s="1">
        <v>48</v>
      </c>
      <c r="D157" s="1">
        <v>420</v>
      </c>
      <c r="E157" s="1">
        <f t="shared" si="4"/>
        <v>20160</v>
      </c>
      <c r="F157" s="13" t="s">
        <v>23</v>
      </c>
      <c r="G157" s="11" t="s">
        <v>24</v>
      </c>
      <c r="H157" s="19" t="s">
        <v>663</v>
      </c>
      <c r="I157" s="11" t="s">
        <v>21</v>
      </c>
      <c r="J157" s="11" t="s">
        <v>21</v>
      </c>
      <c r="K157" s="11" t="s">
        <v>21</v>
      </c>
      <c r="L157" s="11" t="s">
        <v>21</v>
      </c>
      <c r="M157" s="12">
        <v>5040</v>
      </c>
      <c r="N157" s="12">
        <v>5040</v>
      </c>
      <c r="O157" s="12">
        <v>5040</v>
      </c>
      <c r="P157" s="12">
        <v>5040</v>
      </c>
    </row>
    <row r="158" spans="1:16" ht="15.75" x14ac:dyDescent="0.25">
      <c r="A158" s="1">
        <v>17</v>
      </c>
      <c r="B158" s="15" t="s">
        <v>59</v>
      </c>
      <c r="C158" s="1">
        <v>18</v>
      </c>
      <c r="D158" s="1">
        <v>480</v>
      </c>
      <c r="E158" s="1">
        <f t="shared" si="4"/>
        <v>8640</v>
      </c>
      <c r="F158" s="13" t="s">
        <v>23</v>
      </c>
      <c r="G158" s="11" t="s">
        <v>24</v>
      </c>
      <c r="H158" s="19" t="s">
        <v>663</v>
      </c>
      <c r="I158" s="11" t="s">
        <v>21</v>
      </c>
      <c r="J158" s="11" t="s">
        <v>21</v>
      </c>
      <c r="K158" s="11" t="s">
        <v>21</v>
      </c>
      <c r="L158" s="11" t="s">
        <v>21</v>
      </c>
      <c r="M158" s="12">
        <v>2160</v>
      </c>
      <c r="N158" s="12">
        <v>2160</v>
      </c>
      <c r="O158" s="12">
        <v>2160</v>
      </c>
      <c r="P158" s="12">
        <v>2160</v>
      </c>
    </row>
    <row r="159" spans="1:16" ht="15.75" x14ac:dyDescent="0.25">
      <c r="A159" s="1">
        <v>18</v>
      </c>
      <c r="B159" s="15" t="s">
        <v>60</v>
      </c>
      <c r="C159" s="1">
        <v>100</v>
      </c>
      <c r="D159" s="1">
        <v>195</v>
      </c>
      <c r="E159" s="1">
        <f t="shared" si="4"/>
        <v>19500</v>
      </c>
      <c r="F159" s="13" t="s">
        <v>23</v>
      </c>
      <c r="G159" s="11" t="s">
        <v>24</v>
      </c>
      <c r="H159" s="19" t="s">
        <v>663</v>
      </c>
      <c r="I159" s="11" t="s">
        <v>21</v>
      </c>
      <c r="J159" s="11" t="s">
        <v>21</v>
      </c>
      <c r="K159" s="11" t="s">
        <v>21</v>
      </c>
      <c r="L159" s="11" t="s">
        <v>21</v>
      </c>
      <c r="M159" s="12">
        <v>4875</v>
      </c>
      <c r="N159" s="12">
        <v>4875</v>
      </c>
      <c r="O159" s="12">
        <v>4875</v>
      </c>
      <c r="P159" s="12">
        <v>4875</v>
      </c>
    </row>
    <row r="160" spans="1:16" ht="15.75" x14ac:dyDescent="0.25">
      <c r="A160" s="1">
        <v>19</v>
      </c>
      <c r="B160" s="15" t="s">
        <v>61</v>
      </c>
      <c r="C160" s="1">
        <v>48</v>
      </c>
      <c r="D160" s="1">
        <v>700</v>
      </c>
      <c r="E160" s="1">
        <f t="shared" si="4"/>
        <v>33600</v>
      </c>
      <c r="F160" s="13" t="s">
        <v>23</v>
      </c>
      <c r="G160" s="11" t="s">
        <v>24</v>
      </c>
      <c r="H160" s="19" t="s">
        <v>663</v>
      </c>
      <c r="I160" s="11" t="s">
        <v>21</v>
      </c>
      <c r="J160" s="11" t="s">
        <v>21</v>
      </c>
      <c r="K160" s="11" t="s">
        <v>21</v>
      </c>
      <c r="L160" s="11" t="s">
        <v>21</v>
      </c>
      <c r="M160" s="12">
        <v>8400</v>
      </c>
      <c r="N160" s="12">
        <v>8400</v>
      </c>
      <c r="O160" s="12">
        <v>8400</v>
      </c>
      <c r="P160" s="12">
        <v>8400</v>
      </c>
    </row>
    <row r="161" spans="1:16" ht="15.75" x14ac:dyDescent="0.25">
      <c r="A161" s="1">
        <v>20</v>
      </c>
      <c r="B161" s="15" t="s">
        <v>62</v>
      </c>
      <c r="C161" s="1">
        <v>10</v>
      </c>
      <c r="D161" s="1">
        <v>195</v>
      </c>
      <c r="E161" s="1">
        <f t="shared" si="4"/>
        <v>1950</v>
      </c>
      <c r="F161" s="13" t="s">
        <v>23</v>
      </c>
      <c r="G161" s="11" t="s">
        <v>24</v>
      </c>
      <c r="H161" s="19" t="s">
        <v>663</v>
      </c>
      <c r="I161" s="11" t="s">
        <v>21</v>
      </c>
      <c r="J161" s="11" t="s">
        <v>21</v>
      </c>
      <c r="K161" s="11" t="s">
        <v>21</v>
      </c>
      <c r="L161" s="11" t="s">
        <v>21</v>
      </c>
      <c r="M161" s="12">
        <v>488</v>
      </c>
      <c r="N161" s="12">
        <v>488</v>
      </c>
      <c r="O161" s="12">
        <v>488</v>
      </c>
      <c r="P161" s="12">
        <v>488</v>
      </c>
    </row>
    <row r="162" spans="1:16" ht="15.75" x14ac:dyDescent="0.25">
      <c r="A162" s="1">
        <v>21</v>
      </c>
      <c r="B162" s="15" t="s">
        <v>63</v>
      </c>
      <c r="C162" s="1">
        <v>15</v>
      </c>
      <c r="D162" s="1">
        <v>180</v>
      </c>
      <c r="E162" s="1">
        <f t="shared" si="4"/>
        <v>2700</v>
      </c>
      <c r="F162" s="13" t="s">
        <v>23</v>
      </c>
      <c r="G162" s="11" t="s">
        <v>24</v>
      </c>
      <c r="H162" s="19" t="s">
        <v>663</v>
      </c>
      <c r="I162" s="11" t="s">
        <v>21</v>
      </c>
      <c r="J162" s="11" t="s">
        <v>21</v>
      </c>
      <c r="K162" s="11" t="s">
        <v>21</v>
      </c>
      <c r="L162" s="11" t="s">
        <v>21</v>
      </c>
      <c r="M162" s="12">
        <v>675</v>
      </c>
      <c r="N162" s="12">
        <v>675</v>
      </c>
      <c r="O162" s="12">
        <v>675</v>
      </c>
      <c r="P162" s="12">
        <v>675</v>
      </c>
    </row>
    <row r="163" spans="1:16" ht="15.75" x14ac:dyDescent="0.25">
      <c r="A163" s="1">
        <v>22</v>
      </c>
      <c r="B163" s="15" t="s">
        <v>64</v>
      </c>
      <c r="C163" s="1">
        <v>10</v>
      </c>
      <c r="D163" s="1">
        <v>400</v>
      </c>
      <c r="E163" s="1">
        <f t="shared" si="4"/>
        <v>4000</v>
      </c>
      <c r="F163" s="13" t="s">
        <v>23</v>
      </c>
      <c r="G163" s="11" t="s">
        <v>24</v>
      </c>
      <c r="H163" s="19" t="s">
        <v>663</v>
      </c>
      <c r="I163" s="11" t="s">
        <v>21</v>
      </c>
      <c r="J163" s="11" t="s">
        <v>21</v>
      </c>
      <c r="K163" s="11" t="s">
        <v>21</v>
      </c>
      <c r="L163" s="11" t="s">
        <v>21</v>
      </c>
      <c r="M163" s="12">
        <v>1000</v>
      </c>
      <c r="N163" s="12">
        <v>1000</v>
      </c>
      <c r="O163" s="12">
        <v>1000</v>
      </c>
      <c r="P163" s="12">
        <v>1000</v>
      </c>
    </row>
    <row r="164" spans="1:16" ht="15.75" x14ac:dyDescent="0.25">
      <c r="A164" s="1">
        <v>23</v>
      </c>
      <c r="B164" s="15" t="s">
        <v>65</v>
      </c>
      <c r="C164" s="1">
        <v>60</v>
      </c>
      <c r="D164" s="1">
        <v>350</v>
      </c>
      <c r="E164" s="1">
        <f t="shared" si="4"/>
        <v>21000</v>
      </c>
      <c r="F164" s="13" t="s">
        <v>23</v>
      </c>
      <c r="G164" s="11" t="s">
        <v>24</v>
      </c>
      <c r="H164" s="19" t="s">
        <v>663</v>
      </c>
      <c r="I164" s="11" t="s">
        <v>21</v>
      </c>
      <c r="J164" s="11" t="s">
        <v>21</v>
      </c>
      <c r="K164" s="11" t="s">
        <v>21</v>
      </c>
      <c r="L164" s="11" t="s">
        <v>21</v>
      </c>
      <c r="M164" s="12">
        <v>5250</v>
      </c>
      <c r="N164" s="12">
        <v>5250</v>
      </c>
      <c r="O164" s="12">
        <v>5250</v>
      </c>
      <c r="P164" s="12">
        <v>5250</v>
      </c>
    </row>
    <row r="165" spans="1:16" ht="15.75" x14ac:dyDescent="0.25">
      <c r="A165" s="1">
        <v>24</v>
      </c>
      <c r="B165" s="15" t="s">
        <v>66</v>
      </c>
      <c r="C165" s="1">
        <v>36</v>
      </c>
      <c r="D165" s="1">
        <v>140</v>
      </c>
      <c r="E165" s="1">
        <f t="shared" si="4"/>
        <v>5040</v>
      </c>
      <c r="F165" s="13" t="s">
        <v>23</v>
      </c>
      <c r="G165" s="11" t="s">
        <v>24</v>
      </c>
      <c r="H165" s="19" t="s">
        <v>663</v>
      </c>
      <c r="I165" s="11" t="s">
        <v>21</v>
      </c>
      <c r="J165" s="11" t="s">
        <v>21</v>
      </c>
      <c r="K165" s="11" t="s">
        <v>21</v>
      </c>
      <c r="L165" s="11" t="s">
        <v>21</v>
      </c>
      <c r="M165" s="12">
        <v>1269</v>
      </c>
      <c r="N165" s="12">
        <v>1269</v>
      </c>
      <c r="O165" s="12">
        <v>1269</v>
      </c>
      <c r="P165" s="12">
        <v>1269</v>
      </c>
    </row>
    <row r="166" spans="1:16" ht="15.75" x14ac:dyDescent="0.25">
      <c r="A166" s="1">
        <v>25</v>
      </c>
      <c r="B166" s="15" t="s">
        <v>67</v>
      </c>
      <c r="C166" s="1">
        <v>144</v>
      </c>
      <c r="D166" s="1">
        <v>120</v>
      </c>
      <c r="E166" s="1">
        <f t="shared" si="4"/>
        <v>17280</v>
      </c>
      <c r="F166" s="13" t="s">
        <v>23</v>
      </c>
      <c r="G166" s="11" t="s">
        <v>24</v>
      </c>
      <c r="H166" s="19" t="s">
        <v>663</v>
      </c>
      <c r="I166" s="11" t="s">
        <v>21</v>
      </c>
      <c r="J166" s="11" t="s">
        <v>21</v>
      </c>
      <c r="K166" s="11" t="s">
        <v>21</v>
      </c>
      <c r="L166" s="11" t="s">
        <v>21</v>
      </c>
      <c r="M166" s="12">
        <v>4320</v>
      </c>
      <c r="N166" s="12">
        <v>4320</v>
      </c>
      <c r="O166" s="12">
        <v>4320</v>
      </c>
      <c r="P166" s="12">
        <v>4320</v>
      </c>
    </row>
    <row r="167" spans="1:16" ht="15.75" x14ac:dyDescent="0.25">
      <c r="A167" s="1">
        <v>26</v>
      </c>
      <c r="B167" s="15" t="s">
        <v>68</v>
      </c>
      <c r="C167" s="1">
        <v>48</v>
      </c>
      <c r="D167" s="1">
        <v>280</v>
      </c>
      <c r="E167" s="1">
        <f>C167*D166</f>
        <v>5760</v>
      </c>
      <c r="F167" s="13" t="s">
        <v>23</v>
      </c>
      <c r="G167" s="11" t="s">
        <v>24</v>
      </c>
      <c r="H167" s="19" t="s">
        <v>663</v>
      </c>
      <c r="I167" s="11" t="s">
        <v>21</v>
      </c>
      <c r="J167" s="11" t="s">
        <v>21</v>
      </c>
      <c r="K167" s="11" t="s">
        <v>21</v>
      </c>
      <c r="L167" s="11" t="s">
        <v>21</v>
      </c>
      <c r="M167" s="12">
        <v>1440</v>
      </c>
      <c r="N167" s="12">
        <v>1440</v>
      </c>
      <c r="O167" s="12">
        <v>1440</v>
      </c>
      <c r="P167" s="12">
        <v>1440</v>
      </c>
    </row>
    <row r="168" spans="1:16" ht="15.75" x14ac:dyDescent="0.25">
      <c r="A168" s="1">
        <v>27</v>
      </c>
      <c r="B168" s="15" t="s">
        <v>69</v>
      </c>
      <c r="C168" s="1">
        <v>12</v>
      </c>
      <c r="D168" s="1">
        <v>240</v>
      </c>
      <c r="E168" s="1">
        <f>C168*D168</f>
        <v>2880</v>
      </c>
      <c r="F168" s="13" t="s">
        <v>23</v>
      </c>
      <c r="G168" s="11" t="s">
        <v>24</v>
      </c>
      <c r="H168" s="19" t="s">
        <v>663</v>
      </c>
      <c r="I168" s="11" t="s">
        <v>21</v>
      </c>
      <c r="J168" s="11" t="s">
        <v>21</v>
      </c>
      <c r="K168" s="11" t="s">
        <v>21</v>
      </c>
      <c r="L168" s="11" t="s">
        <v>21</v>
      </c>
      <c r="M168" s="12">
        <v>720</v>
      </c>
      <c r="N168" s="12">
        <v>720</v>
      </c>
      <c r="O168" s="12">
        <v>720</v>
      </c>
      <c r="P168" s="12">
        <v>720</v>
      </c>
    </row>
    <row r="169" spans="1:16" ht="15.75" x14ac:dyDescent="0.25">
      <c r="A169" s="1">
        <v>28</v>
      </c>
      <c r="B169" s="15" t="s">
        <v>70</v>
      </c>
      <c r="C169" s="1">
        <v>110</v>
      </c>
      <c r="D169" s="1">
        <v>200</v>
      </c>
      <c r="E169" s="1">
        <f>C169*D169</f>
        <v>22000</v>
      </c>
      <c r="F169" s="13" t="s">
        <v>23</v>
      </c>
      <c r="G169" s="11" t="s">
        <v>24</v>
      </c>
      <c r="H169" s="19" t="s">
        <v>663</v>
      </c>
      <c r="I169" s="11" t="s">
        <v>21</v>
      </c>
      <c r="J169" s="11" t="s">
        <v>21</v>
      </c>
      <c r="K169" s="11" t="s">
        <v>21</v>
      </c>
      <c r="L169" s="11" t="s">
        <v>21</v>
      </c>
      <c r="M169" s="12">
        <v>5500</v>
      </c>
      <c r="N169" s="12">
        <v>5500</v>
      </c>
      <c r="O169" s="12">
        <v>5500</v>
      </c>
      <c r="P169" s="12">
        <v>5500</v>
      </c>
    </row>
    <row r="170" spans="1:16" ht="15.75" x14ac:dyDescent="0.25">
      <c r="A170" s="1">
        <v>29</v>
      </c>
      <c r="B170" s="15" t="s">
        <v>71</v>
      </c>
      <c r="C170" s="1">
        <v>40</v>
      </c>
      <c r="D170" s="1">
        <v>2030</v>
      </c>
      <c r="E170" s="1">
        <f>C170*D170</f>
        <v>81200</v>
      </c>
      <c r="F170" s="13" t="s">
        <v>23</v>
      </c>
      <c r="G170" s="11" t="s">
        <v>24</v>
      </c>
      <c r="H170" s="19" t="s">
        <v>663</v>
      </c>
      <c r="I170" s="11" t="s">
        <v>21</v>
      </c>
      <c r="J170" s="11" t="s">
        <v>21</v>
      </c>
      <c r="K170" s="11" t="s">
        <v>21</v>
      </c>
      <c r="L170" s="11" t="s">
        <v>21</v>
      </c>
      <c r="M170" s="12">
        <v>20300</v>
      </c>
      <c r="N170" s="12">
        <v>20300</v>
      </c>
      <c r="O170" s="12">
        <v>20300</v>
      </c>
      <c r="P170" s="12">
        <v>20300</v>
      </c>
    </row>
    <row r="171" spans="1:16" ht="15.75" x14ac:dyDescent="0.25">
      <c r="A171" s="1">
        <v>30</v>
      </c>
      <c r="B171" s="15" t="s">
        <v>72</v>
      </c>
      <c r="C171" s="1">
        <v>192</v>
      </c>
      <c r="D171" s="1">
        <v>180</v>
      </c>
      <c r="E171" s="1">
        <f>C171*D171</f>
        <v>34560</v>
      </c>
      <c r="F171" s="13" t="s">
        <v>23</v>
      </c>
      <c r="G171" s="11" t="s">
        <v>24</v>
      </c>
      <c r="H171" s="19" t="s">
        <v>663</v>
      </c>
      <c r="I171" s="11" t="s">
        <v>21</v>
      </c>
      <c r="J171" s="11" t="s">
        <v>21</v>
      </c>
      <c r="K171" s="11" t="s">
        <v>21</v>
      </c>
      <c r="L171" s="11" t="s">
        <v>21</v>
      </c>
      <c r="M171" s="12">
        <v>8640</v>
      </c>
      <c r="N171" s="12">
        <v>8640</v>
      </c>
      <c r="O171" s="12">
        <v>8640</v>
      </c>
      <c r="P171" s="12">
        <v>8640</v>
      </c>
    </row>
    <row r="172" spans="1:16" ht="15.75" x14ac:dyDescent="0.25">
      <c r="A172" s="1">
        <v>31</v>
      </c>
      <c r="B172" s="33" t="s">
        <v>385</v>
      </c>
      <c r="C172" s="75">
        <v>30</v>
      </c>
      <c r="D172" s="32">
        <v>1500</v>
      </c>
      <c r="E172" s="76">
        <f t="shared" ref="E172:E195" si="5">C172*D172</f>
        <v>45000</v>
      </c>
      <c r="F172" s="19" t="s">
        <v>101</v>
      </c>
      <c r="G172" s="19" t="s">
        <v>75</v>
      </c>
      <c r="H172" s="19" t="s">
        <v>663</v>
      </c>
      <c r="I172" s="11" t="s">
        <v>21</v>
      </c>
      <c r="J172" s="11" t="s">
        <v>21</v>
      </c>
      <c r="K172" s="11" t="s">
        <v>21</v>
      </c>
      <c r="L172" s="11" t="s">
        <v>21</v>
      </c>
      <c r="M172" s="33">
        <v>15000</v>
      </c>
      <c r="N172" s="33">
        <v>10000</v>
      </c>
      <c r="O172" s="33">
        <v>10000</v>
      </c>
      <c r="P172" s="33">
        <v>10000</v>
      </c>
    </row>
    <row r="173" spans="1:16" ht="15.75" x14ac:dyDescent="0.25">
      <c r="A173" s="1">
        <v>32</v>
      </c>
      <c r="B173" s="33" t="s">
        <v>386</v>
      </c>
      <c r="C173" s="75">
        <v>20</v>
      </c>
      <c r="D173" s="32">
        <v>550</v>
      </c>
      <c r="E173" s="33">
        <f t="shared" si="5"/>
        <v>11000</v>
      </c>
      <c r="F173" s="19" t="s">
        <v>101</v>
      </c>
      <c r="G173" s="19" t="s">
        <v>75</v>
      </c>
      <c r="H173" s="19" t="s">
        <v>663</v>
      </c>
      <c r="I173" s="11" t="s">
        <v>21</v>
      </c>
      <c r="J173" s="11" t="s">
        <v>21</v>
      </c>
      <c r="K173" s="11" t="s">
        <v>21</v>
      </c>
      <c r="L173" s="11" t="s">
        <v>21</v>
      </c>
      <c r="M173" s="33">
        <v>5500</v>
      </c>
      <c r="N173" s="33"/>
      <c r="O173" s="33">
        <v>5500</v>
      </c>
      <c r="P173" s="33"/>
    </row>
    <row r="174" spans="1:16" ht="15.75" x14ac:dyDescent="0.25">
      <c r="A174" s="1">
        <v>33</v>
      </c>
      <c r="B174" s="44" t="s">
        <v>487</v>
      </c>
      <c r="C174" s="45">
        <v>10</v>
      </c>
      <c r="D174" s="46">
        <v>3210</v>
      </c>
      <c r="E174" s="46">
        <f t="shared" si="5"/>
        <v>32100</v>
      </c>
      <c r="F174" s="47" t="s">
        <v>156</v>
      </c>
      <c r="G174" s="19" t="s">
        <v>75</v>
      </c>
      <c r="H174" s="19" t="s">
        <v>663</v>
      </c>
      <c r="I174" s="11" t="s">
        <v>21</v>
      </c>
      <c r="J174" s="11" t="s">
        <v>21</v>
      </c>
      <c r="K174" s="11" t="s">
        <v>21</v>
      </c>
      <c r="L174" s="11" t="s">
        <v>21</v>
      </c>
      <c r="M174" s="33">
        <v>16050</v>
      </c>
      <c r="N174" s="33"/>
      <c r="O174" s="33">
        <v>16050</v>
      </c>
      <c r="P174" s="33"/>
    </row>
    <row r="175" spans="1:16" ht="15.75" x14ac:dyDescent="0.25">
      <c r="A175" s="1">
        <v>34</v>
      </c>
      <c r="B175" s="44" t="s">
        <v>488</v>
      </c>
      <c r="C175" s="45">
        <v>20</v>
      </c>
      <c r="D175" s="46">
        <v>1650</v>
      </c>
      <c r="E175" s="46">
        <f t="shared" si="5"/>
        <v>33000</v>
      </c>
      <c r="F175" s="47" t="s">
        <v>156</v>
      </c>
      <c r="G175" s="19" t="s">
        <v>75</v>
      </c>
      <c r="H175" s="19" t="s">
        <v>663</v>
      </c>
      <c r="I175" s="11" t="s">
        <v>21</v>
      </c>
      <c r="J175" s="11" t="s">
        <v>21</v>
      </c>
      <c r="K175" s="11" t="s">
        <v>21</v>
      </c>
      <c r="L175" s="11" t="s">
        <v>21</v>
      </c>
      <c r="M175" s="32">
        <v>8250</v>
      </c>
      <c r="N175" s="32">
        <v>8250</v>
      </c>
      <c r="O175" s="32">
        <v>8250</v>
      </c>
      <c r="P175" s="34">
        <v>8250</v>
      </c>
    </row>
    <row r="176" spans="1:16" ht="15.75" x14ac:dyDescent="0.25">
      <c r="A176" s="1">
        <v>35</v>
      </c>
      <c r="B176" s="44" t="s">
        <v>489</v>
      </c>
      <c r="C176" s="45">
        <v>2</v>
      </c>
      <c r="D176" s="46">
        <v>3200</v>
      </c>
      <c r="E176" s="46">
        <f t="shared" si="5"/>
        <v>6400</v>
      </c>
      <c r="F176" s="47" t="s">
        <v>156</v>
      </c>
      <c r="G176" s="19" t="s">
        <v>75</v>
      </c>
      <c r="H176" s="19" t="s">
        <v>663</v>
      </c>
      <c r="I176" s="11" t="s">
        <v>21</v>
      </c>
      <c r="J176" s="11" t="s">
        <v>21</v>
      </c>
      <c r="K176" s="11" t="s">
        <v>21</v>
      </c>
      <c r="L176" s="11" t="s">
        <v>21</v>
      </c>
      <c r="M176" s="32">
        <v>3200</v>
      </c>
      <c r="N176" s="32"/>
      <c r="O176" s="32">
        <v>3200</v>
      </c>
      <c r="P176" s="34"/>
    </row>
    <row r="177" spans="1:16" ht="15.75" x14ac:dyDescent="0.25">
      <c r="A177" s="1">
        <v>36</v>
      </c>
      <c r="B177" s="44" t="s">
        <v>490</v>
      </c>
      <c r="C177" s="45">
        <v>2</v>
      </c>
      <c r="D177" s="46">
        <v>2400</v>
      </c>
      <c r="E177" s="46">
        <f t="shared" si="5"/>
        <v>4800</v>
      </c>
      <c r="F177" s="47" t="s">
        <v>156</v>
      </c>
      <c r="G177" s="19" t="s">
        <v>75</v>
      </c>
      <c r="H177" s="19" t="s">
        <v>663</v>
      </c>
      <c r="I177" s="11" t="s">
        <v>21</v>
      </c>
      <c r="J177" s="11" t="s">
        <v>21</v>
      </c>
      <c r="K177" s="11" t="s">
        <v>21</v>
      </c>
      <c r="L177" s="11" t="s">
        <v>21</v>
      </c>
      <c r="M177" s="33">
        <v>2400</v>
      </c>
      <c r="N177" s="33"/>
      <c r="O177" s="33">
        <v>2400</v>
      </c>
      <c r="P177" s="33"/>
    </row>
    <row r="178" spans="1:16" ht="15.75" x14ac:dyDescent="0.25">
      <c r="A178" s="1">
        <v>37</v>
      </c>
      <c r="B178" s="44" t="s">
        <v>491</v>
      </c>
      <c r="C178" s="45">
        <v>3</v>
      </c>
      <c r="D178" s="46">
        <v>1200</v>
      </c>
      <c r="E178" s="46">
        <f t="shared" si="5"/>
        <v>3600</v>
      </c>
      <c r="F178" s="47" t="s">
        <v>156</v>
      </c>
      <c r="G178" s="19" t="s">
        <v>75</v>
      </c>
      <c r="H178" s="19" t="s">
        <v>663</v>
      </c>
      <c r="I178" s="11" t="s">
        <v>21</v>
      </c>
      <c r="J178" s="11" t="s">
        <v>21</v>
      </c>
      <c r="K178" s="11" t="s">
        <v>21</v>
      </c>
      <c r="L178" s="11" t="s">
        <v>21</v>
      </c>
      <c r="M178" s="32">
        <v>1200</v>
      </c>
      <c r="N178" s="32">
        <v>1200</v>
      </c>
      <c r="O178" s="32"/>
      <c r="P178" s="34">
        <v>1200</v>
      </c>
    </row>
    <row r="179" spans="1:16" ht="15.75" x14ac:dyDescent="0.25">
      <c r="A179" s="1">
        <v>38</v>
      </c>
      <c r="B179" s="44" t="s">
        <v>492</v>
      </c>
      <c r="C179" s="45">
        <v>2</v>
      </c>
      <c r="D179" s="46">
        <v>13000</v>
      </c>
      <c r="E179" s="46">
        <f t="shared" si="5"/>
        <v>26000</v>
      </c>
      <c r="F179" s="47" t="s">
        <v>156</v>
      </c>
      <c r="G179" s="19" t="s">
        <v>75</v>
      </c>
      <c r="H179" s="19" t="s">
        <v>663</v>
      </c>
      <c r="I179" s="11" t="s">
        <v>21</v>
      </c>
      <c r="J179" s="11" t="s">
        <v>21</v>
      </c>
      <c r="K179" s="11" t="s">
        <v>21</v>
      </c>
      <c r="L179" s="11" t="s">
        <v>21</v>
      </c>
      <c r="M179" s="33">
        <v>13000</v>
      </c>
      <c r="N179" s="33"/>
      <c r="O179" s="33">
        <v>13000</v>
      </c>
      <c r="P179" s="33"/>
    </row>
    <row r="180" spans="1:16" ht="15.75" x14ac:dyDescent="0.25">
      <c r="A180" s="1">
        <v>39</v>
      </c>
      <c r="B180" s="44" t="s">
        <v>493</v>
      </c>
      <c r="C180" s="45">
        <v>2</v>
      </c>
      <c r="D180" s="46">
        <v>9600</v>
      </c>
      <c r="E180" s="46">
        <f t="shared" si="5"/>
        <v>19200</v>
      </c>
      <c r="F180" s="47" t="s">
        <v>156</v>
      </c>
      <c r="G180" s="19" t="s">
        <v>75</v>
      </c>
      <c r="H180" s="19" t="s">
        <v>663</v>
      </c>
      <c r="I180" s="11" t="s">
        <v>21</v>
      </c>
      <c r="J180" s="11" t="s">
        <v>21</v>
      </c>
      <c r="K180" s="11" t="s">
        <v>21</v>
      </c>
      <c r="L180" s="11" t="s">
        <v>21</v>
      </c>
      <c r="M180" s="32">
        <v>9600</v>
      </c>
      <c r="N180" s="32"/>
      <c r="O180" s="34">
        <v>9600</v>
      </c>
      <c r="P180" s="34"/>
    </row>
    <row r="181" spans="1:16" ht="15.75" x14ac:dyDescent="0.25">
      <c r="A181" s="1">
        <v>40</v>
      </c>
      <c r="B181" s="44" t="s">
        <v>494</v>
      </c>
      <c r="C181" s="45">
        <v>2</v>
      </c>
      <c r="D181" s="46">
        <v>1800</v>
      </c>
      <c r="E181" s="46">
        <f t="shared" si="5"/>
        <v>3600</v>
      </c>
      <c r="F181" s="47" t="s">
        <v>156</v>
      </c>
      <c r="G181" s="19" t="s">
        <v>75</v>
      </c>
      <c r="H181" s="19" t="s">
        <v>663</v>
      </c>
      <c r="I181" s="11" t="s">
        <v>21</v>
      </c>
      <c r="J181" s="11" t="s">
        <v>21</v>
      </c>
      <c r="K181" s="11" t="s">
        <v>21</v>
      </c>
      <c r="L181" s="11" t="s">
        <v>21</v>
      </c>
      <c r="M181" s="32">
        <v>1800</v>
      </c>
      <c r="N181" s="32"/>
      <c r="O181" s="32">
        <v>1800</v>
      </c>
      <c r="P181" s="34"/>
    </row>
    <row r="182" spans="1:16" ht="15.75" x14ac:dyDescent="0.25">
      <c r="A182" s="1">
        <v>41</v>
      </c>
      <c r="B182" s="44" t="s">
        <v>495</v>
      </c>
      <c r="C182" s="45">
        <v>2</v>
      </c>
      <c r="D182" s="46">
        <v>1560</v>
      </c>
      <c r="E182" s="46">
        <f t="shared" si="5"/>
        <v>3120</v>
      </c>
      <c r="F182" s="47" t="s">
        <v>156</v>
      </c>
      <c r="G182" s="19" t="s">
        <v>75</v>
      </c>
      <c r="H182" s="19" t="s">
        <v>663</v>
      </c>
      <c r="I182" s="11" t="s">
        <v>21</v>
      </c>
      <c r="J182" s="11" t="s">
        <v>21</v>
      </c>
      <c r="K182" s="11" t="s">
        <v>21</v>
      </c>
      <c r="L182" s="11" t="s">
        <v>21</v>
      </c>
      <c r="M182" s="33">
        <v>1560</v>
      </c>
      <c r="N182" s="33"/>
      <c r="O182" s="33">
        <v>1560</v>
      </c>
      <c r="P182" s="33"/>
    </row>
    <row r="183" spans="1:16" ht="15.75" x14ac:dyDescent="0.25">
      <c r="A183" s="1">
        <v>42</v>
      </c>
      <c r="B183" s="44" t="s">
        <v>496</v>
      </c>
      <c r="C183" s="45">
        <v>1</v>
      </c>
      <c r="D183" s="46">
        <v>7500</v>
      </c>
      <c r="E183" s="46">
        <f t="shared" si="5"/>
        <v>7500</v>
      </c>
      <c r="F183" s="47" t="s">
        <v>156</v>
      </c>
      <c r="G183" s="19" t="s">
        <v>75</v>
      </c>
      <c r="H183" s="19" t="s">
        <v>663</v>
      </c>
      <c r="I183" s="11" t="s">
        <v>21</v>
      </c>
      <c r="J183" s="11" t="s">
        <v>21</v>
      </c>
      <c r="K183" s="11" t="s">
        <v>21</v>
      </c>
      <c r="L183" s="11" t="s">
        <v>21</v>
      </c>
      <c r="M183" s="32">
        <v>7500</v>
      </c>
      <c r="N183" s="32"/>
      <c r="O183" s="32"/>
      <c r="P183" s="34"/>
    </row>
    <row r="184" spans="1:16" ht="15.75" x14ac:dyDescent="0.25">
      <c r="A184" s="1">
        <v>43</v>
      </c>
      <c r="B184" s="44" t="s">
        <v>497</v>
      </c>
      <c r="C184" s="45">
        <v>6</v>
      </c>
      <c r="D184" s="46">
        <v>1110</v>
      </c>
      <c r="E184" s="46">
        <f t="shared" si="5"/>
        <v>6660</v>
      </c>
      <c r="F184" s="47" t="s">
        <v>156</v>
      </c>
      <c r="G184" s="19" t="s">
        <v>75</v>
      </c>
      <c r="H184" s="19" t="s">
        <v>663</v>
      </c>
      <c r="I184" s="11" t="s">
        <v>21</v>
      </c>
      <c r="J184" s="11" t="s">
        <v>21</v>
      </c>
      <c r="K184" s="11" t="s">
        <v>21</v>
      </c>
      <c r="L184" s="11" t="s">
        <v>21</v>
      </c>
      <c r="M184" s="32"/>
      <c r="N184" s="32">
        <v>6660</v>
      </c>
      <c r="O184" s="32"/>
      <c r="P184" s="34"/>
    </row>
    <row r="185" spans="1:16" ht="15.75" x14ac:dyDescent="0.25">
      <c r="A185" s="1">
        <v>44</v>
      </c>
      <c r="B185" s="44" t="s">
        <v>498</v>
      </c>
      <c r="C185" s="45">
        <v>180</v>
      </c>
      <c r="D185" s="46">
        <v>150</v>
      </c>
      <c r="E185" s="46">
        <f t="shared" si="5"/>
        <v>27000</v>
      </c>
      <c r="F185" s="47" t="s">
        <v>156</v>
      </c>
      <c r="G185" s="19" t="s">
        <v>75</v>
      </c>
      <c r="H185" s="19" t="s">
        <v>663</v>
      </c>
      <c r="I185" s="11" t="s">
        <v>21</v>
      </c>
      <c r="J185" s="11" t="s">
        <v>21</v>
      </c>
      <c r="K185" s="11" t="s">
        <v>21</v>
      </c>
      <c r="L185" s="11" t="s">
        <v>21</v>
      </c>
      <c r="M185" s="33">
        <v>6750</v>
      </c>
      <c r="N185" s="33">
        <v>6750</v>
      </c>
      <c r="O185" s="33">
        <v>6750</v>
      </c>
      <c r="P185" s="33">
        <v>6750</v>
      </c>
    </row>
    <row r="186" spans="1:16" ht="15.75" x14ac:dyDescent="0.25">
      <c r="A186" s="1">
        <v>45</v>
      </c>
      <c r="B186" s="44" t="s">
        <v>499</v>
      </c>
      <c r="C186" s="45">
        <v>360</v>
      </c>
      <c r="D186" s="46">
        <v>140</v>
      </c>
      <c r="E186" s="46">
        <f t="shared" si="5"/>
        <v>50400</v>
      </c>
      <c r="F186" s="47" t="s">
        <v>156</v>
      </c>
      <c r="G186" s="19" t="s">
        <v>75</v>
      </c>
      <c r="H186" s="19" t="s">
        <v>663</v>
      </c>
      <c r="I186" s="11" t="s">
        <v>21</v>
      </c>
      <c r="J186" s="11" t="s">
        <v>21</v>
      </c>
      <c r="K186" s="11" t="s">
        <v>21</v>
      </c>
      <c r="L186" s="11" t="s">
        <v>21</v>
      </c>
      <c r="M186" s="32">
        <v>12600</v>
      </c>
      <c r="N186" s="32">
        <v>12600</v>
      </c>
      <c r="O186" s="32">
        <v>12600</v>
      </c>
      <c r="P186" s="34">
        <v>12600</v>
      </c>
    </row>
    <row r="187" spans="1:16" ht="15.75" x14ac:dyDescent="0.25">
      <c r="A187" s="1">
        <v>46</v>
      </c>
      <c r="B187" s="44" t="s">
        <v>500</v>
      </c>
      <c r="C187" s="45">
        <v>75</v>
      </c>
      <c r="D187" s="46">
        <v>650</v>
      </c>
      <c r="E187" s="46">
        <f t="shared" si="5"/>
        <v>48750</v>
      </c>
      <c r="F187" s="47" t="s">
        <v>156</v>
      </c>
      <c r="G187" s="19" t="s">
        <v>75</v>
      </c>
      <c r="H187" s="19" t="s">
        <v>663</v>
      </c>
      <c r="I187" s="11" t="s">
        <v>21</v>
      </c>
      <c r="J187" s="11" t="s">
        <v>21</v>
      </c>
      <c r="K187" s="11" t="s">
        <v>21</v>
      </c>
      <c r="L187" s="11" t="s">
        <v>21</v>
      </c>
      <c r="M187" s="33">
        <v>24375</v>
      </c>
      <c r="N187" s="33"/>
      <c r="O187" s="33">
        <v>24375</v>
      </c>
      <c r="P187" s="33"/>
    </row>
    <row r="188" spans="1:16" ht="15.75" x14ac:dyDescent="0.25">
      <c r="A188" s="1">
        <v>47</v>
      </c>
      <c r="B188" s="44" t="s">
        <v>64</v>
      </c>
      <c r="C188" s="45">
        <v>10</v>
      </c>
      <c r="D188" s="46">
        <v>800</v>
      </c>
      <c r="E188" s="46">
        <f t="shared" si="5"/>
        <v>8000</v>
      </c>
      <c r="F188" s="47" t="s">
        <v>156</v>
      </c>
      <c r="G188" s="19" t="s">
        <v>75</v>
      </c>
      <c r="H188" s="19" t="s">
        <v>663</v>
      </c>
      <c r="I188" s="11" t="s">
        <v>21</v>
      </c>
      <c r="J188" s="11" t="s">
        <v>21</v>
      </c>
      <c r="K188" s="11" t="s">
        <v>21</v>
      </c>
      <c r="L188" s="11" t="s">
        <v>21</v>
      </c>
      <c r="M188" s="32"/>
      <c r="N188" s="32">
        <v>4000</v>
      </c>
      <c r="O188" s="34"/>
      <c r="P188" s="34">
        <v>4000</v>
      </c>
    </row>
    <row r="189" spans="1:16" ht="15.75" x14ac:dyDescent="0.25">
      <c r="A189" s="1">
        <v>48</v>
      </c>
      <c r="B189" s="44" t="s">
        <v>65</v>
      </c>
      <c r="C189" s="45">
        <v>10</v>
      </c>
      <c r="D189" s="46">
        <v>480</v>
      </c>
      <c r="E189" s="46">
        <f t="shared" si="5"/>
        <v>4800</v>
      </c>
      <c r="F189" s="47" t="s">
        <v>156</v>
      </c>
      <c r="G189" s="19" t="s">
        <v>75</v>
      </c>
      <c r="H189" s="19" t="s">
        <v>663</v>
      </c>
      <c r="I189" s="11" t="s">
        <v>21</v>
      </c>
      <c r="J189" s="11" t="s">
        <v>21</v>
      </c>
      <c r="K189" s="11" t="s">
        <v>21</v>
      </c>
      <c r="L189" s="11" t="s">
        <v>21</v>
      </c>
      <c r="M189" s="32"/>
      <c r="N189" s="32">
        <v>2400</v>
      </c>
      <c r="O189" s="32"/>
      <c r="P189" s="34">
        <v>2400</v>
      </c>
    </row>
    <row r="190" spans="1:16" ht="15.75" x14ac:dyDescent="0.25">
      <c r="A190" s="1">
        <v>49</v>
      </c>
      <c r="B190" s="44" t="s">
        <v>501</v>
      </c>
      <c r="C190" s="45">
        <v>15</v>
      </c>
      <c r="D190" s="46">
        <v>350</v>
      </c>
      <c r="E190" s="46">
        <f t="shared" si="5"/>
        <v>5250</v>
      </c>
      <c r="F190" s="47" t="s">
        <v>156</v>
      </c>
      <c r="G190" s="19" t="s">
        <v>75</v>
      </c>
      <c r="H190" s="19" t="s">
        <v>663</v>
      </c>
      <c r="I190" s="11" t="s">
        <v>21</v>
      </c>
      <c r="J190" s="11" t="s">
        <v>21</v>
      </c>
      <c r="K190" s="11" t="s">
        <v>21</v>
      </c>
      <c r="L190" s="11" t="s">
        <v>21</v>
      </c>
      <c r="M190" s="33"/>
      <c r="N190" s="33">
        <v>2625</v>
      </c>
      <c r="O190" s="33"/>
      <c r="P190" s="33">
        <v>2625</v>
      </c>
    </row>
    <row r="191" spans="1:16" ht="15.75" x14ac:dyDescent="0.25">
      <c r="A191" s="1">
        <v>50</v>
      </c>
      <c r="B191" s="44" t="s">
        <v>502</v>
      </c>
      <c r="C191" s="45">
        <v>10</v>
      </c>
      <c r="D191" s="46">
        <v>350</v>
      </c>
      <c r="E191" s="46">
        <f t="shared" si="5"/>
        <v>3500</v>
      </c>
      <c r="F191" s="47" t="s">
        <v>156</v>
      </c>
      <c r="G191" s="19" t="s">
        <v>75</v>
      </c>
      <c r="H191" s="19" t="s">
        <v>663</v>
      </c>
      <c r="I191" s="11" t="s">
        <v>21</v>
      </c>
      <c r="J191" s="11" t="s">
        <v>21</v>
      </c>
      <c r="K191" s="11" t="s">
        <v>21</v>
      </c>
      <c r="L191" s="11" t="s">
        <v>21</v>
      </c>
      <c r="M191" s="32"/>
      <c r="N191" s="32">
        <v>3500</v>
      </c>
      <c r="O191" s="32"/>
      <c r="P191" s="34"/>
    </row>
    <row r="192" spans="1:16" ht="15.75" x14ac:dyDescent="0.25">
      <c r="A192" s="1">
        <v>51</v>
      </c>
      <c r="B192" s="44" t="s">
        <v>503</v>
      </c>
      <c r="C192" s="45">
        <v>15</v>
      </c>
      <c r="D192" s="46">
        <v>400</v>
      </c>
      <c r="E192" s="46">
        <f t="shared" si="5"/>
        <v>6000</v>
      </c>
      <c r="F192" s="47" t="s">
        <v>156</v>
      </c>
      <c r="G192" s="19" t="s">
        <v>75</v>
      </c>
      <c r="H192" s="19" t="s">
        <v>663</v>
      </c>
      <c r="I192" s="11" t="s">
        <v>21</v>
      </c>
      <c r="J192" s="11" t="s">
        <v>21</v>
      </c>
      <c r="K192" s="11" t="s">
        <v>21</v>
      </c>
      <c r="L192" s="11" t="s">
        <v>21</v>
      </c>
      <c r="M192" s="32"/>
      <c r="N192" s="32">
        <v>3000</v>
      </c>
      <c r="O192" s="32"/>
      <c r="P192" s="34">
        <v>3000</v>
      </c>
    </row>
    <row r="193" spans="1:16" ht="15.75" x14ac:dyDescent="0.25">
      <c r="A193" s="1">
        <v>52</v>
      </c>
      <c r="B193" s="44" t="s">
        <v>504</v>
      </c>
      <c r="C193" s="45">
        <v>10</v>
      </c>
      <c r="D193" s="46">
        <v>400</v>
      </c>
      <c r="E193" s="46">
        <f t="shared" si="5"/>
        <v>4000</v>
      </c>
      <c r="F193" s="47" t="s">
        <v>156</v>
      </c>
      <c r="G193" s="19" t="s">
        <v>75</v>
      </c>
      <c r="H193" s="19" t="s">
        <v>663</v>
      </c>
      <c r="I193" s="11" t="s">
        <v>21</v>
      </c>
      <c r="J193" s="11" t="s">
        <v>21</v>
      </c>
      <c r="K193" s="11" t="s">
        <v>21</v>
      </c>
      <c r="L193" s="11" t="s">
        <v>21</v>
      </c>
      <c r="M193" s="33"/>
      <c r="N193" s="33">
        <v>2000</v>
      </c>
      <c r="O193" s="33"/>
      <c r="P193" s="33">
        <v>2000</v>
      </c>
    </row>
    <row r="194" spans="1:16" ht="15.75" x14ac:dyDescent="0.25">
      <c r="A194" s="1">
        <v>53</v>
      </c>
      <c r="B194" s="44" t="s">
        <v>505</v>
      </c>
      <c r="C194" s="45">
        <v>30</v>
      </c>
      <c r="D194" s="46">
        <v>210</v>
      </c>
      <c r="E194" s="46">
        <f t="shared" si="5"/>
        <v>6300</v>
      </c>
      <c r="F194" s="47" t="s">
        <v>156</v>
      </c>
      <c r="G194" s="19" t="s">
        <v>75</v>
      </c>
      <c r="H194" s="19" t="s">
        <v>663</v>
      </c>
      <c r="I194" s="11" t="s">
        <v>21</v>
      </c>
      <c r="J194" s="11" t="s">
        <v>21</v>
      </c>
      <c r="K194" s="11" t="s">
        <v>21</v>
      </c>
      <c r="L194" s="11" t="s">
        <v>21</v>
      </c>
      <c r="M194" s="32"/>
      <c r="N194" s="32">
        <v>3150</v>
      </c>
      <c r="O194" s="32"/>
      <c r="P194" s="34">
        <v>3150</v>
      </c>
    </row>
    <row r="195" spans="1:16" ht="15.75" x14ac:dyDescent="0.25">
      <c r="A195" s="1">
        <v>54</v>
      </c>
      <c r="B195" s="44" t="s">
        <v>506</v>
      </c>
      <c r="C195" s="45">
        <v>3</v>
      </c>
      <c r="D195" s="46">
        <v>6500</v>
      </c>
      <c r="E195" s="46">
        <f t="shared" si="5"/>
        <v>19500</v>
      </c>
      <c r="F195" s="47" t="s">
        <v>156</v>
      </c>
      <c r="G195" s="19" t="s">
        <v>75</v>
      </c>
      <c r="H195" s="19" t="s">
        <v>663</v>
      </c>
      <c r="I195" s="11" t="s">
        <v>21</v>
      </c>
      <c r="J195" s="11" t="s">
        <v>21</v>
      </c>
      <c r="K195" s="11" t="s">
        <v>21</v>
      </c>
      <c r="L195" s="11" t="s">
        <v>21</v>
      </c>
      <c r="M195" s="33"/>
      <c r="N195" s="33">
        <v>9750</v>
      </c>
      <c r="O195" s="33"/>
      <c r="P195" s="33">
        <v>9750</v>
      </c>
    </row>
    <row r="196" spans="1:16" ht="15.75" x14ac:dyDescent="0.25">
      <c r="A196" s="1">
        <v>55</v>
      </c>
      <c r="B196" s="1" t="s">
        <v>630</v>
      </c>
      <c r="C196" s="1">
        <v>12</v>
      </c>
      <c r="D196" s="1">
        <v>700</v>
      </c>
      <c r="E196" s="8">
        <v>8400</v>
      </c>
      <c r="F196" s="19" t="s">
        <v>559</v>
      </c>
      <c r="G196" s="68" t="s">
        <v>75</v>
      </c>
      <c r="H196" s="19" t="s">
        <v>663</v>
      </c>
      <c r="I196" s="54" t="s">
        <v>210</v>
      </c>
      <c r="J196" s="54" t="s">
        <v>210</v>
      </c>
      <c r="K196" s="54" t="s">
        <v>210</v>
      </c>
      <c r="L196" s="54" t="s">
        <v>210</v>
      </c>
      <c r="M196" s="1">
        <v>2800</v>
      </c>
      <c r="N196" s="1">
        <v>1400</v>
      </c>
      <c r="O196" s="1">
        <v>1400</v>
      </c>
      <c r="P196" s="1">
        <v>1400</v>
      </c>
    </row>
    <row r="197" spans="1:16" ht="15.75" x14ac:dyDescent="0.25">
      <c r="A197" s="1">
        <v>56</v>
      </c>
      <c r="B197" s="1" t="s">
        <v>631</v>
      </c>
      <c r="C197" s="1">
        <v>3</v>
      </c>
      <c r="D197" s="1">
        <v>1800</v>
      </c>
      <c r="E197" s="8">
        <v>5400</v>
      </c>
      <c r="F197" s="19" t="s">
        <v>559</v>
      </c>
      <c r="G197" s="68" t="s">
        <v>75</v>
      </c>
      <c r="H197" s="19" t="s">
        <v>663</v>
      </c>
      <c r="I197" s="54" t="s">
        <v>210</v>
      </c>
      <c r="J197" s="54" t="s">
        <v>210</v>
      </c>
      <c r="K197" s="54" t="s">
        <v>210</v>
      </c>
      <c r="L197" s="54" t="s">
        <v>210</v>
      </c>
      <c r="M197" s="1"/>
      <c r="N197" s="1">
        <v>2700</v>
      </c>
      <c r="O197" s="1">
        <v>2700</v>
      </c>
      <c r="P197" s="1"/>
    </row>
    <row r="198" spans="1:16" x14ac:dyDescent="0.25">
      <c r="A198" s="1">
        <v>57</v>
      </c>
      <c r="B198" s="86" t="s">
        <v>385</v>
      </c>
      <c r="C198" s="1" t="s">
        <v>646</v>
      </c>
      <c r="D198" s="1">
        <v>1200</v>
      </c>
      <c r="E198" s="1">
        <v>36000</v>
      </c>
      <c r="F198" s="19" t="s">
        <v>533</v>
      </c>
      <c r="G198" s="19" t="s">
        <v>75</v>
      </c>
      <c r="H198" s="94" t="s">
        <v>615</v>
      </c>
      <c r="I198" s="54" t="s">
        <v>210</v>
      </c>
      <c r="J198" s="54" t="s">
        <v>210</v>
      </c>
      <c r="K198" s="54" t="s">
        <v>210</v>
      </c>
      <c r="L198" s="54" t="s">
        <v>210</v>
      </c>
      <c r="M198" s="32">
        <v>9000</v>
      </c>
      <c r="N198" s="32">
        <v>9000</v>
      </c>
      <c r="O198" s="32">
        <v>9000</v>
      </c>
      <c r="P198" s="34">
        <v>9000</v>
      </c>
    </row>
    <row r="199" spans="1:16" ht="15.75" x14ac:dyDescent="0.25">
      <c r="A199" s="1"/>
      <c r="B199" s="105" t="s">
        <v>649</v>
      </c>
      <c r="C199" s="106"/>
      <c r="D199" s="107"/>
      <c r="E199" s="108">
        <f>SUM(E143:E198)</f>
        <v>1417770</v>
      </c>
      <c r="F199" s="19"/>
      <c r="G199" s="19"/>
      <c r="H199" s="19"/>
      <c r="I199" s="11"/>
      <c r="J199" s="11"/>
      <c r="K199" s="11"/>
      <c r="L199" s="11"/>
      <c r="M199" s="33"/>
      <c r="N199" s="33"/>
      <c r="O199" s="33"/>
      <c r="P199" s="33"/>
    </row>
    <row r="200" spans="1:16" ht="15.75" x14ac:dyDescent="0.25">
      <c r="A200" s="1"/>
      <c r="B200" s="105"/>
      <c r="C200" s="106"/>
      <c r="D200" s="107"/>
      <c r="E200" s="108"/>
      <c r="F200" s="19"/>
      <c r="G200" s="19"/>
      <c r="H200" s="19"/>
      <c r="I200" s="11"/>
      <c r="J200" s="11"/>
      <c r="K200" s="11"/>
      <c r="L200" s="11"/>
      <c r="M200" s="33"/>
      <c r="N200" s="33"/>
      <c r="O200" s="33"/>
      <c r="P200" s="33"/>
    </row>
    <row r="201" spans="1:1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x14ac:dyDescent="0.25">
      <c r="A202" s="43" t="s">
        <v>738</v>
      </c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31.5" x14ac:dyDescent="0.25">
      <c r="A203" s="1">
        <v>1</v>
      </c>
      <c r="B203" s="15" t="s">
        <v>79</v>
      </c>
      <c r="C203" s="1">
        <v>0</v>
      </c>
      <c r="D203" s="1">
        <v>75000</v>
      </c>
      <c r="E203" s="17">
        <v>75000</v>
      </c>
      <c r="F203" s="13" t="s">
        <v>74</v>
      </c>
      <c r="G203" s="11" t="s">
        <v>75</v>
      </c>
      <c r="H203" s="11" t="s">
        <v>663</v>
      </c>
      <c r="I203" s="11" t="s">
        <v>21</v>
      </c>
      <c r="J203" s="11" t="s">
        <v>21</v>
      </c>
      <c r="K203" s="11" t="s">
        <v>21</v>
      </c>
      <c r="L203" s="11" t="s">
        <v>21</v>
      </c>
      <c r="M203" s="12">
        <v>75000</v>
      </c>
      <c r="N203" s="12"/>
      <c r="O203" s="12">
        <v>75000</v>
      </c>
      <c r="P203" s="12"/>
    </row>
    <row r="204" spans="1:16" ht="15.75" x14ac:dyDescent="0.25">
      <c r="A204" s="1">
        <v>2</v>
      </c>
      <c r="B204" s="1" t="s">
        <v>91</v>
      </c>
      <c r="C204" s="1"/>
      <c r="D204" s="18"/>
      <c r="E204" s="17">
        <v>45000</v>
      </c>
      <c r="F204" s="19" t="s">
        <v>85</v>
      </c>
      <c r="G204" s="19" t="s">
        <v>75</v>
      </c>
      <c r="H204" s="11" t="s">
        <v>663</v>
      </c>
      <c r="I204" s="11" t="s">
        <v>21</v>
      </c>
      <c r="J204" s="11" t="s">
        <v>21</v>
      </c>
      <c r="K204" s="11" t="s">
        <v>21</v>
      </c>
      <c r="L204" s="11" t="s">
        <v>21</v>
      </c>
      <c r="M204" s="9"/>
      <c r="N204" s="9">
        <v>45000</v>
      </c>
      <c r="O204" s="1"/>
      <c r="P204" s="1"/>
    </row>
    <row r="205" spans="1:16" ht="15.75" x14ac:dyDescent="0.25">
      <c r="A205" s="1">
        <v>3</v>
      </c>
      <c r="B205" s="40" t="s">
        <v>131</v>
      </c>
      <c r="C205" s="1">
        <v>1000</v>
      </c>
      <c r="D205" s="1">
        <v>80</v>
      </c>
      <c r="E205" s="1">
        <f>C205*D205</f>
        <v>80000</v>
      </c>
      <c r="F205" s="19" t="s">
        <v>132</v>
      </c>
      <c r="G205" s="19" t="s">
        <v>75</v>
      </c>
      <c r="H205" s="11" t="s">
        <v>663</v>
      </c>
      <c r="I205" s="11" t="s">
        <v>21</v>
      </c>
      <c r="J205" s="11" t="s">
        <v>21</v>
      </c>
      <c r="K205" s="11" t="s">
        <v>21</v>
      </c>
      <c r="L205" s="11" t="s">
        <v>21</v>
      </c>
      <c r="M205" s="1">
        <v>80000</v>
      </c>
      <c r="N205" s="1"/>
      <c r="O205" s="1"/>
      <c r="P205" s="1"/>
    </row>
    <row r="206" spans="1:16" ht="30" x14ac:dyDescent="0.25">
      <c r="A206" s="1">
        <v>4</v>
      </c>
      <c r="B206" s="40" t="s">
        <v>133</v>
      </c>
      <c r="C206" s="1">
        <v>2000</v>
      </c>
      <c r="D206" s="1">
        <v>80</v>
      </c>
      <c r="E206" s="1">
        <f>C206*D206</f>
        <v>160000</v>
      </c>
      <c r="F206" s="19" t="s">
        <v>132</v>
      </c>
      <c r="G206" s="19" t="s">
        <v>75</v>
      </c>
      <c r="H206" s="11" t="s">
        <v>663</v>
      </c>
      <c r="I206" s="11" t="s">
        <v>21</v>
      </c>
      <c r="J206" s="11" t="s">
        <v>21</v>
      </c>
      <c r="K206" s="11" t="s">
        <v>21</v>
      </c>
      <c r="L206" s="11" t="s">
        <v>21</v>
      </c>
      <c r="M206" s="1">
        <v>160000</v>
      </c>
      <c r="N206" s="1"/>
      <c r="O206" s="1"/>
      <c r="P206" s="1"/>
    </row>
    <row r="207" spans="1:16" ht="15.75" x14ac:dyDescent="0.25">
      <c r="A207" s="1">
        <v>5</v>
      </c>
      <c r="B207" s="1" t="s">
        <v>134</v>
      </c>
      <c r="C207" s="1">
        <v>2000</v>
      </c>
      <c r="D207" s="1">
        <v>30</v>
      </c>
      <c r="E207" s="1">
        <f>C207*D207</f>
        <v>60000</v>
      </c>
      <c r="F207" s="19" t="s">
        <v>132</v>
      </c>
      <c r="G207" s="19" t="s">
        <v>75</v>
      </c>
      <c r="H207" s="11" t="s">
        <v>663</v>
      </c>
      <c r="I207" s="11" t="s">
        <v>21</v>
      </c>
      <c r="J207" s="11" t="s">
        <v>21</v>
      </c>
      <c r="K207" s="11" t="s">
        <v>21</v>
      </c>
      <c r="L207" s="11" t="s">
        <v>21</v>
      </c>
      <c r="M207" s="1">
        <v>60000</v>
      </c>
      <c r="N207" s="1"/>
      <c r="O207" s="1"/>
      <c r="P207" s="1"/>
    </row>
    <row r="208" spans="1:16" ht="15.75" x14ac:dyDescent="0.25">
      <c r="A208" s="1">
        <v>6</v>
      </c>
      <c r="B208" s="50" t="s">
        <v>203</v>
      </c>
      <c r="C208" s="50" t="s">
        <v>204</v>
      </c>
      <c r="D208" s="51">
        <v>3600</v>
      </c>
      <c r="E208" s="51">
        <v>43200</v>
      </c>
      <c r="F208" s="47" t="s">
        <v>185</v>
      </c>
      <c r="G208" s="19" t="s">
        <v>75</v>
      </c>
      <c r="H208" s="11" t="s">
        <v>663</v>
      </c>
      <c r="I208" s="11" t="s">
        <v>21</v>
      </c>
      <c r="J208" s="11" t="s">
        <v>21</v>
      </c>
      <c r="K208" s="11" t="s">
        <v>21</v>
      </c>
      <c r="L208" s="11" t="s">
        <v>21</v>
      </c>
      <c r="M208" s="32">
        <v>21600</v>
      </c>
      <c r="N208" s="32"/>
      <c r="O208" s="32">
        <v>21600</v>
      </c>
      <c r="P208" s="1"/>
    </row>
    <row r="209" spans="1:16" ht="15.75" x14ac:dyDescent="0.25">
      <c r="A209" s="1">
        <v>7</v>
      </c>
      <c r="B209" s="50" t="s">
        <v>206</v>
      </c>
      <c r="C209" s="50" t="s">
        <v>204</v>
      </c>
      <c r="D209" s="51">
        <v>3600</v>
      </c>
      <c r="E209" s="51">
        <v>43200</v>
      </c>
      <c r="F209" s="47" t="s">
        <v>185</v>
      </c>
      <c r="G209" s="19" t="s">
        <v>75</v>
      </c>
      <c r="H209" s="11" t="s">
        <v>663</v>
      </c>
      <c r="I209" s="11" t="s">
        <v>21</v>
      </c>
      <c r="J209" s="11" t="s">
        <v>21</v>
      </c>
      <c r="K209" s="11" t="s">
        <v>21</v>
      </c>
      <c r="L209" s="11" t="s">
        <v>21</v>
      </c>
      <c r="M209" s="33">
        <v>21600</v>
      </c>
      <c r="N209" s="33"/>
      <c r="O209" s="33">
        <v>21600</v>
      </c>
      <c r="P209" s="33"/>
    </row>
    <row r="210" spans="1:16" ht="15.75" x14ac:dyDescent="0.25">
      <c r="A210" s="1">
        <v>8</v>
      </c>
      <c r="B210" s="89" t="s">
        <v>588</v>
      </c>
      <c r="C210" s="89">
        <v>200</v>
      </c>
      <c r="D210" s="1">
        <v>400</v>
      </c>
      <c r="E210" s="18">
        <f>C210*D210</f>
        <v>80000</v>
      </c>
      <c r="F210" s="19" t="s">
        <v>557</v>
      </c>
      <c r="G210" s="68" t="s">
        <v>75</v>
      </c>
      <c r="H210" s="11" t="s">
        <v>663</v>
      </c>
      <c r="I210" s="54" t="s">
        <v>210</v>
      </c>
      <c r="J210" s="54" t="s">
        <v>210</v>
      </c>
      <c r="K210" s="54" t="s">
        <v>210</v>
      </c>
      <c r="L210" s="54" t="s">
        <v>210</v>
      </c>
      <c r="M210" s="1"/>
      <c r="N210" s="1">
        <v>80000</v>
      </c>
      <c r="O210" s="1"/>
      <c r="P210" s="12"/>
    </row>
    <row r="211" spans="1:16" ht="15.75" x14ac:dyDescent="0.25">
      <c r="A211" s="1">
        <v>9</v>
      </c>
      <c r="B211" s="89" t="s">
        <v>595</v>
      </c>
      <c r="C211" s="89">
        <v>10</v>
      </c>
      <c r="D211" s="51">
        <v>1200</v>
      </c>
      <c r="E211" s="51">
        <f>C211*D211</f>
        <v>12000</v>
      </c>
      <c r="F211" s="19" t="s">
        <v>557</v>
      </c>
      <c r="G211" s="68" t="s">
        <v>75</v>
      </c>
      <c r="H211" s="11" t="s">
        <v>663</v>
      </c>
      <c r="I211" s="54" t="s">
        <v>210</v>
      </c>
      <c r="J211" s="54" t="s">
        <v>210</v>
      </c>
      <c r="K211" s="54" t="s">
        <v>210</v>
      </c>
      <c r="L211" s="54" t="s">
        <v>210</v>
      </c>
      <c r="M211" s="33">
        <v>12000</v>
      </c>
      <c r="N211" s="33"/>
      <c r="O211" s="33"/>
      <c r="P211" s="33"/>
    </row>
    <row r="212" spans="1:16" ht="15.75" x14ac:dyDescent="0.25">
      <c r="A212" s="1"/>
      <c r="B212" s="43" t="s">
        <v>649</v>
      </c>
      <c r="C212" s="43"/>
      <c r="D212" s="16"/>
      <c r="E212" s="16">
        <f>SUM(E203:E211)</f>
        <v>598400</v>
      </c>
      <c r="F212" s="42"/>
      <c r="G212" s="19"/>
      <c r="H212" s="11"/>
      <c r="I212" s="11"/>
      <c r="J212" s="11"/>
      <c r="K212" s="11"/>
      <c r="L212" s="11"/>
      <c r="M212" s="9"/>
      <c r="N212" s="9"/>
      <c r="O212" s="1"/>
      <c r="P212" s="1"/>
    </row>
    <row r="213" spans="1:16" ht="15.75" x14ac:dyDescent="0.25">
      <c r="A213" s="1"/>
      <c r="B213" s="1"/>
      <c r="C213" s="1"/>
      <c r="D213" s="18"/>
      <c r="E213" s="17"/>
      <c r="F213" s="19"/>
      <c r="G213" s="19"/>
      <c r="H213" s="11"/>
      <c r="I213" s="11"/>
      <c r="J213" s="11"/>
      <c r="K213" s="11"/>
      <c r="L213" s="11"/>
      <c r="M213" s="9"/>
      <c r="N213" s="9"/>
      <c r="O213" s="1"/>
      <c r="P213" s="1"/>
    </row>
    <row r="214" spans="1:16" ht="15.75" x14ac:dyDescent="0.25">
      <c r="A214" s="1"/>
      <c r="B214" s="1"/>
      <c r="C214" s="1"/>
      <c r="D214" s="1"/>
      <c r="E214" s="1"/>
      <c r="F214" s="1"/>
      <c r="G214" s="1"/>
      <c r="H214" s="11"/>
      <c r="I214" s="1"/>
      <c r="J214" s="1"/>
      <c r="K214" s="1"/>
      <c r="L214" s="1"/>
      <c r="M214" s="1"/>
      <c r="N214" s="1"/>
      <c r="O214" s="1"/>
      <c r="P214" s="1"/>
    </row>
    <row r="215" spans="1:16" ht="15.75" x14ac:dyDescent="0.25">
      <c r="A215" s="43" t="s">
        <v>739</v>
      </c>
      <c r="B215" s="1"/>
      <c r="C215" s="1"/>
      <c r="D215" s="1"/>
      <c r="E215" s="1"/>
      <c r="F215" s="1"/>
      <c r="G215" s="1"/>
      <c r="H215" s="11"/>
      <c r="I215" s="1"/>
      <c r="J215" s="1"/>
      <c r="K215" s="1"/>
      <c r="L215" s="1"/>
      <c r="M215" s="1"/>
      <c r="N215" s="1"/>
      <c r="O215" s="1"/>
      <c r="P215" s="1"/>
    </row>
    <row r="216" spans="1:16" ht="15.75" x14ac:dyDescent="0.25">
      <c r="A216" s="1">
        <v>1</v>
      </c>
      <c r="B216" s="10" t="s">
        <v>22</v>
      </c>
      <c r="C216" s="1">
        <v>500</v>
      </c>
      <c r="D216" s="1">
        <v>12</v>
      </c>
      <c r="E216" s="1">
        <f t="shared" ref="E216:E235" si="6">C216*D216</f>
        <v>6000</v>
      </c>
      <c r="F216" s="11" t="s">
        <v>23</v>
      </c>
      <c r="G216" s="11" t="s">
        <v>24</v>
      </c>
      <c r="H216" s="11" t="s">
        <v>663</v>
      </c>
      <c r="I216" s="11" t="s">
        <v>21</v>
      </c>
      <c r="J216" s="11" t="s">
        <v>21</v>
      </c>
      <c r="K216" s="11" t="s">
        <v>21</v>
      </c>
      <c r="L216" s="11" t="s">
        <v>21</v>
      </c>
      <c r="M216" s="12">
        <v>6000</v>
      </c>
      <c r="N216" s="12"/>
      <c r="O216" s="12"/>
      <c r="P216" s="12"/>
    </row>
    <row r="217" spans="1:16" ht="15.75" x14ac:dyDescent="0.25">
      <c r="A217" s="1">
        <v>2</v>
      </c>
      <c r="B217" s="10" t="s">
        <v>26</v>
      </c>
      <c r="C217" s="1">
        <v>40</v>
      </c>
      <c r="D217" s="1">
        <v>80</v>
      </c>
      <c r="E217" s="1">
        <f t="shared" si="6"/>
        <v>3200</v>
      </c>
      <c r="F217" s="13" t="s">
        <v>23</v>
      </c>
      <c r="G217" s="11" t="s">
        <v>24</v>
      </c>
      <c r="H217" s="11" t="s">
        <v>663</v>
      </c>
      <c r="I217" s="11" t="s">
        <v>21</v>
      </c>
      <c r="J217" s="11" t="s">
        <v>21</v>
      </c>
      <c r="K217" s="11" t="s">
        <v>21</v>
      </c>
      <c r="L217" s="11" t="s">
        <v>21</v>
      </c>
      <c r="M217" s="12">
        <v>3200</v>
      </c>
      <c r="N217" s="12"/>
      <c r="O217" s="12"/>
      <c r="P217" s="12"/>
    </row>
    <row r="218" spans="1:16" ht="15.75" x14ac:dyDescent="0.25">
      <c r="A218" s="1">
        <v>3</v>
      </c>
      <c r="B218" s="10" t="s">
        <v>27</v>
      </c>
      <c r="C218" s="1">
        <v>500</v>
      </c>
      <c r="D218" s="1">
        <v>10</v>
      </c>
      <c r="E218" s="1">
        <f t="shared" si="6"/>
        <v>5000</v>
      </c>
      <c r="F218" s="13" t="s">
        <v>23</v>
      </c>
      <c r="G218" s="11" t="s">
        <v>24</v>
      </c>
      <c r="H218" s="11" t="s">
        <v>663</v>
      </c>
      <c r="I218" s="11" t="s">
        <v>21</v>
      </c>
      <c r="J218" s="11" t="s">
        <v>21</v>
      </c>
      <c r="K218" s="11" t="s">
        <v>21</v>
      </c>
      <c r="L218" s="11" t="s">
        <v>21</v>
      </c>
      <c r="M218" s="12">
        <v>5000</v>
      </c>
      <c r="N218" s="12"/>
      <c r="O218" s="12"/>
      <c r="P218" s="12"/>
    </row>
    <row r="219" spans="1:16" ht="15.75" x14ac:dyDescent="0.25">
      <c r="A219" s="1">
        <v>4</v>
      </c>
      <c r="B219" s="10" t="s">
        <v>28</v>
      </c>
      <c r="C219" s="1">
        <v>80</v>
      </c>
      <c r="D219" s="1">
        <v>174</v>
      </c>
      <c r="E219" s="1">
        <f t="shared" si="6"/>
        <v>13920</v>
      </c>
      <c r="F219" s="13" t="s">
        <v>23</v>
      </c>
      <c r="G219" s="11" t="s">
        <v>24</v>
      </c>
      <c r="H219" s="11" t="s">
        <v>663</v>
      </c>
      <c r="I219" s="11" t="s">
        <v>21</v>
      </c>
      <c r="J219" s="11" t="s">
        <v>21</v>
      </c>
      <c r="K219" s="11" t="s">
        <v>21</v>
      </c>
      <c r="L219" s="11" t="s">
        <v>21</v>
      </c>
      <c r="M219" s="12">
        <v>3480</v>
      </c>
      <c r="N219" s="12">
        <v>3480</v>
      </c>
      <c r="O219" s="12">
        <v>3480</v>
      </c>
      <c r="P219" s="12">
        <v>3480</v>
      </c>
    </row>
    <row r="220" spans="1:16" ht="15.75" x14ac:dyDescent="0.25">
      <c r="A220" s="1">
        <v>5</v>
      </c>
      <c r="B220" s="10" t="s">
        <v>29</v>
      </c>
      <c r="C220" s="1">
        <v>48</v>
      </c>
      <c r="D220" s="1">
        <v>60</v>
      </c>
      <c r="E220" s="1">
        <f t="shared" si="6"/>
        <v>2880</v>
      </c>
      <c r="F220" s="13" t="s">
        <v>23</v>
      </c>
      <c r="G220" s="11" t="s">
        <v>24</v>
      </c>
      <c r="H220" s="11" t="s">
        <v>663</v>
      </c>
      <c r="I220" s="11" t="s">
        <v>21</v>
      </c>
      <c r="J220" s="11" t="s">
        <v>21</v>
      </c>
      <c r="K220" s="11" t="s">
        <v>21</v>
      </c>
      <c r="L220" s="11" t="s">
        <v>21</v>
      </c>
      <c r="M220" s="12">
        <v>720</v>
      </c>
      <c r="N220" s="12">
        <v>720</v>
      </c>
      <c r="O220" s="12">
        <v>720</v>
      </c>
      <c r="P220" s="12">
        <v>720</v>
      </c>
    </row>
    <row r="221" spans="1:16" ht="15.75" x14ac:dyDescent="0.25">
      <c r="A221" s="1">
        <v>6</v>
      </c>
      <c r="B221" s="10" t="s">
        <v>30</v>
      </c>
      <c r="C221" s="1">
        <v>96</v>
      </c>
      <c r="D221" s="1">
        <v>262</v>
      </c>
      <c r="E221" s="1">
        <f t="shared" si="6"/>
        <v>25152</v>
      </c>
      <c r="F221" s="13" t="s">
        <v>23</v>
      </c>
      <c r="G221" s="11" t="s">
        <v>24</v>
      </c>
      <c r="H221" s="11" t="s">
        <v>663</v>
      </c>
      <c r="I221" s="11" t="s">
        <v>21</v>
      </c>
      <c r="J221" s="11" t="s">
        <v>21</v>
      </c>
      <c r="K221" s="11" t="s">
        <v>21</v>
      </c>
      <c r="L221" s="11" t="s">
        <v>21</v>
      </c>
      <c r="M221" s="12">
        <v>6312</v>
      </c>
      <c r="N221" s="12">
        <v>6312</v>
      </c>
      <c r="O221" s="12">
        <v>6312</v>
      </c>
      <c r="P221" s="12">
        <v>6312</v>
      </c>
    </row>
    <row r="222" spans="1:16" ht="15.75" x14ac:dyDescent="0.25">
      <c r="A222" s="1">
        <v>7</v>
      </c>
      <c r="B222" s="10" t="s">
        <v>31</v>
      </c>
      <c r="C222" s="1">
        <v>48</v>
      </c>
      <c r="D222" s="1">
        <v>225</v>
      </c>
      <c r="E222" s="1">
        <f t="shared" si="6"/>
        <v>10800</v>
      </c>
      <c r="F222" s="13" t="s">
        <v>23</v>
      </c>
      <c r="G222" s="11" t="s">
        <v>24</v>
      </c>
      <c r="H222" s="11" t="s">
        <v>663</v>
      </c>
      <c r="I222" s="11" t="s">
        <v>21</v>
      </c>
      <c r="J222" s="11" t="s">
        <v>21</v>
      </c>
      <c r="K222" s="11" t="s">
        <v>21</v>
      </c>
      <c r="L222" s="11" t="s">
        <v>21</v>
      </c>
      <c r="M222" s="12">
        <v>2712</v>
      </c>
      <c r="N222" s="12">
        <v>2712</v>
      </c>
      <c r="O222" s="12">
        <v>2712</v>
      </c>
      <c r="P222" s="12">
        <v>2712</v>
      </c>
    </row>
    <row r="223" spans="1:16" ht="15.75" x14ac:dyDescent="0.25">
      <c r="A223" s="1">
        <v>8</v>
      </c>
      <c r="B223" s="10" t="s">
        <v>32</v>
      </c>
      <c r="C223" s="1">
        <v>40</v>
      </c>
      <c r="D223" s="1">
        <v>331</v>
      </c>
      <c r="E223" s="1">
        <f t="shared" si="6"/>
        <v>13240</v>
      </c>
      <c r="F223" s="13" t="s">
        <v>23</v>
      </c>
      <c r="G223" s="11" t="s">
        <v>24</v>
      </c>
      <c r="H223" s="11" t="s">
        <v>663</v>
      </c>
      <c r="I223" s="11" t="s">
        <v>21</v>
      </c>
      <c r="J223" s="11" t="s">
        <v>21</v>
      </c>
      <c r="K223" s="11" t="s">
        <v>21</v>
      </c>
      <c r="L223" s="11" t="s">
        <v>21</v>
      </c>
      <c r="M223" s="12">
        <v>3310</v>
      </c>
      <c r="N223" s="12">
        <v>3310</v>
      </c>
      <c r="O223" s="12">
        <v>3310</v>
      </c>
      <c r="P223" s="12">
        <v>3310</v>
      </c>
    </row>
    <row r="224" spans="1:16" ht="15.75" x14ac:dyDescent="0.25">
      <c r="A224" s="1">
        <v>9</v>
      </c>
      <c r="B224" s="10" t="s">
        <v>33</v>
      </c>
      <c r="C224" s="1">
        <v>48</v>
      </c>
      <c r="D224" s="1">
        <v>225</v>
      </c>
      <c r="E224" s="1">
        <f t="shared" si="6"/>
        <v>10800</v>
      </c>
      <c r="F224" s="13" t="s">
        <v>23</v>
      </c>
      <c r="G224" s="11" t="s">
        <v>24</v>
      </c>
      <c r="H224" s="11" t="s">
        <v>663</v>
      </c>
      <c r="I224" s="11" t="s">
        <v>21</v>
      </c>
      <c r="J224" s="11" t="s">
        <v>21</v>
      </c>
      <c r="K224" s="11" t="s">
        <v>21</v>
      </c>
      <c r="L224" s="11" t="s">
        <v>21</v>
      </c>
      <c r="M224" s="12">
        <v>2700</v>
      </c>
      <c r="N224" s="12">
        <v>2700</v>
      </c>
      <c r="O224" s="12">
        <v>2700</v>
      </c>
      <c r="P224" s="12">
        <v>2700</v>
      </c>
    </row>
    <row r="225" spans="1:16" ht="15.75" x14ac:dyDescent="0.25">
      <c r="A225" s="1">
        <v>10</v>
      </c>
      <c r="B225" s="10" t="s">
        <v>34</v>
      </c>
      <c r="C225" s="1">
        <v>48</v>
      </c>
      <c r="D225" s="1">
        <v>42</v>
      </c>
      <c r="E225" s="1">
        <f t="shared" si="6"/>
        <v>2016</v>
      </c>
      <c r="F225" s="13" t="s">
        <v>23</v>
      </c>
      <c r="G225" s="11" t="s">
        <v>24</v>
      </c>
      <c r="H225" s="11" t="s">
        <v>663</v>
      </c>
      <c r="I225" s="11" t="s">
        <v>21</v>
      </c>
      <c r="J225" s="11" t="s">
        <v>21</v>
      </c>
      <c r="K225" s="11" t="s">
        <v>21</v>
      </c>
      <c r="L225" s="11" t="s">
        <v>21</v>
      </c>
      <c r="M225" s="12">
        <v>504</v>
      </c>
      <c r="N225" s="12">
        <v>504</v>
      </c>
      <c r="O225" s="12">
        <v>504</v>
      </c>
      <c r="P225" s="12">
        <v>504</v>
      </c>
    </row>
    <row r="226" spans="1:16" ht="15.75" x14ac:dyDescent="0.25">
      <c r="A226" s="1">
        <v>11</v>
      </c>
      <c r="B226" s="10" t="s">
        <v>35</v>
      </c>
      <c r="C226" s="1">
        <v>96</v>
      </c>
      <c r="D226" s="1">
        <v>83</v>
      </c>
      <c r="E226" s="14">
        <f t="shared" si="6"/>
        <v>7968</v>
      </c>
      <c r="F226" s="13" t="s">
        <v>23</v>
      </c>
      <c r="G226" s="11" t="s">
        <v>24</v>
      </c>
      <c r="H226" s="11" t="s">
        <v>663</v>
      </c>
      <c r="I226" s="11" t="s">
        <v>21</v>
      </c>
      <c r="J226" s="11" t="s">
        <v>21</v>
      </c>
      <c r="K226" s="11" t="s">
        <v>21</v>
      </c>
      <c r="L226" s="11" t="s">
        <v>21</v>
      </c>
      <c r="M226" s="12">
        <v>1992</v>
      </c>
      <c r="N226" s="12">
        <v>1992</v>
      </c>
      <c r="O226" s="12">
        <v>1992</v>
      </c>
      <c r="P226" s="12">
        <v>1992</v>
      </c>
    </row>
    <row r="227" spans="1:16" ht="15.75" x14ac:dyDescent="0.25">
      <c r="A227" s="1">
        <v>12</v>
      </c>
      <c r="B227" s="10" t="s">
        <v>36</v>
      </c>
      <c r="C227" s="1">
        <v>48</v>
      </c>
      <c r="D227" s="1">
        <v>60</v>
      </c>
      <c r="E227" s="14">
        <f t="shared" si="6"/>
        <v>2880</v>
      </c>
      <c r="F227" s="13" t="s">
        <v>23</v>
      </c>
      <c r="G227" s="11" t="s">
        <v>24</v>
      </c>
      <c r="H227" s="11" t="s">
        <v>663</v>
      </c>
      <c r="I227" s="11" t="s">
        <v>21</v>
      </c>
      <c r="J227" s="11" t="s">
        <v>21</v>
      </c>
      <c r="K227" s="11" t="s">
        <v>21</v>
      </c>
      <c r="L227" s="11" t="s">
        <v>21</v>
      </c>
      <c r="M227" s="12">
        <v>720</v>
      </c>
      <c r="N227" s="12">
        <v>720</v>
      </c>
      <c r="O227" s="12">
        <v>720</v>
      </c>
      <c r="P227" s="12">
        <v>720</v>
      </c>
    </row>
    <row r="228" spans="1:16" ht="15.75" x14ac:dyDescent="0.25">
      <c r="A228" s="1">
        <v>13</v>
      </c>
      <c r="B228" s="10" t="s">
        <v>37</v>
      </c>
      <c r="C228" s="1">
        <v>120</v>
      </c>
      <c r="D228" s="1">
        <v>40</v>
      </c>
      <c r="E228" s="14">
        <f t="shared" si="6"/>
        <v>4800</v>
      </c>
      <c r="F228" s="13" t="s">
        <v>23</v>
      </c>
      <c r="G228" s="11" t="s">
        <v>24</v>
      </c>
      <c r="H228" s="11" t="s">
        <v>663</v>
      </c>
      <c r="I228" s="11" t="s">
        <v>21</v>
      </c>
      <c r="J228" s="11" t="s">
        <v>21</v>
      </c>
      <c r="K228" s="11" t="s">
        <v>21</v>
      </c>
      <c r="L228" s="11" t="s">
        <v>21</v>
      </c>
      <c r="M228" s="12">
        <v>1200</v>
      </c>
      <c r="N228" s="12">
        <v>1200</v>
      </c>
      <c r="O228" s="12">
        <v>1200</v>
      </c>
      <c r="P228" s="12">
        <v>1200</v>
      </c>
    </row>
    <row r="229" spans="1:16" ht="15.75" x14ac:dyDescent="0.25">
      <c r="A229" s="1">
        <v>14</v>
      </c>
      <c r="B229" s="10" t="s">
        <v>38</v>
      </c>
      <c r="C229" s="1">
        <v>10</v>
      </c>
      <c r="D229" s="1">
        <v>640</v>
      </c>
      <c r="E229" s="14">
        <f t="shared" si="6"/>
        <v>6400</v>
      </c>
      <c r="F229" s="13" t="s">
        <v>23</v>
      </c>
      <c r="G229" s="11" t="s">
        <v>24</v>
      </c>
      <c r="H229" s="11" t="s">
        <v>663</v>
      </c>
      <c r="I229" s="11" t="s">
        <v>21</v>
      </c>
      <c r="J229" s="11" t="s">
        <v>21</v>
      </c>
      <c r="K229" s="11" t="s">
        <v>21</v>
      </c>
      <c r="L229" s="11" t="s">
        <v>21</v>
      </c>
      <c r="M229" s="12">
        <v>1600</v>
      </c>
      <c r="N229" s="12">
        <v>1600</v>
      </c>
      <c r="O229" s="12">
        <v>1600</v>
      </c>
      <c r="P229" s="12">
        <v>1600</v>
      </c>
    </row>
    <row r="230" spans="1:16" ht="15.75" x14ac:dyDescent="0.25">
      <c r="A230" s="1">
        <v>15</v>
      </c>
      <c r="B230" s="10" t="s">
        <v>39</v>
      </c>
      <c r="C230" s="1">
        <v>200</v>
      </c>
      <c r="D230" s="1">
        <v>538</v>
      </c>
      <c r="E230" s="1">
        <f t="shared" si="6"/>
        <v>107600</v>
      </c>
      <c r="F230" s="13" t="s">
        <v>23</v>
      </c>
      <c r="G230" s="11" t="s">
        <v>24</v>
      </c>
      <c r="H230" s="11" t="s">
        <v>663</v>
      </c>
      <c r="I230" s="11" t="s">
        <v>21</v>
      </c>
      <c r="J230" s="11" t="s">
        <v>21</v>
      </c>
      <c r="K230" s="11" t="s">
        <v>21</v>
      </c>
      <c r="L230" s="11" t="s">
        <v>21</v>
      </c>
      <c r="M230" s="12">
        <v>26900</v>
      </c>
      <c r="N230" s="12">
        <v>26900</v>
      </c>
      <c r="O230" s="12">
        <v>26900</v>
      </c>
      <c r="P230" s="12">
        <v>26900</v>
      </c>
    </row>
    <row r="231" spans="1:16" ht="15.75" x14ac:dyDescent="0.25">
      <c r="A231" s="1">
        <v>16</v>
      </c>
      <c r="B231" s="10" t="s">
        <v>40</v>
      </c>
      <c r="C231" s="1">
        <v>96</v>
      </c>
      <c r="D231" s="1">
        <v>36</v>
      </c>
      <c r="E231" s="14">
        <f t="shared" si="6"/>
        <v>3456</v>
      </c>
      <c r="F231" s="13" t="s">
        <v>23</v>
      </c>
      <c r="G231" s="11" t="s">
        <v>24</v>
      </c>
      <c r="H231" s="11" t="s">
        <v>663</v>
      </c>
      <c r="I231" s="11" t="s">
        <v>21</v>
      </c>
      <c r="J231" s="11" t="s">
        <v>21</v>
      </c>
      <c r="K231" s="11" t="s">
        <v>21</v>
      </c>
      <c r="L231" s="11" t="s">
        <v>21</v>
      </c>
      <c r="M231" s="12">
        <v>864</v>
      </c>
      <c r="N231" s="12">
        <v>864</v>
      </c>
      <c r="O231" s="12">
        <v>864</v>
      </c>
      <c r="P231" s="12">
        <v>864</v>
      </c>
    </row>
    <row r="232" spans="1:16" ht="15.75" x14ac:dyDescent="0.25">
      <c r="A232" s="1">
        <v>17</v>
      </c>
      <c r="B232" s="10" t="s">
        <v>41</v>
      </c>
      <c r="C232" s="1">
        <v>480</v>
      </c>
      <c r="D232" s="1">
        <v>89</v>
      </c>
      <c r="E232" s="14">
        <f t="shared" si="6"/>
        <v>42720</v>
      </c>
      <c r="F232" s="13" t="s">
        <v>23</v>
      </c>
      <c r="G232" s="11" t="s">
        <v>24</v>
      </c>
      <c r="H232" s="11" t="s">
        <v>663</v>
      </c>
      <c r="I232" s="11" t="s">
        <v>21</v>
      </c>
      <c r="J232" s="11" t="s">
        <v>21</v>
      </c>
      <c r="K232" s="11" t="s">
        <v>21</v>
      </c>
      <c r="L232" s="11" t="s">
        <v>21</v>
      </c>
      <c r="M232" s="12">
        <v>10680</v>
      </c>
      <c r="N232" s="12">
        <v>10680</v>
      </c>
      <c r="O232" s="12">
        <v>10680</v>
      </c>
      <c r="P232" s="12">
        <v>10680</v>
      </c>
    </row>
    <row r="233" spans="1:16" ht="15.75" x14ac:dyDescent="0.25">
      <c r="A233" s="1">
        <v>18</v>
      </c>
      <c r="B233" s="10" t="s">
        <v>42</v>
      </c>
      <c r="C233" s="1">
        <v>96</v>
      </c>
      <c r="D233" s="1">
        <v>36</v>
      </c>
      <c r="E233" s="14">
        <f t="shared" si="6"/>
        <v>3456</v>
      </c>
      <c r="F233" s="13" t="s">
        <v>23</v>
      </c>
      <c r="G233" s="11" t="s">
        <v>24</v>
      </c>
      <c r="H233" s="11" t="s">
        <v>663</v>
      </c>
      <c r="I233" s="11" t="s">
        <v>21</v>
      </c>
      <c r="J233" s="11" t="s">
        <v>21</v>
      </c>
      <c r="K233" s="11" t="s">
        <v>21</v>
      </c>
      <c r="L233" s="11" t="s">
        <v>21</v>
      </c>
      <c r="M233" s="12">
        <v>864</v>
      </c>
      <c r="N233" s="12">
        <v>864</v>
      </c>
      <c r="O233" s="12">
        <v>864</v>
      </c>
      <c r="P233" s="12">
        <v>864</v>
      </c>
    </row>
    <row r="234" spans="1:16" ht="15.75" x14ac:dyDescent="0.25">
      <c r="A234" s="1">
        <v>19</v>
      </c>
      <c r="B234" s="15" t="s">
        <v>43</v>
      </c>
      <c r="C234" s="1">
        <v>4</v>
      </c>
      <c r="D234" s="1">
        <v>960</v>
      </c>
      <c r="E234" s="14">
        <f t="shared" si="6"/>
        <v>3840</v>
      </c>
      <c r="F234" s="13" t="s">
        <v>23</v>
      </c>
      <c r="G234" s="11" t="s">
        <v>24</v>
      </c>
      <c r="H234" s="11" t="s">
        <v>663</v>
      </c>
      <c r="I234" s="11" t="s">
        <v>21</v>
      </c>
      <c r="J234" s="11" t="s">
        <v>21</v>
      </c>
      <c r="K234" s="11" t="s">
        <v>21</v>
      </c>
      <c r="L234" s="11" t="s">
        <v>21</v>
      </c>
      <c r="M234" s="12">
        <v>960</v>
      </c>
      <c r="N234" s="12">
        <v>960</v>
      </c>
      <c r="O234" s="12">
        <v>960</v>
      </c>
      <c r="P234" s="12">
        <v>960</v>
      </c>
    </row>
    <row r="235" spans="1:16" ht="15.75" x14ac:dyDescent="0.25">
      <c r="A235" s="1">
        <v>20</v>
      </c>
      <c r="B235" s="1" t="s">
        <v>98</v>
      </c>
      <c r="C235" s="1">
        <v>7</v>
      </c>
      <c r="D235" s="18">
        <v>1000</v>
      </c>
      <c r="E235" s="17">
        <f t="shared" si="6"/>
        <v>7000</v>
      </c>
      <c r="F235" s="19" t="s">
        <v>85</v>
      </c>
      <c r="G235" s="19" t="s">
        <v>75</v>
      </c>
      <c r="H235" s="11" t="s">
        <v>663</v>
      </c>
      <c r="I235" s="11" t="s">
        <v>21</v>
      </c>
      <c r="J235" s="11" t="s">
        <v>21</v>
      </c>
      <c r="K235" s="11" t="s">
        <v>21</v>
      </c>
      <c r="L235" s="11" t="s">
        <v>21</v>
      </c>
      <c r="M235" s="9">
        <v>7000</v>
      </c>
      <c r="N235" s="1"/>
      <c r="O235" s="1"/>
      <c r="P235" s="1"/>
    </row>
    <row r="236" spans="1:16" ht="15.75" x14ac:dyDescent="0.25">
      <c r="A236" s="1">
        <v>21</v>
      </c>
      <c r="B236" s="1" t="s">
        <v>99</v>
      </c>
      <c r="C236" s="1"/>
      <c r="D236" s="18"/>
      <c r="E236" s="17">
        <v>5000</v>
      </c>
      <c r="F236" s="19" t="s">
        <v>85</v>
      </c>
      <c r="G236" s="19" t="s">
        <v>75</v>
      </c>
      <c r="H236" s="11" t="s">
        <v>663</v>
      </c>
      <c r="I236" s="11" t="s">
        <v>21</v>
      </c>
      <c r="J236" s="11" t="s">
        <v>21</v>
      </c>
      <c r="K236" s="11" t="s">
        <v>21</v>
      </c>
      <c r="L236" s="11" t="s">
        <v>21</v>
      </c>
      <c r="M236" s="9">
        <v>5000</v>
      </c>
      <c r="N236" s="1"/>
      <c r="O236" s="1"/>
      <c r="P236" s="1"/>
    </row>
    <row r="237" spans="1:16" ht="15.75" x14ac:dyDescent="0.25">
      <c r="A237" s="1">
        <v>22</v>
      </c>
      <c r="B237" s="44" t="s">
        <v>159</v>
      </c>
      <c r="C237" s="45">
        <v>2</v>
      </c>
      <c r="D237" s="46">
        <v>12000</v>
      </c>
      <c r="E237" s="46">
        <f t="shared" ref="E237:E252" si="7">C237*D237</f>
        <v>24000</v>
      </c>
      <c r="F237" s="47" t="s">
        <v>156</v>
      </c>
      <c r="G237" s="19" t="s">
        <v>75</v>
      </c>
      <c r="H237" s="11" t="s">
        <v>663</v>
      </c>
      <c r="I237" s="11" t="s">
        <v>21</v>
      </c>
      <c r="J237" s="11" t="s">
        <v>21</v>
      </c>
      <c r="K237" s="11" t="s">
        <v>21</v>
      </c>
      <c r="L237" s="11" t="s">
        <v>21</v>
      </c>
      <c r="M237" s="33">
        <v>12000</v>
      </c>
      <c r="N237" s="33"/>
      <c r="O237" s="33">
        <v>12000</v>
      </c>
      <c r="P237" s="33"/>
    </row>
    <row r="238" spans="1:16" ht="15.75" x14ac:dyDescent="0.25">
      <c r="A238" s="1">
        <v>23</v>
      </c>
      <c r="B238" s="44" t="s">
        <v>160</v>
      </c>
      <c r="C238" s="45">
        <v>1</v>
      </c>
      <c r="D238" s="46">
        <v>10250</v>
      </c>
      <c r="E238" s="46">
        <f t="shared" si="7"/>
        <v>10250</v>
      </c>
      <c r="F238" s="47" t="s">
        <v>156</v>
      </c>
      <c r="G238" s="19" t="s">
        <v>75</v>
      </c>
      <c r="H238" s="11" t="s">
        <v>663</v>
      </c>
      <c r="I238" s="11" t="s">
        <v>21</v>
      </c>
      <c r="J238" s="11" t="s">
        <v>21</v>
      </c>
      <c r="K238" s="11" t="s">
        <v>21</v>
      </c>
      <c r="L238" s="11" t="s">
        <v>21</v>
      </c>
      <c r="M238" s="32">
        <v>10250</v>
      </c>
      <c r="N238" s="32"/>
      <c r="O238" s="32"/>
      <c r="P238" s="34"/>
    </row>
    <row r="239" spans="1:16" ht="15.75" x14ac:dyDescent="0.25">
      <c r="A239" s="1">
        <v>24</v>
      </c>
      <c r="B239" s="44" t="s">
        <v>161</v>
      </c>
      <c r="C239" s="45">
        <v>3</v>
      </c>
      <c r="D239" s="46">
        <v>4000</v>
      </c>
      <c r="E239" s="46">
        <f t="shared" si="7"/>
        <v>12000</v>
      </c>
      <c r="F239" s="47" t="s">
        <v>156</v>
      </c>
      <c r="G239" s="19" t="s">
        <v>75</v>
      </c>
      <c r="H239" s="11" t="s">
        <v>663</v>
      </c>
      <c r="I239" s="11" t="s">
        <v>21</v>
      </c>
      <c r="J239" s="11" t="s">
        <v>21</v>
      </c>
      <c r="K239" s="11" t="s">
        <v>21</v>
      </c>
      <c r="L239" s="11" t="s">
        <v>21</v>
      </c>
      <c r="M239" s="32">
        <v>12000</v>
      </c>
      <c r="N239" s="32"/>
      <c r="O239" s="34"/>
      <c r="P239" s="1"/>
    </row>
    <row r="240" spans="1:16" ht="15.75" x14ac:dyDescent="0.25">
      <c r="A240" s="1">
        <v>25</v>
      </c>
      <c r="B240" s="44" t="s">
        <v>162</v>
      </c>
      <c r="C240" s="45">
        <v>2</v>
      </c>
      <c r="D240" s="46">
        <v>1440</v>
      </c>
      <c r="E240" s="46">
        <f t="shared" si="7"/>
        <v>2880</v>
      </c>
      <c r="F240" s="47" t="s">
        <v>156</v>
      </c>
      <c r="G240" s="19" t="s">
        <v>75</v>
      </c>
      <c r="H240" s="11" t="s">
        <v>663</v>
      </c>
      <c r="I240" s="11" t="s">
        <v>21</v>
      </c>
      <c r="J240" s="11" t="s">
        <v>21</v>
      </c>
      <c r="K240" s="11" t="s">
        <v>21</v>
      </c>
      <c r="L240" s="11" t="s">
        <v>21</v>
      </c>
      <c r="M240" s="32"/>
      <c r="N240" s="32">
        <v>2880</v>
      </c>
      <c r="O240" s="32"/>
      <c r="P240" s="34"/>
    </row>
    <row r="241" spans="1:16" ht="15.75" x14ac:dyDescent="0.25">
      <c r="A241" s="1">
        <v>26</v>
      </c>
      <c r="B241" s="44" t="s">
        <v>163</v>
      </c>
      <c r="C241" s="45">
        <v>2</v>
      </c>
      <c r="D241" s="46">
        <v>1440</v>
      </c>
      <c r="E241" s="46">
        <f t="shared" si="7"/>
        <v>2880</v>
      </c>
      <c r="F241" s="47" t="s">
        <v>156</v>
      </c>
      <c r="G241" s="19" t="s">
        <v>75</v>
      </c>
      <c r="H241" s="11" t="s">
        <v>663</v>
      </c>
      <c r="I241" s="11" t="s">
        <v>21</v>
      </c>
      <c r="J241" s="11" t="s">
        <v>21</v>
      </c>
      <c r="K241" s="11" t="s">
        <v>21</v>
      </c>
      <c r="L241" s="11" t="s">
        <v>21</v>
      </c>
      <c r="M241" s="32"/>
      <c r="N241" s="32">
        <v>2880</v>
      </c>
      <c r="O241" s="32"/>
      <c r="P241" s="34"/>
    </row>
    <row r="242" spans="1:16" ht="15.75" x14ac:dyDescent="0.25">
      <c r="A242" s="1">
        <v>27</v>
      </c>
      <c r="B242" s="44" t="s">
        <v>164</v>
      </c>
      <c r="C242" s="45">
        <v>2</v>
      </c>
      <c r="D242" s="46">
        <v>350</v>
      </c>
      <c r="E242" s="46">
        <f t="shared" si="7"/>
        <v>700</v>
      </c>
      <c r="F242" s="47" t="s">
        <v>156</v>
      </c>
      <c r="G242" s="19" t="s">
        <v>75</v>
      </c>
      <c r="H242" s="11" t="s">
        <v>663</v>
      </c>
      <c r="I242" s="11" t="s">
        <v>21</v>
      </c>
      <c r="J242" s="11" t="s">
        <v>21</v>
      </c>
      <c r="K242" s="11" t="s">
        <v>21</v>
      </c>
      <c r="L242" s="11" t="s">
        <v>21</v>
      </c>
      <c r="M242" s="32"/>
      <c r="N242" s="32">
        <v>700</v>
      </c>
      <c r="O242" s="32"/>
      <c r="P242" s="34"/>
    </row>
    <row r="243" spans="1:16" ht="15.75" x14ac:dyDescent="0.25">
      <c r="A243" s="1">
        <v>28</v>
      </c>
      <c r="B243" s="44" t="s">
        <v>165</v>
      </c>
      <c r="C243" s="45">
        <v>3</v>
      </c>
      <c r="D243" s="46">
        <v>350</v>
      </c>
      <c r="E243" s="46">
        <f t="shared" si="7"/>
        <v>1050</v>
      </c>
      <c r="F243" s="47" t="s">
        <v>156</v>
      </c>
      <c r="G243" s="19" t="s">
        <v>75</v>
      </c>
      <c r="H243" s="11" t="s">
        <v>663</v>
      </c>
      <c r="I243" s="11" t="s">
        <v>21</v>
      </c>
      <c r="J243" s="11" t="s">
        <v>21</v>
      </c>
      <c r="K243" s="11" t="s">
        <v>21</v>
      </c>
      <c r="L243" s="11" t="s">
        <v>21</v>
      </c>
      <c r="M243" s="32"/>
      <c r="N243" s="32">
        <v>1050</v>
      </c>
      <c r="O243" s="32"/>
      <c r="P243" s="34"/>
    </row>
    <row r="244" spans="1:16" ht="15.75" x14ac:dyDescent="0.25">
      <c r="A244" s="1">
        <v>29</v>
      </c>
      <c r="B244" s="44" t="s">
        <v>166</v>
      </c>
      <c r="C244" s="45">
        <v>3</v>
      </c>
      <c r="D244" s="46">
        <v>450</v>
      </c>
      <c r="E244" s="46">
        <f t="shared" si="7"/>
        <v>1350</v>
      </c>
      <c r="F244" s="47" t="s">
        <v>156</v>
      </c>
      <c r="G244" s="19" t="s">
        <v>75</v>
      </c>
      <c r="H244" s="11" t="s">
        <v>663</v>
      </c>
      <c r="I244" s="11" t="s">
        <v>21</v>
      </c>
      <c r="J244" s="11" t="s">
        <v>21</v>
      </c>
      <c r="K244" s="11" t="s">
        <v>21</v>
      </c>
      <c r="L244" s="11" t="s">
        <v>21</v>
      </c>
      <c r="M244" s="32"/>
      <c r="N244" s="32">
        <v>1350</v>
      </c>
      <c r="O244" s="32"/>
      <c r="P244" s="34"/>
    </row>
    <row r="245" spans="1:16" ht="15.75" x14ac:dyDescent="0.25">
      <c r="A245" s="1">
        <v>30</v>
      </c>
      <c r="B245" s="44" t="s">
        <v>167</v>
      </c>
      <c r="C245" s="45">
        <v>3</v>
      </c>
      <c r="D245" s="46">
        <v>700</v>
      </c>
      <c r="E245" s="46">
        <f t="shared" si="7"/>
        <v>2100</v>
      </c>
      <c r="F245" s="47" t="s">
        <v>156</v>
      </c>
      <c r="G245" s="19" t="s">
        <v>75</v>
      </c>
      <c r="H245" s="11" t="s">
        <v>663</v>
      </c>
      <c r="I245" s="11" t="s">
        <v>21</v>
      </c>
      <c r="J245" s="11" t="s">
        <v>21</v>
      </c>
      <c r="K245" s="11" t="s">
        <v>21</v>
      </c>
      <c r="L245" s="11" t="s">
        <v>21</v>
      </c>
      <c r="M245" s="33"/>
      <c r="N245" s="33">
        <v>2100</v>
      </c>
      <c r="O245" s="33"/>
      <c r="P245" s="33"/>
    </row>
    <row r="246" spans="1:16" ht="15.75" x14ac:dyDescent="0.25">
      <c r="A246" s="1">
        <v>31</v>
      </c>
      <c r="B246" s="44" t="s">
        <v>168</v>
      </c>
      <c r="C246" s="45">
        <v>12</v>
      </c>
      <c r="D246" s="46">
        <v>350</v>
      </c>
      <c r="E246" s="46">
        <f t="shared" si="7"/>
        <v>4200</v>
      </c>
      <c r="F246" s="47" t="s">
        <v>156</v>
      </c>
      <c r="G246" s="19" t="s">
        <v>75</v>
      </c>
      <c r="H246" s="11" t="s">
        <v>663</v>
      </c>
      <c r="I246" s="11" t="s">
        <v>21</v>
      </c>
      <c r="J246" s="11" t="s">
        <v>21</v>
      </c>
      <c r="K246" s="11" t="s">
        <v>21</v>
      </c>
      <c r="L246" s="11" t="s">
        <v>21</v>
      </c>
      <c r="M246" s="32">
        <v>2100</v>
      </c>
      <c r="N246" s="32">
        <v>2100</v>
      </c>
      <c r="O246" s="32"/>
      <c r="P246" s="34"/>
    </row>
    <row r="247" spans="1:16" ht="15.75" x14ac:dyDescent="0.25">
      <c r="A247" s="1">
        <v>32</v>
      </c>
      <c r="B247" s="44" t="s">
        <v>169</v>
      </c>
      <c r="C247" s="45">
        <v>24</v>
      </c>
      <c r="D247" s="46">
        <v>250</v>
      </c>
      <c r="E247" s="46">
        <f t="shared" si="7"/>
        <v>6000</v>
      </c>
      <c r="F247" s="47" t="s">
        <v>156</v>
      </c>
      <c r="G247" s="19" t="s">
        <v>75</v>
      </c>
      <c r="H247" s="11" t="s">
        <v>663</v>
      </c>
      <c r="I247" s="11" t="s">
        <v>21</v>
      </c>
      <c r="J247" s="11" t="s">
        <v>21</v>
      </c>
      <c r="K247" s="11" t="s">
        <v>21</v>
      </c>
      <c r="L247" s="11" t="s">
        <v>21</v>
      </c>
      <c r="M247" s="33">
        <v>3000</v>
      </c>
      <c r="N247" s="33">
        <v>3000</v>
      </c>
      <c r="O247" s="33"/>
      <c r="P247" s="33"/>
    </row>
    <row r="248" spans="1:16" ht="15.75" x14ac:dyDescent="0.25">
      <c r="A248" s="1">
        <v>33</v>
      </c>
      <c r="B248" s="89" t="s">
        <v>584</v>
      </c>
      <c r="C248" s="89">
        <v>150</v>
      </c>
      <c r="D248" s="49">
        <v>180</v>
      </c>
      <c r="E248" s="49">
        <f t="shared" si="7"/>
        <v>27000</v>
      </c>
      <c r="F248" s="19" t="s">
        <v>557</v>
      </c>
      <c r="G248" s="68" t="s">
        <v>75</v>
      </c>
      <c r="H248" s="11" t="s">
        <v>663</v>
      </c>
      <c r="I248" s="54" t="s">
        <v>210</v>
      </c>
      <c r="J248" s="54" t="s">
        <v>210</v>
      </c>
      <c r="K248" s="54" t="s">
        <v>210</v>
      </c>
      <c r="L248" s="54" t="s">
        <v>210</v>
      </c>
      <c r="M248" s="32">
        <v>27000</v>
      </c>
      <c r="N248" s="32"/>
      <c r="O248" s="32"/>
      <c r="P248" s="34"/>
    </row>
    <row r="249" spans="1:16" ht="15.75" x14ac:dyDescent="0.25">
      <c r="A249" s="1">
        <v>34</v>
      </c>
      <c r="B249" s="89" t="s">
        <v>603</v>
      </c>
      <c r="C249" s="89">
        <v>6</v>
      </c>
      <c r="D249" s="14">
        <v>450</v>
      </c>
      <c r="E249" s="17">
        <f t="shared" si="7"/>
        <v>2700</v>
      </c>
      <c r="F249" s="19" t="s">
        <v>557</v>
      </c>
      <c r="G249" s="68" t="s">
        <v>75</v>
      </c>
      <c r="H249" s="11" t="s">
        <v>663</v>
      </c>
      <c r="I249" s="54" t="s">
        <v>210</v>
      </c>
      <c r="J249" s="54" t="s">
        <v>210</v>
      </c>
      <c r="K249" s="54" t="s">
        <v>210</v>
      </c>
      <c r="L249" s="54" t="s">
        <v>210</v>
      </c>
      <c r="M249" s="12">
        <v>2700</v>
      </c>
      <c r="N249" s="12"/>
      <c r="O249" s="12"/>
      <c r="P249" s="12"/>
    </row>
    <row r="250" spans="1:16" ht="15.75" x14ac:dyDescent="0.25">
      <c r="A250" s="1">
        <v>35</v>
      </c>
      <c r="B250" s="89" t="s">
        <v>604</v>
      </c>
      <c r="C250" s="89">
        <v>300</v>
      </c>
      <c r="D250" s="51">
        <v>20</v>
      </c>
      <c r="E250" s="51">
        <f t="shared" si="7"/>
        <v>6000</v>
      </c>
      <c r="F250" s="19" t="s">
        <v>557</v>
      </c>
      <c r="G250" s="68" t="s">
        <v>75</v>
      </c>
      <c r="H250" s="11" t="s">
        <v>663</v>
      </c>
      <c r="I250" s="54" t="s">
        <v>210</v>
      </c>
      <c r="J250" s="54" t="s">
        <v>210</v>
      </c>
      <c r="K250" s="54" t="s">
        <v>210</v>
      </c>
      <c r="L250" s="54" t="s">
        <v>210</v>
      </c>
      <c r="M250" s="33">
        <v>6000</v>
      </c>
      <c r="N250" s="33"/>
      <c r="O250" s="33"/>
      <c r="P250" s="1"/>
    </row>
    <row r="251" spans="1:16" ht="15.75" x14ac:dyDescent="0.25">
      <c r="A251" s="1">
        <v>36</v>
      </c>
      <c r="B251" s="89" t="s">
        <v>605</v>
      </c>
      <c r="C251" s="90">
        <v>300</v>
      </c>
      <c r="D251" s="51">
        <v>10</v>
      </c>
      <c r="E251" s="51">
        <f t="shared" si="7"/>
        <v>3000</v>
      </c>
      <c r="F251" s="19" t="s">
        <v>557</v>
      </c>
      <c r="G251" s="68" t="s">
        <v>75</v>
      </c>
      <c r="H251" s="11" t="s">
        <v>663</v>
      </c>
      <c r="I251" s="54" t="s">
        <v>210</v>
      </c>
      <c r="J251" s="54" t="s">
        <v>210</v>
      </c>
      <c r="K251" s="54" t="s">
        <v>210</v>
      </c>
      <c r="L251" s="54" t="s">
        <v>210</v>
      </c>
      <c r="M251" s="33">
        <v>3000</v>
      </c>
      <c r="N251" s="33"/>
      <c r="O251" s="33"/>
      <c r="P251" s="34"/>
    </row>
    <row r="252" spans="1:16" ht="15.75" x14ac:dyDescent="0.25">
      <c r="A252" s="1">
        <v>37</v>
      </c>
      <c r="B252" s="89" t="s">
        <v>607</v>
      </c>
      <c r="C252" s="89">
        <v>2</v>
      </c>
      <c r="D252" s="1">
        <v>3000</v>
      </c>
      <c r="E252" s="18">
        <f t="shared" si="7"/>
        <v>6000</v>
      </c>
      <c r="F252" s="19" t="s">
        <v>557</v>
      </c>
      <c r="G252" s="68" t="s">
        <v>75</v>
      </c>
      <c r="H252" s="11" t="s">
        <v>663</v>
      </c>
      <c r="I252" s="54" t="s">
        <v>210</v>
      </c>
      <c r="J252" s="54" t="s">
        <v>210</v>
      </c>
      <c r="K252" s="54" t="s">
        <v>210</v>
      </c>
      <c r="L252" s="54" t="s">
        <v>210</v>
      </c>
      <c r="M252" s="1">
        <v>6000</v>
      </c>
      <c r="N252" s="1"/>
      <c r="O252" s="1"/>
      <c r="P252" s="1"/>
    </row>
    <row r="253" spans="1:16" ht="15.75" x14ac:dyDescent="0.25">
      <c r="A253" s="43"/>
      <c r="B253" s="101" t="s">
        <v>649</v>
      </c>
      <c r="C253" s="101"/>
      <c r="D253" s="109"/>
      <c r="E253" s="109">
        <f>SUM(E216:E252)</f>
        <v>400238</v>
      </c>
      <c r="F253" s="19"/>
      <c r="G253" s="68"/>
      <c r="H253" s="26"/>
      <c r="I253" s="54"/>
      <c r="J253" s="54"/>
      <c r="K253" s="54"/>
      <c r="L253" s="54"/>
      <c r="M253" s="32"/>
      <c r="N253" s="32"/>
      <c r="O253" s="32"/>
      <c r="P253" s="34"/>
    </row>
    <row r="254" spans="1:16" x14ac:dyDescent="0.25">
      <c r="A254" s="1"/>
      <c r="B254" s="1"/>
      <c r="C254" s="1"/>
      <c r="D254" s="1"/>
      <c r="E254" s="1"/>
      <c r="F254" s="1"/>
      <c r="G254" s="1"/>
      <c r="H254" s="25"/>
      <c r="I254" s="1"/>
      <c r="J254" s="1"/>
      <c r="K254" s="1"/>
      <c r="L254" s="1"/>
      <c r="M254" s="1"/>
      <c r="N254" s="1"/>
      <c r="O254" s="1"/>
      <c r="P254" s="1"/>
    </row>
    <row r="255" spans="1:16" x14ac:dyDescent="0.25">
      <c r="A255" s="43" t="s">
        <v>740</v>
      </c>
      <c r="B255" s="43"/>
      <c r="C255" s="1"/>
      <c r="D255" s="1"/>
      <c r="E255" s="1"/>
      <c r="F255" s="1"/>
      <c r="G255" s="1"/>
      <c r="H255" s="25"/>
      <c r="I255" s="1"/>
      <c r="J255" s="1"/>
      <c r="K255" s="1"/>
      <c r="L255" s="1"/>
      <c r="M255" s="1"/>
      <c r="N255" s="1"/>
      <c r="O255" s="1"/>
      <c r="P255" s="1"/>
    </row>
    <row r="256" spans="1:16" ht="15.75" x14ac:dyDescent="0.25">
      <c r="A256" s="1">
        <v>1</v>
      </c>
      <c r="B256" s="15" t="s">
        <v>552</v>
      </c>
      <c r="C256" s="1">
        <v>6</v>
      </c>
      <c r="D256" s="1">
        <v>5000</v>
      </c>
      <c r="E256" s="17">
        <f>C256*D256</f>
        <v>30000</v>
      </c>
      <c r="F256" s="13" t="s">
        <v>74</v>
      </c>
      <c r="G256" s="11" t="s">
        <v>75</v>
      </c>
      <c r="H256" s="11" t="s">
        <v>663</v>
      </c>
      <c r="I256" s="11" t="s">
        <v>21</v>
      </c>
      <c r="J256" s="11" t="s">
        <v>21</v>
      </c>
      <c r="K256" s="11" t="s">
        <v>21</v>
      </c>
      <c r="L256" s="11" t="s">
        <v>21</v>
      </c>
      <c r="M256" s="12">
        <v>30000</v>
      </c>
      <c r="N256" s="12"/>
      <c r="O256" s="12"/>
      <c r="P256" s="12"/>
    </row>
    <row r="257" spans="1:16" ht="15.75" x14ac:dyDescent="0.25">
      <c r="A257" s="1">
        <v>2</v>
      </c>
      <c r="B257" s="40" t="s">
        <v>553</v>
      </c>
      <c r="C257" s="1"/>
      <c r="D257" s="1"/>
      <c r="E257" s="18">
        <v>300000</v>
      </c>
      <c r="F257" s="19" t="s">
        <v>132</v>
      </c>
      <c r="G257" s="19" t="s">
        <v>75</v>
      </c>
      <c r="H257" s="11" t="s">
        <v>663</v>
      </c>
      <c r="I257" s="1"/>
      <c r="J257" s="1"/>
      <c r="K257" s="1"/>
      <c r="L257" s="11" t="s">
        <v>21</v>
      </c>
      <c r="M257" s="1">
        <v>300000</v>
      </c>
      <c r="N257" s="1"/>
      <c r="O257" s="1"/>
      <c r="P257" s="1"/>
    </row>
    <row r="258" spans="1:16" ht="15.75" x14ac:dyDescent="0.25">
      <c r="A258" s="1">
        <v>3</v>
      </c>
      <c r="B258" s="89" t="s">
        <v>623</v>
      </c>
      <c r="C258" s="89">
        <v>2</v>
      </c>
      <c r="D258" s="1">
        <v>10000</v>
      </c>
      <c r="E258" s="18">
        <f>C258*D258</f>
        <v>20000</v>
      </c>
      <c r="F258" s="19" t="s">
        <v>557</v>
      </c>
      <c r="G258" s="68" t="s">
        <v>75</v>
      </c>
      <c r="H258" s="11" t="s">
        <v>663</v>
      </c>
      <c r="I258" s="54" t="s">
        <v>210</v>
      </c>
      <c r="J258" s="54" t="s">
        <v>210</v>
      </c>
      <c r="K258" s="54" t="s">
        <v>210</v>
      </c>
      <c r="L258" s="54" t="s">
        <v>210</v>
      </c>
      <c r="M258" s="1">
        <v>20000</v>
      </c>
      <c r="N258" s="1"/>
      <c r="O258" s="1"/>
      <c r="P258" s="1"/>
    </row>
    <row r="259" spans="1:16" x14ac:dyDescent="0.25">
      <c r="A259" s="43"/>
      <c r="B259" s="43" t="s">
        <v>649</v>
      </c>
      <c r="C259" s="43"/>
      <c r="D259" s="43"/>
      <c r="E259" s="97">
        <f>SUM(E256:E258)</f>
        <v>350000</v>
      </c>
      <c r="F259" s="1"/>
      <c r="G259" s="1"/>
      <c r="H259" s="25"/>
      <c r="I259" s="1"/>
      <c r="J259" s="1"/>
      <c r="K259" s="1"/>
      <c r="L259" s="1"/>
      <c r="M259" s="1"/>
      <c r="N259" s="1"/>
      <c r="O259" s="1"/>
      <c r="P259" s="1"/>
    </row>
    <row r="260" spans="1:16" x14ac:dyDescent="0.25">
      <c r="A260" s="1"/>
      <c r="B260" s="1"/>
      <c r="C260" s="1"/>
      <c r="D260" s="1"/>
      <c r="E260" s="1"/>
      <c r="F260" s="1"/>
      <c r="G260" s="1"/>
      <c r="H260" s="25"/>
      <c r="I260" s="1"/>
      <c r="J260" s="1"/>
      <c r="K260" s="1"/>
      <c r="L260" s="1"/>
      <c r="M260" s="1"/>
      <c r="N260" s="1"/>
      <c r="O260" s="1"/>
      <c r="P260" s="1"/>
    </row>
    <row r="261" spans="1:16" x14ac:dyDescent="0.25">
      <c r="A261" s="1"/>
      <c r="B261" s="1"/>
      <c r="C261" s="1"/>
      <c r="D261" s="1"/>
      <c r="E261" s="1"/>
      <c r="F261" s="1"/>
      <c r="G261" s="1"/>
      <c r="H261" s="25"/>
      <c r="I261" s="1"/>
      <c r="J261" s="1"/>
      <c r="K261" s="1"/>
      <c r="L261" s="1"/>
      <c r="M261" s="1"/>
      <c r="N261" s="1"/>
      <c r="O261" s="1"/>
      <c r="P261" s="1"/>
    </row>
    <row r="262" spans="1:16" x14ac:dyDescent="0.25">
      <c r="A262" s="1"/>
      <c r="B262" s="1"/>
      <c r="C262" s="1"/>
      <c r="D262" s="1"/>
      <c r="E262" s="1"/>
      <c r="F262" s="1"/>
      <c r="G262" s="1"/>
      <c r="H262" s="25"/>
      <c r="I262" s="1"/>
      <c r="J262" s="1"/>
      <c r="K262" s="1"/>
      <c r="L262" s="1"/>
      <c r="M262" s="1"/>
      <c r="N262" s="1"/>
      <c r="O262" s="1"/>
      <c r="P262" s="1"/>
    </row>
    <row r="263" spans="1:16" x14ac:dyDescent="0.25">
      <c r="A263" s="43" t="s">
        <v>741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x14ac:dyDescent="0.25">
      <c r="A264" s="1"/>
      <c r="B264" s="144" t="s">
        <v>664</v>
      </c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</row>
    <row r="265" spans="1:16" x14ac:dyDescent="0.25">
      <c r="A265" s="1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</row>
    <row r="266" spans="1:16" ht="15.75" x14ac:dyDescent="0.25">
      <c r="A266" s="1"/>
      <c r="B266" s="65" t="s">
        <v>332</v>
      </c>
      <c r="C266" s="65" t="s">
        <v>333</v>
      </c>
      <c r="D266" s="66">
        <v>800</v>
      </c>
      <c r="E266" s="112">
        <v>80000</v>
      </c>
      <c r="F266" s="66"/>
      <c r="G266" s="68" t="s">
        <v>75</v>
      </c>
      <c r="H266" s="68" t="s">
        <v>663</v>
      </c>
      <c r="I266" s="54" t="s">
        <v>210</v>
      </c>
      <c r="J266" s="54" t="s">
        <v>210</v>
      </c>
      <c r="K266" s="54" t="s">
        <v>210</v>
      </c>
      <c r="L266" s="54" t="s">
        <v>210</v>
      </c>
      <c r="M266" s="69">
        <v>20000</v>
      </c>
      <c r="N266" s="69">
        <v>20000</v>
      </c>
      <c r="O266" s="69">
        <v>20000</v>
      </c>
      <c r="P266" s="69">
        <v>20000</v>
      </c>
    </row>
    <row r="267" spans="1:16" ht="15.75" x14ac:dyDescent="0.25">
      <c r="A267" s="1"/>
      <c r="B267" s="65" t="s">
        <v>334</v>
      </c>
      <c r="C267" s="65" t="s">
        <v>335</v>
      </c>
      <c r="D267" s="66">
        <v>1700</v>
      </c>
      <c r="E267" s="112">
        <v>27200</v>
      </c>
      <c r="F267" s="66"/>
      <c r="G267" s="68" t="s">
        <v>75</v>
      </c>
      <c r="H267" s="68" t="s">
        <v>663</v>
      </c>
      <c r="I267" s="54" t="s">
        <v>210</v>
      </c>
      <c r="J267" s="54" t="s">
        <v>210</v>
      </c>
      <c r="K267" s="54" t="s">
        <v>210</v>
      </c>
      <c r="L267" s="54" t="s">
        <v>210</v>
      </c>
      <c r="M267" s="69">
        <v>6800</v>
      </c>
      <c r="N267" s="69">
        <v>6800</v>
      </c>
      <c r="O267" s="69">
        <v>6800</v>
      </c>
      <c r="P267" s="69">
        <v>6800</v>
      </c>
    </row>
    <row r="268" spans="1:16" ht="15.75" x14ac:dyDescent="0.25">
      <c r="A268" s="1"/>
      <c r="B268" s="65" t="s">
        <v>336</v>
      </c>
      <c r="C268" s="65" t="s">
        <v>337</v>
      </c>
      <c r="D268" s="66">
        <v>1900</v>
      </c>
      <c r="E268" s="112">
        <v>45600</v>
      </c>
      <c r="F268" s="66"/>
      <c r="G268" s="68" t="s">
        <v>75</v>
      </c>
      <c r="H268" s="68" t="s">
        <v>663</v>
      </c>
      <c r="I268" s="54" t="s">
        <v>210</v>
      </c>
      <c r="J268" s="54" t="s">
        <v>210</v>
      </c>
      <c r="K268" s="54" t="s">
        <v>210</v>
      </c>
      <c r="L268" s="54" t="s">
        <v>210</v>
      </c>
      <c r="M268" s="69">
        <v>11400</v>
      </c>
      <c r="N268" s="69">
        <v>11400</v>
      </c>
      <c r="O268" s="69">
        <v>11400</v>
      </c>
      <c r="P268" s="69">
        <v>11400</v>
      </c>
    </row>
    <row r="269" spans="1:16" ht="15.75" x14ac:dyDescent="0.25">
      <c r="A269" s="1"/>
      <c r="B269" s="65" t="s">
        <v>338</v>
      </c>
      <c r="C269" s="65" t="s">
        <v>337</v>
      </c>
      <c r="D269" s="66">
        <v>1700</v>
      </c>
      <c r="E269" s="112">
        <v>40800</v>
      </c>
      <c r="F269" s="66"/>
      <c r="G269" s="68" t="s">
        <v>75</v>
      </c>
      <c r="H269" s="68" t="s">
        <v>663</v>
      </c>
      <c r="I269" s="54" t="s">
        <v>210</v>
      </c>
      <c r="J269" s="54" t="s">
        <v>210</v>
      </c>
      <c r="K269" s="54" t="s">
        <v>210</v>
      </c>
      <c r="L269" s="54" t="s">
        <v>210</v>
      </c>
      <c r="M269" s="69">
        <v>10200</v>
      </c>
      <c r="N269" s="69">
        <v>10200</v>
      </c>
      <c r="O269" s="69">
        <v>10200</v>
      </c>
      <c r="P269" s="69">
        <v>10200</v>
      </c>
    </row>
    <row r="270" spans="1:16" ht="15.75" x14ac:dyDescent="0.25">
      <c r="A270" s="1"/>
      <c r="B270" s="65" t="s">
        <v>339</v>
      </c>
      <c r="C270" s="65" t="s">
        <v>337</v>
      </c>
      <c r="D270" s="66">
        <v>1900</v>
      </c>
      <c r="E270" s="112">
        <v>45600</v>
      </c>
      <c r="F270" s="66"/>
      <c r="G270" s="68" t="s">
        <v>75</v>
      </c>
      <c r="H270" s="68" t="s">
        <v>663</v>
      </c>
      <c r="I270" s="54" t="s">
        <v>210</v>
      </c>
      <c r="J270" s="54" t="s">
        <v>210</v>
      </c>
      <c r="K270" s="54" t="s">
        <v>210</v>
      </c>
      <c r="L270" s="54" t="s">
        <v>210</v>
      </c>
      <c r="M270" s="69">
        <v>11400</v>
      </c>
      <c r="N270" s="69">
        <v>11400</v>
      </c>
      <c r="O270" s="69">
        <v>11400</v>
      </c>
      <c r="P270" s="69">
        <v>11400</v>
      </c>
    </row>
    <row r="271" spans="1:16" ht="15.75" x14ac:dyDescent="0.25">
      <c r="A271" s="1"/>
      <c r="B271" s="65" t="s">
        <v>340</v>
      </c>
      <c r="C271" s="65" t="s">
        <v>341</v>
      </c>
      <c r="D271" s="66">
        <v>1300</v>
      </c>
      <c r="E271" s="112">
        <v>15600</v>
      </c>
      <c r="F271" s="66"/>
      <c r="G271" s="68" t="s">
        <v>75</v>
      </c>
      <c r="H271" s="68" t="s">
        <v>663</v>
      </c>
      <c r="I271" s="54" t="s">
        <v>210</v>
      </c>
      <c r="J271" s="54" t="s">
        <v>210</v>
      </c>
      <c r="K271" s="54" t="s">
        <v>210</v>
      </c>
      <c r="L271" s="54" t="s">
        <v>210</v>
      </c>
      <c r="M271" s="69">
        <v>5200</v>
      </c>
      <c r="N271" s="69"/>
      <c r="O271" s="69">
        <v>5200</v>
      </c>
      <c r="P271" s="69">
        <v>5200</v>
      </c>
    </row>
    <row r="272" spans="1:16" ht="15.75" x14ac:dyDescent="0.25">
      <c r="A272" s="1"/>
      <c r="B272" s="65" t="s">
        <v>342</v>
      </c>
      <c r="C272" s="65" t="s">
        <v>260</v>
      </c>
      <c r="D272" s="66">
        <v>1000</v>
      </c>
      <c r="E272" s="112">
        <v>12000</v>
      </c>
      <c r="F272" s="66"/>
      <c r="G272" s="68" t="s">
        <v>75</v>
      </c>
      <c r="H272" s="68" t="s">
        <v>663</v>
      </c>
      <c r="I272" s="54" t="s">
        <v>210</v>
      </c>
      <c r="J272" s="54" t="s">
        <v>210</v>
      </c>
      <c r="K272" s="54" t="s">
        <v>210</v>
      </c>
      <c r="L272" s="54" t="s">
        <v>210</v>
      </c>
      <c r="M272" s="69">
        <v>4000</v>
      </c>
      <c r="N272" s="69">
        <v>4000</v>
      </c>
      <c r="O272" s="69"/>
      <c r="P272" s="69">
        <v>4000</v>
      </c>
    </row>
    <row r="273" spans="1:16" ht="15.75" x14ac:dyDescent="0.25">
      <c r="A273" s="1"/>
      <c r="B273" s="65" t="s">
        <v>343</v>
      </c>
      <c r="C273" s="65" t="s">
        <v>289</v>
      </c>
      <c r="D273" s="66">
        <v>2000</v>
      </c>
      <c r="E273" s="112">
        <v>20000</v>
      </c>
      <c r="F273" s="66"/>
      <c r="G273" s="68" t="s">
        <v>75</v>
      </c>
      <c r="H273" s="68" t="s">
        <v>663</v>
      </c>
      <c r="I273" s="54" t="s">
        <v>210</v>
      </c>
      <c r="J273" s="54" t="s">
        <v>210</v>
      </c>
      <c r="K273" s="54" t="s">
        <v>210</v>
      </c>
      <c r="L273" s="54" t="s">
        <v>210</v>
      </c>
      <c r="M273" s="69">
        <v>10000</v>
      </c>
      <c r="N273" s="69"/>
      <c r="O273" s="69"/>
      <c r="P273" s="69">
        <v>10000</v>
      </c>
    </row>
    <row r="274" spans="1:16" ht="15.75" x14ac:dyDescent="0.25">
      <c r="A274" s="1"/>
      <c r="B274" s="65" t="s">
        <v>344</v>
      </c>
      <c r="C274" s="65" t="s">
        <v>345</v>
      </c>
      <c r="D274" s="66">
        <v>2600</v>
      </c>
      <c r="E274" s="112">
        <v>62400</v>
      </c>
      <c r="F274" s="66"/>
      <c r="G274" s="68" t="s">
        <v>75</v>
      </c>
      <c r="H274" s="68" t="s">
        <v>663</v>
      </c>
      <c r="I274" s="54" t="s">
        <v>210</v>
      </c>
      <c r="J274" s="54" t="s">
        <v>210</v>
      </c>
      <c r="K274" s="54" t="s">
        <v>210</v>
      </c>
      <c r="L274" s="54" t="s">
        <v>210</v>
      </c>
      <c r="M274" s="69">
        <v>15600</v>
      </c>
      <c r="N274" s="69">
        <v>15600</v>
      </c>
      <c r="O274" s="69">
        <v>15600</v>
      </c>
      <c r="P274" s="69">
        <v>15600</v>
      </c>
    </row>
    <row r="275" spans="1:16" ht="15.75" x14ac:dyDescent="0.25">
      <c r="A275" s="1"/>
      <c r="B275" s="65" t="s">
        <v>346</v>
      </c>
      <c r="C275" s="65" t="s">
        <v>337</v>
      </c>
      <c r="D275" s="66">
        <v>220</v>
      </c>
      <c r="E275" s="112">
        <v>5280</v>
      </c>
      <c r="F275" s="66"/>
      <c r="G275" s="68" t="s">
        <v>75</v>
      </c>
      <c r="H275" s="68" t="s">
        <v>663</v>
      </c>
      <c r="I275" s="54" t="s">
        <v>210</v>
      </c>
      <c r="J275" s="54" t="s">
        <v>210</v>
      </c>
      <c r="K275" s="54" t="s">
        <v>210</v>
      </c>
      <c r="L275" s="54" t="s">
        <v>210</v>
      </c>
      <c r="M275" s="69">
        <v>2640</v>
      </c>
      <c r="N275" s="69"/>
      <c r="O275" s="69">
        <v>2640</v>
      </c>
      <c r="P275" s="69"/>
    </row>
    <row r="276" spans="1:16" ht="15.75" x14ac:dyDescent="0.25">
      <c r="A276" s="1"/>
      <c r="B276" s="65" t="s">
        <v>347</v>
      </c>
      <c r="C276" s="65" t="s">
        <v>348</v>
      </c>
      <c r="D276" s="66">
        <v>350</v>
      </c>
      <c r="E276" s="112">
        <v>7000</v>
      </c>
      <c r="F276" s="66"/>
      <c r="G276" s="68" t="s">
        <v>75</v>
      </c>
      <c r="H276" s="68" t="s">
        <v>663</v>
      </c>
      <c r="I276" s="54" t="s">
        <v>210</v>
      </c>
      <c r="J276" s="54" t="s">
        <v>210</v>
      </c>
      <c r="K276" s="54" t="s">
        <v>210</v>
      </c>
      <c r="L276" s="54" t="s">
        <v>210</v>
      </c>
      <c r="M276" s="69">
        <v>3500</v>
      </c>
      <c r="N276" s="69"/>
      <c r="O276" s="69"/>
      <c r="P276" s="69">
        <v>3500</v>
      </c>
    </row>
    <row r="277" spans="1:16" ht="15.75" x14ac:dyDescent="0.25">
      <c r="A277" s="1"/>
      <c r="B277" s="65" t="s">
        <v>349</v>
      </c>
      <c r="C277" s="65" t="s">
        <v>337</v>
      </c>
      <c r="D277" s="66">
        <v>340</v>
      </c>
      <c r="E277" s="112">
        <v>8160</v>
      </c>
      <c r="F277" s="66"/>
      <c r="G277" s="68" t="s">
        <v>75</v>
      </c>
      <c r="H277" s="68" t="s">
        <v>663</v>
      </c>
      <c r="I277" s="54" t="s">
        <v>210</v>
      </c>
      <c r="J277" s="54" t="s">
        <v>210</v>
      </c>
      <c r="K277" s="54" t="s">
        <v>210</v>
      </c>
      <c r="L277" s="54" t="s">
        <v>210</v>
      </c>
      <c r="M277" s="69">
        <v>2040</v>
      </c>
      <c r="N277" s="69">
        <v>2040</v>
      </c>
      <c r="O277" s="69">
        <v>2040</v>
      </c>
      <c r="P277" s="69">
        <v>2040</v>
      </c>
    </row>
    <row r="278" spans="1:16" ht="15.75" x14ac:dyDescent="0.25">
      <c r="A278" s="1"/>
      <c r="B278" s="65" t="s">
        <v>350</v>
      </c>
      <c r="C278" s="65" t="s">
        <v>351</v>
      </c>
      <c r="D278" s="66">
        <v>2400</v>
      </c>
      <c r="E278" s="112">
        <v>57600</v>
      </c>
      <c r="F278" s="66"/>
      <c r="G278" s="68" t="s">
        <v>75</v>
      </c>
      <c r="H278" s="68" t="s">
        <v>663</v>
      </c>
      <c r="I278" s="54" t="s">
        <v>210</v>
      </c>
      <c r="J278" s="54" t="s">
        <v>210</v>
      </c>
      <c r="K278" s="54" t="s">
        <v>210</v>
      </c>
      <c r="L278" s="54" t="s">
        <v>210</v>
      </c>
      <c r="M278" s="69">
        <v>14400</v>
      </c>
      <c r="N278" s="69">
        <v>14400</v>
      </c>
      <c r="O278" s="69">
        <v>14400</v>
      </c>
      <c r="P278" s="69">
        <v>14400</v>
      </c>
    </row>
    <row r="279" spans="1:16" ht="15.75" x14ac:dyDescent="0.25">
      <c r="A279" s="1"/>
      <c r="B279" s="65" t="s">
        <v>352</v>
      </c>
      <c r="C279" s="65" t="s">
        <v>289</v>
      </c>
      <c r="D279" s="66">
        <v>350</v>
      </c>
      <c r="E279" s="112">
        <v>3500</v>
      </c>
      <c r="F279" s="66"/>
      <c r="G279" s="68" t="s">
        <v>75</v>
      </c>
      <c r="H279" s="68" t="s">
        <v>663</v>
      </c>
      <c r="I279" s="54" t="s">
        <v>210</v>
      </c>
      <c r="J279" s="54" t="s">
        <v>210</v>
      </c>
      <c r="K279" s="54" t="s">
        <v>210</v>
      </c>
      <c r="L279" s="54" t="s">
        <v>210</v>
      </c>
      <c r="M279" s="69"/>
      <c r="N279" s="69"/>
      <c r="O279" s="69">
        <v>3500</v>
      </c>
      <c r="P279" s="69"/>
    </row>
    <row r="280" spans="1:16" ht="15.75" x14ac:dyDescent="0.25">
      <c r="A280" s="1"/>
      <c r="B280" s="65" t="s">
        <v>353</v>
      </c>
      <c r="C280" s="65" t="s">
        <v>354</v>
      </c>
      <c r="D280" s="66">
        <v>350</v>
      </c>
      <c r="E280" s="112">
        <v>1750</v>
      </c>
      <c r="F280" s="66"/>
      <c r="G280" s="68" t="s">
        <v>75</v>
      </c>
      <c r="H280" s="68" t="s">
        <v>663</v>
      </c>
      <c r="I280" s="54" t="s">
        <v>210</v>
      </c>
      <c r="J280" s="54" t="s">
        <v>210</v>
      </c>
      <c r="K280" s="54" t="s">
        <v>210</v>
      </c>
      <c r="L280" s="54" t="s">
        <v>210</v>
      </c>
      <c r="M280" s="69">
        <v>1750</v>
      </c>
      <c r="N280" s="69"/>
      <c r="O280" s="69"/>
      <c r="P280" s="69"/>
    </row>
    <row r="281" spans="1:16" ht="15.75" x14ac:dyDescent="0.25">
      <c r="A281" s="1"/>
      <c r="B281" s="65" t="s">
        <v>355</v>
      </c>
      <c r="C281" s="65" t="s">
        <v>289</v>
      </c>
      <c r="D281" s="66">
        <v>350</v>
      </c>
      <c r="E281" s="112">
        <v>3500</v>
      </c>
      <c r="F281" s="66"/>
      <c r="G281" s="68" t="s">
        <v>75</v>
      </c>
      <c r="H281" s="68" t="s">
        <v>663</v>
      </c>
      <c r="I281" s="54" t="s">
        <v>210</v>
      </c>
      <c r="J281" s="54" t="s">
        <v>210</v>
      </c>
      <c r="K281" s="54" t="s">
        <v>210</v>
      </c>
      <c r="L281" s="54" t="s">
        <v>210</v>
      </c>
      <c r="M281" s="69"/>
      <c r="N281" s="69"/>
      <c r="O281" s="69">
        <v>3500</v>
      </c>
      <c r="P281" s="69"/>
    </row>
    <row r="282" spans="1:16" ht="15.75" x14ac:dyDescent="0.25">
      <c r="A282" s="1"/>
      <c r="B282" s="65" t="s">
        <v>356</v>
      </c>
      <c r="C282" s="65" t="s">
        <v>289</v>
      </c>
      <c r="D282" s="66">
        <v>550</v>
      </c>
      <c r="E282" s="112">
        <v>5500</v>
      </c>
      <c r="F282" s="66"/>
      <c r="G282" s="68" t="s">
        <v>75</v>
      </c>
      <c r="H282" s="68" t="s">
        <v>663</v>
      </c>
      <c r="I282" s="54" t="s">
        <v>210</v>
      </c>
      <c r="J282" s="54" t="s">
        <v>210</v>
      </c>
      <c r="K282" s="54" t="s">
        <v>210</v>
      </c>
      <c r="L282" s="54" t="s">
        <v>210</v>
      </c>
      <c r="M282" s="69"/>
      <c r="N282" s="69"/>
      <c r="O282" s="69">
        <v>5500</v>
      </c>
      <c r="P282" s="69"/>
    </row>
    <row r="283" spans="1:16" ht="15.75" x14ac:dyDescent="0.25">
      <c r="A283" s="1"/>
      <c r="B283" s="65" t="s">
        <v>357</v>
      </c>
      <c r="C283" s="65" t="s">
        <v>289</v>
      </c>
      <c r="D283" s="66">
        <v>650</v>
      </c>
      <c r="E283" s="112">
        <v>6500</v>
      </c>
      <c r="F283" s="66"/>
      <c r="G283" s="68" t="s">
        <v>75</v>
      </c>
      <c r="H283" s="68" t="s">
        <v>663</v>
      </c>
      <c r="I283" s="54" t="s">
        <v>210</v>
      </c>
      <c r="J283" s="54" t="s">
        <v>210</v>
      </c>
      <c r="K283" s="54" t="s">
        <v>210</v>
      </c>
      <c r="L283" s="54" t="s">
        <v>210</v>
      </c>
      <c r="M283" s="69"/>
      <c r="N283" s="69"/>
      <c r="O283" s="69">
        <v>6500</v>
      </c>
      <c r="P283" s="69"/>
    </row>
    <row r="284" spans="1:16" ht="15.75" x14ac:dyDescent="0.25">
      <c r="A284" s="1"/>
      <c r="B284" s="65" t="s">
        <v>358</v>
      </c>
      <c r="C284" s="65" t="s">
        <v>341</v>
      </c>
      <c r="D284" s="66">
        <v>450</v>
      </c>
      <c r="E284" s="112">
        <v>5400</v>
      </c>
      <c r="F284" s="66"/>
      <c r="G284" s="68" t="s">
        <v>75</v>
      </c>
      <c r="H284" s="68" t="s">
        <v>663</v>
      </c>
      <c r="I284" s="54" t="s">
        <v>210</v>
      </c>
      <c r="J284" s="54" t="s">
        <v>210</v>
      </c>
      <c r="K284" s="54" t="s">
        <v>210</v>
      </c>
      <c r="L284" s="54" t="s">
        <v>210</v>
      </c>
      <c r="M284" s="69">
        <v>2700</v>
      </c>
      <c r="N284" s="69"/>
      <c r="O284" s="69">
        <v>2700</v>
      </c>
      <c r="P284" s="69"/>
    </row>
    <row r="285" spans="1:16" ht="15.75" x14ac:dyDescent="0.25">
      <c r="A285" s="1"/>
      <c r="B285" s="65" t="s">
        <v>359</v>
      </c>
      <c r="C285" s="65" t="s">
        <v>335</v>
      </c>
      <c r="D285" s="66">
        <v>750</v>
      </c>
      <c r="E285" s="112">
        <v>12000</v>
      </c>
      <c r="F285" s="66"/>
      <c r="G285" s="68" t="s">
        <v>75</v>
      </c>
      <c r="H285" s="68" t="s">
        <v>663</v>
      </c>
      <c r="I285" s="54" t="s">
        <v>210</v>
      </c>
      <c r="J285" s="54" t="s">
        <v>210</v>
      </c>
      <c r="K285" s="54" t="s">
        <v>210</v>
      </c>
      <c r="L285" s="54" t="s">
        <v>210</v>
      </c>
      <c r="M285" s="69">
        <v>3000</v>
      </c>
      <c r="N285" s="69">
        <v>3000</v>
      </c>
      <c r="O285" s="69">
        <v>3000</v>
      </c>
      <c r="P285" s="69">
        <v>3000</v>
      </c>
    </row>
    <row r="286" spans="1:16" ht="15.75" x14ac:dyDescent="0.25">
      <c r="A286" s="1"/>
      <c r="B286" s="114" t="s">
        <v>649</v>
      </c>
      <c r="C286" s="65"/>
      <c r="D286" s="66"/>
      <c r="E286" s="113">
        <f>SUM(E266:E285)</f>
        <v>465390</v>
      </c>
      <c r="F286" s="66"/>
      <c r="G286" s="68"/>
      <c r="H286" s="68"/>
      <c r="I286" s="54"/>
      <c r="J286" s="54"/>
      <c r="K286" s="54"/>
      <c r="L286" s="54"/>
      <c r="M286" s="69"/>
      <c r="N286" s="69"/>
      <c r="O286" s="69"/>
      <c r="P286" s="69"/>
    </row>
    <row r="287" spans="1:1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x14ac:dyDescent="0.25">
      <c r="A290" s="43" t="s">
        <v>742</v>
      </c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30" x14ac:dyDescent="0.25">
      <c r="A291" s="1">
        <v>1</v>
      </c>
      <c r="B291" s="40" t="s">
        <v>391</v>
      </c>
      <c r="C291" s="1"/>
      <c r="D291" s="1"/>
      <c r="E291" s="8">
        <v>300000</v>
      </c>
      <c r="F291" s="19" t="s">
        <v>132</v>
      </c>
      <c r="G291" s="19" t="s">
        <v>75</v>
      </c>
      <c r="H291" s="19" t="s">
        <v>663</v>
      </c>
      <c r="I291" s="11" t="s">
        <v>21</v>
      </c>
      <c r="J291" s="11" t="s">
        <v>21</v>
      </c>
      <c r="K291" s="11" t="s">
        <v>21</v>
      </c>
      <c r="L291" s="11" t="s">
        <v>21</v>
      </c>
      <c r="M291" s="1"/>
      <c r="N291" s="1"/>
      <c r="O291" s="1"/>
      <c r="P291" s="1"/>
    </row>
    <row r="292" spans="1:1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x14ac:dyDescent="0.25">
      <c r="A293" s="1"/>
      <c r="B293" s="1" t="s">
        <v>665</v>
      </c>
      <c r="C293" s="1"/>
      <c r="D293" s="1"/>
      <c r="E293" s="115">
        <f>SUM(E291:E292)</f>
        <v>300000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x14ac:dyDescent="0.25">
      <c r="A295" s="43" t="s">
        <v>743</v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5.75" x14ac:dyDescent="0.25">
      <c r="A296" s="1">
        <v>1</v>
      </c>
      <c r="B296" s="1" t="s">
        <v>88</v>
      </c>
      <c r="C296" s="1">
        <v>1</v>
      </c>
      <c r="D296" s="18">
        <v>18000</v>
      </c>
      <c r="E296" s="17">
        <f>C296*D296</f>
        <v>18000</v>
      </c>
      <c r="F296" s="19" t="s">
        <v>85</v>
      </c>
      <c r="G296" s="19" t="s">
        <v>75</v>
      </c>
      <c r="H296" s="19" t="s">
        <v>663</v>
      </c>
      <c r="I296" s="11" t="s">
        <v>21</v>
      </c>
      <c r="J296" s="11" t="s">
        <v>21</v>
      </c>
      <c r="K296" s="11" t="s">
        <v>21</v>
      </c>
      <c r="L296" s="11" t="s">
        <v>21</v>
      </c>
      <c r="M296" s="1"/>
      <c r="N296" s="9">
        <v>18000</v>
      </c>
      <c r="O296" s="1"/>
      <c r="P296" s="1"/>
    </row>
    <row r="297" spans="1:16" ht="15.75" x14ac:dyDescent="0.25">
      <c r="A297" s="1">
        <v>2</v>
      </c>
      <c r="B297" s="1" t="s">
        <v>89</v>
      </c>
      <c r="C297" s="1">
        <v>1</v>
      </c>
      <c r="D297" s="18">
        <v>2500</v>
      </c>
      <c r="E297" s="17">
        <f>C297*D297</f>
        <v>2500</v>
      </c>
      <c r="F297" s="19" t="s">
        <v>85</v>
      </c>
      <c r="G297" s="19" t="s">
        <v>90</v>
      </c>
      <c r="H297" s="19" t="s">
        <v>663</v>
      </c>
      <c r="I297" s="11" t="s">
        <v>21</v>
      </c>
      <c r="J297" s="11" t="s">
        <v>21</v>
      </c>
      <c r="K297" s="11" t="s">
        <v>21</v>
      </c>
      <c r="L297" s="11" t="s">
        <v>21</v>
      </c>
      <c r="M297" s="9">
        <v>2500</v>
      </c>
      <c r="N297" s="1"/>
      <c r="O297" s="1"/>
      <c r="P297" s="1"/>
    </row>
    <row r="298" spans="1:16" ht="15.75" x14ac:dyDescent="0.25">
      <c r="A298" s="1">
        <v>3</v>
      </c>
      <c r="B298" s="14" t="s">
        <v>95</v>
      </c>
      <c r="C298" s="19">
        <v>1</v>
      </c>
      <c r="D298" s="1">
        <v>30000</v>
      </c>
      <c r="E298" s="18">
        <v>30000</v>
      </c>
      <c r="F298" s="19" t="s">
        <v>93</v>
      </c>
      <c r="G298" s="19" t="s">
        <v>75</v>
      </c>
      <c r="H298" s="19" t="s">
        <v>663</v>
      </c>
      <c r="I298" s="11" t="s">
        <v>21</v>
      </c>
      <c r="J298" s="11" t="s">
        <v>21</v>
      </c>
      <c r="K298" s="11" t="s">
        <v>21</v>
      </c>
      <c r="L298" s="11" t="s">
        <v>21</v>
      </c>
      <c r="M298" s="1">
        <v>30000</v>
      </c>
      <c r="N298" s="1"/>
      <c r="O298" s="1"/>
      <c r="P298" s="12"/>
    </row>
    <row r="299" spans="1:16" ht="15.75" x14ac:dyDescent="0.25">
      <c r="A299" s="1">
        <v>4</v>
      </c>
      <c r="B299" s="25" t="s">
        <v>153</v>
      </c>
      <c r="C299" s="1">
        <v>5</v>
      </c>
      <c r="D299" s="1">
        <v>8000</v>
      </c>
      <c r="E299" s="1">
        <f>C299*D299</f>
        <v>40000</v>
      </c>
      <c r="F299" s="19" t="s">
        <v>141</v>
      </c>
      <c r="G299" s="19" t="s">
        <v>75</v>
      </c>
      <c r="H299" s="19" t="s">
        <v>663</v>
      </c>
      <c r="I299" s="11" t="s">
        <v>21</v>
      </c>
      <c r="J299" s="11" t="s">
        <v>21</v>
      </c>
      <c r="K299" s="11" t="s">
        <v>21</v>
      </c>
      <c r="L299" s="11" t="s">
        <v>21</v>
      </c>
      <c r="M299" s="1">
        <v>24000</v>
      </c>
      <c r="N299" s="1">
        <v>16000</v>
      </c>
      <c r="O299" s="1"/>
      <c r="P299" s="1"/>
    </row>
    <row r="300" spans="1:16" ht="15.75" x14ac:dyDescent="0.25">
      <c r="A300" s="1">
        <v>5</v>
      </c>
      <c r="B300" s="50" t="s">
        <v>200</v>
      </c>
      <c r="C300" s="50" t="s">
        <v>201</v>
      </c>
      <c r="D300" s="51">
        <v>40000</v>
      </c>
      <c r="E300" s="51">
        <v>160000</v>
      </c>
      <c r="F300" s="47" t="s">
        <v>185</v>
      </c>
      <c r="G300" s="19" t="s">
        <v>75</v>
      </c>
      <c r="H300" s="19" t="s">
        <v>663</v>
      </c>
      <c r="I300" s="11" t="s">
        <v>21</v>
      </c>
      <c r="J300" s="11" t="s">
        <v>21</v>
      </c>
      <c r="K300" s="11" t="s">
        <v>21</v>
      </c>
      <c r="L300" s="11" t="s">
        <v>21</v>
      </c>
      <c r="M300" s="51">
        <v>160000</v>
      </c>
      <c r="N300" s="32"/>
      <c r="O300" s="32"/>
      <c r="P300" s="34"/>
    </row>
    <row r="301" spans="1:16" ht="15.75" x14ac:dyDescent="0.25">
      <c r="A301" s="1">
        <v>6</v>
      </c>
      <c r="B301" s="50" t="s">
        <v>205</v>
      </c>
      <c r="C301" s="50" t="s">
        <v>201</v>
      </c>
      <c r="D301" s="52">
        <v>2500</v>
      </c>
      <c r="E301" s="52">
        <v>10000</v>
      </c>
      <c r="F301" s="47" t="s">
        <v>185</v>
      </c>
      <c r="G301" s="19" t="s">
        <v>75</v>
      </c>
      <c r="H301" s="19" t="s">
        <v>663</v>
      </c>
      <c r="I301" s="11" t="s">
        <v>21</v>
      </c>
      <c r="J301" s="11" t="s">
        <v>21</v>
      </c>
      <c r="K301" s="11" t="s">
        <v>21</v>
      </c>
      <c r="L301" s="11" t="s">
        <v>21</v>
      </c>
      <c r="M301" s="32">
        <v>5000</v>
      </c>
      <c r="N301" s="32">
        <v>5000</v>
      </c>
      <c r="O301" s="32"/>
      <c r="P301" s="34"/>
    </row>
    <row r="302" spans="1:16" ht="15.75" x14ac:dyDescent="0.25">
      <c r="A302" s="1">
        <v>7</v>
      </c>
      <c r="B302" s="50" t="s">
        <v>207</v>
      </c>
      <c r="C302" s="50" t="s">
        <v>184</v>
      </c>
      <c r="D302" s="51">
        <v>1500</v>
      </c>
      <c r="E302" s="51">
        <v>15000</v>
      </c>
      <c r="F302" s="47" t="s">
        <v>185</v>
      </c>
      <c r="G302" s="19" t="s">
        <v>75</v>
      </c>
      <c r="H302" s="19" t="s">
        <v>663</v>
      </c>
      <c r="I302" s="11" t="s">
        <v>21</v>
      </c>
      <c r="J302" s="11" t="s">
        <v>21</v>
      </c>
      <c r="K302" s="11" t="s">
        <v>21</v>
      </c>
      <c r="L302" s="11" t="s">
        <v>21</v>
      </c>
      <c r="M302" s="32">
        <v>15000</v>
      </c>
      <c r="N302" s="32"/>
      <c r="O302" s="34"/>
      <c r="P302" s="1"/>
    </row>
    <row r="303" spans="1:16" ht="15.75" x14ac:dyDescent="0.25">
      <c r="A303" s="1">
        <v>8</v>
      </c>
      <c r="B303" s="65" t="s">
        <v>360</v>
      </c>
      <c r="C303" s="65">
        <v>1</v>
      </c>
      <c r="D303" s="66">
        <v>3500</v>
      </c>
      <c r="E303" s="66">
        <v>3500</v>
      </c>
      <c r="F303" s="68" t="s">
        <v>666</v>
      </c>
      <c r="G303" s="68" t="s">
        <v>75</v>
      </c>
      <c r="H303" s="19" t="s">
        <v>663</v>
      </c>
      <c r="I303" s="54" t="s">
        <v>210</v>
      </c>
      <c r="J303" s="54" t="s">
        <v>210</v>
      </c>
      <c r="K303" s="54" t="s">
        <v>210</v>
      </c>
      <c r="L303" s="54" t="s">
        <v>210</v>
      </c>
      <c r="M303" s="1"/>
      <c r="N303" s="66"/>
      <c r="O303" s="66">
        <v>3500</v>
      </c>
      <c r="P303" s="66"/>
    </row>
    <row r="304" spans="1:16" ht="15.75" x14ac:dyDescent="0.25">
      <c r="A304" s="1">
        <v>9</v>
      </c>
      <c r="B304" s="65" t="s">
        <v>361</v>
      </c>
      <c r="C304" s="65">
        <v>1</v>
      </c>
      <c r="D304" s="66">
        <v>2300</v>
      </c>
      <c r="E304" s="66">
        <v>2300</v>
      </c>
      <c r="F304" s="68" t="s">
        <v>666</v>
      </c>
      <c r="G304" s="68" t="s">
        <v>75</v>
      </c>
      <c r="H304" s="19" t="s">
        <v>663</v>
      </c>
      <c r="I304" s="54" t="s">
        <v>210</v>
      </c>
      <c r="J304" s="54" t="s">
        <v>210</v>
      </c>
      <c r="K304" s="54" t="s">
        <v>210</v>
      </c>
      <c r="L304" s="54" t="s">
        <v>210</v>
      </c>
      <c r="M304" s="66">
        <v>2300</v>
      </c>
      <c r="N304" s="66"/>
      <c r="O304" s="66"/>
      <c r="P304" s="66"/>
    </row>
    <row r="305" spans="1:16" ht="15.75" x14ac:dyDescent="0.25">
      <c r="A305" s="1">
        <v>10</v>
      </c>
      <c r="B305" s="65" t="s">
        <v>362</v>
      </c>
      <c r="C305" s="65">
        <v>1</v>
      </c>
      <c r="D305" s="66">
        <v>40000</v>
      </c>
      <c r="E305" s="66">
        <v>40000</v>
      </c>
      <c r="F305" s="68" t="s">
        <v>666</v>
      </c>
      <c r="G305" s="68" t="s">
        <v>75</v>
      </c>
      <c r="H305" s="19" t="s">
        <v>663</v>
      </c>
      <c r="I305" s="54" t="s">
        <v>210</v>
      </c>
      <c r="J305" s="54" t="s">
        <v>210</v>
      </c>
      <c r="K305" s="54" t="s">
        <v>210</v>
      </c>
      <c r="L305" s="54" t="s">
        <v>210</v>
      </c>
      <c r="M305" s="66">
        <v>40000</v>
      </c>
      <c r="N305" s="66"/>
      <c r="O305" s="66"/>
      <c r="P305" s="66"/>
    </row>
    <row r="306" spans="1:16" ht="15.75" x14ac:dyDescent="0.25">
      <c r="A306" s="1">
        <v>11</v>
      </c>
      <c r="B306" s="65" t="s">
        <v>363</v>
      </c>
      <c r="C306" s="65">
        <v>1</v>
      </c>
      <c r="D306" s="66">
        <v>3500</v>
      </c>
      <c r="E306" s="66">
        <v>3500</v>
      </c>
      <c r="F306" s="68" t="s">
        <v>666</v>
      </c>
      <c r="G306" s="68" t="s">
        <v>75</v>
      </c>
      <c r="H306" s="19" t="s">
        <v>663</v>
      </c>
      <c r="I306" s="54" t="s">
        <v>210</v>
      </c>
      <c r="J306" s="54" t="s">
        <v>210</v>
      </c>
      <c r="K306" s="54" t="s">
        <v>210</v>
      </c>
      <c r="L306" s="54" t="s">
        <v>210</v>
      </c>
      <c r="M306" s="66">
        <v>3500</v>
      </c>
      <c r="N306" s="66"/>
      <c r="O306" s="66"/>
      <c r="P306" s="66"/>
    </row>
    <row r="307" spans="1:16" ht="15.75" x14ac:dyDescent="0.25">
      <c r="A307" s="1">
        <v>12</v>
      </c>
      <c r="B307" s="65" t="s">
        <v>364</v>
      </c>
      <c r="C307" s="65">
        <v>1</v>
      </c>
      <c r="D307" s="66">
        <v>3500</v>
      </c>
      <c r="E307" s="66">
        <v>3500</v>
      </c>
      <c r="F307" s="68" t="s">
        <v>666</v>
      </c>
      <c r="G307" s="68" t="s">
        <v>75</v>
      </c>
      <c r="H307" s="19" t="s">
        <v>663</v>
      </c>
      <c r="I307" s="54" t="s">
        <v>210</v>
      </c>
      <c r="J307" s="54" t="s">
        <v>210</v>
      </c>
      <c r="K307" s="54" t="s">
        <v>210</v>
      </c>
      <c r="L307" s="54" t="s">
        <v>210</v>
      </c>
      <c r="M307" s="66">
        <v>3500</v>
      </c>
      <c r="N307" s="66"/>
      <c r="O307" s="66"/>
      <c r="P307" s="66"/>
    </row>
    <row r="308" spans="1:16" ht="15.75" x14ac:dyDescent="0.25">
      <c r="A308" s="1">
        <v>13</v>
      </c>
      <c r="B308" s="65" t="s">
        <v>365</v>
      </c>
      <c r="C308" s="65">
        <v>1</v>
      </c>
      <c r="D308" s="66">
        <v>4500</v>
      </c>
      <c r="E308" s="66">
        <v>4500</v>
      </c>
      <c r="F308" s="68" t="s">
        <v>666</v>
      </c>
      <c r="G308" s="68" t="s">
        <v>75</v>
      </c>
      <c r="H308" s="19" t="s">
        <v>663</v>
      </c>
      <c r="I308" s="54" t="s">
        <v>210</v>
      </c>
      <c r="J308" s="54" t="s">
        <v>210</v>
      </c>
      <c r="K308" s="54" t="s">
        <v>210</v>
      </c>
      <c r="L308" s="54" t="s">
        <v>210</v>
      </c>
      <c r="M308" s="66">
        <v>4500</v>
      </c>
      <c r="N308" s="66"/>
      <c r="O308" s="66"/>
      <c r="P308" s="66"/>
    </row>
    <row r="309" spans="1:16" ht="15.75" x14ac:dyDescent="0.25">
      <c r="A309" s="1">
        <v>14</v>
      </c>
      <c r="B309" s="65" t="s">
        <v>366</v>
      </c>
      <c r="C309" s="65">
        <v>1</v>
      </c>
      <c r="D309" s="66">
        <v>2000</v>
      </c>
      <c r="E309" s="66">
        <v>2000</v>
      </c>
      <c r="F309" s="68" t="s">
        <v>666</v>
      </c>
      <c r="G309" s="68" t="s">
        <v>75</v>
      </c>
      <c r="H309" s="19" t="s">
        <v>663</v>
      </c>
      <c r="I309" s="54" t="s">
        <v>210</v>
      </c>
      <c r="J309" s="54" t="s">
        <v>210</v>
      </c>
      <c r="K309" s="54" t="s">
        <v>210</v>
      </c>
      <c r="L309" s="54" t="s">
        <v>210</v>
      </c>
      <c r="M309" s="66">
        <v>2000</v>
      </c>
      <c r="N309" s="66"/>
      <c r="O309" s="66"/>
      <c r="P309" s="66"/>
    </row>
    <row r="310" spans="1:16" ht="15.75" x14ac:dyDescent="0.25">
      <c r="A310" s="1">
        <v>15</v>
      </c>
      <c r="B310" s="65" t="s">
        <v>367</v>
      </c>
      <c r="C310" s="65">
        <v>1</v>
      </c>
      <c r="D310" s="66">
        <v>3500</v>
      </c>
      <c r="E310" s="66">
        <v>3500</v>
      </c>
      <c r="F310" s="68" t="s">
        <v>666</v>
      </c>
      <c r="G310" s="68" t="s">
        <v>75</v>
      </c>
      <c r="H310" s="19" t="s">
        <v>663</v>
      </c>
      <c r="I310" s="54" t="s">
        <v>210</v>
      </c>
      <c r="J310" s="54" t="s">
        <v>210</v>
      </c>
      <c r="K310" s="54" t="s">
        <v>210</v>
      </c>
      <c r="L310" s="54" t="s">
        <v>210</v>
      </c>
      <c r="M310" s="66">
        <v>3500</v>
      </c>
      <c r="N310" s="66"/>
      <c r="O310" s="66"/>
      <c r="P310" s="66"/>
    </row>
    <row r="311" spans="1:16" ht="15.75" x14ac:dyDescent="0.25">
      <c r="A311" s="1">
        <v>16</v>
      </c>
      <c r="B311" s="65" t="s">
        <v>368</v>
      </c>
      <c r="C311" s="65" t="s">
        <v>369</v>
      </c>
      <c r="D311" s="66">
        <v>2000</v>
      </c>
      <c r="E311" s="66">
        <v>2000</v>
      </c>
      <c r="F311" s="68" t="s">
        <v>666</v>
      </c>
      <c r="G311" s="68" t="s">
        <v>75</v>
      </c>
      <c r="H311" s="19" t="s">
        <v>663</v>
      </c>
      <c r="I311" s="54" t="s">
        <v>210</v>
      </c>
      <c r="J311" s="54" t="s">
        <v>210</v>
      </c>
      <c r="K311" s="54" t="s">
        <v>210</v>
      </c>
      <c r="L311" s="54" t="s">
        <v>210</v>
      </c>
      <c r="M311" s="66">
        <v>2000</v>
      </c>
      <c r="N311" s="66"/>
      <c r="O311" s="66"/>
      <c r="P311" s="66"/>
    </row>
    <row r="312" spans="1:16" ht="15.75" x14ac:dyDescent="0.25">
      <c r="A312" s="1">
        <v>17</v>
      </c>
      <c r="B312" s="65" t="s">
        <v>370</v>
      </c>
      <c r="C312" s="65">
        <v>1</v>
      </c>
      <c r="D312" s="66">
        <v>2000</v>
      </c>
      <c r="E312" s="66">
        <v>2000</v>
      </c>
      <c r="F312" s="68" t="s">
        <v>666</v>
      </c>
      <c r="G312" s="68" t="s">
        <v>75</v>
      </c>
      <c r="H312" s="19" t="s">
        <v>663</v>
      </c>
      <c r="I312" s="54" t="s">
        <v>210</v>
      </c>
      <c r="J312" s="54" t="s">
        <v>210</v>
      </c>
      <c r="K312" s="54" t="s">
        <v>210</v>
      </c>
      <c r="L312" s="54" t="s">
        <v>210</v>
      </c>
      <c r="M312" s="66">
        <v>2000</v>
      </c>
      <c r="N312" s="66"/>
      <c r="O312" s="66"/>
      <c r="P312" s="66"/>
    </row>
    <row r="313" spans="1:16" ht="15.75" x14ac:dyDescent="0.25">
      <c r="A313" s="1">
        <v>18</v>
      </c>
      <c r="B313" s="65" t="s">
        <v>371</v>
      </c>
      <c r="C313" s="65">
        <v>1</v>
      </c>
      <c r="D313" s="66">
        <v>500</v>
      </c>
      <c r="E313" s="66">
        <v>500</v>
      </c>
      <c r="F313" s="68" t="s">
        <v>666</v>
      </c>
      <c r="G313" s="68" t="s">
        <v>75</v>
      </c>
      <c r="H313" s="19" t="s">
        <v>663</v>
      </c>
      <c r="I313" s="54" t="s">
        <v>210</v>
      </c>
      <c r="J313" s="54" t="s">
        <v>210</v>
      </c>
      <c r="K313" s="54" t="s">
        <v>210</v>
      </c>
      <c r="L313" s="54" t="s">
        <v>210</v>
      </c>
      <c r="M313" s="66">
        <v>500</v>
      </c>
      <c r="N313" s="66"/>
      <c r="O313" s="66"/>
      <c r="P313" s="66"/>
    </row>
    <row r="314" spans="1:16" ht="15.75" x14ac:dyDescent="0.25">
      <c r="A314" s="1">
        <v>19</v>
      </c>
      <c r="B314" s="65" t="s">
        <v>372</v>
      </c>
      <c r="C314" s="65">
        <v>1</v>
      </c>
      <c r="D314" s="66">
        <v>2500</v>
      </c>
      <c r="E314" s="66">
        <v>2500</v>
      </c>
      <c r="F314" s="68" t="s">
        <v>666</v>
      </c>
      <c r="G314" s="68" t="s">
        <v>75</v>
      </c>
      <c r="H314" s="19" t="s">
        <v>663</v>
      </c>
      <c r="I314" s="54" t="s">
        <v>210</v>
      </c>
      <c r="J314" s="54" t="s">
        <v>210</v>
      </c>
      <c r="K314" s="54" t="s">
        <v>210</v>
      </c>
      <c r="L314" s="54" t="s">
        <v>210</v>
      </c>
      <c r="M314" s="66">
        <v>2500</v>
      </c>
      <c r="N314" s="66"/>
      <c r="O314" s="66"/>
      <c r="P314" s="66"/>
    </row>
    <row r="315" spans="1:16" ht="15.75" x14ac:dyDescent="0.25">
      <c r="A315" s="1">
        <v>20</v>
      </c>
      <c r="B315" s="65" t="s">
        <v>373</v>
      </c>
      <c r="C315" s="65">
        <v>1</v>
      </c>
      <c r="D315" s="66">
        <v>3500</v>
      </c>
      <c r="E315" s="66">
        <v>3500</v>
      </c>
      <c r="F315" s="68" t="s">
        <v>666</v>
      </c>
      <c r="G315" s="68" t="s">
        <v>75</v>
      </c>
      <c r="H315" s="19" t="s">
        <v>663</v>
      </c>
      <c r="I315" s="54" t="s">
        <v>210</v>
      </c>
      <c r="J315" s="54" t="s">
        <v>210</v>
      </c>
      <c r="K315" s="54" t="s">
        <v>210</v>
      </c>
      <c r="L315" s="54" t="s">
        <v>210</v>
      </c>
      <c r="M315" s="66">
        <v>3500</v>
      </c>
      <c r="N315" s="66"/>
      <c r="O315" s="66"/>
      <c r="P315" s="66"/>
    </row>
    <row r="316" spans="1:16" ht="31.5" x14ac:dyDescent="0.25">
      <c r="A316" s="1">
        <v>21</v>
      </c>
      <c r="B316" s="65" t="s">
        <v>374</v>
      </c>
      <c r="C316" s="65">
        <v>1</v>
      </c>
      <c r="D316" s="66">
        <v>55000</v>
      </c>
      <c r="E316" s="66">
        <v>55000</v>
      </c>
      <c r="F316" s="68" t="s">
        <v>666</v>
      </c>
      <c r="G316" s="68" t="s">
        <v>75</v>
      </c>
      <c r="H316" s="19" t="s">
        <v>663</v>
      </c>
      <c r="I316" s="54" t="s">
        <v>210</v>
      </c>
      <c r="J316" s="54" t="s">
        <v>210</v>
      </c>
      <c r="K316" s="54" t="s">
        <v>210</v>
      </c>
      <c r="L316" s="54" t="s">
        <v>210</v>
      </c>
      <c r="M316" s="66">
        <v>55000</v>
      </c>
      <c r="N316" s="66"/>
      <c r="O316" s="66"/>
      <c r="P316" s="66"/>
    </row>
    <row r="317" spans="1:16" ht="15.75" x14ac:dyDescent="0.25">
      <c r="A317" s="1">
        <v>22</v>
      </c>
      <c r="B317" s="65" t="s">
        <v>375</v>
      </c>
      <c r="C317" s="65">
        <v>1</v>
      </c>
      <c r="D317" s="66">
        <v>6000</v>
      </c>
      <c r="E317" s="66">
        <v>6000</v>
      </c>
      <c r="F317" s="68" t="s">
        <v>666</v>
      </c>
      <c r="G317" s="68" t="s">
        <v>75</v>
      </c>
      <c r="H317" s="19" t="s">
        <v>663</v>
      </c>
      <c r="I317" s="54" t="s">
        <v>210</v>
      </c>
      <c r="J317" s="54" t="s">
        <v>210</v>
      </c>
      <c r="K317" s="54" t="s">
        <v>210</v>
      </c>
      <c r="L317" s="54" t="s">
        <v>210</v>
      </c>
      <c r="M317" s="66">
        <v>6000</v>
      </c>
      <c r="N317" s="66"/>
      <c r="O317" s="66"/>
      <c r="P317" s="66"/>
    </row>
    <row r="318" spans="1:16" ht="31.5" x14ac:dyDescent="0.25">
      <c r="A318" s="1">
        <v>23</v>
      </c>
      <c r="B318" s="65" t="s">
        <v>376</v>
      </c>
      <c r="C318" s="65">
        <v>1</v>
      </c>
      <c r="D318" s="66">
        <v>3500</v>
      </c>
      <c r="E318" s="66">
        <v>3500</v>
      </c>
      <c r="F318" s="68" t="s">
        <v>666</v>
      </c>
      <c r="G318" s="68" t="s">
        <v>75</v>
      </c>
      <c r="H318" s="19" t="s">
        <v>663</v>
      </c>
      <c r="I318" s="54" t="s">
        <v>210</v>
      </c>
      <c r="J318" s="54" t="s">
        <v>210</v>
      </c>
      <c r="K318" s="54" t="s">
        <v>210</v>
      </c>
      <c r="L318" s="54" t="s">
        <v>210</v>
      </c>
      <c r="M318" s="66">
        <v>3500</v>
      </c>
      <c r="N318" s="66"/>
      <c r="O318" s="66"/>
      <c r="P318" s="66"/>
    </row>
    <row r="319" spans="1:16" ht="15.75" x14ac:dyDescent="0.25">
      <c r="A319" s="1">
        <v>24</v>
      </c>
      <c r="B319" s="65" t="s">
        <v>377</v>
      </c>
      <c r="C319" s="70" t="s">
        <v>378</v>
      </c>
      <c r="D319" s="66">
        <v>7500</v>
      </c>
      <c r="E319" s="66">
        <v>7500</v>
      </c>
      <c r="F319" s="68" t="s">
        <v>666</v>
      </c>
      <c r="G319" s="68" t="s">
        <v>75</v>
      </c>
      <c r="H319" s="19" t="s">
        <v>663</v>
      </c>
      <c r="I319" s="54" t="s">
        <v>210</v>
      </c>
      <c r="J319" s="54" t="s">
        <v>210</v>
      </c>
      <c r="K319" s="54" t="s">
        <v>210</v>
      </c>
      <c r="L319" s="54" t="s">
        <v>210</v>
      </c>
      <c r="M319" s="66">
        <v>7500</v>
      </c>
      <c r="N319" s="66"/>
      <c r="O319" s="66"/>
      <c r="P319" s="66"/>
    </row>
    <row r="320" spans="1:16" ht="15.75" x14ac:dyDescent="0.25">
      <c r="A320" s="1">
        <v>25</v>
      </c>
      <c r="B320" s="65" t="s">
        <v>379</v>
      </c>
      <c r="C320" s="65">
        <v>1</v>
      </c>
      <c r="D320" s="66">
        <v>15000</v>
      </c>
      <c r="E320" s="66">
        <v>15000</v>
      </c>
      <c r="F320" s="68" t="s">
        <v>666</v>
      </c>
      <c r="G320" s="68" t="s">
        <v>75</v>
      </c>
      <c r="H320" s="19" t="s">
        <v>663</v>
      </c>
      <c r="I320" s="54" t="s">
        <v>210</v>
      </c>
      <c r="J320" s="54" t="s">
        <v>210</v>
      </c>
      <c r="K320" s="54" t="s">
        <v>210</v>
      </c>
      <c r="L320" s="54" t="s">
        <v>210</v>
      </c>
      <c r="M320" s="66">
        <v>15000</v>
      </c>
      <c r="N320" s="66"/>
      <c r="O320" s="66"/>
      <c r="P320" s="66"/>
    </row>
    <row r="321" spans="1:16" ht="15.75" x14ac:dyDescent="0.25">
      <c r="A321" s="1">
        <v>26</v>
      </c>
      <c r="B321" s="65" t="s">
        <v>380</v>
      </c>
      <c r="C321" s="65">
        <v>1</v>
      </c>
      <c r="D321" s="66">
        <v>12000</v>
      </c>
      <c r="E321" s="66">
        <v>12000</v>
      </c>
      <c r="F321" s="68" t="s">
        <v>666</v>
      </c>
      <c r="G321" s="68" t="s">
        <v>75</v>
      </c>
      <c r="H321" s="19" t="s">
        <v>663</v>
      </c>
      <c r="I321" s="54" t="s">
        <v>210</v>
      </c>
      <c r="J321" s="54" t="s">
        <v>210</v>
      </c>
      <c r="K321" s="54" t="s">
        <v>210</v>
      </c>
      <c r="L321" s="54" t="s">
        <v>210</v>
      </c>
      <c r="M321" s="66">
        <v>12000</v>
      </c>
      <c r="N321" s="66"/>
      <c r="O321" s="66"/>
      <c r="P321" s="66"/>
    </row>
    <row r="322" spans="1:16" ht="15.75" x14ac:dyDescent="0.25">
      <c r="A322" s="1">
        <v>27</v>
      </c>
      <c r="B322" s="65" t="s">
        <v>381</v>
      </c>
      <c r="C322" s="65">
        <v>1</v>
      </c>
      <c r="D322" s="66">
        <v>45000</v>
      </c>
      <c r="E322" s="66">
        <v>45000</v>
      </c>
      <c r="F322" s="68" t="s">
        <v>666</v>
      </c>
      <c r="G322" s="68" t="s">
        <v>75</v>
      </c>
      <c r="H322" s="19" t="s">
        <v>663</v>
      </c>
      <c r="I322" s="54" t="s">
        <v>210</v>
      </c>
      <c r="J322" s="54" t="s">
        <v>210</v>
      </c>
      <c r="K322" s="54" t="s">
        <v>210</v>
      </c>
      <c r="L322" s="54" t="s">
        <v>210</v>
      </c>
      <c r="M322" s="66">
        <v>45000</v>
      </c>
      <c r="N322" s="66"/>
      <c r="O322" s="66"/>
      <c r="P322" s="66"/>
    </row>
    <row r="323" spans="1:16" ht="31.5" x14ac:dyDescent="0.25">
      <c r="A323" s="1">
        <v>28</v>
      </c>
      <c r="B323" s="65" t="s">
        <v>382</v>
      </c>
      <c r="C323" s="66">
        <v>1</v>
      </c>
      <c r="D323" s="66">
        <v>3500</v>
      </c>
      <c r="E323" s="66">
        <v>3500</v>
      </c>
      <c r="F323" s="68" t="s">
        <v>666</v>
      </c>
      <c r="G323" s="68" t="s">
        <v>75</v>
      </c>
      <c r="H323" s="19" t="s">
        <v>663</v>
      </c>
      <c r="I323" s="54" t="s">
        <v>210</v>
      </c>
      <c r="J323" s="54" t="s">
        <v>210</v>
      </c>
      <c r="K323" s="54" t="s">
        <v>210</v>
      </c>
      <c r="L323" s="54" t="s">
        <v>210</v>
      </c>
      <c r="M323" s="66">
        <v>3500</v>
      </c>
      <c r="N323" s="66"/>
      <c r="O323" s="66"/>
      <c r="P323" s="66"/>
    </row>
    <row r="324" spans="1:16" ht="15.75" x14ac:dyDescent="0.25">
      <c r="A324" s="1">
        <v>29</v>
      </c>
      <c r="B324" s="1" t="s">
        <v>577</v>
      </c>
      <c r="C324" s="1">
        <v>1</v>
      </c>
      <c r="D324" s="1">
        <v>60000</v>
      </c>
      <c r="E324" s="1">
        <f>D324*1</f>
        <v>60000</v>
      </c>
      <c r="F324" s="19" t="s">
        <v>569</v>
      </c>
      <c r="G324" s="68" t="s">
        <v>75</v>
      </c>
      <c r="H324" s="19" t="s">
        <v>663</v>
      </c>
      <c r="I324" s="54" t="s">
        <v>210</v>
      </c>
      <c r="J324" s="54" t="s">
        <v>210</v>
      </c>
      <c r="K324" s="54" t="s">
        <v>210</v>
      </c>
      <c r="L324" s="54" t="s">
        <v>210</v>
      </c>
      <c r="M324" s="1"/>
      <c r="N324" s="1"/>
      <c r="O324" s="1">
        <v>60000</v>
      </c>
      <c r="P324" s="1"/>
    </row>
    <row r="325" spans="1:16" ht="15.75" x14ac:dyDescent="0.25">
      <c r="A325" s="1">
        <v>30</v>
      </c>
      <c r="B325" s="1" t="s">
        <v>578</v>
      </c>
      <c r="C325" s="1">
        <v>1</v>
      </c>
      <c r="D325" s="1">
        <v>20000</v>
      </c>
      <c r="E325" s="1">
        <f>D325*1</f>
        <v>20000</v>
      </c>
      <c r="F325" s="19" t="s">
        <v>569</v>
      </c>
      <c r="G325" s="68" t="s">
        <v>75</v>
      </c>
      <c r="H325" s="19" t="s">
        <v>663</v>
      </c>
      <c r="I325" s="54" t="s">
        <v>210</v>
      </c>
      <c r="J325" s="54" t="s">
        <v>210</v>
      </c>
      <c r="K325" s="54" t="s">
        <v>210</v>
      </c>
      <c r="L325" s="54" t="s">
        <v>210</v>
      </c>
      <c r="M325" s="1"/>
      <c r="N325" s="1"/>
      <c r="O325" s="1">
        <v>20000</v>
      </c>
      <c r="P325" s="1"/>
    </row>
    <row r="326" spans="1:16" ht="15.75" x14ac:dyDescent="0.25">
      <c r="A326" s="1">
        <v>31</v>
      </c>
      <c r="B326" s="1" t="s">
        <v>579</v>
      </c>
      <c r="C326" s="1">
        <v>1</v>
      </c>
      <c r="D326" s="1">
        <v>35000</v>
      </c>
      <c r="E326" s="1">
        <v>35000</v>
      </c>
      <c r="F326" s="19" t="s">
        <v>569</v>
      </c>
      <c r="G326" s="68" t="s">
        <v>75</v>
      </c>
      <c r="H326" s="19" t="s">
        <v>663</v>
      </c>
      <c r="I326" s="54" t="s">
        <v>210</v>
      </c>
      <c r="J326" s="54" t="s">
        <v>210</v>
      </c>
      <c r="K326" s="54" t="s">
        <v>210</v>
      </c>
      <c r="L326" s="54" t="s">
        <v>210</v>
      </c>
      <c r="M326" s="1">
        <v>35000</v>
      </c>
      <c r="N326" s="1"/>
      <c r="O326" s="1"/>
      <c r="P326" s="1"/>
    </row>
    <row r="327" spans="1:16" ht="15.75" x14ac:dyDescent="0.25">
      <c r="A327" s="1">
        <v>32</v>
      </c>
      <c r="B327" s="89" t="s">
        <v>582</v>
      </c>
      <c r="C327" s="89">
        <v>5</v>
      </c>
      <c r="D327" s="1">
        <v>4500</v>
      </c>
      <c r="E327" s="1">
        <f>C327*D327</f>
        <v>22500</v>
      </c>
      <c r="F327" s="19" t="s">
        <v>557</v>
      </c>
      <c r="G327" s="68" t="s">
        <v>75</v>
      </c>
      <c r="H327" s="19" t="s">
        <v>663</v>
      </c>
      <c r="I327" s="54" t="s">
        <v>210</v>
      </c>
      <c r="J327" s="54" t="s">
        <v>210</v>
      </c>
      <c r="K327" s="54" t="s">
        <v>210</v>
      </c>
      <c r="L327" s="54" t="s">
        <v>210</v>
      </c>
      <c r="M327" s="1">
        <v>22500</v>
      </c>
      <c r="N327" s="1"/>
      <c r="O327" s="1"/>
      <c r="P327" s="1"/>
    </row>
    <row r="328" spans="1:16" ht="15.75" x14ac:dyDescent="0.25">
      <c r="A328" s="1">
        <v>33</v>
      </c>
      <c r="B328" s="89" t="s">
        <v>602</v>
      </c>
      <c r="C328" s="89">
        <v>1</v>
      </c>
      <c r="D328" s="51">
        <v>20000</v>
      </c>
      <c r="E328" s="51">
        <f>C328*D328</f>
        <v>20000</v>
      </c>
      <c r="F328" s="19" t="s">
        <v>557</v>
      </c>
      <c r="G328" s="68" t="s">
        <v>75</v>
      </c>
      <c r="H328" s="19" t="s">
        <v>663</v>
      </c>
      <c r="I328" s="54" t="s">
        <v>210</v>
      </c>
      <c r="J328" s="54" t="s">
        <v>210</v>
      </c>
      <c r="K328" s="54" t="s">
        <v>210</v>
      </c>
      <c r="L328" s="54" t="s">
        <v>210</v>
      </c>
      <c r="M328" s="32">
        <v>20000</v>
      </c>
      <c r="N328" s="32"/>
      <c r="O328" s="32"/>
      <c r="P328" s="1"/>
    </row>
    <row r="329" spans="1:16" ht="15.75" x14ac:dyDescent="0.25">
      <c r="A329" s="1">
        <v>34</v>
      </c>
      <c r="B329" s="1" t="s">
        <v>617</v>
      </c>
      <c r="C329" s="1">
        <v>3</v>
      </c>
      <c r="D329" s="1">
        <v>6500</v>
      </c>
      <c r="E329" s="1">
        <f>6500*3</f>
        <v>19500</v>
      </c>
      <c r="F329" s="19" t="s">
        <v>569</v>
      </c>
      <c r="G329" s="68" t="s">
        <v>75</v>
      </c>
      <c r="H329" s="19" t="s">
        <v>663</v>
      </c>
      <c r="I329" s="54" t="s">
        <v>210</v>
      </c>
      <c r="J329" s="54" t="s">
        <v>210</v>
      </c>
      <c r="K329" s="54" t="s">
        <v>210</v>
      </c>
      <c r="L329" s="54" t="s">
        <v>210</v>
      </c>
      <c r="M329" s="1">
        <v>19500</v>
      </c>
      <c r="N329" s="1"/>
      <c r="O329" s="1"/>
      <c r="P329" s="1"/>
    </row>
    <row r="330" spans="1:16" ht="15.75" x14ac:dyDescent="0.25">
      <c r="A330" s="1">
        <v>35</v>
      </c>
      <c r="B330" s="1" t="s">
        <v>618</v>
      </c>
      <c r="C330" s="1"/>
      <c r="D330" s="1">
        <v>50000</v>
      </c>
      <c r="E330" s="1">
        <v>50000</v>
      </c>
      <c r="F330" s="19" t="s">
        <v>569</v>
      </c>
      <c r="G330" s="68" t="s">
        <v>75</v>
      </c>
      <c r="H330" s="19" t="s">
        <v>663</v>
      </c>
      <c r="I330" s="54" t="s">
        <v>210</v>
      </c>
      <c r="J330" s="54" t="s">
        <v>210</v>
      </c>
      <c r="K330" s="54" t="s">
        <v>210</v>
      </c>
      <c r="L330" s="54" t="s">
        <v>210</v>
      </c>
      <c r="M330" s="1"/>
      <c r="N330" s="1">
        <v>50000</v>
      </c>
      <c r="O330" s="1"/>
      <c r="P330" s="1"/>
    </row>
    <row r="331" spans="1:16" ht="15.75" x14ac:dyDescent="0.25">
      <c r="A331" s="1">
        <v>36</v>
      </c>
      <c r="B331" s="1" t="s">
        <v>619</v>
      </c>
      <c r="C331" s="1">
        <v>2</v>
      </c>
      <c r="D331" s="1">
        <v>4500</v>
      </c>
      <c r="E331" s="1">
        <f>D331*2</f>
        <v>9000</v>
      </c>
      <c r="F331" s="19" t="s">
        <v>569</v>
      </c>
      <c r="G331" s="68" t="s">
        <v>75</v>
      </c>
      <c r="H331" s="19" t="s">
        <v>663</v>
      </c>
      <c r="I331" s="54" t="s">
        <v>210</v>
      </c>
      <c r="J331" s="54" t="s">
        <v>210</v>
      </c>
      <c r="K331" s="54" t="s">
        <v>210</v>
      </c>
      <c r="L331" s="54" t="s">
        <v>210</v>
      </c>
      <c r="M331" s="1">
        <v>9000</v>
      </c>
      <c r="N331" s="1"/>
      <c r="O331" s="1"/>
      <c r="P331" s="1"/>
    </row>
    <row r="332" spans="1:16" ht="15.75" x14ac:dyDescent="0.25">
      <c r="A332" s="1">
        <v>37</v>
      </c>
      <c r="B332" s="1" t="s">
        <v>620</v>
      </c>
      <c r="C332" s="1">
        <v>4</v>
      </c>
      <c r="D332" s="8">
        <v>10000</v>
      </c>
      <c r="E332" s="1">
        <f>D332*4</f>
        <v>40000</v>
      </c>
      <c r="F332" s="19" t="s">
        <v>569</v>
      </c>
      <c r="G332" s="68" t="s">
        <v>75</v>
      </c>
      <c r="H332" s="19" t="s">
        <v>663</v>
      </c>
      <c r="I332" s="54" t="s">
        <v>210</v>
      </c>
      <c r="J332" s="54" t="s">
        <v>210</v>
      </c>
      <c r="K332" s="54" t="s">
        <v>210</v>
      </c>
      <c r="L332" s="54" t="s">
        <v>210</v>
      </c>
      <c r="M332" s="1">
        <v>40000</v>
      </c>
      <c r="N332" s="1"/>
      <c r="O332" s="1"/>
      <c r="P332" s="1"/>
    </row>
    <row r="333" spans="1:16" ht="15.75" x14ac:dyDescent="0.25">
      <c r="A333" s="1">
        <v>38</v>
      </c>
      <c r="B333" s="14" t="s">
        <v>621</v>
      </c>
      <c r="C333" s="14">
        <v>6</v>
      </c>
      <c r="D333" s="14">
        <v>5000</v>
      </c>
      <c r="E333" s="1">
        <f>D333*6</f>
        <v>30000</v>
      </c>
      <c r="F333" s="19" t="s">
        <v>569</v>
      </c>
      <c r="G333" s="68" t="s">
        <v>75</v>
      </c>
      <c r="H333" s="19" t="s">
        <v>663</v>
      </c>
      <c r="I333" s="54" t="s">
        <v>210</v>
      </c>
      <c r="J333" s="54" t="s">
        <v>210</v>
      </c>
      <c r="K333" s="54" t="s">
        <v>210</v>
      </c>
      <c r="L333" s="54" t="s">
        <v>210</v>
      </c>
      <c r="M333" s="1">
        <v>30000</v>
      </c>
      <c r="N333" s="1"/>
      <c r="O333" s="1"/>
      <c r="P333" s="1"/>
    </row>
    <row r="334" spans="1:16" ht="15.75" x14ac:dyDescent="0.25">
      <c r="A334" s="1">
        <v>39</v>
      </c>
      <c r="B334" s="89" t="s">
        <v>622</v>
      </c>
      <c r="C334" s="89">
        <v>1</v>
      </c>
      <c r="D334" s="79">
        <v>20000</v>
      </c>
      <c r="E334" s="51">
        <f>C334*D334</f>
        <v>20000</v>
      </c>
      <c r="F334" s="19" t="s">
        <v>557</v>
      </c>
      <c r="G334" s="68" t="s">
        <v>75</v>
      </c>
      <c r="H334" s="19" t="s">
        <v>663</v>
      </c>
      <c r="I334" s="54" t="s">
        <v>210</v>
      </c>
      <c r="J334" s="54" t="s">
        <v>210</v>
      </c>
      <c r="K334" s="54" t="s">
        <v>210</v>
      </c>
      <c r="L334" s="54" t="s">
        <v>210</v>
      </c>
      <c r="M334" s="32">
        <v>20000</v>
      </c>
      <c r="N334" s="32"/>
      <c r="O334" s="32"/>
      <c r="P334" s="34"/>
    </row>
    <row r="335" spans="1:16" x14ac:dyDescent="0.25">
      <c r="A335" s="1"/>
      <c r="B335" s="43" t="s">
        <v>649</v>
      </c>
      <c r="C335" s="1"/>
      <c r="D335" s="1"/>
      <c r="E335" s="97">
        <f>SUM(E296:E334)</f>
        <v>822300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x14ac:dyDescent="0.25">
      <c r="A338" s="43" t="s">
        <v>744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5.75" x14ac:dyDescent="0.25">
      <c r="A339" s="1"/>
      <c r="B339" s="77" t="s">
        <v>387</v>
      </c>
      <c r="C339" s="45">
        <v>1</v>
      </c>
      <c r="D339" s="46">
        <v>120000</v>
      </c>
      <c r="E339" s="46">
        <f>C339*D339</f>
        <v>120000</v>
      </c>
      <c r="F339" s="47" t="s">
        <v>156</v>
      </c>
      <c r="G339" s="19" t="s">
        <v>75</v>
      </c>
      <c r="H339" s="19" t="s">
        <v>663</v>
      </c>
      <c r="I339" s="11" t="s">
        <v>21</v>
      </c>
      <c r="J339" s="11" t="s">
        <v>21</v>
      </c>
      <c r="K339" s="11" t="s">
        <v>21</v>
      </c>
      <c r="L339" s="11" t="s">
        <v>21</v>
      </c>
      <c r="M339" s="32"/>
      <c r="N339" s="32">
        <v>120000</v>
      </c>
      <c r="O339" s="32"/>
      <c r="P339" s="34"/>
    </row>
    <row r="340" spans="1:16" ht="15.75" x14ac:dyDescent="0.25">
      <c r="A340" s="1"/>
      <c r="B340" s="77" t="s">
        <v>388</v>
      </c>
      <c r="C340" s="45">
        <v>1</v>
      </c>
      <c r="D340" s="46">
        <v>120000</v>
      </c>
      <c r="E340" s="46">
        <f>C340*D340</f>
        <v>120000</v>
      </c>
      <c r="F340" s="47" t="s">
        <v>156</v>
      </c>
      <c r="G340" s="19" t="s">
        <v>75</v>
      </c>
      <c r="H340" s="19" t="s">
        <v>663</v>
      </c>
      <c r="I340" s="11" t="s">
        <v>21</v>
      </c>
      <c r="J340" s="11" t="s">
        <v>21</v>
      </c>
      <c r="K340" s="11" t="s">
        <v>21</v>
      </c>
      <c r="L340" s="11" t="s">
        <v>21</v>
      </c>
      <c r="M340" s="33"/>
      <c r="N340" s="33">
        <v>120000</v>
      </c>
      <c r="O340" s="33"/>
      <c r="P340" s="33"/>
    </row>
    <row r="341" spans="1:16" ht="15.75" x14ac:dyDescent="0.25">
      <c r="A341" s="1"/>
      <c r="B341" s="77" t="s">
        <v>389</v>
      </c>
      <c r="C341" s="45">
        <v>1</v>
      </c>
      <c r="D341" s="46">
        <v>200000</v>
      </c>
      <c r="E341" s="46">
        <f>C341*D341</f>
        <v>200000</v>
      </c>
      <c r="F341" s="47" t="s">
        <v>156</v>
      </c>
      <c r="G341" s="19" t="s">
        <v>75</v>
      </c>
      <c r="H341" s="19" t="s">
        <v>663</v>
      </c>
      <c r="I341" s="11" t="s">
        <v>21</v>
      </c>
      <c r="J341" s="11" t="s">
        <v>21</v>
      </c>
      <c r="K341" s="11" t="s">
        <v>21</v>
      </c>
      <c r="L341" s="11" t="s">
        <v>21</v>
      </c>
      <c r="M341" s="32"/>
      <c r="N341" s="32">
        <v>100000</v>
      </c>
      <c r="O341" s="34"/>
      <c r="P341" s="1">
        <v>100000</v>
      </c>
    </row>
    <row r="342" spans="1:16" ht="15.75" x14ac:dyDescent="0.25">
      <c r="A342" s="1"/>
      <c r="B342" s="78" t="s">
        <v>390</v>
      </c>
      <c r="C342" s="45"/>
      <c r="D342" s="46"/>
      <c r="E342" s="46"/>
      <c r="F342" s="47" t="s">
        <v>156</v>
      </c>
      <c r="G342" s="19" t="s">
        <v>75</v>
      </c>
      <c r="H342" s="19" t="s">
        <v>663</v>
      </c>
      <c r="I342" s="11" t="s">
        <v>21</v>
      </c>
      <c r="J342" s="11" t="s">
        <v>21</v>
      </c>
      <c r="K342" s="11" t="s">
        <v>21</v>
      </c>
      <c r="L342" s="11" t="s">
        <v>21</v>
      </c>
      <c r="M342" s="32"/>
      <c r="N342" s="32"/>
      <c r="O342" s="32"/>
      <c r="P342" s="34"/>
    </row>
    <row r="343" spans="1:16" ht="15.75" x14ac:dyDescent="0.25">
      <c r="A343" s="1"/>
      <c r="B343" s="44" t="s">
        <v>390</v>
      </c>
      <c r="C343" s="45">
        <v>1</v>
      </c>
      <c r="D343" s="46">
        <v>224000</v>
      </c>
      <c r="E343" s="46">
        <f>C343*D343</f>
        <v>224000</v>
      </c>
      <c r="F343" s="47" t="s">
        <v>156</v>
      </c>
      <c r="G343" s="19" t="s">
        <v>75</v>
      </c>
      <c r="H343" s="19" t="s">
        <v>663</v>
      </c>
      <c r="I343" s="11" t="s">
        <v>21</v>
      </c>
      <c r="J343" s="11" t="s">
        <v>21</v>
      </c>
      <c r="K343" s="11" t="s">
        <v>21</v>
      </c>
      <c r="L343" s="11" t="s">
        <v>21</v>
      </c>
      <c r="M343" s="33">
        <v>224000</v>
      </c>
      <c r="N343" s="33"/>
      <c r="O343" s="33"/>
      <c r="P343" s="33"/>
    </row>
    <row r="344" spans="1:16" ht="15.75" x14ac:dyDescent="0.25">
      <c r="A344" s="43"/>
      <c r="B344" s="102" t="s">
        <v>649</v>
      </c>
      <c r="C344" s="116"/>
      <c r="D344" s="116"/>
      <c r="E344" s="117">
        <f>SUM(E339:E343)</f>
        <v>664000</v>
      </c>
      <c r="F344" s="25"/>
      <c r="G344" s="26"/>
      <c r="H344" s="27"/>
      <c r="I344" s="11"/>
      <c r="J344" s="11"/>
      <c r="K344" s="11"/>
      <c r="L344" s="11"/>
      <c r="M344" s="20"/>
      <c r="N344" s="20"/>
      <c r="O344" s="20"/>
      <c r="P344" s="20"/>
    </row>
    <row r="345" spans="1:1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x14ac:dyDescent="0.25">
      <c r="A346" s="1" t="s">
        <v>745</v>
      </c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5.75" x14ac:dyDescent="0.25">
      <c r="A347" s="1">
        <v>1</v>
      </c>
      <c r="B347" s="89" t="s">
        <v>592</v>
      </c>
      <c r="C347" s="89">
        <v>4</v>
      </c>
      <c r="D347" s="1">
        <v>27000</v>
      </c>
      <c r="E347" s="18">
        <f>C347*D347</f>
        <v>108000</v>
      </c>
      <c r="F347" s="19" t="s">
        <v>557</v>
      </c>
      <c r="G347" s="68" t="s">
        <v>75</v>
      </c>
      <c r="H347" s="19" t="s">
        <v>663</v>
      </c>
      <c r="I347" s="54" t="s">
        <v>210</v>
      </c>
      <c r="J347" s="54" t="s">
        <v>210</v>
      </c>
      <c r="K347" s="54" t="s">
        <v>210</v>
      </c>
      <c r="L347" s="54" t="s">
        <v>210</v>
      </c>
      <c r="M347" s="1">
        <v>108000</v>
      </c>
      <c r="N347" s="1"/>
      <c r="O347" s="1"/>
      <c r="P347" s="12"/>
    </row>
    <row r="348" spans="1:16" ht="15.75" x14ac:dyDescent="0.25">
      <c r="A348" s="1"/>
      <c r="B348" s="89"/>
      <c r="C348" s="89"/>
      <c r="D348" s="1"/>
      <c r="E348" s="18"/>
      <c r="F348" s="19"/>
      <c r="G348" s="68"/>
      <c r="H348" s="19"/>
      <c r="I348" s="54"/>
      <c r="J348" s="54"/>
      <c r="K348" s="54"/>
      <c r="L348" s="54"/>
      <c r="M348" s="1"/>
      <c r="N348" s="1"/>
      <c r="O348" s="1"/>
      <c r="P348" s="12"/>
    </row>
    <row r="349" spans="1:16" ht="15.75" x14ac:dyDescent="0.25">
      <c r="A349" s="43"/>
      <c r="B349" s="101" t="s">
        <v>649</v>
      </c>
      <c r="C349" s="101"/>
      <c r="D349" s="16">
        <f>SUM(D347:D348)</f>
        <v>27000</v>
      </c>
      <c r="E349" s="18"/>
      <c r="F349" s="19"/>
      <c r="G349" s="68"/>
      <c r="H349" s="19"/>
      <c r="I349" s="54"/>
      <c r="J349" s="54"/>
      <c r="K349" s="54"/>
      <c r="L349" s="54"/>
      <c r="M349" s="1"/>
      <c r="N349" s="1"/>
      <c r="O349" s="1"/>
      <c r="P349" s="12"/>
    </row>
    <row r="350" spans="1:1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x14ac:dyDescent="0.25">
      <c r="A351" s="43" t="s">
        <v>746</v>
      </c>
      <c r="B351" s="43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5.75" x14ac:dyDescent="0.25">
      <c r="A352" s="1">
        <v>1</v>
      </c>
      <c r="B352" s="1" t="s">
        <v>97</v>
      </c>
      <c r="C352" s="1">
        <v>5</v>
      </c>
      <c r="D352" s="18">
        <v>1200</v>
      </c>
      <c r="E352" s="17">
        <f t="shared" ref="E352:E362" si="8">C352*D352</f>
        <v>6000</v>
      </c>
      <c r="F352" s="19" t="s">
        <v>85</v>
      </c>
      <c r="G352" s="19" t="s">
        <v>75</v>
      </c>
      <c r="H352" s="19" t="s">
        <v>663</v>
      </c>
      <c r="I352" s="11" t="s">
        <v>21</v>
      </c>
      <c r="J352" s="11" t="s">
        <v>21</v>
      </c>
      <c r="K352" s="11" t="s">
        <v>21</v>
      </c>
      <c r="L352" s="11" t="s">
        <v>21</v>
      </c>
      <c r="M352" s="9">
        <v>3000</v>
      </c>
      <c r="N352" s="9">
        <v>3000</v>
      </c>
      <c r="O352" s="1"/>
      <c r="P352" s="1"/>
    </row>
    <row r="353" spans="1:16" ht="15.75" x14ac:dyDescent="0.25">
      <c r="A353" s="1">
        <v>2</v>
      </c>
      <c r="B353" s="41" t="s">
        <v>154</v>
      </c>
      <c r="C353" s="25">
        <v>5</v>
      </c>
      <c r="D353" s="25">
        <v>800</v>
      </c>
      <c r="E353" s="25">
        <f t="shared" si="8"/>
        <v>4000</v>
      </c>
      <c r="F353" s="19" t="s">
        <v>141</v>
      </c>
      <c r="G353" s="26" t="s">
        <v>75</v>
      </c>
      <c r="H353" s="19" t="s">
        <v>663</v>
      </c>
      <c r="I353" s="11" t="s">
        <v>21</v>
      </c>
      <c r="J353" s="11" t="s">
        <v>21</v>
      </c>
      <c r="K353" s="11" t="s">
        <v>21</v>
      </c>
      <c r="L353" s="11" t="s">
        <v>21</v>
      </c>
      <c r="M353" s="25"/>
      <c r="N353" s="43"/>
      <c r="O353" s="43"/>
      <c r="P353" s="43"/>
    </row>
    <row r="354" spans="1:16" ht="15.75" x14ac:dyDescent="0.25">
      <c r="A354" s="1">
        <v>3</v>
      </c>
      <c r="B354" s="44" t="s">
        <v>174</v>
      </c>
      <c r="C354" s="48">
        <v>20</v>
      </c>
      <c r="D354" s="49">
        <v>5500</v>
      </c>
      <c r="E354" s="49">
        <f t="shared" si="8"/>
        <v>110000</v>
      </c>
      <c r="F354" s="47" t="s">
        <v>156</v>
      </c>
      <c r="G354" s="19" t="s">
        <v>75</v>
      </c>
      <c r="H354" s="19" t="s">
        <v>663</v>
      </c>
      <c r="I354" s="11" t="s">
        <v>21</v>
      </c>
      <c r="J354" s="11" t="s">
        <v>21</v>
      </c>
      <c r="K354" s="11" t="s">
        <v>21</v>
      </c>
      <c r="L354" s="11" t="s">
        <v>21</v>
      </c>
      <c r="M354" s="33">
        <v>110000</v>
      </c>
      <c r="N354" s="33"/>
      <c r="O354" s="33"/>
      <c r="P354" s="33"/>
    </row>
    <row r="355" spans="1:16" ht="15.75" x14ac:dyDescent="0.25">
      <c r="A355" s="1">
        <v>4</v>
      </c>
      <c r="B355" s="44" t="s">
        <v>175</v>
      </c>
      <c r="C355" s="48">
        <v>20</v>
      </c>
      <c r="D355" s="49">
        <v>750</v>
      </c>
      <c r="E355" s="49">
        <f t="shared" si="8"/>
        <v>15000</v>
      </c>
      <c r="F355" s="47" t="s">
        <v>156</v>
      </c>
      <c r="G355" s="19" t="s">
        <v>75</v>
      </c>
      <c r="H355" s="19" t="s">
        <v>663</v>
      </c>
      <c r="I355" s="11" t="s">
        <v>21</v>
      </c>
      <c r="J355" s="11" t="s">
        <v>21</v>
      </c>
      <c r="K355" s="11" t="s">
        <v>21</v>
      </c>
      <c r="L355" s="11" t="s">
        <v>21</v>
      </c>
      <c r="M355" s="32">
        <v>15000</v>
      </c>
      <c r="N355" s="32"/>
      <c r="O355" s="34"/>
      <c r="P355" s="1"/>
    </row>
    <row r="356" spans="1:16" ht="15.75" x14ac:dyDescent="0.25">
      <c r="A356" s="1">
        <v>5</v>
      </c>
      <c r="B356" s="44" t="s">
        <v>176</v>
      </c>
      <c r="C356" s="48">
        <v>15</v>
      </c>
      <c r="D356" s="49">
        <v>1400</v>
      </c>
      <c r="E356" s="49">
        <f t="shared" si="8"/>
        <v>21000</v>
      </c>
      <c r="F356" s="47" t="s">
        <v>156</v>
      </c>
      <c r="G356" s="19" t="s">
        <v>75</v>
      </c>
      <c r="H356" s="19" t="s">
        <v>663</v>
      </c>
      <c r="I356" s="11" t="s">
        <v>21</v>
      </c>
      <c r="J356" s="11" t="s">
        <v>21</v>
      </c>
      <c r="K356" s="11" t="s">
        <v>21</v>
      </c>
      <c r="L356" s="11" t="s">
        <v>21</v>
      </c>
      <c r="M356" s="32">
        <v>21000</v>
      </c>
      <c r="N356" s="32"/>
      <c r="O356" s="32"/>
      <c r="P356" s="34"/>
    </row>
    <row r="357" spans="1:16" ht="15.75" x14ac:dyDescent="0.25">
      <c r="A357" s="1">
        <v>6</v>
      </c>
      <c r="B357" s="44" t="s">
        <v>177</v>
      </c>
      <c r="C357" s="48">
        <v>20</v>
      </c>
      <c r="D357" s="49">
        <v>1400</v>
      </c>
      <c r="E357" s="49">
        <f t="shared" si="8"/>
        <v>28000</v>
      </c>
      <c r="F357" s="47" t="s">
        <v>156</v>
      </c>
      <c r="G357" s="19" t="s">
        <v>75</v>
      </c>
      <c r="H357" s="19" t="s">
        <v>663</v>
      </c>
      <c r="I357" s="11" t="s">
        <v>21</v>
      </c>
      <c r="J357" s="11" t="s">
        <v>21</v>
      </c>
      <c r="K357" s="11" t="s">
        <v>21</v>
      </c>
      <c r="L357" s="11" t="s">
        <v>21</v>
      </c>
      <c r="M357" s="33">
        <v>28000</v>
      </c>
      <c r="N357" s="33"/>
      <c r="O357" s="33"/>
      <c r="P357" s="33"/>
    </row>
    <row r="358" spans="1:16" ht="15.75" x14ac:dyDescent="0.25">
      <c r="A358" s="1">
        <v>7</v>
      </c>
      <c r="B358" s="44" t="s">
        <v>178</v>
      </c>
      <c r="C358" s="48">
        <v>7</v>
      </c>
      <c r="D358" s="49">
        <v>2400</v>
      </c>
      <c r="E358" s="49">
        <f t="shared" si="8"/>
        <v>16800</v>
      </c>
      <c r="F358" s="47" t="s">
        <v>156</v>
      </c>
      <c r="G358" s="19" t="s">
        <v>75</v>
      </c>
      <c r="H358" s="19" t="s">
        <v>663</v>
      </c>
      <c r="I358" s="11" t="s">
        <v>21</v>
      </c>
      <c r="J358" s="11" t="s">
        <v>21</v>
      </c>
      <c r="K358" s="11" t="s">
        <v>21</v>
      </c>
      <c r="L358" s="11" t="s">
        <v>21</v>
      </c>
      <c r="M358" s="32">
        <v>16800</v>
      </c>
      <c r="N358" s="32"/>
      <c r="O358" s="32"/>
      <c r="P358" s="34"/>
    </row>
    <row r="359" spans="1:16" ht="15.75" x14ac:dyDescent="0.25">
      <c r="A359" s="1">
        <v>8</v>
      </c>
      <c r="B359" s="44" t="s">
        <v>179</v>
      </c>
      <c r="C359" s="48">
        <v>5</v>
      </c>
      <c r="D359" s="49">
        <v>1400</v>
      </c>
      <c r="E359" s="49">
        <f t="shared" si="8"/>
        <v>7000</v>
      </c>
      <c r="F359" s="47" t="s">
        <v>156</v>
      </c>
      <c r="G359" s="19" t="s">
        <v>75</v>
      </c>
      <c r="H359" s="19" t="s">
        <v>663</v>
      </c>
      <c r="I359" s="11" t="s">
        <v>21</v>
      </c>
      <c r="J359" s="11" t="s">
        <v>21</v>
      </c>
      <c r="K359" s="11" t="s">
        <v>21</v>
      </c>
      <c r="L359" s="11" t="s">
        <v>21</v>
      </c>
      <c r="M359" s="32">
        <v>7000</v>
      </c>
      <c r="N359" s="32"/>
      <c r="O359" s="32"/>
      <c r="P359" s="34"/>
    </row>
    <row r="360" spans="1:16" ht="15.75" x14ac:dyDescent="0.25">
      <c r="A360" s="1">
        <v>9</v>
      </c>
      <c r="B360" s="44" t="s">
        <v>180</v>
      </c>
      <c r="C360" s="48">
        <v>30</v>
      </c>
      <c r="D360" s="49">
        <v>1400</v>
      </c>
      <c r="E360" s="49">
        <f t="shared" si="8"/>
        <v>42000</v>
      </c>
      <c r="F360" s="47" t="s">
        <v>156</v>
      </c>
      <c r="G360" s="19" t="s">
        <v>75</v>
      </c>
      <c r="H360" s="19" t="s">
        <v>663</v>
      </c>
      <c r="I360" s="11" t="s">
        <v>21</v>
      </c>
      <c r="J360" s="11" t="s">
        <v>21</v>
      </c>
      <c r="K360" s="11" t="s">
        <v>21</v>
      </c>
      <c r="L360" s="11" t="s">
        <v>21</v>
      </c>
      <c r="M360" s="33">
        <v>42000</v>
      </c>
      <c r="N360" s="33"/>
      <c r="O360" s="33"/>
      <c r="P360" s="33"/>
    </row>
    <row r="361" spans="1:16" ht="15.75" x14ac:dyDescent="0.25">
      <c r="A361" s="1">
        <v>10</v>
      </c>
      <c r="B361" s="44" t="s">
        <v>181</v>
      </c>
      <c r="C361" s="48">
        <v>32</v>
      </c>
      <c r="D361" s="49">
        <v>3600</v>
      </c>
      <c r="E361" s="49">
        <f t="shared" si="8"/>
        <v>115200</v>
      </c>
      <c r="F361" s="47" t="s">
        <v>156</v>
      </c>
      <c r="G361" s="19" t="s">
        <v>75</v>
      </c>
      <c r="H361" s="19" t="s">
        <v>663</v>
      </c>
      <c r="I361" s="11" t="s">
        <v>21</v>
      </c>
      <c r="J361" s="11" t="s">
        <v>21</v>
      </c>
      <c r="K361" s="11" t="s">
        <v>21</v>
      </c>
      <c r="L361" s="11" t="s">
        <v>21</v>
      </c>
      <c r="M361" s="32">
        <v>115200</v>
      </c>
      <c r="N361" s="32"/>
      <c r="O361" s="32"/>
      <c r="P361" s="34"/>
    </row>
    <row r="362" spans="1:16" ht="15.75" x14ac:dyDescent="0.25">
      <c r="A362" s="1">
        <v>11</v>
      </c>
      <c r="B362" s="44" t="s">
        <v>182</v>
      </c>
      <c r="C362" s="48">
        <v>32</v>
      </c>
      <c r="D362" s="49">
        <v>2400</v>
      </c>
      <c r="E362" s="49">
        <f t="shared" si="8"/>
        <v>76800</v>
      </c>
      <c r="F362" s="47" t="s">
        <v>156</v>
      </c>
      <c r="G362" s="19" t="s">
        <v>75</v>
      </c>
      <c r="H362" s="19" t="s">
        <v>663</v>
      </c>
      <c r="I362" s="11" t="s">
        <v>21</v>
      </c>
      <c r="J362" s="11" t="s">
        <v>21</v>
      </c>
      <c r="K362" s="11" t="s">
        <v>21</v>
      </c>
      <c r="L362" s="11" t="s">
        <v>21</v>
      </c>
      <c r="M362" s="33">
        <v>76800</v>
      </c>
      <c r="N362" s="33"/>
      <c r="O362" s="33"/>
      <c r="P362" s="33"/>
    </row>
    <row r="363" spans="1:16" ht="15.75" x14ac:dyDescent="0.25">
      <c r="A363" s="1">
        <v>12</v>
      </c>
      <c r="B363" s="50" t="s">
        <v>195</v>
      </c>
      <c r="C363" s="50" t="s">
        <v>184</v>
      </c>
      <c r="D363" s="51">
        <v>2600</v>
      </c>
      <c r="E363" s="51">
        <v>26000</v>
      </c>
      <c r="F363" s="47" t="s">
        <v>185</v>
      </c>
      <c r="G363" s="19" t="s">
        <v>75</v>
      </c>
      <c r="H363" s="19" t="s">
        <v>663</v>
      </c>
      <c r="I363" s="11" t="s">
        <v>21</v>
      </c>
      <c r="J363" s="11" t="s">
        <v>21</v>
      </c>
      <c r="K363" s="11" t="s">
        <v>21</v>
      </c>
      <c r="L363" s="11" t="s">
        <v>21</v>
      </c>
      <c r="M363" s="51">
        <v>26000</v>
      </c>
      <c r="N363" s="32"/>
      <c r="O363" s="32"/>
      <c r="P363" s="34"/>
    </row>
    <row r="364" spans="1:16" ht="15.75" x14ac:dyDescent="0.25">
      <c r="A364" s="1">
        <v>13</v>
      </c>
      <c r="B364" s="50" t="s">
        <v>183</v>
      </c>
      <c r="C364" s="50" t="s">
        <v>184</v>
      </c>
      <c r="D364" s="51">
        <v>2010</v>
      </c>
      <c r="E364" s="51">
        <v>20100</v>
      </c>
      <c r="F364" s="47" t="s">
        <v>185</v>
      </c>
      <c r="G364" s="19" t="s">
        <v>75</v>
      </c>
      <c r="H364" s="19" t="s">
        <v>663</v>
      </c>
      <c r="I364" s="11" t="s">
        <v>21</v>
      </c>
      <c r="J364" s="11" t="s">
        <v>21</v>
      </c>
      <c r="K364" s="11" t="s">
        <v>21</v>
      </c>
      <c r="L364" s="11" t="s">
        <v>21</v>
      </c>
      <c r="M364" s="51">
        <v>20100</v>
      </c>
      <c r="N364" s="33"/>
      <c r="O364" s="33"/>
      <c r="P364" s="33"/>
    </row>
    <row r="365" spans="1:16" ht="15.75" x14ac:dyDescent="0.25">
      <c r="A365" s="1">
        <v>14</v>
      </c>
      <c r="B365" s="50" t="s">
        <v>186</v>
      </c>
      <c r="C365" s="50" t="s">
        <v>184</v>
      </c>
      <c r="D365" s="51">
        <v>1800</v>
      </c>
      <c r="E365" s="51">
        <v>18000</v>
      </c>
      <c r="F365" s="47" t="s">
        <v>185</v>
      </c>
      <c r="G365" s="19" t="s">
        <v>75</v>
      </c>
      <c r="H365" s="19" t="s">
        <v>663</v>
      </c>
      <c r="I365" s="11" t="s">
        <v>21</v>
      </c>
      <c r="J365" s="11" t="s">
        <v>21</v>
      </c>
      <c r="K365" s="11" t="s">
        <v>21</v>
      </c>
      <c r="L365" s="11" t="s">
        <v>21</v>
      </c>
      <c r="M365" s="51">
        <v>18000</v>
      </c>
      <c r="N365" s="32"/>
      <c r="O365" s="32"/>
      <c r="P365" s="34"/>
    </row>
    <row r="366" spans="1:16" ht="15.75" x14ac:dyDescent="0.25">
      <c r="A366" s="1">
        <v>15</v>
      </c>
      <c r="B366" s="50" t="s">
        <v>187</v>
      </c>
      <c r="C366" s="50" t="s">
        <v>184</v>
      </c>
      <c r="D366" s="51">
        <v>7850</v>
      </c>
      <c r="E366" s="51">
        <v>78500</v>
      </c>
      <c r="F366" s="47" t="s">
        <v>185</v>
      </c>
      <c r="G366" s="19" t="s">
        <v>75</v>
      </c>
      <c r="H366" s="19" t="s">
        <v>663</v>
      </c>
      <c r="I366" s="11" t="s">
        <v>21</v>
      </c>
      <c r="J366" s="11" t="s">
        <v>21</v>
      </c>
      <c r="K366" s="11" t="s">
        <v>21</v>
      </c>
      <c r="L366" s="11" t="s">
        <v>21</v>
      </c>
      <c r="M366" s="51">
        <v>78500</v>
      </c>
      <c r="N366" s="33"/>
      <c r="O366" s="33"/>
      <c r="P366" s="33"/>
    </row>
    <row r="367" spans="1:16" ht="15.75" x14ac:dyDescent="0.25">
      <c r="A367" s="1">
        <v>16</v>
      </c>
      <c r="B367" s="50" t="s">
        <v>188</v>
      </c>
      <c r="C367" s="50" t="s">
        <v>189</v>
      </c>
      <c r="D367" s="51">
        <v>2500</v>
      </c>
      <c r="E367" s="51">
        <v>25000</v>
      </c>
      <c r="F367" s="47" t="s">
        <v>185</v>
      </c>
      <c r="G367" s="19" t="s">
        <v>75</v>
      </c>
      <c r="H367" s="19" t="s">
        <v>663</v>
      </c>
      <c r="I367" s="11" t="s">
        <v>21</v>
      </c>
      <c r="J367" s="11" t="s">
        <v>21</v>
      </c>
      <c r="K367" s="11" t="s">
        <v>21</v>
      </c>
      <c r="L367" s="11" t="s">
        <v>21</v>
      </c>
      <c r="M367" s="51">
        <v>25000</v>
      </c>
      <c r="N367" s="32"/>
      <c r="O367" s="34"/>
      <c r="P367" s="1"/>
    </row>
    <row r="368" spans="1:16" ht="15.75" x14ac:dyDescent="0.25">
      <c r="A368" s="1">
        <v>17</v>
      </c>
      <c r="B368" s="50" t="s">
        <v>190</v>
      </c>
      <c r="C368" s="50" t="s">
        <v>189</v>
      </c>
      <c r="D368" s="51">
        <v>280</v>
      </c>
      <c r="E368" s="51">
        <v>2800</v>
      </c>
      <c r="F368" s="47" t="s">
        <v>185</v>
      </c>
      <c r="G368" s="19" t="s">
        <v>75</v>
      </c>
      <c r="H368" s="19" t="s">
        <v>663</v>
      </c>
      <c r="I368" s="11" t="s">
        <v>21</v>
      </c>
      <c r="J368" s="11" t="s">
        <v>21</v>
      </c>
      <c r="K368" s="11" t="s">
        <v>21</v>
      </c>
      <c r="L368" s="11" t="s">
        <v>21</v>
      </c>
      <c r="M368" s="51">
        <v>2800</v>
      </c>
      <c r="N368" s="32"/>
      <c r="O368" s="32"/>
      <c r="P368" s="34"/>
    </row>
    <row r="369" spans="1:16" ht="15.75" x14ac:dyDescent="0.25">
      <c r="A369" s="1">
        <v>18</v>
      </c>
      <c r="B369" s="50" t="s">
        <v>191</v>
      </c>
      <c r="C369" s="50" t="s">
        <v>184</v>
      </c>
      <c r="D369" s="51">
        <v>2200</v>
      </c>
      <c r="E369" s="51">
        <v>22000</v>
      </c>
      <c r="F369" s="47" t="s">
        <v>185</v>
      </c>
      <c r="G369" s="19" t="s">
        <v>75</v>
      </c>
      <c r="H369" s="19" t="s">
        <v>663</v>
      </c>
      <c r="I369" s="11" t="s">
        <v>21</v>
      </c>
      <c r="J369" s="11" t="s">
        <v>21</v>
      </c>
      <c r="K369" s="11" t="s">
        <v>21</v>
      </c>
      <c r="L369" s="11" t="s">
        <v>21</v>
      </c>
      <c r="M369" s="51">
        <v>22000</v>
      </c>
      <c r="N369" s="33"/>
      <c r="O369" s="33"/>
      <c r="P369" s="33"/>
    </row>
    <row r="370" spans="1:16" ht="15.75" x14ac:dyDescent="0.25">
      <c r="A370" s="1">
        <v>19</v>
      </c>
      <c r="B370" s="50" t="s">
        <v>192</v>
      </c>
      <c r="C370" s="50" t="s">
        <v>184</v>
      </c>
      <c r="D370" s="52">
        <v>420</v>
      </c>
      <c r="E370" s="51">
        <v>4200</v>
      </c>
      <c r="F370" s="47" t="s">
        <v>185</v>
      </c>
      <c r="G370" s="19" t="s">
        <v>75</v>
      </c>
      <c r="H370" s="19" t="s">
        <v>663</v>
      </c>
      <c r="I370" s="11" t="s">
        <v>21</v>
      </c>
      <c r="J370" s="11" t="s">
        <v>21</v>
      </c>
      <c r="K370" s="11" t="s">
        <v>21</v>
      </c>
      <c r="L370" s="11" t="s">
        <v>21</v>
      </c>
      <c r="M370" s="51">
        <v>4200</v>
      </c>
      <c r="N370" s="32"/>
      <c r="O370" s="32"/>
      <c r="P370" s="34"/>
    </row>
    <row r="371" spans="1:16" ht="15.75" x14ac:dyDescent="0.25">
      <c r="A371" s="1">
        <v>20</v>
      </c>
      <c r="B371" s="50" t="s">
        <v>193</v>
      </c>
      <c r="C371" s="50" t="s">
        <v>184</v>
      </c>
      <c r="D371" s="51">
        <v>2200</v>
      </c>
      <c r="E371" s="51">
        <v>22000</v>
      </c>
      <c r="F371" s="47" t="s">
        <v>185</v>
      </c>
      <c r="G371" s="19" t="s">
        <v>75</v>
      </c>
      <c r="H371" s="19" t="s">
        <v>663</v>
      </c>
      <c r="I371" s="11" t="s">
        <v>21</v>
      </c>
      <c r="J371" s="11" t="s">
        <v>21</v>
      </c>
      <c r="K371" s="11" t="s">
        <v>21</v>
      </c>
      <c r="L371" s="11" t="s">
        <v>21</v>
      </c>
      <c r="M371" s="51">
        <v>22000</v>
      </c>
      <c r="N371" s="32"/>
      <c r="O371" s="32"/>
      <c r="P371" s="34"/>
    </row>
    <row r="372" spans="1:16" ht="15.75" x14ac:dyDescent="0.25">
      <c r="A372" s="1">
        <v>21</v>
      </c>
      <c r="B372" s="50" t="s">
        <v>194</v>
      </c>
      <c r="C372" s="50" t="s">
        <v>184</v>
      </c>
      <c r="D372" s="51">
        <v>950</v>
      </c>
      <c r="E372" s="51">
        <v>9500</v>
      </c>
      <c r="F372" s="47" t="s">
        <v>185</v>
      </c>
      <c r="G372" s="19" t="s">
        <v>75</v>
      </c>
      <c r="H372" s="19" t="s">
        <v>663</v>
      </c>
      <c r="I372" s="11" t="s">
        <v>21</v>
      </c>
      <c r="J372" s="11" t="s">
        <v>21</v>
      </c>
      <c r="K372" s="11" t="s">
        <v>21</v>
      </c>
      <c r="L372" s="11" t="s">
        <v>21</v>
      </c>
      <c r="M372" s="51">
        <v>9500</v>
      </c>
      <c r="N372" s="33"/>
      <c r="O372" s="33"/>
      <c r="P372" s="33"/>
    </row>
    <row r="373" spans="1:16" ht="15.75" x14ac:dyDescent="0.25">
      <c r="A373" s="1">
        <v>22</v>
      </c>
      <c r="B373" s="50" t="s">
        <v>196</v>
      </c>
      <c r="C373" s="50" t="s">
        <v>197</v>
      </c>
      <c r="D373" s="51">
        <v>7000</v>
      </c>
      <c r="E373" s="51">
        <v>14000</v>
      </c>
      <c r="F373" s="47" t="s">
        <v>185</v>
      </c>
      <c r="G373" s="19" t="s">
        <v>75</v>
      </c>
      <c r="H373" s="19" t="s">
        <v>663</v>
      </c>
      <c r="I373" s="11" t="s">
        <v>21</v>
      </c>
      <c r="J373" s="11" t="s">
        <v>21</v>
      </c>
      <c r="K373" s="11" t="s">
        <v>21</v>
      </c>
      <c r="L373" s="11" t="s">
        <v>21</v>
      </c>
      <c r="M373" s="32">
        <v>14000</v>
      </c>
      <c r="N373" s="32"/>
      <c r="O373" s="32"/>
      <c r="P373" s="34"/>
    </row>
    <row r="374" spans="1:16" ht="11.25" customHeight="1" x14ac:dyDescent="0.25">
      <c r="A374" s="1">
        <v>23</v>
      </c>
      <c r="B374" s="50" t="s">
        <v>198</v>
      </c>
      <c r="C374" s="50" t="s">
        <v>199</v>
      </c>
      <c r="D374" s="51">
        <v>4500</v>
      </c>
      <c r="E374" s="51">
        <v>9000</v>
      </c>
      <c r="F374" s="47" t="s">
        <v>185</v>
      </c>
      <c r="G374" s="19" t="s">
        <v>75</v>
      </c>
      <c r="H374" s="19" t="s">
        <v>663</v>
      </c>
      <c r="I374" s="11" t="s">
        <v>21</v>
      </c>
      <c r="J374" s="11" t="s">
        <v>21</v>
      </c>
      <c r="K374" s="11" t="s">
        <v>21</v>
      </c>
      <c r="L374" s="11" t="s">
        <v>21</v>
      </c>
      <c r="M374" s="33">
        <v>9000</v>
      </c>
      <c r="N374" s="33"/>
      <c r="O374" s="33"/>
      <c r="P374" s="33"/>
    </row>
    <row r="375" spans="1:16" ht="43.5" customHeight="1" x14ac:dyDescent="0.25">
      <c r="A375" s="1">
        <v>24</v>
      </c>
      <c r="B375" s="91" t="s">
        <v>581</v>
      </c>
      <c r="C375" s="1"/>
      <c r="D375" s="1"/>
      <c r="E375" s="1">
        <v>61800</v>
      </c>
      <c r="F375" s="19" t="s">
        <v>569</v>
      </c>
      <c r="G375" s="19" t="s">
        <v>75</v>
      </c>
      <c r="H375" s="19" t="s">
        <v>663</v>
      </c>
      <c r="I375" s="54" t="s">
        <v>210</v>
      </c>
      <c r="J375" s="54" t="s">
        <v>210</v>
      </c>
      <c r="K375" s="54" t="s">
        <v>210</v>
      </c>
      <c r="L375" s="54" t="s">
        <v>210</v>
      </c>
      <c r="M375" s="1"/>
      <c r="N375" s="1"/>
      <c r="O375" s="1"/>
      <c r="P375" s="1"/>
    </row>
    <row r="376" spans="1:16" ht="15.75" x14ac:dyDescent="0.25">
      <c r="A376" s="1">
        <v>25</v>
      </c>
      <c r="B376" s="89" t="s">
        <v>593</v>
      </c>
      <c r="C376" s="89">
        <v>8</v>
      </c>
      <c r="D376" s="1">
        <v>1400</v>
      </c>
      <c r="E376" s="98">
        <f>C376*D376</f>
        <v>11200</v>
      </c>
      <c r="F376" s="19" t="s">
        <v>557</v>
      </c>
      <c r="G376" s="68" t="s">
        <v>75</v>
      </c>
      <c r="H376" s="19" t="s">
        <v>663</v>
      </c>
      <c r="I376" s="54" t="s">
        <v>210</v>
      </c>
      <c r="J376" s="54" t="s">
        <v>210</v>
      </c>
      <c r="K376" s="54" t="s">
        <v>210</v>
      </c>
      <c r="L376" s="54" t="s">
        <v>210</v>
      </c>
      <c r="M376" s="1">
        <v>11200</v>
      </c>
      <c r="N376" s="1"/>
      <c r="O376" s="1"/>
      <c r="P376" s="12"/>
    </row>
    <row r="377" spans="1:16" ht="15.75" x14ac:dyDescent="0.25">
      <c r="A377" s="1">
        <v>26</v>
      </c>
      <c r="B377" s="1" t="s">
        <v>635</v>
      </c>
      <c r="C377" s="1">
        <v>5</v>
      </c>
      <c r="D377" s="1">
        <v>1200</v>
      </c>
      <c r="E377" s="8">
        <v>6000</v>
      </c>
      <c r="F377" s="19" t="s">
        <v>559</v>
      </c>
      <c r="G377" s="68" t="s">
        <v>75</v>
      </c>
      <c r="H377" s="19" t="s">
        <v>663</v>
      </c>
      <c r="I377" s="54" t="s">
        <v>210</v>
      </c>
      <c r="J377" s="54" t="s">
        <v>210</v>
      </c>
      <c r="K377" s="54" t="s">
        <v>210</v>
      </c>
      <c r="L377" s="54" t="s">
        <v>210</v>
      </c>
      <c r="M377" s="1">
        <v>3600</v>
      </c>
      <c r="N377" s="1"/>
      <c r="O377" s="1">
        <v>2400</v>
      </c>
      <c r="P377" s="1"/>
    </row>
    <row r="378" spans="1:16" ht="15.75" x14ac:dyDescent="0.25">
      <c r="A378" s="43"/>
      <c r="B378" s="101" t="s">
        <v>649</v>
      </c>
      <c r="C378" s="101"/>
      <c r="D378" s="43"/>
      <c r="E378" s="16">
        <f>SUM(E352:E377)</f>
        <v>771900</v>
      </c>
      <c r="F378" s="19"/>
      <c r="G378" s="68"/>
      <c r="H378" s="19"/>
      <c r="I378" s="54"/>
      <c r="J378" s="54"/>
      <c r="K378" s="54"/>
      <c r="L378" s="54"/>
      <c r="M378" s="1"/>
      <c r="N378" s="1"/>
      <c r="O378" s="1"/>
      <c r="P378" s="12"/>
    </row>
    <row r="379" spans="1:16" ht="15.75" x14ac:dyDescent="0.25">
      <c r="A379" s="1"/>
      <c r="B379" s="89"/>
      <c r="C379" s="89"/>
      <c r="D379" s="1"/>
      <c r="E379" s="18"/>
      <c r="F379" s="19"/>
      <c r="G379" s="68"/>
      <c r="H379" s="19"/>
      <c r="I379" s="54"/>
      <c r="J379" s="54"/>
      <c r="K379" s="54"/>
      <c r="L379" s="54"/>
      <c r="M379" s="1"/>
      <c r="N379" s="1"/>
      <c r="O379" s="1"/>
      <c r="P379" s="12"/>
    </row>
    <row r="380" spans="1:16" ht="15.75" x14ac:dyDescent="0.25">
      <c r="A380" s="1"/>
      <c r="B380" s="41"/>
      <c r="C380" s="25"/>
      <c r="D380" s="25"/>
      <c r="E380" s="25"/>
      <c r="F380" s="19"/>
      <c r="G380" s="42"/>
      <c r="H380" s="19"/>
      <c r="I380" s="11"/>
      <c r="J380" s="11"/>
      <c r="K380" s="11"/>
      <c r="L380" s="11"/>
      <c r="M380" s="43"/>
      <c r="N380" s="43"/>
      <c r="O380" s="43"/>
      <c r="P380" s="43"/>
    </row>
    <row r="381" spans="1:16" x14ac:dyDescent="0.25">
      <c r="A381" s="43" t="s">
        <v>747</v>
      </c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x14ac:dyDescent="0.25">
      <c r="A382" s="1">
        <v>1</v>
      </c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x14ac:dyDescent="0.25">
      <c r="A383" s="1">
        <v>2</v>
      </c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x14ac:dyDescent="0.25">
      <c r="A384" s="1">
        <v>3</v>
      </c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x14ac:dyDescent="0.25">
      <c r="A385" s="43" t="s">
        <v>748</v>
      </c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x14ac:dyDescent="0.25">
      <c r="A386" s="1">
        <v>1</v>
      </c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x14ac:dyDescent="0.25">
      <c r="A387" s="1">
        <v>2</v>
      </c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x14ac:dyDescent="0.25">
      <c r="A389" s="1">
        <v>3</v>
      </c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x14ac:dyDescent="0.25">
      <c r="A390" s="43" t="s">
        <v>749</v>
      </c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5.75" x14ac:dyDescent="0.25">
      <c r="A391" s="1">
        <v>1</v>
      </c>
      <c r="B391" s="25" t="s">
        <v>170</v>
      </c>
      <c r="C391" s="45">
        <v>720</v>
      </c>
      <c r="D391" s="46">
        <v>3400</v>
      </c>
      <c r="E391" s="46">
        <f>C391*D391</f>
        <v>2448000</v>
      </c>
      <c r="F391" s="47" t="s">
        <v>156</v>
      </c>
      <c r="G391" s="19" t="s">
        <v>75</v>
      </c>
      <c r="H391" s="19" t="s">
        <v>663</v>
      </c>
      <c r="I391" s="11" t="s">
        <v>21</v>
      </c>
      <c r="J391" s="11" t="s">
        <v>21</v>
      </c>
      <c r="K391" s="11" t="s">
        <v>21</v>
      </c>
      <c r="L391" s="11" t="s">
        <v>21</v>
      </c>
      <c r="M391" s="33">
        <v>612000</v>
      </c>
      <c r="N391" s="33">
        <v>612000</v>
      </c>
      <c r="O391" s="33">
        <v>612000</v>
      </c>
      <c r="P391" s="33">
        <v>612000</v>
      </c>
    </row>
    <row r="392" spans="1:16" ht="15.75" x14ac:dyDescent="0.25">
      <c r="A392" s="1">
        <v>3</v>
      </c>
      <c r="B392" s="44" t="s">
        <v>172</v>
      </c>
      <c r="C392" s="45">
        <v>30</v>
      </c>
      <c r="D392" s="46">
        <v>2800</v>
      </c>
      <c r="E392" s="46">
        <f>C392*D392</f>
        <v>84000</v>
      </c>
      <c r="F392" s="47" t="s">
        <v>156</v>
      </c>
      <c r="G392" s="19" t="s">
        <v>75</v>
      </c>
      <c r="H392" s="19" t="s">
        <v>663</v>
      </c>
      <c r="I392" s="11" t="s">
        <v>21</v>
      </c>
      <c r="J392" s="11" t="s">
        <v>21</v>
      </c>
      <c r="K392" s="11" t="s">
        <v>21</v>
      </c>
      <c r="L392" s="11" t="s">
        <v>21</v>
      </c>
      <c r="M392" s="32">
        <v>21000</v>
      </c>
      <c r="N392" s="32">
        <v>21000</v>
      </c>
      <c r="O392" s="32">
        <v>21000</v>
      </c>
      <c r="P392" s="34">
        <v>21000</v>
      </c>
    </row>
    <row r="393" spans="1:16" ht="15.75" x14ac:dyDescent="0.25">
      <c r="A393" s="1">
        <v>4</v>
      </c>
      <c r="B393" s="44" t="s">
        <v>173</v>
      </c>
      <c r="C393" s="45">
        <v>20</v>
      </c>
      <c r="D393" s="46">
        <v>2800</v>
      </c>
      <c r="E393" s="46">
        <f>C393*D393</f>
        <v>56000</v>
      </c>
      <c r="F393" s="47" t="s">
        <v>156</v>
      </c>
      <c r="G393" s="19" t="s">
        <v>75</v>
      </c>
      <c r="H393" s="19" t="s">
        <v>663</v>
      </c>
      <c r="I393" s="11" t="s">
        <v>21</v>
      </c>
      <c r="J393" s="11" t="s">
        <v>21</v>
      </c>
      <c r="K393" s="11" t="s">
        <v>21</v>
      </c>
      <c r="L393" s="11" t="s">
        <v>21</v>
      </c>
      <c r="M393" s="33">
        <v>14000</v>
      </c>
      <c r="N393" s="33">
        <v>14000</v>
      </c>
      <c r="O393" s="33">
        <v>14000</v>
      </c>
      <c r="P393" s="33">
        <v>14000</v>
      </c>
    </row>
    <row r="394" spans="1:16" x14ac:dyDescent="0.25">
      <c r="A394" s="43"/>
      <c r="B394" s="43" t="s">
        <v>649</v>
      </c>
      <c r="C394" s="43"/>
      <c r="D394" s="43"/>
      <c r="E394" s="118">
        <f>SUM(E391:E393)</f>
        <v>2588000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x14ac:dyDescent="0.25">
      <c r="A397" s="43" t="s">
        <v>750</v>
      </c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5.75" x14ac:dyDescent="0.25">
      <c r="A398" s="1"/>
      <c r="B398" s="78" t="s">
        <v>392</v>
      </c>
      <c r="C398" s="78"/>
      <c r="D398" s="79"/>
      <c r="E398" s="51"/>
      <c r="F398" s="47"/>
      <c r="G398" s="19"/>
      <c r="H398" s="19"/>
      <c r="I398" s="11"/>
      <c r="J398" s="11"/>
      <c r="K398" s="11"/>
      <c r="L398" s="11"/>
      <c r="M398" s="32"/>
      <c r="N398" s="32"/>
      <c r="O398" s="32"/>
      <c r="P398" s="34"/>
    </row>
    <row r="399" spans="1:16" ht="15.75" x14ac:dyDescent="0.25">
      <c r="A399" s="1">
        <v>1</v>
      </c>
      <c r="B399" s="44" t="s">
        <v>393</v>
      </c>
      <c r="C399" s="45">
        <v>3</v>
      </c>
      <c r="D399" s="46">
        <v>450</v>
      </c>
      <c r="E399" s="46">
        <f t="shared" ref="E399:E406" si="9">C399*D399</f>
        <v>1350</v>
      </c>
      <c r="F399" s="47" t="s">
        <v>156</v>
      </c>
      <c r="G399" s="19" t="s">
        <v>75</v>
      </c>
      <c r="H399" s="19" t="s">
        <v>663</v>
      </c>
      <c r="I399" s="11" t="s">
        <v>21</v>
      </c>
      <c r="J399" s="11" t="s">
        <v>21</v>
      </c>
      <c r="K399" s="11" t="s">
        <v>21</v>
      </c>
      <c r="L399" s="11" t="s">
        <v>21</v>
      </c>
      <c r="M399" s="33">
        <v>1350</v>
      </c>
      <c r="N399" s="33"/>
      <c r="O399" s="33"/>
      <c r="P399" s="33"/>
    </row>
    <row r="400" spans="1:16" ht="15.75" x14ac:dyDescent="0.25">
      <c r="A400" s="1">
        <v>2</v>
      </c>
      <c r="B400" s="44" t="s">
        <v>394</v>
      </c>
      <c r="C400" s="45">
        <v>3</v>
      </c>
      <c r="D400" s="46">
        <v>450</v>
      </c>
      <c r="E400" s="46">
        <f t="shared" si="9"/>
        <v>1350</v>
      </c>
      <c r="F400" s="47" t="s">
        <v>156</v>
      </c>
      <c r="G400" s="19" t="s">
        <v>75</v>
      </c>
      <c r="H400" s="19" t="s">
        <v>663</v>
      </c>
      <c r="I400" s="11" t="s">
        <v>21</v>
      </c>
      <c r="J400" s="11" t="s">
        <v>21</v>
      </c>
      <c r="K400" s="11" t="s">
        <v>21</v>
      </c>
      <c r="L400" s="11" t="s">
        <v>21</v>
      </c>
      <c r="M400" s="32">
        <v>1350</v>
      </c>
      <c r="N400" s="32"/>
      <c r="O400" s="34"/>
      <c r="P400" s="1"/>
    </row>
    <row r="401" spans="1:16" ht="15.75" x14ac:dyDescent="0.25">
      <c r="A401" s="1">
        <v>3</v>
      </c>
      <c r="B401" s="44" t="s">
        <v>395</v>
      </c>
      <c r="C401" s="45">
        <v>3</v>
      </c>
      <c r="D401" s="46">
        <v>1400</v>
      </c>
      <c r="E401" s="46">
        <f t="shared" si="9"/>
        <v>4200</v>
      </c>
      <c r="F401" s="47" t="s">
        <v>156</v>
      </c>
      <c r="G401" s="19" t="s">
        <v>75</v>
      </c>
      <c r="H401" s="19" t="s">
        <v>663</v>
      </c>
      <c r="I401" s="11" t="s">
        <v>21</v>
      </c>
      <c r="J401" s="11" t="s">
        <v>21</v>
      </c>
      <c r="K401" s="11" t="s">
        <v>21</v>
      </c>
      <c r="L401" s="11" t="s">
        <v>21</v>
      </c>
      <c r="M401" s="32">
        <v>4200</v>
      </c>
      <c r="N401" s="32"/>
      <c r="O401" s="32"/>
      <c r="P401" s="34"/>
    </row>
    <row r="402" spans="1:16" ht="15.75" x14ac:dyDescent="0.25">
      <c r="A402" s="1">
        <v>4</v>
      </c>
      <c r="B402" s="44" t="s">
        <v>396</v>
      </c>
      <c r="C402" s="45">
        <v>12</v>
      </c>
      <c r="D402" s="46">
        <v>150</v>
      </c>
      <c r="E402" s="46">
        <f t="shared" si="9"/>
        <v>1800</v>
      </c>
      <c r="F402" s="47" t="s">
        <v>156</v>
      </c>
      <c r="G402" s="19" t="s">
        <v>75</v>
      </c>
      <c r="H402" s="19" t="s">
        <v>663</v>
      </c>
      <c r="I402" s="11" t="s">
        <v>21</v>
      </c>
      <c r="J402" s="11" t="s">
        <v>21</v>
      </c>
      <c r="K402" s="11" t="s">
        <v>21</v>
      </c>
      <c r="L402" s="11" t="s">
        <v>21</v>
      </c>
      <c r="M402" s="33"/>
      <c r="N402" s="33">
        <v>900</v>
      </c>
      <c r="O402" s="33">
        <v>900</v>
      </c>
      <c r="P402" s="33"/>
    </row>
    <row r="403" spans="1:16" ht="15.75" x14ac:dyDescent="0.25">
      <c r="A403" s="1">
        <v>5</v>
      </c>
      <c r="B403" s="44" t="s">
        <v>397</v>
      </c>
      <c r="C403" s="45">
        <v>12</v>
      </c>
      <c r="D403" s="46">
        <v>100</v>
      </c>
      <c r="E403" s="46">
        <f t="shared" si="9"/>
        <v>1200</v>
      </c>
      <c r="F403" s="47" t="s">
        <v>156</v>
      </c>
      <c r="G403" s="19" t="s">
        <v>75</v>
      </c>
      <c r="H403" s="19" t="s">
        <v>663</v>
      </c>
      <c r="I403" s="11" t="s">
        <v>21</v>
      </c>
      <c r="J403" s="11" t="s">
        <v>21</v>
      </c>
      <c r="K403" s="11" t="s">
        <v>21</v>
      </c>
      <c r="L403" s="11" t="s">
        <v>21</v>
      </c>
      <c r="M403" s="32"/>
      <c r="N403" s="32">
        <v>600</v>
      </c>
      <c r="O403" s="32">
        <v>600</v>
      </c>
      <c r="P403" s="34"/>
    </row>
    <row r="404" spans="1:16" ht="15.75" x14ac:dyDescent="0.25">
      <c r="A404" s="1">
        <v>6</v>
      </c>
      <c r="B404" s="44" t="s">
        <v>398</v>
      </c>
      <c r="C404" s="45">
        <v>25</v>
      </c>
      <c r="D404" s="46">
        <v>100</v>
      </c>
      <c r="E404" s="46">
        <f t="shared" si="9"/>
        <v>2500</v>
      </c>
      <c r="F404" s="47" t="s">
        <v>156</v>
      </c>
      <c r="G404" s="19" t="s">
        <v>75</v>
      </c>
      <c r="H404" s="19" t="s">
        <v>663</v>
      </c>
      <c r="I404" s="11" t="s">
        <v>21</v>
      </c>
      <c r="J404" s="11" t="s">
        <v>21</v>
      </c>
      <c r="K404" s="11" t="s">
        <v>21</v>
      </c>
      <c r="L404" s="11" t="s">
        <v>21</v>
      </c>
      <c r="M404" s="33"/>
      <c r="N404" s="33">
        <v>1250</v>
      </c>
      <c r="O404" s="33">
        <v>1250</v>
      </c>
      <c r="P404" s="33"/>
    </row>
    <row r="405" spans="1:16" ht="15.75" x14ac:dyDescent="0.25">
      <c r="A405" s="1">
        <v>7</v>
      </c>
      <c r="B405" s="44" t="s">
        <v>399</v>
      </c>
      <c r="C405" s="45">
        <v>1</v>
      </c>
      <c r="D405" s="46">
        <v>1200</v>
      </c>
      <c r="E405" s="46">
        <f t="shared" si="9"/>
        <v>1200</v>
      </c>
      <c r="F405" s="47" t="s">
        <v>156</v>
      </c>
      <c r="G405" s="19" t="s">
        <v>75</v>
      </c>
      <c r="H405" s="19" t="s">
        <v>663</v>
      </c>
      <c r="I405" s="11" t="s">
        <v>21</v>
      </c>
      <c r="J405" s="11" t="s">
        <v>21</v>
      </c>
      <c r="K405" s="11" t="s">
        <v>21</v>
      </c>
      <c r="L405" s="11" t="s">
        <v>21</v>
      </c>
      <c r="M405" s="32">
        <v>1200</v>
      </c>
      <c r="N405" s="32"/>
      <c r="O405" s="34"/>
      <c r="P405" s="1"/>
    </row>
    <row r="406" spans="1:16" ht="15.75" x14ac:dyDescent="0.25">
      <c r="A406" s="1">
        <v>8</v>
      </c>
      <c r="B406" s="44" t="s">
        <v>400</v>
      </c>
      <c r="C406" s="45">
        <v>3</v>
      </c>
      <c r="D406" s="46">
        <v>450</v>
      </c>
      <c r="E406" s="46">
        <f t="shared" si="9"/>
        <v>1350</v>
      </c>
      <c r="F406" s="47" t="s">
        <v>156</v>
      </c>
      <c r="G406" s="19" t="s">
        <v>75</v>
      </c>
      <c r="H406" s="19" t="s">
        <v>663</v>
      </c>
      <c r="I406" s="11" t="s">
        <v>21</v>
      </c>
      <c r="J406" s="11" t="s">
        <v>21</v>
      </c>
      <c r="K406" s="11" t="s">
        <v>21</v>
      </c>
      <c r="L406" s="11" t="s">
        <v>21</v>
      </c>
      <c r="M406" s="32">
        <v>1350</v>
      </c>
      <c r="N406" s="32"/>
      <c r="O406" s="32"/>
      <c r="P406" s="34"/>
    </row>
    <row r="407" spans="1:16" ht="15.75" x14ac:dyDescent="0.25">
      <c r="A407" s="1"/>
      <c r="B407" s="78" t="s">
        <v>401</v>
      </c>
      <c r="C407" s="78"/>
      <c r="D407" s="79" t="s">
        <v>4</v>
      </c>
      <c r="E407" s="51"/>
      <c r="F407" s="47"/>
      <c r="G407" s="19"/>
      <c r="H407" s="19"/>
      <c r="I407" s="11"/>
      <c r="J407" s="11"/>
      <c r="K407" s="11"/>
      <c r="L407" s="11"/>
      <c r="M407" s="33"/>
      <c r="N407" s="33"/>
      <c r="O407" s="33"/>
      <c r="P407" s="33"/>
    </row>
    <row r="408" spans="1:16" ht="15.75" x14ac:dyDescent="0.25">
      <c r="A408" s="1">
        <v>9</v>
      </c>
      <c r="B408" s="44" t="s">
        <v>402</v>
      </c>
      <c r="C408" s="45">
        <v>40</v>
      </c>
      <c r="D408" s="46">
        <v>40</v>
      </c>
      <c r="E408" s="46">
        <f t="shared" ref="E408:E414" si="10">C408*D408</f>
        <v>1600</v>
      </c>
      <c r="F408" s="47" t="s">
        <v>156</v>
      </c>
      <c r="G408" s="19" t="s">
        <v>75</v>
      </c>
      <c r="H408" s="19" t="s">
        <v>663</v>
      </c>
      <c r="I408" s="11" t="s">
        <v>21</v>
      </c>
      <c r="J408" s="11" t="s">
        <v>21</v>
      </c>
      <c r="K408" s="11" t="s">
        <v>21</v>
      </c>
      <c r="L408" s="11" t="s">
        <v>21</v>
      </c>
      <c r="M408" s="32">
        <v>800</v>
      </c>
      <c r="N408" s="32"/>
      <c r="O408" s="32">
        <v>800</v>
      </c>
      <c r="P408" s="34"/>
    </row>
    <row r="409" spans="1:16" ht="15.75" x14ac:dyDescent="0.25">
      <c r="A409" s="1">
        <v>10</v>
      </c>
      <c r="B409" s="44" t="s">
        <v>403</v>
      </c>
      <c r="C409" s="45">
        <v>3</v>
      </c>
      <c r="D409" s="46">
        <v>120</v>
      </c>
      <c r="E409" s="46">
        <f t="shared" si="10"/>
        <v>360</v>
      </c>
      <c r="F409" s="47" t="s">
        <v>156</v>
      </c>
      <c r="G409" s="19" t="s">
        <v>75</v>
      </c>
      <c r="H409" s="19" t="s">
        <v>663</v>
      </c>
      <c r="I409" s="11" t="s">
        <v>21</v>
      </c>
      <c r="J409" s="11" t="s">
        <v>21</v>
      </c>
      <c r="K409" s="11" t="s">
        <v>21</v>
      </c>
      <c r="L409" s="11" t="s">
        <v>21</v>
      </c>
      <c r="M409" s="32">
        <v>360</v>
      </c>
      <c r="N409" s="32"/>
      <c r="O409" s="32"/>
      <c r="P409" s="34"/>
    </row>
    <row r="410" spans="1:16" ht="15.75" x14ac:dyDescent="0.25">
      <c r="A410" s="1">
        <v>11</v>
      </c>
      <c r="B410" s="44" t="s">
        <v>404</v>
      </c>
      <c r="C410" s="45">
        <v>36</v>
      </c>
      <c r="D410" s="46">
        <v>120</v>
      </c>
      <c r="E410" s="46">
        <f t="shared" si="10"/>
        <v>4320</v>
      </c>
      <c r="F410" s="47" t="s">
        <v>156</v>
      </c>
      <c r="G410" s="19" t="s">
        <v>75</v>
      </c>
      <c r="H410" s="19" t="s">
        <v>663</v>
      </c>
      <c r="I410" s="11" t="s">
        <v>21</v>
      </c>
      <c r="J410" s="11" t="s">
        <v>21</v>
      </c>
      <c r="K410" s="11" t="s">
        <v>21</v>
      </c>
      <c r="L410" s="11" t="s">
        <v>21</v>
      </c>
      <c r="M410" s="33">
        <v>2160</v>
      </c>
      <c r="N410" s="33"/>
      <c r="O410" s="33">
        <v>2160</v>
      </c>
      <c r="P410" s="33"/>
    </row>
    <row r="411" spans="1:16" ht="15.75" x14ac:dyDescent="0.25">
      <c r="A411" s="1">
        <v>12</v>
      </c>
      <c r="B411" s="44" t="s">
        <v>405</v>
      </c>
      <c r="C411" s="45">
        <v>3</v>
      </c>
      <c r="D411" s="46">
        <v>550</v>
      </c>
      <c r="E411" s="46">
        <f t="shared" si="10"/>
        <v>1650</v>
      </c>
      <c r="F411" s="47" t="s">
        <v>156</v>
      </c>
      <c r="G411" s="19" t="s">
        <v>75</v>
      </c>
      <c r="H411" s="19" t="s">
        <v>663</v>
      </c>
      <c r="I411" s="11" t="s">
        <v>21</v>
      </c>
      <c r="J411" s="11" t="s">
        <v>21</v>
      </c>
      <c r="K411" s="11" t="s">
        <v>21</v>
      </c>
      <c r="L411" s="11" t="s">
        <v>21</v>
      </c>
      <c r="M411" s="32">
        <v>1650</v>
      </c>
      <c r="N411" s="32"/>
      <c r="O411" s="32"/>
      <c r="P411" s="34"/>
    </row>
    <row r="412" spans="1:16" ht="15.75" x14ac:dyDescent="0.25">
      <c r="A412" s="1">
        <v>13</v>
      </c>
      <c r="B412" s="44" t="s">
        <v>406</v>
      </c>
      <c r="C412" s="45">
        <v>1</v>
      </c>
      <c r="D412" s="46">
        <v>650</v>
      </c>
      <c r="E412" s="46">
        <f t="shared" si="10"/>
        <v>650</v>
      </c>
      <c r="F412" s="47" t="s">
        <v>156</v>
      </c>
      <c r="G412" s="19" t="s">
        <v>75</v>
      </c>
      <c r="H412" s="19" t="s">
        <v>663</v>
      </c>
      <c r="I412" s="11" t="s">
        <v>21</v>
      </c>
      <c r="J412" s="11" t="s">
        <v>21</v>
      </c>
      <c r="K412" s="11" t="s">
        <v>21</v>
      </c>
      <c r="L412" s="11" t="s">
        <v>21</v>
      </c>
      <c r="M412" s="33">
        <v>650</v>
      </c>
      <c r="N412" s="33"/>
      <c r="O412" s="33"/>
      <c r="P412" s="33"/>
    </row>
    <row r="413" spans="1:16" ht="15.75" x14ac:dyDescent="0.25">
      <c r="A413" s="1">
        <v>14</v>
      </c>
      <c r="B413" s="44" t="s">
        <v>407</v>
      </c>
      <c r="C413" s="45">
        <v>10</v>
      </c>
      <c r="D413" s="46">
        <v>50</v>
      </c>
      <c r="E413" s="46">
        <f t="shared" si="10"/>
        <v>500</v>
      </c>
      <c r="F413" s="47" t="s">
        <v>156</v>
      </c>
      <c r="G413" s="19" t="s">
        <v>75</v>
      </c>
      <c r="H413" s="19" t="s">
        <v>663</v>
      </c>
      <c r="I413" s="11" t="s">
        <v>21</v>
      </c>
      <c r="J413" s="11" t="s">
        <v>21</v>
      </c>
      <c r="K413" s="11" t="s">
        <v>21</v>
      </c>
      <c r="L413" s="11" t="s">
        <v>21</v>
      </c>
      <c r="M413" s="32">
        <v>250</v>
      </c>
      <c r="N413" s="32"/>
      <c r="O413" s="32">
        <v>250</v>
      </c>
      <c r="P413" s="34"/>
    </row>
    <row r="414" spans="1:16" ht="15.75" x14ac:dyDescent="0.25">
      <c r="A414" s="1">
        <v>15</v>
      </c>
      <c r="B414" s="44" t="s">
        <v>408</v>
      </c>
      <c r="C414" s="45">
        <v>30</v>
      </c>
      <c r="D414" s="46">
        <v>80</v>
      </c>
      <c r="E414" s="46">
        <f t="shared" si="10"/>
        <v>2400</v>
      </c>
      <c r="F414" s="47" t="s">
        <v>156</v>
      </c>
      <c r="G414" s="19" t="s">
        <v>75</v>
      </c>
      <c r="H414" s="19" t="s">
        <v>663</v>
      </c>
      <c r="I414" s="11" t="s">
        <v>21</v>
      </c>
      <c r="J414" s="11" t="s">
        <v>21</v>
      </c>
      <c r="K414" s="11" t="s">
        <v>21</v>
      </c>
      <c r="L414" s="11" t="s">
        <v>21</v>
      </c>
      <c r="M414" s="33">
        <v>1200</v>
      </c>
      <c r="N414" s="33"/>
      <c r="O414" s="33">
        <v>1200</v>
      </c>
      <c r="P414" s="33"/>
    </row>
    <row r="415" spans="1:16" ht="15.75" x14ac:dyDescent="0.25">
      <c r="A415" s="1">
        <v>16</v>
      </c>
      <c r="B415" s="44" t="s">
        <v>409</v>
      </c>
      <c r="C415" s="45">
        <v>1</v>
      </c>
      <c r="D415" s="46">
        <v>1400</v>
      </c>
      <c r="E415" s="46">
        <f>C415*D415</f>
        <v>1400</v>
      </c>
      <c r="F415" s="47" t="s">
        <v>156</v>
      </c>
      <c r="G415" s="19" t="s">
        <v>75</v>
      </c>
      <c r="H415" s="19" t="s">
        <v>663</v>
      </c>
      <c r="I415" s="11" t="s">
        <v>21</v>
      </c>
      <c r="J415" s="11" t="s">
        <v>21</v>
      </c>
      <c r="K415" s="11" t="s">
        <v>21</v>
      </c>
      <c r="L415" s="11" t="s">
        <v>21</v>
      </c>
      <c r="M415" s="32">
        <v>1400</v>
      </c>
      <c r="N415" s="32"/>
      <c r="O415" s="34"/>
      <c r="P415" s="1"/>
    </row>
    <row r="416" spans="1:16" ht="15.75" x14ac:dyDescent="0.25">
      <c r="A416" s="1">
        <v>17</v>
      </c>
      <c r="B416" s="44" t="s">
        <v>410</v>
      </c>
      <c r="C416" s="45">
        <v>2</v>
      </c>
      <c r="D416" s="46">
        <v>1900</v>
      </c>
      <c r="E416" s="46">
        <f>C416*D416</f>
        <v>3800</v>
      </c>
      <c r="F416" s="47" t="s">
        <v>156</v>
      </c>
      <c r="G416" s="19" t="s">
        <v>75</v>
      </c>
      <c r="H416" s="19" t="s">
        <v>663</v>
      </c>
      <c r="I416" s="11" t="s">
        <v>21</v>
      </c>
      <c r="J416" s="11" t="s">
        <v>21</v>
      </c>
      <c r="K416" s="11" t="s">
        <v>21</v>
      </c>
      <c r="L416" s="11" t="s">
        <v>21</v>
      </c>
      <c r="M416" s="32">
        <v>1900</v>
      </c>
      <c r="N416" s="32"/>
      <c r="O416" s="32">
        <v>1900</v>
      </c>
      <c r="P416" s="34"/>
    </row>
    <row r="417" spans="1:16" ht="15.75" x14ac:dyDescent="0.25">
      <c r="A417" s="1">
        <v>18</v>
      </c>
      <c r="B417" s="44" t="s">
        <v>411</v>
      </c>
      <c r="C417" s="45">
        <v>20</v>
      </c>
      <c r="D417" s="46">
        <v>150</v>
      </c>
      <c r="E417" s="46">
        <f>C417*D417</f>
        <v>3000</v>
      </c>
      <c r="F417" s="47" t="s">
        <v>156</v>
      </c>
      <c r="G417" s="19" t="s">
        <v>75</v>
      </c>
      <c r="H417" s="19" t="s">
        <v>663</v>
      </c>
      <c r="I417" s="11" t="s">
        <v>21</v>
      </c>
      <c r="J417" s="11" t="s">
        <v>21</v>
      </c>
      <c r="K417" s="11" t="s">
        <v>21</v>
      </c>
      <c r="L417" s="11" t="s">
        <v>21</v>
      </c>
      <c r="M417" s="33">
        <v>1500</v>
      </c>
      <c r="N417" s="33"/>
      <c r="O417" s="33">
        <v>1500</v>
      </c>
      <c r="P417" s="33"/>
    </row>
    <row r="418" spans="1:16" ht="15.75" x14ac:dyDescent="0.25">
      <c r="A418" s="1"/>
      <c r="B418" s="78" t="s">
        <v>412</v>
      </c>
      <c r="C418" s="78"/>
      <c r="D418" s="79"/>
      <c r="E418" s="51"/>
      <c r="F418" s="47" t="s">
        <v>156</v>
      </c>
      <c r="G418" s="19" t="s">
        <v>75</v>
      </c>
      <c r="H418" s="19" t="s">
        <v>663</v>
      </c>
      <c r="I418" s="11" t="s">
        <v>21</v>
      </c>
      <c r="J418" s="11" t="s">
        <v>21</v>
      </c>
      <c r="K418" s="11" t="s">
        <v>21</v>
      </c>
      <c r="L418" s="11" t="s">
        <v>21</v>
      </c>
      <c r="M418" s="32"/>
      <c r="N418" s="32"/>
      <c r="O418" s="32"/>
      <c r="P418" s="34"/>
    </row>
    <row r="419" spans="1:16" ht="15.75" x14ac:dyDescent="0.25">
      <c r="A419" s="1">
        <v>19</v>
      </c>
      <c r="B419" s="44" t="s">
        <v>413</v>
      </c>
      <c r="C419" s="45">
        <v>25</v>
      </c>
      <c r="D419" s="46">
        <v>250</v>
      </c>
      <c r="E419" s="46">
        <f>C419*D419</f>
        <v>6250</v>
      </c>
      <c r="F419" s="47" t="s">
        <v>156</v>
      </c>
      <c r="G419" s="19" t="s">
        <v>75</v>
      </c>
      <c r="H419" s="19" t="s">
        <v>663</v>
      </c>
      <c r="I419" s="11" t="s">
        <v>21</v>
      </c>
      <c r="J419" s="11" t="s">
        <v>21</v>
      </c>
      <c r="K419" s="11" t="s">
        <v>21</v>
      </c>
      <c r="L419" s="11" t="s">
        <v>21</v>
      </c>
      <c r="M419" s="32"/>
      <c r="N419" s="32">
        <v>3125</v>
      </c>
      <c r="O419" s="32"/>
      <c r="P419" s="34">
        <v>3125</v>
      </c>
    </row>
    <row r="420" spans="1:16" ht="15.75" x14ac:dyDescent="0.25">
      <c r="A420" s="1">
        <v>20</v>
      </c>
      <c r="B420" s="44" t="s">
        <v>414</v>
      </c>
      <c r="C420" s="45">
        <v>15</v>
      </c>
      <c r="D420" s="46">
        <v>250</v>
      </c>
      <c r="E420" s="46">
        <f>C420*D420</f>
        <v>3750</v>
      </c>
      <c r="F420" s="47" t="s">
        <v>156</v>
      </c>
      <c r="G420" s="19" t="s">
        <v>75</v>
      </c>
      <c r="H420" s="19" t="s">
        <v>663</v>
      </c>
      <c r="I420" s="11" t="s">
        <v>21</v>
      </c>
      <c r="J420" s="11" t="s">
        <v>21</v>
      </c>
      <c r="K420" s="11" t="s">
        <v>21</v>
      </c>
      <c r="L420" s="11" t="s">
        <v>21</v>
      </c>
      <c r="M420" s="33"/>
      <c r="N420" s="33">
        <v>1875</v>
      </c>
      <c r="O420" s="33"/>
      <c r="P420" s="33">
        <v>1875</v>
      </c>
    </row>
    <row r="421" spans="1:16" ht="15.75" x14ac:dyDescent="0.25">
      <c r="A421" s="1"/>
      <c r="B421" s="78" t="s">
        <v>415</v>
      </c>
      <c r="C421" s="78"/>
      <c r="D421" s="79"/>
      <c r="E421" s="51"/>
      <c r="F421" s="47"/>
      <c r="G421" s="19"/>
      <c r="H421" s="19"/>
      <c r="I421" s="11"/>
      <c r="J421" s="11"/>
      <c r="K421" s="11"/>
      <c r="L421" s="11"/>
      <c r="M421" s="32"/>
      <c r="N421" s="32"/>
      <c r="O421" s="32"/>
      <c r="P421" s="34"/>
    </row>
    <row r="422" spans="1:16" ht="15.75" x14ac:dyDescent="0.25">
      <c r="A422" s="1">
        <v>21</v>
      </c>
      <c r="B422" s="44" t="s">
        <v>416</v>
      </c>
      <c r="C422" s="45">
        <v>2</v>
      </c>
      <c r="D422" s="46">
        <v>850</v>
      </c>
      <c r="E422" s="46">
        <f t="shared" ref="E422:E432" si="11">C422*D422</f>
        <v>1700</v>
      </c>
      <c r="F422" s="47" t="s">
        <v>156</v>
      </c>
      <c r="G422" s="19" t="s">
        <v>75</v>
      </c>
      <c r="H422" s="19" t="s">
        <v>663</v>
      </c>
      <c r="I422" s="11" t="s">
        <v>21</v>
      </c>
      <c r="J422" s="11" t="s">
        <v>21</v>
      </c>
      <c r="K422" s="11" t="s">
        <v>21</v>
      </c>
      <c r="L422" s="11" t="s">
        <v>21</v>
      </c>
      <c r="M422" s="33">
        <v>850</v>
      </c>
      <c r="N422" s="33"/>
      <c r="O422" s="33">
        <v>850</v>
      </c>
      <c r="P422" s="33"/>
    </row>
    <row r="423" spans="1:16" ht="15.75" x14ac:dyDescent="0.25">
      <c r="A423" s="1">
        <v>22</v>
      </c>
      <c r="B423" s="44" t="s">
        <v>417</v>
      </c>
      <c r="C423" s="45">
        <v>3</v>
      </c>
      <c r="D423" s="46">
        <v>1200</v>
      </c>
      <c r="E423" s="46">
        <f t="shared" si="11"/>
        <v>3600</v>
      </c>
      <c r="F423" s="47" t="s">
        <v>156</v>
      </c>
      <c r="G423" s="19" t="s">
        <v>75</v>
      </c>
      <c r="H423" s="19" t="s">
        <v>663</v>
      </c>
      <c r="I423" s="11" t="s">
        <v>21</v>
      </c>
      <c r="J423" s="11" t="s">
        <v>21</v>
      </c>
      <c r="K423" s="11" t="s">
        <v>21</v>
      </c>
      <c r="L423" s="11" t="s">
        <v>21</v>
      </c>
      <c r="M423" s="32">
        <v>2400</v>
      </c>
      <c r="N423" s="32"/>
      <c r="O423" s="34">
        <v>1200</v>
      </c>
      <c r="P423" s="1"/>
    </row>
    <row r="424" spans="1:16" ht="15.75" x14ac:dyDescent="0.25">
      <c r="A424" s="1">
        <v>23</v>
      </c>
      <c r="B424" s="44" t="s">
        <v>418</v>
      </c>
      <c r="C424" s="45">
        <v>1</v>
      </c>
      <c r="D424" s="46">
        <v>850</v>
      </c>
      <c r="E424" s="46">
        <f t="shared" si="11"/>
        <v>850</v>
      </c>
      <c r="F424" s="47" t="s">
        <v>156</v>
      </c>
      <c r="G424" s="19" t="s">
        <v>75</v>
      </c>
      <c r="H424" s="19" t="s">
        <v>663</v>
      </c>
      <c r="I424" s="11" t="s">
        <v>21</v>
      </c>
      <c r="J424" s="11" t="s">
        <v>21</v>
      </c>
      <c r="K424" s="11" t="s">
        <v>21</v>
      </c>
      <c r="L424" s="11" t="s">
        <v>21</v>
      </c>
      <c r="M424" s="32">
        <v>850</v>
      </c>
      <c r="N424" s="32"/>
      <c r="O424" s="32"/>
      <c r="P424" s="34"/>
    </row>
    <row r="425" spans="1:16" ht="15.75" x14ac:dyDescent="0.25">
      <c r="A425" s="1">
        <v>24</v>
      </c>
      <c r="B425" s="44" t="s">
        <v>419</v>
      </c>
      <c r="C425" s="45">
        <v>3</v>
      </c>
      <c r="D425" s="46">
        <v>800</v>
      </c>
      <c r="E425" s="46">
        <f t="shared" si="11"/>
        <v>2400</v>
      </c>
      <c r="F425" s="47" t="s">
        <v>156</v>
      </c>
      <c r="G425" s="19" t="s">
        <v>75</v>
      </c>
      <c r="H425" s="19" t="s">
        <v>663</v>
      </c>
      <c r="I425" s="11" t="s">
        <v>21</v>
      </c>
      <c r="J425" s="11" t="s">
        <v>21</v>
      </c>
      <c r="K425" s="11" t="s">
        <v>21</v>
      </c>
      <c r="L425" s="11" t="s">
        <v>21</v>
      </c>
      <c r="M425" s="33">
        <v>1600</v>
      </c>
      <c r="N425" s="33"/>
      <c r="O425" s="33">
        <v>800</v>
      </c>
      <c r="P425" s="33"/>
    </row>
    <row r="426" spans="1:16" ht="15.75" x14ac:dyDescent="0.25">
      <c r="A426" s="1">
        <v>25</v>
      </c>
      <c r="B426" s="44" t="s">
        <v>420</v>
      </c>
      <c r="C426" s="45">
        <v>2</v>
      </c>
      <c r="D426" s="46">
        <v>1590</v>
      </c>
      <c r="E426" s="46">
        <f t="shared" si="11"/>
        <v>3180</v>
      </c>
      <c r="F426" s="47" t="s">
        <v>156</v>
      </c>
      <c r="G426" s="19" t="s">
        <v>75</v>
      </c>
      <c r="H426" s="19" t="s">
        <v>663</v>
      </c>
      <c r="I426" s="11" t="s">
        <v>21</v>
      </c>
      <c r="J426" s="11" t="s">
        <v>21</v>
      </c>
      <c r="K426" s="11" t="s">
        <v>21</v>
      </c>
      <c r="L426" s="11" t="s">
        <v>21</v>
      </c>
      <c r="M426" s="32">
        <v>1590</v>
      </c>
      <c r="N426" s="32"/>
      <c r="O426" s="32">
        <v>1590</v>
      </c>
      <c r="P426" s="34"/>
    </row>
    <row r="427" spans="1:16" ht="15.75" x14ac:dyDescent="0.25">
      <c r="A427" s="1">
        <v>26</v>
      </c>
      <c r="B427" s="44" t="s">
        <v>421</v>
      </c>
      <c r="C427" s="45">
        <v>1</v>
      </c>
      <c r="D427" s="46">
        <v>700</v>
      </c>
      <c r="E427" s="46">
        <f t="shared" si="11"/>
        <v>700</v>
      </c>
      <c r="F427" s="47" t="s">
        <v>156</v>
      </c>
      <c r="G427" s="19" t="s">
        <v>75</v>
      </c>
      <c r="H427" s="19" t="s">
        <v>663</v>
      </c>
      <c r="I427" s="11" t="s">
        <v>21</v>
      </c>
      <c r="J427" s="11" t="s">
        <v>21</v>
      </c>
      <c r="K427" s="11" t="s">
        <v>21</v>
      </c>
      <c r="L427" s="11" t="s">
        <v>21</v>
      </c>
      <c r="M427" s="32">
        <v>700</v>
      </c>
      <c r="N427" s="32"/>
      <c r="O427" s="32"/>
      <c r="P427" s="34"/>
    </row>
    <row r="428" spans="1:16" ht="15.75" x14ac:dyDescent="0.25">
      <c r="A428" s="1">
        <v>27</v>
      </c>
      <c r="B428" s="44" t="s">
        <v>422</v>
      </c>
      <c r="C428" s="45">
        <v>3</v>
      </c>
      <c r="D428" s="46">
        <v>800</v>
      </c>
      <c r="E428" s="46">
        <f t="shared" si="11"/>
        <v>2400</v>
      </c>
      <c r="F428" s="47" t="s">
        <v>156</v>
      </c>
      <c r="G428" s="19" t="s">
        <v>75</v>
      </c>
      <c r="H428" s="19" t="s">
        <v>663</v>
      </c>
      <c r="I428" s="11" t="s">
        <v>21</v>
      </c>
      <c r="J428" s="11" t="s">
        <v>21</v>
      </c>
      <c r="K428" s="11" t="s">
        <v>21</v>
      </c>
      <c r="L428" s="11" t="s">
        <v>21</v>
      </c>
      <c r="M428" s="33">
        <v>1600</v>
      </c>
      <c r="N428" s="33"/>
      <c r="O428" s="33">
        <v>800</v>
      </c>
      <c r="P428" s="33"/>
    </row>
    <row r="429" spans="1:16" ht="15.75" x14ac:dyDescent="0.25">
      <c r="A429" s="1">
        <v>28</v>
      </c>
      <c r="B429" s="44" t="s">
        <v>423</v>
      </c>
      <c r="C429" s="45">
        <v>3</v>
      </c>
      <c r="D429" s="46">
        <v>500</v>
      </c>
      <c r="E429" s="46">
        <f t="shared" si="11"/>
        <v>1500</v>
      </c>
      <c r="F429" s="47" t="s">
        <v>156</v>
      </c>
      <c r="G429" s="19" t="s">
        <v>75</v>
      </c>
      <c r="H429" s="19" t="s">
        <v>663</v>
      </c>
      <c r="I429" s="11" t="s">
        <v>21</v>
      </c>
      <c r="J429" s="11" t="s">
        <v>21</v>
      </c>
      <c r="K429" s="11" t="s">
        <v>21</v>
      </c>
      <c r="L429" s="11" t="s">
        <v>21</v>
      </c>
      <c r="M429" s="32">
        <v>1000</v>
      </c>
      <c r="N429" s="32"/>
      <c r="O429" s="32">
        <v>500</v>
      </c>
      <c r="P429" s="34"/>
    </row>
    <row r="430" spans="1:16" ht="15.75" x14ac:dyDescent="0.25">
      <c r="A430" s="1">
        <v>29</v>
      </c>
      <c r="B430" s="80" t="s">
        <v>424</v>
      </c>
      <c r="C430" s="81">
        <v>5</v>
      </c>
      <c r="D430" s="46">
        <v>280</v>
      </c>
      <c r="E430" s="46">
        <f t="shared" si="11"/>
        <v>1400</v>
      </c>
      <c r="F430" s="47" t="s">
        <v>156</v>
      </c>
      <c r="G430" s="19" t="s">
        <v>75</v>
      </c>
      <c r="H430" s="19" t="s">
        <v>663</v>
      </c>
      <c r="I430" s="11" t="s">
        <v>21</v>
      </c>
      <c r="J430" s="11" t="s">
        <v>21</v>
      </c>
      <c r="K430" s="11" t="s">
        <v>21</v>
      </c>
      <c r="L430" s="11" t="s">
        <v>21</v>
      </c>
      <c r="M430" s="33">
        <v>700</v>
      </c>
      <c r="N430" s="33"/>
      <c r="O430" s="33">
        <v>700</v>
      </c>
      <c r="P430" s="33"/>
    </row>
    <row r="431" spans="1:16" ht="15.75" x14ac:dyDescent="0.25">
      <c r="A431" s="1">
        <v>30</v>
      </c>
      <c r="B431" s="44" t="s">
        <v>425</v>
      </c>
      <c r="C431" s="45">
        <v>5</v>
      </c>
      <c r="D431" s="46">
        <v>210</v>
      </c>
      <c r="E431" s="46">
        <f t="shared" si="11"/>
        <v>1050</v>
      </c>
      <c r="F431" s="47" t="s">
        <v>156</v>
      </c>
      <c r="G431" s="19" t="s">
        <v>75</v>
      </c>
      <c r="H431" s="19" t="s">
        <v>663</v>
      </c>
      <c r="I431" s="11" t="s">
        <v>21</v>
      </c>
      <c r="J431" s="11" t="s">
        <v>21</v>
      </c>
      <c r="K431" s="11" t="s">
        <v>21</v>
      </c>
      <c r="L431" s="11" t="s">
        <v>21</v>
      </c>
      <c r="M431" s="32">
        <v>1050</v>
      </c>
      <c r="N431" s="32"/>
      <c r="O431" s="32"/>
      <c r="P431" s="34"/>
    </row>
    <row r="432" spans="1:16" ht="15.75" x14ac:dyDescent="0.25">
      <c r="A432" s="1">
        <v>31</v>
      </c>
      <c r="B432" s="44" t="s">
        <v>426</v>
      </c>
      <c r="C432" s="45">
        <v>5</v>
      </c>
      <c r="D432" s="46">
        <v>250</v>
      </c>
      <c r="E432" s="46">
        <f t="shared" si="11"/>
        <v>1250</v>
      </c>
      <c r="F432" s="47" t="s">
        <v>156</v>
      </c>
      <c r="G432" s="19" t="s">
        <v>75</v>
      </c>
      <c r="H432" s="19" t="s">
        <v>663</v>
      </c>
      <c r="I432" s="11" t="s">
        <v>21</v>
      </c>
      <c r="J432" s="11" t="s">
        <v>21</v>
      </c>
      <c r="K432" s="11" t="s">
        <v>21</v>
      </c>
      <c r="L432" s="11" t="s">
        <v>21</v>
      </c>
      <c r="M432" s="33">
        <v>750</v>
      </c>
      <c r="N432" s="33"/>
      <c r="O432" s="33">
        <v>500</v>
      </c>
      <c r="P432" s="33"/>
    </row>
    <row r="433" spans="1:16" ht="15.75" x14ac:dyDescent="0.25">
      <c r="A433" s="1"/>
      <c r="B433" s="78" t="s">
        <v>427</v>
      </c>
      <c r="C433" s="78"/>
      <c r="D433" s="79"/>
      <c r="E433" s="51"/>
      <c r="F433" s="47"/>
      <c r="G433" s="19"/>
      <c r="H433" s="19"/>
      <c r="I433" s="11"/>
      <c r="J433" s="11"/>
      <c r="K433" s="11"/>
      <c r="L433" s="11"/>
      <c r="M433" s="32"/>
      <c r="N433" s="32"/>
      <c r="O433" s="34"/>
      <c r="P433" s="1"/>
    </row>
    <row r="434" spans="1:16" ht="15.75" x14ac:dyDescent="0.25">
      <c r="A434" s="1">
        <v>32</v>
      </c>
      <c r="B434" s="44" t="s">
        <v>428</v>
      </c>
      <c r="C434" s="45">
        <v>1</v>
      </c>
      <c r="D434" s="46">
        <v>7800</v>
      </c>
      <c r="E434" s="46">
        <f>C434*D434</f>
        <v>7800</v>
      </c>
      <c r="F434" s="47" t="s">
        <v>156</v>
      </c>
      <c r="G434" s="19" t="s">
        <v>75</v>
      </c>
      <c r="H434" s="19" t="s">
        <v>663</v>
      </c>
      <c r="I434" s="11" t="s">
        <v>21</v>
      </c>
      <c r="J434" s="11" t="s">
        <v>21</v>
      </c>
      <c r="K434" s="11" t="s">
        <v>21</v>
      </c>
      <c r="L434" s="11" t="s">
        <v>21</v>
      </c>
      <c r="M434" s="32"/>
      <c r="N434" s="32">
        <v>7800</v>
      </c>
      <c r="O434" s="32"/>
      <c r="P434" s="34"/>
    </row>
    <row r="435" spans="1:16" ht="15.75" x14ac:dyDescent="0.25">
      <c r="A435" s="1">
        <v>33</v>
      </c>
      <c r="B435" s="44" t="s">
        <v>429</v>
      </c>
      <c r="C435" s="45">
        <v>3</v>
      </c>
      <c r="D435" s="46">
        <v>4500</v>
      </c>
      <c r="E435" s="46">
        <f>C435*D435</f>
        <v>13500</v>
      </c>
      <c r="F435" s="47" t="s">
        <v>156</v>
      </c>
      <c r="G435" s="19" t="s">
        <v>75</v>
      </c>
      <c r="H435" s="19" t="s">
        <v>663</v>
      </c>
      <c r="I435" s="11" t="s">
        <v>21</v>
      </c>
      <c r="J435" s="11" t="s">
        <v>21</v>
      </c>
      <c r="K435" s="11" t="s">
        <v>21</v>
      </c>
      <c r="L435" s="11" t="s">
        <v>21</v>
      </c>
      <c r="M435" s="33"/>
      <c r="N435" s="33">
        <v>13500</v>
      </c>
      <c r="O435" s="33"/>
      <c r="P435" s="33"/>
    </row>
    <row r="436" spans="1:16" ht="15.75" x14ac:dyDescent="0.25">
      <c r="A436" s="1">
        <v>34</v>
      </c>
      <c r="B436" s="82" t="s">
        <v>430</v>
      </c>
      <c r="C436" s="81">
        <v>3</v>
      </c>
      <c r="D436" s="46">
        <v>4800</v>
      </c>
      <c r="E436" s="46">
        <f>C436*D436</f>
        <v>14400</v>
      </c>
      <c r="F436" s="47" t="s">
        <v>156</v>
      </c>
      <c r="G436" s="19" t="s">
        <v>75</v>
      </c>
      <c r="H436" s="19" t="s">
        <v>663</v>
      </c>
      <c r="I436" s="11" t="s">
        <v>21</v>
      </c>
      <c r="J436" s="11" t="s">
        <v>21</v>
      </c>
      <c r="K436" s="11" t="s">
        <v>21</v>
      </c>
      <c r="L436" s="11" t="s">
        <v>21</v>
      </c>
      <c r="M436" s="32"/>
      <c r="N436" s="32">
        <v>14400</v>
      </c>
      <c r="O436" s="32"/>
      <c r="P436" s="34"/>
    </row>
    <row r="437" spans="1:16" ht="15.75" x14ac:dyDescent="0.25">
      <c r="A437" s="1">
        <v>35</v>
      </c>
      <c r="B437" s="80" t="s">
        <v>429</v>
      </c>
      <c r="C437" s="81">
        <v>4</v>
      </c>
      <c r="D437" s="46">
        <v>920</v>
      </c>
      <c r="E437" s="46">
        <f>C437*D437</f>
        <v>3680</v>
      </c>
      <c r="F437" s="47" t="s">
        <v>156</v>
      </c>
      <c r="G437" s="19" t="s">
        <v>75</v>
      </c>
      <c r="H437" s="19" t="s">
        <v>663</v>
      </c>
      <c r="I437" s="11" t="s">
        <v>21</v>
      </c>
      <c r="J437" s="11" t="s">
        <v>21</v>
      </c>
      <c r="K437" s="11" t="s">
        <v>21</v>
      </c>
      <c r="L437" s="11" t="s">
        <v>21</v>
      </c>
      <c r="M437" s="32"/>
      <c r="N437" s="32">
        <v>3680</v>
      </c>
      <c r="O437" s="32"/>
      <c r="P437" s="34"/>
    </row>
    <row r="438" spans="1:16" ht="15.75" x14ac:dyDescent="0.25">
      <c r="A438" s="1">
        <v>36</v>
      </c>
      <c r="B438" s="44" t="s">
        <v>431</v>
      </c>
      <c r="C438" s="45">
        <v>30</v>
      </c>
      <c r="D438" s="46">
        <v>450</v>
      </c>
      <c r="E438" s="46">
        <f>C438*D438</f>
        <v>13500</v>
      </c>
      <c r="F438" s="47" t="s">
        <v>156</v>
      </c>
      <c r="G438" s="19" t="s">
        <v>75</v>
      </c>
      <c r="H438" s="19" t="s">
        <v>663</v>
      </c>
      <c r="I438" s="11" t="s">
        <v>21</v>
      </c>
      <c r="J438" s="11" t="s">
        <v>21</v>
      </c>
      <c r="K438" s="11" t="s">
        <v>21</v>
      </c>
      <c r="L438" s="11" t="s">
        <v>21</v>
      </c>
      <c r="M438" s="33"/>
      <c r="N438" s="33">
        <v>6750</v>
      </c>
      <c r="O438" s="33"/>
      <c r="P438" s="33">
        <v>6750</v>
      </c>
    </row>
    <row r="439" spans="1:16" ht="15.75" x14ac:dyDescent="0.25">
      <c r="A439" s="1"/>
      <c r="B439" s="78" t="s">
        <v>432</v>
      </c>
      <c r="C439" s="78"/>
      <c r="D439" s="79"/>
      <c r="E439" s="51"/>
      <c r="F439" s="47"/>
      <c r="G439" s="19"/>
      <c r="H439" s="19"/>
      <c r="I439" s="11"/>
      <c r="J439" s="11"/>
      <c r="K439" s="11"/>
      <c r="L439" s="11"/>
      <c r="M439" s="32"/>
      <c r="N439" s="32"/>
      <c r="O439" s="32"/>
      <c r="P439" s="34"/>
    </row>
    <row r="440" spans="1:16" ht="15.75" x14ac:dyDescent="0.25">
      <c r="A440" s="1">
        <v>37</v>
      </c>
      <c r="B440" s="44" t="s">
        <v>433</v>
      </c>
      <c r="C440" s="45">
        <v>1</v>
      </c>
      <c r="D440" s="46">
        <v>2400</v>
      </c>
      <c r="E440" s="46">
        <f>C440*D440</f>
        <v>2400</v>
      </c>
      <c r="F440" s="47" t="s">
        <v>156</v>
      </c>
      <c r="G440" s="19" t="s">
        <v>75</v>
      </c>
      <c r="H440" s="19" t="s">
        <v>663</v>
      </c>
      <c r="I440" s="11" t="s">
        <v>21</v>
      </c>
      <c r="J440" s="11" t="s">
        <v>21</v>
      </c>
      <c r="K440" s="11" t="s">
        <v>21</v>
      </c>
      <c r="L440" s="11" t="s">
        <v>21</v>
      </c>
      <c r="M440" s="33"/>
      <c r="N440" s="33"/>
      <c r="O440" s="33">
        <v>2400</v>
      </c>
      <c r="P440" s="33"/>
    </row>
    <row r="441" spans="1:16" ht="15.75" x14ac:dyDescent="0.25">
      <c r="A441" s="1">
        <v>38</v>
      </c>
      <c r="B441" s="44" t="s">
        <v>434</v>
      </c>
      <c r="C441" s="45">
        <v>1</v>
      </c>
      <c r="D441" s="46">
        <v>5000</v>
      </c>
      <c r="E441" s="46">
        <f>C441*D441</f>
        <v>5000</v>
      </c>
      <c r="F441" s="47" t="s">
        <v>156</v>
      </c>
      <c r="G441" s="19" t="s">
        <v>75</v>
      </c>
      <c r="H441" s="19" t="s">
        <v>663</v>
      </c>
      <c r="I441" s="11" t="s">
        <v>21</v>
      </c>
      <c r="J441" s="11" t="s">
        <v>21</v>
      </c>
      <c r="K441" s="11" t="s">
        <v>21</v>
      </c>
      <c r="L441" s="11" t="s">
        <v>21</v>
      </c>
      <c r="M441" s="32"/>
      <c r="N441" s="32"/>
      <c r="O441" s="34">
        <v>5000</v>
      </c>
      <c r="P441" s="1"/>
    </row>
    <row r="442" spans="1:16" ht="15.75" x14ac:dyDescent="0.25">
      <c r="A442" s="1">
        <v>39</v>
      </c>
      <c r="B442" s="44" t="s">
        <v>435</v>
      </c>
      <c r="C442" s="45">
        <v>1</v>
      </c>
      <c r="D442" s="46">
        <v>6500</v>
      </c>
      <c r="E442" s="46">
        <f>C442*D442</f>
        <v>6500</v>
      </c>
      <c r="F442" s="47" t="s">
        <v>156</v>
      </c>
      <c r="G442" s="19" t="s">
        <v>75</v>
      </c>
      <c r="H442" s="19" t="s">
        <v>663</v>
      </c>
      <c r="I442" s="11" t="s">
        <v>21</v>
      </c>
      <c r="J442" s="11" t="s">
        <v>21</v>
      </c>
      <c r="K442" s="11" t="s">
        <v>21</v>
      </c>
      <c r="L442" s="11" t="s">
        <v>21</v>
      </c>
      <c r="M442" s="32"/>
      <c r="N442" s="32"/>
      <c r="O442" s="32">
        <v>6500</v>
      </c>
      <c r="P442" s="34"/>
    </row>
    <row r="443" spans="1:16" ht="15.75" x14ac:dyDescent="0.25">
      <c r="A443" s="1"/>
      <c r="B443" s="78" t="s">
        <v>436</v>
      </c>
      <c r="C443" s="78"/>
      <c r="D443" s="79"/>
      <c r="E443" s="51"/>
      <c r="F443" s="47"/>
      <c r="G443" s="19"/>
      <c r="H443" s="19"/>
      <c r="I443" s="11"/>
      <c r="J443" s="11"/>
      <c r="K443" s="11"/>
      <c r="L443" s="11"/>
      <c r="M443" s="33"/>
      <c r="N443" s="33"/>
      <c r="O443" s="33"/>
      <c r="P443" s="33"/>
    </row>
    <row r="444" spans="1:16" ht="15.75" x14ac:dyDescent="0.25">
      <c r="A444" s="1">
        <v>40</v>
      </c>
      <c r="B444" s="44" t="s">
        <v>437</v>
      </c>
      <c r="C444" s="45">
        <v>10</v>
      </c>
      <c r="D444" s="46">
        <v>650</v>
      </c>
      <c r="E444" s="46">
        <f t="shared" ref="E444:E450" si="12">C444*D444</f>
        <v>6500</v>
      </c>
      <c r="F444" s="47" t="s">
        <v>156</v>
      </c>
      <c r="G444" s="19" t="s">
        <v>75</v>
      </c>
      <c r="H444" s="19" t="s">
        <v>663</v>
      </c>
      <c r="I444" s="11" t="s">
        <v>21</v>
      </c>
      <c r="J444" s="11" t="s">
        <v>21</v>
      </c>
      <c r="K444" s="11" t="s">
        <v>21</v>
      </c>
      <c r="L444" s="11" t="s">
        <v>21</v>
      </c>
      <c r="M444" s="32"/>
      <c r="N444" s="32">
        <v>3250</v>
      </c>
      <c r="O444" s="32"/>
      <c r="P444" s="34">
        <v>3250</v>
      </c>
    </row>
    <row r="445" spans="1:16" ht="15.75" x14ac:dyDescent="0.25">
      <c r="A445" s="1">
        <v>41</v>
      </c>
      <c r="B445" s="44" t="s">
        <v>438</v>
      </c>
      <c r="C445" s="45">
        <v>5</v>
      </c>
      <c r="D445" s="46">
        <v>480</v>
      </c>
      <c r="E445" s="46">
        <f t="shared" si="12"/>
        <v>2400</v>
      </c>
      <c r="F445" s="47" t="s">
        <v>156</v>
      </c>
      <c r="G445" s="19" t="s">
        <v>75</v>
      </c>
      <c r="H445" s="19" t="s">
        <v>663</v>
      </c>
      <c r="I445" s="11" t="s">
        <v>21</v>
      </c>
      <c r="J445" s="11" t="s">
        <v>21</v>
      </c>
      <c r="K445" s="11" t="s">
        <v>21</v>
      </c>
      <c r="L445" s="11" t="s">
        <v>21</v>
      </c>
      <c r="M445" s="32"/>
      <c r="N445" s="32">
        <v>1200</v>
      </c>
      <c r="O445" s="32"/>
      <c r="P445" s="34">
        <v>1200</v>
      </c>
    </row>
    <row r="446" spans="1:16" ht="15.75" x14ac:dyDescent="0.25">
      <c r="A446" s="1">
        <v>42</v>
      </c>
      <c r="B446" s="44" t="s">
        <v>439</v>
      </c>
      <c r="C446" s="45">
        <v>50</v>
      </c>
      <c r="D446" s="46">
        <v>450</v>
      </c>
      <c r="E446" s="46">
        <f t="shared" si="12"/>
        <v>22500</v>
      </c>
      <c r="F446" s="47" t="s">
        <v>156</v>
      </c>
      <c r="G446" s="19" t="s">
        <v>75</v>
      </c>
      <c r="H446" s="19" t="s">
        <v>663</v>
      </c>
      <c r="I446" s="11" t="s">
        <v>21</v>
      </c>
      <c r="J446" s="11" t="s">
        <v>21</v>
      </c>
      <c r="K446" s="11" t="s">
        <v>21</v>
      </c>
      <c r="L446" s="11" t="s">
        <v>21</v>
      </c>
      <c r="M446" s="33"/>
      <c r="N446" s="33">
        <v>11250</v>
      </c>
      <c r="O446" s="33"/>
      <c r="P446" s="33">
        <v>11250</v>
      </c>
    </row>
    <row r="447" spans="1:16" ht="15.75" x14ac:dyDescent="0.25">
      <c r="A447" s="1">
        <v>43</v>
      </c>
      <c r="B447" s="44" t="s">
        <v>440</v>
      </c>
      <c r="C447" s="45">
        <v>10</v>
      </c>
      <c r="D447" s="46">
        <v>1200</v>
      </c>
      <c r="E447" s="46">
        <f t="shared" si="12"/>
        <v>12000</v>
      </c>
      <c r="F447" s="47" t="s">
        <v>156</v>
      </c>
      <c r="G447" s="19" t="s">
        <v>75</v>
      </c>
      <c r="H447" s="19" t="s">
        <v>663</v>
      </c>
      <c r="I447" s="11" t="s">
        <v>21</v>
      </c>
      <c r="J447" s="11" t="s">
        <v>21</v>
      </c>
      <c r="K447" s="11" t="s">
        <v>21</v>
      </c>
      <c r="L447" s="11" t="s">
        <v>21</v>
      </c>
      <c r="M447" s="32"/>
      <c r="N447" s="32">
        <v>6000</v>
      </c>
      <c r="O447" s="32"/>
      <c r="P447" s="34">
        <v>6000</v>
      </c>
    </row>
    <row r="448" spans="1:16" ht="15.75" x14ac:dyDescent="0.25">
      <c r="A448" s="1">
        <v>44</v>
      </c>
      <c r="B448" s="44" t="s">
        <v>441</v>
      </c>
      <c r="C448" s="45">
        <v>6</v>
      </c>
      <c r="D448" s="46">
        <v>250</v>
      </c>
      <c r="E448" s="46">
        <f t="shared" si="12"/>
        <v>1500</v>
      </c>
      <c r="F448" s="47" t="s">
        <v>156</v>
      </c>
      <c r="G448" s="19" t="s">
        <v>75</v>
      </c>
      <c r="H448" s="19" t="s">
        <v>663</v>
      </c>
      <c r="I448" s="11" t="s">
        <v>21</v>
      </c>
      <c r="J448" s="11" t="s">
        <v>21</v>
      </c>
      <c r="K448" s="11" t="s">
        <v>21</v>
      </c>
      <c r="L448" s="11" t="s">
        <v>21</v>
      </c>
      <c r="M448" s="33"/>
      <c r="N448" s="33">
        <v>750</v>
      </c>
      <c r="O448" s="33"/>
      <c r="P448" s="33">
        <v>750</v>
      </c>
    </row>
    <row r="449" spans="1:16" ht="15.75" x14ac:dyDescent="0.25">
      <c r="A449" s="1">
        <v>45</v>
      </c>
      <c r="B449" s="44" t="s">
        <v>442</v>
      </c>
      <c r="C449" s="45">
        <v>2</v>
      </c>
      <c r="D449" s="46">
        <v>1800</v>
      </c>
      <c r="E449" s="46">
        <f t="shared" si="12"/>
        <v>3600</v>
      </c>
      <c r="F449" s="47" t="s">
        <v>156</v>
      </c>
      <c r="G449" s="19" t="s">
        <v>75</v>
      </c>
      <c r="H449" s="19" t="s">
        <v>663</v>
      </c>
      <c r="I449" s="11" t="s">
        <v>21</v>
      </c>
      <c r="J449" s="11" t="s">
        <v>21</v>
      </c>
      <c r="K449" s="11" t="s">
        <v>21</v>
      </c>
      <c r="L449" s="11" t="s">
        <v>21</v>
      </c>
      <c r="M449" s="32"/>
      <c r="N449" s="32">
        <v>1800</v>
      </c>
      <c r="O449" s="32"/>
      <c r="P449" s="34">
        <v>1800</v>
      </c>
    </row>
    <row r="450" spans="1:16" ht="15.75" x14ac:dyDescent="0.25">
      <c r="A450" s="1">
        <v>46</v>
      </c>
      <c r="B450" s="44" t="s">
        <v>443</v>
      </c>
      <c r="C450" s="45">
        <v>2</v>
      </c>
      <c r="D450" s="46">
        <v>1120</v>
      </c>
      <c r="E450" s="46">
        <f t="shared" si="12"/>
        <v>2240</v>
      </c>
      <c r="F450" s="47" t="s">
        <v>156</v>
      </c>
      <c r="G450" s="19" t="s">
        <v>75</v>
      </c>
      <c r="H450" s="19" t="s">
        <v>663</v>
      </c>
      <c r="I450" s="11" t="s">
        <v>21</v>
      </c>
      <c r="J450" s="11" t="s">
        <v>21</v>
      </c>
      <c r="K450" s="11" t="s">
        <v>21</v>
      </c>
      <c r="L450" s="11" t="s">
        <v>21</v>
      </c>
      <c r="M450" s="33"/>
      <c r="N450" s="33">
        <v>1120</v>
      </c>
      <c r="O450" s="33"/>
      <c r="P450" s="33">
        <v>1120</v>
      </c>
    </row>
    <row r="451" spans="1:16" ht="15.75" x14ac:dyDescent="0.25">
      <c r="A451" s="1">
        <v>47</v>
      </c>
      <c r="B451" s="44" t="s">
        <v>444</v>
      </c>
      <c r="C451" s="45">
        <v>2</v>
      </c>
      <c r="D451" s="46">
        <v>880</v>
      </c>
      <c r="E451" s="46">
        <f>C451*D451</f>
        <v>1760</v>
      </c>
      <c r="F451" s="47" t="s">
        <v>156</v>
      </c>
      <c r="G451" s="19" t="s">
        <v>75</v>
      </c>
      <c r="H451" s="19" t="s">
        <v>663</v>
      </c>
      <c r="I451" s="11" t="s">
        <v>21</v>
      </c>
      <c r="J451" s="11" t="s">
        <v>21</v>
      </c>
      <c r="K451" s="11" t="s">
        <v>21</v>
      </c>
      <c r="L451" s="11" t="s">
        <v>21</v>
      </c>
      <c r="M451" s="32"/>
      <c r="N451" s="32">
        <v>880</v>
      </c>
      <c r="O451" s="34"/>
      <c r="P451" s="34">
        <v>880</v>
      </c>
    </row>
    <row r="452" spans="1:16" ht="15.75" x14ac:dyDescent="0.25">
      <c r="A452" s="1"/>
      <c r="B452" s="78" t="s">
        <v>445</v>
      </c>
      <c r="C452" s="45"/>
      <c r="D452" s="46"/>
      <c r="E452" s="46"/>
      <c r="F452" s="47"/>
      <c r="G452" s="83"/>
      <c r="H452" s="19"/>
      <c r="I452" s="11"/>
      <c r="J452" s="11"/>
      <c r="K452" s="11"/>
      <c r="L452" s="11"/>
      <c r="M452" s="32"/>
      <c r="N452" s="32"/>
      <c r="O452" s="32"/>
      <c r="P452" s="34"/>
    </row>
    <row r="453" spans="1:16" ht="15.75" x14ac:dyDescent="0.25">
      <c r="A453" s="1">
        <v>48</v>
      </c>
      <c r="B453" s="44" t="s">
        <v>446</v>
      </c>
      <c r="C453" s="45">
        <v>5</v>
      </c>
      <c r="D453" s="46">
        <v>3100</v>
      </c>
      <c r="E453" s="46">
        <f>C453*D453</f>
        <v>15500</v>
      </c>
      <c r="F453" s="47" t="s">
        <v>156</v>
      </c>
      <c r="G453" s="83" t="s">
        <v>75</v>
      </c>
      <c r="H453" s="19" t="s">
        <v>663</v>
      </c>
      <c r="I453" s="11" t="s">
        <v>21</v>
      </c>
      <c r="J453" s="11" t="s">
        <v>21</v>
      </c>
      <c r="K453" s="11" t="s">
        <v>21</v>
      </c>
      <c r="L453" s="11" t="s">
        <v>21</v>
      </c>
      <c r="M453" s="32">
        <v>3875</v>
      </c>
      <c r="N453" s="32">
        <v>3875</v>
      </c>
      <c r="O453" s="32">
        <v>3875</v>
      </c>
      <c r="P453" s="34">
        <v>3875</v>
      </c>
    </row>
    <row r="454" spans="1:16" ht="15.75" x14ac:dyDescent="0.25">
      <c r="A454" s="1">
        <v>49</v>
      </c>
      <c r="B454" s="44" t="s">
        <v>447</v>
      </c>
      <c r="C454" s="45">
        <v>5</v>
      </c>
      <c r="D454" s="46">
        <v>9600</v>
      </c>
      <c r="E454" s="46">
        <f t="shared" ref="E454:E466" si="13">C454*D454</f>
        <v>48000</v>
      </c>
      <c r="F454" s="47" t="s">
        <v>156</v>
      </c>
      <c r="G454" s="19" t="s">
        <v>75</v>
      </c>
      <c r="H454" s="19" t="s">
        <v>663</v>
      </c>
      <c r="I454" s="11" t="s">
        <v>21</v>
      </c>
      <c r="J454" s="11" t="s">
        <v>21</v>
      </c>
      <c r="K454" s="11" t="s">
        <v>21</v>
      </c>
      <c r="L454" s="11" t="s">
        <v>21</v>
      </c>
      <c r="M454" s="33">
        <v>12000</v>
      </c>
      <c r="N454" s="33">
        <v>12000</v>
      </c>
      <c r="O454" s="33">
        <v>12000</v>
      </c>
      <c r="P454" s="33">
        <v>12000</v>
      </c>
    </row>
    <row r="455" spans="1:16" ht="15.75" x14ac:dyDescent="0.25">
      <c r="A455" s="1">
        <v>50</v>
      </c>
      <c r="B455" s="44" t="s">
        <v>448</v>
      </c>
      <c r="C455" s="45">
        <v>5</v>
      </c>
      <c r="D455" s="46">
        <v>9600</v>
      </c>
      <c r="E455" s="46">
        <f t="shared" si="13"/>
        <v>48000</v>
      </c>
      <c r="F455" s="47" t="s">
        <v>156</v>
      </c>
      <c r="G455" s="19" t="s">
        <v>75</v>
      </c>
      <c r="H455" s="19" t="s">
        <v>663</v>
      </c>
      <c r="I455" s="11" t="s">
        <v>21</v>
      </c>
      <c r="J455" s="11" t="s">
        <v>21</v>
      </c>
      <c r="K455" s="11" t="s">
        <v>21</v>
      </c>
      <c r="L455" s="11" t="s">
        <v>21</v>
      </c>
      <c r="M455" s="32">
        <v>12000</v>
      </c>
      <c r="N455" s="32">
        <v>12000</v>
      </c>
      <c r="O455" s="32">
        <v>12000</v>
      </c>
      <c r="P455" s="34">
        <v>12000</v>
      </c>
    </row>
    <row r="456" spans="1:16" ht="15.75" x14ac:dyDescent="0.25">
      <c r="A456" s="1">
        <v>51</v>
      </c>
      <c r="B456" s="44" t="s">
        <v>449</v>
      </c>
      <c r="C456" s="45">
        <v>2</v>
      </c>
      <c r="D456" s="46">
        <v>9600</v>
      </c>
      <c r="E456" s="46">
        <f t="shared" si="13"/>
        <v>19200</v>
      </c>
      <c r="F456" s="47" t="s">
        <v>156</v>
      </c>
      <c r="G456" s="19" t="s">
        <v>75</v>
      </c>
      <c r="H456" s="19" t="s">
        <v>663</v>
      </c>
      <c r="I456" s="11" t="s">
        <v>21</v>
      </c>
      <c r="J456" s="11" t="s">
        <v>21</v>
      </c>
      <c r="K456" s="11" t="s">
        <v>21</v>
      </c>
      <c r="L456" s="11" t="s">
        <v>21</v>
      </c>
      <c r="M456" s="32">
        <v>19200</v>
      </c>
      <c r="N456" s="32"/>
      <c r="O456" s="32"/>
      <c r="P456" s="34"/>
    </row>
    <row r="457" spans="1:16" ht="15.75" x14ac:dyDescent="0.25">
      <c r="A457" s="1">
        <v>52</v>
      </c>
      <c r="B457" s="44" t="s">
        <v>450</v>
      </c>
      <c r="C457" s="45">
        <v>3</v>
      </c>
      <c r="D457" s="46">
        <v>12000</v>
      </c>
      <c r="E457" s="46">
        <f t="shared" si="13"/>
        <v>36000</v>
      </c>
      <c r="F457" s="47" t="s">
        <v>156</v>
      </c>
      <c r="G457" s="19" t="s">
        <v>75</v>
      </c>
      <c r="H457" s="19" t="s">
        <v>663</v>
      </c>
      <c r="I457" s="11" t="s">
        <v>21</v>
      </c>
      <c r="J457" s="11" t="s">
        <v>21</v>
      </c>
      <c r="K457" s="11" t="s">
        <v>21</v>
      </c>
      <c r="L457" s="11" t="s">
        <v>21</v>
      </c>
      <c r="M457" s="33">
        <v>9000</v>
      </c>
      <c r="N457" s="33">
        <v>9000</v>
      </c>
      <c r="O457" s="33">
        <v>9000</v>
      </c>
      <c r="P457" s="33">
        <v>9000</v>
      </c>
    </row>
    <row r="458" spans="1:16" ht="15.75" x14ac:dyDescent="0.25">
      <c r="A458" s="1">
        <v>53</v>
      </c>
      <c r="B458" s="44" t="s">
        <v>451</v>
      </c>
      <c r="C458" s="45">
        <v>125</v>
      </c>
      <c r="D458" s="46">
        <v>2500</v>
      </c>
      <c r="E458" s="46">
        <f t="shared" si="13"/>
        <v>312500</v>
      </c>
      <c r="F458" s="47" t="s">
        <v>156</v>
      </c>
      <c r="G458" s="19" t="s">
        <v>75</v>
      </c>
      <c r="H458" s="19" t="s">
        <v>663</v>
      </c>
      <c r="I458" s="11" t="s">
        <v>21</v>
      </c>
      <c r="J458" s="11" t="s">
        <v>21</v>
      </c>
      <c r="K458" s="11" t="s">
        <v>21</v>
      </c>
      <c r="L458" s="11" t="s">
        <v>21</v>
      </c>
      <c r="M458" s="32">
        <v>78000</v>
      </c>
      <c r="N458" s="32">
        <v>78000</v>
      </c>
      <c r="O458" s="32">
        <v>78000</v>
      </c>
      <c r="P458" s="34">
        <v>78000</v>
      </c>
    </row>
    <row r="459" spans="1:16" ht="15.75" x14ac:dyDescent="0.25">
      <c r="A459" s="1">
        <v>54</v>
      </c>
      <c r="B459" s="44" t="s">
        <v>452</v>
      </c>
      <c r="C459" s="45">
        <v>3</v>
      </c>
      <c r="D459" s="46">
        <v>5800</v>
      </c>
      <c r="E459" s="46">
        <f t="shared" si="13"/>
        <v>17400</v>
      </c>
      <c r="F459" s="47" t="s">
        <v>156</v>
      </c>
      <c r="G459" s="19" t="s">
        <v>75</v>
      </c>
      <c r="H459" s="19" t="s">
        <v>663</v>
      </c>
      <c r="I459" s="11" t="s">
        <v>21</v>
      </c>
      <c r="J459" s="11" t="s">
        <v>21</v>
      </c>
      <c r="K459" s="11" t="s">
        <v>21</v>
      </c>
      <c r="L459" s="11" t="s">
        <v>21</v>
      </c>
      <c r="M459" s="33">
        <v>4350</v>
      </c>
      <c r="N459" s="33">
        <v>4350</v>
      </c>
      <c r="O459" s="33">
        <v>4350</v>
      </c>
      <c r="P459" s="33">
        <v>4350</v>
      </c>
    </row>
    <row r="460" spans="1:16" ht="15.75" x14ac:dyDescent="0.25">
      <c r="A460" s="1">
        <v>55</v>
      </c>
      <c r="B460" s="44" t="s">
        <v>453</v>
      </c>
      <c r="C460" s="45">
        <v>2</v>
      </c>
      <c r="D460" s="46">
        <v>2400</v>
      </c>
      <c r="E460" s="46">
        <f t="shared" si="13"/>
        <v>4800</v>
      </c>
      <c r="F460" s="47" t="s">
        <v>156</v>
      </c>
      <c r="G460" s="19" t="s">
        <v>75</v>
      </c>
      <c r="H460" s="19" t="s">
        <v>663</v>
      </c>
      <c r="I460" s="11" t="s">
        <v>21</v>
      </c>
      <c r="J460" s="11" t="s">
        <v>21</v>
      </c>
      <c r="K460" s="11" t="s">
        <v>21</v>
      </c>
      <c r="L460" s="11" t="s">
        <v>21</v>
      </c>
      <c r="M460" s="32">
        <v>4800</v>
      </c>
      <c r="N460" s="32"/>
      <c r="O460" s="32"/>
      <c r="P460" s="34"/>
    </row>
    <row r="461" spans="1:16" ht="15.75" x14ac:dyDescent="0.25">
      <c r="A461" s="1">
        <v>56</v>
      </c>
      <c r="B461" s="44" t="s">
        <v>454</v>
      </c>
      <c r="C461" s="45">
        <v>75</v>
      </c>
      <c r="D461" s="46">
        <v>1200</v>
      </c>
      <c r="E461" s="46">
        <f t="shared" si="13"/>
        <v>90000</v>
      </c>
      <c r="F461" s="47" t="s">
        <v>156</v>
      </c>
      <c r="G461" s="19" t="s">
        <v>75</v>
      </c>
      <c r="H461" s="19" t="s">
        <v>663</v>
      </c>
      <c r="I461" s="11" t="s">
        <v>21</v>
      </c>
      <c r="J461" s="11" t="s">
        <v>21</v>
      </c>
      <c r="K461" s="11" t="s">
        <v>21</v>
      </c>
      <c r="L461" s="11" t="s">
        <v>21</v>
      </c>
      <c r="M461" s="33">
        <v>22500</v>
      </c>
      <c r="N461" s="33">
        <v>22500</v>
      </c>
      <c r="O461" s="33">
        <v>22500</v>
      </c>
      <c r="P461" s="33">
        <v>22500</v>
      </c>
    </row>
    <row r="462" spans="1:16" ht="15.75" x14ac:dyDescent="0.25">
      <c r="A462" s="1">
        <v>57</v>
      </c>
      <c r="B462" s="44" t="s">
        <v>455</v>
      </c>
      <c r="C462" s="45">
        <v>30</v>
      </c>
      <c r="D462" s="46">
        <v>1200</v>
      </c>
      <c r="E462" s="46">
        <f t="shared" si="13"/>
        <v>36000</v>
      </c>
      <c r="F462" s="47" t="s">
        <v>156</v>
      </c>
      <c r="G462" s="19" t="s">
        <v>75</v>
      </c>
      <c r="H462" s="19" t="s">
        <v>663</v>
      </c>
      <c r="I462" s="11" t="s">
        <v>21</v>
      </c>
      <c r="J462" s="11" t="s">
        <v>21</v>
      </c>
      <c r="K462" s="11" t="s">
        <v>21</v>
      </c>
      <c r="L462" s="11" t="s">
        <v>21</v>
      </c>
      <c r="M462" s="32">
        <v>18000</v>
      </c>
      <c r="N462" s="32"/>
      <c r="O462" s="34">
        <v>18000</v>
      </c>
      <c r="P462" s="1"/>
    </row>
    <row r="463" spans="1:16" ht="15.75" x14ac:dyDescent="0.25">
      <c r="A463" s="1">
        <v>58</v>
      </c>
      <c r="B463" s="44" t="s">
        <v>456</v>
      </c>
      <c r="C463" s="45">
        <v>50</v>
      </c>
      <c r="D463" s="46">
        <v>550</v>
      </c>
      <c r="E463" s="46">
        <f t="shared" si="13"/>
        <v>27500</v>
      </c>
      <c r="F463" s="47" t="s">
        <v>156</v>
      </c>
      <c r="G463" s="19" t="s">
        <v>75</v>
      </c>
      <c r="H463" s="19" t="s">
        <v>663</v>
      </c>
      <c r="I463" s="11" t="s">
        <v>21</v>
      </c>
      <c r="J463" s="11" t="s">
        <v>21</v>
      </c>
      <c r="K463" s="11" t="s">
        <v>21</v>
      </c>
      <c r="L463" s="11" t="s">
        <v>21</v>
      </c>
      <c r="M463" s="32">
        <v>6875</v>
      </c>
      <c r="N463" s="32">
        <v>6875</v>
      </c>
      <c r="O463" s="32">
        <v>6875</v>
      </c>
      <c r="P463" s="34">
        <v>6875</v>
      </c>
    </row>
    <row r="464" spans="1:16" ht="15.75" x14ac:dyDescent="0.25">
      <c r="A464" s="1">
        <v>59</v>
      </c>
      <c r="B464" s="44" t="s">
        <v>457</v>
      </c>
      <c r="C464" s="45">
        <v>10</v>
      </c>
      <c r="D464" s="46">
        <v>2450</v>
      </c>
      <c r="E464" s="46">
        <f t="shared" si="13"/>
        <v>24500</v>
      </c>
      <c r="F464" s="47" t="s">
        <v>156</v>
      </c>
      <c r="G464" s="19" t="s">
        <v>75</v>
      </c>
      <c r="H464" s="19" t="s">
        <v>663</v>
      </c>
      <c r="I464" s="11" t="s">
        <v>21</v>
      </c>
      <c r="J464" s="11" t="s">
        <v>21</v>
      </c>
      <c r="K464" s="11" t="s">
        <v>21</v>
      </c>
      <c r="L464" s="11" t="s">
        <v>21</v>
      </c>
      <c r="M464" s="33">
        <v>12250</v>
      </c>
      <c r="N464" s="33"/>
      <c r="O464" s="33">
        <v>12250</v>
      </c>
      <c r="P464" s="33"/>
    </row>
    <row r="465" spans="1:16" ht="15.75" x14ac:dyDescent="0.25">
      <c r="A465" s="1">
        <v>60</v>
      </c>
      <c r="B465" s="44" t="s">
        <v>36</v>
      </c>
      <c r="C465" s="45">
        <v>15</v>
      </c>
      <c r="D465" s="46">
        <v>160</v>
      </c>
      <c r="E465" s="46">
        <f t="shared" si="13"/>
        <v>2400</v>
      </c>
      <c r="F465" s="47" t="s">
        <v>156</v>
      </c>
      <c r="G465" s="19" t="s">
        <v>75</v>
      </c>
      <c r="H465" s="19" t="s">
        <v>663</v>
      </c>
      <c r="I465" s="11" t="s">
        <v>21</v>
      </c>
      <c r="J465" s="11" t="s">
        <v>21</v>
      </c>
      <c r="K465" s="11" t="s">
        <v>21</v>
      </c>
      <c r="L465" s="11" t="s">
        <v>21</v>
      </c>
      <c r="M465" s="32">
        <v>1200</v>
      </c>
      <c r="N465" s="32"/>
      <c r="O465" s="32">
        <v>1200</v>
      </c>
      <c r="P465" s="34"/>
    </row>
    <row r="466" spans="1:16" ht="15.75" x14ac:dyDescent="0.25">
      <c r="A466" s="1">
        <v>61</v>
      </c>
      <c r="B466" s="44" t="s">
        <v>458</v>
      </c>
      <c r="C466" s="45">
        <v>5</v>
      </c>
      <c r="D466" s="46">
        <v>1300</v>
      </c>
      <c r="E466" s="46">
        <f t="shared" si="13"/>
        <v>6500</v>
      </c>
      <c r="F466" s="47" t="s">
        <v>156</v>
      </c>
      <c r="G466" s="19" t="s">
        <v>75</v>
      </c>
      <c r="H466" s="19" t="s">
        <v>663</v>
      </c>
      <c r="I466" s="11" t="s">
        <v>21</v>
      </c>
      <c r="J466" s="11" t="s">
        <v>21</v>
      </c>
      <c r="K466" s="11" t="s">
        <v>21</v>
      </c>
      <c r="L466" s="11" t="s">
        <v>21</v>
      </c>
      <c r="M466" s="33">
        <v>3250</v>
      </c>
      <c r="N466" s="33"/>
      <c r="O466" s="33">
        <v>3250</v>
      </c>
      <c r="P466" s="33"/>
    </row>
    <row r="467" spans="1:16" ht="15.75" x14ac:dyDescent="0.25">
      <c r="A467" s="1"/>
      <c r="B467" s="78" t="s">
        <v>459</v>
      </c>
      <c r="C467" s="77"/>
      <c r="D467" s="51"/>
      <c r="E467" s="51"/>
      <c r="F467" s="47"/>
      <c r="G467" s="19"/>
      <c r="H467" s="19"/>
      <c r="I467" s="11"/>
      <c r="J467" s="11"/>
      <c r="K467" s="11"/>
      <c r="L467" s="11"/>
      <c r="M467" s="32"/>
      <c r="N467" s="32"/>
      <c r="O467" s="32"/>
      <c r="P467" s="34"/>
    </row>
    <row r="468" spans="1:16" ht="15.75" x14ac:dyDescent="0.25">
      <c r="A468" s="1">
        <v>62</v>
      </c>
      <c r="B468" s="44" t="s">
        <v>460</v>
      </c>
      <c r="C468" s="45">
        <v>10</v>
      </c>
      <c r="D468" s="46">
        <v>700</v>
      </c>
      <c r="E468" s="46">
        <f t="shared" ref="E468:E481" si="14">C468*D468</f>
        <v>7000</v>
      </c>
      <c r="F468" s="47" t="s">
        <v>156</v>
      </c>
      <c r="G468" s="19" t="s">
        <v>75</v>
      </c>
      <c r="H468" s="19" t="s">
        <v>663</v>
      </c>
      <c r="I468" s="11" t="s">
        <v>21</v>
      </c>
      <c r="J468" s="11" t="s">
        <v>21</v>
      </c>
      <c r="K468" s="11" t="s">
        <v>21</v>
      </c>
      <c r="L468" s="11" t="s">
        <v>21</v>
      </c>
      <c r="M468" s="33">
        <v>3500</v>
      </c>
      <c r="N468" s="33"/>
      <c r="O468" s="33">
        <v>3500</v>
      </c>
      <c r="P468" s="33"/>
    </row>
    <row r="469" spans="1:16" ht="15.75" x14ac:dyDescent="0.25">
      <c r="A469" s="1">
        <v>63</v>
      </c>
      <c r="B469" s="44" t="s">
        <v>461</v>
      </c>
      <c r="C469" s="45">
        <v>10</v>
      </c>
      <c r="D469" s="46">
        <v>400</v>
      </c>
      <c r="E469" s="46">
        <f t="shared" si="14"/>
        <v>4000</v>
      </c>
      <c r="F469" s="47" t="s">
        <v>156</v>
      </c>
      <c r="G469" s="19" t="s">
        <v>75</v>
      </c>
      <c r="H469" s="19" t="s">
        <v>663</v>
      </c>
      <c r="I469" s="11" t="s">
        <v>21</v>
      </c>
      <c r="J469" s="11" t="s">
        <v>21</v>
      </c>
      <c r="K469" s="11" t="s">
        <v>21</v>
      </c>
      <c r="L469" s="11" t="s">
        <v>21</v>
      </c>
      <c r="M469" s="32">
        <v>2000</v>
      </c>
      <c r="N469" s="32"/>
      <c r="O469" s="32">
        <v>2000</v>
      </c>
      <c r="P469" s="34"/>
    </row>
    <row r="470" spans="1:16" ht="15.75" x14ac:dyDescent="0.25">
      <c r="A470" s="1">
        <v>64</v>
      </c>
      <c r="B470" s="44" t="s">
        <v>462</v>
      </c>
      <c r="C470" s="45">
        <v>15</v>
      </c>
      <c r="D470" s="46">
        <v>400</v>
      </c>
      <c r="E470" s="46">
        <f t="shared" si="14"/>
        <v>6000</v>
      </c>
      <c r="F470" s="47" t="s">
        <v>156</v>
      </c>
      <c r="G470" s="19" t="s">
        <v>75</v>
      </c>
      <c r="H470" s="19" t="s">
        <v>663</v>
      </c>
      <c r="I470" s="11" t="s">
        <v>21</v>
      </c>
      <c r="J470" s="11" t="s">
        <v>21</v>
      </c>
      <c r="K470" s="11" t="s">
        <v>21</v>
      </c>
      <c r="L470" s="11" t="s">
        <v>21</v>
      </c>
      <c r="M470" s="33">
        <v>3000</v>
      </c>
      <c r="N470" s="33"/>
      <c r="O470" s="33">
        <v>3000</v>
      </c>
      <c r="P470" s="33"/>
    </row>
    <row r="471" spans="1:16" ht="15.75" x14ac:dyDescent="0.25">
      <c r="A471" s="1">
        <v>65</v>
      </c>
      <c r="B471" s="44" t="s">
        <v>463</v>
      </c>
      <c r="C471" s="45">
        <v>3</v>
      </c>
      <c r="D471" s="46">
        <v>2400</v>
      </c>
      <c r="E471" s="46">
        <f t="shared" si="14"/>
        <v>7200</v>
      </c>
      <c r="F471" s="47" t="s">
        <v>156</v>
      </c>
      <c r="G471" s="19" t="s">
        <v>75</v>
      </c>
      <c r="H471" s="19" t="s">
        <v>663</v>
      </c>
      <c r="I471" s="11" t="s">
        <v>21</v>
      </c>
      <c r="J471" s="11" t="s">
        <v>21</v>
      </c>
      <c r="K471" s="11" t="s">
        <v>21</v>
      </c>
      <c r="L471" s="11" t="s">
        <v>21</v>
      </c>
      <c r="M471" s="32">
        <v>4800</v>
      </c>
      <c r="N471" s="32"/>
      <c r="O471" s="32">
        <v>2400</v>
      </c>
      <c r="P471" s="34"/>
    </row>
    <row r="472" spans="1:16" ht="15.75" x14ac:dyDescent="0.25">
      <c r="A472" s="1">
        <v>66</v>
      </c>
      <c r="B472" s="44" t="s">
        <v>464</v>
      </c>
      <c r="C472" s="45">
        <v>5</v>
      </c>
      <c r="D472" s="46">
        <v>450</v>
      </c>
      <c r="E472" s="46">
        <f t="shared" si="14"/>
        <v>2250</v>
      </c>
      <c r="F472" s="47" t="s">
        <v>156</v>
      </c>
      <c r="G472" s="19" t="s">
        <v>75</v>
      </c>
      <c r="H472" s="19" t="s">
        <v>663</v>
      </c>
      <c r="I472" s="11" t="s">
        <v>21</v>
      </c>
      <c r="J472" s="11" t="s">
        <v>21</v>
      </c>
      <c r="K472" s="11" t="s">
        <v>21</v>
      </c>
      <c r="L472" s="11" t="s">
        <v>21</v>
      </c>
      <c r="M472" s="33">
        <v>1125</v>
      </c>
      <c r="N472" s="33"/>
      <c r="O472" s="33">
        <v>1125</v>
      </c>
      <c r="P472" s="33"/>
    </row>
    <row r="473" spans="1:16" ht="15.75" x14ac:dyDescent="0.25">
      <c r="A473" s="1">
        <v>67</v>
      </c>
      <c r="B473" s="44" t="s">
        <v>465</v>
      </c>
      <c r="C473" s="45">
        <v>50</v>
      </c>
      <c r="D473" s="46">
        <v>400</v>
      </c>
      <c r="E473" s="46">
        <f t="shared" si="14"/>
        <v>20000</v>
      </c>
      <c r="F473" s="47" t="s">
        <v>156</v>
      </c>
      <c r="G473" s="19" t="s">
        <v>75</v>
      </c>
      <c r="H473" s="19" t="s">
        <v>663</v>
      </c>
      <c r="I473" s="11" t="s">
        <v>21</v>
      </c>
      <c r="J473" s="11" t="s">
        <v>21</v>
      </c>
      <c r="K473" s="11" t="s">
        <v>21</v>
      </c>
      <c r="L473" s="11" t="s">
        <v>21</v>
      </c>
      <c r="M473" s="32">
        <v>10000</v>
      </c>
      <c r="N473" s="32"/>
      <c r="O473" s="34">
        <v>10000</v>
      </c>
      <c r="P473" s="1"/>
    </row>
    <row r="474" spans="1:16" ht="15.75" x14ac:dyDescent="0.25">
      <c r="A474" s="1">
        <v>68</v>
      </c>
      <c r="B474" s="44" t="s">
        <v>466</v>
      </c>
      <c r="C474" s="45">
        <v>5</v>
      </c>
      <c r="D474" s="46">
        <v>2400</v>
      </c>
      <c r="E474" s="46">
        <f t="shared" si="14"/>
        <v>12000</v>
      </c>
      <c r="F474" s="47" t="s">
        <v>156</v>
      </c>
      <c r="G474" s="19" t="s">
        <v>75</v>
      </c>
      <c r="H474" s="19" t="s">
        <v>663</v>
      </c>
      <c r="I474" s="11" t="s">
        <v>21</v>
      </c>
      <c r="J474" s="11" t="s">
        <v>21</v>
      </c>
      <c r="K474" s="11" t="s">
        <v>21</v>
      </c>
      <c r="L474" s="11" t="s">
        <v>21</v>
      </c>
      <c r="M474" s="32">
        <v>6000</v>
      </c>
      <c r="N474" s="32"/>
      <c r="O474" s="32">
        <v>6000</v>
      </c>
      <c r="P474" s="34"/>
    </row>
    <row r="475" spans="1:16" ht="15.75" x14ac:dyDescent="0.25">
      <c r="A475" s="1">
        <v>69</v>
      </c>
      <c r="B475" s="44" t="s">
        <v>467</v>
      </c>
      <c r="C475" s="45">
        <v>10</v>
      </c>
      <c r="D475" s="46">
        <v>700</v>
      </c>
      <c r="E475" s="46">
        <f t="shared" si="14"/>
        <v>7000</v>
      </c>
      <c r="F475" s="47" t="s">
        <v>156</v>
      </c>
      <c r="G475" s="19" t="s">
        <v>75</v>
      </c>
      <c r="H475" s="19" t="s">
        <v>663</v>
      </c>
      <c r="I475" s="11" t="s">
        <v>21</v>
      </c>
      <c r="J475" s="11" t="s">
        <v>21</v>
      </c>
      <c r="K475" s="11" t="s">
        <v>21</v>
      </c>
      <c r="L475" s="11" t="s">
        <v>21</v>
      </c>
      <c r="M475" s="33">
        <v>3500</v>
      </c>
      <c r="N475" s="33"/>
      <c r="O475" s="33">
        <v>3500</v>
      </c>
      <c r="P475" s="33"/>
    </row>
    <row r="476" spans="1:16" ht="15.75" x14ac:dyDescent="0.25">
      <c r="A476" s="1">
        <v>70</v>
      </c>
      <c r="B476" s="44" t="s">
        <v>468</v>
      </c>
      <c r="C476" s="45">
        <v>10</v>
      </c>
      <c r="D476" s="46">
        <v>690</v>
      </c>
      <c r="E476" s="46">
        <f t="shared" si="14"/>
        <v>6900</v>
      </c>
      <c r="F476" s="47" t="s">
        <v>156</v>
      </c>
      <c r="G476" s="19" t="s">
        <v>75</v>
      </c>
      <c r="H476" s="19" t="s">
        <v>663</v>
      </c>
      <c r="I476" s="11" t="s">
        <v>21</v>
      </c>
      <c r="J476" s="11" t="s">
        <v>21</v>
      </c>
      <c r="K476" s="11" t="s">
        <v>21</v>
      </c>
      <c r="L476" s="11" t="s">
        <v>21</v>
      </c>
      <c r="M476" s="32">
        <v>3450</v>
      </c>
      <c r="N476" s="32"/>
      <c r="O476" s="32">
        <v>3450</v>
      </c>
      <c r="P476" s="34"/>
    </row>
    <row r="477" spans="1:16" ht="15.75" x14ac:dyDescent="0.25">
      <c r="A477" s="1">
        <v>71</v>
      </c>
      <c r="B477" s="44" t="s">
        <v>469</v>
      </c>
      <c r="C477" s="45">
        <v>10</v>
      </c>
      <c r="D477" s="46">
        <v>900</v>
      </c>
      <c r="E477" s="46">
        <f t="shared" si="14"/>
        <v>9000</v>
      </c>
      <c r="F477" s="47" t="s">
        <v>156</v>
      </c>
      <c r="G477" s="19" t="s">
        <v>75</v>
      </c>
      <c r="H477" s="19" t="s">
        <v>663</v>
      </c>
      <c r="I477" s="11" t="s">
        <v>21</v>
      </c>
      <c r="J477" s="11" t="s">
        <v>21</v>
      </c>
      <c r="K477" s="11" t="s">
        <v>21</v>
      </c>
      <c r="L477" s="11" t="s">
        <v>21</v>
      </c>
      <c r="M477" s="33">
        <v>4500</v>
      </c>
      <c r="N477" s="33"/>
      <c r="O477" s="33">
        <v>4500</v>
      </c>
      <c r="P477" s="33"/>
    </row>
    <row r="478" spans="1:16" ht="15.75" x14ac:dyDescent="0.25">
      <c r="A478" s="1">
        <v>72</v>
      </c>
      <c r="B478" s="44" t="s">
        <v>470</v>
      </c>
      <c r="C478" s="45">
        <v>15</v>
      </c>
      <c r="D478" s="46">
        <v>1200</v>
      </c>
      <c r="E478" s="46">
        <f t="shared" si="14"/>
        <v>18000</v>
      </c>
      <c r="F478" s="47" t="s">
        <v>156</v>
      </c>
      <c r="G478" s="19" t="s">
        <v>75</v>
      </c>
      <c r="H478" s="19" t="s">
        <v>663</v>
      </c>
      <c r="I478" s="11" t="s">
        <v>21</v>
      </c>
      <c r="J478" s="11" t="s">
        <v>21</v>
      </c>
      <c r="K478" s="11" t="s">
        <v>21</v>
      </c>
      <c r="L478" s="11" t="s">
        <v>21</v>
      </c>
      <c r="M478" s="32">
        <v>9000</v>
      </c>
      <c r="N478" s="32"/>
      <c r="O478" s="34">
        <v>9000</v>
      </c>
      <c r="P478" s="1"/>
    </row>
    <row r="479" spans="1:16" ht="15.75" x14ac:dyDescent="0.25">
      <c r="A479" s="1">
        <v>73</v>
      </c>
      <c r="B479" s="44" t="s">
        <v>471</v>
      </c>
      <c r="C479" s="45">
        <v>2</v>
      </c>
      <c r="D479" s="46">
        <v>6200</v>
      </c>
      <c r="E479" s="46">
        <f t="shared" si="14"/>
        <v>12400</v>
      </c>
      <c r="F479" s="47" t="s">
        <v>156</v>
      </c>
      <c r="G479" s="19" t="s">
        <v>75</v>
      </c>
      <c r="H479" s="19" t="s">
        <v>663</v>
      </c>
      <c r="I479" s="11" t="s">
        <v>21</v>
      </c>
      <c r="J479" s="11" t="s">
        <v>21</v>
      </c>
      <c r="K479" s="11" t="s">
        <v>21</v>
      </c>
      <c r="L479" s="11" t="s">
        <v>21</v>
      </c>
      <c r="M479" s="32">
        <v>6200</v>
      </c>
      <c r="N479" s="32"/>
      <c r="O479" s="32">
        <v>6200</v>
      </c>
      <c r="P479" s="34"/>
    </row>
    <row r="480" spans="1:16" ht="15.75" x14ac:dyDescent="0.25">
      <c r="A480" s="122">
        <v>74</v>
      </c>
      <c r="B480" s="134" t="s">
        <v>731</v>
      </c>
      <c r="C480" s="134">
        <v>500</v>
      </c>
      <c r="D480" s="135">
        <v>400</v>
      </c>
      <c r="E480" s="135">
        <f t="shared" si="14"/>
        <v>200000</v>
      </c>
      <c r="F480" s="136" t="s">
        <v>101</v>
      </c>
      <c r="G480" s="137" t="s">
        <v>75</v>
      </c>
      <c r="H480" s="137" t="s">
        <v>663</v>
      </c>
      <c r="I480" s="11" t="s">
        <v>21</v>
      </c>
      <c r="J480" s="11" t="s">
        <v>21</v>
      </c>
      <c r="K480" s="11" t="s">
        <v>21</v>
      </c>
      <c r="L480" s="11" t="s">
        <v>21</v>
      </c>
      <c r="M480" s="138">
        <v>50000</v>
      </c>
      <c r="N480">
        <v>50000</v>
      </c>
      <c r="O480">
        <v>50000</v>
      </c>
      <c r="P480">
        <v>50000</v>
      </c>
    </row>
    <row r="481" spans="1:16" ht="15.75" x14ac:dyDescent="0.25">
      <c r="A481" s="1">
        <v>75</v>
      </c>
      <c r="B481" s="25" t="s">
        <v>732</v>
      </c>
      <c r="C481" s="45">
        <v>20</v>
      </c>
      <c r="D481" s="46">
        <v>1800</v>
      </c>
      <c r="E481" s="46">
        <f t="shared" si="14"/>
        <v>36000</v>
      </c>
      <c r="F481" s="47" t="s">
        <v>101</v>
      </c>
      <c r="G481" s="19" t="s">
        <v>75</v>
      </c>
      <c r="H481" s="19" t="s">
        <v>663</v>
      </c>
      <c r="I481" s="11" t="s">
        <v>21</v>
      </c>
      <c r="J481" s="11" t="s">
        <v>21</v>
      </c>
      <c r="K481" s="11" t="s">
        <v>21</v>
      </c>
      <c r="L481" s="11" t="s">
        <v>21</v>
      </c>
      <c r="M481" s="32">
        <v>18000</v>
      </c>
      <c r="N481" s="32"/>
      <c r="O481" s="32"/>
      <c r="P481" s="34">
        <v>18000</v>
      </c>
    </row>
    <row r="482" spans="1:16" x14ac:dyDescent="0.25">
      <c r="A482" s="43"/>
      <c r="B482" s="43" t="s">
        <v>649</v>
      </c>
      <c r="C482" s="43"/>
      <c r="D482" s="43"/>
      <c r="E482" s="118">
        <f>SUM(E399:E481)</f>
        <v>1219990</v>
      </c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x14ac:dyDescent="0.25">
      <c r="A486" s="43" t="s">
        <v>751</v>
      </c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x14ac:dyDescent="0.25">
      <c r="A487" s="1">
        <v>1</v>
      </c>
      <c r="B487" s="86" t="s">
        <v>532</v>
      </c>
      <c r="C487" s="86">
        <v>1</v>
      </c>
      <c r="D487" s="86">
        <v>350000</v>
      </c>
      <c r="E487" s="86">
        <v>350000</v>
      </c>
      <c r="F487" s="87" t="s">
        <v>533</v>
      </c>
      <c r="G487" s="19" t="s">
        <v>75</v>
      </c>
      <c r="H487" s="87" t="s">
        <v>663</v>
      </c>
      <c r="I487" s="54" t="s">
        <v>210</v>
      </c>
      <c r="J487" s="54" t="s">
        <v>210</v>
      </c>
      <c r="K487" s="54" t="s">
        <v>210</v>
      </c>
      <c r="L487" s="54" t="s">
        <v>210</v>
      </c>
      <c r="M487" s="32"/>
      <c r="N487" s="32">
        <v>350000</v>
      </c>
      <c r="O487" s="32"/>
      <c r="P487" s="34"/>
    </row>
    <row r="488" spans="1:16" x14ac:dyDescent="0.25">
      <c r="A488" s="1">
        <v>2</v>
      </c>
      <c r="B488" s="86" t="s">
        <v>536</v>
      </c>
      <c r="C488" s="86">
        <v>1</v>
      </c>
      <c r="D488" s="86">
        <v>2800000</v>
      </c>
      <c r="E488" s="88">
        <v>2800000</v>
      </c>
      <c r="F488" s="87" t="s">
        <v>537</v>
      </c>
      <c r="G488" s="19" t="s">
        <v>75</v>
      </c>
      <c r="H488" s="87" t="s">
        <v>663</v>
      </c>
      <c r="I488" s="54" t="s">
        <v>210</v>
      </c>
      <c r="J488" s="54" t="s">
        <v>210</v>
      </c>
      <c r="K488" s="54" t="s">
        <v>210</v>
      </c>
      <c r="L488" s="54" t="s">
        <v>210</v>
      </c>
      <c r="M488" s="33"/>
      <c r="N488" s="33"/>
      <c r="O488" s="33"/>
      <c r="P488" s="33">
        <v>2800000</v>
      </c>
    </row>
    <row r="489" spans="1:16" x14ac:dyDescent="0.25">
      <c r="A489" s="1">
        <v>3</v>
      </c>
      <c r="B489" s="86" t="s">
        <v>614</v>
      </c>
      <c r="C489" s="1">
        <v>2</v>
      </c>
      <c r="D489" s="1">
        <v>100000</v>
      </c>
      <c r="E489" s="1">
        <v>200000</v>
      </c>
      <c r="F489" s="19" t="s">
        <v>533</v>
      </c>
      <c r="G489" s="19" t="s">
        <v>75</v>
      </c>
      <c r="H489" s="94" t="s">
        <v>615</v>
      </c>
      <c r="I489" s="54" t="s">
        <v>210</v>
      </c>
      <c r="J489" s="54" t="s">
        <v>210</v>
      </c>
      <c r="K489" s="54" t="s">
        <v>210</v>
      </c>
      <c r="L489" s="54" t="s">
        <v>210</v>
      </c>
      <c r="M489" s="33">
        <v>100000</v>
      </c>
      <c r="N489" s="33"/>
      <c r="O489" s="33">
        <v>100000</v>
      </c>
      <c r="P489" s="33"/>
    </row>
    <row r="490" spans="1:16" x14ac:dyDescent="0.25">
      <c r="A490" s="1">
        <v>4</v>
      </c>
      <c r="B490" s="86" t="s">
        <v>638</v>
      </c>
      <c r="C490" s="86">
        <v>1</v>
      </c>
      <c r="D490" s="86">
        <v>2600000</v>
      </c>
      <c r="E490" s="86">
        <v>2600000</v>
      </c>
      <c r="F490" s="87" t="s">
        <v>639</v>
      </c>
      <c r="G490" s="19" t="s">
        <v>75</v>
      </c>
      <c r="H490" s="87" t="s">
        <v>663</v>
      </c>
      <c r="I490" s="54" t="s">
        <v>210</v>
      </c>
      <c r="J490" s="54" t="s">
        <v>210</v>
      </c>
      <c r="K490" s="54" t="s">
        <v>210</v>
      </c>
      <c r="L490" s="54" t="s">
        <v>210</v>
      </c>
      <c r="M490" s="33">
        <v>2600000</v>
      </c>
      <c r="N490" s="33"/>
      <c r="O490" s="33"/>
      <c r="P490" s="33"/>
    </row>
    <row r="491" spans="1:16" x14ac:dyDescent="0.25">
      <c r="A491" s="1">
        <v>5</v>
      </c>
      <c r="B491" s="86" t="s">
        <v>640</v>
      </c>
      <c r="C491" s="86">
        <v>2</v>
      </c>
      <c r="D491" s="86">
        <v>140000</v>
      </c>
      <c r="E491" s="86">
        <v>280000</v>
      </c>
      <c r="F491" s="87" t="s">
        <v>533</v>
      </c>
      <c r="G491" s="19" t="s">
        <v>75</v>
      </c>
      <c r="H491" s="87" t="s">
        <v>663</v>
      </c>
      <c r="I491" s="54" t="s">
        <v>210</v>
      </c>
      <c r="J491" s="54" t="s">
        <v>210</v>
      </c>
      <c r="K491" s="54" t="s">
        <v>210</v>
      </c>
      <c r="L491" s="54" t="s">
        <v>210</v>
      </c>
      <c r="M491" s="32"/>
      <c r="N491" s="32">
        <v>140000</v>
      </c>
      <c r="O491" s="32"/>
      <c r="P491" s="34">
        <v>140000</v>
      </c>
    </row>
    <row r="492" spans="1:16" x14ac:dyDescent="0.25">
      <c r="A492" s="43"/>
      <c r="B492" s="100" t="s">
        <v>649</v>
      </c>
      <c r="C492" s="100"/>
      <c r="D492" s="100"/>
      <c r="E492" s="131">
        <f>SUM(E487:E491)</f>
        <v>6230000</v>
      </c>
      <c r="F492" s="87"/>
      <c r="G492" s="19"/>
      <c r="H492" s="87"/>
      <c r="I492" s="54"/>
      <c r="J492" s="54"/>
      <c r="K492" s="54"/>
      <c r="L492" s="54"/>
      <c r="M492" s="32"/>
      <c r="N492" s="32"/>
      <c r="O492" s="32"/>
      <c r="P492" s="34"/>
    </row>
    <row r="493" spans="1:16" x14ac:dyDescent="0.25">
      <c r="A493" s="1"/>
      <c r="B493" s="86"/>
      <c r="C493" s="86"/>
      <c r="D493" s="86"/>
      <c r="E493" s="86"/>
      <c r="F493" s="87"/>
      <c r="G493" s="19"/>
      <c r="H493" s="87"/>
      <c r="I493" s="54"/>
      <c r="J493" s="54"/>
      <c r="K493" s="54"/>
      <c r="L493" s="54"/>
      <c r="M493" s="32"/>
      <c r="N493" s="32"/>
      <c r="O493" s="32"/>
      <c r="P493" s="34"/>
    </row>
    <row r="494" spans="1:16" x14ac:dyDescent="0.25">
      <c r="A494" s="1"/>
      <c r="B494" s="86"/>
      <c r="C494" s="86"/>
      <c r="D494" s="86"/>
      <c r="E494" s="86"/>
      <c r="F494" s="87"/>
      <c r="G494" s="19"/>
      <c r="H494" s="87"/>
      <c r="I494" s="54"/>
      <c r="J494" s="54"/>
      <c r="K494" s="54"/>
      <c r="L494" s="54"/>
      <c r="M494" s="32"/>
      <c r="N494" s="32"/>
      <c r="O494" s="32"/>
      <c r="P494" s="34"/>
    </row>
    <row r="495" spans="1:16" x14ac:dyDescent="0.25">
      <c r="A495" s="1"/>
      <c r="B495" s="86"/>
      <c r="C495" s="86"/>
      <c r="D495" s="86"/>
      <c r="E495" s="88"/>
      <c r="F495" s="86"/>
      <c r="G495" s="19"/>
      <c r="H495" s="87"/>
      <c r="I495" s="54"/>
      <c r="J495" s="54"/>
      <c r="K495" s="54"/>
      <c r="L495" s="54"/>
      <c r="M495" s="33"/>
      <c r="N495" s="33"/>
      <c r="O495" s="33"/>
      <c r="P495" s="33"/>
    </row>
    <row r="496" spans="1:16" x14ac:dyDescent="0.25">
      <c r="A496" s="43" t="s">
        <v>752</v>
      </c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5.75" x14ac:dyDescent="0.25">
      <c r="A497" s="1">
        <v>1</v>
      </c>
      <c r="B497" s="44" t="s">
        <v>507</v>
      </c>
      <c r="C497" s="45">
        <v>30</v>
      </c>
      <c r="D497" s="46">
        <v>300</v>
      </c>
      <c r="E497" s="46">
        <f>C497*D497</f>
        <v>9000</v>
      </c>
      <c r="F497" s="47" t="s">
        <v>156</v>
      </c>
      <c r="G497" s="19" t="s">
        <v>75</v>
      </c>
      <c r="H497" s="19" t="s">
        <v>663</v>
      </c>
      <c r="I497" s="11" t="s">
        <v>21</v>
      </c>
      <c r="J497" s="11" t="s">
        <v>21</v>
      </c>
      <c r="K497" s="11" t="s">
        <v>21</v>
      </c>
      <c r="L497" s="11" t="s">
        <v>21</v>
      </c>
      <c r="M497" s="33">
        <v>4500</v>
      </c>
      <c r="N497" s="33">
        <v>4500</v>
      </c>
      <c r="O497" s="33"/>
      <c r="P497" s="33"/>
    </row>
    <row r="498" spans="1:16" ht="15.75" x14ac:dyDescent="0.25">
      <c r="A498" s="1">
        <v>2</v>
      </c>
      <c r="B498" s="44" t="s">
        <v>508</v>
      </c>
      <c r="C498" s="45">
        <v>5</v>
      </c>
      <c r="D498" s="46">
        <v>240</v>
      </c>
      <c r="E498" s="46">
        <f>C498*D498</f>
        <v>1200</v>
      </c>
      <c r="F498" s="47" t="s">
        <v>156</v>
      </c>
      <c r="G498" s="19" t="s">
        <v>75</v>
      </c>
      <c r="H498" s="19" t="s">
        <v>663</v>
      </c>
      <c r="I498" s="11" t="s">
        <v>21</v>
      </c>
      <c r="J498" s="11" t="s">
        <v>21</v>
      </c>
      <c r="K498" s="11" t="s">
        <v>21</v>
      </c>
      <c r="L498" s="11" t="s">
        <v>21</v>
      </c>
      <c r="M498" s="32"/>
      <c r="N498" s="32">
        <v>720</v>
      </c>
      <c r="O498" s="32">
        <v>480</v>
      </c>
      <c r="P498" s="34"/>
    </row>
    <row r="499" spans="1:16" ht="15.75" x14ac:dyDescent="0.25">
      <c r="A499" s="1">
        <v>3</v>
      </c>
      <c r="B499" s="44" t="s">
        <v>509</v>
      </c>
      <c r="C499" s="45">
        <v>10</v>
      </c>
      <c r="D499" s="46">
        <v>240</v>
      </c>
      <c r="E499" s="46">
        <f>C499*D499</f>
        <v>2400</v>
      </c>
      <c r="F499" s="47" t="s">
        <v>156</v>
      </c>
      <c r="G499" s="19" t="s">
        <v>75</v>
      </c>
      <c r="H499" s="19" t="s">
        <v>663</v>
      </c>
      <c r="I499" s="11" t="s">
        <v>21</v>
      </c>
      <c r="J499" s="11" t="s">
        <v>21</v>
      </c>
      <c r="K499" s="11" t="s">
        <v>21</v>
      </c>
      <c r="L499" s="11" t="s">
        <v>21</v>
      </c>
      <c r="M499" s="33">
        <v>1200</v>
      </c>
      <c r="N499" s="33">
        <v>1200</v>
      </c>
      <c r="O499" s="33"/>
      <c r="P499" s="33"/>
    </row>
    <row r="500" spans="1:16" ht="15.75" x14ac:dyDescent="0.25">
      <c r="A500" s="1"/>
      <c r="B500" s="78" t="s">
        <v>510</v>
      </c>
      <c r="C500" s="84"/>
      <c r="D500" s="85"/>
      <c r="E500" s="46"/>
      <c r="F500" s="47" t="s">
        <v>156</v>
      </c>
      <c r="G500" s="19" t="s">
        <v>75</v>
      </c>
      <c r="H500" s="19" t="s">
        <v>663</v>
      </c>
      <c r="I500" s="11" t="s">
        <v>21</v>
      </c>
      <c r="J500" s="11" t="s">
        <v>21</v>
      </c>
      <c r="K500" s="11" t="s">
        <v>21</v>
      </c>
      <c r="L500" s="11" t="s">
        <v>21</v>
      </c>
      <c r="M500" s="32"/>
      <c r="N500" s="32"/>
      <c r="O500" s="34"/>
      <c r="P500" s="1"/>
    </row>
    <row r="501" spans="1:16" ht="15.75" x14ac:dyDescent="0.25">
      <c r="A501" s="1">
        <v>4</v>
      </c>
      <c r="B501" s="44" t="s">
        <v>511</v>
      </c>
      <c r="C501" s="45">
        <v>100</v>
      </c>
      <c r="D501" s="46">
        <v>240</v>
      </c>
      <c r="E501" s="46">
        <f>C501*D501</f>
        <v>24000</v>
      </c>
      <c r="F501" s="47" t="s">
        <v>156</v>
      </c>
      <c r="G501" s="19" t="s">
        <v>75</v>
      </c>
      <c r="H501" s="19" t="s">
        <v>663</v>
      </c>
      <c r="I501" s="11" t="s">
        <v>21</v>
      </c>
      <c r="J501" s="11" t="s">
        <v>21</v>
      </c>
      <c r="K501" s="11" t="s">
        <v>21</v>
      </c>
      <c r="L501" s="11" t="s">
        <v>21</v>
      </c>
      <c r="M501" s="32"/>
      <c r="N501" s="32">
        <v>12000</v>
      </c>
      <c r="O501" s="32"/>
      <c r="P501" s="34">
        <v>12000</v>
      </c>
    </row>
    <row r="502" spans="1:16" ht="15.75" x14ac:dyDescent="0.25">
      <c r="A502" s="1">
        <v>5</v>
      </c>
      <c r="B502" s="44" t="s">
        <v>512</v>
      </c>
      <c r="C502" s="45">
        <v>5</v>
      </c>
      <c r="D502" s="46">
        <v>2500</v>
      </c>
      <c r="E502" s="46">
        <f>C502*D502</f>
        <v>12500</v>
      </c>
      <c r="F502" s="47" t="s">
        <v>156</v>
      </c>
      <c r="G502" s="19" t="s">
        <v>75</v>
      </c>
      <c r="H502" s="19" t="s">
        <v>663</v>
      </c>
      <c r="I502" s="11" t="s">
        <v>21</v>
      </c>
      <c r="J502" s="11" t="s">
        <v>21</v>
      </c>
      <c r="K502" s="11" t="s">
        <v>21</v>
      </c>
      <c r="L502" s="11" t="s">
        <v>21</v>
      </c>
      <c r="M502" s="33"/>
      <c r="N502" s="33"/>
      <c r="O502" s="33">
        <v>7500</v>
      </c>
      <c r="P502" s="33">
        <v>5000</v>
      </c>
    </row>
    <row r="503" spans="1:16" ht="15.75" x14ac:dyDescent="0.25">
      <c r="A503" s="1"/>
      <c r="B503" s="78" t="s">
        <v>513</v>
      </c>
      <c r="C503" s="84"/>
      <c r="D503" s="85"/>
      <c r="E503" s="46"/>
      <c r="F503" s="47"/>
      <c r="G503" s="19"/>
      <c r="H503" s="19"/>
      <c r="I503" s="11"/>
      <c r="J503" s="11"/>
      <c r="K503" s="11"/>
      <c r="L503" s="11"/>
      <c r="M503" s="32"/>
      <c r="N503" s="32"/>
      <c r="O503" s="32"/>
      <c r="P503" s="34"/>
    </row>
    <row r="504" spans="1:16" ht="15.75" x14ac:dyDescent="0.25">
      <c r="A504" s="1">
        <v>6</v>
      </c>
      <c r="B504" s="44" t="s">
        <v>514</v>
      </c>
      <c r="C504" s="45">
        <v>3</v>
      </c>
      <c r="D504" s="46">
        <v>3800</v>
      </c>
      <c r="E504" s="46">
        <f>C504*D504</f>
        <v>11400</v>
      </c>
      <c r="F504" s="47" t="s">
        <v>156</v>
      </c>
      <c r="G504" s="19" t="s">
        <v>75</v>
      </c>
      <c r="H504" s="19" t="s">
        <v>663</v>
      </c>
      <c r="I504" s="11" t="s">
        <v>21</v>
      </c>
      <c r="J504" s="11" t="s">
        <v>21</v>
      </c>
      <c r="K504" s="11" t="s">
        <v>21</v>
      </c>
      <c r="L504" s="11" t="s">
        <v>21</v>
      </c>
      <c r="M504" s="32"/>
      <c r="N504" s="32">
        <v>3300</v>
      </c>
      <c r="O504" s="32">
        <v>3800</v>
      </c>
      <c r="P504" s="34">
        <v>3800</v>
      </c>
    </row>
    <row r="505" spans="1:16" ht="15.75" x14ac:dyDescent="0.25">
      <c r="A505" s="1">
        <v>7</v>
      </c>
      <c r="B505" s="44" t="s">
        <v>515</v>
      </c>
      <c r="C505" s="45">
        <v>3</v>
      </c>
      <c r="D505" s="46">
        <v>13500</v>
      </c>
      <c r="E505" s="46">
        <f>C505*D505</f>
        <v>40500</v>
      </c>
      <c r="F505" s="47" t="s">
        <v>156</v>
      </c>
      <c r="G505" s="19" t="s">
        <v>75</v>
      </c>
      <c r="H505" s="19" t="s">
        <v>663</v>
      </c>
      <c r="I505" s="11" t="s">
        <v>21</v>
      </c>
      <c r="J505" s="11" t="s">
        <v>21</v>
      </c>
      <c r="K505" s="11" t="s">
        <v>21</v>
      </c>
      <c r="L505" s="11" t="s">
        <v>21</v>
      </c>
      <c r="M505" s="33"/>
      <c r="N505" s="33">
        <v>13500</v>
      </c>
      <c r="O505" s="33">
        <v>13500</v>
      </c>
      <c r="P505" s="33">
        <v>13500</v>
      </c>
    </row>
    <row r="506" spans="1:16" ht="15.75" x14ac:dyDescent="0.25">
      <c r="A506" s="1">
        <v>8</v>
      </c>
      <c r="B506" s="44" t="s">
        <v>516</v>
      </c>
      <c r="C506" s="45">
        <v>3</v>
      </c>
      <c r="D506" s="46">
        <v>4520</v>
      </c>
      <c r="E506" s="46">
        <f>C506*D506</f>
        <v>13560</v>
      </c>
      <c r="F506" s="47" t="s">
        <v>156</v>
      </c>
      <c r="G506" s="19" t="s">
        <v>75</v>
      </c>
      <c r="H506" s="19" t="s">
        <v>663</v>
      </c>
      <c r="I506" s="11" t="s">
        <v>21</v>
      </c>
      <c r="J506" s="11" t="s">
        <v>21</v>
      </c>
      <c r="K506" s="11" t="s">
        <v>21</v>
      </c>
      <c r="L506" s="11" t="s">
        <v>21</v>
      </c>
      <c r="M506" s="32"/>
      <c r="N506" s="32">
        <v>4520</v>
      </c>
      <c r="O506" s="32">
        <v>4520</v>
      </c>
      <c r="P506" s="34">
        <v>4520</v>
      </c>
    </row>
    <row r="507" spans="1:16" ht="15.75" x14ac:dyDescent="0.25">
      <c r="A507" s="1"/>
      <c r="B507" s="78" t="s">
        <v>517</v>
      </c>
      <c r="C507" s="84"/>
      <c r="D507" s="85"/>
      <c r="E507" s="46"/>
      <c r="F507" s="47"/>
      <c r="G507" s="19"/>
      <c r="H507" s="19"/>
      <c r="I507" s="11"/>
      <c r="J507" s="11"/>
      <c r="K507" s="11"/>
      <c r="L507" s="11"/>
      <c r="M507" s="33"/>
      <c r="N507" s="33"/>
      <c r="O507" s="33"/>
      <c r="P507" s="33"/>
    </row>
    <row r="508" spans="1:16" ht="15.75" x14ac:dyDescent="0.25">
      <c r="A508" s="1">
        <v>9</v>
      </c>
      <c r="B508" s="44" t="s">
        <v>518</v>
      </c>
      <c r="C508" s="45">
        <v>1</v>
      </c>
      <c r="D508" s="46">
        <v>11500</v>
      </c>
      <c r="E508" s="46">
        <f>C508*D508</f>
        <v>11500</v>
      </c>
      <c r="F508" s="47" t="s">
        <v>156</v>
      </c>
      <c r="G508" s="19" t="s">
        <v>75</v>
      </c>
      <c r="H508" s="19" t="s">
        <v>663</v>
      </c>
      <c r="I508" s="11" t="s">
        <v>21</v>
      </c>
      <c r="J508" s="11" t="s">
        <v>21</v>
      </c>
      <c r="K508" s="11" t="s">
        <v>21</v>
      </c>
      <c r="L508" s="11" t="s">
        <v>21</v>
      </c>
      <c r="M508" s="32"/>
      <c r="N508" s="32">
        <v>11500</v>
      </c>
      <c r="O508" s="32"/>
      <c r="P508" s="34"/>
    </row>
    <row r="509" spans="1:16" ht="15.75" x14ac:dyDescent="0.25">
      <c r="A509" s="1">
        <v>10</v>
      </c>
      <c r="B509" s="44" t="s">
        <v>519</v>
      </c>
      <c r="C509" s="45">
        <v>1</v>
      </c>
      <c r="D509" s="46">
        <v>10500</v>
      </c>
      <c r="E509" s="46">
        <f>C509*D509</f>
        <v>10500</v>
      </c>
      <c r="F509" s="47" t="s">
        <v>156</v>
      </c>
      <c r="G509" s="19" t="s">
        <v>75</v>
      </c>
      <c r="H509" s="19" t="s">
        <v>663</v>
      </c>
      <c r="I509" s="11" t="s">
        <v>21</v>
      </c>
      <c r="J509" s="11" t="s">
        <v>21</v>
      </c>
      <c r="K509" s="11" t="s">
        <v>21</v>
      </c>
      <c r="L509" s="11" t="s">
        <v>21</v>
      </c>
      <c r="M509" s="33"/>
      <c r="N509" s="33">
        <v>10500</v>
      </c>
      <c r="O509" s="33"/>
      <c r="P509" s="33"/>
    </row>
    <row r="510" spans="1:16" ht="15.75" x14ac:dyDescent="0.25">
      <c r="A510" s="1">
        <v>11</v>
      </c>
      <c r="B510" s="44" t="s">
        <v>520</v>
      </c>
      <c r="C510" s="45">
        <v>1</v>
      </c>
      <c r="D510" s="46">
        <v>9500</v>
      </c>
      <c r="E510" s="46">
        <f>C510*D510</f>
        <v>9500</v>
      </c>
      <c r="F510" s="47" t="s">
        <v>156</v>
      </c>
      <c r="G510" s="19" t="s">
        <v>75</v>
      </c>
      <c r="H510" s="19" t="s">
        <v>663</v>
      </c>
      <c r="I510" s="11" t="s">
        <v>21</v>
      </c>
      <c r="J510" s="11" t="s">
        <v>21</v>
      </c>
      <c r="K510" s="11" t="s">
        <v>21</v>
      </c>
      <c r="L510" s="11" t="s">
        <v>21</v>
      </c>
      <c r="M510" s="32"/>
      <c r="N510" s="32">
        <v>9500</v>
      </c>
      <c r="O510" s="34"/>
      <c r="P510" s="1"/>
    </row>
    <row r="511" spans="1:16" ht="15.75" x14ac:dyDescent="0.25">
      <c r="A511" s="1">
        <v>12</v>
      </c>
      <c r="B511" s="44" t="s">
        <v>521</v>
      </c>
      <c r="C511" s="45">
        <v>1</v>
      </c>
      <c r="D511" s="46">
        <v>2500</v>
      </c>
      <c r="E511" s="46">
        <f>C511*D511</f>
        <v>2500</v>
      </c>
      <c r="F511" s="47" t="s">
        <v>156</v>
      </c>
      <c r="G511" s="19" t="s">
        <v>75</v>
      </c>
      <c r="H511" s="19" t="s">
        <v>663</v>
      </c>
      <c r="I511" s="11" t="s">
        <v>21</v>
      </c>
      <c r="J511" s="11" t="s">
        <v>21</v>
      </c>
      <c r="K511" s="11" t="s">
        <v>21</v>
      </c>
      <c r="L511" s="11" t="s">
        <v>21</v>
      </c>
      <c r="M511" s="32"/>
      <c r="N511" s="32">
        <v>2500</v>
      </c>
      <c r="O511" s="32"/>
      <c r="P511" s="34"/>
    </row>
    <row r="512" spans="1:16" ht="15.75" x14ac:dyDescent="0.25">
      <c r="A512" s="1">
        <v>13</v>
      </c>
      <c r="B512" s="44" t="s">
        <v>522</v>
      </c>
      <c r="C512" s="45">
        <v>1</v>
      </c>
      <c r="D512" s="46">
        <v>2500</v>
      </c>
      <c r="E512" s="46">
        <f>C512*D512</f>
        <v>2500</v>
      </c>
      <c r="F512" s="47" t="s">
        <v>156</v>
      </c>
      <c r="G512" s="19" t="s">
        <v>75</v>
      </c>
      <c r="H512" s="19" t="s">
        <v>663</v>
      </c>
      <c r="I512" s="11" t="s">
        <v>21</v>
      </c>
      <c r="J512" s="11" t="s">
        <v>21</v>
      </c>
      <c r="K512" s="11" t="s">
        <v>21</v>
      </c>
      <c r="L512" s="11" t="s">
        <v>21</v>
      </c>
      <c r="M512" s="33"/>
      <c r="N512" s="33">
        <v>2500</v>
      </c>
      <c r="O512" s="33"/>
      <c r="P512" s="33"/>
    </row>
    <row r="513" spans="1:16" ht="15.75" x14ac:dyDescent="0.25">
      <c r="A513" s="1"/>
      <c r="B513" s="78" t="s">
        <v>523</v>
      </c>
      <c r="C513" s="84"/>
      <c r="D513" s="85"/>
      <c r="E513" s="46"/>
      <c r="F513" s="47"/>
      <c r="G513" s="19"/>
      <c r="H513" s="19"/>
      <c r="I513" s="11"/>
      <c r="J513" s="11"/>
      <c r="K513" s="11"/>
      <c r="L513" s="11"/>
      <c r="M513" s="32"/>
      <c r="N513" s="32"/>
      <c r="O513" s="32"/>
      <c r="P513" s="34"/>
    </row>
    <row r="514" spans="1:16" ht="15.75" x14ac:dyDescent="0.25">
      <c r="A514" s="1">
        <v>14</v>
      </c>
      <c r="B514" s="44" t="s">
        <v>524</v>
      </c>
      <c r="C514" s="45">
        <v>2</v>
      </c>
      <c r="D514" s="46">
        <v>13000</v>
      </c>
      <c r="E514" s="46">
        <f t="shared" ref="E514:E521" si="15">C514*D514</f>
        <v>26000</v>
      </c>
      <c r="F514" s="47" t="s">
        <v>156</v>
      </c>
      <c r="G514" s="19" t="s">
        <v>75</v>
      </c>
      <c r="H514" s="19" t="s">
        <v>663</v>
      </c>
      <c r="I514" s="11" t="s">
        <v>21</v>
      </c>
      <c r="J514" s="11" t="s">
        <v>21</v>
      </c>
      <c r="K514" s="11" t="s">
        <v>21</v>
      </c>
      <c r="L514" s="11" t="s">
        <v>21</v>
      </c>
      <c r="M514" s="32"/>
      <c r="N514" s="32">
        <v>26000</v>
      </c>
      <c r="O514" s="32"/>
      <c r="P514" s="34"/>
    </row>
    <row r="515" spans="1:16" ht="15.75" x14ac:dyDescent="0.25">
      <c r="A515" s="1">
        <v>15</v>
      </c>
      <c r="B515" s="44" t="s">
        <v>525</v>
      </c>
      <c r="C515" s="45">
        <v>1</v>
      </c>
      <c r="D515" s="46">
        <v>30000</v>
      </c>
      <c r="E515" s="46">
        <f t="shared" si="15"/>
        <v>30000</v>
      </c>
      <c r="F515" s="47" t="s">
        <v>156</v>
      </c>
      <c r="G515" s="19" t="s">
        <v>75</v>
      </c>
      <c r="H515" s="19" t="s">
        <v>663</v>
      </c>
      <c r="I515" s="11" t="s">
        <v>21</v>
      </c>
      <c r="J515" s="11" t="s">
        <v>21</v>
      </c>
      <c r="K515" s="11" t="s">
        <v>21</v>
      </c>
      <c r="L515" s="11" t="s">
        <v>21</v>
      </c>
      <c r="M515" s="33"/>
      <c r="N515" s="33">
        <v>30000</v>
      </c>
      <c r="O515" s="33"/>
      <c r="P515" s="33"/>
    </row>
    <row r="516" spans="1:16" ht="15.75" x14ac:dyDescent="0.25">
      <c r="A516" s="1">
        <v>16</v>
      </c>
      <c r="B516" s="44" t="s">
        <v>526</v>
      </c>
      <c r="C516" s="45">
        <v>1</v>
      </c>
      <c r="D516" s="46">
        <v>35000</v>
      </c>
      <c r="E516" s="46">
        <f t="shared" si="15"/>
        <v>35000</v>
      </c>
      <c r="F516" s="47" t="s">
        <v>156</v>
      </c>
      <c r="G516" s="19" t="s">
        <v>75</v>
      </c>
      <c r="H516" s="19" t="s">
        <v>663</v>
      </c>
      <c r="I516" s="11" t="s">
        <v>21</v>
      </c>
      <c r="J516" s="11" t="s">
        <v>21</v>
      </c>
      <c r="K516" s="11" t="s">
        <v>21</v>
      </c>
      <c r="L516" s="11" t="s">
        <v>21</v>
      </c>
      <c r="M516" s="32"/>
      <c r="N516" s="32">
        <v>35000</v>
      </c>
      <c r="O516" s="32"/>
      <c r="P516" s="34"/>
    </row>
    <row r="517" spans="1:16" ht="15.75" x14ac:dyDescent="0.25">
      <c r="A517" s="1">
        <v>17</v>
      </c>
      <c r="B517" s="44" t="s">
        <v>527</v>
      </c>
      <c r="C517" s="45">
        <v>1</v>
      </c>
      <c r="D517" s="46">
        <v>34000</v>
      </c>
      <c r="E517" s="46">
        <f t="shared" si="15"/>
        <v>34000</v>
      </c>
      <c r="F517" s="47" t="s">
        <v>156</v>
      </c>
      <c r="G517" s="19" t="s">
        <v>75</v>
      </c>
      <c r="H517" s="19" t="s">
        <v>663</v>
      </c>
      <c r="I517" s="11" t="s">
        <v>21</v>
      </c>
      <c r="J517" s="11" t="s">
        <v>21</v>
      </c>
      <c r="K517" s="11" t="s">
        <v>21</v>
      </c>
      <c r="L517" s="11" t="s">
        <v>21</v>
      </c>
      <c r="M517" s="33"/>
      <c r="N517" s="33">
        <v>34000</v>
      </c>
      <c r="O517" s="33"/>
      <c r="P517" s="33"/>
    </row>
    <row r="518" spans="1:16" ht="15.75" x14ac:dyDescent="0.25">
      <c r="A518" s="1">
        <v>18</v>
      </c>
      <c r="B518" s="44" t="s">
        <v>528</v>
      </c>
      <c r="C518" s="45">
        <v>1</v>
      </c>
      <c r="D518" s="46">
        <v>24000</v>
      </c>
      <c r="E518" s="46">
        <f t="shared" si="15"/>
        <v>24000</v>
      </c>
      <c r="F518" s="47" t="s">
        <v>156</v>
      </c>
      <c r="G518" s="19" t="s">
        <v>75</v>
      </c>
      <c r="H518" s="19" t="s">
        <v>663</v>
      </c>
      <c r="I518" s="11" t="s">
        <v>21</v>
      </c>
      <c r="J518" s="11" t="s">
        <v>21</v>
      </c>
      <c r="K518" s="11" t="s">
        <v>21</v>
      </c>
      <c r="L518" s="11" t="s">
        <v>21</v>
      </c>
      <c r="M518" s="32"/>
      <c r="N518" s="32">
        <v>24000</v>
      </c>
      <c r="O518" s="34"/>
      <c r="P518" s="34"/>
    </row>
    <row r="519" spans="1:16" ht="15.75" x14ac:dyDescent="0.25">
      <c r="A519" s="1">
        <v>19</v>
      </c>
      <c r="B519" s="44" t="s">
        <v>529</v>
      </c>
      <c r="C519" s="45">
        <v>4</v>
      </c>
      <c r="D519" s="46">
        <v>950</v>
      </c>
      <c r="E519" s="46">
        <f t="shared" si="15"/>
        <v>3800</v>
      </c>
      <c r="F519" s="47" t="s">
        <v>156</v>
      </c>
      <c r="G519" s="19" t="s">
        <v>75</v>
      </c>
      <c r="H519" s="19" t="s">
        <v>663</v>
      </c>
      <c r="I519" s="11" t="s">
        <v>21</v>
      </c>
      <c r="J519" s="11" t="s">
        <v>21</v>
      </c>
      <c r="K519" s="11" t="s">
        <v>21</v>
      </c>
      <c r="L519" s="11" t="s">
        <v>21</v>
      </c>
      <c r="M519" s="32">
        <v>1900</v>
      </c>
      <c r="N519" s="32"/>
      <c r="O519" s="32">
        <v>1900</v>
      </c>
      <c r="P519" s="34"/>
    </row>
    <row r="520" spans="1:16" ht="15.75" x14ac:dyDescent="0.25">
      <c r="A520" s="1">
        <v>20</v>
      </c>
      <c r="B520" s="44" t="s">
        <v>530</v>
      </c>
      <c r="C520" s="45">
        <v>2</v>
      </c>
      <c r="D520" s="46">
        <v>700</v>
      </c>
      <c r="E520" s="46">
        <f t="shared" si="15"/>
        <v>1400</v>
      </c>
      <c r="F520" s="47" t="s">
        <v>156</v>
      </c>
      <c r="G520" s="19" t="s">
        <v>75</v>
      </c>
      <c r="H520" s="19" t="s">
        <v>663</v>
      </c>
      <c r="I520" s="11" t="s">
        <v>21</v>
      </c>
      <c r="J520" s="11" t="s">
        <v>21</v>
      </c>
      <c r="K520" s="11" t="s">
        <v>21</v>
      </c>
      <c r="L520" s="11" t="s">
        <v>21</v>
      </c>
      <c r="M520" s="33">
        <v>700</v>
      </c>
      <c r="N520" s="33"/>
      <c r="O520" s="33">
        <v>700</v>
      </c>
      <c r="P520" s="33"/>
    </row>
    <row r="521" spans="1:16" ht="15.75" x14ac:dyDescent="0.25">
      <c r="A521" s="1">
        <v>21</v>
      </c>
      <c r="B521" s="44" t="s">
        <v>531</v>
      </c>
      <c r="C521" s="45">
        <v>2</v>
      </c>
      <c r="D521" s="46">
        <v>1200</v>
      </c>
      <c r="E521" s="46">
        <f t="shared" si="15"/>
        <v>2400</v>
      </c>
      <c r="F521" s="47" t="s">
        <v>156</v>
      </c>
      <c r="G521" s="19" t="s">
        <v>75</v>
      </c>
      <c r="H521" s="19" t="s">
        <v>663</v>
      </c>
      <c r="I521" s="11" t="s">
        <v>21</v>
      </c>
      <c r="J521" s="11" t="s">
        <v>21</v>
      </c>
      <c r="K521" s="11" t="s">
        <v>21</v>
      </c>
      <c r="L521" s="11" t="s">
        <v>21</v>
      </c>
      <c r="M521" s="32"/>
      <c r="N521" s="32">
        <v>1200</v>
      </c>
      <c r="O521" s="32">
        <v>1200</v>
      </c>
      <c r="P521" s="34"/>
    </row>
    <row r="522" spans="1:16" x14ac:dyDescent="0.25">
      <c r="A522" s="1">
        <v>22</v>
      </c>
      <c r="B522" s="86" t="s">
        <v>538</v>
      </c>
      <c r="C522" s="86">
        <v>20</v>
      </c>
      <c r="D522" s="86">
        <v>30000</v>
      </c>
      <c r="E522" s="86">
        <v>600000</v>
      </c>
      <c r="F522" s="86" t="s">
        <v>539</v>
      </c>
      <c r="G522" s="19" t="s">
        <v>75</v>
      </c>
      <c r="H522" s="87" t="s">
        <v>535</v>
      </c>
      <c r="I522" s="54" t="s">
        <v>210</v>
      </c>
      <c r="J522" s="54" t="s">
        <v>210</v>
      </c>
      <c r="K522" s="54" t="s">
        <v>210</v>
      </c>
      <c r="L522" s="54" t="s">
        <v>210</v>
      </c>
      <c r="M522" s="33">
        <v>300000</v>
      </c>
      <c r="N522" s="33"/>
      <c r="O522" s="33">
        <v>300000</v>
      </c>
      <c r="P522" s="33"/>
    </row>
    <row r="523" spans="1:16" ht="15.75" x14ac:dyDescent="0.25">
      <c r="A523" s="1">
        <v>23</v>
      </c>
      <c r="B523" s="1" t="s">
        <v>632</v>
      </c>
      <c r="C523" s="1">
        <v>1</v>
      </c>
      <c r="D523" s="1">
        <v>11000</v>
      </c>
      <c r="E523" s="8">
        <v>11000</v>
      </c>
      <c r="F523" s="19" t="s">
        <v>559</v>
      </c>
      <c r="G523" s="68" t="s">
        <v>75</v>
      </c>
      <c r="H523" s="19" t="s">
        <v>663</v>
      </c>
      <c r="I523" s="54" t="s">
        <v>210</v>
      </c>
      <c r="J523" s="54" t="s">
        <v>210</v>
      </c>
      <c r="K523" s="54" t="s">
        <v>210</v>
      </c>
      <c r="L523" s="54" t="s">
        <v>210</v>
      </c>
      <c r="M523" s="1"/>
      <c r="N523" s="1"/>
      <c r="O523" s="1">
        <v>11000</v>
      </c>
      <c r="P523" s="1"/>
    </row>
    <row r="524" spans="1:16" ht="15.75" x14ac:dyDescent="0.25">
      <c r="A524" s="1">
        <v>24</v>
      </c>
      <c r="B524" s="1" t="s">
        <v>633</v>
      </c>
      <c r="C524" s="1">
        <v>4</v>
      </c>
      <c r="D524" s="1">
        <v>3000</v>
      </c>
      <c r="E524" s="8">
        <v>12000</v>
      </c>
      <c r="F524" s="19" t="s">
        <v>559</v>
      </c>
      <c r="G524" s="68" t="s">
        <v>75</v>
      </c>
      <c r="H524" s="19" t="s">
        <v>663</v>
      </c>
      <c r="I524" s="54" t="s">
        <v>210</v>
      </c>
      <c r="J524" s="54" t="s">
        <v>210</v>
      </c>
      <c r="K524" s="54" t="s">
        <v>210</v>
      </c>
      <c r="L524" s="54" t="s">
        <v>210</v>
      </c>
      <c r="M524" s="1">
        <v>6000</v>
      </c>
      <c r="N524" s="1">
        <v>6000</v>
      </c>
      <c r="O524" s="1"/>
      <c r="P524" s="1"/>
    </row>
    <row r="525" spans="1:16" ht="15.75" x14ac:dyDescent="0.25">
      <c r="A525" s="1">
        <v>25</v>
      </c>
      <c r="B525" s="1" t="s">
        <v>634</v>
      </c>
      <c r="C525" s="1">
        <v>4</v>
      </c>
      <c r="D525" s="1">
        <v>1800</v>
      </c>
      <c r="E525" s="1">
        <v>7200</v>
      </c>
      <c r="F525" s="19" t="s">
        <v>559</v>
      </c>
      <c r="G525" s="68" t="s">
        <v>75</v>
      </c>
      <c r="H525" s="19" t="s">
        <v>663</v>
      </c>
      <c r="I525" s="54" t="s">
        <v>210</v>
      </c>
      <c r="J525" s="54" t="s">
        <v>210</v>
      </c>
      <c r="K525" s="54" t="s">
        <v>210</v>
      </c>
      <c r="L525" s="54" t="s">
        <v>210</v>
      </c>
      <c r="M525" s="1">
        <v>3600</v>
      </c>
      <c r="N525" s="1"/>
      <c r="O525" s="1">
        <v>3600</v>
      </c>
      <c r="P525" s="1"/>
    </row>
    <row r="526" spans="1:16" x14ac:dyDescent="0.25">
      <c r="A526" s="1">
        <v>26</v>
      </c>
      <c r="B526" s="86" t="s">
        <v>641</v>
      </c>
      <c r="C526" s="86">
        <v>30</v>
      </c>
      <c r="D526" s="86">
        <v>10000</v>
      </c>
      <c r="E526" s="86">
        <v>300000</v>
      </c>
      <c r="F526" s="87" t="s">
        <v>533</v>
      </c>
      <c r="G526" s="19" t="s">
        <v>75</v>
      </c>
      <c r="H526" s="87" t="s">
        <v>535</v>
      </c>
      <c r="I526" s="54" t="s">
        <v>210</v>
      </c>
      <c r="J526" s="54" t="s">
        <v>210</v>
      </c>
      <c r="K526" s="54" t="s">
        <v>210</v>
      </c>
      <c r="L526" s="54" t="s">
        <v>210</v>
      </c>
      <c r="M526" s="32">
        <v>75000</v>
      </c>
      <c r="N526" s="32">
        <v>75000</v>
      </c>
      <c r="O526" s="32">
        <v>75000</v>
      </c>
      <c r="P526" s="34">
        <v>75000</v>
      </c>
    </row>
    <row r="527" spans="1:16" x14ac:dyDescent="0.25">
      <c r="A527" s="1">
        <v>27</v>
      </c>
      <c r="B527" s="86" t="s">
        <v>643</v>
      </c>
      <c r="C527" s="1">
        <v>2000</v>
      </c>
      <c r="D527" s="1">
        <v>25</v>
      </c>
      <c r="E527" s="1">
        <v>50000</v>
      </c>
      <c r="F527" s="19" t="s">
        <v>533</v>
      </c>
      <c r="G527" s="19" t="s">
        <v>75</v>
      </c>
      <c r="H527" s="94" t="s">
        <v>615</v>
      </c>
      <c r="I527" s="54" t="s">
        <v>210</v>
      </c>
      <c r="J527" s="54" t="s">
        <v>210</v>
      </c>
      <c r="K527" s="54" t="s">
        <v>210</v>
      </c>
      <c r="L527" s="54" t="s">
        <v>210</v>
      </c>
      <c r="M527" s="32">
        <v>25000</v>
      </c>
      <c r="N527" s="32">
        <v>25000</v>
      </c>
      <c r="O527" s="32"/>
      <c r="P527" s="34"/>
    </row>
    <row r="528" spans="1:16" x14ac:dyDescent="0.25">
      <c r="A528" s="1">
        <v>28</v>
      </c>
      <c r="B528" s="86" t="s">
        <v>644</v>
      </c>
      <c r="C528" s="1" t="s">
        <v>645</v>
      </c>
      <c r="D528" s="1">
        <v>65</v>
      </c>
      <c r="E528" s="1">
        <v>26000</v>
      </c>
      <c r="F528" s="19" t="s">
        <v>533</v>
      </c>
      <c r="G528" s="19" t="s">
        <v>75</v>
      </c>
      <c r="H528" s="94" t="s">
        <v>615</v>
      </c>
      <c r="I528" s="54" t="s">
        <v>210</v>
      </c>
      <c r="J528" s="54" t="s">
        <v>210</v>
      </c>
      <c r="K528" s="54" t="s">
        <v>210</v>
      </c>
      <c r="L528" s="54" t="s">
        <v>210</v>
      </c>
      <c r="M528" s="33">
        <v>26000</v>
      </c>
      <c r="N528" s="33"/>
      <c r="O528" s="33"/>
      <c r="P528" s="33"/>
    </row>
    <row r="529" spans="1:16" x14ac:dyDescent="0.25">
      <c r="A529" s="1">
        <v>29</v>
      </c>
      <c r="B529" s="86" t="s">
        <v>729</v>
      </c>
      <c r="C529" s="1" t="s">
        <v>730</v>
      </c>
      <c r="D529" s="1">
        <v>700</v>
      </c>
      <c r="E529" s="1">
        <v>56000</v>
      </c>
      <c r="F529" s="19"/>
      <c r="G529" s="19"/>
      <c r="H529" s="94"/>
      <c r="I529" s="54"/>
      <c r="J529" s="54"/>
      <c r="K529" s="54"/>
      <c r="L529" s="54"/>
      <c r="M529" s="33"/>
      <c r="N529" s="33"/>
      <c r="O529" s="33"/>
      <c r="P529" s="33"/>
    </row>
    <row r="530" spans="1:16" ht="15.75" x14ac:dyDescent="0.25">
      <c r="A530" s="1"/>
      <c r="B530" s="78" t="s">
        <v>472</v>
      </c>
      <c r="C530" s="78"/>
      <c r="D530" s="79"/>
      <c r="E530" s="51"/>
      <c r="F530" s="47"/>
      <c r="G530" s="19"/>
      <c r="H530" s="19"/>
      <c r="I530" s="11"/>
      <c r="J530" s="11"/>
      <c r="K530" s="11"/>
      <c r="L530" s="11"/>
      <c r="M530" s="32"/>
      <c r="N530" s="32"/>
      <c r="O530" s="34"/>
      <c r="P530" s="1"/>
    </row>
    <row r="531" spans="1:16" ht="15.75" x14ac:dyDescent="0.25">
      <c r="A531" s="1">
        <v>74</v>
      </c>
      <c r="B531" s="44" t="s">
        <v>473</v>
      </c>
      <c r="C531" s="45">
        <v>1</v>
      </c>
      <c r="D531" s="46">
        <v>4800</v>
      </c>
      <c r="E531" s="46">
        <f t="shared" ref="E531:E539" si="16">C531*D531</f>
        <v>4800</v>
      </c>
      <c r="F531" s="47" t="s">
        <v>156</v>
      </c>
      <c r="G531" s="19" t="s">
        <v>75</v>
      </c>
      <c r="H531" s="19" t="s">
        <v>663</v>
      </c>
      <c r="I531" s="11" t="s">
        <v>21</v>
      </c>
      <c r="J531" s="11" t="s">
        <v>21</v>
      </c>
      <c r="K531" s="11" t="s">
        <v>21</v>
      </c>
      <c r="L531" s="11" t="s">
        <v>21</v>
      </c>
      <c r="M531" s="32">
        <v>4800</v>
      </c>
      <c r="N531" s="32"/>
      <c r="O531" s="32"/>
      <c r="P531" s="34"/>
    </row>
    <row r="532" spans="1:16" ht="15.75" x14ac:dyDescent="0.25">
      <c r="A532" s="1">
        <v>75</v>
      </c>
      <c r="B532" s="44" t="s">
        <v>474</v>
      </c>
      <c r="C532" s="45">
        <v>2</v>
      </c>
      <c r="D532" s="46">
        <v>5200</v>
      </c>
      <c r="E532" s="46">
        <f t="shared" si="16"/>
        <v>10400</v>
      </c>
      <c r="F532" s="47" t="s">
        <v>156</v>
      </c>
      <c r="G532" s="19" t="s">
        <v>75</v>
      </c>
      <c r="H532" s="19" t="s">
        <v>663</v>
      </c>
      <c r="I532" s="11" t="s">
        <v>21</v>
      </c>
      <c r="J532" s="11" t="s">
        <v>21</v>
      </c>
      <c r="K532" s="11" t="s">
        <v>21</v>
      </c>
      <c r="L532" s="11" t="s">
        <v>21</v>
      </c>
      <c r="M532" s="33">
        <v>5200</v>
      </c>
      <c r="N532" s="33"/>
      <c r="O532" s="33">
        <v>5200</v>
      </c>
      <c r="P532" s="33"/>
    </row>
    <row r="533" spans="1:16" ht="15.75" x14ac:dyDescent="0.25">
      <c r="A533" s="1">
        <v>76</v>
      </c>
      <c r="B533" s="44" t="s">
        <v>475</v>
      </c>
      <c r="C533" s="45">
        <v>2</v>
      </c>
      <c r="D533" s="46">
        <v>5600</v>
      </c>
      <c r="E533" s="46">
        <f t="shared" si="16"/>
        <v>11200</v>
      </c>
      <c r="F533" s="47" t="s">
        <v>156</v>
      </c>
      <c r="G533" s="19" t="s">
        <v>75</v>
      </c>
      <c r="H533" s="19" t="s">
        <v>663</v>
      </c>
      <c r="I533" s="11" t="s">
        <v>21</v>
      </c>
      <c r="J533" s="11" t="s">
        <v>21</v>
      </c>
      <c r="K533" s="11" t="s">
        <v>21</v>
      </c>
      <c r="L533" s="11" t="s">
        <v>21</v>
      </c>
      <c r="M533" s="32">
        <v>5600</v>
      </c>
      <c r="N533" s="32"/>
      <c r="O533" s="32"/>
      <c r="P533" s="34">
        <v>5600</v>
      </c>
    </row>
    <row r="534" spans="1:16" ht="15.75" x14ac:dyDescent="0.25">
      <c r="A534" s="1">
        <v>77</v>
      </c>
      <c r="B534" s="44" t="s">
        <v>476</v>
      </c>
      <c r="C534" s="45">
        <v>1</v>
      </c>
      <c r="D534" s="46">
        <v>4210</v>
      </c>
      <c r="E534" s="46">
        <f t="shared" si="16"/>
        <v>4210</v>
      </c>
      <c r="F534" s="47" t="s">
        <v>156</v>
      </c>
      <c r="G534" s="19" t="s">
        <v>75</v>
      </c>
      <c r="H534" s="19" t="s">
        <v>663</v>
      </c>
      <c r="I534" s="11" t="s">
        <v>21</v>
      </c>
      <c r="J534" s="11" t="s">
        <v>21</v>
      </c>
      <c r="K534" s="11" t="s">
        <v>21</v>
      </c>
      <c r="L534" s="11" t="s">
        <v>21</v>
      </c>
      <c r="M534" s="32">
        <v>4210</v>
      </c>
      <c r="N534" s="32"/>
      <c r="O534" s="32"/>
      <c r="P534" s="34"/>
    </row>
    <row r="535" spans="1:16" ht="15.75" x14ac:dyDescent="0.25">
      <c r="A535" s="1">
        <v>78</v>
      </c>
      <c r="B535" s="44" t="s">
        <v>477</v>
      </c>
      <c r="C535" s="45">
        <v>4</v>
      </c>
      <c r="D535" s="46">
        <v>6800</v>
      </c>
      <c r="E535" s="46">
        <f t="shared" si="16"/>
        <v>27200</v>
      </c>
      <c r="F535" s="47" t="s">
        <v>156</v>
      </c>
      <c r="G535" s="19" t="s">
        <v>75</v>
      </c>
      <c r="H535" s="19" t="s">
        <v>663</v>
      </c>
      <c r="I535" s="11" t="s">
        <v>21</v>
      </c>
      <c r="J535" s="11" t="s">
        <v>21</v>
      </c>
      <c r="K535" s="11" t="s">
        <v>21</v>
      </c>
      <c r="L535" s="11" t="s">
        <v>21</v>
      </c>
      <c r="M535" s="33">
        <v>13600</v>
      </c>
      <c r="N535" s="33">
        <v>13600</v>
      </c>
      <c r="O535" s="33"/>
      <c r="P535" s="33"/>
    </row>
    <row r="536" spans="1:16" ht="15.75" x14ac:dyDescent="0.25">
      <c r="A536" s="1">
        <v>79</v>
      </c>
      <c r="B536" s="44" t="s">
        <v>478</v>
      </c>
      <c r="C536" s="45">
        <v>1</v>
      </c>
      <c r="D536" s="46">
        <v>5200</v>
      </c>
      <c r="E536" s="46">
        <f t="shared" si="16"/>
        <v>5200</v>
      </c>
      <c r="F536" s="47" t="s">
        <v>156</v>
      </c>
      <c r="G536" s="19" t="s">
        <v>75</v>
      </c>
      <c r="H536" s="19" t="s">
        <v>663</v>
      </c>
      <c r="I536" s="11" t="s">
        <v>21</v>
      </c>
      <c r="J536" s="11" t="s">
        <v>21</v>
      </c>
      <c r="K536" s="11" t="s">
        <v>21</v>
      </c>
      <c r="L536" s="11" t="s">
        <v>21</v>
      </c>
      <c r="M536" s="32"/>
      <c r="N536" s="32">
        <v>5200</v>
      </c>
      <c r="O536" s="32"/>
      <c r="P536" s="34"/>
    </row>
    <row r="537" spans="1:16" ht="15.75" x14ac:dyDescent="0.25">
      <c r="A537" s="1">
        <v>80</v>
      </c>
      <c r="B537" s="44" t="s">
        <v>479</v>
      </c>
      <c r="C537" s="45">
        <v>1</v>
      </c>
      <c r="D537" s="46">
        <v>3250</v>
      </c>
      <c r="E537" s="46">
        <f t="shared" si="16"/>
        <v>3250</v>
      </c>
      <c r="F537" s="47" t="s">
        <v>156</v>
      </c>
      <c r="G537" s="19" t="s">
        <v>75</v>
      </c>
      <c r="H537" s="19" t="s">
        <v>663</v>
      </c>
      <c r="I537" s="11" t="s">
        <v>21</v>
      </c>
      <c r="J537" s="11" t="s">
        <v>21</v>
      </c>
      <c r="K537" s="11" t="s">
        <v>21</v>
      </c>
      <c r="L537" s="11" t="s">
        <v>21</v>
      </c>
      <c r="M537" s="33"/>
      <c r="N537" s="33">
        <v>3250</v>
      </c>
      <c r="O537" s="33"/>
      <c r="P537" s="33"/>
    </row>
    <row r="538" spans="1:16" ht="15.75" x14ac:dyDescent="0.25">
      <c r="A538" s="1">
        <v>81</v>
      </c>
      <c r="B538" s="44" t="s">
        <v>480</v>
      </c>
      <c r="C538" s="45">
        <v>1</v>
      </c>
      <c r="D538" s="46">
        <v>2120</v>
      </c>
      <c r="E538" s="46">
        <f t="shared" si="16"/>
        <v>2120</v>
      </c>
      <c r="F538" s="47" t="s">
        <v>156</v>
      </c>
      <c r="G538" s="19" t="s">
        <v>75</v>
      </c>
      <c r="H538" s="19" t="s">
        <v>663</v>
      </c>
      <c r="I538" s="11" t="s">
        <v>21</v>
      </c>
      <c r="J538" s="11" t="s">
        <v>21</v>
      </c>
      <c r="K538" s="11" t="s">
        <v>21</v>
      </c>
      <c r="L538" s="11" t="s">
        <v>21</v>
      </c>
      <c r="M538" s="32"/>
      <c r="N538" s="32">
        <v>2120</v>
      </c>
      <c r="O538" s="32"/>
      <c r="P538" s="34"/>
    </row>
    <row r="539" spans="1:16" ht="15.75" x14ac:dyDescent="0.25">
      <c r="A539" s="1">
        <v>82</v>
      </c>
      <c r="B539" s="44" t="s">
        <v>481</v>
      </c>
      <c r="C539" s="45">
        <v>1</v>
      </c>
      <c r="D539" s="46">
        <v>3200</v>
      </c>
      <c r="E539" s="46">
        <f t="shared" si="16"/>
        <v>3200</v>
      </c>
      <c r="F539" s="47" t="s">
        <v>156</v>
      </c>
      <c r="G539" s="19" t="s">
        <v>75</v>
      </c>
      <c r="H539" s="19" t="s">
        <v>663</v>
      </c>
      <c r="I539" s="11" t="s">
        <v>21</v>
      </c>
      <c r="J539" s="11" t="s">
        <v>21</v>
      </c>
      <c r="K539" s="11" t="s">
        <v>21</v>
      </c>
      <c r="L539" s="11" t="s">
        <v>21</v>
      </c>
      <c r="M539" s="33"/>
      <c r="N539" s="33">
        <v>3200</v>
      </c>
      <c r="O539" s="33"/>
      <c r="P539" s="33"/>
    </row>
    <row r="540" spans="1:16" ht="15.75" x14ac:dyDescent="0.25">
      <c r="A540" s="1"/>
      <c r="B540" s="78" t="s">
        <v>482</v>
      </c>
      <c r="C540" s="84"/>
      <c r="D540" s="85"/>
      <c r="E540" s="46" t="s">
        <v>4</v>
      </c>
      <c r="F540" s="47"/>
      <c r="G540" s="1"/>
      <c r="H540" s="19"/>
      <c r="I540" s="11"/>
      <c r="J540" s="11"/>
      <c r="K540" s="11"/>
      <c r="L540" s="11"/>
      <c r="M540" s="32"/>
      <c r="N540" s="32"/>
      <c r="O540" s="34"/>
      <c r="P540" s="1"/>
    </row>
    <row r="541" spans="1:16" ht="15.75" x14ac:dyDescent="0.25">
      <c r="A541" s="1">
        <v>83</v>
      </c>
      <c r="B541" s="44" t="s">
        <v>483</v>
      </c>
      <c r="C541" s="45">
        <v>1</v>
      </c>
      <c r="D541" s="46">
        <v>8000</v>
      </c>
      <c r="E541" s="46">
        <f>C541*D541</f>
        <v>8000</v>
      </c>
      <c r="F541" s="47" t="s">
        <v>156</v>
      </c>
      <c r="G541" s="19" t="s">
        <v>75</v>
      </c>
      <c r="H541" s="19" t="s">
        <v>663</v>
      </c>
      <c r="I541" s="11" t="s">
        <v>21</v>
      </c>
      <c r="J541" s="11" t="s">
        <v>21</v>
      </c>
      <c r="K541" s="11" t="s">
        <v>21</v>
      </c>
      <c r="L541" s="11" t="s">
        <v>21</v>
      </c>
      <c r="M541" s="32">
        <v>8000</v>
      </c>
      <c r="N541" s="32"/>
      <c r="O541" s="32"/>
      <c r="P541" s="34"/>
    </row>
    <row r="542" spans="1:16" ht="15.75" x14ac:dyDescent="0.25">
      <c r="A542" s="1">
        <v>84</v>
      </c>
      <c r="B542" s="44" t="s">
        <v>484</v>
      </c>
      <c r="C542" s="45">
        <v>1</v>
      </c>
      <c r="D542" s="46">
        <v>9800</v>
      </c>
      <c r="E542" s="46">
        <f>C542*D542</f>
        <v>9800</v>
      </c>
      <c r="F542" s="47" t="s">
        <v>156</v>
      </c>
      <c r="G542" s="19" t="s">
        <v>75</v>
      </c>
      <c r="H542" s="19" t="s">
        <v>663</v>
      </c>
      <c r="I542" s="11" t="s">
        <v>21</v>
      </c>
      <c r="J542" s="11" t="s">
        <v>21</v>
      </c>
      <c r="K542" s="11" t="s">
        <v>21</v>
      </c>
      <c r="L542" s="11" t="s">
        <v>21</v>
      </c>
      <c r="M542" s="33">
        <v>9800</v>
      </c>
      <c r="N542" s="33"/>
      <c r="O542" s="33"/>
      <c r="P542" s="33"/>
    </row>
    <row r="543" spans="1:16" ht="15.75" x14ac:dyDescent="0.25">
      <c r="A543" s="1"/>
      <c r="B543" s="44" t="s">
        <v>485</v>
      </c>
      <c r="C543" s="45">
        <v>1</v>
      </c>
      <c r="D543" s="46">
        <v>1800</v>
      </c>
      <c r="E543" s="46">
        <f>C543*D543</f>
        <v>1800</v>
      </c>
      <c r="F543" s="47" t="s">
        <v>156</v>
      </c>
      <c r="G543" s="19" t="s">
        <v>75</v>
      </c>
      <c r="H543" s="19" t="s">
        <v>663</v>
      </c>
      <c r="I543" s="11" t="s">
        <v>21</v>
      </c>
      <c r="J543" s="11" t="s">
        <v>21</v>
      </c>
      <c r="K543" s="11" t="s">
        <v>21</v>
      </c>
      <c r="L543" s="11" t="s">
        <v>21</v>
      </c>
      <c r="M543" s="32">
        <v>1800</v>
      </c>
      <c r="N543" s="32"/>
      <c r="O543" s="32"/>
      <c r="P543" s="34"/>
    </row>
    <row r="544" spans="1:16" x14ac:dyDescent="0.25">
      <c r="A544" s="1">
        <v>85</v>
      </c>
      <c r="B544" s="86" t="s">
        <v>534</v>
      </c>
      <c r="C544" s="86">
        <v>5</v>
      </c>
      <c r="D544" s="86">
        <v>50000</v>
      </c>
      <c r="E544" s="86">
        <v>250000</v>
      </c>
      <c r="F544" s="87" t="s">
        <v>533</v>
      </c>
      <c r="G544" s="19" t="s">
        <v>75</v>
      </c>
      <c r="H544" s="87" t="s">
        <v>535</v>
      </c>
      <c r="I544" s="54" t="s">
        <v>210</v>
      </c>
      <c r="J544" s="54" t="s">
        <v>210</v>
      </c>
      <c r="K544" s="54" t="s">
        <v>210</v>
      </c>
      <c r="L544" s="54" t="s">
        <v>210</v>
      </c>
      <c r="M544" s="32"/>
      <c r="N544" s="32">
        <v>250000</v>
      </c>
      <c r="O544" s="32"/>
      <c r="P544" s="34"/>
    </row>
    <row r="545" spans="1:16" x14ac:dyDescent="0.25">
      <c r="A545" s="43"/>
      <c r="B545" s="43" t="s">
        <v>649</v>
      </c>
      <c r="C545" s="43"/>
      <c r="D545" s="118"/>
      <c r="E545" s="118">
        <f>SUM(E497:E544)</f>
        <v>1711040</v>
      </c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x14ac:dyDescent="0.25">
      <c r="A546" s="43"/>
      <c r="B546" s="43"/>
      <c r="C546" s="43"/>
      <c r="D546" s="43"/>
      <c r="E546" s="118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x14ac:dyDescent="0.25">
      <c r="A549" s="43" t="s">
        <v>753</v>
      </c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5.75" x14ac:dyDescent="0.25">
      <c r="A550" s="1">
        <v>1</v>
      </c>
      <c r="B550" s="89" t="s">
        <v>597</v>
      </c>
      <c r="C550" s="89">
        <v>1</v>
      </c>
      <c r="D550" s="93">
        <v>500000</v>
      </c>
      <c r="E550" s="51">
        <f>C550*D550</f>
        <v>500000</v>
      </c>
      <c r="F550" s="19" t="s">
        <v>557</v>
      </c>
      <c r="G550" s="68" t="s">
        <v>75</v>
      </c>
      <c r="H550" s="19" t="s">
        <v>663</v>
      </c>
      <c r="I550" s="54" t="s">
        <v>210</v>
      </c>
      <c r="J550" s="54" t="s">
        <v>210</v>
      </c>
      <c r="K550" s="54" t="s">
        <v>210</v>
      </c>
      <c r="L550" s="54" t="s">
        <v>210</v>
      </c>
      <c r="M550" s="33">
        <v>500000</v>
      </c>
      <c r="N550" s="33"/>
      <c r="O550" s="33"/>
      <c r="P550" s="33"/>
    </row>
    <row r="551" spans="1:16" ht="15.75" x14ac:dyDescent="0.25">
      <c r="A551" s="1">
        <v>2</v>
      </c>
      <c r="B551" s="89" t="s">
        <v>598</v>
      </c>
      <c r="C551" s="89">
        <v>1</v>
      </c>
      <c r="D551" s="93">
        <v>1000000</v>
      </c>
      <c r="E551" s="52">
        <f>C551*D551</f>
        <v>1000000</v>
      </c>
      <c r="F551" s="19" t="s">
        <v>557</v>
      </c>
      <c r="G551" s="68" t="s">
        <v>75</v>
      </c>
      <c r="H551" s="19" t="s">
        <v>663</v>
      </c>
      <c r="I551" s="54" t="s">
        <v>210</v>
      </c>
      <c r="J551" s="54" t="s">
        <v>210</v>
      </c>
      <c r="K551" s="54" t="s">
        <v>210</v>
      </c>
      <c r="L551" s="54" t="s">
        <v>210</v>
      </c>
      <c r="M551" s="32">
        <v>1000000</v>
      </c>
      <c r="N551" s="32"/>
      <c r="O551" s="32"/>
      <c r="P551" s="34"/>
    </row>
    <row r="552" spans="1:16" ht="15.75" x14ac:dyDescent="0.25">
      <c r="A552" s="1">
        <v>3</v>
      </c>
      <c r="B552" s="89" t="s">
        <v>599</v>
      </c>
      <c r="C552" s="89">
        <v>2</v>
      </c>
      <c r="D552" s="93">
        <v>120000</v>
      </c>
      <c r="E552" s="51">
        <f>C552*D552</f>
        <v>240000</v>
      </c>
      <c r="F552" s="19" t="s">
        <v>557</v>
      </c>
      <c r="G552" s="68" t="s">
        <v>75</v>
      </c>
      <c r="H552" s="19" t="s">
        <v>663</v>
      </c>
      <c r="I552" s="54" t="s">
        <v>210</v>
      </c>
      <c r="J552" s="54" t="s">
        <v>210</v>
      </c>
      <c r="K552" s="54" t="s">
        <v>210</v>
      </c>
      <c r="L552" s="54" t="s">
        <v>210</v>
      </c>
      <c r="M552" s="33">
        <v>120000</v>
      </c>
      <c r="N552" s="33">
        <v>120000</v>
      </c>
      <c r="O552" s="33"/>
      <c r="P552" s="33"/>
    </row>
    <row r="553" spans="1:16" ht="15.75" x14ac:dyDescent="0.25">
      <c r="A553" s="1">
        <v>4</v>
      </c>
      <c r="B553" s="89" t="s">
        <v>600</v>
      </c>
      <c r="C553" s="89">
        <v>1</v>
      </c>
      <c r="D553" s="93">
        <v>1000000</v>
      </c>
      <c r="E553" s="51">
        <f>C553*D553</f>
        <v>1000000</v>
      </c>
      <c r="F553" s="19" t="s">
        <v>557</v>
      </c>
      <c r="G553" s="68" t="s">
        <v>75</v>
      </c>
      <c r="H553" s="19" t="s">
        <v>663</v>
      </c>
      <c r="I553" s="54" t="s">
        <v>210</v>
      </c>
      <c r="J553" s="54" t="s">
        <v>210</v>
      </c>
      <c r="K553" s="54" t="s">
        <v>210</v>
      </c>
      <c r="L553" s="54" t="s">
        <v>210</v>
      </c>
      <c r="M553" s="32"/>
      <c r="N553" s="32">
        <v>1000000</v>
      </c>
      <c r="O553" s="32"/>
      <c r="P553" s="34"/>
    </row>
    <row r="554" spans="1:16" ht="15.75" x14ac:dyDescent="0.25">
      <c r="A554" s="1">
        <v>5</v>
      </c>
      <c r="B554" s="89" t="s">
        <v>601</v>
      </c>
      <c r="C554" s="89">
        <v>10</v>
      </c>
      <c r="D554" s="93">
        <v>10000</v>
      </c>
      <c r="E554" s="51">
        <f>C554*D554</f>
        <v>100000</v>
      </c>
      <c r="F554" s="19" t="s">
        <v>557</v>
      </c>
      <c r="G554" s="68" t="s">
        <v>75</v>
      </c>
      <c r="H554" s="19" t="s">
        <v>663</v>
      </c>
      <c r="I554" s="54" t="s">
        <v>210</v>
      </c>
      <c r="J554" s="54" t="s">
        <v>210</v>
      </c>
      <c r="K554" s="54" t="s">
        <v>210</v>
      </c>
      <c r="L554" s="54" t="s">
        <v>210</v>
      </c>
      <c r="M554" s="33"/>
      <c r="N554" s="33">
        <v>1000000</v>
      </c>
      <c r="O554" s="33"/>
      <c r="P554" s="33"/>
    </row>
    <row r="555" spans="1:16" x14ac:dyDescent="0.25">
      <c r="A555" s="1">
        <v>6</v>
      </c>
      <c r="B555" s="86" t="s">
        <v>611</v>
      </c>
      <c r="C555" s="25">
        <v>2</v>
      </c>
      <c r="D555" s="86">
        <v>100000</v>
      </c>
      <c r="E555" s="25">
        <v>200000</v>
      </c>
      <c r="F555" s="87" t="s">
        <v>533</v>
      </c>
      <c r="G555" s="19" t="s">
        <v>75</v>
      </c>
      <c r="H555" s="19" t="s">
        <v>663</v>
      </c>
      <c r="I555" s="54" t="s">
        <v>210</v>
      </c>
      <c r="J555" s="54" t="s">
        <v>210</v>
      </c>
      <c r="K555" s="54" t="s">
        <v>210</v>
      </c>
      <c r="L555" s="54" t="s">
        <v>210</v>
      </c>
      <c r="M555" s="33">
        <v>100000</v>
      </c>
      <c r="N555" s="33">
        <v>100000</v>
      </c>
      <c r="O555" s="33"/>
      <c r="P555" s="33"/>
    </row>
    <row r="556" spans="1:16" x14ac:dyDescent="0.25">
      <c r="A556" s="1"/>
      <c r="B556" s="86" t="s">
        <v>612</v>
      </c>
      <c r="C556" s="1">
        <v>1</v>
      </c>
      <c r="D556" s="86">
        <v>300000</v>
      </c>
      <c r="E556" s="1">
        <v>300000</v>
      </c>
      <c r="F556" s="87" t="s">
        <v>533</v>
      </c>
      <c r="G556" s="19" t="s">
        <v>75</v>
      </c>
      <c r="H556" s="19" t="s">
        <v>663</v>
      </c>
      <c r="I556" s="54" t="s">
        <v>210</v>
      </c>
      <c r="J556" s="54" t="s">
        <v>210</v>
      </c>
      <c r="K556" s="54" t="s">
        <v>210</v>
      </c>
      <c r="L556" s="54" t="s">
        <v>210</v>
      </c>
      <c r="M556" s="33"/>
      <c r="N556" s="33">
        <v>300000</v>
      </c>
      <c r="O556" s="33"/>
      <c r="P556" s="33"/>
    </row>
    <row r="557" spans="1:16" x14ac:dyDescent="0.25">
      <c r="A557" s="1"/>
      <c r="B557" s="86" t="s">
        <v>613</v>
      </c>
      <c r="C557" s="1"/>
      <c r="D557" s="1"/>
      <c r="E557" s="1"/>
      <c r="F557" s="1"/>
      <c r="G557" s="19" t="s">
        <v>75</v>
      </c>
      <c r="H557" s="19" t="s">
        <v>663</v>
      </c>
      <c r="I557" s="1"/>
      <c r="J557" s="1"/>
      <c r="K557" s="1"/>
      <c r="L557" s="1"/>
      <c r="M557" s="32"/>
      <c r="N557" s="32"/>
      <c r="O557" s="32"/>
      <c r="P557" s="34"/>
    </row>
    <row r="558" spans="1:16" x14ac:dyDescent="0.25">
      <c r="A558" s="43"/>
      <c r="B558" s="43" t="s">
        <v>649</v>
      </c>
      <c r="C558" s="43"/>
      <c r="D558" s="43"/>
      <c r="E558" s="118">
        <f>SUM(E550:E557)</f>
        <v>3340000</v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x14ac:dyDescent="0.25">
      <c r="A562" s="43" t="s">
        <v>754</v>
      </c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5.75" x14ac:dyDescent="0.25">
      <c r="A563" s="1">
        <v>1</v>
      </c>
      <c r="B563" s="44" t="s">
        <v>155</v>
      </c>
      <c r="C563" s="45">
        <v>2</v>
      </c>
      <c r="D563" s="46">
        <v>33000</v>
      </c>
      <c r="E563" s="46">
        <f>C563*D563</f>
        <v>66000</v>
      </c>
      <c r="F563" s="47" t="s">
        <v>156</v>
      </c>
      <c r="G563" s="19" t="s">
        <v>75</v>
      </c>
      <c r="H563" s="19" t="s">
        <v>663</v>
      </c>
      <c r="I563" s="11" t="s">
        <v>21</v>
      </c>
      <c r="J563" s="11" t="s">
        <v>21</v>
      </c>
      <c r="K563" s="11" t="s">
        <v>21</v>
      </c>
      <c r="L563" s="11" t="s">
        <v>21</v>
      </c>
      <c r="M563" s="32">
        <v>33000</v>
      </c>
      <c r="N563" s="32"/>
      <c r="O563" s="32">
        <v>33000</v>
      </c>
      <c r="P563" s="34"/>
    </row>
    <row r="564" spans="1:16" ht="15.75" x14ac:dyDescent="0.25">
      <c r="A564" s="1"/>
      <c r="B564" s="44" t="s">
        <v>157</v>
      </c>
      <c r="C564" s="45">
        <v>2</v>
      </c>
      <c r="D564" s="46">
        <v>2500</v>
      </c>
      <c r="E564" s="46">
        <f>C564*D564</f>
        <v>5000</v>
      </c>
      <c r="F564" s="47" t="s">
        <v>156</v>
      </c>
      <c r="G564" s="19" t="s">
        <v>75</v>
      </c>
      <c r="H564" s="19" t="s">
        <v>663</v>
      </c>
      <c r="I564" s="11" t="s">
        <v>21</v>
      </c>
      <c r="J564" s="11" t="s">
        <v>21</v>
      </c>
      <c r="K564" s="11" t="s">
        <v>21</v>
      </c>
      <c r="L564" s="11" t="s">
        <v>21</v>
      </c>
      <c r="M564" s="33">
        <v>2500</v>
      </c>
      <c r="N564" s="33"/>
      <c r="O564" s="33">
        <v>2500</v>
      </c>
      <c r="P564" s="33"/>
    </row>
    <row r="565" spans="1:16" ht="15.75" x14ac:dyDescent="0.25">
      <c r="A565" s="1"/>
      <c r="B565" s="44" t="s">
        <v>158</v>
      </c>
      <c r="C565" s="45">
        <v>4</v>
      </c>
      <c r="D565" s="46">
        <v>5000</v>
      </c>
      <c r="E565" s="46">
        <f>C565*D565</f>
        <v>20000</v>
      </c>
      <c r="F565" s="47" t="s">
        <v>156</v>
      </c>
      <c r="G565" s="19" t="s">
        <v>75</v>
      </c>
      <c r="H565" s="19" t="s">
        <v>663</v>
      </c>
      <c r="I565" s="11" t="s">
        <v>21</v>
      </c>
      <c r="J565" s="11" t="s">
        <v>21</v>
      </c>
      <c r="K565" s="11" t="s">
        <v>21</v>
      </c>
      <c r="L565" s="11" t="s">
        <v>21</v>
      </c>
      <c r="M565" s="32">
        <v>5000</v>
      </c>
      <c r="N565" s="32">
        <v>5000</v>
      </c>
      <c r="O565" s="32">
        <v>5000</v>
      </c>
      <c r="P565" s="34">
        <v>5000</v>
      </c>
    </row>
    <row r="566" spans="1:16" x14ac:dyDescent="0.25">
      <c r="A566" s="1"/>
      <c r="B566" s="86" t="s">
        <v>636</v>
      </c>
      <c r="C566" s="1">
        <v>50</v>
      </c>
      <c r="D566" s="86">
        <v>600</v>
      </c>
      <c r="E566" s="86">
        <v>30000</v>
      </c>
      <c r="F566" s="87" t="s">
        <v>637</v>
      </c>
      <c r="G566" s="19" t="s">
        <v>75</v>
      </c>
      <c r="H566" s="94" t="s">
        <v>535</v>
      </c>
      <c r="I566" s="54" t="s">
        <v>210</v>
      </c>
      <c r="J566" s="54" t="s">
        <v>210</v>
      </c>
      <c r="K566" s="54" t="s">
        <v>210</v>
      </c>
      <c r="L566" s="54" t="s">
        <v>210</v>
      </c>
      <c r="M566" s="32">
        <v>15000</v>
      </c>
      <c r="N566" s="32"/>
      <c r="O566" s="32">
        <v>15000</v>
      </c>
      <c r="P566" s="34"/>
    </row>
    <row r="567" spans="1:16" x14ac:dyDescent="0.25">
      <c r="A567" s="43"/>
      <c r="B567" s="43" t="s">
        <v>649</v>
      </c>
      <c r="C567" s="43"/>
      <c r="D567" s="43"/>
      <c r="E567" s="118">
        <f>SUM(E563:E566)</f>
        <v>121000</v>
      </c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x14ac:dyDescent="0.25">
      <c r="A571" s="43" t="s">
        <v>755</v>
      </c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x14ac:dyDescent="0.25">
      <c r="A572" s="1">
        <v>1</v>
      </c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x14ac:dyDescent="0.25">
      <c r="A573" s="1">
        <v>2</v>
      </c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x14ac:dyDescent="0.25">
      <c r="A574" s="1">
        <v>3</v>
      </c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x14ac:dyDescent="0.25">
      <c r="A575" s="43" t="s">
        <v>756</v>
      </c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x14ac:dyDescent="0.25">
      <c r="A576" s="1">
        <v>1</v>
      </c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x14ac:dyDescent="0.25">
      <c r="A577" s="1">
        <v>2</v>
      </c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x14ac:dyDescent="0.25">
      <c r="A578" s="1">
        <v>3</v>
      </c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x14ac:dyDescent="0.25">
      <c r="A579" s="43" t="s">
        <v>757</v>
      </c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x14ac:dyDescent="0.25">
      <c r="A580" s="1">
        <v>1</v>
      </c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x14ac:dyDescent="0.25">
      <c r="A581" s="1">
        <v>2</v>
      </c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x14ac:dyDescent="0.25">
      <c r="A582" s="1">
        <v>3</v>
      </c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x14ac:dyDescent="0.25">
      <c r="A583" s="43" t="s">
        <v>758</v>
      </c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x14ac:dyDescent="0.25">
      <c r="A584" s="1">
        <v>1</v>
      </c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x14ac:dyDescent="0.25">
      <c r="A585" s="1">
        <v>2</v>
      </c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x14ac:dyDescent="0.25">
      <c r="A586" s="43" t="s">
        <v>759</v>
      </c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5.75" x14ac:dyDescent="0.25">
      <c r="A587" s="1">
        <v>1</v>
      </c>
      <c r="B587" s="50" t="s">
        <v>555</v>
      </c>
      <c r="C587" s="50" t="s">
        <v>197</v>
      </c>
      <c r="D587" s="51">
        <v>24000</v>
      </c>
      <c r="E587" s="51">
        <v>48000</v>
      </c>
      <c r="F587" s="47" t="s">
        <v>185</v>
      </c>
      <c r="G587" s="19" t="s">
        <v>75</v>
      </c>
      <c r="H587" s="19" t="s">
        <v>663</v>
      </c>
      <c r="I587" s="11" t="s">
        <v>21</v>
      </c>
      <c r="J587" s="11" t="s">
        <v>21</v>
      </c>
      <c r="K587" s="11" t="s">
        <v>21</v>
      </c>
      <c r="L587" s="11" t="s">
        <v>21</v>
      </c>
      <c r="M587" s="32">
        <v>48000</v>
      </c>
      <c r="N587" s="32"/>
      <c r="O587" s="32"/>
      <c r="P587" s="34"/>
    </row>
    <row r="588" spans="1:1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x14ac:dyDescent="0.25">
      <c r="A589" s="43"/>
      <c r="B589" s="43" t="s">
        <v>649</v>
      </c>
      <c r="C589" s="43"/>
      <c r="D589" s="118">
        <f>SUM(D587:D588)</f>
        <v>24000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x14ac:dyDescent="0.25">
      <c r="A592" s="43" t="s">
        <v>760</v>
      </c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x14ac:dyDescent="0.25">
      <c r="A593" s="1">
        <v>1</v>
      </c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x14ac:dyDescent="0.25">
      <c r="A594" s="1">
        <v>2</v>
      </c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x14ac:dyDescent="0.25">
      <c r="A595" s="1">
        <v>3</v>
      </c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x14ac:dyDescent="0.25">
      <c r="A596" s="43" t="s">
        <v>761</v>
      </c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x14ac:dyDescent="0.25">
      <c r="A597" s="1">
        <v>1</v>
      </c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x14ac:dyDescent="0.25">
      <c r="A598" s="1">
        <v>2</v>
      </c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x14ac:dyDescent="0.25">
      <c r="A599" s="1">
        <v>3</v>
      </c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x14ac:dyDescent="0.25">
      <c r="A600" s="43" t="s">
        <v>762</v>
      </c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31.5" x14ac:dyDescent="0.25">
      <c r="A601" s="1">
        <v>1</v>
      </c>
      <c r="B601" s="65" t="s">
        <v>238</v>
      </c>
      <c r="C601" s="65">
        <v>250</v>
      </c>
      <c r="D601" s="66">
        <v>3250</v>
      </c>
      <c r="E601" s="67">
        <v>812500</v>
      </c>
      <c r="F601" s="68" t="s">
        <v>667</v>
      </c>
      <c r="G601" s="68" t="s">
        <v>75</v>
      </c>
      <c r="H601" s="68" t="s">
        <v>663</v>
      </c>
      <c r="I601" s="54" t="s">
        <v>210</v>
      </c>
      <c r="J601" s="54" t="s">
        <v>210</v>
      </c>
      <c r="K601" s="54" t="s">
        <v>210</v>
      </c>
      <c r="L601" s="54" t="s">
        <v>210</v>
      </c>
      <c r="M601" s="69">
        <v>406250</v>
      </c>
      <c r="N601" s="69">
        <v>406250</v>
      </c>
      <c r="O601" s="69"/>
      <c r="P601" s="69"/>
    </row>
    <row r="602" spans="1:16" ht="31.5" x14ac:dyDescent="0.25">
      <c r="A602" s="1">
        <v>2</v>
      </c>
      <c r="B602" s="65" t="s">
        <v>239</v>
      </c>
      <c r="C602" s="65">
        <v>200</v>
      </c>
      <c r="D602" s="66">
        <v>2600</v>
      </c>
      <c r="E602" s="67">
        <v>520000</v>
      </c>
      <c r="F602" s="68" t="s">
        <v>667</v>
      </c>
      <c r="G602" s="68" t="s">
        <v>75</v>
      </c>
      <c r="H602" s="68" t="s">
        <v>663</v>
      </c>
      <c r="I602" s="54" t="s">
        <v>210</v>
      </c>
      <c r="J602" s="54" t="s">
        <v>210</v>
      </c>
      <c r="K602" s="54" t="s">
        <v>210</v>
      </c>
      <c r="L602" s="54" t="s">
        <v>210</v>
      </c>
      <c r="M602" s="69">
        <v>260000</v>
      </c>
      <c r="N602" s="69">
        <v>260000</v>
      </c>
      <c r="O602" s="69"/>
      <c r="P602" s="69"/>
    </row>
    <row r="603" spans="1:16" ht="15.75" x14ac:dyDescent="0.25">
      <c r="A603" s="1">
        <v>3</v>
      </c>
      <c r="B603" s="65" t="s">
        <v>240</v>
      </c>
      <c r="C603" s="65">
        <v>125</v>
      </c>
      <c r="D603" s="66">
        <v>1600</v>
      </c>
      <c r="E603" s="67">
        <v>200000</v>
      </c>
      <c r="F603" s="68" t="s">
        <v>667</v>
      </c>
      <c r="G603" s="68" t="s">
        <v>75</v>
      </c>
      <c r="H603" s="68" t="s">
        <v>663</v>
      </c>
      <c r="I603" s="54" t="s">
        <v>210</v>
      </c>
      <c r="J603" s="54" t="s">
        <v>210</v>
      </c>
      <c r="K603" s="54" t="s">
        <v>210</v>
      </c>
      <c r="L603" s="54" t="s">
        <v>210</v>
      </c>
      <c r="M603" s="69">
        <v>100000</v>
      </c>
      <c r="N603" s="69">
        <v>100000</v>
      </c>
      <c r="O603" s="69"/>
      <c r="P603" s="69"/>
    </row>
    <row r="604" spans="1:16" ht="15.75" x14ac:dyDescent="0.25">
      <c r="A604" s="1">
        <v>4</v>
      </c>
      <c r="B604" s="65" t="s">
        <v>241</v>
      </c>
      <c r="C604" s="65">
        <v>1</v>
      </c>
      <c r="D604" s="66">
        <v>3700</v>
      </c>
      <c r="E604" s="66">
        <v>3700</v>
      </c>
      <c r="F604" s="68" t="s">
        <v>667</v>
      </c>
      <c r="G604" s="68" t="s">
        <v>75</v>
      </c>
      <c r="H604" s="68" t="s">
        <v>663</v>
      </c>
      <c r="I604" s="54" t="s">
        <v>210</v>
      </c>
      <c r="J604" s="54" t="s">
        <v>210</v>
      </c>
      <c r="K604" s="54" t="s">
        <v>210</v>
      </c>
      <c r="L604" s="54" t="s">
        <v>210</v>
      </c>
      <c r="M604" s="69">
        <v>3700</v>
      </c>
      <c r="N604" s="69"/>
      <c r="O604" s="69"/>
      <c r="P604" s="69"/>
    </row>
    <row r="605" spans="1:16" ht="15.75" x14ac:dyDescent="0.25">
      <c r="A605" s="1">
        <v>5</v>
      </c>
      <c r="B605" s="65" t="s">
        <v>242</v>
      </c>
      <c r="C605" s="65" t="s">
        <v>243</v>
      </c>
      <c r="D605" s="66">
        <v>250</v>
      </c>
      <c r="E605" s="66">
        <v>6250</v>
      </c>
      <c r="F605" s="68" t="s">
        <v>667</v>
      </c>
      <c r="G605" s="68" t="s">
        <v>75</v>
      </c>
      <c r="H605" s="68" t="s">
        <v>663</v>
      </c>
      <c r="I605" s="54" t="s">
        <v>210</v>
      </c>
      <c r="J605" s="54" t="s">
        <v>210</v>
      </c>
      <c r="K605" s="54" t="s">
        <v>210</v>
      </c>
      <c r="L605" s="54" t="s">
        <v>210</v>
      </c>
      <c r="M605" s="69">
        <v>6250</v>
      </c>
      <c r="N605" s="69"/>
      <c r="O605" s="69"/>
      <c r="P605" s="69"/>
    </row>
    <row r="606" spans="1:16" ht="15.75" x14ac:dyDescent="0.25">
      <c r="A606" s="1">
        <v>6</v>
      </c>
      <c r="B606" s="65" t="s">
        <v>244</v>
      </c>
      <c r="C606" s="65" t="s">
        <v>245</v>
      </c>
      <c r="D606" s="66">
        <v>500</v>
      </c>
      <c r="E606" s="66">
        <v>2500</v>
      </c>
      <c r="F606" s="68" t="s">
        <v>667</v>
      </c>
      <c r="G606" s="68" t="s">
        <v>75</v>
      </c>
      <c r="H606" s="68" t="s">
        <v>663</v>
      </c>
      <c r="I606" s="54" t="s">
        <v>210</v>
      </c>
      <c r="J606" s="54" t="s">
        <v>210</v>
      </c>
      <c r="K606" s="54" t="s">
        <v>210</v>
      </c>
      <c r="L606" s="54" t="s">
        <v>210</v>
      </c>
      <c r="M606" s="69">
        <v>2500</v>
      </c>
      <c r="N606" s="69"/>
      <c r="O606" s="69"/>
      <c r="P606" s="69"/>
    </row>
    <row r="607" spans="1:16" ht="15.75" x14ac:dyDescent="0.25">
      <c r="A607" s="1">
        <v>7</v>
      </c>
      <c r="B607" s="65" t="s">
        <v>246</v>
      </c>
      <c r="C607" s="65" t="s">
        <v>247</v>
      </c>
      <c r="D607" s="66">
        <v>1500</v>
      </c>
      <c r="E607" s="66">
        <v>75000</v>
      </c>
      <c r="F607" s="68" t="s">
        <v>667</v>
      </c>
      <c r="G607" s="68" t="s">
        <v>75</v>
      </c>
      <c r="H607" s="68" t="s">
        <v>663</v>
      </c>
      <c r="I607" s="54" t="s">
        <v>210</v>
      </c>
      <c r="J607" s="54" t="s">
        <v>210</v>
      </c>
      <c r="K607" s="54" t="s">
        <v>210</v>
      </c>
      <c r="L607" s="54" t="s">
        <v>210</v>
      </c>
      <c r="M607" s="69"/>
      <c r="N607" s="69">
        <v>37500</v>
      </c>
      <c r="O607" s="69">
        <v>37500</v>
      </c>
      <c r="P607" s="69"/>
    </row>
    <row r="608" spans="1:16" ht="15.75" x14ac:dyDescent="0.25">
      <c r="A608" s="1">
        <v>8</v>
      </c>
      <c r="B608" s="65" t="s">
        <v>248</v>
      </c>
      <c r="C608" s="65" t="s">
        <v>249</v>
      </c>
      <c r="D608" s="66">
        <v>1500</v>
      </c>
      <c r="E608" s="66">
        <v>37500</v>
      </c>
      <c r="F608" s="68" t="s">
        <v>667</v>
      </c>
      <c r="G608" s="68" t="s">
        <v>75</v>
      </c>
      <c r="H608" s="68" t="s">
        <v>663</v>
      </c>
      <c r="I608" s="54" t="s">
        <v>210</v>
      </c>
      <c r="J608" s="54" t="s">
        <v>210</v>
      </c>
      <c r="K608" s="54" t="s">
        <v>210</v>
      </c>
      <c r="L608" s="54" t="s">
        <v>210</v>
      </c>
      <c r="M608" s="69">
        <v>18750</v>
      </c>
      <c r="N608" s="69">
        <v>18750</v>
      </c>
      <c r="O608" s="69"/>
      <c r="P608" s="69"/>
    </row>
    <row r="609" spans="1:16" ht="15.75" x14ac:dyDescent="0.25">
      <c r="A609" s="1">
        <v>9</v>
      </c>
      <c r="B609" s="65" t="s">
        <v>250</v>
      </c>
      <c r="C609" s="65" t="s">
        <v>251</v>
      </c>
      <c r="D609" s="66">
        <v>4600</v>
      </c>
      <c r="E609" s="66">
        <v>46000</v>
      </c>
      <c r="F609" s="68" t="s">
        <v>667</v>
      </c>
      <c r="G609" s="68" t="s">
        <v>75</v>
      </c>
      <c r="H609" s="68" t="s">
        <v>663</v>
      </c>
      <c r="I609" s="54" t="s">
        <v>210</v>
      </c>
      <c r="J609" s="54" t="s">
        <v>210</v>
      </c>
      <c r="K609" s="54" t="s">
        <v>210</v>
      </c>
      <c r="L609" s="54" t="s">
        <v>210</v>
      </c>
      <c r="M609" s="69">
        <v>23000</v>
      </c>
      <c r="N609" s="69">
        <v>23000</v>
      </c>
      <c r="O609" s="69"/>
      <c r="P609" s="69"/>
    </row>
    <row r="610" spans="1:16" ht="15.75" x14ac:dyDescent="0.25">
      <c r="A610" s="1">
        <v>10</v>
      </c>
      <c r="B610" s="65" t="s">
        <v>252</v>
      </c>
      <c r="C610" s="65" t="s">
        <v>253</v>
      </c>
      <c r="D610" s="66">
        <v>30000</v>
      </c>
      <c r="E610" s="67">
        <v>240000</v>
      </c>
      <c r="F610" s="68" t="s">
        <v>667</v>
      </c>
      <c r="G610" s="68" t="s">
        <v>75</v>
      </c>
      <c r="H610" s="68" t="s">
        <v>663</v>
      </c>
      <c r="I610" s="54" t="s">
        <v>210</v>
      </c>
      <c r="J610" s="54" t="s">
        <v>210</v>
      </c>
      <c r="K610" s="54" t="s">
        <v>210</v>
      </c>
      <c r="L610" s="54" t="s">
        <v>210</v>
      </c>
      <c r="M610" s="69"/>
      <c r="N610" s="69">
        <v>120000</v>
      </c>
      <c r="O610" s="69"/>
      <c r="P610" s="69">
        <v>120000</v>
      </c>
    </row>
    <row r="611" spans="1:16" ht="15.75" x14ac:dyDescent="0.25">
      <c r="A611" s="1">
        <v>11</v>
      </c>
      <c r="B611" s="65" t="s">
        <v>254</v>
      </c>
      <c r="C611" s="65">
        <v>14</v>
      </c>
      <c r="D611" s="66">
        <v>3500</v>
      </c>
      <c r="E611" s="67">
        <v>49000</v>
      </c>
      <c r="F611" s="68" t="s">
        <v>667</v>
      </c>
      <c r="G611" s="68" t="s">
        <v>75</v>
      </c>
      <c r="H611" s="68" t="s">
        <v>663</v>
      </c>
      <c r="I611" s="54" t="s">
        <v>210</v>
      </c>
      <c r="J611" s="54" t="s">
        <v>210</v>
      </c>
      <c r="K611" s="54" t="s">
        <v>210</v>
      </c>
      <c r="L611" s="54" t="s">
        <v>210</v>
      </c>
      <c r="M611" s="69"/>
      <c r="N611" s="69">
        <v>24500</v>
      </c>
      <c r="O611" s="69"/>
      <c r="P611" s="69">
        <v>24500</v>
      </c>
    </row>
    <row r="612" spans="1:16" ht="15.75" x14ac:dyDescent="0.25">
      <c r="A612" s="1">
        <v>12</v>
      </c>
      <c r="B612" s="65" t="s">
        <v>255</v>
      </c>
      <c r="C612" s="65" t="s">
        <v>251</v>
      </c>
      <c r="D612" s="66">
        <v>3900</v>
      </c>
      <c r="E612" s="66">
        <v>39000</v>
      </c>
      <c r="F612" s="68" t="s">
        <v>667</v>
      </c>
      <c r="G612" s="68" t="s">
        <v>75</v>
      </c>
      <c r="H612" s="68" t="s">
        <v>663</v>
      </c>
      <c r="I612" s="54" t="s">
        <v>210</v>
      </c>
      <c r="J612" s="54" t="s">
        <v>210</v>
      </c>
      <c r="K612" s="54" t="s">
        <v>210</v>
      </c>
      <c r="L612" s="54" t="s">
        <v>210</v>
      </c>
      <c r="M612" s="69"/>
      <c r="N612" s="69"/>
      <c r="O612" s="69">
        <v>19500</v>
      </c>
      <c r="P612" s="69">
        <v>19500</v>
      </c>
    </row>
    <row r="613" spans="1:16" ht="15.75" x14ac:dyDescent="0.25">
      <c r="A613" s="1">
        <v>13</v>
      </c>
      <c r="B613" s="65" t="s">
        <v>256</v>
      </c>
      <c r="C613" s="65" t="s">
        <v>251</v>
      </c>
      <c r="D613" s="66">
        <v>3900</v>
      </c>
      <c r="E613" s="66">
        <v>39000</v>
      </c>
      <c r="F613" s="68" t="s">
        <v>667</v>
      </c>
      <c r="G613" s="68" t="s">
        <v>75</v>
      </c>
      <c r="H613" s="68" t="s">
        <v>663</v>
      </c>
      <c r="I613" s="54" t="s">
        <v>210</v>
      </c>
      <c r="J613" s="54" t="s">
        <v>210</v>
      </c>
      <c r="K613" s="54" t="s">
        <v>210</v>
      </c>
      <c r="L613" s="54" t="s">
        <v>210</v>
      </c>
      <c r="M613" s="69"/>
      <c r="N613" s="69"/>
      <c r="O613" s="69">
        <v>19500</v>
      </c>
      <c r="P613" s="69">
        <v>19500</v>
      </c>
    </row>
    <row r="614" spans="1:16" ht="15.75" x14ac:dyDescent="0.25">
      <c r="A614" s="1">
        <v>14</v>
      </c>
      <c r="B614" s="65" t="s">
        <v>257</v>
      </c>
      <c r="C614" s="65" t="s">
        <v>253</v>
      </c>
      <c r="D614" s="66">
        <v>4600</v>
      </c>
      <c r="E614" s="66">
        <v>36800</v>
      </c>
      <c r="F614" s="68" t="s">
        <v>667</v>
      </c>
      <c r="G614" s="68" t="s">
        <v>75</v>
      </c>
      <c r="H614" s="68" t="s">
        <v>663</v>
      </c>
      <c r="I614" s="54" t="s">
        <v>210</v>
      </c>
      <c r="J614" s="54" t="s">
        <v>210</v>
      </c>
      <c r="K614" s="54" t="s">
        <v>210</v>
      </c>
      <c r="L614" s="54" t="s">
        <v>210</v>
      </c>
      <c r="M614" s="69"/>
      <c r="N614" s="69"/>
      <c r="O614" s="69">
        <v>18400</v>
      </c>
      <c r="P614" s="69">
        <v>18400</v>
      </c>
    </row>
    <row r="615" spans="1:16" ht="15.75" x14ac:dyDescent="0.25">
      <c r="A615" s="1">
        <v>15</v>
      </c>
      <c r="B615" s="65" t="s">
        <v>258</v>
      </c>
      <c r="C615" s="65" t="s">
        <v>251</v>
      </c>
      <c r="D615" s="66">
        <v>900</v>
      </c>
      <c r="E615" s="66">
        <v>9000</v>
      </c>
      <c r="F615" s="68" t="s">
        <v>667</v>
      </c>
      <c r="G615" s="68" t="s">
        <v>75</v>
      </c>
      <c r="H615" s="68" t="s">
        <v>663</v>
      </c>
      <c r="I615" s="54" t="s">
        <v>210</v>
      </c>
      <c r="J615" s="54" t="s">
        <v>210</v>
      </c>
      <c r="K615" s="54" t="s">
        <v>210</v>
      </c>
      <c r="L615" s="54" t="s">
        <v>210</v>
      </c>
      <c r="M615" s="69"/>
      <c r="N615" s="69"/>
      <c r="O615" s="69">
        <v>4500</v>
      </c>
      <c r="P615" s="69">
        <v>4500</v>
      </c>
    </row>
    <row r="616" spans="1:16" ht="15.75" x14ac:dyDescent="0.25">
      <c r="A616" s="1">
        <v>16</v>
      </c>
      <c r="B616" s="65" t="s">
        <v>259</v>
      </c>
      <c r="C616" s="65" t="s">
        <v>260</v>
      </c>
      <c r="D616" s="66">
        <v>700</v>
      </c>
      <c r="E616" s="66">
        <v>8400</v>
      </c>
      <c r="F616" s="68" t="s">
        <v>667</v>
      </c>
      <c r="G616" s="68" t="s">
        <v>75</v>
      </c>
      <c r="H616" s="68" t="s">
        <v>663</v>
      </c>
      <c r="I616" s="54" t="s">
        <v>210</v>
      </c>
      <c r="J616" s="54" t="s">
        <v>210</v>
      </c>
      <c r="K616" s="54" t="s">
        <v>210</v>
      </c>
      <c r="L616" s="54" t="s">
        <v>210</v>
      </c>
      <c r="M616" s="69"/>
      <c r="N616" s="69"/>
      <c r="O616" s="69">
        <v>4200</v>
      </c>
      <c r="P616" s="69">
        <v>4200</v>
      </c>
    </row>
    <row r="617" spans="1:16" ht="15.75" x14ac:dyDescent="0.25">
      <c r="A617" s="1">
        <v>17</v>
      </c>
      <c r="B617" s="65" t="s">
        <v>261</v>
      </c>
      <c r="C617" s="65" t="s">
        <v>262</v>
      </c>
      <c r="D617" s="65">
        <v>2500</v>
      </c>
      <c r="E617" s="66">
        <v>60000</v>
      </c>
      <c r="F617" s="68" t="s">
        <v>667</v>
      </c>
      <c r="G617" s="68" t="s">
        <v>75</v>
      </c>
      <c r="H617" s="68" t="s">
        <v>663</v>
      </c>
      <c r="I617" s="54" t="s">
        <v>210</v>
      </c>
      <c r="J617" s="54" t="s">
        <v>210</v>
      </c>
      <c r="K617" s="54" t="s">
        <v>210</v>
      </c>
      <c r="L617" s="54" t="s">
        <v>210</v>
      </c>
      <c r="M617" s="69">
        <v>30000</v>
      </c>
      <c r="N617" s="69">
        <v>30000</v>
      </c>
      <c r="O617" s="69"/>
      <c r="P617" s="69"/>
    </row>
    <row r="618" spans="1:16" ht="15.75" x14ac:dyDescent="0.25">
      <c r="A618" s="1">
        <v>18</v>
      </c>
      <c r="B618" s="65" t="s">
        <v>263</v>
      </c>
      <c r="C618" s="65" t="s">
        <v>264</v>
      </c>
      <c r="D618" s="65">
        <v>2500</v>
      </c>
      <c r="E618" s="66">
        <v>60000</v>
      </c>
      <c r="F618" s="68" t="s">
        <v>667</v>
      </c>
      <c r="G618" s="68" t="s">
        <v>75</v>
      </c>
      <c r="H618" s="68" t="s">
        <v>663</v>
      </c>
      <c r="I618" s="54" t="s">
        <v>210</v>
      </c>
      <c r="J618" s="54" t="s">
        <v>210</v>
      </c>
      <c r="K618" s="54" t="s">
        <v>210</v>
      </c>
      <c r="L618" s="54" t="s">
        <v>210</v>
      </c>
      <c r="M618" s="69">
        <v>30000</v>
      </c>
      <c r="N618" s="69">
        <v>30000</v>
      </c>
      <c r="O618" s="69"/>
      <c r="P618" s="69"/>
    </row>
    <row r="619" spans="1:16" ht="15.75" x14ac:dyDescent="0.25">
      <c r="A619" s="1">
        <v>19</v>
      </c>
      <c r="B619" s="65" t="s">
        <v>265</v>
      </c>
      <c r="C619" s="65" t="s">
        <v>266</v>
      </c>
      <c r="D619" s="65">
        <v>800</v>
      </c>
      <c r="E619" s="67">
        <v>64000</v>
      </c>
      <c r="F619" s="68" t="s">
        <v>667</v>
      </c>
      <c r="G619" s="68" t="s">
        <v>75</v>
      </c>
      <c r="H619" s="68" t="s">
        <v>663</v>
      </c>
      <c r="I619" s="54" t="s">
        <v>210</v>
      </c>
      <c r="J619" s="54" t="s">
        <v>210</v>
      </c>
      <c r="K619" s="54" t="s">
        <v>210</v>
      </c>
      <c r="L619" s="54" t="s">
        <v>210</v>
      </c>
      <c r="M619" s="69">
        <v>16000</v>
      </c>
      <c r="N619" s="69">
        <v>16000</v>
      </c>
      <c r="O619" s="69">
        <v>16000</v>
      </c>
      <c r="P619" s="69">
        <v>16000</v>
      </c>
    </row>
    <row r="620" spans="1:16" ht="15.75" x14ac:dyDescent="0.25">
      <c r="A620" s="1">
        <v>20</v>
      </c>
      <c r="B620" s="65" t="s">
        <v>267</v>
      </c>
      <c r="C620" s="65" t="s">
        <v>268</v>
      </c>
      <c r="D620" s="65">
        <v>300</v>
      </c>
      <c r="E620" s="67">
        <v>7200</v>
      </c>
      <c r="F620" s="68" t="s">
        <v>667</v>
      </c>
      <c r="G620" s="68" t="s">
        <v>75</v>
      </c>
      <c r="H620" s="68" t="s">
        <v>663</v>
      </c>
      <c r="I620" s="54" t="s">
        <v>210</v>
      </c>
      <c r="J620" s="54" t="s">
        <v>210</v>
      </c>
      <c r="K620" s="54" t="s">
        <v>210</v>
      </c>
      <c r="L620" s="54" t="s">
        <v>210</v>
      </c>
      <c r="M620" s="69">
        <v>3600</v>
      </c>
      <c r="N620" s="69"/>
      <c r="O620" s="69">
        <v>3600</v>
      </c>
      <c r="P620" s="69"/>
    </row>
    <row r="621" spans="1:16" ht="15.75" x14ac:dyDescent="0.25">
      <c r="A621" s="1">
        <v>21</v>
      </c>
      <c r="B621" s="65" t="s">
        <v>269</v>
      </c>
      <c r="C621" s="65" t="s">
        <v>268</v>
      </c>
      <c r="D621" s="65">
        <v>300</v>
      </c>
      <c r="E621" s="66">
        <v>7200</v>
      </c>
      <c r="F621" s="68" t="s">
        <v>667</v>
      </c>
      <c r="G621" s="68" t="s">
        <v>75</v>
      </c>
      <c r="H621" s="68" t="s">
        <v>663</v>
      </c>
      <c r="I621" s="54" t="s">
        <v>210</v>
      </c>
      <c r="J621" s="54" t="s">
        <v>210</v>
      </c>
      <c r="K621" s="54" t="s">
        <v>210</v>
      </c>
      <c r="L621" s="54" t="s">
        <v>210</v>
      </c>
      <c r="M621" s="69">
        <v>3600</v>
      </c>
      <c r="N621" s="69"/>
      <c r="O621" s="69">
        <v>3600</v>
      </c>
      <c r="P621" s="69"/>
    </row>
    <row r="622" spans="1:16" ht="15.75" x14ac:dyDescent="0.25">
      <c r="A622" s="1">
        <v>22</v>
      </c>
      <c r="B622" s="65" t="s">
        <v>270</v>
      </c>
      <c r="C622" s="65" t="s">
        <v>268</v>
      </c>
      <c r="D622" s="65">
        <v>300</v>
      </c>
      <c r="E622" s="66">
        <v>7200</v>
      </c>
      <c r="F622" s="68" t="s">
        <v>667</v>
      </c>
      <c r="G622" s="68" t="s">
        <v>75</v>
      </c>
      <c r="H622" s="68" t="s">
        <v>663</v>
      </c>
      <c r="I622" s="54" t="s">
        <v>210</v>
      </c>
      <c r="J622" s="54" t="s">
        <v>210</v>
      </c>
      <c r="K622" s="54" t="s">
        <v>210</v>
      </c>
      <c r="L622" s="54" t="s">
        <v>210</v>
      </c>
      <c r="M622" s="69">
        <v>3600</v>
      </c>
      <c r="N622" s="69"/>
      <c r="O622" s="69">
        <v>3600</v>
      </c>
      <c r="P622" s="69"/>
    </row>
    <row r="623" spans="1:16" ht="15.75" x14ac:dyDescent="0.25">
      <c r="A623" s="1">
        <v>23</v>
      </c>
      <c r="B623" s="65" t="s">
        <v>271</v>
      </c>
      <c r="C623" s="65" t="s">
        <v>272</v>
      </c>
      <c r="D623" s="65">
        <v>350</v>
      </c>
      <c r="E623" s="66">
        <v>8400</v>
      </c>
      <c r="F623" s="68" t="s">
        <v>667</v>
      </c>
      <c r="G623" s="68" t="s">
        <v>75</v>
      </c>
      <c r="H623" s="68" t="s">
        <v>663</v>
      </c>
      <c r="I623" s="54" t="s">
        <v>210</v>
      </c>
      <c r="J623" s="54" t="s">
        <v>210</v>
      </c>
      <c r="K623" s="54" t="s">
        <v>210</v>
      </c>
      <c r="L623" s="54" t="s">
        <v>210</v>
      </c>
      <c r="M623" s="69">
        <v>4200</v>
      </c>
      <c r="N623" s="69"/>
      <c r="O623" s="69">
        <v>4200</v>
      </c>
      <c r="P623" s="69"/>
    </row>
    <row r="624" spans="1:16" ht="15.75" x14ac:dyDescent="0.25">
      <c r="A624" s="1">
        <v>24</v>
      </c>
      <c r="B624" s="65" t="s">
        <v>273</v>
      </c>
      <c r="C624" s="65" t="s">
        <v>268</v>
      </c>
      <c r="D624" s="66">
        <v>450</v>
      </c>
      <c r="E624" s="66">
        <v>10800</v>
      </c>
      <c r="F624" s="68" t="s">
        <v>667</v>
      </c>
      <c r="G624" s="68" t="s">
        <v>75</v>
      </c>
      <c r="H624" s="68" t="s">
        <v>663</v>
      </c>
      <c r="I624" s="54" t="s">
        <v>210</v>
      </c>
      <c r="J624" s="54" t="s">
        <v>210</v>
      </c>
      <c r="K624" s="54" t="s">
        <v>210</v>
      </c>
      <c r="L624" s="54" t="s">
        <v>210</v>
      </c>
      <c r="M624" s="69">
        <v>5400</v>
      </c>
      <c r="N624" s="69">
        <v>5400</v>
      </c>
      <c r="O624" s="69"/>
      <c r="P624" s="69"/>
    </row>
    <row r="625" spans="1:16" ht="15.75" x14ac:dyDescent="0.25">
      <c r="A625" s="1">
        <v>25</v>
      </c>
      <c r="B625" s="65" t="s">
        <v>274</v>
      </c>
      <c r="C625" s="65" t="s">
        <v>268</v>
      </c>
      <c r="D625" s="66">
        <v>420</v>
      </c>
      <c r="E625" s="66">
        <v>10080</v>
      </c>
      <c r="F625" s="68" t="s">
        <v>667</v>
      </c>
      <c r="G625" s="68" t="s">
        <v>75</v>
      </c>
      <c r="H625" s="68" t="s">
        <v>663</v>
      </c>
      <c r="I625" s="54" t="s">
        <v>210</v>
      </c>
      <c r="J625" s="54" t="s">
        <v>210</v>
      </c>
      <c r="K625" s="54" t="s">
        <v>210</v>
      </c>
      <c r="L625" s="54" t="s">
        <v>210</v>
      </c>
      <c r="M625" s="69">
        <v>5040</v>
      </c>
      <c r="N625" s="69">
        <v>5040</v>
      </c>
      <c r="O625" s="69"/>
      <c r="P625" s="69"/>
    </row>
    <row r="626" spans="1:16" ht="15.75" x14ac:dyDescent="0.25">
      <c r="A626" s="1">
        <v>26</v>
      </c>
      <c r="B626" s="65" t="s">
        <v>275</v>
      </c>
      <c r="C626" s="65" t="s">
        <v>268</v>
      </c>
      <c r="D626" s="66">
        <v>420</v>
      </c>
      <c r="E626" s="67">
        <v>10080</v>
      </c>
      <c r="F626" s="68" t="s">
        <v>667</v>
      </c>
      <c r="G626" s="68" t="s">
        <v>75</v>
      </c>
      <c r="H626" s="68" t="s">
        <v>663</v>
      </c>
      <c r="I626" s="54" t="s">
        <v>210</v>
      </c>
      <c r="J626" s="54" t="s">
        <v>210</v>
      </c>
      <c r="K626" s="54" t="s">
        <v>210</v>
      </c>
      <c r="L626" s="54" t="s">
        <v>210</v>
      </c>
      <c r="M626" s="69">
        <v>5040</v>
      </c>
      <c r="N626" s="69">
        <v>5040</v>
      </c>
      <c r="O626" s="69"/>
      <c r="P626" s="69"/>
    </row>
    <row r="627" spans="1:16" ht="15.75" x14ac:dyDescent="0.25">
      <c r="A627" s="1">
        <v>27</v>
      </c>
      <c r="B627" s="65" t="s">
        <v>276</v>
      </c>
      <c r="C627" s="65" t="s">
        <v>277</v>
      </c>
      <c r="D627" s="66">
        <v>1600</v>
      </c>
      <c r="E627" s="67">
        <v>38400</v>
      </c>
      <c r="F627" s="68" t="s">
        <v>667</v>
      </c>
      <c r="G627" s="68" t="s">
        <v>75</v>
      </c>
      <c r="H627" s="68" t="s">
        <v>663</v>
      </c>
      <c r="I627" s="54" t="s">
        <v>210</v>
      </c>
      <c r="J627" s="54" t="s">
        <v>210</v>
      </c>
      <c r="K627" s="54" t="s">
        <v>210</v>
      </c>
      <c r="L627" s="54" t="s">
        <v>210</v>
      </c>
      <c r="M627" s="69">
        <v>19200</v>
      </c>
      <c r="N627" s="69">
        <v>19200</v>
      </c>
      <c r="O627" s="69"/>
      <c r="P627" s="69"/>
    </row>
    <row r="628" spans="1:16" ht="15.75" x14ac:dyDescent="0.25">
      <c r="A628" s="1">
        <v>28</v>
      </c>
      <c r="B628" s="65" t="s">
        <v>278</v>
      </c>
      <c r="C628" s="65" t="s">
        <v>279</v>
      </c>
      <c r="D628" s="66">
        <v>1800</v>
      </c>
      <c r="E628" s="67">
        <v>43200</v>
      </c>
      <c r="F628" s="68" t="s">
        <v>667</v>
      </c>
      <c r="G628" s="68" t="s">
        <v>75</v>
      </c>
      <c r="H628" s="68" t="s">
        <v>663</v>
      </c>
      <c r="I628" s="54" t="s">
        <v>210</v>
      </c>
      <c r="J628" s="54" t="s">
        <v>210</v>
      </c>
      <c r="K628" s="54" t="s">
        <v>210</v>
      </c>
      <c r="L628" s="54" t="s">
        <v>210</v>
      </c>
      <c r="M628" s="69">
        <v>21600</v>
      </c>
      <c r="N628" s="69">
        <v>21600</v>
      </c>
      <c r="O628" s="69"/>
      <c r="P628" s="69"/>
    </row>
    <row r="629" spans="1:16" ht="15.75" x14ac:dyDescent="0.25">
      <c r="A629" s="1">
        <v>29</v>
      </c>
      <c r="B629" s="65" t="s">
        <v>280</v>
      </c>
      <c r="C629" s="65" t="s">
        <v>281</v>
      </c>
      <c r="D629" s="66">
        <v>2200</v>
      </c>
      <c r="E629" s="67">
        <v>44000</v>
      </c>
      <c r="F629" s="68" t="s">
        <v>667</v>
      </c>
      <c r="G629" s="68" t="s">
        <v>75</v>
      </c>
      <c r="H629" s="68" t="s">
        <v>663</v>
      </c>
      <c r="I629" s="54" t="s">
        <v>210</v>
      </c>
      <c r="J629" s="54" t="s">
        <v>210</v>
      </c>
      <c r="K629" s="54" t="s">
        <v>210</v>
      </c>
      <c r="L629" s="54" t="s">
        <v>210</v>
      </c>
      <c r="M629" s="69">
        <v>22000</v>
      </c>
      <c r="N629" s="69"/>
      <c r="O629" s="69">
        <v>22000</v>
      </c>
      <c r="P629" s="69"/>
    </row>
    <row r="630" spans="1:16" ht="15.75" x14ac:dyDescent="0.25">
      <c r="A630" s="1">
        <v>30</v>
      </c>
      <c r="B630" s="65" t="s">
        <v>282</v>
      </c>
      <c r="C630" s="65" t="s">
        <v>279</v>
      </c>
      <c r="D630" s="66">
        <v>350</v>
      </c>
      <c r="E630" s="67">
        <v>8400</v>
      </c>
      <c r="F630" s="68" t="s">
        <v>667</v>
      </c>
      <c r="G630" s="68" t="s">
        <v>75</v>
      </c>
      <c r="H630" s="68" t="s">
        <v>663</v>
      </c>
      <c r="I630" s="54" t="s">
        <v>210</v>
      </c>
      <c r="J630" s="54" t="s">
        <v>210</v>
      </c>
      <c r="K630" s="54" t="s">
        <v>210</v>
      </c>
      <c r="L630" s="54" t="s">
        <v>210</v>
      </c>
      <c r="M630" s="69">
        <v>4200</v>
      </c>
      <c r="N630" s="69"/>
      <c r="O630" s="69">
        <v>4200</v>
      </c>
      <c r="P630" s="69"/>
    </row>
    <row r="631" spans="1:16" ht="15.75" x14ac:dyDescent="0.25">
      <c r="A631" s="1">
        <v>31</v>
      </c>
      <c r="B631" s="65" t="s">
        <v>283</v>
      </c>
      <c r="C631" s="65" t="s">
        <v>284</v>
      </c>
      <c r="D631" s="66">
        <v>320</v>
      </c>
      <c r="E631" s="66">
        <v>3200</v>
      </c>
      <c r="F631" s="68" t="s">
        <v>667</v>
      </c>
      <c r="G631" s="68" t="s">
        <v>75</v>
      </c>
      <c r="H631" s="68" t="s">
        <v>663</v>
      </c>
      <c r="I631" s="54" t="s">
        <v>210</v>
      </c>
      <c r="J631" s="54" t="s">
        <v>210</v>
      </c>
      <c r="K631" s="54" t="s">
        <v>210</v>
      </c>
      <c r="L631" s="54" t="s">
        <v>210</v>
      </c>
      <c r="M631" s="69">
        <v>3200</v>
      </c>
      <c r="N631" s="69"/>
      <c r="O631" s="69"/>
      <c r="P631" s="69"/>
    </row>
    <row r="632" spans="1:16" ht="15.75" x14ac:dyDescent="0.25">
      <c r="A632" s="1">
        <v>32</v>
      </c>
      <c r="B632" s="65" t="s">
        <v>285</v>
      </c>
      <c r="C632" s="65" t="s">
        <v>284</v>
      </c>
      <c r="D632" s="66">
        <v>310</v>
      </c>
      <c r="E632" s="66">
        <v>3100</v>
      </c>
      <c r="F632" s="68" t="s">
        <v>667</v>
      </c>
      <c r="G632" s="68" t="s">
        <v>75</v>
      </c>
      <c r="H632" s="68" t="s">
        <v>663</v>
      </c>
      <c r="I632" s="54" t="s">
        <v>210</v>
      </c>
      <c r="J632" s="54" t="s">
        <v>210</v>
      </c>
      <c r="K632" s="54" t="s">
        <v>210</v>
      </c>
      <c r="L632" s="54" t="s">
        <v>210</v>
      </c>
      <c r="M632" s="69">
        <v>3100</v>
      </c>
      <c r="N632" s="69"/>
      <c r="O632" s="69"/>
      <c r="P632" s="69"/>
    </row>
    <row r="633" spans="1:16" ht="15.75" x14ac:dyDescent="0.25">
      <c r="A633" s="1">
        <v>33</v>
      </c>
      <c r="B633" s="65" t="s">
        <v>286</v>
      </c>
      <c r="C633" s="65" t="s">
        <v>287</v>
      </c>
      <c r="D633" s="66">
        <v>300</v>
      </c>
      <c r="E633" s="66">
        <v>1500</v>
      </c>
      <c r="F633" s="68" t="s">
        <v>667</v>
      </c>
      <c r="G633" s="68" t="s">
        <v>75</v>
      </c>
      <c r="H633" s="68" t="s">
        <v>663</v>
      </c>
      <c r="I633" s="54" t="s">
        <v>210</v>
      </c>
      <c r="J633" s="54" t="s">
        <v>210</v>
      </c>
      <c r="K633" s="54" t="s">
        <v>210</v>
      </c>
      <c r="L633" s="54" t="s">
        <v>210</v>
      </c>
      <c r="M633" s="69">
        <v>1500</v>
      </c>
      <c r="N633" s="69"/>
      <c r="O633" s="69"/>
      <c r="P633" s="69"/>
    </row>
    <row r="634" spans="1:16" ht="15.75" x14ac:dyDescent="0.25">
      <c r="A634" s="1">
        <v>34</v>
      </c>
      <c r="B634" s="65" t="s">
        <v>288</v>
      </c>
      <c r="C634" s="65" t="s">
        <v>289</v>
      </c>
      <c r="D634" s="66">
        <v>280</v>
      </c>
      <c r="E634" s="66">
        <v>2800</v>
      </c>
      <c r="F634" s="68" t="s">
        <v>667</v>
      </c>
      <c r="G634" s="68" t="s">
        <v>75</v>
      </c>
      <c r="H634" s="68" t="s">
        <v>663</v>
      </c>
      <c r="I634" s="54" t="s">
        <v>210</v>
      </c>
      <c r="J634" s="54" t="s">
        <v>210</v>
      </c>
      <c r="K634" s="54" t="s">
        <v>210</v>
      </c>
      <c r="L634" s="54" t="s">
        <v>210</v>
      </c>
      <c r="M634" s="69">
        <v>2800</v>
      </c>
      <c r="N634" s="69"/>
      <c r="O634" s="69"/>
      <c r="P634" s="69"/>
    </row>
    <row r="635" spans="1:16" ht="15.75" x14ac:dyDescent="0.25">
      <c r="A635" s="1">
        <v>35</v>
      </c>
      <c r="B635" s="65" t="s">
        <v>290</v>
      </c>
      <c r="C635" s="65" t="s">
        <v>289</v>
      </c>
      <c r="D635" s="66">
        <v>8500</v>
      </c>
      <c r="E635" s="67">
        <v>85000</v>
      </c>
      <c r="F635" s="68" t="s">
        <v>667</v>
      </c>
      <c r="G635" s="68" t="s">
        <v>75</v>
      </c>
      <c r="H635" s="68" t="s">
        <v>663</v>
      </c>
      <c r="I635" s="54" t="s">
        <v>210</v>
      </c>
      <c r="J635" s="54" t="s">
        <v>210</v>
      </c>
      <c r="K635" s="54" t="s">
        <v>210</v>
      </c>
      <c r="L635" s="54" t="s">
        <v>210</v>
      </c>
      <c r="M635" s="69"/>
      <c r="N635" s="69">
        <v>42500</v>
      </c>
      <c r="O635" s="69"/>
      <c r="P635" s="69">
        <v>42500</v>
      </c>
    </row>
    <row r="636" spans="1:16" ht="15.75" x14ac:dyDescent="0.25">
      <c r="A636" s="1">
        <v>36</v>
      </c>
      <c r="B636" s="65" t="s">
        <v>291</v>
      </c>
      <c r="C636" s="65" t="s">
        <v>292</v>
      </c>
      <c r="D636" s="66">
        <v>650</v>
      </c>
      <c r="E636" s="66">
        <v>5200</v>
      </c>
      <c r="F636" s="68" t="s">
        <v>667</v>
      </c>
      <c r="G636" s="68" t="s">
        <v>75</v>
      </c>
      <c r="H636" s="68" t="s">
        <v>663</v>
      </c>
      <c r="I636" s="54" t="s">
        <v>210</v>
      </c>
      <c r="J636" s="54" t="s">
        <v>210</v>
      </c>
      <c r="K636" s="54" t="s">
        <v>210</v>
      </c>
      <c r="L636" s="54" t="s">
        <v>210</v>
      </c>
      <c r="M636" s="69"/>
      <c r="N636" s="69">
        <v>5200</v>
      </c>
      <c r="O636" s="69"/>
      <c r="P636" s="69"/>
    </row>
    <row r="637" spans="1:16" ht="15.75" x14ac:dyDescent="0.25">
      <c r="A637" s="1">
        <v>37</v>
      </c>
      <c r="B637" s="65" t="s">
        <v>293</v>
      </c>
      <c r="C637" s="65" t="s">
        <v>294</v>
      </c>
      <c r="D637" s="66">
        <v>950</v>
      </c>
      <c r="E637" s="66">
        <v>19000</v>
      </c>
      <c r="F637" s="68" t="s">
        <v>667</v>
      </c>
      <c r="G637" s="68" t="s">
        <v>75</v>
      </c>
      <c r="H637" s="68" t="s">
        <v>663</v>
      </c>
      <c r="I637" s="54" t="s">
        <v>210</v>
      </c>
      <c r="J637" s="54" t="s">
        <v>210</v>
      </c>
      <c r="K637" s="54" t="s">
        <v>210</v>
      </c>
      <c r="L637" s="54" t="s">
        <v>210</v>
      </c>
      <c r="M637" s="69"/>
      <c r="N637" s="69">
        <v>9500</v>
      </c>
      <c r="O637" s="69"/>
      <c r="P637" s="69">
        <v>9500</v>
      </c>
    </row>
    <row r="638" spans="1:16" ht="15.75" x14ac:dyDescent="0.25">
      <c r="A638" s="1">
        <v>38</v>
      </c>
      <c r="B638" s="65" t="s">
        <v>295</v>
      </c>
      <c r="C638" s="65" t="s">
        <v>296</v>
      </c>
      <c r="D638" s="66">
        <v>95</v>
      </c>
      <c r="E638" s="66">
        <v>19000</v>
      </c>
      <c r="F638" s="68" t="s">
        <v>667</v>
      </c>
      <c r="G638" s="68" t="s">
        <v>75</v>
      </c>
      <c r="H638" s="68" t="s">
        <v>663</v>
      </c>
      <c r="I638" s="54" t="s">
        <v>210</v>
      </c>
      <c r="J638" s="54" t="s">
        <v>210</v>
      </c>
      <c r="K638" s="54" t="s">
        <v>210</v>
      </c>
      <c r="L638" s="54" t="s">
        <v>210</v>
      </c>
      <c r="M638" s="69"/>
      <c r="N638" s="69">
        <v>9500</v>
      </c>
      <c r="O638" s="69"/>
      <c r="P638" s="69">
        <v>9500</v>
      </c>
    </row>
    <row r="639" spans="1:16" ht="15.75" x14ac:dyDescent="0.25">
      <c r="A639" s="1">
        <v>39</v>
      </c>
      <c r="B639" s="65" t="s">
        <v>297</v>
      </c>
      <c r="C639" s="65" t="s">
        <v>296</v>
      </c>
      <c r="D639" s="66">
        <v>110</v>
      </c>
      <c r="E639" s="66">
        <v>22000</v>
      </c>
      <c r="F639" s="68" t="s">
        <v>667</v>
      </c>
      <c r="G639" s="68" t="s">
        <v>75</v>
      </c>
      <c r="H639" s="68" t="s">
        <v>663</v>
      </c>
      <c r="I639" s="54" t="s">
        <v>210</v>
      </c>
      <c r="J639" s="54" t="s">
        <v>210</v>
      </c>
      <c r="K639" s="54" t="s">
        <v>210</v>
      </c>
      <c r="L639" s="54" t="s">
        <v>210</v>
      </c>
      <c r="M639" s="69"/>
      <c r="N639" s="69">
        <v>11000</v>
      </c>
      <c r="O639" s="69"/>
      <c r="P639" s="69">
        <v>11000</v>
      </c>
    </row>
    <row r="640" spans="1:16" ht="15.75" x14ac:dyDescent="0.25">
      <c r="A640" s="1">
        <v>40</v>
      </c>
      <c r="B640" s="65" t="s">
        <v>298</v>
      </c>
      <c r="C640" s="65" t="s">
        <v>299</v>
      </c>
      <c r="D640" s="66">
        <v>150</v>
      </c>
      <c r="E640" s="66">
        <v>37500</v>
      </c>
      <c r="F640" s="68" t="s">
        <v>667</v>
      </c>
      <c r="G640" s="68" t="s">
        <v>75</v>
      </c>
      <c r="H640" s="68" t="s">
        <v>663</v>
      </c>
      <c r="I640" s="54" t="s">
        <v>210</v>
      </c>
      <c r="J640" s="54" t="s">
        <v>210</v>
      </c>
      <c r="K640" s="54" t="s">
        <v>210</v>
      </c>
      <c r="L640" s="54" t="s">
        <v>210</v>
      </c>
      <c r="M640" s="69"/>
      <c r="N640" s="69">
        <v>18750</v>
      </c>
      <c r="O640" s="69"/>
      <c r="P640" s="69">
        <v>18750</v>
      </c>
    </row>
    <row r="641" spans="1:16" ht="15.75" x14ac:dyDescent="0.25">
      <c r="A641" s="1">
        <v>41</v>
      </c>
      <c r="B641" s="65" t="s">
        <v>300</v>
      </c>
      <c r="C641" s="65" t="s">
        <v>301</v>
      </c>
      <c r="D641" s="66">
        <v>240</v>
      </c>
      <c r="E641" s="66">
        <v>24000</v>
      </c>
      <c r="F641" s="68" t="s">
        <v>667</v>
      </c>
      <c r="G641" s="68" t="s">
        <v>75</v>
      </c>
      <c r="H641" s="68" t="s">
        <v>663</v>
      </c>
      <c r="I641" s="54" t="s">
        <v>210</v>
      </c>
      <c r="J641" s="54" t="s">
        <v>210</v>
      </c>
      <c r="K641" s="54" t="s">
        <v>210</v>
      </c>
      <c r="L641" s="54" t="s">
        <v>210</v>
      </c>
      <c r="M641" s="69">
        <v>12000</v>
      </c>
      <c r="N641" s="69">
        <v>12000</v>
      </c>
      <c r="O641" s="69"/>
      <c r="P641" s="69"/>
    </row>
    <row r="642" spans="1:16" ht="15.75" x14ac:dyDescent="0.25">
      <c r="A642" s="1">
        <v>42</v>
      </c>
      <c r="B642" s="65" t="s">
        <v>302</v>
      </c>
      <c r="C642" s="65" t="s">
        <v>301</v>
      </c>
      <c r="D642" s="66">
        <v>280</v>
      </c>
      <c r="E642" s="66">
        <v>28000</v>
      </c>
      <c r="F642" s="68" t="s">
        <v>667</v>
      </c>
      <c r="G642" s="68" t="s">
        <v>75</v>
      </c>
      <c r="H642" s="68" t="s">
        <v>663</v>
      </c>
      <c r="I642" s="54" t="s">
        <v>210</v>
      </c>
      <c r="J642" s="54" t="s">
        <v>210</v>
      </c>
      <c r="K642" s="54" t="s">
        <v>210</v>
      </c>
      <c r="L642" s="54" t="s">
        <v>210</v>
      </c>
      <c r="M642" s="69"/>
      <c r="N642" s="69">
        <v>14000</v>
      </c>
      <c r="O642" s="69"/>
      <c r="P642" s="69">
        <v>14000</v>
      </c>
    </row>
    <row r="643" spans="1:16" ht="31.5" x14ac:dyDescent="0.25">
      <c r="A643" s="1">
        <v>43</v>
      </c>
      <c r="B643" s="65" t="s">
        <v>303</v>
      </c>
      <c r="C643" s="65" t="s">
        <v>304</v>
      </c>
      <c r="D643" s="66">
        <v>180</v>
      </c>
      <c r="E643" s="67">
        <v>180000</v>
      </c>
      <c r="F643" s="68" t="s">
        <v>667</v>
      </c>
      <c r="G643" s="68" t="s">
        <v>75</v>
      </c>
      <c r="H643" s="68" t="s">
        <v>663</v>
      </c>
      <c r="I643" s="54" t="s">
        <v>210</v>
      </c>
      <c r="J643" s="54" t="s">
        <v>210</v>
      </c>
      <c r="K643" s="54" t="s">
        <v>210</v>
      </c>
      <c r="L643" s="54" t="s">
        <v>210</v>
      </c>
      <c r="M643" s="69">
        <v>90000</v>
      </c>
      <c r="N643" s="69"/>
      <c r="O643" s="69">
        <v>90000</v>
      </c>
      <c r="P643" s="69"/>
    </row>
    <row r="644" spans="1:16" ht="15.75" x14ac:dyDescent="0.25">
      <c r="A644" s="1">
        <v>44</v>
      </c>
      <c r="B644" s="65" t="s">
        <v>305</v>
      </c>
      <c r="C644" s="65" t="s">
        <v>306</v>
      </c>
      <c r="D644" s="66">
        <v>1050</v>
      </c>
      <c r="E644" s="67">
        <v>63000</v>
      </c>
      <c r="F644" s="68" t="s">
        <v>667</v>
      </c>
      <c r="G644" s="68" t="s">
        <v>75</v>
      </c>
      <c r="H644" s="68" t="s">
        <v>663</v>
      </c>
      <c r="I644" s="54" t="s">
        <v>210</v>
      </c>
      <c r="J644" s="54" t="s">
        <v>210</v>
      </c>
      <c r="K644" s="54" t="s">
        <v>210</v>
      </c>
      <c r="L644" s="54" t="s">
        <v>210</v>
      </c>
      <c r="M644" s="69">
        <v>31500</v>
      </c>
      <c r="N644" s="69"/>
      <c r="O644" s="69">
        <v>31500</v>
      </c>
      <c r="P644" s="69"/>
    </row>
    <row r="645" spans="1:16" ht="15.75" x14ac:dyDescent="0.25">
      <c r="A645" s="1">
        <v>45</v>
      </c>
      <c r="B645" s="65" t="s">
        <v>307</v>
      </c>
      <c r="C645" s="65" t="s">
        <v>308</v>
      </c>
      <c r="D645" s="66">
        <v>1050</v>
      </c>
      <c r="E645" s="66">
        <v>42000</v>
      </c>
      <c r="F645" s="68" t="s">
        <v>667</v>
      </c>
      <c r="G645" s="68" t="s">
        <v>75</v>
      </c>
      <c r="H645" s="68" t="s">
        <v>663</v>
      </c>
      <c r="I645" s="54" t="s">
        <v>210</v>
      </c>
      <c r="J645" s="54" t="s">
        <v>210</v>
      </c>
      <c r="K645" s="54" t="s">
        <v>210</v>
      </c>
      <c r="L645" s="54" t="s">
        <v>210</v>
      </c>
      <c r="M645" s="69">
        <v>21000</v>
      </c>
      <c r="N645" s="69">
        <v>21000</v>
      </c>
      <c r="O645" s="69"/>
      <c r="P645" s="69"/>
    </row>
    <row r="646" spans="1:16" ht="15.75" x14ac:dyDescent="0.25">
      <c r="A646" s="1">
        <v>46</v>
      </c>
      <c r="B646" s="65" t="s">
        <v>309</v>
      </c>
      <c r="C646" s="65" t="s">
        <v>306</v>
      </c>
      <c r="D646" s="66">
        <v>1050</v>
      </c>
      <c r="E646" s="67">
        <v>63000</v>
      </c>
      <c r="F646" s="68" t="s">
        <v>667</v>
      </c>
      <c r="G646" s="68" t="s">
        <v>75</v>
      </c>
      <c r="H646" s="68" t="s">
        <v>663</v>
      </c>
      <c r="I646" s="54" t="s">
        <v>210</v>
      </c>
      <c r="J646" s="54" t="s">
        <v>210</v>
      </c>
      <c r="K646" s="54" t="s">
        <v>210</v>
      </c>
      <c r="L646" s="54" t="s">
        <v>210</v>
      </c>
      <c r="M646" s="69">
        <v>31500</v>
      </c>
      <c r="N646" s="69">
        <v>31500</v>
      </c>
      <c r="O646" s="69"/>
      <c r="P646" s="69"/>
    </row>
    <row r="647" spans="1:16" ht="15.75" x14ac:dyDescent="0.25">
      <c r="A647" s="1">
        <v>47</v>
      </c>
      <c r="B647" s="65" t="s">
        <v>310</v>
      </c>
      <c r="C647" s="65" t="s">
        <v>311</v>
      </c>
      <c r="D647" s="66">
        <v>1050</v>
      </c>
      <c r="E647" s="67">
        <v>84000</v>
      </c>
      <c r="F647" s="68" t="s">
        <v>667</v>
      </c>
      <c r="G647" s="68" t="s">
        <v>75</v>
      </c>
      <c r="H647" s="68" t="s">
        <v>663</v>
      </c>
      <c r="I647" s="54" t="s">
        <v>210</v>
      </c>
      <c r="J647" s="54" t="s">
        <v>210</v>
      </c>
      <c r="K647" s="54" t="s">
        <v>210</v>
      </c>
      <c r="L647" s="54" t="s">
        <v>210</v>
      </c>
      <c r="M647" s="69">
        <v>42000</v>
      </c>
      <c r="N647" s="69">
        <v>42000</v>
      </c>
      <c r="O647" s="69"/>
      <c r="P647" s="69"/>
    </row>
    <row r="648" spans="1:16" ht="15.75" x14ac:dyDescent="0.25">
      <c r="A648" s="1">
        <v>48</v>
      </c>
      <c r="B648" s="65" t="s">
        <v>312</v>
      </c>
      <c r="C648" s="65" t="s">
        <v>313</v>
      </c>
      <c r="D648" s="66">
        <v>1050</v>
      </c>
      <c r="E648" s="66">
        <v>21000</v>
      </c>
      <c r="F648" s="68" t="s">
        <v>667</v>
      </c>
      <c r="G648" s="68" t="s">
        <v>75</v>
      </c>
      <c r="H648" s="68" t="s">
        <v>663</v>
      </c>
      <c r="I648" s="54" t="s">
        <v>210</v>
      </c>
      <c r="J648" s="54" t="s">
        <v>210</v>
      </c>
      <c r="K648" s="54" t="s">
        <v>210</v>
      </c>
      <c r="L648" s="54" t="s">
        <v>210</v>
      </c>
      <c r="M648" s="69">
        <v>10500</v>
      </c>
      <c r="N648" s="69">
        <v>10500</v>
      </c>
      <c r="O648" s="69"/>
      <c r="P648" s="69"/>
    </row>
    <row r="649" spans="1:16" ht="15.75" x14ac:dyDescent="0.25">
      <c r="A649" s="1">
        <v>49</v>
      </c>
      <c r="B649" s="65" t="s">
        <v>314</v>
      </c>
      <c r="C649" s="65" t="s">
        <v>313</v>
      </c>
      <c r="D649" s="66">
        <v>1050</v>
      </c>
      <c r="E649" s="66">
        <v>21000</v>
      </c>
      <c r="F649" s="68" t="s">
        <v>667</v>
      </c>
      <c r="G649" s="68" t="s">
        <v>75</v>
      </c>
      <c r="H649" s="68" t="s">
        <v>663</v>
      </c>
      <c r="I649" s="54" t="s">
        <v>210</v>
      </c>
      <c r="J649" s="54" t="s">
        <v>210</v>
      </c>
      <c r="K649" s="54" t="s">
        <v>210</v>
      </c>
      <c r="L649" s="54" t="s">
        <v>210</v>
      </c>
      <c r="M649" s="69">
        <v>10500</v>
      </c>
      <c r="N649" s="69">
        <v>10500</v>
      </c>
      <c r="O649" s="69"/>
      <c r="P649" s="69"/>
    </row>
    <row r="650" spans="1:16" ht="15.75" x14ac:dyDescent="0.25">
      <c r="A650" s="1">
        <v>50</v>
      </c>
      <c r="B650" s="65" t="s">
        <v>315</v>
      </c>
      <c r="C650" s="65" t="s">
        <v>316</v>
      </c>
      <c r="D650" s="66">
        <v>450</v>
      </c>
      <c r="E650" s="66">
        <v>22500</v>
      </c>
      <c r="F650" s="68" t="s">
        <v>667</v>
      </c>
      <c r="G650" s="68" t="s">
        <v>75</v>
      </c>
      <c r="H650" s="68" t="s">
        <v>663</v>
      </c>
      <c r="I650" s="54" t="s">
        <v>210</v>
      </c>
      <c r="J650" s="54" t="s">
        <v>210</v>
      </c>
      <c r="K650" s="54" t="s">
        <v>210</v>
      </c>
      <c r="L650" s="54" t="s">
        <v>210</v>
      </c>
      <c r="M650" s="69">
        <v>22500</v>
      </c>
      <c r="N650" s="69"/>
      <c r="O650" s="69"/>
      <c r="P650" s="69"/>
    </row>
    <row r="651" spans="1:16" ht="15.75" x14ac:dyDescent="0.25">
      <c r="A651" s="1">
        <v>51</v>
      </c>
      <c r="B651" s="65" t="s">
        <v>317</v>
      </c>
      <c r="C651" s="65" t="s">
        <v>318</v>
      </c>
      <c r="D651" s="66">
        <v>1050</v>
      </c>
      <c r="E651" s="66">
        <v>16800</v>
      </c>
      <c r="F651" s="68" t="s">
        <v>667</v>
      </c>
      <c r="G651" s="68" t="s">
        <v>75</v>
      </c>
      <c r="H651" s="68" t="s">
        <v>663</v>
      </c>
      <c r="I651" s="54" t="s">
        <v>210</v>
      </c>
      <c r="J651" s="54" t="s">
        <v>210</v>
      </c>
      <c r="K651" s="54" t="s">
        <v>210</v>
      </c>
      <c r="L651" s="54" t="s">
        <v>210</v>
      </c>
      <c r="M651" s="69">
        <v>16800</v>
      </c>
      <c r="N651" s="69"/>
      <c r="O651" s="69"/>
      <c r="P651" s="69"/>
    </row>
    <row r="652" spans="1:16" ht="15.75" x14ac:dyDescent="0.25">
      <c r="A652" s="1">
        <v>52</v>
      </c>
      <c r="B652" s="65" t="s">
        <v>319</v>
      </c>
      <c r="C652" s="65" t="s">
        <v>316</v>
      </c>
      <c r="D652" s="66">
        <v>520</v>
      </c>
      <c r="E652" s="66">
        <v>26000</v>
      </c>
      <c r="F652" s="68" t="s">
        <v>667</v>
      </c>
      <c r="G652" s="68" t="s">
        <v>75</v>
      </c>
      <c r="H652" s="68" t="s">
        <v>663</v>
      </c>
      <c r="I652" s="54" t="s">
        <v>210</v>
      </c>
      <c r="J652" s="54" t="s">
        <v>210</v>
      </c>
      <c r="K652" s="54" t="s">
        <v>210</v>
      </c>
      <c r="L652" s="54" t="s">
        <v>210</v>
      </c>
      <c r="M652" s="69">
        <v>13000</v>
      </c>
      <c r="N652" s="69">
        <v>13000</v>
      </c>
      <c r="O652" s="69"/>
      <c r="P652" s="69"/>
    </row>
    <row r="653" spans="1:16" ht="15.75" x14ac:dyDescent="0.25">
      <c r="A653" s="1">
        <v>53</v>
      </c>
      <c r="B653" s="65" t="s">
        <v>320</v>
      </c>
      <c r="C653" s="65" t="s">
        <v>321</v>
      </c>
      <c r="D653" s="66">
        <v>6500</v>
      </c>
      <c r="E653" s="66">
        <v>6500</v>
      </c>
      <c r="F653" s="68" t="s">
        <v>667</v>
      </c>
      <c r="G653" s="68" t="s">
        <v>75</v>
      </c>
      <c r="H653" s="68" t="s">
        <v>663</v>
      </c>
      <c r="I653" s="54" t="s">
        <v>210</v>
      </c>
      <c r="J653" s="54" t="s">
        <v>210</v>
      </c>
      <c r="K653" s="54" t="s">
        <v>210</v>
      </c>
      <c r="L653" s="54" t="s">
        <v>210</v>
      </c>
      <c r="M653" s="69"/>
      <c r="N653" s="69">
        <v>6500</v>
      </c>
      <c r="O653" s="69"/>
      <c r="P653" s="69"/>
    </row>
    <row r="654" spans="1:16" ht="15.75" x14ac:dyDescent="0.25">
      <c r="A654" s="1">
        <v>54</v>
      </c>
      <c r="B654" s="65" t="s">
        <v>322</v>
      </c>
      <c r="C654" s="65" t="s">
        <v>323</v>
      </c>
      <c r="D654" s="66">
        <v>6500</v>
      </c>
      <c r="E654" s="66">
        <v>6500</v>
      </c>
      <c r="F654" s="68" t="s">
        <v>667</v>
      </c>
      <c r="G654" s="68" t="s">
        <v>75</v>
      </c>
      <c r="H654" s="68" t="s">
        <v>663</v>
      </c>
      <c r="I654" s="54" t="s">
        <v>210</v>
      </c>
      <c r="J654" s="54" t="s">
        <v>210</v>
      </c>
      <c r="K654" s="54" t="s">
        <v>210</v>
      </c>
      <c r="L654" s="54" t="s">
        <v>210</v>
      </c>
      <c r="M654" s="69"/>
      <c r="N654" s="69">
        <v>6500</v>
      </c>
      <c r="O654" s="69"/>
      <c r="P654" s="69"/>
    </row>
    <row r="655" spans="1:16" ht="15.75" x14ac:dyDescent="0.25">
      <c r="A655" s="1">
        <v>55</v>
      </c>
      <c r="B655" s="65" t="s">
        <v>324</v>
      </c>
      <c r="C655" s="65" t="s">
        <v>321</v>
      </c>
      <c r="D655" s="66">
        <v>4500</v>
      </c>
      <c r="E655" s="66">
        <v>4500</v>
      </c>
      <c r="F655" s="68" t="s">
        <v>667</v>
      </c>
      <c r="G655" s="68" t="s">
        <v>75</v>
      </c>
      <c r="H655" s="68" t="s">
        <v>663</v>
      </c>
      <c r="I655" s="54" t="s">
        <v>210</v>
      </c>
      <c r="J655" s="54" t="s">
        <v>210</v>
      </c>
      <c r="K655" s="54" t="s">
        <v>210</v>
      </c>
      <c r="L655" s="54" t="s">
        <v>210</v>
      </c>
      <c r="M655" s="69">
        <v>4500</v>
      </c>
      <c r="N655" s="69"/>
      <c r="O655" s="69"/>
      <c r="P655" s="69"/>
    </row>
    <row r="656" spans="1:16" ht="15.75" x14ac:dyDescent="0.25">
      <c r="A656" s="1">
        <v>56</v>
      </c>
      <c r="B656" s="65" t="s">
        <v>325</v>
      </c>
      <c r="C656" s="65" t="s">
        <v>321</v>
      </c>
      <c r="D656" s="66">
        <v>4500</v>
      </c>
      <c r="E656" s="66">
        <v>4500</v>
      </c>
      <c r="F656" s="68" t="s">
        <v>667</v>
      </c>
      <c r="G656" s="68" t="s">
        <v>75</v>
      </c>
      <c r="H656" s="68" t="s">
        <v>663</v>
      </c>
      <c r="I656" s="54" t="s">
        <v>210</v>
      </c>
      <c r="J656" s="54" t="s">
        <v>210</v>
      </c>
      <c r="K656" s="54" t="s">
        <v>210</v>
      </c>
      <c r="L656" s="54" t="s">
        <v>210</v>
      </c>
      <c r="M656" s="69">
        <v>4500</v>
      </c>
      <c r="N656" s="69"/>
      <c r="O656" s="69"/>
      <c r="P656" s="69"/>
    </row>
    <row r="657" spans="1:16" ht="15.75" x14ac:dyDescent="0.25">
      <c r="A657" s="1">
        <v>57</v>
      </c>
      <c r="B657" s="65" t="s">
        <v>326</v>
      </c>
      <c r="C657" s="65" t="s">
        <v>327</v>
      </c>
      <c r="D657" s="66">
        <v>8500</v>
      </c>
      <c r="E657" s="66">
        <v>212500</v>
      </c>
      <c r="F657" s="68" t="s">
        <v>667</v>
      </c>
      <c r="G657" s="68" t="s">
        <v>75</v>
      </c>
      <c r="H657" s="68" t="s">
        <v>663</v>
      </c>
      <c r="I657" s="54" t="s">
        <v>210</v>
      </c>
      <c r="J657" s="54" t="s">
        <v>210</v>
      </c>
      <c r="K657" s="54" t="s">
        <v>210</v>
      </c>
      <c r="L657" s="54" t="s">
        <v>210</v>
      </c>
      <c r="M657" s="69">
        <v>59500</v>
      </c>
      <c r="N657" s="69">
        <v>51000</v>
      </c>
      <c r="O657" s="69">
        <v>51000</v>
      </c>
      <c r="P657" s="69">
        <v>51000</v>
      </c>
    </row>
    <row r="658" spans="1:16" ht="15.75" x14ac:dyDescent="0.25">
      <c r="A658" s="1">
        <v>58</v>
      </c>
      <c r="B658" s="65" t="s">
        <v>328</v>
      </c>
      <c r="C658" s="65" t="s">
        <v>329</v>
      </c>
      <c r="D658" s="66">
        <v>9500</v>
      </c>
      <c r="E658" s="66">
        <v>475000</v>
      </c>
      <c r="F658" s="68" t="s">
        <v>667</v>
      </c>
      <c r="G658" s="68" t="s">
        <v>75</v>
      </c>
      <c r="H658" s="68" t="s">
        <v>663</v>
      </c>
      <c r="I658" s="54" t="s">
        <v>210</v>
      </c>
      <c r="J658" s="54" t="s">
        <v>210</v>
      </c>
      <c r="K658" s="54" t="s">
        <v>210</v>
      </c>
      <c r="L658" s="54" t="s">
        <v>210</v>
      </c>
      <c r="M658" s="69">
        <v>114000</v>
      </c>
      <c r="N658" s="69">
        <v>114000</v>
      </c>
      <c r="O658" s="69">
        <v>114000</v>
      </c>
      <c r="P658" s="69">
        <v>133000</v>
      </c>
    </row>
    <row r="659" spans="1:16" ht="15.75" x14ac:dyDescent="0.25">
      <c r="A659" s="1">
        <v>59</v>
      </c>
      <c r="B659" s="65" t="s">
        <v>330</v>
      </c>
      <c r="C659" s="65" t="s">
        <v>331</v>
      </c>
      <c r="D659" s="66">
        <v>1200</v>
      </c>
      <c r="E659" s="66">
        <v>120000</v>
      </c>
      <c r="F659" s="68" t="s">
        <v>667</v>
      </c>
      <c r="G659" s="68" t="s">
        <v>75</v>
      </c>
      <c r="H659" s="68" t="s">
        <v>663</v>
      </c>
      <c r="I659" s="54" t="s">
        <v>210</v>
      </c>
      <c r="J659" s="54" t="s">
        <v>210</v>
      </c>
      <c r="K659" s="54" t="s">
        <v>210</v>
      </c>
      <c r="L659" s="54" t="s">
        <v>210</v>
      </c>
      <c r="M659" s="69">
        <v>60000</v>
      </c>
      <c r="N659" s="69">
        <v>60000</v>
      </c>
      <c r="O659" s="69"/>
      <c r="P659" s="69"/>
    </row>
    <row r="660" spans="1:16" ht="15.75" x14ac:dyDescent="0.25">
      <c r="A660" s="1">
        <v>60</v>
      </c>
      <c r="B660" s="65" t="s">
        <v>319</v>
      </c>
      <c r="C660" s="65" t="s">
        <v>308</v>
      </c>
      <c r="D660" s="66">
        <v>520</v>
      </c>
      <c r="E660" s="66">
        <v>20800</v>
      </c>
      <c r="F660" s="68" t="s">
        <v>667</v>
      </c>
      <c r="G660" s="68" t="s">
        <v>75</v>
      </c>
      <c r="H660" s="68" t="s">
        <v>663</v>
      </c>
      <c r="I660" s="54" t="s">
        <v>210</v>
      </c>
      <c r="J660" s="54" t="s">
        <v>210</v>
      </c>
      <c r="K660" s="54" t="s">
        <v>210</v>
      </c>
      <c r="L660" s="54" t="s">
        <v>210</v>
      </c>
      <c r="M660" s="69">
        <v>5200</v>
      </c>
      <c r="N660" s="69">
        <v>5200</v>
      </c>
      <c r="O660" s="69">
        <v>5200</v>
      </c>
      <c r="P660" s="69">
        <v>5200</v>
      </c>
    </row>
    <row r="661" spans="1:16" x14ac:dyDescent="0.25">
      <c r="A661" s="43"/>
      <c r="B661" s="43" t="s">
        <v>649</v>
      </c>
      <c r="C661" s="43"/>
      <c r="D661" s="43"/>
      <c r="E661" s="115">
        <f>SUM(E601:E660)</f>
        <v>4143510</v>
      </c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x14ac:dyDescent="0.25">
      <c r="A662" s="43"/>
      <c r="B662" s="43"/>
      <c r="C662" s="43"/>
      <c r="D662" s="43"/>
      <c r="E662" s="4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x14ac:dyDescent="0.25">
      <c r="A665" s="43" t="s">
        <v>763</v>
      </c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x14ac:dyDescent="0.25">
      <c r="A669" s="43" t="s">
        <v>764</v>
      </c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x14ac:dyDescent="0.25">
      <c r="A676" s="139">
        <v>37</v>
      </c>
      <c r="B676" s="120" t="s">
        <v>80</v>
      </c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5.75" x14ac:dyDescent="0.25">
      <c r="A677" s="1">
        <v>1</v>
      </c>
      <c r="B677" s="15" t="s">
        <v>81</v>
      </c>
      <c r="C677" s="1">
        <v>1</v>
      </c>
      <c r="D677" s="1">
        <v>185000</v>
      </c>
      <c r="E677" s="17">
        <f>C677*D677</f>
        <v>185000</v>
      </c>
      <c r="F677" s="13" t="s">
        <v>74</v>
      </c>
      <c r="G677" s="11" t="s">
        <v>75</v>
      </c>
      <c r="H677" s="11" t="s">
        <v>663</v>
      </c>
      <c r="I677" s="11" t="s">
        <v>21</v>
      </c>
      <c r="J677" s="11" t="s">
        <v>21</v>
      </c>
      <c r="K677" s="11" t="s">
        <v>21</v>
      </c>
      <c r="L677" s="11" t="s">
        <v>21</v>
      </c>
      <c r="M677" s="12">
        <v>185000</v>
      </c>
      <c r="N677" s="12"/>
      <c r="O677" s="12"/>
      <c r="P677" s="12"/>
    </row>
    <row r="678" spans="1:16" ht="15.75" x14ac:dyDescent="0.25">
      <c r="A678" s="1">
        <v>2</v>
      </c>
      <c r="B678" s="1" t="s">
        <v>86</v>
      </c>
      <c r="C678" s="1">
        <v>1</v>
      </c>
      <c r="D678" s="18">
        <v>13000</v>
      </c>
      <c r="E678" s="17">
        <f>C678*D678</f>
        <v>13000</v>
      </c>
      <c r="F678" s="19" t="s">
        <v>85</v>
      </c>
      <c r="G678" s="19" t="s">
        <v>75</v>
      </c>
      <c r="H678" s="11" t="s">
        <v>663</v>
      </c>
      <c r="I678" s="11" t="s">
        <v>21</v>
      </c>
      <c r="J678" s="11" t="s">
        <v>21</v>
      </c>
      <c r="K678" s="11" t="s">
        <v>21</v>
      </c>
      <c r="L678" s="11" t="s">
        <v>21</v>
      </c>
      <c r="M678" s="9">
        <v>13000</v>
      </c>
      <c r="N678" s="1"/>
      <c r="O678" s="1"/>
      <c r="P678" s="1"/>
    </row>
    <row r="679" spans="1:16" ht="15.75" x14ac:dyDescent="0.25">
      <c r="A679" s="1">
        <v>3</v>
      </c>
      <c r="B679" s="1" t="s">
        <v>87</v>
      </c>
      <c r="C679" s="1">
        <v>1</v>
      </c>
      <c r="D679" s="18">
        <v>27500</v>
      </c>
      <c r="E679" s="17">
        <f>C679*D679</f>
        <v>27500</v>
      </c>
      <c r="F679" s="19" t="s">
        <v>85</v>
      </c>
      <c r="G679" s="19" t="s">
        <v>75</v>
      </c>
      <c r="H679" s="11" t="s">
        <v>663</v>
      </c>
      <c r="I679" s="11" t="s">
        <v>21</v>
      </c>
      <c r="J679" s="11" t="s">
        <v>21</v>
      </c>
      <c r="K679" s="11" t="s">
        <v>21</v>
      </c>
      <c r="L679" s="11" t="s">
        <v>21</v>
      </c>
      <c r="M679" s="9"/>
      <c r="N679" s="9">
        <v>27500</v>
      </c>
      <c r="O679" s="1"/>
      <c r="P679" s="1"/>
    </row>
    <row r="680" spans="1:16" ht="15.75" x14ac:dyDescent="0.25">
      <c r="A680" s="1">
        <v>4</v>
      </c>
      <c r="B680" s="1" t="s">
        <v>92</v>
      </c>
      <c r="C680" s="19">
        <v>1</v>
      </c>
      <c r="D680" s="1">
        <v>300000</v>
      </c>
      <c r="E680" s="18">
        <v>300000</v>
      </c>
      <c r="F680" s="19" t="s">
        <v>93</v>
      </c>
      <c r="G680" s="19" t="s">
        <v>75</v>
      </c>
      <c r="H680" s="11" t="s">
        <v>663</v>
      </c>
      <c r="I680" s="11" t="s">
        <v>21</v>
      </c>
      <c r="J680" s="11" t="s">
        <v>21</v>
      </c>
      <c r="K680" s="11" t="s">
        <v>21</v>
      </c>
      <c r="L680" s="11" t="s">
        <v>21</v>
      </c>
      <c r="M680" s="1">
        <v>300000</v>
      </c>
      <c r="N680" s="1"/>
      <c r="O680" s="1"/>
      <c r="P680" s="12"/>
    </row>
    <row r="681" spans="1:16" ht="15.75" x14ac:dyDescent="0.25">
      <c r="A681" s="1">
        <v>5</v>
      </c>
      <c r="B681" s="1" t="s">
        <v>94</v>
      </c>
      <c r="C681" s="19">
        <v>1</v>
      </c>
      <c r="D681" s="1">
        <v>185000</v>
      </c>
      <c r="E681" s="18">
        <v>185000</v>
      </c>
      <c r="F681" s="19" t="s">
        <v>93</v>
      </c>
      <c r="G681" s="19" t="s">
        <v>75</v>
      </c>
      <c r="H681" s="11" t="s">
        <v>663</v>
      </c>
      <c r="I681" s="11" t="s">
        <v>21</v>
      </c>
      <c r="J681" s="11" t="s">
        <v>21</v>
      </c>
      <c r="K681" s="11" t="s">
        <v>21</v>
      </c>
      <c r="L681" s="11" t="s">
        <v>21</v>
      </c>
      <c r="M681" s="1">
        <v>185000</v>
      </c>
      <c r="N681" s="1"/>
      <c r="O681" s="1"/>
      <c r="P681" s="12"/>
    </row>
    <row r="682" spans="1:16" ht="15.75" x14ac:dyDescent="0.25">
      <c r="A682" s="1">
        <v>6</v>
      </c>
      <c r="B682" s="20" t="s">
        <v>102</v>
      </c>
      <c r="C682" s="21">
        <v>2</v>
      </c>
      <c r="D682" s="1">
        <v>150000</v>
      </c>
      <c r="E682" s="22">
        <f>C682*D682:D682</f>
        <v>300000</v>
      </c>
      <c r="F682" s="19" t="s">
        <v>101</v>
      </c>
      <c r="G682" s="19" t="s">
        <v>75</v>
      </c>
      <c r="H682" s="11" t="s">
        <v>663</v>
      </c>
      <c r="I682" s="11" t="s">
        <v>21</v>
      </c>
      <c r="J682" s="11" t="s">
        <v>21</v>
      </c>
      <c r="K682" s="11" t="s">
        <v>21</v>
      </c>
      <c r="L682" s="11" t="s">
        <v>21</v>
      </c>
      <c r="M682" s="20">
        <v>300000</v>
      </c>
      <c r="N682" s="20"/>
      <c r="O682" s="20"/>
      <c r="P682" s="20"/>
    </row>
    <row r="683" spans="1:16" ht="15.75" x14ac:dyDescent="0.25">
      <c r="A683" s="1">
        <v>7</v>
      </c>
      <c r="B683" s="1" t="s">
        <v>135</v>
      </c>
      <c r="C683" s="1">
        <v>1</v>
      </c>
      <c r="D683" s="1">
        <v>185000</v>
      </c>
      <c r="E683" s="1">
        <f>C683*D683</f>
        <v>185000</v>
      </c>
      <c r="F683" s="19" t="s">
        <v>132</v>
      </c>
      <c r="G683" s="26" t="s">
        <v>75</v>
      </c>
      <c r="H683" s="11" t="s">
        <v>663</v>
      </c>
      <c r="I683" s="11" t="s">
        <v>21</v>
      </c>
      <c r="J683" s="11" t="s">
        <v>21</v>
      </c>
      <c r="K683" s="11" t="s">
        <v>21</v>
      </c>
      <c r="L683" s="11" t="s">
        <v>21</v>
      </c>
      <c r="M683" s="1">
        <v>185000</v>
      </c>
      <c r="N683" s="1"/>
      <c r="O683" s="1"/>
      <c r="P683" s="1"/>
    </row>
    <row r="684" spans="1:16" ht="15.75" x14ac:dyDescent="0.25">
      <c r="A684" s="1">
        <v>8</v>
      </c>
      <c r="B684" s="1" t="s">
        <v>136</v>
      </c>
      <c r="C684" s="1">
        <v>1</v>
      </c>
      <c r="D684" s="1">
        <v>140000</v>
      </c>
      <c r="E684" s="1">
        <f>C684*D684</f>
        <v>140000</v>
      </c>
      <c r="F684" s="19" t="s">
        <v>132</v>
      </c>
      <c r="G684" s="19" t="s">
        <v>75</v>
      </c>
      <c r="H684" s="11" t="s">
        <v>663</v>
      </c>
      <c r="I684" s="11" t="s">
        <v>21</v>
      </c>
      <c r="J684" s="11" t="s">
        <v>21</v>
      </c>
      <c r="K684" s="11" t="s">
        <v>21</v>
      </c>
      <c r="L684" s="11" t="s">
        <v>21</v>
      </c>
      <c r="M684" s="1">
        <v>140000</v>
      </c>
      <c r="N684" s="1"/>
      <c r="O684" s="1"/>
      <c r="P684" s="1"/>
    </row>
    <row r="685" spans="1:16" ht="15.75" x14ac:dyDescent="0.25">
      <c r="A685" s="1">
        <v>9</v>
      </c>
      <c r="B685" s="50" t="s">
        <v>208</v>
      </c>
      <c r="C685" s="50" t="s">
        <v>184</v>
      </c>
      <c r="D685" s="51">
        <v>7500</v>
      </c>
      <c r="E685" s="51">
        <v>75000</v>
      </c>
      <c r="F685" s="47" t="s">
        <v>185</v>
      </c>
      <c r="G685" s="19" t="s">
        <v>75</v>
      </c>
      <c r="H685" s="11" t="s">
        <v>663</v>
      </c>
      <c r="I685" s="11" t="s">
        <v>21</v>
      </c>
      <c r="J685" s="11" t="s">
        <v>21</v>
      </c>
      <c r="K685" s="11" t="s">
        <v>21</v>
      </c>
      <c r="L685" s="11" t="s">
        <v>21</v>
      </c>
      <c r="M685" s="33">
        <v>37500</v>
      </c>
      <c r="N685" s="33"/>
      <c r="O685" s="33">
        <v>37500</v>
      </c>
      <c r="P685" s="1"/>
    </row>
    <row r="686" spans="1:16" ht="15.75" x14ac:dyDescent="0.25">
      <c r="A686" s="1">
        <v>10</v>
      </c>
      <c r="B686" s="77" t="s">
        <v>540</v>
      </c>
      <c r="C686" s="45">
        <v>1</v>
      </c>
      <c r="D686" s="46">
        <v>185000</v>
      </c>
      <c r="E686" s="46">
        <f>C686*D686</f>
        <v>185000</v>
      </c>
      <c r="F686" s="47" t="s">
        <v>156</v>
      </c>
      <c r="G686" s="19" t="s">
        <v>75</v>
      </c>
      <c r="H686" s="11" t="s">
        <v>663</v>
      </c>
      <c r="I686" s="11" t="s">
        <v>21</v>
      </c>
      <c r="J686" s="11" t="s">
        <v>21</v>
      </c>
      <c r="K686" s="11" t="s">
        <v>21</v>
      </c>
      <c r="L686" s="11" t="s">
        <v>21</v>
      </c>
      <c r="M686" s="32">
        <v>185000</v>
      </c>
      <c r="N686" s="32"/>
      <c r="O686" s="32"/>
      <c r="P686" s="34"/>
    </row>
    <row r="687" spans="1:16" ht="15.75" x14ac:dyDescent="0.25">
      <c r="A687" s="1">
        <v>11</v>
      </c>
      <c r="B687" s="89" t="s">
        <v>556</v>
      </c>
      <c r="C687" s="90">
        <v>1</v>
      </c>
      <c r="D687" s="51">
        <v>10000</v>
      </c>
      <c r="E687" s="51">
        <f>C687*D687</f>
        <v>10000</v>
      </c>
      <c r="F687" s="19" t="s">
        <v>557</v>
      </c>
      <c r="G687" s="68" t="s">
        <v>75</v>
      </c>
      <c r="H687" s="11" t="s">
        <v>663</v>
      </c>
      <c r="I687" s="54" t="s">
        <v>210</v>
      </c>
      <c r="J687" s="54" t="s">
        <v>210</v>
      </c>
      <c r="K687" s="54" t="s">
        <v>210</v>
      </c>
      <c r="L687" s="54" t="s">
        <v>210</v>
      </c>
      <c r="M687" s="32">
        <v>20000</v>
      </c>
      <c r="N687" s="32"/>
      <c r="O687" s="32"/>
      <c r="P687" s="1"/>
    </row>
    <row r="688" spans="1:16" ht="15.75" x14ac:dyDescent="0.25">
      <c r="A688" s="1">
        <v>12</v>
      </c>
      <c r="B688" s="1" t="s">
        <v>575</v>
      </c>
      <c r="C688" s="1">
        <v>2</v>
      </c>
      <c r="D688" s="1">
        <v>30000</v>
      </c>
      <c r="E688" s="1">
        <f>D688*2</f>
        <v>60000</v>
      </c>
      <c r="F688" s="19" t="s">
        <v>569</v>
      </c>
      <c r="G688" s="68" t="s">
        <v>75</v>
      </c>
      <c r="H688" s="11" t="s">
        <v>663</v>
      </c>
      <c r="I688" s="54" t="s">
        <v>210</v>
      </c>
      <c r="J688" s="54" t="s">
        <v>210</v>
      </c>
      <c r="K688" s="54" t="s">
        <v>210</v>
      </c>
      <c r="L688" s="54" t="s">
        <v>210</v>
      </c>
      <c r="M688" s="1">
        <v>30000</v>
      </c>
      <c r="N688" s="1"/>
      <c r="O688" s="1">
        <v>30000</v>
      </c>
      <c r="P688" s="1"/>
    </row>
    <row r="689" spans="1:16" ht="15.75" x14ac:dyDescent="0.25">
      <c r="A689" s="1">
        <v>13</v>
      </c>
      <c r="B689" s="1" t="s">
        <v>576</v>
      </c>
      <c r="C689" s="1">
        <v>2</v>
      </c>
      <c r="D689" s="1">
        <v>70000</v>
      </c>
      <c r="E689" s="1">
        <f>D689*2</f>
        <v>140000</v>
      </c>
      <c r="F689" s="19" t="s">
        <v>569</v>
      </c>
      <c r="G689" s="68" t="s">
        <v>75</v>
      </c>
      <c r="H689" s="11" t="s">
        <v>663</v>
      </c>
      <c r="I689" s="54" t="s">
        <v>210</v>
      </c>
      <c r="J689" s="54" t="s">
        <v>210</v>
      </c>
      <c r="K689" s="54" t="s">
        <v>210</v>
      </c>
      <c r="L689" s="54" t="s">
        <v>210</v>
      </c>
      <c r="M689" s="1">
        <v>140000</v>
      </c>
      <c r="N689" s="1"/>
      <c r="O689" s="1"/>
      <c r="P689" s="1"/>
    </row>
    <row r="690" spans="1:16" ht="15.75" x14ac:dyDescent="0.25">
      <c r="A690" s="1">
        <v>14</v>
      </c>
      <c r="B690" s="89" t="s">
        <v>585</v>
      </c>
      <c r="C690" s="89">
        <v>1</v>
      </c>
      <c r="D690" s="1">
        <v>150000</v>
      </c>
      <c r="E690" s="18">
        <f>C690*D690</f>
        <v>150000</v>
      </c>
      <c r="F690" s="19" t="s">
        <v>557</v>
      </c>
      <c r="G690" s="68" t="s">
        <v>75</v>
      </c>
      <c r="H690" s="11" t="s">
        <v>663</v>
      </c>
      <c r="I690" s="54" t="s">
        <v>210</v>
      </c>
      <c r="J690" s="54" t="s">
        <v>210</v>
      </c>
      <c r="K690" s="54" t="s">
        <v>210</v>
      </c>
      <c r="L690" s="54" t="s">
        <v>210</v>
      </c>
      <c r="M690" s="1">
        <v>150000</v>
      </c>
      <c r="N690" s="1"/>
      <c r="O690" s="1"/>
      <c r="P690" s="12"/>
    </row>
    <row r="691" spans="1:16" ht="15.75" x14ac:dyDescent="0.25">
      <c r="A691" s="1">
        <v>15</v>
      </c>
      <c r="B691" s="89" t="s">
        <v>586</v>
      </c>
      <c r="C691" s="89">
        <v>2</v>
      </c>
      <c r="D691" s="1">
        <v>180000</v>
      </c>
      <c r="E691" s="18">
        <f>C691*D691</f>
        <v>360000</v>
      </c>
      <c r="F691" s="19" t="s">
        <v>557</v>
      </c>
      <c r="G691" s="68" t="s">
        <v>75</v>
      </c>
      <c r="H691" s="11" t="s">
        <v>663</v>
      </c>
      <c r="I691" s="54" t="s">
        <v>210</v>
      </c>
      <c r="J691" s="54" t="s">
        <v>210</v>
      </c>
      <c r="K691" s="54" t="s">
        <v>210</v>
      </c>
      <c r="L691" s="54" t="s">
        <v>210</v>
      </c>
      <c r="M691" s="1">
        <v>180000</v>
      </c>
      <c r="N691" s="1">
        <v>180000</v>
      </c>
      <c r="O691" s="1"/>
      <c r="P691" s="12"/>
    </row>
    <row r="692" spans="1:16" ht="15.75" x14ac:dyDescent="0.25">
      <c r="A692" s="1">
        <v>16</v>
      </c>
      <c r="B692" s="89" t="s">
        <v>587</v>
      </c>
      <c r="C692" s="89">
        <v>1</v>
      </c>
      <c r="D692" s="1">
        <v>140000</v>
      </c>
      <c r="E692" s="18">
        <f>C692*D692</f>
        <v>140000</v>
      </c>
      <c r="F692" s="19" t="s">
        <v>557</v>
      </c>
      <c r="G692" s="68" t="s">
        <v>75</v>
      </c>
      <c r="H692" s="11" t="s">
        <v>663</v>
      </c>
      <c r="I692" s="54" t="s">
        <v>210</v>
      </c>
      <c r="J692" s="54" t="s">
        <v>210</v>
      </c>
      <c r="K692" s="54" t="s">
        <v>210</v>
      </c>
      <c r="L692" s="54" t="s">
        <v>210</v>
      </c>
      <c r="M692" s="1">
        <v>140000</v>
      </c>
      <c r="N692" s="1"/>
      <c r="O692" s="1"/>
      <c r="P692" s="12"/>
    </row>
    <row r="693" spans="1:16" ht="15.75" x14ac:dyDescent="0.25">
      <c r="A693" s="1">
        <v>17</v>
      </c>
      <c r="B693" s="1" t="s">
        <v>625</v>
      </c>
      <c r="C693" s="1">
        <v>1</v>
      </c>
      <c r="D693" s="1">
        <v>90000</v>
      </c>
      <c r="E693" s="8">
        <v>90000</v>
      </c>
      <c r="F693" s="19" t="s">
        <v>559</v>
      </c>
      <c r="G693" s="68" t="s">
        <v>75</v>
      </c>
      <c r="H693" s="11" t="s">
        <v>663</v>
      </c>
      <c r="I693" s="54" t="s">
        <v>210</v>
      </c>
      <c r="J693" s="54" t="s">
        <v>210</v>
      </c>
      <c r="K693" s="54" t="s">
        <v>210</v>
      </c>
      <c r="L693" s="54" t="s">
        <v>210</v>
      </c>
      <c r="M693" s="1"/>
      <c r="N693" s="1">
        <v>90000</v>
      </c>
      <c r="O693" s="1"/>
      <c r="P693" s="1"/>
    </row>
    <row r="694" spans="1:16" ht="15.75" x14ac:dyDescent="0.25">
      <c r="A694" s="1">
        <v>18</v>
      </c>
      <c r="B694" s="1" t="s">
        <v>626</v>
      </c>
      <c r="C694" s="1">
        <v>1</v>
      </c>
      <c r="D694" s="1">
        <v>160000</v>
      </c>
      <c r="E694" s="8">
        <v>160000</v>
      </c>
      <c r="F694" s="19" t="s">
        <v>559</v>
      </c>
      <c r="G694" s="68" t="s">
        <v>75</v>
      </c>
      <c r="H694" s="11" t="s">
        <v>663</v>
      </c>
      <c r="I694" s="54" t="s">
        <v>210</v>
      </c>
      <c r="J694" s="54" t="s">
        <v>210</v>
      </c>
      <c r="K694" s="54" t="s">
        <v>210</v>
      </c>
      <c r="L694" s="54" t="s">
        <v>210</v>
      </c>
      <c r="M694" s="1">
        <v>160000</v>
      </c>
      <c r="N694" s="1"/>
      <c r="O694" s="1"/>
      <c r="P694" s="1"/>
    </row>
    <row r="695" spans="1:16" ht="15.75" x14ac:dyDescent="0.25">
      <c r="A695" s="1">
        <v>19</v>
      </c>
      <c r="B695" s="1" t="s">
        <v>627</v>
      </c>
      <c r="C695" s="1">
        <v>1</v>
      </c>
      <c r="D695" s="1">
        <v>35000</v>
      </c>
      <c r="E695" s="8">
        <v>35000</v>
      </c>
      <c r="F695" s="19" t="s">
        <v>559</v>
      </c>
      <c r="G695" s="68" t="s">
        <v>75</v>
      </c>
      <c r="H695" s="11" t="s">
        <v>663</v>
      </c>
      <c r="I695" s="54" t="s">
        <v>210</v>
      </c>
      <c r="J695" s="54" t="s">
        <v>210</v>
      </c>
      <c r="K695" s="54" t="s">
        <v>210</v>
      </c>
      <c r="L695" s="54" t="s">
        <v>210</v>
      </c>
      <c r="M695" s="1">
        <v>35000</v>
      </c>
      <c r="N695" s="1"/>
      <c r="O695" s="1"/>
      <c r="P695" s="1"/>
    </row>
    <row r="696" spans="1:16" ht="15.75" x14ac:dyDescent="0.25">
      <c r="A696" s="1">
        <v>20</v>
      </c>
      <c r="B696" s="1" t="s">
        <v>628</v>
      </c>
      <c r="C696" s="1">
        <v>1</v>
      </c>
      <c r="D696" s="1">
        <v>120000</v>
      </c>
      <c r="E696" s="8">
        <v>120000</v>
      </c>
      <c r="F696" s="19" t="s">
        <v>559</v>
      </c>
      <c r="G696" s="68" t="s">
        <v>75</v>
      </c>
      <c r="H696" s="11" t="s">
        <v>663</v>
      </c>
      <c r="I696" s="54" t="s">
        <v>210</v>
      </c>
      <c r="J696" s="54" t="s">
        <v>210</v>
      </c>
      <c r="K696" s="54" t="s">
        <v>210</v>
      </c>
      <c r="L696" s="54" t="s">
        <v>210</v>
      </c>
      <c r="M696" s="1"/>
      <c r="N696" s="1">
        <v>120000</v>
      </c>
      <c r="O696" s="1"/>
      <c r="P696" s="1"/>
    </row>
    <row r="697" spans="1:16" ht="15.75" x14ac:dyDescent="0.25">
      <c r="A697" s="1">
        <v>21</v>
      </c>
      <c r="B697" s="1" t="s">
        <v>629</v>
      </c>
      <c r="C697" s="1">
        <v>1</v>
      </c>
      <c r="D697" s="1">
        <v>5000</v>
      </c>
      <c r="E697" s="1">
        <v>5000</v>
      </c>
      <c r="F697" s="19" t="s">
        <v>559</v>
      </c>
      <c r="G697" s="68" t="s">
        <v>75</v>
      </c>
      <c r="H697" s="11" t="s">
        <v>663</v>
      </c>
      <c r="I697" s="54" t="s">
        <v>210</v>
      </c>
      <c r="J697" s="54" t="s">
        <v>210</v>
      </c>
      <c r="K697" s="54" t="s">
        <v>210</v>
      </c>
      <c r="L697" s="54" t="s">
        <v>210</v>
      </c>
      <c r="M697" s="1">
        <v>5000</v>
      </c>
      <c r="N697" s="1"/>
      <c r="O697" s="1"/>
      <c r="P697" s="1"/>
    </row>
    <row r="698" spans="1:16" ht="15.75" x14ac:dyDescent="0.25">
      <c r="A698" s="1">
        <v>22</v>
      </c>
      <c r="B698" s="86" t="s">
        <v>642</v>
      </c>
      <c r="C698" s="86">
        <v>1</v>
      </c>
      <c r="D698" s="86">
        <v>80000</v>
      </c>
      <c r="E698" s="86">
        <v>80000</v>
      </c>
      <c r="F698" s="87" t="s">
        <v>533</v>
      </c>
      <c r="G698" s="19" t="s">
        <v>75</v>
      </c>
      <c r="H698" s="11" t="s">
        <v>663</v>
      </c>
      <c r="I698" s="54" t="s">
        <v>210</v>
      </c>
      <c r="J698" s="54" t="s">
        <v>210</v>
      </c>
      <c r="K698" s="54" t="s">
        <v>210</v>
      </c>
      <c r="L698" s="54" t="s">
        <v>210</v>
      </c>
      <c r="M698" s="33">
        <v>80000</v>
      </c>
      <c r="N698" s="33"/>
      <c r="O698" s="33"/>
      <c r="P698" s="33"/>
    </row>
    <row r="699" spans="1:16" ht="15.75" x14ac:dyDescent="0.25">
      <c r="A699" s="43"/>
      <c r="B699" s="78" t="s">
        <v>649</v>
      </c>
      <c r="C699" s="84"/>
      <c r="D699" s="85"/>
      <c r="E699" s="85">
        <f>SUM(E677:E698)</f>
        <v>2945500</v>
      </c>
      <c r="F699" s="47"/>
      <c r="G699" s="19"/>
      <c r="H699" s="19"/>
      <c r="I699" s="11"/>
      <c r="J699" s="11"/>
      <c r="K699" s="11"/>
      <c r="L699" s="11"/>
      <c r="M699" s="32"/>
      <c r="N699" s="32"/>
      <c r="O699" s="32"/>
      <c r="P699" s="34"/>
    </row>
    <row r="700" spans="1:16" ht="15.75" x14ac:dyDescent="0.25">
      <c r="A700" s="1"/>
      <c r="B700" s="77"/>
      <c r="C700" s="45"/>
      <c r="D700" s="46"/>
      <c r="E700" s="46"/>
      <c r="F700" s="47"/>
      <c r="G700" s="19"/>
      <c r="H700" s="19"/>
      <c r="I700" s="11"/>
      <c r="J700" s="11"/>
      <c r="K700" s="11"/>
      <c r="L700" s="11"/>
      <c r="M700" s="32"/>
      <c r="N700" s="32"/>
      <c r="O700" s="32"/>
      <c r="P700" s="34"/>
    </row>
    <row r="701" spans="1:16" ht="15.75" x14ac:dyDescent="0.25">
      <c r="A701" s="139">
        <v>38</v>
      </c>
      <c r="B701" s="43" t="s">
        <v>384</v>
      </c>
      <c r="C701" s="1"/>
      <c r="D701" s="18"/>
      <c r="E701" s="17"/>
      <c r="F701" s="19"/>
      <c r="G701" s="19"/>
      <c r="H701" s="19"/>
      <c r="I701" s="11"/>
      <c r="J701" s="11"/>
      <c r="K701" s="11"/>
      <c r="L701" s="11"/>
      <c r="M701" s="9"/>
      <c r="N701" s="9"/>
      <c r="O701" s="1"/>
      <c r="P701" s="1"/>
    </row>
    <row r="702" spans="1:16" ht="63" x14ac:dyDescent="0.25">
      <c r="A702" s="1">
        <v>1</v>
      </c>
      <c r="B702" s="65" t="s">
        <v>383</v>
      </c>
      <c r="C702" s="71" t="s">
        <v>130</v>
      </c>
      <c r="D702" s="72">
        <v>400000</v>
      </c>
      <c r="E702" s="72">
        <v>400000</v>
      </c>
      <c r="F702" s="66" t="s">
        <v>699</v>
      </c>
      <c r="G702" s="66" t="s">
        <v>75</v>
      </c>
      <c r="H702" s="68" t="s">
        <v>663</v>
      </c>
      <c r="I702" s="54" t="s">
        <v>210</v>
      </c>
      <c r="J702" s="54" t="s">
        <v>210</v>
      </c>
      <c r="K702" s="54" t="s">
        <v>210</v>
      </c>
      <c r="L702" s="54" t="s">
        <v>210</v>
      </c>
      <c r="M702" s="73">
        <v>400000</v>
      </c>
      <c r="N702" s="74"/>
      <c r="O702" s="74"/>
      <c r="P702" s="74"/>
    </row>
    <row r="703" spans="1:16" ht="15.75" x14ac:dyDescent="0.25">
      <c r="A703" s="43"/>
      <c r="B703" s="43" t="s">
        <v>649</v>
      </c>
      <c r="C703" s="42"/>
      <c r="D703" s="43"/>
      <c r="E703" s="16">
        <f>SUM(E702)</f>
        <v>400000</v>
      </c>
      <c r="F703" s="19"/>
      <c r="G703" s="19"/>
      <c r="H703" s="19"/>
      <c r="I703" s="11"/>
      <c r="J703" s="11"/>
      <c r="K703" s="11"/>
      <c r="L703" s="11"/>
      <c r="M703" s="1"/>
      <c r="N703" s="1"/>
      <c r="O703" s="1"/>
      <c r="P703" s="12"/>
    </row>
    <row r="704" spans="1:16" ht="15.75" x14ac:dyDescent="0.25">
      <c r="A704" s="1"/>
      <c r="B704" s="1"/>
      <c r="C704" s="1"/>
      <c r="D704" s="1"/>
      <c r="E704" s="1"/>
      <c r="F704" s="19"/>
      <c r="G704" s="26"/>
      <c r="H704" s="27"/>
      <c r="I704" s="11"/>
      <c r="J704" s="11"/>
      <c r="K704" s="11"/>
      <c r="L704" s="11"/>
      <c r="M704" s="1"/>
      <c r="N704" s="1"/>
      <c r="O704" s="1"/>
      <c r="P704" s="1"/>
    </row>
    <row r="705" spans="1:16" ht="15.75" x14ac:dyDescent="0.25">
      <c r="A705" s="139">
        <v>39</v>
      </c>
      <c r="B705" s="43" t="s">
        <v>542</v>
      </c>
      <c r="C705" s="1"/>
      <c r="D705" s="1"/>
      <c r="E705" s="1"/>
      <c r="F705" s="19"/>
      <c r="G705" s="19"/>
      <c r="H705" s="19"/>
      <c r="I705" s="11"/>
      <c r="J705" s="11"/>
      <c r="K705" s="11"/>
      <c r="L705" s="11"/>
      <c r="M705" s="1"/>
      <c r="N705" s="1"/>
      <c r="O705" s="1"/>
      <c r="P705" s="1"/>
    </row>
    <row r="706" spans="1:16" ht="15.75" x14ac:dyDescent="0.25">
      <c r="A706" s="1"/>
      <c r="B706" s="78" t="s">
        <v>543</v>
      </c>
      <c r="C706" s="84"/>
      <c r="D706" s="85"/>
      <c r="E706" s="46"/>
      <c r="F706" s="47" t="s">
        <v>156</v>
      </c>
      <c r="G706" s="19" t="s">
        <v>75</v>
      </c>
      <c r="H706" s="19" t="s">
        <v>663</v>
      </c>
      <c r="I706" s="11" t="s">
        <v>21</v>
      </c>
      <c r="J706" s="11" t="s">
        <v>21</v>
      </c>
      <c r="K706" s="11" t="s">
        <v>21</v>
      </c>
      <c r="L706" s="11" t="s">
        <v>21</v>
      </c>
      <c r="M706" s="32"/>
      <c r="N706" s="32"/>
      <c r="O706" s="32"/>
      <c r="P706" s="34"/>
    </row>
    <row r="707" spans="1:16" ht="15.75" x14ac:dyDescent="0.25">
      <c r="A707" s="1">
        <v>1</v>
      </c>
      <c r="B707" s="44" t="s">
        <v>544</v>
      </c>
      <c r="C707" s="45">
        <v>240</v>
      </c>
      <c r="D707" s="46">
        <v>450</v>
      </c>
      <c r="E707" s="46">
        <f>C707*D707</f>
        <v>108000</v>
      </c>
      <c r="F707" s="47" t="s">
        <v>156</v>
      </c>
      <c r="G707" s="19" t="s">
        <v>75</v>
      </c>
      <c r="H707" s="19" t="s">
        <v>663</v>
      </c>
      <c r="I707" s="11" t="s">
        <v>21</v>
      </c>
      <c r="J707" s="11" t="s">
        <v>21</v>
      </c>
      <c r="K707" s="11" t="s">
        <v>21</v>
      </c>
      <c r="L707" s="11" t="s">
        <v>21</v>
      </c>
      <c r="M707" s="32">
        <v>36000</v>
      </c>
      <c r="N707" s="32"/>
      <c r="O707" s="32">
        <v>36000</v>
      </c>
      <c r="P707" s="34">
        <v>36000</v>
      </c>
    </row>
    <row r="708" spans="1:16" ht="15.75" x14ac:dyDescent="0.25">
      <c r="A708" s="1">
        <v>2</v>
      </c>
      <c r="B708" s="44" t="s">
        <v>545</v>
      </c>
      <c r="C708" s="45">
        <v>60</v>
      </c>
      <c r="D708" s="46">
        <v>450</v>
      </c>
      <c r="E708" s="46">
        <f>C708*D708</f>
        <v>27000</v>
      </c>
      <c r="F708" s="47" t="s">
        <v>156</v>
      </c>
      <c r="G708" s="19" t="s">
        <v>75</v>
      </c>
      <c r="H708" s="19" t="s">
        <v>663</v>
      </c>
      <c r="I708" s="11" t="s">
        <v>21</v>
      </c>
      <c r="J708" s="11" t="s">
        <v>21</v>
      </c>
      <c r="K708" s="11" t="s">
        <v>21</v>
      </c>
      <c r="L708" s="11" t="s">
        <v>21</v>
      </c>
      <c r="M708" s="33">
        <v>6750</v>
      </c>
      <c r="N708" s="33">
        <v>6750</v>
      </c>
      <c r="O708" s="33">
        <v>6750</v>
      </c>
      <c r="P708" s="33">
        <v>6750</v>
      </c>
    </row>
    <row r="709" spans="1:16" ht="15.75" x14ac:dyDescent="0.25">
      <c r="A709" s="1"/>
      <c r="B709" s="78" t="s">
        <v>546</v>
      </c>
      <c r="C709" s="77"/>
      <c r="D709" s="51"/>
      <c r="E709" s="51"/>
      <c r="F709" s="47"/>
      <c r="G709" s="19"/>
      <c r="H709" s="19"/>
      <c r="I709" s="11"/>
      <c r="J709" s="11"/>
      <c r="K709" s="11"/>
      <c r="L709" s="11"/>
      <c r="M709" s="33"/>
      <c r="N709" s="33"/>
      <c r="O709" s="33"/>
      <c r="P709" s="33"/>
    </row>
    <row r="710" spans="1:16" ht="15.75" x14ac:dyDescent="0.25">
      <c r="A710" s="1">
        <v>3</v>
      </c>
      <c r="B710" s="44" t="s">
        <v>547</v>
      </c>
      <c r="C710" s="45">
        <v>40</v>
      </c>
      <c r="D710" s="46">
        <v>350</v>
      </c>
      <c r="E710" s="46">
        <f t="shared" ref="E710:E715" si="17">C710*D710</f>
        <v>14000</v>
      </c>
      <c r="F710" s="47" t="s">
        <v>156</v>
      </c>
      <c r="G710" s="19" t="s">
        <v>75</v>
      </c>
      <c r="H710" s="19" t="s">
        <v>663</v>
      </c>
      <c r="I710" s="11" t="s">
        <v>21</v>
      </c>
      <c r="J710" s="11" t="s">
        <v>21</v>
      </c>
      <c r="K710" s="11" t="s">
        <v>21</v>
      </c>
      <c r="L710" s="11" t="s">
        <v>21</v>
      </c>
      <c r="M710" s="32">
        <v>3500</v>
      </c>
      <c r="N710" s="32">
        <v>3500</v>
      </c>
      <c r="O710" s="32">
        <v>3500</v>
      </c>
      <c r="P710" s="34">
        <v>3500</v>
      </c>
    </row>
    <row r="711" spans="1:16" ht="15.75" x14ac:dyDescent="0.25">
      <c r="A711" s="1">
        <v>4</v>
      </c>
      <c r="B711" s="44" t="s">
        <v>548</v>
      </c>
      <c r="C711" s="45">
        <v>5</v>
      </c>
      <c r="D711" s="46">
        <v>800</v>
      </c>
      <c r="E711" s="46">
        <f t="shared" si="17"/>
        <v>4000</v>
      </c>
      <c r="F711" s="47" t="s">
        <v>156</v>
      </c>
      <c r="G711" s="19" t="s">
        <v>75</v>
      </c>
      <c r="H711" s="19" t="s">
        <v>663</v>
      </c>
      <c r="I711" s="11" t="s">
        <v>21</v>
      </c>
      <c r="J711" s="11" t="s">
        <v>21</v>
      </c>
      <c r="K711" s="11" t="s">
        <v>21</v>
      </c>
      <c r="L711" s="11" t="s">
        <v>21</v>
      </c>
      <c r="M711" s="32"/>
      <c r="N711" s="32">
        <v>2000</v>
      </c>
      <c r="O711" s="32"/>
      <c r="P711" s="34">
        <v>2000</v>
      </c>
    </row>
    <row r="712" spans="1:16" ht="15.75" x14ac:dyDescent="0.25">
      <c r="A712" s="1">
        <v>5</v>
      </c>
      <c r="B712" s="44" t="s">
        <v>549</v>
      </c>
      <c r="C712" s="45">
        <v>5</v>
      </c>
      <c r="D712" s="46">
        <v>850</v>
      </c>
      <c r="E712" s="46">
        <f t="shared" si="17"/>
        <v>4250</v>
      </c>
      <c r="F712" s="47" t="s">
        <v>156</v>
      </c>
      <c r="G712" s="19" t="s">
        <v>75</v>
      </c>
      <c r="H712" s="19" t="s">
        <v>663</v>
      </c>
      <c r="I712" s="11" t="s">
        <v>21</v>
      </c>
      <c r="J712" s="11" t="s">
        <v>21</v>
      </c>
      <c r="K712" s="11" t="s">
        <v>21</v>
      </c>
      <c r="L712" s="11" t="s">
        <v>21</v>
      </c>
      <c r="M712" s="33"/>
      <c r="N712" s="33">
        <v>2125</v>
      </c>
      <c r="O712" s="33"/>
      <c r="P712" s="33">
        <v>2125</v>
      </c>
    </row>
    <row r="713" spans="1:16" ht="15.75" x14ac:dyDescent="0.25">
      <c r="A713" s="1">
        <v>6</v>
      </c>
      <c r="B713" s="44" t="s">
        <v>550</v>
      </c>
      <c r="C713" s="45">
        <v>200</v>
      </c>
      <c r="D713" s="46">
        <v>80</v>
      </c>
      <c r="E713" s="46">
        <f t="shared" si="17"/>
        <v>16000</v>
      </c>
      <c r="F713" s="47" t="s">
        <v>156</v>
      </c>
      <c r="G713" s="19" t="s">
        <v>75</v>
      </c>
      <c r="H713" s="19" t="s">
        <v>663</v>
      </c>
      <c r="I713" s="11" t="s">
        <v>21</v>
      </c>
      <c r="J713" s="11" t="s">
        <v>21</v>
      </c>
      <c r="K713" s="11" t="s">
        <v>21</v>
      </c>
      <c r="L713" s="11" t="s">
        <v>21</v>
      </c>
      <c r="M713" s="32">
        <v>4000</v>
      </c>
      <c r="N713" s="32">
        <v>4000</v>
      </c>
      <c r="O713" s="32">
        <v>4000</v>
      </c>
      <c r="P713" s="34">
        <v>4000</v>
      </c>
    </row>
    <row r="714" spans="1:16" ht="15.75" x14ac:dyDescent="0.25">
      <c r="A714" s="1">
        <v>7</v>
      </c>
      <c r="B714" s="44" t="s">
        <v>551</v>
      </c>
      <c r="C714" s="45">
        <v>10</v>
      </c>
      <c r="D714" s="46">
        <v>900</v>
      </c>
      <c r="E714" s="46">
        <f t="shared" si="17"/>
        <v>9000</v>
      </c>
      <c r="F714" s="47" t="s">
        <v>156</v>
      </c>
      <c r="G714" s="19" t="s">
        <v>75</v>
      </c>
      <c r="H714" s="19" t="s">
        <v>663</v>
      </c>
      <c r="I714" s="11" t="s">
        <v>21</v>
      </c>
      <c r="J714" s="11" t="s">
        <v>21</v>
      </c>
      <c r="K714" s="11" t="s">
        <v>21</v>
      </c>
      <c r="L714" s="11" t="s">
        <v>21</v>
      </c>
      <c r="M714" s="33"/>
      <c r="N714" s="33"/>
      <c r="O714" s="33">
        <v>4500</v>
      </c>
      <c r="P714" s="33">
        <v>4500</v>
      </c>
    </row>
    <row r="715" spans="1:16" ht="15.75" x14ac:dyDescent="0.25">
      <c r="A715" s="122">
        <v>8</v>
      </c>
      <c r="B715" s="89" t="s">
        <v>583</v>
      </c>
      <c r="C715" s="89">
        <v>5</v>
      </c>
      <c r="D715" s="49">
        <v>300</v>
      </c>
      <c r="E715" s="49">
        <f t="shared" si="17"/>
        <v>1500</v>
      </c>
      <c r="F715" s="19" t="s">
        <v>557</v>
      </c>
      <c r="G715" s="68" t="s">
        <v>75</v>
      </c>
      <c r="H715" s="19" t="s">
        <v>663</v>
      </c>
      <c r="I715" s="54" t="s">
        <v>210</v>
      </c>
      <c r="J715" s="54" t="s">
        <v>210</v>
      </c>
      <c r="K715" s="54" t="s">
        <v>210</v>
      </c>
      <c r="L715" s="54" t="s">
        <v>210</v>
      </c>
      <c r="M715" s="33">
        <v>1500</v>
      </c>
      <c r="N715" s="33"/>
      <c r="O715" s="33"/>
      <c r="P715" s="33"/>
    </row>
    <row r="716" spans="1:16" ht="15.75" x14ac:dyDescent="0.25">
      <c r="A716" s="121"/>
      <c r="B716" s="43" t="s">
        <v>649</v>
      </c>
      <c r="C716" s="43"/>
      <c r="D716" s="43"/>
      <c r="E716" s="118">
        <f>SUM(E707:E715)</f>
        <v>183750</v>
      </c>
      <c r="F716" s="1"/>
      <c r="G716" s="19"/>
      <c r="H716" s="26"/>
      <c r="I716" s="27"/>
      <c r="J716" s="11"/>
      <c r="K716" s="11"/>
      <c r="L716" s="11"/>
      <c r="M716" s="11"/>
      <c r="N716" s="1"/>
      <c r="O716" s="1"/>
      <c r="P716" s="1"/>
    </row>
    <row r="717" spans="1:16" ht="15.75" x14ac:dyDescent="0.25">
      <c r="B717" s="1"/>
      <c r="C717" s="1"/>
      <c r="D717" s="1"/>
      <c r="E717" s="1"/>
      <c r="F717" s="1"/>
      <c r="G717" s="19"/>
      <c r="H717" s="19"/>
      <c r="I717" s="19"/>
      <c r="J717" s="11"/>
      <c r="K717" s="11"/>
      <c r="L717" s="11"/>
      <c r="M717" s="11"/>
      <c r="N717" s="1"/>
      <c r="O717" s="1"/>
      <c r="P717" s="1"/>
    </row>
    <row r="718" spans="1:16" ht="15.75" x14ac:dyDescent="0.25">
      <c r="A718" s="140">
        <v>40</v>
      </c>
      <c r="B718" s="43" t="s">
        <v>668</v>
      </c>
      <c r="C718" s="1"/>
      <c r="D718" s="1"/>
      <c r="E718" s="1"/>
      <c r="F718" s="19"/>
      <c r="G718" s="26"/>
      <c r="H718" s="27"/>
      <c r="I718" s="11"/>
      <c r="J718" s="11"/>
      <c r="K718" s="11"/>
      <c r="L718" s="11"/>
      <c r="M718" s="1"/>
      <c r="N718" s="1"/>
      <c r="O718" s="1"/>
      <c r="P718" s="1"/>
    </row>
    <row r="719" spans="1:16" ht="15.75" x14ac:dyDescent="0.25">
      <c r="A719">
        <v>1</v>
      </c>
      <c r="B719" s="89" t="s">
        <v>647</v>
      </c>
      <c r="C719" s="89">
        <v>12</v>
      </c>
      <c r="D719" s="49">
        <v>10000</v>
      </c>
      <c r="E719" s="49">
        <f>C719*D719</f>
        <v>120000</v>
      </c>
      <c r="F719" s="19" t="s">
        <v>557</v>
      </c>
      <c r="G719" s="68" t="s">
        <v>75</v>
      </c>
      <c r="H719" s="19" t="s">
        <v>663</v>
      </c>
      <c r="I719" s="54" t="s">
        <v>210</v>
      </c>
      <c r="J719" s="54" t="s">
        <v>210</v>
      </c>
      <c r="K719" s="54" t="s">
        <v>210</v>
      </c>
      <c r="L719" s="54" t="s">
        <v>210</v>
      </c>
      <c r="M719" s="32">
        <v>30000</v>
      </c>
      <c r="N719" s="32">
        <v>30000</v>
      </c>
      <c r="O719" s="32">
        <v>30000</v>
      </c>
      <c r="P719" s="34">
        <v>30000</v>
      </c>
    </row>
    <row r="720" spans="1:16" ht="15.75" x14ac:dyDescent="0.25">
      <c r="B720" s="1"/>
      <c r="C720" s="1"/>
      <c r="D720" s="1"/>
      <c r="E720" s="1"/>
      <c r="F720" s="1"/>
      <c r="G720" s="19"/>
      <c r="H720" s="19"/>
      <c r="I720" s="19"/>
      <c r="J720" s="11"/>
      <c r="K720" s="11"/>
      <c r="L720" s="11"/>
      <c r="M720" s="11"/>
      <c r="N720" s="1"/>
      <c r="O720" s="1"/>
      <c r="P720" s="1"/>
    </row>
    <row r="721" spans="1:16" ht="15.75" x14ac:dyDescent="0.25">
      <c r="A721" s="121"/>
      <c r="B721" s="43" t="s">
        <v>649</v>
      </c>
      <c r="C721" s="43"/>
      <c r="D721" s="43"/>
      <c r="E721" s="118">
        <f>SUM(E719:E720)</f>
        <v>120000</v>
      </c>
      <c r="F721" s="19"/>
      <c r="G721" s="26"/>
      <c r="H721" s="27"/>
      <c r="I721" s="11"/>
      <c r="J721" s="11"/>
      <c r="K721" s="11"/>
      <c r="L721" s="11"/>
      <c r="M721" s="1"/>
      <c r="N721" s="1"/>
      <c r="O721" s="1"/>
      <c r="P721" s="1"/>
    </row>
    <row r="722" spans="1:16" ht="15.75" x14ac:dyDescent="0.25">
      <c r="A722" s="121"/>
      <c r="B722" s="43"/>
      <c r="C722" s="43"/>
      <c r="D722" s="43"/>
      <c r="E722" s="118"/>
      <c r="F722" s="19"/>
      <c r="G722" s="26"/>
      <c r="H722" s="27"/>
      <c r="I722" s="11"/>
      <c r="J722" s="11"/>
      <c r="K722" s="11"/>
      <c r="L722" s="11"/>
      <c r="M722" s="1"/>
      <c r="N722" s="1"/>
      <c r="O722" s="1"/>
      <c r="P722" s="1"/>
    </row>
    <row r="723" spans="1:16" ht="15.75" x14ac:dyDescent="0.25">
      <c r="A723" s="1">
        <v>1</v>
      </c>
      <c r="B723" s="53" t="s">
        <v>650</v>
      </c>
      <c r="C723" s="40" t="s">
        <v>651</v>
      </c>
      <c r="D723" s="1">
        <v>6500</v>
      </c>
      <c r="E723" s="1">
        <v>78000</v>
      </c>
      <c r="F723" s="1"/>
      <c r="G723" s="19" t="s">
        <v>652</v>
      </c>
      <c r="H723" s="19" t="s">
        <v>648</v>
      </c>
      <c r="I723" s="1"/>
      <c r="J723" s="1"/>
      <c r="K723" s="1"/>
      <c r="L723" s="54" t="s">
        <v>210</v>
      </c>
      <c r="M723" s="64">
        <v>19500</v>
      </c>
      <c r="N723" s="64">
        <v>19500</v>
      </c>
      <c r="O723" s="64">
        <v>19500</v>
      </c>
      <c r="P723" s="64">
        <v>19500</v>
      </c>
    </row>
    <row r="724" spans="1:16" ht="15.75" x14ac:dyDescent="0.25">
      <c r="A724" s="1">
        <v>2</v>
      </c>
      <c r="B724" s="53" t="s">
        <v>653</v>
      </c>
      <c r="C724" s="1" t="s">
        <v>654</v>
      </c>
      <c r="D724" s="1">
        <v>137400</v>
      </c>
      <c r="E724" s="1">
        <v>549600</v>
      </c>
      <c r="F724" s="1"/>
      <c r="G724" s="19" t="s">
        <v>652</v>
      </c>
      <c r="H724" s="19" t="s">
        <v>648</v>
      </c>
      <c r="I724" s="1"/>
      <c r="J724" s="1"/>
      <c r="K724" s="1"/>
      <c r="L724" s="54" t="s">
        <v>210</v>
      </c>
      <c r="M724" s="64">
        <v>137400</v>
      </c>
      <c r="N724" s="64">
        <v>137400</v>
      </c>
      <c r="O724" s="64">
        <v>137400</v>
      </c>
      <c r="P724" s="64">
        <v>137400</v>
      </c>
    </row>
    <row r="725" spans="1:16" ht="15.75" x14ac:dyDescent="0.25">
      <c r="A725" s="1">
        <v>3</v>
      </c>
      <c r="B725" s="53" t="s">
        <v>655</v>
      </c>
      <c r="C725" s="1" t="s">
        <v>654</v>
      </c>
      <c r="D725" s="8">
        <v>50000</v>
      </c>
      <c r="E725" s="1">
        <v>200000</v>
      </c>
      <c r="F725" s="1"/>
      <c r="G725" s="19" t="s">
        <v>652</v>
      </c>
      <c r="H725" s="19" t="s">
        <v>648</v>
      </c>
      <c r="I725" s="1"/>
      <c r="J725" s="1"/>
      <c r="K725" s="1"/>
      <c r="L725" s="54" t="s">
        <v>210</v>
      </c>
      <c r="M725" s="64">
        <v>50000</v>
      </c>
      <c r="N725" s="64">
        <v>50000</v>
      </c>
      <c r="O725" s="64">
        <v>50000</v>
      </c>
      <c r="P725" s="64">
        <v>50000</v>
      </c>
    </row>
    <row r="726" spans="1:16" ht="15.75" x14ac:dyDescent="0.25">
      <c r="A726" s="1">
        <v>4</v>
      </c>
      <c r="B726" s="53" t="s">
        <v>656</v>
      </c>
      <c r="C726" s="40" t="s">
        <v>651</v>
      </c>
      <c r="D726" s="1">
        <v>14000</v>
      </c>
      <c r="E726" s="1">
        <v>168000</v>
      </c>
      <c r="F726" s="1"/>
      <c r="G726" s="19" t="s">
        <v>652</v>
      </c>
      <c r="H726" s="19" t="s">
        <v>648</v>
      </c>
      <c r="I726" s="1"/>
      <c r="J726" s="1"/>
      <c r="K726" s="1"/>
      <c r="L726" s="54" t="s">
        <v>210</v>
      </c>
      <c r="M726" s="64">
        <v>42000</v>
      </c>
      <c r="N726" s="64">
        <v>42000</v>
      </c>
      <c r="O726" s="64">
        <v>42000</v>
      </c>
      <c r="P726" s="64">
        <v>42000</v>
      </c>
    </row>
    <row r="727" spans="1:16" ht="15.75" x14ac:dyDescent="0.25">
      <c r="A727" s="1">
        <v>5</v>
      </c>
      <c r="B727" s="53" t="s">
        <v>657</v>
      </c>
      <c r="C727" s="1" t="s">
        <v>658</v>
      </c>
      <c r="D727" s="1">
        <v>300000</v>
      </c>
      <c r="E727" s="1">
        <v>300000</v>
      </c>
      <c r="F727" s="1"/>
      <c r="G727" s="19" t="s">
        <v>652</v>
      </c>
      <c r="H727" s="19" t="s">
        <v>648</v>
      </c>
      <c r="I727" s="1"/>
      <c r="J727" s="1"/>
      <c r="K727" s="1"/>
      <c r="L727" s="54" t="s">
        <v>210</v>
      </c>
      <c r="M727" s="64">
        <v>150000</v>
      </c>
      <c r="N727" s="64">
        <v>50000</v>
      </c>
      <c r="O727" s="64">
        <v>50000</v>
      </c>
      <c r="P727" s="64">
        <v>50000</v>
      </c>
    </row>
    <row r="728" spans="1:16" ht="15.75" x14ac:dyDescent="0.25">
      <c r="A728" s="1">
        <v>6</v>
      </c>
      <c r="B728" s="53" t="s">
        <v>659</v>
      </c>
      <c r="C728" s="1" t="s">
        <v>658</v>
      </c>
      <c r="D728" s="1">
        <v>480000</v>
      </c>
      <c r="E728" s="14">
        <v>480000</v>
      </c>
      <c r="F728" s="1"/>
      <c r="G728" s="19" t="s">
        <v>652</v>
      </c>
      <c r="H728" s="19" t="s">
        <v>648</v>
      </c>
      <c r="I728" s="1"/>
      <c r="J728" s="1"/>
      <c r="K728" s="1"/>
      <c r="L728" s="54" t="s">
        <v>210</v>
      </c>
      <c r="M728" s="64">
        <v>300000</v>
      </c>
      <c r="N728" s="64">
        <v>60000</v>
      </c>
      <c r="O728" s="64">
        <v>60000</v>
      </c>
      <c r="P728" s="64">
        <v>60000</v>
      </c>
    </row>
    <row r="729" spans="1:16" ht="15.75" x14ac:dyDescent="0.25">
      <c r="A729" s="1">
        <v>7</v>
      </c>
      <c r="B729" s="53" t="s">
        <v>660</v>
      </c>
      <c r="C729" s="1" t="s">
        <v>658</v>
      </c>
      <c r="D729" s="1">
        <v>38000</v>
      </c>
      <c r="E729" s="14">
        <v>456000</v>
      </c>
      <c r="F729" s="1"/>
      <c r="G729" s="19" t="s">
        <v>652</v>
      </c>
      <c r="H729" s="19" t="s">
        <v>648</v>
      </c>
      <c r="I729" s="1"/>
      <c r="J729" s="1"/>
      <c r="K729" s="1"/>
      <c r="L729" s="54" t="s">
        <v>210</v>
      </c>
      <c r="M729" s="64">
        <v>114000</v>
      </c>
      <c r="N729" s="64">
        <v>114000</v>
      </c>
      <c r="O729" s="64">
        <v>114000</v>
      </c>
      <c r="P729" s="64">
        <v>114000</v>
      </c>
    </row>
    <row r="730" spans="1:16" ht="15.75" x14ac:dyDescent="0.25">
      <c r="A730" s="43">
        <v>8</v>
      </c>
      <c r="B730" s="44" t="s">
        <v>171</v>
      </c>
      <c r="C730" s="45">
        <v>12</v>
      </c>
      <c r="D730" s="46">
        <v>120000</v>
      </c>
      <c r="E730" s="46">
        <f>C730*D730</f>
        <v>1440000</v>
      </c>
      <c r="F730" s="47" t="s">
        <v>156</v>
      </c>
      <c r="G730" s="19" t="s">
        <v>75</v>
      </c>
      <c r="H730" s="19" t="s">
        <v>663</v>
      </c>
      <c r="I730" s="11" t="s">
        <v>21</v>
      </c>
      <c r="J730" s="11" t="s">
        <v>21</v>
      </c>
      <c r="K730" s="11" t="s">
        <v>21</v>
      </c>
      <c r="L730" s="11" t="s">
        <v>21</v>
      </c>
      <c r="M730" s="32">
        <v>360000</v>
      </c>
      <c r="N730" s="32">
        <v>360000</v>
      </c>
      <c r="O730" s="34">
        <v>360000</v>
      </c>
      <c r="P730" s="1">
        <v>360000</v>
      </c>
    </row>
    <row r="731" spans="1:16" ht="15.75" x14ac:dyDescent="0.25">
      <c r="A731" s="43"/>
      <c r="B731" s="43" t="s">
        <v>649</v>
      </c>
      <c r="C731" s="84"/>
      <c r="D731" s="85"/>
      <c r="E731" s="85">
        <f>SUM(E723:E730)</f>
        <v>3671600</v>
      </c>
      <c r="F731" s="47"/>
      <c r="G731" s="19"/>
      <c r="H731" s="19"/>
      <c r="I731" s="11"/>
      <c r="J731" s="11"/>
      <c r="K731" s="11"/>
      <c r="L731" s="11"/>
      <c r="M731" s="32"/>
      <c r="N731" s="32"/>
      <c r="O731" s="34"/>
      <c r="P731" s="1"/>
    </row>
    <row r="732" spans="1:16" ht="15.75" x14ac:dyDescent="0.25">
      <c r="B732" s="1"/>
      <c r="C732" s="1"/>
      <c r="D732" s="1"/>
      <c r="E732" s="1"/>
      <c r="F732" s="1"/>
      <c r="G732" s="19"/>
      <c r="H732" s="19"/>
      <c r="I732" s="19"/>
      <c r="J732" s="11"/>
      <c r="K732" s="11"/>
      <c r="L732" s="11"/>
      <c r="M732" s="11"/>
      <c r="N732" s="1"/>
      <c r="O732" s="1"/>
      <c r="P732" s="1"/>
    </row>
    <row r="733" spans="1:16" ht="15.75" x14ac:dyDescent="0.25">
      <c r="A733" s="140">
        <v>41</v>
      </c>
      <c r="B733" s="43" t="s">
        <v>696</v>
      </c>
      <c r="C733" s="1"/>
      <c r="D733" s="1"/>
      <c r="E733" s="1"/>
      <c r="F733" s="19"/>
      <c r="G733" s="26"/>
      <c r="H733" s="27"/>
      <c r="I733" s="11"/>
      <c r="J733" s="11"/>
      <c r="K733" s="11"/>
      <c r="L733" s="11"/>
      <c r="M733" s="1"/>
      <c r="N733" s="1"/>
      <c r="O733" s="1"/>
      <c r="P733" s="1"/>
    </row>
    <row r="734" spans="1:16" ht="30" x14ac:dyDescent="0.25">
      <c r="B734" s="102" t="s">
        <v>669</v>
      </c>
      <c r="C734" s="27"/>
      <c r="D734" s="23"/>
      <c r="E734" s="20"/>
      <c r="F734" s="25"/>
      <c r="G734" s="26"/>
      <c r="H734" s="23"/>
      <c r="I734" s="32"/>
      <c r="J734" s="32"/>
      <c r="K734" s="32"/>
      <c r="L734" s="32"/>
      <c r="M734" s="33"/>
      <c r="N734" s="33"/>
      <c r="O734" s="33"/>
      <c r="P734" s="33"/>
    </row>
    <row r="735" spans="1:16" ht="30" x14ac:dyDescent="0.25">
      <c r="B735" s="23" t="s">
        <v>670</v>
      </c>
      <c r="C735" s="27">
        <v>1</v>
      </c>
      <c r="D735" s="35">
        <v>60000</v>
      </c>
      <c r="E735" s="22">
        <f t="shared" ref="E735:E740" si="18">C735*D735</f>
        <v>60000</v>
      </c>
      <c r="F735" s="25" t="s">
        <v>104</v>
      </c>
      <c r="G735" s="26" t="s">
        <v>75</v>
      </c>
      <c r="H735" s="27" t="s">
        <v>671</v>
      </c>
      <c r="I735" s="32"/>
      <c r="J735" s="32"/>
      <c r="K735" s="32"/>
      <c r="L735" s="11" t="s">
        <v>21</v>
      </c>
      <c r="M735" s="33">
        <v>60000</v>
      </c>
      <c r="N735" s="33"/>
      <c r="O735" s="33"/>
      <c r="P735" s="33"/>
    </row>
    <row r="736" spans="1:16" ht="30" x14ac:dyDescent="0.25">
      <c r="B736" s="23" t="s">
        <v>672</v>
      </c>
      <c r="C736" s="27">
        <v>1</v>
      </c>
      <c r="D736" s="35">
        <v>1600000</v>
      </c>
      <c r="E736" s="20">
        <f t="shared" si="18"/>
        <v>1600000</v>
      </c>
      <c r="F736" s="25" t="s">
        <v>104</v>
      </c>
      <c r="G736" s="26" t="s">
        <v>75</v>
      </c>
      <c r="H736" s="27" t="s">
        <v>671</v>
      </c>
      <c r="I736" s="32"/>
      <c r="J736" s="32"/>
      <c r="K736" s="32"/>
      <c r="L736" s="11" t="s">
        <v>21</v>
      </c>
      <c r="M736" s="33"/>
      <c r="N736" s="33">
        <v>1600000</v>
      </c>
      <c r="O736" s="33"/>
      <c r="P736" s="33"/>
    </row>
    <row r="737" spans="2:16" ht="30" x14ac:dyDescent="0.25">
      <c r="B737" s="23" t="s">
        <v>673</v>
      </c>
      <c r="C737" s="27">
        <v>2</v>
      </c>
      <c r="D737" s="35">
        <v>7500000</v>
      </c>
      <c r="E737" s="18">
        <f t="shared" si="18"/>
        <v>15000000</v>
      </c>
      <c r="F737" s="25" t="s">
        <v>104</v>
      </c>
      <c r="G737" s="26" t="s">
        <v>75</v>
      </c>
      <c r="H737" s="27" t="s">
        <v>671</v>
      </c>
      <c r="I737" s="32"/>
      <c r="J737" s="32"/>
      <c r="K737" s="32"/>
      <c r="L737" s="11" t="s">
        <v>21</v>
      </c>
      <c r="M737" s="33">
        <v>7500000</v>
      </c>
      <c r="N737" s="33"/>
      <c r="O737" s="33">
        <v>7500000</v>
      </c>
      <c r="P737" s="33"/>
    </row>
    <row r="738" spans="2:16" ht="30" x14ac:dyDescent="0.25">
      <c r="B738" s="23" t="s">
        <v>674</v>
      </c>
      <c r="C738" s="27">
        <v>1</v>
      </c>
      <c r="D738" s="35">
        <v>6500000</v>
      </c>
      <c r="E738" s="22">
        <f t="shared" si="18"/>
        <v>6500000</v>
      </c>
      <c r="F738" s="25" t="s">
        <v>104</v>
      </c>
      <c r="G738" s="26" t="s">
        <v>75</v>
      </c>
      <c r="H738" s="27" t="s">
        <v>671</v>
      </c>
      <c r="I738" s="32"/>
      <c r="J738" s="32"/>
      <c r="K738" s="32"/>
      <c r="L738" s="11" t="s">
        <v>21</v>
      </c>
      <c r="M738" s="33"/>
      <c r="N738" s="33"/>
      <c r="O738" s="33"/>
      <c r="P738" s="33"/>
    </row>
    <row r="739" spans="2:16" ht="30" x14ac:dyDescent="0.25">
      <c r="B739" s="23" t="s">
        <v>675</v>
      </c>
      <c r="C739" s="27">
        <v>1</v>
      </c>
      <c r="D739" s="35">
        <v>6000000</v>
      </c>
      <c r="E739" s="20">
        <f t="shared" si="18"/>
        <v>6000000</v>
      </c>
      <c r="F739" s="25" t="s">
        <v>104</v>
      </c>
      <c r="G739" s="26" t="s">
        <v>75</v>
      </c>
      <c r="H739" s="27" t="s">
        <v>671</v>
      </c>
      <c r="I739" s="32"/>
      <c r="J739" s="32"/>
      <c r="K739" s="32"/>
      <c r="L739" s="11" t="s">
        <v>21</v>
      </c>
      <c r="M739" s="33"/>
      <c r="N739" s="33">
        <v>4500000</v>
      </c>
      <c r="O739" s="33"/>
      <c r="P739" s="33"/>
    </row>
    <row r="740" spans="2:16" ht="30" x14ac:dyDescent="0.25">
      <c r="B740" s="23" t="s">
        <v>676</v>
      </c>
      <c r="C740" s="27">
        <v>1</v>
      </c>
      <c r="D740" s="35">
        <v>3000000</v>
      </c>
      <c r="E740" s="20">
        <f t="shared" si="18"/>
        <v>3000000</v>
      </c>
      <c r="F740" s="25" t="s">
        <v>104</v>
      </c>
      <c r="G740" s="26" t="s">
        <v>75</v>
      </c>
      <c r="H740" s="27" t="s">
        <v>671</v>
      </c>
      <c r="I740" s="32"/>
      <c r="J740" s="32"/>
      <c r="K740" s="32"/>
      <c r="L740" s="11" t="s">
        <v>21</v>
      </c>
      <c r="M740" s="33">
        <v>3000000</v>
      </c>
      <c r="N740" s="33"/>
      <c r="O740" s="33"/>
      <c r="P740" s="33"/>
    </row>
    <row r="741" spans="2:16" ht="15.75" x14ac:dyDescent="0.25">
      <c r="B741" s="101" t="s">
        <v>649</v>
      </c>
      <c r="C741" s="123"/>
      <c r="D741" s="89"/>
      <c r="E741" s="124">
        <f>SUM(E735:E740)</f>
        <v>32160000</v>
      </c>
      <c r="F741" s="32"/>
      <c r="G741" s="47"/>
      <c r="H741" s="125"/>
      <c r="I741" s="32"/>
      <c r="J741" s="32"/>
      <c r="K741" s="32"/>
      <c r="L741" s="32"/>
      <c r="M741" s="33"/>
      <c r="N741" s="33"/>
      <c r="O741" s="33"/>
      <c r="P741" s="33"/>
    </row>
    <row r="742" spans="2:16" ht="15.75" x14ac:dyDescent="0.25">
      <c r="B742" s="89"/>
      <c r="C742" s="123"/>
      <c r="D742" s="89"/>
      <c r="E742" s="1"/>
      <c r="F742" s="32"/>
      <c r="G742" s="47"/>
      <c r="H742" s="125"/>
      <c r="I742" s="32"/>
      <c r="J742" s="32"/>
      <c r="K742" s="32"/>
      <c r="L742" s="32"/>
      <c r="M742" s="32"/>
      <c r="N742" s="32"/>
      <c r="O742" s="32"/>
      <c r="P742" s="34"/>
    </row>
    <row r="743" spans="2:16" x14ac:dyDescent="0.25">
      <c r="B743" s="121" t="s">
        <v>677</v>
      </c>
    </row>
    <row r="744" spans="2:16" ht="30" x14ac:dyDescent="0.25">
      <c r="B744" s="40" t="s">
        <v>678</v>
      </c>
      <c r="C744" s="1"/>
      <c r="D744" s="1"/>
      <c r="E744" s="126">
        <v>400000</v>
      </c>
      <c r="F744" s="19" t="s">
        <v>132</v>
      </c>
      <c r="G744" s="19" t="s">
        <v>75</v>
      </c>
      <c r="H744" s="19" t="s">
        <v>671</v>
      </c>
      <c r="I744" s="11" t="s">
        <v>21</v>
      </c>
      <c r="J744" s="11" t="s">
        <v>21</v>
      </c>
      <c r="K744" s="11" t="s">
        <v>21</v>
      </c>
      <c r="L744" s="11" t="s">
        <v>21</v>
      </c>
      <c r="M744" s="1"/>
      <c r="N744" s="1"/>
      <c r="O744" s="1"/>
      <c r="P744" s="1"/>
    </row>
    <row r="745" spans="2:16" ht="30" x14ac:dyDescent="0.25">
      <c r="B745" s="40" t="s">
        <v>679</v>
      </c>
      <c r="C745" s="1"/>
      <c r="D745" s="1"/>
      <c r="E745" s="126">
        <v>30000000</v>
      </c>
      <c r="F745" s="19" t="s">
        <v>132</v>
      </c>
      <c r="G745" s="19" t="s">
        <v>680</v>
      </c>
      <c r="H745" s="19" t="s">
        <v>671</v>
      </c>
      <c r="I745" s="11" t="s">
        <v>21</v>
      </c>
      <c r="J745" s="11" t="s">
        <v>21</v>
      </c>
      <c r="K745" s="11" t="s">
        <v>21</v>
      </c>
      <c r="L745" s="11" t="s">
        <v>21</v>
      </c>
      <c r="M745" s="1"/>
      <c r="N745" s="1"/>
      <c r="O745" s="1"/>
      <c r="P745" s="1"/>
    </row>
    <row r="746" spans="2:16" ht="30" x14ac:dyDescent="0.25">
      <c r="B746" s="40" t="s">
        <v>681</v>
      </c>
      <c r="C746" s="1"/>
      <c r="D746" s="1"/>
      <c r="E746" s="126">
        <v>3000000</v>
      </c>
      <c r="F746" s="19" t="s">
        <v>132</v>
      </c>
      <c r="G746" s="19" t="s">
        <v>680</v>
      </c>
      <c r="H746" s="19" t="s">
        <v>671</v>
      </c>
      <c r="I746" s="1"/>
      <c r="J746" s="1"/>
      <c r="K746" s="1"/>
      <c r="L746" s="1"/>
      <c r="M746" s="1"/>
      <c r="N746" s="1"/>
      <c r="O746" s="1"/>
      <c r="P746" s="1"/>
    </row>
    <row r="747" spans="2:16" ht="15.75" x14ac:dyDescent="0.25">
      <c r="B747" s="119" t="s">
        <v>682</v>
      </c>
      <c r="C747" s="1">
        <v>1</v>
      </c>
      <c r="D747" s="1">
        <v>1000000</v>
      </c>
      <c r="E747" s="126">
        <f>C747*D747</f>
        <v>1000000</v>
      </c>
      <c r="F747" s="19" t="s">
        <v>132</v>
      </c>
      <c r="G747" s="19" t="s">
        <v>680</v>
      </c>
      <c r="H747" s="19" t="s">
        <v>671</v>
      </c>
      <c r="I747" s="11" t="s">
        <v>21</v>
      </c>
      <c r="J747" s="11" t="s">
        <v>21</v>
      </c>
      <c r="K747" s="11" t="s">
        <v>21</v>
      </c>
      <c r="L747" s="11" t="s">
        <v>21</v>
      </c>
      <c r="M747" s="1">
        <v>1000000</v>
      </c>
      <c r="N747" s="1"/>
      <c r="O747" s="1"/>
      <c r="P747" s="1"/>
    </row>
    <row r="748" spans="2:16" x14ac:dyDescent="0.25">
      <c r="B748" s="40" t="s">
        <v>683</v>
      </c>
      <c r="C748" s="1"/>
      <c r="D748" s="1"/>
      <c r="E748" s="126">
        <v>1000000</v>
      </c>
      <c r="F748" s="19" t="s">
        <v>132</v>
      </c>
      <c r="G748" s="19" t="s">
        <v>680</v>
      </c>
      <c r="H748" s="19" t="s">
        <v>671</v>
      </c>
      <c r="I748" s="1"/>
      <c r="J748" s="1"/>
      <c r="K748" s="1"/>
      <c r="L748" s="1"/>
      <c r="M748" s="1"/>
      <c r="N748" s="1"/>
      <c r="O748" s="1"/>
      <c r="P748" s="1"/>
    </row>
    <row r="749" spans="2:16" x14ac:dyDescent="0.25">
      <c r="B749" s="1" t="s">
        <v>684</v>
      </c>
      <c r="C749" s="1"/>
      <c r="D749" s="1"/>
      <c r="E749" s="126">
        <f>C749*D749</f>
        <v>0</v>
      </c>
      <c r="F749" s="19" t="s">
        <v>132</v>
      </c>
      <c r="G749" s="19" t="s">
        <v>680</v>
      </c>
      <c r="H749" s="19" t="s">
        <v>671</v>
      </c>
      <c r="I749" s="1"/>
      <c r="J749" s="1"/>
      <c r="K749" s="1"/>
      <c r="L749" s="1"/>
      <c r="M749" s="1"/>
      <c r="N749" s="1"/>
      <c r="O749" s="1"/>
      <c r="P749" s="1"/>
    </row>
    <row r="750" spans="2:16" ht="15.75" x14ac:dyDescent="0.25">
      <c r="B750" s="119" t="s">
        <v>685</v>
      </c>
      <c r="C750" s="1">
        <v>20</v>
      </c>
      <c r="D750" s="1">
        <v>6000</v>
      </c>
      <c r="E750" s="126">
        <v>120000</v>
      </c>
      <c r="F750" s="19" t="s">
        <v>132</v>
      </c>
      <c r="G750" s="19" t="s">
        <v>75</v>
      </c>
      <c r="H750" s="19" t="s">
        <v>671</v>
      </c>
      <c r="I750" s="1"/>
      <c r="J750" s="1"/>
      <c r="K750" s="1"/>
      <c r="L750" s="11" t="s">
        <v>21</v>
      </c>
      <c r="M750" s="1">
        <v>200000</v>
      </c>
      <c r="N750" s="1"/>
      <c r="O750" s="1"/>
      <c r="P750" s="1"/>
    </row>
    <row r="751" spans="2:16" ht="15.75" x14ac:dyDescent="0.25">
      <c r="B751" s="127" t="s">
        <v>649</v>
      </c>
      <c r="C751" s="1"/>
      <c r="D751" s="1"/>
      <c r="E751" s="128">
        <f>SUM(E744:E750)</f>
        <v>35520000</v>
      </c>
      <c r="F751" s="19"/>
      <c r="G751" s="19"/>
      <c r="H751" s="19"/>
      <c r="I751" s="11"/>
      <c r="J751" s="11"/>
      <c r="K751" s="11"/>
      <c r="L751" s="11"/>
      <c r="M751" s="1"/>
      <c r="N751" s="1"/>
      <c r="O751" s="1"/>
      <c r="P751" s="1"/>
    </row>
    <row r="752" spans="2:16" ht="15.75" x14ac:dyDescent="0.25">
      <c r="B752" s="40"/>
      <c r="C752" s="1"/>
      <c r="D752" s="1"/>
      <c r="E752" s="126"/>
      <c r="F752" s="19"/>
      <c r="G752" s="19"/>
      <c r="H752" s="19"/>
      <c r="I752" s="11"/>
      <c r="J752" s="11"/>
      <c r="K752" s="11"/>
      <c r="L752" s="11"/>
      <c r="M752" s="1"/>
      <c r="N752" s="1"/>
      <c r="O752" s="1"/>
      <c r="P752" s="1"/>
    </row>
    <row r="753" spans="2:16" x14ac:dyDescent="0.25">
      <c r="B753" s="127" t="s">
        <v>686</v>
      </c>
      <c r="C753" s="1"/>
      <c r="D753" s="1"/>
      <c r="E753" s="126"/>
      <c r="F753" s="19"/>
      <c r="G753" s="19"/>
      <c r="H753" s="19"/>
      <c r="I753" s="1"/>
      <c r="J753" s="1"/>
      <c r="K753" s="1"/>
      <c r="L753" s="1"/>
      <c r="M753" s="1"/>
      <c r="N753" s="1"/>
      <c r="O753" s="1"/>
      <c r="P753" s="1"/>
    </row>
    <row r="754" spans="2:16" ht="15.75" x14ac:dyDescent="0.25">
      <c r="B754" s="119" t="s">
        <v>687</v>
      </c>
      <c r="C754" s="1"/>
      <c r="D754" s="1"/>
      <c r="E754" s="126">
        <v>136000000</v>
      </c>
      <c r="F754" s="19" t="s">
        <v>688</v>
      </c>
      <c r="G754" s="19" t="s">
        <v>680</v>
      </c>
      <c r="H754" s="19" t="s">
        <v>671</v>
      </c>
      <c r="I754" s="11"/>
      <c r="J754" s="11"/>
      <c r="K754" s="11"/>
      <c r="L754" s="11" t="s">
        <v>21</v>
      </c>
      <c r="M754" s="1">
        <v>121000000</v>
      </c>
      <c r="N754" s="1"/>
      <c r="O754" s="1"/>
      <c r="P754" s="1"/>
    </row>
    <row r="755" spans="2:16" ht="15.75" x14ac:dyDescent="0.25">
      <c r="B755" s="40" t="s">
        <v>689</v>
      </c>
      <c r="C755" s="1"/>
      <c r="D755" s="1"/>
      <c r="E755" s="126">
        <v>650000000</v>
      </c>
      <c r="F755" s="19" t="s">
        <v>688</v>
      </c>
      <c r="G755" s="19" t="s">
        <v>680</v>
      </c>
      <c r="H755" s="19" t="s">
        <v>671</v>
      </c>
      <c r="I755" s="1"/>
      <c r="J755" s="1"/>
      <c r="K755" s="1"/>
      <c r="L755" s="11" t="s">
        <v>21</v>
      </c>
      <c r="M755" s="1">
        <v>650000000</v>
      </c>
      <c r="N755" s="1"/>
      <c r="O755" s="1"/>
      <c r="P755" s="1"/>
    </row>
    <row r="756" spans="2:16" ht="15.75" x14ac:dyDescent="0.25">
      <c r="B756" s="1" t="s">
        <v>690</v>
      </c>
      <c r="C756" s="1"/>
      <c r="D756" s="1"/>
      <c r="E756" s="126"/>
      <c r="F756" s="19" t="s">
        <v>688</v>
      </c>
      <c r="G756" s="19" t="s">
        <v>680</v>
      </c>
      <c r="H756" s="19" t="s">
        <v>671</v>
      </c>
      <c r="I756" s="1"/>
      <c r="J756" s="1"/>
      <c r="K756" s="1"/>
      <c r="L756" s="11" t="s">
        <v>21</v>
      </c>
      <c r="M756" s="1"/>
      <c r="N756" s="1"/>
      <c r="O756" s="1"/>
      <c r="P756" s="1"/>
    </row>
    <row r="757" spans="2:16" ht="15.75" x14ac:dyDescent="0.25">
      <c r="B757" s="119"/>
      <c r="C757" s="1"/>
      <c r="D757" s="1"/>
      <c r="E757" s="8"/>
      <c r="F757" s="19"/>
      <c r="G757" s="19"/>
      <c r="H757" s="19"/>
      <c r="I757" s="1"/>
      <c r="J757" s="1"/>
      <c r="K757" s="1"/>
      <c r="L757" s="11"/>
      <c r="M757" s="1"/>
      <c r="N757" s="1"/>
      <c r="O757" s="1"/>
      <c r="P757" s="1"/>
    </row>
    <row r="758" spans="2:16" ht="15.75" x14ac:dyDescent="0.25">
      <c r="B758" s="127" t="s">
        <v>649</v>
      </c>
      <c r="C758" s="1"/>
      <c r="D758" s="1"/>
      <c r="E758" s="129">
        <f>SUM(E754:E757)</f>
        <v>786000000</v>
      </c>
      <c r="F758" s="19"/>
      <c r="G758" s="19"/>
      <c r="H758" s="19"/>
      <c r="I758" s="11"/>
      <c r="J758" s="11"/>
      <c r="K758" s="11"/>
      <c r="L758" s="11"/>
      <c r="M758" s="1"/>
      <c r="N758" s="1"/>
      <c r="O758" s="1"/>
      <c r="P758" s="1"/>
    </row>
    <row r="759" spans="2:16" ht="15.75" x14ac:dyDescent="0.25">
      <c r="B759" s="40" t="s">
        <v>691</v>
      </c>
      <c r="C759" s="1"/>
      <c r="D759" s="1"/>
      <c r="E759" s="8"/>
      <c r="F759" s="19"/>
      <c r="G759" s="19"/>
      <c r="H759" s="19"/>
      <c r="I759" s="11"/>
      <c r="J759" s="11"/>
      <c r="K759" s="11"/>
      <c r="L759" s="11"/>
      <c r="M759" s="1"/>
      <c r="N759" s="1"/>
      <c r="O759" s="1"/>
      <c r="P759" s="1"/>
    </row>
    <row r="760" spans="2:16" ht="30" x14ac:dyDescent="0.25">
      <c r="B760" s="50" t="s">
        <v>486</v>
      </c>
      <c r="C760" s="50"/>
      <c r="D760" s="51"/>
      <c r="E760" s="79">
        <v>6000000</v>
      </c>
      <c r="F760" s="47" t="s">
        <v>185</v>
      </c>
      <c r="G760" s="19" t="s">
        <v>75</v>
      </c>
      <c r="H760" s="19" t="s">
        <v>25</v>
      </c>
      <c r="I760" s="11" t="s">
        <v>21</v>
      </c>
      <c r="J760" s="11" t="s">
        <v>21</v>
      </c>
      <c r="K760" s="11" t="s">
        <v>21</v>
      </c>
      <c r="L760" s="11" t="s">
        <v>21</v>
      </c>
      <c r="M760" s="33">
        <v>6000000</v>
      </c>
      <c r="N760" s="33"/>
      <c r="O760" s="33"/>
      <c r="P760" s="33"/>
    </row>
    <row r="761" spans="2:16" ht="15.75" x14ac:dyDescent="0.25">
      <c r="B761" s="130" t="s">
        <v>692</v>
      </c>
      <c r="C761" s="1"/>
      <c r="D761" s="1"/>
      <c r="E761" s="1"/>
      <c r="F761" s="19"/>
      <c r="G761" s="19"/>
      <c r="H761" s="19"/>
      <c r="I761" s="11"/>
      <c r="J761" s="11"/>
      <c r="K761" s="11"/>
      <c r="L761" s="11"/>
      <c r="M761" s="1"/>
      <c r="N761" s="1"/>
      <c r="O761" s="1"/>
      <c r="P761" s="1"/>
    </row>
    <row r="762" spans="2:16" ht="15.75" x14ac:dyDescent="0.25">
      <c r="B762" s="1" t="s">
        <v>693</v>
      </c>
      <c r="C762" s="1">
        <v>1</v>
      </c>
      <c r="D762" s="1"/>
      <c r="E762" s="115">
        <v>500000</v>
      </c>
      <c r="F762" s="1"/>
      <c r="G762" s="68" t="s">
        <v>75</v>
      </c>
      <c r="H762" s="1"/>
      <c r="I762" s="54" t="s">
        <v>210</v>
      </c>
      <c r="J762" s="54" t="s">
        <v>210</v>
      </c>
      <c r="K762" s="54" t="s">
        <v>210</v>
      </c>
      <c r="L762" s="54" t="s">
        <v>210</v>
      </c>
      <c r="M762" s="1"/>
      <c r="N762" s="1">
        <v>500000</v>
      </c>
      <c r="O762" s="1"/>
      <c r="P762" s="1"/>
    </row>
    <row r="763" spans="2:16" ht="15.75" x14ac:dyDescent="0.25">
      <c r="B763" s="1" t="s">
        <v>694</v>
      </c>
      <c r="C763" s="1"/>
      <c r="D763" s="1"/>
      <c r="E763" s="1"/>
      <c r="F763" s="1"/>
      <c r="G763" s="68" t="s">
        <v>75</v>
      </c>
      <c r="H763" s="1"/>
      <c r="I763" s="54" t="s">
        <v>210</v>
      </c>
      <c r="J763" s="54" t="s">
        <v>210</v>
      </c>
      <c r="K763" s="54" t="s">
        <v>210</v>
      </c>
      <c r="L763" s="54" t="s">
        <v>210</v>
      </c>
      <c r="M763" s="1"/>
      <c r="N763" s="1"/>
      <c r="O763" s="1"/>
      <c r="P763" s="1"/>
    </row>
    <row r="764" spans="2:16" ht="15.75" x14ac:dyDescent="0.25">
      <c r="B764" s="1" t="s">
        <v>695</v>
      </c>
      <c r="C764" s="1"/>
      <c r="D764" s="1"/>
      <c r="E764" s="1"/>
      <c r="F764" s="1"/>
      <c r="G764" s="68" t="s">
        <v>75</v>
      </c>
      <c r="H764" s="1"/>
      <c r="I764" s="54" t="s">
        <v>210</v>
      </c>
      <c r="J764" s="54" t="s">
        <v>210</v>
      </c>
      <c r="K764" s="54" t="s">
        <v>210</v>
      </c>
      <c r="L764" s="54" t="s">
        <v>210</v>
      </c>
      <c r="M764" s="1"/>
      <c r="N764" s="1"/>
      <c r="O764" s="1"/>
      <c r="P764" s="1"/>
    </row>
    <row r="765" spans="2:16" ht="15.75" x14ac:dyDescent="0.25">
      <c r="B765" s="40" t="s">
        <v>649</v>
      </c>
      <c r="C765" s="1"/>
      <c r="D765" s="1"/>
      <c r="E765" s="18">
        <v>860180000</v>
      </c>
      <c r="F765" s="19"/>
      <c r="G765" s="19"/>
      <c r="H765" s="19"/>
      <c r="I765" s="11"/>
      <c r="J765" s="11"/>
      <c r="K765" s="11"/>
      <c r="L765" s="11"/>
      <c r="M765" s="1"/>
      <c r="N765" s="1"/>
      <c r="O765" s="1"/>
      <c r="P765" s="1"/>
    </row>
    <row r="768" spans="2:16" x14ac:dyDescent="0.25">
      <c r="B768" t="s">
        <v>697</v>
      </c>
      <c r="D768" t="s">
        <v>698</v>
      </c>
    </row>
    <row r="769" spans="1:4" x14ac:dyDescent="0.25">
      <c r="A769">
        <v>1</v>
      </c>
      <c r="B769" t="s">
        <v>700</v>
      </c>
      <c r="D769">
        <v>200000</v>
      </c>
    </row>
    <row r="770" spans="1:4" x14ac:dyDescent="0.25">
      <c r="A770">
        <v>2</v>
      </c>
      <c r="B770" t="s">
        <v>701</v>
      </c>
      <c r="D770">
        <v>639000</v>
      </c>
    </row>
    <row r="771" spans="1:4" x14ac:dyDescent="0.25">
      <c r="A771">
        <v>3</v>
      </c>
      <c r="B771" t="s">
        <v>702</v>
      </c>
      <c r="D771">
        <v>486700</v>
      </c>
    </row>
    <row r="772" spans="1:4" x14ac:dyDescent="0.25">
      <c r="A772">
        <v>4</v>
      </c>
      <c r="B772" t="s">
        <v>703</v>
      </c>
      <c r="D772">
        <v>3671600</v>
      </c>
    </row>
    <row r="773" spans="1:4" x14ac:dyDescent="0.25">
      <c r="A773">
        <v>5</v>
      </c>
      <c r="B773" t="s">
        <v>704</v>
      </c>
      <c r="D773">
        <v>453950</v>
      </c>
    </row>
    <row r="774" spans="1:4" x14ac:dyDescent="0.25">
      <c r="A774">
        <v>6</v>
      </c>
      <c r="B774" t="s">
        <v>662</v>
      </c>
      <c r="D774">
        <v>2498950</v>
      </c>
    </row>
    <row r="775" spans="1:4" x14ac:dyDescent="0.25">
      <c r="A775">
        <v>7</v>
      </c>
      <c r="B775" t="s">
        <v>705</v>
      </c>
      <c r="D775">
        <v>5052500</v>
      </c>
    </row>
    <row r="776" spans="1:4" x14ac:dyDescent="0.25">
      <c r="A776">
        <v>8</v>
      </c>
      <c r="B776" t="s">
        <v>706</v>
      </c>
      <c r="D776">
        <v>1417770</v>
      </c>
    </row>
    <row r="777" spans="1:4" x14ac:dyDescent="0.25">
      <c r="A777">
        <v>9</v>
      </c>
      <c r="B777" t="s">
        <v>707</v>
      </c>
      <c r="D777">
        <v>598400</v>
      </c>
    </row>
    <row r="778" spans="1:4" x14ac:dyDescent="0.25">
      <c r="A778">
        <v>10</v>
      </c>
      <c r="B778" t="s">
        <v>708</v>
      </c>
      <c r="D778">
        <v>400238</v>
      </c>
    </row>
    <row r="779" spans="1:4" x14ac:dyDescent="0.25">
      <c r="A779">
        <v>11</v>
      </c>
      <c r="B779" t="s">
        <v>709</v>
      </c>
      <c r="D779">
        <v>350000</v>
      </c>
    </row>
    <row r="780" spans="1:4" x14ac:dyDescent="0.25">
      <c r="A780">
        <v>12</v>
      </c>
      <c r="B780" t="s">
        <v>710</v>
      </c>
      <c r="D780">
        <v>465390</v>
      </c>
    </row>
    <row r="781" spans="1:4" x14ac:dyDescent="0.25">
      <c r="A781">
        <v>13</v>
      </c>
      <c r="B781" t="s">
        <v>711</v>
      </c>
      <c r="D781">
        <v>300000</v>
      </c>
    </row>
    <row r="782" spans="1:4" x14ac:dyDescent="0.25">
      <c r="A782">
        <v>14</v>
      </c>
      <c r="B782" t="s">
        <v>712</v>
      </c>
      <c r="D782">
        <v>822300</v>
      </c>
    </row>
    <row r="783" spans="1:4" x14ac:dyDescent="0.25">
      <c r="A783">
        <v>15</v>
      </c>
      <c r="B783" t="s">
        <v>713</v>
      </c>
      <c r="D783">
        <v>664000</v>
      </c>
    </row>
    <row r="784" spans="1:4" x14ac:dyDescent="0.25">
      <c r="A784">
        <v>16</v>
      </c>
      <c r="B784" t="s">
        <v>714</v>
      </c>
      <c r="D784">
        <v>27000</v>
      </c>
    </row>
    <row r="785" spans="1:5" x14ac:dyDescent="0.25">
      <c r="A785">
        <v>17</v>
      </c>
      <c r="B785" t="s">
        <v>715</v>
      </c>
      <c r="D785">
        <v>771900</v>
      </c>
    </row>
    <row r="786" spans="1:5" x14ac:dyDescent="0.25">
      <c r="A786">
        <v>18</v>
      </c>
      <c r="B786" t="s">
        <v>716</v>
      </c>
      <c r="D786">
        <v>2588000</v>
      </c>
    </row>
    <row r="787" spans="1:5" x14ac:dyDescent="0.25">
      <c r="A787">
        <v>19</v>
      </c>
      <c r="B787" t="s">
        <v>717</v>
      </c>
      <c r="D787">
        <v>1219990</v>
      </c>
    </row>
    <row r="788" spans="1:5" x14ac:dyDescent="0.25">
      <c r="A788">
        <v>20</v>
      </c>
      <c r="B788" t="s">
        <v>718</v>
      </c>
      <c r="D788">
        <v>6230000</v>
      </c>
    </row>
    <row r="789" spans="1:5" x14ac:dyDescent="0.25">
      <c r="A789">
        <v>21</v>
      </c>
      <c r="B789" t="s">
        <v>719</v>
      </c>
      <c r="D789">
        <v>1711040</v>
      </c>
      <c r="E789" s="118"/>
    </row>
    <row r="790" spans="1:5" x14ac:dyDescent="0.25">
      <c r="A790">
        <v>22</v>
      </c>
      <c r="B790" t="s">
        <v>720</v>
      </c>
      <c r="D790">
        <v>3340000</v>
      </c>
    </row>
    <row r="791" spans="1:5" x14ac:dyDescent="0.25">
      <c r="A791">
        <v>23</v>
      </c>
      <c r="B791" t="s">
        <v>721</v>
      </c>
      <c r="D791">
        <v>121000</v>
      </c>
    </row>
    <row r="792" spans="1:5" x14ac:dyDescent="0.25">
      <c r="A792">
        <v>24</v>
      </c>
      <c r="B792" t="s">
        <v>722</v>
      </c>
      <c r="D792">
        <v>24000</v>
      </c>
    </row>
    <row r="793" spans="1:5" x14ac:dyDescent="0.25">
      <c r="A793">
        <v>25</v>
      </c>
      <c r="B793" t="s">
        <v>723</v>
      </c>
      <c r="D793">
        <v>4143510</v>
      </c>
    </row>
    <row r="794" spans="1:5" x14ac:dyDescent="0.25">
      <c r="A794">
        <v>26</v>
      </c>
      <c r="B794" t="s">
        <v>724</v>
      </c>
      <c r="D794">
        <v>2945500</v>
      </c>
    </row>
    <row r="795" spans="1:5" x14ac:dyDescent="0.25">
      <c r="A795">
        <v>27</v>
      </c>
      <c r="B795" t="s">
        <v>725</v>
      </c>
      <c r="D795">
        <v>400000</v>
      </c>
    </row>
    <row r="796" spans="1:5" x14ac:dyDescent="0.25">
      <c r="A796">
        <v>28</v>
      </c>
      <c r="B796" t="s">
        <v>542</v>
      </c>
      <c r="D796">
        <v>183750</v>
      </c>
    </row>
    <row r="797" spans="1:5" x14ac:dyDescent="0.25">
      <c r="A797">
        <v>29</v>
      </c>
      <c r="B797" t="s">
        <v>726</v>
      </c>
      <c r="D797">
        <v>120000</v>
      </c>
    </row>
    <row r="798" spans="1:5" x14ac:dyDescent="0.25">
      <c r="A798">
        <v>30</v>
      </c>
      <c r="B798" t="s">
        <v>696</v>
      </c>
      <c r="D798">
        <v>860180000</v>
      </c>
    </row>
    <row r="799" spans="1:5" x14ac:dyDescent="0.25">
      <c r="B799" s="121" t="s">
        <v>649</v>
      </c>
      <c r="D799" s="132">
        <f>SUM(D769:D798)</f>
        <v>902026488</v>
      </c>
    </row>
    <row r="800" spans="1:5" x14ac:dyDescent="0.25">
      <c r="B800" t="s">
        <v>727</v>
      </c>
      <c r="D800" s="133">
        <v>41846488</v>
      </c>
    </row>
    <row r="801" spans="2:4" x14ac:dyDescent="0.25">
      <c r="B801" t="s">
        <v>728</v>
      </c>
      <c r="D801" s="133">
        <v>38174888</v>
      </c>
    </row>
  </sheetData>
  <mergeCells count="2">
    <mergeCell ref="M1:P1"/>
    <mergeCell ref="B264:P26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PROCUREMENT PLAN 2022-2023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Victor</cp:lastModifiedBy>
  <dcterms:created xsi:type="dcterms:W3CDTF">2022-03-23T07:11:00Z</dcterms:created>
  <dcterms:modified xsi:type="dcterms:W3CDTF">2024-02-19T07:06:26Z</dcterms:modified>
</cp:coreProperties>
</file>