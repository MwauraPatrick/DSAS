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125" windowHeight="12375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W23" i="1" l="1"/>
  <c r="U23" i="1"/>
  <c r="T23" i="1"/>
  <c r="Y22" i="1"/>
  <c r="Y21" i="1"/>
  <c r="Y20" i="1"/>
  <c r="Y19" i="1"/>
  <c r="Y18" i="1"/>
  <c r="Y17" i="1"/>
  <c r="Y16" i="1"/>
  <c r="Y15" i="1"/>
  <c r="Y14" i="1"/>
  <c r="Y13" i="1"/>
  <c r="Y12" i="1"/>
  <c r="Y11" i="1"/>
  <c r="Y23" i="1" s="1"/>
</calcChain>
</file>

<file path=xl/sharedStrings.xml><?xml version="1.0" encoding="utf-8"?>
<sst xmlns="http://schemas.openxmlformats.org/spreadsheetml/2006/main" count="98" uniqueCount="97">
  <si>
    <t>ANNUAL WORK PLAN 2023- 2024</t>
  </si>
  <si>
    <t>Programme Name: …procurementr department work plan…… for fy2023-2024……………………………………………………….</t>
  </si>
  <si>
    <t>Programme Outcome: ……………………………………………………………….</t>
  </si>
  <si>
    <t>Sub-Programme Name: ……………………………………………………………….</t>
  </si>
  <si>
    <t>Delivery Unit/Directorate/Deparment/Unit Name: …………………procurement department…………………………………………….</t>
  </si>
  <si>
    <t>Results Areas</t>
  </si>
  <si>
    <t>Main Activities</t>
  </si>
  <si>
    <t>Sub Activities</t>
  </si>
  <si>
    <t>Expected Outputs</t>
  </si>
  <si>
    <t>Performance Indicators</t>
  </si>
  <si>
    <t>Means of verification</t>
  </si>
  <si>
    <t>2023/2024</t>
  </si>
  <si>
    <t xml:space="preserve">Estimated Cost </t>
  </si>
  <si>
    <t>Approved Budget (Rec &amp; Dev)</t>
  </si>
  <si>
    <t>Off-budget resources</t>
  </si>
  <si>
    <t>Funding Gap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</si>
  <si>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</si>
  <si>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</si>
  <si>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</si>
  <si>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</si>
  <si>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</si>
  <si>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</si>
  <si>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</si>
  <si>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</si>
  <si>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</si>
  <si>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</si>
  <si>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</si>
  <si>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</si>
  <si>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GOK</t>
  </si>
  <si>
    <t>Source of funding</t>
  </si>
  <si>
    <t>Amount</t>
  </si>
  <si>
    <t>Policy Making and Strategic Planning</t>
  </si>
  <si>
    <t>yearly expenditure</t>
  </si>
  <si>
    <t>qurterly purchases,review procurement process and procurement lead time.reviewing contractual process and service contracts</t>
  </si>
  <si>
    <t>Avoid unnecessary purchases and buy in large quantity to get quantity discount.cost saving and reduction of lead time</t>
  </si>
  <si>
    <t>procurement plan and service contracts</t>
  </si>
  <si>
    <t>meet programe requirements,determine the right procurement method  and know the sources of funds.reduce unnecessary purchases,short lead time and save costs</t>
  </si>
  <si>
    <t>Health Legislation, Regulation &amp; standards</t>
  </si>
  <si>
    <t xml:space="preserve">Reporting and Monitoring </t>
  </si>
  <si>
    <t>monthly expenditure,purchase of local goods and equal opportunity to special groups( AGPO)</t>
  </si>
  <si>
    <t>quarterly reports and commitments</t>
  </si>
  <si>
    <t>promoting local industries and creating employment to the special group like women,youth and pwd,( access to government procurement opportunities)</t>
  </si>
  <si>
    <t>PPRA Reports,buy kenya build kenya report,monthly expenditure report</t>
  </si>
  <si>
    <t>30 percent of monthly expenditure to be targetted to the special group.40 percent of the goods purchased  should be locally manufactured</t>
  </si>
  <si>
    <t>PPRA Local-49,930,298.00.PPRA Special Group-37,447,724.00</t>
  </si>
  <si>
    <t>PPRA Local-142,756,964.00.PPRA Special Group-107,067,723.00.00</t>
  </si>
  <si>
    <t>PPRA Local-200,246,903.00.PPRA Special Group-150,185,177.00</t>
  </si>
  <si>
    <t>PPRA Local-38,077,686.00.PPRA Special Group-28,558,265.00</t>
  </si>
  <si>
    <t>Coordination and Partnerships</t>
  </si>
  <si>
    <t>buyer suppliers relationships/cordination  with other user departments and publi private partnership programmes(ppp)</t>
  </si>
  <si>
    <t>negotiations and evaluations</t>
  </si>
  <si>
    <t>uninterupted supply of goods and services and good value for money,valuable contracts</t>
  </si>
  <si>
    <t>negotiations,quantity discounts and credit facilities,requisition notes and reports</t>
  </si>
  <si>
    <t>discounts,credit notes,l.p.o and reduce costs</t>
  </si>
  <si>
    <t>Resource Mobilization</t>
  </si>
  <si>
    <t>Percentage of saved costs ordering, efficient and effective deliveries,</t>
  </si>
  <si>
    <t>Capacity Building and Technical Assistance</t>
  </si>
  <si>
    <t>STAFF TRAINING</t>
  </si>
  <si>
    <t>SEMINARS, WORKSHOPS AND TRAINING</t>
  </si>
  <si>
    <t>PROFESSIONALISM IN STAFF,QUALIFIED PERSONNE AND SKILLED STAFF</t>
  </si>
  <si>
    <t>ATTENDANCE OF KISM TRAINING AND OTHER GOVERMENTAL WORKSHOPS AND SEMINARS</t>
  </si>
  <si>
    <t>STAFFS WITH RIGHT QUALIFICATIONS ,CERTIFICATION AND MEMBERSHIP FROM RIGHT INSTITUTES</t>
  </si>
  <si>
    <t xml:space="preserve">Studies and Research </t>
  </si>
  <si>
    <t xml:space="preserve">market surveys </t>
  </si>
  <si>
    <t>PRICE INDEX AND BENCHMARKING</t>
  </si>
  <si>
    <t>know the right prices for all the goods and services procured for the organisation</t>
  </si>
  <si>
    <t>market index prices,procurement manuals and guidelines from PPOAand PPRA</t>
  </si>
  <si>
    <t>BUYING AT THE RIGHT PRICE,RIGHT QUANTITY,RIGHT QUALITY AND THE RIGHT TIME</t>
  </si>
  <si>
    <t>Development of Guidelines and Protocols</t>
  </si>
  <si>
    <t>PROCUREMENT MANUAL</t>
  </si>
  <si>
    <t>Procurement regulations and procurement ethics</t>
  </si>
  <si>
    <t>standard guidelines for everyone,act as rules for the department and organisation</t>
  </si>
  <si>
    <t>procurement manuals and policy,market index prices</t>
  </si>
  <si>
    <t>uniform limits for purchases</t>
  </si>
  <si>
    <t>Advocacy and awareness creation</t>
  </si>
  <si>
    <t>staff workshops and seminars</t>
  </si>
  <si>
    <t>STAFF TRAINING,IN HOUSE TRAINING AND INTER DEPARTMENTAL CORRESPONDANCES ON PROCUREMENT ISSUES</t>
  </si>
  <si>
    <t>Heads of department and staff to be aware of procurement laws of PPOA and PPRA</t>
  </si>
  <si>
    <t>SEMINARS,WORKSHOPS,TRAINING AND PROCUREMENT MANUALS</t>
  </si>
  <si>
    <t>STAFF AWARENESS ON PROCUREMENT ACT IN THE ORGANISATION</t>
  </si>
  <si>
    <t>Health Service Delivery</t>
  </si>
  <si>
    <t>Health Products and Technologies</t>
  </si>
  <si>
    <t>improvision of electronic procurement.</t>
  </si>
  <si>
    <r>
      <rPr>
        <sz val="11"/>
        <color theme="1"/>
        <rFont val="Verdana"/>
        <charset val="134"/>
      </rPr>
      <t>E-Tendering,E-procurement and E-sourcing</t>
    </r>
    <r>
      <rPr>
        <sz val="10"/>
        <color theme="1"/>
        <rFont val="Verdana"/>
        <charset val="134"/>
      </rPr>
      <t xml:space="preserve"> and green purchasing</t>
    </r>
  </si>
  <si>
    <t>fair distribution of works and services,competitive sourcing and equality,effective and efficient processes</t>
  </si>
  <si>
    <t>SUSTAINABLE PROCUREMENT METHOD</t>
  </si>
  <si>
    <t>purchase of environment friendly goods</t>
  </si>
  <si>
    <t>Infrastructure Development</t>
  </si>
  <si>
    <t>annual contracts</t>
  </si>
  <si>
    <t>machines and tools are service regulary to enhance their performance and prevent quick wear and tear</t>
  </si>
  <si>
    <t>JOB CARDS</t>
  </si>
  <si>
    <t>service contracts</t>
  </si>
  <si>
    <t>Total</t>
  </si>
  <si>
    <t>purchase of goods,services and works ,stor management</t>
  </si>
  <si>
    <t>Requisitions,issuance of l.p.o/LSO,deliveries,inspection,verification and Tendering and just in time purchases.</t>
  </si>
  <si>
    <t>competitive quotations,fair competition,purchase cost effectively and contract formation,stock stacking and stock checking</t>
  </si>
  <si>
    <t>number of local purchase issued orders,deliveries, no.of invoices processed ,contracts signed,quotations issued, tenders,acceptance letters,notifications of awards, project assessment and evaluation.updating bin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</si>
</sst>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_(* #,##0.00_);_(* \(#,##0.00\);_(* &quot;-&quot;??_);_(@_)"/>
    <numFmt numFmtId="168" formatCode="_(* #,##0_);_(* \(#,##0\);_(* &quot;-&quot;??_);_(@_)"/>
  </numFmts>
  <fonts count="9">
    <font>
      <sz val="12"/>
      <color theme="1"/>
      <name val="Calibri"/>
      <charset val="134"/>
      <scheme val="minor"/>
    </font>
    <font>
      <sz val="12"/>
      <color theme="1"/>
      <name val="Verdana"/>
      <charset val="134"/>
    </font>
    <font>
      <b/>
      <sz val="11"/>
      <color theme="1"/>
      <name val="Verdana"/>
      <charset val="134"/>
    </font>
    <font>
      <sz val="11"/>
      <color theme="1"/>
      <name val="Verdana"/>
      <charset val="134"/>
    </font>
    <font>
      <b/>
      <sz val="9"/>
      <color rgb="FF000000"/>
      <name val="Verdana"/>
      <charset val="134"/>
    </font>
    <font>
      <sz val="9"/>
      <color rgb="FF000000"/>
      <name val="Verdana"/>
      <charset val="134"/>
    </font>
    <font>
      <sz val="10"/>
      <color theme="1"/>
      <name val="Verdana"/>
      <charset val="134"/>
    </font>
    <font>
      <sz val="9"/>
      <color theme="1"/>
      <name val="Verdana"/>
      <charset val="134"/>
    </font>
    <font>
      <sz val="12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8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3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1" xfId="0" applyFont="1" applyBorder="1"/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4" fontId="1" fillId="0" borderId="1" xfId="0" applyNumberFormat="1" applyFont="1" applyBorder="1"/>
    <xf numFmtId="0" fontId="3" fillId="0" borderId="1" xfId="0" applyFont="1" applyBorder="1" applyAlignment="1">
      <alignment wrapText="1"/>
    </xf>
    <xf numFmtId="0" fontId="2" fillId="2" borderId="1" xfId="0" applyFont="1" applyFill="1" applyBorder="1"/>
    <xf numFmtId="0" fontId="4" fillId="4" borderId="1" xfId="0" applyFont="1" applyFill="1" applyBorder="1" applyAlignment="1">
      <alignment vertical="center" wrapText="1"/>
    </xf>
    <xf numFmtId="165" fontId="1" fillId="0" borderId="1" xfId="1" applyFont="1" applyBorder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4" fillId="4" borderId="1" xfId="0" quotePrefix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68" fontId="4" fillId="4" borderId="1" xfId="1" applyNumberFormat="1" applyFont="1" applyFill="1" applyBorder="1" applyAlignment="1">
      <alignment horizontal="center" vertical="center" wrapText="1"/>
    </xf>
    <xf numFmtId="168" fontId="4" fillId="4" borderId="1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Z23"/>
  <sheetViews>
    <sheetView tabSelected="1" workbookViewId="0">
      <selection activeCell="H15" sqref="H15"/>
    </sheetView>
  </sheetViews>
  <sheetFormatPr defaultColWidth="10.875" defaultRowHeight="15"/>
  <cols>
    <col min="1" max="1" width="10.875" style="1"/>
    <col min="2" max="2" width="12.375" style="1" customWidth="1"/>
    <col min="3" max="3" width="26.125" style="1" customWidth="1"/>
    <col min="4" max="4" width="29" style="1" customWidth="1"/>
    <col min="5" max="5" width="22.5" style="1" customWidth="1"/>
    <col min="6" max="6" width="23.875" style="1" customWidth="1"/>
    <col min="7" max="7" width="26.625" style="1" customWidth="1"/>
    <col min="8" max="8" width="15.75" style="1"/>
    <col min="9" max="10" width="10.875" style="1"/>
    <col min="11" max="11" width="15.75" style="1"/>
    <col min="12" max="13" width="10.875" style="1"/>
    <col min="14" max="14" width="15.75" style="1"/>
    <col min="15" max="16" width="10.875" style="1"/>
    <col min="17" max="17" width="15.75" style="1"/>
    <col min="18" max="16384" width="10.875" style="1"/>
  </cols>
  <sheetData>
    <row r="4" spans="2:26">
      <c r="B4" s="18" t="s">
        <v>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2:26">
      <c r="B5" s="19" t="s">
        <v>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spans="2:26">
      <c r="B6" s="19" t="s">
        <v>2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2:26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spans="2:26">
      <c r="B8" s="19" t="s">
        <v>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7"/>
    </row>
    <row r="9" spans="2:26" ht="32.1" customHeight="1">
      <c r="B9" s="21" t="s">
        <v>5</v>
      </c>
      <c r="C9" s="21" t="s">
        <v>6</v>
      </c>
      <c r="D9" s="21" t="s">
        <v>7</v>
      </c>
      <c r="E9" s="21" t="s">
        <v>8</v>
      </c>
      <c r="F9" s="21" t="s">
        <v>9</v>
      </c>
      <c r="G9" s="21" t="s">
        <v>10</v>
      </c>
      <c r="H9" s="20" t="s">
        <v>11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4" t="s">
        <v>12</v>
      </c>
      <c r="U9" s="22" t="s">
        <v>13</v>
      </c>
      <c r="V9" s="23"/>
      <c r="W9" s="21" t="s">
        <v>14</v>
      </c>
      <c r="X9" s="21"/>
      <c r="Y9" s="25" t="s">
        <v>15</v>
      </c>
    </row>
    <row r="10" spans="2:26" ht="22.5">
      <c r="B10" s="21"/>
      <c r="C10" s="21"/>
      <c r="D10" s="21"/>
      <c r="E10" s="21"/>
      <c r="F10" s="21"/>
      <c r="G10" s="21"/>
      <c r="H10" s="2" t="s">
        <v>16</v>
      </c>
      <c r="I10" s="2" t="s">
        <v>17</v>
      </c>
      <c r="J10" s="2" t="s">
        <v>18</v>
      </c>
      <c r="K10" s="2" t="s">
        <v>19</v>
      </c>
      <c r="L10" s="2" t="s">
        <v>20</v>
      </c>
      <c r="M10" s="2" t="s">
        <v>21</v>
      </c>
      <c r="N10" s="2" t="s">
        <v>22</v>
      </c>
      <c r="O10" s="2" t="s">
        <v>23</v>
      </c>
      <c r="P10" s="2" t="s">
        <v>24</v>
      </c>
      <c r="Q10" s="2" t="s">
        <v>25</v>
      </c>
      <c r="R10" s="2" t="s">
        <v>26</v>
      </c>
      <c r="S10" s="2" t="s">
        <v>27</v>
      </c>
      <c r="T10" s="24"/>
      <c r="U10" s="15" t="s">
        <v>28</v>
      </c>
      <c r="V10" s="2" t="s">
        <v>29</v>
      </c>
      <c r="W10" s="2" t="s">
        <v>30</v>
      </c>
      <c r="X10" s="2" t="s">
        <v>29</v>
      </c>
      <c r="Y10" s="25"/>
    </row>
    <row r="11" spans="2:26" ht="120">
      <c r="B11" s="3" t="s">
        <v>31</v>
      </c>
      <c r="C11" s="4" t="s">
        <v>32</v>
      </c>
      <c r="D11" s="4" t="s">
        <v>33</v>
      </c>
      <c r="E11" s="5" t="s">
        <v>34</v>
      </c>
      <c r="F11" s="4" t="s">
        <v>35</v>
      </c>
      <c r="G11" s="4" t="s">
        <v>36</v>
      </c>
      <c r="H11" s="6">
        <v>124825745</v>
      </c>
      <c r="I11" s="7"/>
      <c r="J11" s="7"/>
      <c r="K11" s="6">
        <v>356892410</v>
      </c>
      <c r="L11" s="7"/>
      <c r="M11" s="7"/>
      <c r="N11" s="7">
        <v>500617256</v>
      </c>
      <c r="O11" s="7"/>
      <c r="P11" s="7"/>
      <c r="Q11" s="6">
        <v>95194215</v>
      </c>
      <c r="R11" s="7"/>
      <c r="S11" s="7"/>
      <c r="T11" s="7"/>
      <c r="U11" s="7"/>
      <c r="V11" s="7"/>
      <c r="W11" s="7"/>
      <c r="X11" s="7"/>
      <c r="Y11" s="16">
        <f t="shared" ref="Y11:Y22" si="0">(U11+W11)-T11</f>
        <v>0</v>
      </c>
    </row>
    <row r="12" spans="2:26" ht="45">
      <c r="B12" s="3" t="s">
        <v>37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16">
        <f t="shared" si="0"/>
        <v>0</v>
      </c>
    </row>
    <row r="13" spans="2:26" ht="150">
      <c r="B13" s="3" t="s">
        <v>38</v>
      </c>
      <c r="C13" s="4" t="s">
        <v>39</v>
      </c>
      <c r="D13" s="4" t="s">
        <v>40</v>
      </c>
      <c r="E13" s="4" t="s">
        <v>41</v>
      </c>
      <c r="F13" s="4" t="s">
        <v>42</v>
      </c>
      <c r="G13" s="4" t="s">
        <v>43</v>
      </c>
      <c r="H13" s="8" t="s">
        <v>44</v>
      </c>
      <c r="I13" s="7"/>
      <c r="J13" s="7"/>
      <c r="K13" s="8" t="s">
        <v>45</v>
      </c>
      <c r="L13" s="7"/>
      <c r="M13" s="7"/>
      <c r="N13" s="8" t="s">
        <v>46</v>
      </c>
      <c r="O13" s="7"/>
      <c r="P13" s="7"/>
      <c r="Q13" s="8" t="s">
        <v>47</v>
      </c>
      <c r="R13" s="7"/>
      <c r="S13" s="7"/>
      <c r="T13" s="7"/>
      <c r="U13" s="7"/>
      <c r="V13" s="7"/>
      <c r="W13" s="7"/>
      <c r="X13" s="7"/>
      <c r="Y13" s="16">
        <f t="shared" si="0"/>
        <v>0</v>
      </c>
    </row>
    <row r="14" spans="2:26" ht="90">
      <c r="B14" s="3" t="s">
        <v>48</v>
      </c>
      <c r="C14" s="4" t="s">
        <v>49</v>
      </c>
      <c r="D14" s="4" t="s">
        <v>50</v>
      </c>
      <c r="E14" s="4" t="s">
        <v>51</v>
      </c>
      <c r="F14" s="4" t="s">
        <v>52</v>
      </c>
      <c r="G14" s="4" t="s">
        <v>53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16">
        <f t="shared" si="0"/>
        <v>0</v>
      </c>
    </row>
    <row r="15" spans="2:26" ht="195">
      <c r="B15" s="3" t="s">
        <v>54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55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16">
        <f t="shared" si="0"/>
        <v>0</v>
      </c>
    </row>
    <row r="16" spans="2:26" ht="63.75">
      <c r="B16" s="3" t="s">
        <v>56</v>
      </c>
      <c r="C16" s="9" t="s">
        <v>57</v>
      </c>
      <c r="D16" s="10" t="s">
        <v>58</v>
      </c>
      <c r="E16" s="10" t="s">
        <v>59</v>
      </c>
      <c r="F16" s="10" t="s">
        <v>60</v>
      </c>
      <c r="G16" s="11" t="s">
        <v>61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16">
        <f t="shared" si="0"/>
        <v>0</v>
      </c>
    </row>
    <row r="17" spans="2:25" ht="75">
      <c r="B17" s="3" t="s">
        <v>62</v>
      </c>
      <c r="C17" s="1" t="s">
        <v>63</v>
      </c>
      <c r="D17" s="10" t="s">
        <v>64</v>
      </c>
      <c r="E17" s="4" t="s">
        <v>65</v>
      </c>
      <c r="F17" s="4" t="s">
        <v>66</v>
      </c>
      <c r="G17" s="10" t="s">
        <v>67</v>
      </c>
      <c r="H17" s="12">
        <v>4167</v>
      </c>
      <c r="I17" s="12">
        <v>4167</v>
      </c>
      <c r="J17" s="12">
        <v>4167</v>
      </c>
      <c r="K17" s="12">
        <v>4167</v>
      </c>
      <c r="L17" s="12">
        <v>4167</v>
      </c>
      <c r="M17" s="12">
        <v>4167</v>
      </c>
      <c r="N17" s="12">
        <v>4167</v>
      </c>
      <c r="O17" s="12">
        <v>4167</v>
      </c>
      <c r="P17" s="12">
        <v>4167</v>
      </c>
      <c r="Q17" s="12">
        <v>4167</v>
      </c>
      <c r="R17" s="12">
        <v>4167</v>
      </c>
      <c r="S17" s="12">
        <v>4167</v>
      </c>
      <c r="T17" s="12"/>
      <c r="U17" s="12"/>
      <c r="V17" s="12"/>
      <c r="W17" s="7"/>
      <c r="X17" s="7"/>
      <c r="Y17" s="16">
        <f t="shared" si="0"/>
        <v>0</v>
      </c>
    </row>
    <row r="18" spans="2:25" ht="75">
      <c r="B18" s="3" t="s">
        <v>68</v>
      </c>
      <c r="C18" s="13" t="s">
        <v>69</v>
      </c>
      <c r="D18" s="4" t="s">
        <v>70</v>
      </c>
      <c r="E18" s="4" t="s">
        <v>71</v>
      </c>
      <c r="F18" s="4" t="s">
        <v>72</v>
      </c>
      <c r="G18" s="8" t="s">
        <v>73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16">
        <f t="shared" si="0"/>
        <v>0</v>
      </c>
    </row>
    <row r="19" spans="2:25" ht="63.75">
      <c r="B19" s="3" t="s">
        <v>74</v>
      </c>
      <c r="C19" s="4" t="s">
        <v>75</v>
      </c>
      <c r="D19" s="10" t="s">
        <v>76</v>
      </c>
      <c r="E19" s="13" t="s">
        <v>77</v>
      </c>
      <c r="F19" s="10" t="s">
        <v>78</v>
      </c>
      <c r="G19" s="13" t="s">
        <v>79</v>
      </c>
      <c r="H19" s="7"/>
      <c r="I19" s="7"/>
      <c r="J19" s="7"/>
      <c r="K19" s="12">
        <v>280000</v>
      </c>
      <c r="L19" s="7"/>
      <c r="M19" s="7"/>
      <c r="N19" s="7"/>
      <c r="O19" s="7"/>
      <c r="P19" s="7"/>
      <c r="Q19" s="12">
        <v>280000</v>
      </c>
      <c r="R19" s="7"/>
      <c r="S19" s="7"/>
      <c r="T19" s="7"/>
      <c r="U19" s="7"/>
      <c r="V19" s="7"/>
      <c r="W19" s="7"/>
      <c r="X19" s="7"/>
      <c r="Y19" s="16">
        <f t="shared" si="0"/>
        <v>0</v>
      </c>
    </row>
    <row r="20" spans="2:25" ht="22.5">
      <c r="B20" s="3" t="s">
        <v>80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16">
        <f t="shared" si="0"/>
        <v>0</v>
      </c>
    </row>
    <row r="21" spans="2:25" ht="85.5">
      <c r="B21" s="3" t="s">
        <v>81</v>
      </c>
      <c r="C21" s="11" t="s">
        <v>82</v>
      </c>
      <c r="D21" s="13" t="s">
        <v>83</v>
      </c>
      <c r="E21" s="13" t="s">
        <v>84</v>
      </c>
      <c r="F21" s="10" t="s">
        <v>85</v>
      </c>
      <c r="G21" s="4" t="s">
        <v>86</v>
      </c>
      <c r="H21" s="7"/>
      <c r="I21" s="7"/>
      <c r="J21" s="7"/>
      <c r="K21" s="12">
        <v>5000000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16">
        <f t="shared" si="0"/>
        <v>0</v>
      </c>
    </row>
    <row r="22" spans="2:25" ht="90">
      <c r="B22" s="3" t="s">
        <v>87</v>
      </c>
      <c r="C22" s="7" t="s">
        <v>88</v>
      </c>
      <c r="D22" s="7"/>
      <c r="E22" s="4" t="s">
        <v>89</v>
      </c>
      <c r="F22" s="13" t="s">
        <v>90</v>
      </c>
      <c r="G22" s="7" t="s">
        <v>91</v>
      </c>
      <c r="H22" s="12">
        <v>1160960</v>
      </c>
      <c r="I22" s="7"/>
      <c r="J22" s="7"/>
      <c r="K22" s="12">
        <v>1160960</v>
      </c>
      <c r="L22" s="7"/>
      <c r="M22" s="7"/>
      <c r="N22" s="12">
        <v>1160960</v>
      </c>
      <c r="O22" s="7"/>
      <c r="P22" s="7"/>
      <c r="Q22" s="12">
        <v>1160960</v>
      </c>
      <c r="R22" s="7"/>
      <c r="S22" s="7"/>
      <c r="T22" s="7"/>
      <c r="U22" s="7"/>
      <c r="V22" s="7"/>
      <c r="W22" s="7"/>
      <c r="X22" s="7"/>
      <c r="Y22" s="16">
        <f t="shared" si="0"/>
        <v>0</v>
      </c>
    </row>
    <row r="23" spans="2:25">
      <c r="B23" s="14" t="s">
        <v>92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16">
        <f>SUM(T11:T22)</f>
        <v>0</v>
      </c>
      <c r="U23" s="16">
        <f>SUM(U11:U22)</f>
        <v>0</v>
      </c>
      <c r="V23" s="16"/>
      <c r="W23" s="16">
        <f>SUM(W11:W22)</f>
        <v>0</v>
      </c>
      <c r="X23" s="16"/>
      <c r="Y23" s="16">
        <f>SUM(Y11:Y22)</f>
        <v>0</v>
      </c>
    </row>
  </sheetData>
  <mergeCells count="16">
    <mergeCell ref="Y9:Y10"/>
    <mergeCell ref="H9:S9"/>
    <mergeCell ref="U9:V9"/>
    <mergeCell ref="W9:X9"/>
    <mergeCell ref="B9:B10"/>
    <mergeCell ref="C9:C10"/>
    <mergeCell ref="D9:D10"/>
    <mergeCell ref="E9:E10"/>
    <mergeCell ref="F9:F10"/>
    <mergeCell ref="G9:G10"/>
    <mergeCell ref="T9:T10"/>
    <mergeCell ref="B4:Y4"/>
    <mergeCell ref="B5:Y5"/>
    <mergeCell ref="B6:Y6"/>
    <mergeCell ref="B7:Y7"/>
    <mergeCell ref="B8:Y8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.625"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IPR</cp:lastModifiedBy>
  <dcterms:created xsi:type="dcterms:W3CDTF">2022-08-23T06:32:00Z</dcterms:created>
  <dcterms:modified xsi:type="dcterms:W3CDTF">2023-08-15T12:14:15Z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EE37D8FD510840CFBD587D1FAFF7B720</vt:lpwstr>
  </property>
  <property fmtid="{D5CDD505-2E9C-101B-9397-08002B2CF9AE}" pid="3" name="KSOProductBuildVer">
    <vt:lpwstr>1033-11.2.0.11537</vt:lpwstr>
  </property>
</Properties>
</file>