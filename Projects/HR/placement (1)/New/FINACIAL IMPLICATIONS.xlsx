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44856944-5969-444C-872D-DDAFD880024F}" xr6:coauthVersionLast="47" xr6:coauthVersionMax="47" xr10:uidLastSave="{00000000-0000-0000-0000-000000000000}"/>
  <bookViews>
    <workbookView xWindow="-120" yWindow="-120" windowWidth="29040" windowHeight="15720" activeTab="1" xr2:uid="{F71A8118-8CB3-4FD7-A10A-11D4CC03836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8" i="2" l="1"/>
  <c r="H27" i="2"/>
  <c r="H24" i="2"/>
  <c r="H25" i="2"/>
  <c r="H26" i="2"/>
  <c r="H23" i="2"/>
  <c r="G28" i="2"/>
  <c r="G24" i="2"/>
  <c r="G25" i="2"/>
  <c r="G26" i="2"/>
  <c r="G27" i="2"/>
  <c r="G23" i="2"/>
  <c r="D28" i="2"/>
  <c r="D24" i="2"/>
  <c r="D25" i="2"/>
  <c r="D26" i="2"/>
  <c r="D27" i="2"/>
  <c r="D23" i="2"/>
  <c r="H7" i="2"/>
  <c r="H8" i="2"/>
  <c r="H9" i="2"/>
  <c r="H10" i="2"/>
  <c r="H11" i="2"/>
  <c r="G6" i="2"/>
  <c r="H6" i="2" s="1"/>
</calcChain>
</file>

<file path=xl/sharedStrings.xml><?xml version="1.0" encoding="utf-8"?>
<sst xmlns="http://schemas.openxmlformats.org/spreadsheetml/2006/main" count="46" uniqueCount="27">
  <si>
    <t xml:space="preserve">CORPORATION SECRETARY AND LEGAL SERVICE </t>
  </si>
  <si>
    <t>RESEARCH AND PRODUCT DEVELOPMENT</t>
  </si>
  <si>
    <t>ANIMAL SCIENCE, WELFAREAND ETHICS</t>
  </si>
  <si>
    <t xml:space="preserve">CAPACITY BUILDING, PARTNERSHIP AND GRANT MANAGEMENT </t>
  </si>
  <si>
    <t>CORPORATE SERVICES DIRECTOR</t>
  </si>
  <si>
    <t>TOTAL</t>
  </si>
  <si>
    <t>DIRECTORATE</t>
  </si>
  <si>
    <t>BASIC SALARY</t>
  </si>
  <si>
    <t>ACTING ALLOWANCE</t>
  </si>
  <si>
    <t>FINANCIAL IMPLICATION ON APPOINTMENT ON ACTING / SPECIAL DUTY ALLOWANCE</t>
  </si>
  <si>
    <t>PER DIEM</t>
  </si>
  <si>
    <t>NAME OF DIRECTORATE</t>
  </si>
  <si>
    <t>25%OF SUBSTATIVE ACTING ALLOWANCE NM2ENTRY SCALE NMK-CATEGORY 4C</t>
  </si>
  <si>
    <t>RESPONSIBILITY ALLOWANCE PER MONTH</t>
  </si>
  <si>
    <t xml:space="preserve">ENTERTAINMENT ALLOWANCE PER MONTH   </t>
  </si>
  <si>
    <t>TOTAL.</t>
  </si>
  <si>
    <t>-</t>
  </si>
  <si>
    <t>FINANCIAL IMPLICATION ON APPOINTMENT OF ACTING DIRECTORS.</t>
  </si>
  <si>
    <t>HOUSE ALLOWANCE AND COMMUTER ALLOWANCE REMAINS AS AT THE CURRENT JOB GROUP.</t>
  </si>
  <si>
    <t>PER ANNUM</t>
  </si>
  <si>
    <t>PSC TERMS AND CONDITIONS</t>
  </si>
  <si>
    <t>MONTHLY BUDGET ( AS PER KIPRE)</t>
  </si>
  <si>
    <t>MONTHLY BUDGET AS PER SCACK AND PSC)</t>
  </si>
  <si>
    <t>20%OF SUBSTATIVE ACTING ALLOWANCE NM2ENTRY SCALE NMK-CATEGORY 4C</t>
  </si>
  <si>
    <t>PER MONTH</t>
  </si>
  <si>
    <t xml:space="preserve">TOTAL </t>
  </si>
  <si>
    <t>TOTAL PER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</si>
</sst>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u/>
      <sz val="12"/>
      <color theme="1"/>
      <name val="Times New Roman"/>
      <family val="1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43" fontId="0" fillId="0" borderId="0" xfId="1" applyFont="1"/>
    <xf numFmtId="43" fontId="3" fillId="0" borderId="2" xfId="1" applyFont="1" applyBorder="1" applyAlignment="1">
      <alignment vertical="center" wrapText="1"/>
    </xf>
    <xf numFmtId="43" fontId="3" fillId="0" borderId="4" xfId="1" applyFont="1" applyBorder="1" applyAlignment="1">
      <alignment vertical="center" wrapText="1"/>
    </xf>
    <xf numFmtId="43" fontId="4" fillId="0" borderId="4" xfId="1" applyFont="1" applyBorder="1" applyAlignment="1">
      <alignment vertical="center" wrapText="1"/>
    </xf>
    <xf numFmtId="43" fontId="5" fillId="0" borderId="4" xfId="1" applyFont="1" applyBorder="1" applyAlignment="1">
      <alignment vertical="center" wrapText="1"/>
    </xf>
    <xf numFmtId="0" fontId="2" fillId="0" borderId="0" xfId="0" applyFont="1"/>
    <xf numFmtId="43" fontId="2" fillId="0" borderId="0" xfId="1" applyFont="1"/>
    <xf numFmtId="0" fontId="6" fillId="0" borderId="0" xfId="0" applyFont="1"/>
    <xf numFmtId="43" fontId="6" fillId="0" borderId="0" xfId="1" applyFont="1"/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43" fontId="4" fillId="0" borderId="1" xfId="1" applyFont="1" applyBorder="1" applyAlignment="1">
      <alignment vertical="center" wrapText="1"/>
    </xf>
    <xf numFmtId="43" fontId="3" fillId="0" borderId="1" xfId="1" applyFont="1" applyBorder="1" applyAlignment="1">
      <alignment vertical="center" wrapText="1"/>
    </xf>
    <xf numFmtId="0" fontId="0" fillId="0" borderId="1" xfId="0" applyBorder="1"/>
    <xf numFmtId="43" fontId="4" fillId="0" borderId="1" xfId="1" applyFont="1" applyBorder="1" applyAlignment="1">
      <alignment vertical="center" wrapText="1"/>
    </xf>
    <xf numFmtId="43" fontId="5" fillId="0" borderId="1" xfId="1" applyFont="1" applyBorder="1" applyAlignment="1">
      <alignment vertical="center" wrapText="1"/>
    </xf>
    <xf numFmtId="43" fontId="0" fillId="0" borderId="1" xfId="0" applyNumberFormat="1" applyBorder="1"/>
    <xf numFmtId="0" fontId="3" fillId="0" borderId="0" xfId="0" applyFont="1" applyBorder="1" applyAlignment="1">
      <alignment vertical="center" wrapText="1"/>
    </xf>
    <xf numFmtId="43" fontId="4" fillId="0" borderId="0" xfId="1" applyFont="1" applyBorder="1" applyAlignment="1">
      <alignment vertical="center" wrapText="1"/>
    </xf>
    <xf numFmtId="43" fontId="5" fillId="0" borderId="0" xfId="1" applyFont="1" applyBorder="1" applyAlignment="1">
      <alignment vertical="center" wrapText="1"/>
    </xf>
    <xf numFmtId="43" fontId="0" fillId="0" borderId="0" xfId="0" applyNumberFormat="1" applyBorder="1"/>
    <xf numFmtId="0" fontId="2" fillId="0" borderId="1" xfId="0" applyFont="1" applyBorder="1"/>
    <xf numFmtId="3" fontId="3" fillId="0" borderId="1" xfId="0" applyNumberFormat="1" applyFont="1" applyBorder="1" applyAlignment="1">
      <alignment vertical="center" wrapText="1"/>
    </xf>
    <xf numFmtId="4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556FB-1C1C-498A-B595-C084E1C9D1DE}">
  <dimension ref="B2:H9"/>
  <sheetViews>
    <sheetView workbookViewId="0">
      <selection activeCell="A3" sqref="A3:XFD3"/>
    </sheetView>
  </sheetViews>
  <sheetFormatPr defaultRowHeight="15" x14ac:dyDescent="0.25"/>
  <cols>
    <col min="2" max="3" width="27.42578125" customWidth="1"/>
    <col min="4" max="4" width="28.7109375" style="5" customWidth="1"/>
    <col min="5" max="5" width="16.7109375" style="5" customWidth="1"/>
    <col min="6" max="6" width="15" style="5" customWidth="1"/>
    <col min="7" max="7" width="16.85546875" style="5" customWidth="1"/>
  </cols>
  <sheetData>
    <row r="2" spans="2:8" s="10" customFormat="1" x14ac:dyDescent="0.25">
      <c r="B2" s="10" t="s">
        <v>9</v>
      </c>
      <c r="D2" s="11"/>
      <c r="E2" s="11"/>
      <c r="F2" s="11"/>
      <c r="G2" s="11"/>
    </row>
    <row r="3" spans="2:8" s="12" customFormat="1" ht="16.5" customHeight="1" thickBot="1" x14ac:dyDescent="0.3">
      <c r="B3" s="12" t="s">
        <v>6</v>
      </c>
      <c r="C3" s="12" t="s">
        <v>7</v>
      </c>
      <c r="D3" s="13" t="s">
        <v>8</v>
      </c>
      <c r="E3" s="13"/>
      <c r="F3" s="13"/>
      <c r="G3" s="13"/>
      <c r="H3" s="12" t="s">
        <v>10</v>
      </c>
    </row>
    <row r="4" spans="2:8" ht="48" thickBot="1" x14ac:dyDescent="0.3">
      <c r="B4" s="1" t="s">
        <v>0</v>
      </c>
      <c r="C4" s="2"/>
      <c r="D4" s="6">
        <v>36976.75</v>
      </c>
      <c r="E4" s="6">
        <v>15000</v>
      </c>
      <c r="F4" s="6">
        <v>8000</v>
      </c>
      <c r="G4" s="6">
        <v>59976.75</v>
      </c>
    </row>
    <row r="5" spans="2:8" ht="48" thickBot="1" x14ac:dyDescent="0.3">
      <c r="B5" s="3" t="s">
        <v>1</v>
      </c>
      <c r="C5" s="4"/>
      <c r="D5" s="7">
        <v>36976.75</v>
      </c>
      <c r="E5" s="7">
        <v>15000</v>
      </c>
      <c r="F5" s="7">
        <v>8000</v>
      </c>
      <c r="G5" s="7">
        <v>59976.75</v>
      </c>
    </row>
    <row r="6" spans="2:8" ht="32.25" thickBot="1" x14ac:dyDescent="0.3">
      <c r="B6" s="3" t="s">
        <v>2</v>
      </c>
      <c r="C6" s="4"/>
      <c r="D6" s="7">
        <v>36976.75</v>
      </c>
      <c r="E6" s="7">
        <v>15000</v>
      </c>
      <c r="F6" s="7">
        <v>8000</v>
      </c>
      <c r="G6" s="7">
        <v>59976.75</v>
      </c>
    </row>
    <row r="7" spans="2:8" ht="48" thickBot="1" x14ac:dyDescent="0.3">
      <c r="B7" s="3" t="s">
        <v>3</v>
      </c>
      <c r="C7" s="4"/>
      <c r="D7" s="7">
        <v>36976.75</v>
      </c>
      <c r="E7" s="7">
        <v>15000</v>
      </c>
      <c r="F7" s="7">
        <v>8000</v>
      </c>
      <c r="G7" s="7">
        <v>59976.75</v>
      </c>
    </row>
    <row r="8" spans="2:8" ht="32.25" thickBot="1" x14ac:dyDescent="0.3">
      <c r="B8" s="3" t="s">
        <v>4</v>
      </c>
      <c r="C8" s="4"/>
      <c r="D8" s="7">
        <v>36976.75</v>
      </c>
      <c r="E8" s="7">
        <v>15000</v>
      </c>
      <c r="F8" s="7">
        <v>8000</v>
      </c>
      <c r="G8" s="7">
        <v>59976.75</v>
      </c>
    </row>
    <row r="9" spans="2:8" ht="16.5" thickBot="1" x14ac:dyDescent="0.3">
      <c r="B9" s="3" t="s">
        <v>5</v>
      </c>
      <c r="C9" s="4"/>
      <c r="D9" s="8">
        <v>184883.75</v>
      </c>
      <c r="E9" s="8">
        <v>75000</v>
      </c>
      <c r="F9" s="8">
        <v>40000</v>
      </c>
      <c r="G9" s="9">
        <v>299883.75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00377-70E0-450F-8FD1-180CD38CB06E}">
  <dimension ref="B2:H29"/>
  <sheetViews>
    <sheetView tabSelected="1" topLeftCell="A7" workbookViewId="0">
      <selection activeCell="D11" sqref="D11"/>
    </sheetView>
  </sheetViews>
  <sheetFormatPr defaultRowHeight="15" x14ac:dyDescent="0.25"/>
  <cols>
    <col min="1" max="1" width="22.42578125" customWidth="1"/>
    <col min="2" max="3" width="36.5703125" customWidth="1"/>
    <col min="4" max="4" width="23.42578125" style="5" customWidth="1"/>
    <col min="5" max="5" width="26.5703125" style="5" customWidth="1"/>
    <col min="6" max="6" width="22.42578125" style="5" customWidth="1"/>
    <col min="7" max="7" width="16.28515625" style="5" customWidth="1"/>
    <col min="8" max="8" width="20.5703125" customWidth="1"/>
  </cols>
  <sheetData>
    <row r="2" spans="2:8" ht="15.75" x14ac:dyDescent="0.25">
      <c r="B2" s="14" t="s">
        <v>17</v>
      </c>
      <c r="C2" s="14"/>
    </row>
    <row r="3" spans="2:8" ht="16.5" thickBot="1" x14ac:dyDescent="0.3">
      <c r="B3" s="14" t="s">
        <v>21</v>
      </c>
      <c r="C3" s="14"/>
    </row>
    <row r="4" spans="2:8" ht="101.25" customHeight="1" thickBot="1" x14ac:dyDescent="0.3">
      <c r="B4" s="17" t="s">
        <v>11</v>
      </c>
      <c r="C4" s="18" t="s">
        <v>7</v>
      </c>
      <c r="D4" s="19" t="s">
        <v>12</v>
      </c>
      <c r="E4" s="19" t="s">
        <v>13</v>
      </c>
      <c r="F4" s="19" t="s">
        <v>14</v>
      </c>
      <c r="G4" s="20" t="s">
        <v>26</v>
      </c>
      <c r="H4" s="21" t="s">
        <v>19</v>
      </c>
    </row>
    <row r="5" spans="2:8" ht="16.5" hidden="1" thickBot="1" x14ac:dyDescent="0.3">
      <c r="B5" s="17"/>
      <c r="C5" s="18"/>
      <c r="D5" s="19"/>
      <c r="E5" s="19"/>
      <c r="F5" s="19"/>
      <c r="G5" s="20" t="s">
        <v>16</v>
      </c>
      <c r="H5" s="21"/>
    </row>
    <row r="6" spans="2:8" ht="32.25" thickBot="1" x14ac:dyDescent="0.3">
      <c r="B6" s="1" t="s">
        <v>0</v>
      </c>
      <c r="C6" s="30">
        <v>147907</v>
      </c>
      <c r="D6" s="20">
        <v>36976.75</v>
      </c>
      <c r="E6" s="20">
        <v>15000</v>
      </c>
      <c r="F6" s="20">
        <v>8000</v>
      </c>
      <c r="G6" s="20">
        <f>D6+E6+F6</f>
        <v>59976.75</v>
      </c>
      <c r="H6" s="24">
        <f>G6*12</f>
        <v>719721</v>
      </c>
    </row>
    <row r="7" spans="2:8" ht="32.25" thickBot="1" x14ac:dyDescent="0.3">
      <c r="B7" s="1" t="s">
        <v>1</v>
      </c>
      <c r="C7" s="30">
        <v>147907</v>
      </c>
      <c r="D7" s="20">
        <v>36976.75</v>
      </c>
      <c r="E7" s="20">
        <v>15000</v>
      </c>
      <c r="F7" s="20">
        <v>8000</v>
      </c>
      <c r="G7" s="20">
        <v>59976.75</v>
      </c>
      <c r="H7" s="24">
        <f t="shared" ref="H7:H11" si="0">G7*12</f>
        <v>719721</v>
      </c>
    </row>
    <row r="8" spans="2:8" ht="32.25" thickBot="1" x14ac:dyDescent="0.3">
      <c r="B8" s="1" t="s">
        <v>2</v>
      </c>
      <c r="C8" s="30">
        <v>147907</v>
      </c>
      <c r="D8" s="20">
        <v>36976.75</v>
      </c>
      <c r="E8" s="20">
        <v>15000</v>
      </c>
      <c r="F8" s="20">
        <v>8000</v>
      </c>
      <c r="G8" s="20">
        <v>59976.75</v>
      </c>
      <c r="H8" s="24">
        <f t="shared" si="0"/>
        <v>719721</v>
      </c>
    </row>
    <row r="9" spans="2:8" ht="48" thickBot="1" x14ac:dyDescent="0.3">
      <c r="B9" s="1" t="s">
        <v>3</v>
      </c>
      <c r="C9" s="30">
        <v>147907</v>
      </c>
      <c r="D9" s="20">
        <v>36976.75</v>
      </c>
      <c r="E9" s="20">
        <v>15000</v>
      </c>
      <c r="F9" s="20">
        <v>8000</v>
      </c>
      <c r="G9" s="20">
        <v>59976.75</v>
      </c>
      <c r="H9" s="24">
        <f t="shared" si="0"/>
        <v>719721</v>
      </c>
    </row>
    <row r="10" spans="2:8" ht="32.25" thickBot="1" x14ac:dyDescent="0.3">
      <c r="B10" s="1" t="s">
        <v>4</v>
      </c>
      <c r="C10" s="30">
        <v>147907</v>
      </c>
      <c r="D10" s="20">
        <v>36976.75</v>
      </c>
      <c r="E10" s="20">
        <v>15000</v>
      </c>
      <c r="F10" s="20">
        <v>8000</v>
      </c>
      <c r="G10" s="20">
        <v>59976.75</v>
      </c>
      <c r="H10" s="24">
        <f t="shared" si="0"/>
        <v>719721</v>
      </c>
    </row>
    <row r="11" spans="2:8" ht="16.5" thickBot="1" x14ac:dyDescent="0.3">
      <c r="B11" s="1" t="s">
        <v>5</v>
      </c>
      <c r="C11" s="1"/>
      <c r="D11" s="22">
        <v>184883.75</v>
      </c>
      <c r="E11" s="22">
        <v>75000</v>
      </c>
      <c r="F11" s="22">
        <v>40000</v>
      </c>
      <c r="G11" s="23">
        <v>299883.75</v>
      </c>
      <c r="H11" s="24">
        <f t="shared" si="0"/>
        <v>3598605</v>
      </c>
    </row>
    <row r="12" spans="2:8" ht="15.75" x14ac:dyDescent="0.25">
      <c r="B12" s="25"/>
      <c r="C12" s="25"/>
      <c r="D12" s="26"/>
      <c r="E12" s="26"/>
      <c r="F12" s="26"/>
      <c r="G12" s="27"/>
      <c r="H12" s="28"/>
    </row>
    <row r="13" spans="2:8" ht="15.75" x14ac:dyDescent="0.25">
      <c r="B13" s="15" t="s">
        <v>20</v>
      </c>
      <c r="C13" s="15"/>
    </row>
    <row r="14" spans="2:8" ht="15.75" x14ac:dyDescent="0.25">
      <c r="B14" s="16" t="s">
        <v>18</v>
      </c>
      <c r="C14" s="16"/>
    </row>
    <row r="15" spans="2:8" ht="15.75" x14ac:dyDescent="0.25">
      <c r="B15" s="16"/>
      <c r="C15" s="16"/>
    </row>
    <row r="19" spans="2:8" ht="30" customHeight="1" x14ac:dyDescent="0.25">
      <c r="B19" s="14" t="s">
        <v>17</v>
      </c>
      <c r="C19" s="14"/>
    </row>
    <row r="20" spans="2:8" ht="42.75" customHeight="1" thickBot="1" x14ac:dyDescent="0.3">
      <c r="B20" s="14" t="s">
        <v>22</v>
      </c>
      <c r="C20" s="14"/>
    </row>
    <row r="21" spans="2:8" ht="16.5" thickBot="1" x14ac:dyDescent="0.3">
      <c r="B21" s="17" t="s">
        <v>11</v>
      </c>
      <c r="C21" s="18" t="s">
        <v>7</v>
      </c>
      <c r="D21" s="19" t="s">
        <v>23</v>
      </c>
      <c r="E21" s="19" t="s">
        <v>13</v>
      </c>
      <c r="F21" s="19" t="s">
        <v>14</v>
      </c>
      <c r="G21" s="22" t="s">
        <v>15</v>
      </c>
      <c r="H21" s="29" t="s">
        <v>25</v>
      </c>
    </row>
    <row r="22" spans="2:8" ht="65.25" customHeight="1" thickBot="1" x14ac:dyDescent="0.3">
      <c r="B22" s="17"/>
      <c r="C22" s="18"/>
      <c r="D22" s="19"/>
      <c r="E22" s="19"/>
      <c r="F22" s="19"/>
      <c r="G22" s="22" t="s">
        <v>24</v>
      </c>
      <c r="H22" s="29" t="s">
        <v>19</v>
      </c>
    </row>
    <row r="23" spans="2:8" ht="32.25" thickBot="1" x14ac:dyDescent="0.3">
      <c r="B23" s="1" t="s">
        <v>0</v>
      </c>
      <c r="C23" s="30">
        <v>147907</v>
      </c>
      <c r="D23" s="20">
        <f>C23*20%</f>
        <v>29581.4</v>
      </c>
      <c r="E23" s="20">
        <v>15000</v>
      </c>
      <c r="F23" s="20">
        <v>8000</v>
      </c>
      <c r="G23" s="20">
        <f>SUM(D23:F23)</f>
        <v>52581.4</v>
      </c>
      <c r="H23" s="24">
        <f>G23*12</f>
        <v>630976.80000000005</v>
      </c>
    </row>
    <row r="24" spans="2:8" ht="32.25" thickBot="1" x14ac:dyDescent="0.3">
      <c r="B24" s="1" t="s">
        <v>1</v>
      </c>
      <c r="C24" s="30">
        <v>147907</v>
      </c>
      <c r="D24" s="20">
        <f t="shared" ref="D24:D27" si="1">C24*20%</f>
        <v>29581.4</v>
      </c>
      <c r="E24" s="20">
        <v>15000</v>
      </c>
      <c r="F24" s="20">
        <v>8000</v>
      </c>
      <c r="G24" s="20">
        <f t="shared" ref="G24:G27" si="2">SUM(D24:F24)</f>
        <v>52581.4</v>
      </c>
      <c r="H24" s="24">
        <f t="shared" ref="H24:H27" si="3">G24*12</f>
        <v>630976.80000000005</v>
      </c>
    </row>
    <row r="25" spans="2:8" ht="32.25" thickBot="1" x14ac:dyDescent="0.3">
      <c r="B25" s="1" t="s">
        <v>2</v>
      </c>
      <c r="C25" s="30">
        <v>147907</v>
      </c>
      <c r="D25" s="20">
        <f t="shared" si="1"/>
        <v>29581.4</v>
      </c>
      <c r="E25" s="20">
        <v>15000</v>
      </c>
      <c r="F25" s="20">
        <v>8000</v>
      </c>
      <c r="G25" s="20">
        <f t="shared" si="2"/>
        <v>52581.4</v>
      </c>
      <c r="H25" s="24">
        <f t="shared" si="3"/>
        <v>630976.80000000005</v>
      </c>
    </row>
    <row r="26" spans="2:8" ht="48" thickBot="1" x14ac:dyDescent="0.3">
      <c r="B26" s="1" t="s">
        <v>3</v>
      </c>
      <c r="C26" s="30">
        <v>147907</v>
      </c>
      <c r="D26" s="20">
        <f t="shared" si="1"/>
        <v>29581.4</v>
      </c>
      <c r="E26" s="20">
        <v>15000</v>
      </c>
      <c r="F26" s="20">
        <v>8000</v>
      </c>
      <c r="G26" s="20">
        <f t="shared" si="2"/>
        <v>52581.4</v>
      </c>
      <c r="H26" s="24">
        <f t="shared" si="3"/>
        <v>630976.80000000005</v>
      </c>
    </row>
    <row r="27" spans="2:8" ht="32.25" thickBot="1" x14ac:dyDescent="0.3">
      <c r="B27" s="1" t="s">
        <v>4</v>
      </c>
      <c r="C27" s="30">
        <v>147907</v>
      </c>
      <c r="D27" s="20">
        <f t="shared" si="1"/>
        <v>29581.4</v>
      </c>
      <c r="E27" s="20">
        <v>15000</v>
      </c>
      <c r="F27" s="20">
        <v>8000</v>
      </c>
      <c r="G27" s="20">
        <f t="shared" si="2"/>
        <v>52581.4</v>
      </c>
      <c r="H27" s="24">
        <f t="shared" si="3"/>
        <v>630976.80000000005</v>
      </c>
    </row>
    <row r="28" spans="2:8" ht="16.5" thickBot="1" x14ac:dyDescent="0.3">
      <c r="B28" s="1" t="s">
        <v>5</v>
      </c>
      <c r="C28" s="1"/>
      <c r="D28" s="22">
        <f>SUM(D23:D27)</f>
        <v>147907</v>
      </c>
      <c r="E28" s="22">
        <v>75000</v>
      </c>
      <c r="F28" s="22">
        <v>40000</v>
      </c>
      <c r="G28" s="23">
        <f>SUM(G23:G27)</f>
        <v>262907</v>
      </c>
      <c r="H28" s="24">
        <f>SUM(H23:H27)</f>
        <v>3154884</v>
      </c>
    </row>
    <row r="29" spans="2:8" x14ac:dyDescent="0.25">
      <c r="H29" s="31"/>
    </row>
  </sheetData>
  <mergeCells count="8">
    <mergeCell ref="B4:B5"/>
    <mergeCell ref="D4:D5"/>
    <mergeCell ref="E4:E5"/>
    <mergeCell ref="F4:F5"/>
    <mergeCell ref="B21:B22"/>
    <mergeCell ref="D21:D22"/>
    <mergeCell ref="E21:E22"/>
    <mergeCell ref="F21:F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2024-10-30T08:46:53Z</dcterms:created>
  <dcterms:modified xsi:type="dcterms:W3CDTF">2024-10-30T11:02:25Z</dcterms:modified>
</cp:coreProperties>
</file>