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V4" i="1" s="1"/>
  <c r="T5" i="1"/>
  <c r="V5" i="1" s="1"/>
  <c r="T6" i="1"/>
  <c r="V6" i="1" s="1"/>
  <c r="T7" i="1"/>
  <c r="V7" i="1" s="1"/>
  <c r="L90" i="1"/>
  <c r="L91" i="1"/>
  <c r="L92" i="1"/>
  <c r="L93" i="1"/>
  <c r="L94" i="1"/>
  <c r="L95" i="1"/>
  <c r="L96" i="1"/>
  <c r="L97" i="1"/>
  <c r="L98" i="1"/>
  <c r="L99" i="1"/>
  <c r="L89" i="1"/>
  <c r="M89" i="1" s="1"/>
  <c r="R111" i="1"/>
  <c r="T111" i="1" s="1"/>
  <c r="V111" i="1" s="1"/>
  <c r="R110" i="1"/>
  <c r="T110" i="1" s="1"/>
  <c r="V110" i="1" s="1"/>
  <c r="T109" i="1"/>
  <c r="V109" i="1" s="1"/>
  <c r="T108" i="1"/>
  <c r="V108" i="1" s="1"/>
  <c r="T107" i="1"/>
  <c r="V107" i="1" s="1"/>
  <c r="T106" i="1"/>
  <c r="V106" i="1" s="1"/>
  <c r="T105" i="1"/>
  <c r="V105" i="1" s="1"/>
  <c r="T104" i="1"/>
  <c r="V104" i="1" s="1"/>
  <c r="T103" i="1"/>
  <c r="V103" i="1" s="1"/>
  <c r="T102" i="1"/>
  <c r="V102" i="1" s="1"/>
  <c r="T101" i="1"/>
  <c r="V101" i="1" s="1"/>
  <c r="R98" i="1"/>
  <c r="T98" i="1" s="1"/>
  <c r="V98" i="1" s="1"/>
  <c r="R97" i="1"/>
  <c r="T97" i="1" s="1"/>
  <c r="V97" i="1" s="1"/>
  <c r="T96" i="1"/>
  <c r="V96" i="1" s="1"/>
  <c r="T95" i="1"/>
  <c r="V95" i="1" s="1"/>
  <c r="T94" i="1"/>
  <c r="V94" i="1" s="1"/>
  <c r="T93" i="1"/>
  <c r="V93" i="1" s="1"/>
  <c r="T92" i="1"/>
  <c r="V92" i="1" s="1"/>
  <c r="T91" i="1"/>
  <c r="V91" i="1" s="1"/>
  <c r="T90" i="1"/>
  <c r="V90" i="1" s="1"/>
  <c r="T89" i="1"/>
  <c r="V89" i="1" s="1"/>
  <c r="T88" i="1"/>
  <c r="V88" i="1" s="1"/>
  <c r="I65" i="1"/>
  <c r="I66" i="1"/>
  <c r="I67" i="1"/>
  <c r="I68" i="1"/>
  <c r="I69" i="1"/>
  <c r="I70" i="1"/>
  <c r="I71" i="1"/>
  <c r="I72" i="1"/>
  <c r="I73" i="1"/>
  <c r="I74" i="1"/>
  <c r="I64" i="1"/>
  <c r="R82" i="1"/>
  <c r="T82" i="1" s="1"/>
  <c r="V82" i="1" s="1"/>
  <c r="R81" i="1"/>
  <c r="T81" i="1" s="1"/>
  <c r="V81" i="1" s="1"/>
  <c r="T80" i="1"/>
  <c r="V80" i="1" s="1"/>
  <c r="T79" i="1"/>
  <c r="V79" i="1" s="1"/>
  <c r="T78" i="1"/>
  <c r="V78" i="1" s="1"/>
  <c r="T77" i="1"/>
  <c r="V77" i="1" s="1"/>
  <c r="T76" i="1"/>
  <c r="V76" i="1" s="1"/>
  <c r="T75" i="1"/>
  <c r="V75" i="1" s="1"/>
  <c r="T74" i="1"/>
  <c r="V74" i="1" s="1"/>
  <c r="T73" i="1"/>
  <c r="V73" i="1" s="1"/>
  <c r="T72" i="1"/>
  <c r="V72" i="1" s="1"/>
  <c r="R69" i="1"/>
  <c r="T69" i="1" s="1"/>
  <c r="V69" i="1" s="1"/>
  <c r="R68" i="1"/>
  <c r="T68" i="1" s="1"/>
  <c r="V68" i="1" s="1"/>
  <c r="T67" i="1"/>
  <c r="V67" i="1" s="1"/>
  <c r="T66" i="1"/>
  <c r="V66" i="1" s="1"/>
  <c r="T65" i="1"/>
  <c r="V65" i="1" s="1"/>
  <c r="T64" i="1"/>
  <c r="V64" i="1" s="1"/>
  <c r="T63" i="1"/>
  <c r="V63" i="1" s="1"/>
  <c r="T62" i="1"/>
  <c r="V62" i="1" s="1"/>
  <c r="T61" i="1"/>
  <c r="V61" i="1" s="1"/>
  <c r="T60" i="1"/>
  <c r="V60" i="1" s="1"/>
  <c r="T59" i="1"/>
  <c r="V59" i="1" s="1"/>
  <c r="R52" i="1"/>
  <c r="T52" i="1" s="1"/>
  <c r="V52" i="1" s="1"/>
  <c r="R39" i="1"/>
  <c r="T39" i="1" s="1"/>
  <c r="V39" i="1" s="1"/>
  <c r="R26" i="1"/>
  <c r="T26" i="1" s="1"/>
  <c r="V26" i="1" s="1"/>
  <c r="R13" i="1"/>
  <c r="T13" i="1" s="1"/>
  <c r="V13" i="1" s="1"/>
  <c r="R40" i="1"/>
  <c r="T40" i="1" s="1"/>
  <c r="V40" i="1" s="1"/>
  <c r="R53" i="1"/>
  <c r="T53" i="1" s="1"/>
  <c r="V53" i="1" s="1"/>
  <c r="T51" i="1"/>
  <c r="V51" i="1" s="1"/>
  <c r="T50" i="1"/>
  <c r="V50" i="1" s="1"/>
  <c r="T49" i="1"/>
  <c r="V49" i="1" s="1"/>
  <c r="T48" i="1"/>
  <c r="V48" i="1" s="1"/>
  <c r="T47" i="1"/>
  <c r="V47" i="1" s="1"/>
  <c r="T46" i="1"/>
  <c r="V46" i="1" s="1"/>
  <c r="T45" i="1"/>
  <c r="V45" i="1" s="1"/>
  <c r="T44" i="1"/>
  <c r="V44" i="1" s="1"/>
  <c r="T43" i="1"/>
  <c r="V43" i="1" s="1"/>
  <c r="T38" i="1"/>
  <c r="V38" i="1" s="1"/>
  <c r="T37" i="1"/>
  <c r="V37" i="1" s="1"/>
  <c r="T36" i="1"/>
  <c r="V36" i="1" s="1"/>
  <c r="T35" i="1"/>
  <c r="V35" i="1" s="1"/>
  <c r="T34" i="1"/>
  <c r="V34" i="1" s="1"/>
  <c r="T33" i="1"/>
  <c r="V33" i="1" s="1"/>
  <c r="T32" i="1"/>
  <c r="V32" i="1" s="1"/>
  <c r="T31" i="1"/>
  <c r="V31" i="1" s="1"/>
  <c r="T30" i="1"/>
  <c r="V30" i="1" s="1"/>
  <c r="R27" i="1"/>
  <c r="T27" i="1" s="1"/>
  <c r="V27" i="1" s="1"/>
  <c r="T25" i="1"/>
  <c r="V25" i="1" s="1"/>
  <c r="T24" i="1"/>
  <c r="V24" i="1" s="1"/>
  <c r="T23" i="1"/>
  <c r="V23" i="1" s="1"/>
  <c r="T22" i="1"/>
  <c r="V22" i="1" s="1"/>
  <c r="T21" i="1"/>
  <c r="V21" i="1" s="1"/>
  <c r="T20" i="1"/>
  <c r="V20" i="1" s="1"/>
  <c r="T19" i="1"/>
  <c r="V19" i="1" s="1"/>
  <c r="T18" i="1"/>
  <c r="V18" i="1" s="1"/>
  <c r="T17" i="1"/>
  <c r="V17" i="1" s="1"/>
  <c r="T8" i="1"/>
  <c r="V8" i="1" s="1"/>
  <c r="T9" i="1"/>
  <c r="V9" i="1" s="1"/>
  <c r="T10" i="1"/>
  <c r="V10" i="1" s="1"/>
  <c r="T11" i="1"/>
  <c r="V11" i="1" s="1"/>
  <c r="T12" i="1"/>
  <c r="V12" i="1" s="1"/>
  <c r="T14" i="1"/>
  <c r="V14" i="1" s="1"/>
  <c r="J11" i="1"/>
  <c r="J9" i="1"/>
  <c r="I24" i="1"/>
  <c r="I30" i="1" s="1"/>
  <c r="J8" i="1"/>
  <c r="J4" i="1"/>
  <c r="C15" i="1"/>
  <c r="B15" i="1"/>
  <c r="J64" i="1" l="1"/>
  <c r="L18" i="1"/>
  <c r="L17" i="1"/>
  <c r="L15" i="1"/>
  <c r="L16" i="1"/>
  <c r="L14" i="1"/>
  <c r="J16" i="1"/>
  <c r="J12" i="1"/>
  <c r="I29" i="1"/>
  <c r="I31" i="1" s="1"/>
  <c r="I33" i="1" s="1"/>
  <c r="J33" i="1" s="1"/>
</calcChain>
</file>

<file path=xl/sharedStrings.xml><?xml version="1.0" encoding="utf-8"?>
<sst xmlns="http://schemas.openxmlformats.org/spreadsheetml/2006/main" count="133" uniqueCount="31">
  <si>
    <t>scale</t>
  </si>
  <si>
    <t>Authorized</t>
  </si>
  <si>
    <t>inpost</t>
  </si>
  <si>
    <t xml:space="preserve">BASIC SALARY       -                                  36,143                   </t>
  </si>
  <si>
    <t xml:space="preserve">HOUSE ALLOWANCE      -                        28,000 </t>
  </si>
  <si>
    <t xml:space="preserve">COMMUTER   ALLOWANCE     -                6,000          </t>
  </si>
  <si>
    <t>SUB TOTAL      =                                          70,143</t>
  </si>
  <si>
    <t>16 * 70,143   =                                     1,122,288</t>
  </si>
  <si>
    <t>LEAVE ALLOWANCE       -                            6,500</t>
  </si>
  <si>
    <t>NSSF EMPLOYER CONTRIBUTION -     1,080</t>
  </si>
  <si>
    <t xml:space="preserve">ANNUAL INCREMENT           -                1,807.15           </t>
  </si>
  <si>
    <t>HOUSING LEVY     -                                 1,052.15</t>
  </si>
  <si>
    <t>PENSION CONTRIBUTION -                  2,710.73</t>
  </si>
  <si>
    <t>SUB TOTAL   =                                     13,150.03</t>
  </si>
  <si>
    <t>16 * 13,150.03      =                           210,400.40</t>
  </si>
  <si>
    <t>TOTAL                =                           1,332,688.40</t>
  </si>
  <si>
    <t xml:space="preserve">BASIC SALARY                      </t>
  </si>
  <si>
    <t xml:space="preserve">HOUSE ALLOWANCE     </t>
  </si>
  <si>
    <t xml:space="preserve">COMMUTER   ALLOWANCE           </t>
  </si>
  <si>
    <t xml:space="preserve">LEAVE ALLOWANCE    </t>
  </si>
  <si>
    <t>NSSF EMPLOYER CONTRIBUTION</t>
  </si>
  <si>
    <t xml:space="preserve">           </t>
  </si>
  <si>
    <t xml:space="preserve">HOUSING LEVY    </t>
  </si>
  <si>
    <t>PENSION CONTRIBUTION</t>
  </si>
  <si>
    <t xml:space="preserve">ENTE     </t>
  </si>
  <si>
    <t>RESPONSIBILITY</t>
  </si>
  <si>
    <t>GRATUITY</t>
  </si>
  <si>
    <t>25/26</t>
  </si>
  <si>
    <t>27/28</t>
  </si>
  <si>
    <t>26/27</t>
  </si>
  <si>
    <t>2027/2028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</si>
</sst>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4" fontId="1" fillId="0" borderId="0" xfId="0" applyNumberFormat="1" applyFont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11"/>
  <sheetViews>
    <sheetView tabSelected="1" workbookViewId="0">
      <selection activeCell="C10" sqref="C10"/>
    </sheetView>
  </sheetViews>
  <sheetFormatPr defaultRowHeight="15" x14ac:dyDescent="0.25"/>
  <cols>
    <col min="1" max="1" width="5.42578125" bestFit="1" customWidth="1"/>
    <col min="2" max="2" width="46.42578125" bestFit="1" customWidth="1"/>
    <col min="3" max="3" width="6.5703125" bestFit="1" customWidth="1"/>
    <col min="4" max="5" width="5.85546875" bestFit="1" customWidth="1"/>
    <col min="6" max="6" width="29.85546875" bestFit="1" customWidth="1"/>
    <col min="7" max="8" width="10" bestFit="1" customWidth="1"/>
    <col min="9" max="9" width="11.7109375" bestFit="1" customWidth="1"/>
    <col min="10" max="10" width="12.7109375" style="2" bestFit="1" customWidth="1"/>
    <col min="12" max="12" width="11.7109375" bestFit="1" customWidth="1"/>
    <col min="15" max="15" width="29.85546875" bestFit="1" customWidth="1"/>
    <col min="18" max="18" width="10.140625" bestFit="1" customWidth="1"/>
    <col min="19" max="19" width="5.85546875" bestFit="1" customWidth="1"/>
    <col min="20" max="20" width="11.7109375" bestFit="1" customWidth="1"/>
    <col min="21" max="21" width="5.5703125" bestFit="1" customWidth="1"/>
    <col min="22" max="22" width="12.7109375" bestFit="1" customWidth="1"/>
    <col min="23" max="24" width="2" bestFit="1" customWidth="1"/>
  </cols>
  <sheetData>
    <row r="2" spans="1:24" x14ac:dyDescent="0.25">
      <c r="A2" s="5" t="s">
        <v>0</v>
      </c>
      <c r="B2" s="5" t="s">
        <v>1</v>
      </c>
      <c r="C2" s="5" t="s">
        <v>2</v>
      </c>
      <c r="D2" s="5" t="s">
        <v>27</v>
      </c>
      <c r="E2" s="5" t="s">
        <v>29</v>
      </c>
      <c r="F2" s="5" t="s">
        <v>28</v>
      </c>
      <c r="G2" t="s">
        <v>28</v>
      </c>
      <c r="S2" t="s">
        <v>27</v>
      </c>
    </row>
    <row r="3" spans="1:24" x14ac:dyDescent="0.25">
      <c r="A3" s="5">
        <v>1</v>
      </c>
      <c r="B3" s="5">
        <v>1</v>
      </c>
      <c r="C3" s="5">
        <v>1</v>
      </c>
      <c r="D3" s="5"/>
      <c r="E3" s="5"/>
      <c r="F3" s="5"/>
      <c r="R3" s="4">
        <v>2</v>
      </c>
      <c r="V3">
        <v>6</v>
      </c>
      <c r="W3">
        <v>7</v>
      </c>
      <c r="X3">
        <v>9</v>
      </c>
    </row>
    <row r="4" spans="1:24" x14ac:dyDescent="0.25">
      <c r="A4" s="5">
        <v>2</v>
      </c>
      <c r="B4" s="5">
        <v>9</v>
      </c>
      <c r="C4" s="5">
        <v>1</v>
      </c>
      <c r="D4" s="5">
        <v>6</v>
      </c>
      <c r="E4" s="5"/>
      <c r="F4" s="5"/>
      <c r="H4" s="1">
        <v>5073690</v>
      </c>
      <c r="I4">
        <v>12</v>
      </c>
      <c r="J4" s="2">
        <f>H4*I4</f>
        <v>60884280</v>
      </c>
      <c r="O4" t="s">
        <v>16</v>
      </c>
      <c r="R4" s="2">
        <v>147907</v>
      </c>
      <c r="S4" s="2">
        <v>12</v>
      </c>
      <c r="T4" s="2">
        <f>R4*S4</f>
        <v>1774884</v>
      </c>
      <c r="U4" s="2">
        <v>6</v>
      </c>
      <c r="V4" s="2">
        <f>T4*U4</f>
        <v>10649304</v>
      </c>
      <c r="W4" s="2"/>
      <c r="X4" s="2"/>
    </row>
    <row r="5" spans="1:24" x14ac:dyDescent="0.25">
      <c r="A5" s="5">
        <v>3</v>
      </c>
      <c r="B5" s="5">
        <v>27</v>
      </c>
      <c r="C5" s="5">
        <v>1</v>
      </c>
      <c r="D5" s="5"/>
      <c r="E5" s="5"/>
      <c r="F5" s="5"/>
      <c r="O5" t="s">
        <v>17</v>
      </c>
      <c r="R5" s="2">
        <v>60000</v>
      </c>
      <c r="S5" s="2">
        <v>12</v>
      </c>
      <c r="T5" s="2">
        <f t="shared" ref="T5:T14" si="0">R5*S5</f>
        <v>720000</v>
      </c>
      <c r="U5" s="2">
        <v>6</v>
      </c>
      <c r="V5" s="2">
        <f t="shared" ref="V5:V14" si="1">T5*U5</f>
        <v>4320000</v>
      </c>
      <c r="W5" s="2"/>
      <c r="X5" s="2"/>
    </row>
    <row r="6" spans="1:24" x14ac:dyDescent="0.25">
      <c r="A6" s="5">
        <v>4</v>
      </c>
      <c r="B6" s="5">
        <v>69</v>
      </c>
      <c r="C6" s="5">
        <v>7</v>
      </c>
      <c r="D6" s="5"/>
      <c r="E6" s="5"/>
      <c r="F6" s="5"/>
      <c r="O6" t="s">
        <v>18</v>
      </c>
      <c r="R6" s="2">
        <v>0</v>
      </c>
      <c r="S6" s="2">
        <v>12</v>
      </c>
      <c r="T6" s="2">
        <f t="shared" si="0"/>
        <v>0</v>
      </c>
      <c r="U6" s="2">
        <v>6</v>
      </c>
      <c r="V6" s="2">
        <f t="shared" si="1"/>
        <v>0</v>
      </c>
      <c r="W6" s="2"/>
      <c r="X6" s="2"/>
    </row>
    <row r="7" spans="1:24" x14ac:dyDescent="0.25">
      <c r="A7" s="5">
        <v>5</v>
      </c>
      <c r="B7" s="5">
        <v>58</v>
      </c>
      <c r="C7" s="5">
        <v>11</v>
      </c>
      <c r="D7" s="5"/>
      <c r="E7" s="5"/>
      <c r="F7" s="5"/>
      <c r="O7" t="s">
        <v>24</v>
      </c>
      <c r="R7" s="2">
        <v>20000</v>
      </c>
      <c r="S7" s="2">
        <v>12</v>
      </c>
      <c r="T7" s="2">
        <f t="shared" si="0"/>
        <v>240000</v>
      </c>
      <c r="U7" s="2">
        <v>6</v>
      </c>
      <c r="V7" s="2">
        <f t="shared" si="1"/>
        <v>1440000</v>
      </c>
      <c r="W7" s="2"/>
      <c r="X7" s="2"/>
    </row>
    <row r="8" spans="1:24" x14ac:dyDescent="0.25">
      <c r="A8" s="5">
        <v>6</v>
      </c>
      <c r="B8" s="5">
        <v>27</v>
      </c>
      <c r="C8" s="5">
        <v>11</v>
      </c>
      <c r="D8" s="5">
        <v>2</v>
      </c>
      <c r="E8" s="5"/>
      <c r="F8" s="5">
        <v>9</v>
      </c>
      <c r="H8">
        <v>300076.77</v>
      </c>
      <c r="I8">
        <v>12</v>
      </c>
      <c r="J8" s="2">
        <f t="shared" ref="J8" si="2">H8*I8</f>
        <v>3600921.24</v>
      </c>
      <c r="O8" t="s">
        <v>25</v>
      </c>
      <c r="R8" s="2">
        <v>40000</v>
      </c>
      <c r="S8" s="2">
        <v>12</v>
      </c>
      <c r="T8" s="2">
        <f t="shared" si="0"/>
        <v>480000</v>
      </c>
      <c r="U8" s="2">
        <v>6</v>
      </c>
      <c r="V8" s="2">
        <f t="shared" si="1"/>
        <v>2880000</v>
      </c>
      <c r="W8" s="2"/>
      <c r="X8" s="2"/>
    </row>
    <row r="9" spans="1:24" x14ac:dyDescent="0.25">
      <c r="A9" s="5">
        <v>7</v>
      </c>
      <c r="B9" s="5">
        <v>96</v>
      </c>
      <c r="C9" s="5">
        <v>15</v>
      </c>
      <c r="D9" s="5">
        <v>6</v>
      </c>
      <c r="E9" s="5">
        <v>10</v>
      </c>
      <c r="F9" s="5">
        <v>6</v>
      </c>
      <c r="H9">
        <v>565957.07999999996</v>
      </c>
      <c r="I9">
        <v>12</v>
      </c>
      <c r="J9" s="2">
        <f>H9*I9</f>
        <v>6791484.959999999</v>
      </c>
      <c r="O9" t="s">
        <v>19</v>
      </c>
      <c r="R9" s="2">
        <v>15000</v>
      </c>
      <c r="S9" s="2">
        <v>12</v>
      </c>
      <c r="T9" s="2">
        <f t="shared" si="0"/>
        <v>180000</v>
      </c>
      <c r="U9" s="2">
        <v>6</v>
      </c>
      <c r="V9" s="2">
        <f t="shared" si="1"/>
        <v>1080000</v>
      </c>
      <c r="W9" s="2"/>
      <c r="X9" s="2"/>
    </row>
    <row r="10" spans="1:24" x14ac:dyDescent="0.25">
      <c r="A10" s="5">
        <v>8</v>
      </c>
      <c r="B10" s="5">
        <v>8</v>
      </c>
      <c r="C10" s="5">
        <v>44</v>
      </c>
      <c r="D10" s="5"/>
      <c r="E10" s="5"/>
      <c r="F10" s="5"/>
      <c r="O10" t="s">
        <v>20</v>
      </c>
      <c r="R10" s="2">
        <v>1080</v>
      </c>
      <c r="S10" s="2">
        <v>12</v>
      </c>
      <c r="T10" s="2">
        <f t="shared" si="0"/>
        <v>12960</v>
      </c>
      <c r="U10" s="2">
        <v>6</v>
      </c>
      <c r="V10" s="2">
        <f t="shared" si="1"/>
        <v>77760</v>
      </c>
      <c r="W10" s="2"/>
      <c r="X10" s="2"/>
    </row>
    <row r="11" spans="1:24" x14ac:dyDescent="0.25">
      <c r="A11" s="5">
        <v>9</v>
      </c>
      <c r="B11" s="5">
        <v>21</v>
      </c>
      <c r="C11" s="5">
        <v>8</v>
      </c>
      <c r="D11" s="5">
        <v>6</v>
      </c>
      <c r="E11" s="5">
        <v>5</v>
      </c>
      <c r="F11" s="5"/>
      <c r="H11">
        <v>396120.72</v>
      </c>
      <c r="I11">
        <v>12</v>
      </c>
      <c r="J11" s="2">
        <f t="shared" ref="J11" si="3">H11*I11</f>
        <v>4753448.6399999997</v>
      </c>
      <c r="O11" t="s">
        <v>21</v>
      </c>
      <c r="R11" s="2"/>
      <c r="S11" s="2">
        <v>12</v>
      </c>
      <c r="T11" s="2">
        <f t="shared" si="0"/>
        <v>0</v>
      </c>
      <c r="U11" s="2">
        <v>6</v>
      </c>
      <c r="V11" s="2">
        <f t="shared" si="1"/>
        <v>0</v>
      </c>
      <c r="W11" s="2"/>
      <c r="X11" s="2"/>
    </row>
    <row r="12" spans="1:24" x14ac:dyDescent="0.25">
      <c r="A12" s="5">
        <v>10</v>
      </c>
      <c r="B12" s="5">
        <v>7</v>
      </c>
      <c r="C12" s="5">
        <v>20</v>
      </c>
      <c r="D12" s="5"/>
      <c r="E12" s="5"/>
      <c r="F12" s="5"/>
      <c r="J12" s="3">
        <f>SUM(J4:J11)</f>
        <v>76030134.840000004</v>
      </c>
      <c r="O12" t="s">
        <v>22</v>
      </c>
      <c r="R12" s="2">
        <v>4018.61</v>
      </c>
      <c r="S12" s="2">
        <v>12</v>
      </c>
      <c r="T12" s="2">
        <f t="shared" si="0"/>
        <v>48223.32</v>
      </c>
      <c r="U12" s="2">
        <v>6</v>
      </c>
      <c r="V12" s="2">
        <f t="shared" si="1"/>
        <v>289339.92</v>
      </c>
      <c r="W12" s="2"/>
      <c r="X12" s="2"/>
    </row>
    <row r="13" spans="1:24" x14ac:dyDescent="0.25">
      <c r="A13" s="5">
        <v>11</v>
      </c>
      <c r="B13" s="5">
        <v>5</v>
      </c>
      <c r="C13" s="5">
        <v>13</v>
      </c>
      <c r="D13" s="5"/>
      <c r="E13" s="5"/>
      <c r="F13" s="5"/>
      <c r="O13" t="s">
        <v>23</v>
      </c>
      <c r="R13" s="2">
        <f>15%*R4</f>
        <v>22186.05</v>
      </c>
      <c r="S13" s="2">
        <v>12</v>
      </c>
      <c r="T13" s="2">
        <f t="shared" si="0"/>
        <v>266232.59999999998</v>
      </c>
      <c r="U13" s="2">
        <v>6</v>
      </c>
      <c r="V13" s="2">
        <f t="shared" si="1"/>
        <v>1597395.5999999999</v>
      </c>
      <c r="W13" s="2"/>
      <c r="X13" s="2"/>
    </row>
    <row r="14" spans="1:24" x14ac:dyDescent="0.25">
      <c r="A14" s="5">
        <v>12</v>
      </c>
      <c r="B14" s="5">
        <v>8</v>
      </c>
      <c r="C14" s="5">
        <v>37</v>
      </c>
      <c r="D14" s="5"/>
      <c r="E14" s="5"/>
      <c r="F14" s="5"/>
      <c r="L14" s="2">
        <f>V5+V18+V31+V44</f>
        <v>8364000</v>
      </c>
      <c r="O14" t="s">
        <v>26</v>
      </c>
      <c r="R14" s="3">
        <v>550214.04</v>
      </c>
      <c r="S14" s="2">
        <v>1</v>
      </c>
      <c r="T14" s="2">
        <f t="shared" si="0"/>
        <v>550214.04</v>
      </c>
      <c r="U14" s="2">
        <v>6</v>
      </c>
      <c r="V14" s="2">
        <f t="shared" si="1"/>
        <v>3301284.24</v>
      </c>
    </row>
    <row r="15" spans="1:24" x14ac:dyDescent="0.25">
      <c r="A15" s="5"/>
      <c r="B15" s="5">
        <f>SUM(B3:B14)</f>
        <v>336</v>
      </c>
      <c r="C15" s="5">
        <f>SUM(C3:C14)</f>
        <v>169</v>
      </c>
      <c r="D15" s="5"/>
      <c r="E15" s="5"/>
      <c r="F15" s="5"/>
      <c r="L15" s="2">
        <f>V19+V32+V45</f>
        <v>1128000</v>
      </c>
    </row>
    <row r="16" spans="1:24" x14ac:dyDescent="0.25">
      <c r="A16" s="5"/>
      <c r="B16" s="5"/>
      <c r="C16" s="5"/>
      <c r="D16" s="5"/>
      <c r="E16" s="5"/>
      <c r="F16" s="5"/>
      <c r="J16" s="2">
        <f>V4+V17+V30+V43</f>
        <v>17132184</v>
      </c>
      <c r="L16" s="2">
        <f>V9+V22+V35+V48</f>
        <v>2136000</v>
      </c>
      <c r="R16" s="4">
        <v>6</v>
      </c>
    </row>
    <row r="17" spans="2:22" x14ac:dyDescent="0.25">
      <c r="L17" s="2">
        <f>V14+V27+V40+V53</f>
        <v>5310977.04</v>
      </c>
      <c r="O17" t="s">
        <v>16</v>
      </c>
      <c r="R17" s="2">
        <v>50220</v>
      </c>
      <c r="S17" s="2">
        <v>12</v>
      </c>
      <c r="T17" s="2">
        <f>R17*S17</f>
        <v>602640</v>
      </c>
      <c r="U17" s="2">
        <v>2</v>
      </c>
      <c r="V17" s="2">
        <f>T17*U17</f>
        <v>1205280</v>
      </c>
    </row>
    <row r="18" spans="2:22" x14ac:dyDescent="0.25">
      <c r="L18" s="2">
        <f>V13+V26+V39+V52</f>
        <v>2569827.5999999996</v>
      </c>
      <c r="O18" t="s">
        <v>17</v>
      </c>
      <c r="R18" s="2">
        <v>35000</v>
      </c>
      <c r="S18" s="2">
        <v>12</v>
      </c>
      <c r="T18" s="2">
        <f t="shared" ref="T18:T27" si="4">R18*S18</f>
        <v>420000</v>
      </c>
      <c r="U18" s="2">
        <v>2</v>
      </c>
      <c r="V18" s="2">
        <f t="shared" ref="V18:V27" si="5">T18*U18</f>
        <v>840000</v>
      </c>
    </row>
    <row r="19" spans="2:22" x14ac:dyDescent="0.25">
      <c r="J19" s="3">
        <v>900230.31</v>
      </c>
      <c r="O19" t="s">
        <v>18</v>
      </c>
      <c r="R19" s="2">
        <v>8000</v>
      </c>
      <c r="S19" s="2">
        <v>12</v>
      </c>
      <c r="T19" s="2">
        <f t="shared" si="4"/>
        <v>96000</v>
      </c>
      <c r="U19" s="2">
        <v>2</v>
      </c>
      <c r="V19" s="2">
        <f t="shared" si="5"/>
        <v>192000</v>
      </c>
    </row>
    <row r="20" spans="2:22" x14ac:dyDescent="0.25">
      <c r="O20" t="s">
        <v>24</v>
      </c>
      <c r="R20" s="2">
        <v>0</v>
      </c>
      <c r="S20" s="2">
        <v>12</v>
      </c>
      <c r="T20" s="2">
        <f t="shared" si="4"/>
        <v>0</v>
      </c>
      <c r="U20" s="2">
        <v>2</v>
      </c>
      <c r="V20" s="2">
        <f t="shared" si="5"/>
        <v>0</v>
      </c>
    </row>
    <row r="21" spans="2:22" x14ac:dyDescent="0.25">
      <c r="B21" t="s">
        <v>3</v>
      </c>
      <c r="I21">
        <v>31833</v>
      </c>
      <c r="O21" t="s">
        <v>25</v>
      </c>
      <c r="R21" s="2">
        <v>0</v>
      </c>
      <c r="S21" s="2">
        <v>12</v>
      </c>
      <c r="T21" s="2">
        <f t="shared" si="4"/>
        <v>0</v>
      </c>
      <c r="U21" s="2">
        <v>2</v>
      </c>
      <c r="V21" s="2">
        <f t="shared" si="5"/>
        <v>0</v>
      </c>
    </row>
    <row r="22" spans="2:22" x14ac:dyDescent="0.25">
      <c r="B22" t="s">
        <v>4</v>
      </c>
      <c r="I22">
        <v>16500</v>
      </c>
      <c r="O22" t="s">
        <v>19</v>
      </c>
      <c r="R22" s="2">
        <v>8000</v>
      </c>
      <c r="S22" s="2">
        <v>12</v>
      </c>
      <c r="T22" s="2">
        <f t="shared" si="4"/>
        <v>96000</v>
      </c>
      <c r="U22" s="2">
        <v>2</v>
      </c>
      <c r="V22" s="2">
        <f t="shared" si="5"/>
        <v>192000</v>
      </c>
    </row>
    <row r="23" spans="2:22" x14ac:dyDescent="0.25">
      <c r="B23" t="s">
        <v>5</v>
      </c>
      <c r="I23">
        <v>5000</v>
      </c>
      <c r="O23" t="s">
        <v>20</v>
      </c>
      <c r="R23" s="2">
        <v>1080</v>
      </c>
      <c r="S23" s="2">
        <v>12</v>
      </c>
      <c r="T23" s="2">
        <f t="shared" si="4"/>
        <v>12960</v>
      </c>
      <c r="U23" s="2">
        <v>2</v>
      </c>
      <c r="V23" s="2">
        <f t="shared" si="5"/>
        <v>25920</v>
      </c>
    </row>
    <row r="24" spans="2:22" x14ac:dyDescent="0.25">
      <c r="B24" t="s">
        <v>6</v>
      </c>
      <c r="I24" s="4">
        <f>SUM(I21:I23)</f>
        <v>53333</v>
      </c>
      <c r="O24" t="s">
        <v>21</v>
      </c>
      <c r="R24" s="2"/>
      <c r="S24" s="2">
        <v>12</v>
      </c>
      <c r="T24" s="2">
        <f t="shared" si="4"/>
        <v>0</v>
      </c>
      <c r="U24" s="2">
        <v>2</v>
      </c>
      <c r="V24" s="2">
        <f t="shared" si="5"/>
        <v>0</v>
      </c>
    </row>
    <row r="25" spans="2:22" x14ac:dyDescent="0.25">
      <c r="B25" t="s">
        <v>7</v>
      </c>
      <c r="O25" t="s">
        <v>22</v>
      </c>
      <c r="R25" s="2">
        <v>1543</v>
      </c>
      <c r="S25" s="2">
        <v>12</v>
      </c>
      <c r="T25" s="2">
        <f t="shared" si="4"/>
        <v>18516</v>
      </c>
      <c r="U25" s="2">
        <v>2</v>
      </c>
      <c r="V25" s="2">
        <f t="shared" si="5"/>
        <v>37032</v>
      </c>
    </row>
    <row r="26" spans="2:22" x14ac:dyDescent="0.25">
      <c r="B26" t="s">
        <v>8</v>
      </c>
      <c r="I26">
        <v>5000</v>
      </c>
      <c r="O26" t="s">
        <v>23</v>
      </c>
      <c r="R26" s="2">
        <f>15%*R17</f>
        <v>7533</v>
      </c>
      <c r="S26" s="2">
        <v>12</v>
      </c>
      <c r="T26" s="2">
        <f t="shared" si="4"/>
        <v>90396</v>
      </c>
      <c r="U26" s="2">
        <v>2</v>
      </c>
      <c r="V26" s="2">
        <f t="shared" si="5"/>
        <v>180792</v>
      </c>
    </row>
    <row r="27" spans="2:22" x14ac:dyDescent="0.25">
      <c r="B27" t="s">
        <v>9</v>
      </c>
      <c r="I27">
        <v>1080</v>
      </c>
      <c r="O27" t="s">
        <v>26</v>
      </c>
      <c r="R27" s="3">
        <f>R17*12*31%</f>
        <v>186818.4</v>
      </c>
      <c r="S27" s="2">
        <v>1</v>
      </c>
      <c r="T27" s="2">
        <f t="shared" si="4"/>
        <v>186818.4</v>
      </c>
      <c r="U27" s="2">
        <v>2</v>
      </c>
      <c r="V27" s="2">
        <f t="shared" si="5"/>
        <v>373636.8</v>
      </c>
    </row>
    <row r="28" spans="2:22" x14ac:dyDescent="0.25">
      <c r="B28" t="s">
        <v>10</v>
      </c>
      <c r="I28">
        <v>1807.15</v>
      </c>
    </row>
    <row r="29" spans="2:22" x14ac:dyDescent="0.25">
      <c r="B29" t="s">
        <v>11</v>
      </c>
      <c r="I29">
        <f>I24*1.5%</f>
        <v>799.995</v>
      </c>
      <c r="S29" s="3">
        <v>7</v>
      </c>
    </row>
    <row r="30" spans="2:22" x14ac:dyDescent="0.25">
      <c r="B30" t="s">
        <v>12</v>
      </c>
      <c r="I30">
        <f>7.5%*I24</f>
        <v>3999.9749999999999</v>
      </c>
      <c r="O30" t="s">
        <v>16</v>
      </c>
      <c r="R30" s="2">
        <v>41467</v>
      </c>
      <c r="S30" s="2">
        <v>12</v>
      </c>
      <c r="T30" s="2">
        <f>R30*S30</f>
        <v>497604</v>
      </c>
      <c r="U30" s="2">
        <v>6</v>
      </c>
      <c r="V30" s="2">
        <f>T30*U30</f>
        <v>2985624</v>
      </c>
    </row>
    <row r="31" spans="2:22" x14ac:dyDescent="0.25">
      <c r="B31" t="s">
        <v>13</v>
      </c>
      <c r="I31" s="4">
        <f>SUM(I26:I30)</f>
        <v>12687.12</v>
      </c>
      <c r="O31" t="s">
        <v>17</v>
      </c>
      <c r="R31" s="2">
        <v>28000</v>
      </c>
      <c r="S31" s="2">
        <v>12</v>
      </c>
      <c r="T31" s="2">
        <f t="shared" ref="T31:T40" si="6">R31*S31</f>
        <v>336000</v>
      </c>
      <c r="U31" s="2">
        <v>6</v>
      </c>
      <c r="V31" s="2">
        <f t="shared" ref="V31:V40" si="7">T31*U31</f>
        <v>2016000</v>
      </c>
    </row>
    <row r="32" spans="2:22" x14ac:dyDescent="0.25">
      <c r="B32" t="s">
        <v>14</v>
      </c>
      <c r="O32" t="s">
        <v>18</v>
      </c>
      <c r="R32" s="2">
        <v>8000</v>
      </c>
      <c r="S32" s="2">
        <v>12</v>
      </c>
      <c r="T32" s="2">
        <f t="shared" si="6"/>
        <v>96000</v>
      </c>
      <c r="U32" s="2">
        <v>6</v>
      </c>
      <c r="V32" s="2">
        <f t="shared" si="7"/>
        <v>576000</v>
      </c>
    </row>
    <row r="33" spans="2:22" x14ac:dyDescent="0.25">
      <c r="B33" t="s">
        <v>15</v>
      </c>
      <c r="I33">
        <f>I24+I31</f>
        <v>66020.12</v>
      </c>
      <c r="J33" s="2">
        <f>I33*6</f>
        <v>396120.72</v>
      </c>
      <c r="O33" t="s">
        <v>24</v>
      </c>
      <c r="R33" s="2">
        <v>0</v>
      </c>
      <c r="S33" s="2">
        <v>12</v>
      </c>
      <c r="T33" s="2">
        <f t="shared" si="6"/>
        <v>0</v>
      </c>
      <c r="U33" s="2">
        <v>6</v>
      </c>
      <c r="V33" s="2">
        <f t="shared" si="7"/>
        <v>0</v>
      </c>
    </row>
    <row r="34" spans="2:22" x14ac:dyDescent="0.25">
      <c r="O34" t="s">
        <v>25</v>
      </c>
      <c r="R34" s="2">
        <v>0</v>
      </c>
      <c r="S34" s="2">
        <v>12</v>
      </c>
      <c r="T34" s="2">
        <f t="shared" si="6"/>
        <v>0</v>
      </c>
      <c r="U34" s="2">
        <v>6</v>
      </c>
      <c r="V34" s="2">
        <f t="shared" si="7"/>
        <v>0</v>
      </c>
    </row>
    <row r="35" spans="2:22" x14ac:dyDescent="0.25">
      <c r="O35" t="s">
        <v>19</v>
      </c>
      <c r="R35" s="2">
        <v>7000</v>
      </c>
      <c r="S35" s="2">
        <v>12</v>
      </c>
      <c r="T35" s="2">
        <f t="shared" si="6"/>
        <v>84000</v>
      </c>
      <c r="U35" s="2">
        <v>6</v>
      </c>
      <c r="V35" s="2">
        <f t="shared" si="7"/>
        <v>504000</v>
      </c>
    </row>
    <row r="36" spans="2:22" x14ac:dyDescent="0.25">
      <c r="O36" t="s">
        <v>20</v>
      </c>
      <c r="R36" s="2">
        <v>1080</v>
      </c>
      <c r="S36" s="2">
        <v>12</v>
      </c>
      <c r="T36" s="2">
        <f t="shared" si="6"/>
        <v>12960</v>
      </c>
      <c r="U36" s="2">
        <v>6</v>
      </c>
      <c r="V36" s="2">
        <f t="shared" si="7"/>
        <v>77760</v>
      </c>
    </row>
    <row r="37" spans="2:22" x14ac:dyDescent="0.25">
      <c r="O37" t="s">
        <v>21</v>
      </c>
      <c r="R37" s="2"/>
      <c r="S37" s="2">
        <v>12</v>
      </c>
      <c r="T37" s="2">
        <f t="shared" si="6"/>
        <v>0</v>
      </c>
      <c r="U37" s="2">
        <v>6</v>
      </c>
      <c r="V37" s="2">
        <f t="shared" si="7"/>
        <v>0</v>
      </c>
    </row>
    <row r="38" spans="2:22" x14ac:dyDescent="0.25">
      <c r="O38" t="s">
        <v>22</v>
      </c>
      <c r="R38" s="2">
        <v>1270</v>
      </c>
      <c r="S38" s="2">
        <v>12</v>
      </c>
      <c r="T38" s="2">
        <f t="shared" si="6"/>
        <v>15240</v>
      </c>
      <c r="U38" s="2">
        <v>6</v>
      </c>
      <c r="V38" s="2">
        <f t="shared" si="7"/>
        <v>91440</v>
      </c>
    </row>
    <row r="39" spans="2:22" x14ac:dyDescent="0.25">
      <c r="O39" t="s">
        <v>23</v>
      </c>
      <c r="R39" s="2">
        <f>15%*R30</f>
        <v>6220.05</v>
      </c>
      <c r="S39" s="2">
        <v>12</v>
      </c>
      <c r="T39" s="2">
        <f t="shared" si="6"/>
        <v>74640.600000000006</v>
      </c>
      <c r="U39" s="2">
        <v>6</v>
      </c>
      <c r="V39" s="2">
        <f t="shared" si="7"/>
        <v>447843.60000000003</v>
      </c>
    </row>
    <row r="40" spans="2:22" x14ac:dyDescent="0.25">
      <c r="O40" t="s">
        <v>26</v>
      </c>
      <c r="R40" s="3">
        <f>R30*12*31%</f>
        <v>154257.24</v>
      </c>
      <c r="S40" s="2">
        <v>1</v>
      </c>
      <c r="T40" s="2">
        <f t="shared" si="6"/>
        <v>154257.24</v>
      </c>
      <c r="U40" s="2">
        <v>6</v>
      </c>
      <c r="V40" s="2">
        <f t="shared" si="7"/>
        <v>925543.44</v>
      </c>
    </row>
    <row r="42" spans="2:22" x14ac:dyDescent="0.25">
      <c r="S42" s="3">
        <v>9</v>
      </c>
    </row>
    <row r="43" spans="2:22" x14ac:dyDescent="0.25">
      <c r="O43" t="s">
        <v>16</v>
      </c>
      <c r="R43" s="2">
        <v>31833</v>
      </c>
      <c r="S43" s="2">
        <v>12</v>
      </c>
      <c r="T43" s="2">
        <f>R43*S43</f>
        <v>381996</v>
      </c>
      <c r="U43" s="2">
        <v>6</v>
      </c>
      <c r="V43" s="2">
        <f>T43*U43</f>
        <v>2291976</v>
      </c>
    </row>
    <row r="44" spans="2:22" x14ac:dyDescent="0.25">
      <c r="O44" t="s">
        <v>17</v>
      </c>
      <c r="R44" s="2">
        <v>16500</v>
      </c>
      <c r="S44" s="2">
        <v>12</v>
      </c>
      <c r="T44" s="2">
        <f t="shared" ref="T44:T53" si="8">R44*S44</f>
        <v>198000</v>
      </c>
      <c r="U44" s="2">
        <v>6</v>
      </c>
      <c r="V44" s="2">
        <f t="shared" ref="V44:V53" si="9">T44*U44</f>
        <v>1188000</v>
      </c>
    </row>
    <row r="45" spans="2:22" x14ac:dyDescent="0.25">
      <c r="O45" t="s">
        <v>18</v>
      </c>
      <c r="R45" s="2">
        <v>5000</v>
      </c>
      <c r="S45" s="2">
        <v>12</v>
      </c>
      <c r="T45" s="2">
        <f t="shared" si="8"/>
        <v>60000</v>
      </c>
      <c r="U45" s="2">
        <v>6</v>
      </c>
      <c r="V45" s="2">
        <f t="shared" si="9"/>
        <v>360000</v>
      </c>
    </row>
    <row r="46" spans="2:22" x14ac:dyDescent="0.25">
      <c r="O46" t="s">
        <v>24</v>
      </c>
      <c r="R46" s="2">
        <v>0</v>
      </c>
      <c r="S46" s="2">
        <v>12</v>
      </c>
      <c r="T46" s="2">
        <f t="shared" si="8"/>
        <v>0</v>
      </c>
      <c r="U46" s="2">
        <v>6</v>
      </c>
      <c r="V46" s="2">
        <f t="shared" si="9"/>
        <v>0</v>
      </c>
    </row>
    <row r="47" spans="2:22" x14ac:dyDescent="0.25">
      <c r="O47" t="s">
        <v>25</v>
      </c>
      <c r="R47" s="2">
        <v>0</v>
      </c>
      <c r="S47" s="2">
        <v>12</v>
      </c>
      <c r="T47" s="2">
        <f t="shared" si="8"/>
        <v>0</v>
      </c>
      <c r="U47" s="2">
        <v>6</v>
      </c>
      <c r="V47" s="2">
        <f t="shared" si="9"/>
        <v>0</v>
      </c>
    </row>
    <row r="48" spans="2:22" x14ac:dyDescent="0.25">
      <c r="O48" t="s">
        <v>19</v>
      </c>
      <c r="R48" s="2">
        <v>5000</v>
      </c>
      <c r="S48" s="2">
        <v>12</v>
      </c>
      <c r="T48" s="2">
        <f t="shared" si="8"/>
        <v>60000</v>
      </c>
      <c r="U48" s="2">
        <v>6</v>
      </c>
      <c r="V48" s="2">
        <f t="shared" si="9"/>
        <v>360000</v>
      </c>
    </row>
    <row r="49" spans="6:22" x14ac:dyDescent="0.25">
      <c r="O49" t="s">
        <v>20</v>
      </c>
      <c r="R49" s="2">
        <v>1080</v>
      </c>
      <c r="S49" s="2">
        <v>12</v>
      </c>
      <c r="T49" s="2">
        <f t="shared" si="8"/>
        <v>12960</v>
      </c>
      <c r="U49" s="2">
        <v>6</v>
      </c>
      <c r="V49" s="2">
        <f t="shared" si="9"/>
        <v>77760</v>
      </c>
    </row>
    <row r="50" spans="6:22" x14ac:dyDescent="0.25">
      <c r="O50" t="s">
        <v>21</v>
      </c>
      <c r="R50" s="2"/>
      <c r="S50" s="2">
        <v>12</v>
      </c>
      <c r="T50" s="2">
        <f t="shared" si="8"/>
        <v>0</v>
      </c>
      <c r="U50" s="2">
        <v>6</v>
      </c>
      <c r="V50" s="2">
        <f t="shared" si="9"/>
        <v>0</v>
      </c>
    </row>
    <row r="51" spans="6:22" x14ac:dyDescent="0.25">
      <c r="O51" t="s">
        <v>22</v>
      </c>
      <c r="R51" s="2">
        <v>1155</v>
      </c>
      <c r="S51" s="2">
        <v>12</v>
      </c>
      <c r="T51" s="2">
        <f t="shared" si="8"/>
        <v>13860</v>
      </c>
      <c r="U51" s="2">
        <v>6</v>
      </c>
      <c r="V51" s="2">
        <f t="shared" si="9"/>
        <v>83160</v>
      </c>
    </row>
    <row r="52" spans="6:22" x14ac:dyDescent="0.25">
      <c r="O52" t="s">
        <v>23</v>
      </c>
      <c r="R52" s="2">
        <f>15%*R43</f>
        <v>4774.95</v>
      </c>
      <c r="S52" s="2">
        <v>12</v>
      </c>
      <c r="T52" s="2">
        <f t="shared" si="8"/>
        <v>57299.399999999994</v>
      </c>
      <c r="U52" s="2">
        <v>6</v>
      </c>
      <c r="V52" s="2">
        <f t="shared" si="9"/>
        <v>343796.39999999997</v>
      </c>
    </row>
    <row r="53" spans="6:22" x14ac:dyDescent="0.25">
      <c r="O53" t="s">
        <v>26</v>
      </c>
      <c r="R53" s="3">
        <f>R43*12*31%</f>
        <v>118418.76</v>
      </c>
      <c r="S53" s="2">
        <v>1</v>
      </c>
      <c r="T53" s="2">
        <f t="shared" si="8"/>
        <v>118418.76</v>
      </c>
      <c r="U53" s="2">
        <v>6</v>
      </c>
      <c r="V53" s="2">
        <f t="shared" si="9"/>
        <v>710512.55999999994</v>
      </c>
    </row>
    <row r="57" spans="6:22" x14ac:dyDescent="0.25">
      <c r="S57" s="4" t="s">
        <v>29</v>
      </c>
    </row>
    <row r="58" spans="6:22" x14ac:dyDescent="0.25">
      <c r="S58" s="3">
        <v>7</v>
      </c>
    </row>
    <row r="59" spans="6:22" x14ac:dyDescent="0.25">
      <c r="O59" t="s">
        <v>16</v>
      </c>
      <c r="R59" s="2">
        <v>41467</v>
      </c>
      <c r="S59" s="2">
        <v>12</v>
      </c>
      <c r="T59" s="2">
        <f>R59*S59</f>
        <v>497604</v>
      </c>
      <c r="U59" s="2">
        <v>10</v>
      </c>
      <c r="V59" s="2">
        <f>T59*U59</f>
        <v>4976040</v>
      </c>
    </row>
    <row r="60" spans="6:22" x14ac:dyDescent="0.25">
      <c r="O60" t="s">
        <v>17</v>
      </c>
      <c r="R60" s="2">
        <v>28000</v>
      </c>
      <c r="S60" s="2">
        <v>12</v>
      </c>
      <c r="T60" s="2">
        <f t="shared" ref="T60:T69" si="10">R60*S60</f>
        <v>336000</v>
      </c>
      <c r="U60" s="2">
        <v>10</v>
      </c>
      <c r="V60" s="2">
        <f t="shared" ref="V60:V69" si="11">T60*U60</f>
        <v>3360000</v>
      </c>
    </row>
    <row r="61" spans="6:22" x14ac:dyDescent="0.25">
      <c r="O61" t="s">
        <v>18</v>
      </c>
      <c r="R61" s="2">
        <v>8000</v>
      </c>
      <c r="S61" s="2">
        <v>12</v>
      </c>
      <c r="T61" s="2">
        <f t="shared" si="10"/>
        <v>96000</v>
      </c>
      <c r="U61" s="2">
        <v>10</v>
      </c>
      <c r="V61" s="2">
        <f t="shared" si="11"/>
        <v>960000</v>
      </c>
    </row>
    <row r="62" spans="6:22" x14ac:dyDescent="0.25">
      <c r="O62" t="s">
        <v>24</v>
      </c>
      <c r="R62" s="2">
        <v>0</v>
      </c>
      <c r="S62" s="2">
        <v>12</v>
      </c>
      <c r="T62" s="2">
        <f t="shared" si="10"/>
        <v>0</v>
      </c>
      <c r="U62" s="2">
        <v>10</v>
      </c>
      <c r="V62" s="2">
        <f t="shared" si="11"/>
        <v>0</v>
      </c>
    </row>
    <row r="63" spans="6:22" x14ac:dyDescent="0.25">
      <c r="O63" t="s">
        <v>25</v>
      </c>
      <c r="R63" s="2">
        <v>0</v>
      </c>
      <c r="S63" s="2">
        <v>12</v>
      </c>
      <c r="T63" s="2">
        <f t="shared" si="10"/>
        <v>0</v>
      </c>
      <c r="U63" s="2">
        <v>10</v>
      </c>
      <c r="V63" s="2">
        <f t="shared" si="11"/>
        <v>0</v>
      </c>
    </row>
    <row r="64" spans="6:22" x14ac:dyDescent="0.25">
      <c r="F64" t="s">
        <v>16</v>
      </c>
      <c r="G64">
        <v>4976040</v>
      </c>
      <c r="H64">
        <v>1909980</v>
      </c>
      <c r="I64" s="2">
        <f>G64+H64</f>
        <v>6886020</v>
      </c>
      <c r="J64" s="2">
        <f>V59+V72</f>
        <v>6886020</v>
      </c>
      <c r="O64" t="s">
        <v>19</v>
      </c>
      <c r="R64" s="2">
        <v>7000</v>
      </c>
      <c r="S64" s="2">
        <v>12</v>
      </c>
      <c r="T64" s="2">
        <f t="shared" si="10"/>
        <v>84000</v>
      </c>
      <c r="U64" s="2">
        <v>10</v>
      </c>
      <c r="V64" s="2">
        <f t="shared" si="11"/>
        <v>840000</v>
      </c>
    </row>
    <row r="65" spans="6:22" x14ac:dyDescent="0.25">
      <c r="F65" t="s">
        <v>17</v>
      </c>
      <c r="G65">
        <v>3360000</v>
      </c>
      <c r="H65">
        <v>990000</v>
      </c>
      <c r="I65" s="2">
        <f t="shared" ref="I65:I74" si="12">G65+H65</f>
        <v>4350000</v>
      </c>
      <c r="O65" t="s">
        <v>20</v>
      </c>
      <c r="R65" s="2">
        <v>1080</v>
      </c>
      <c r="S65" s="2">
        <v>12</v>
      </c>
      <c r="T65" s="2">
        <f t="shared" si="10"/>
        <v>12960</v>
      </c>
      <c r="U65" s="2">
        <v>10</v>
      </c>
      <c r="V65" s="2">
        <f t="shared" si="11"/>
        <v>129600</v>
      </c>
    </row>
    <row r="66" spans="6:22" x14ac:dyDescent="0.25">
      <c r="F66" t="s">
        <v>18</v>
      </c>
      <c r="G66">
        <v>960000</v>
      </c>
      <c r="H66">
        <v>300000</v>
      </c>
      <c r="I66" s="2">
        <f t="shared" si="12"/>
        <v>1260000</v>
      </c>
      <c r="O66" t="s">
        <v>21</v>
      </c>
      <c r="R66" s="2"/>
      <c r="S66" s="2">
        <v>12</v>
      </c>
      <c r="T66" s="2">
        <f t="shared" si="10"/>
        <v>0</v>
      </c>
      <c r="U66" s="2">
        <v>10</v>
      </c>
      <c r="V66" s="2">
        <f t="shared" si="11"/>
        <v>0</v>
      </c>
    </row>
    <row r="67" spans="6:22" x14ac:dyDescent="0.25">
      <c r="F67" t="s">
        <v>24</v>
      </c>
      <c r="G67">
        <v>0</v>
      </c>
      <c r="H67">
        <v>0</v>
      </c>
      <c r="I67" s="2">
        <f t="shared" si="12"/>
        <v>0</v>
      </c>
      <c r="O67" t="s">
        <v>22</v>
      </c>
      <c r="R67" s="2">
        <v>1270</v>
      </c>
      <c r="S67" s="2">
        <v>12</v>
      </c>
      <c r="T67" s="2">
        <f t="shared" si="10"/>
        <v>15240</v>
      </c>
      <c r="U67" s="2">
        <v>10</v>
      </c>
      <c r="V67" s="2">
        <f t="shared" si="11"/>
        <v>152400</v>
      </c>
    </row>
    <row r="68" spans="6:22" x14ac:dyDescent="0.25">
      <c r="F68" t="s">
        <v>25</v>
      </c>
      <c r="G68">
        <v>0</v>
      </c>
      <c r="H68">
        <v>0</v>
      </c>
      <c r="I68" s="2">
        <f t="shared" si="12"/>
        <v>0</v>
      </c>
      <c r="O68" t="s">
        <v>23</v>
      </c>
      <c r="R68" s="2">
        <f>15%*R59</f>
        <v>6220.05</v>
      </c>
      <c r="S68" s="2">
        <v>12</v>
      </c>
      <c r="T68" s="2">
        <f t="shared" si="10"/>
        <v>74640.600000000006</v>
      </c>
      <c r="U68" s="2">
        <v>10</v>
      </c>
      <c r="V68" s="2">
        <f t="shared" si="11"/>
        <v>746406</v>
      </c>
    </row>
    <row r="69" spans="6:22" x14ac:dyDescent="0.25">
      <c r="F69" t="s">
        <v>19</v>
      </c>
      <c r="G69">
        <v>840000</v>
      </c>
      <c r="H69">
        <v>300000</v>
      </c>
      <c r="I69" s="2">
        <f t="shared" si="12"/>
        <v>1140000</v>
      </c>
      <c r="O69" t="s">
        <v>26</v>
      </c>
      <c r="R69" s="3">
        <f>R59*12*31%</f>
        <v>154257.24</v>
      </c>
      <c r="S69" s="2">
        <v>1</v>
      </c>
      <c r="T69" s="2">
        <f t="shared" si="10"/>
        <v>154257.24</v>
      </c>
      <c r="U69" s="2">
        <v>10</v>
      </c>
      <c r="V69" s="2">
        <f t="shared" si="11"/>
        <v>1542572.4</v>
      </c>
    </row>
    <row r="70" spans="6:22" x14ac:dyDescent="0.25">
      <c r="F70" t="s">
        <v>20</v>
      </c>
      <c r="G70">
        <v>129600</v>
      </c>
      <c r="H70">
        <v>64800</v>
      </c>
      <c r="I70" s="2">
        <f t="shared" si="12"/>
        <v>194400</v>
      </c>
    </row>
    <row r="71" spans="6:22" x14ac:dyDescent="0.25">
      <c r="F71" t="s">
        <v>21</v>
      </c>
      <c r="G71">
        <v>0</v>
      </c>
      <c r="H71">
        <v>0</v>
      </c>
      <c r="I71" s="2">
        <f t="shared" si="12"/>
        <v>0</v>
      </c>
      <c r="S71" s="3">
        <v>9</v>
      </c>
    </row>
    <row r="72" spans="6:22" x14ac:dyDescent="0.25">
      <c r="F72" t="s">
        <v>22</v>
      </c>
      <c r="G72">
        <v>152400</v>
      </c>
      <c r="H72">
        <v>69300</v>
      </c>
      <c r="I72" s="2">
        <f t="shared" si="12"/>
        <v>221700</v>
      </c>
      <c r="O72" t="s">
        <v>16</v>
      </c>
      <c r="R72" s="2">
        <v>31833</v>
      </c>
      <c r="S72" s="2">
        <v>12</v>
      </c>
      <c r="T72" s="2">
        <f>R72*S72</f>
        <v>381996</v>
      </c>
      <c r="U72" s="2">
        <v>5</v>
      </c>
      <c r="V72" s="2">
        <f>T72*U72</f>
        <v>1909980</v>
      </c>
    </row>
    <row r="73" spans="6:22" x14ac:dyDescent="0.25">
      <c r="F73" t="s">
        <v>23</v>
      </c>
      <c r="G73">
        <v>746406</v>
      </c>
      <c r="H73">
        <v>286497</v>
      </c>
      <c r="I73" s="2">
        <f t="shared" si="12"/>
        <v>1032903</v>
      </c>
      <c r="O73" t="s">
        <v>17</v>
      </c>
      <c r="R73" s="2">
        <v>16500</v>
      </c>
      <c r="S73" s="2">
        <v>12</v>
      </c>
      <c r="T73" s="2">
        <f t="shared" ref="T73:T82" si="13">R73*S73</f>
        <v>198000</v>
      </c>
      <c r="U73" s="2">
        <v>5</v>
      </c>
      <c r="V73" s="2">
        <f t="shared" ref="V73:V82" si="14">T73*U73</f>
        <v>990000</v>
      </c>
    </row>
    <row r="74" spans="6:22" x14ac:dyDescent="0.25">
      <c r="F74" t="s">
        <v>26</v>
      </c>
      <c r="G74">
        <v>1542572.4</v>
      </c>
      <c r="H74">
        <v>592093.79999999993</v>
      </c>
      <c r="I74" s="2">
        <f t="shared" si="12"/>
        <v>2134666.1999999997</v>
      </c>
      <c r="O74" t="s">
        <v>18</v>
      </c>
      <c r="R74" s="2">
        <v>5000</v>
      </c>
      <c r="S74" s="2">
        <v>12</v>
      </c>
      <c r="T74" s="2">
        <f t="shared" si="13"/>
        <v>60000</v>
      </c>
      <c r="U74" s="2">
        <v>5</v>
      </c>
      <c r="V74" s="2">
        <f t="shared" si="14"/>
        <v>300000</v>
      </c>
    </row>
    <row r="75" spans="6:22" x14ac:dyDescent="0.25">
      <c r="O75" t="s">
        <v>24</v>
      </c>
      <c r="R75" s="2">
        <v>0</v>
      </c>
      <c r="S75" s="2">
        <v>12</v>
      </c>
      <c r="T75" s="2">
        <f t="shared" si="13"/>
        <v>0</v>
      </c>
      <c r="U75" s="2">
        <v>5</v>
      </c>
      <c r="V75" s="2">
        <f t="shared" si="14"/>
        <v>0</v>
      </c>
    </row>
    <row r="76" spans="6:22" x14ac:dyDescent="0.25">
      <c r="O76" t="s">
        <v>25</v>
      </c>
      <c r="R76" s="2">
        <v>0</v>
      </c>
      <c r="S76" s="2">
        <v>12</v>
      </c>
      <c r="T76" s="2">
        <f t="shared" si="13"/>
        <v>0</v>
      </c>
      <c r="U76" s="2">
        <v>5</v>
      </c>
      <c r="V76" s="2">
        <f t="shared" si="14"/>
        <v>0</v>
      </c>
    </row>
    <row r="77" spans="6:22" x14ac:dyDescent="0.25">
      <c r="O77" t="s">
        <v>19</v>
      </c>
      <c r="R77" s="2">
        <v>5000</v>
      </c>
      <c r="S77" s="2">
        <v>12</v>
      </c>
      <c r="T77" s="2">
        <f t="shared" si="13"/>
        <v>60000</v>
      </c>
      <c r="U77" s="2">
        <v>5</v>
      </c>
      <c r="V77" s="2">
        <f t="shared" si="14"/>
        <v>300000</v>
      </c>
    </row>
    <row r="78" spans="6:22" x14ac:dyDescent="0.25">
      <c r="O78" t="s">
        <v>20</v>
      </c>
      <c r="R78" s="2">
        <v>1080</v>
      </c>
      <c r="S78" s="2">
        <v>12</v>
      </c>
      <c r="T78" s="2">
        <f t="shared" si="13"/>
        <v>12960</v>
      </c>
      <c r="U78" s="2">
        <v>5</v>
      </c>
      <c r="V78" s="2">
        <f t="shared" si="14"/>
        <v>64800</v>
      </c>
    </row>
    <row r="79" spans="6:22" x14ac:dyDescent="0.25">
      <c r="O79" t="s">
        <v>21</v>
      </c>
      <c r="R79" s="2"/>
      <c r="S79" s="2">
        <v>12</v>
      </c>
      <c r="T79" s="2">
        <f t="shared" si="13"/>
        <v>0</v>
      </c>
      <c r="U79" s="2">
        <v>5</v>
      </c>
      <c r="V79" s="2">
        <f t="shared" si="14"/>
        <v>0</v>
      </c>
    </row>
    <row r="80" spans="6:22" x14ac:dyDescent="0.25">
      <c r="O80" t="s">
        <v>22</v>
      </c>
      <c r="R80" s="2">
        <v>1155</v>
      </c>
      <c r="S80" s="2">
        <v>12</v>
      </c>
      <c r="T80" s="2">
        <f t="shared" si="13"/>
        <v>13860</v>
      </c>
      <c r="U80" s="2">
        <v>5</v>
      </c>
      <c r="V80" s="2">
        <f t="shared" si="14"/>
        <v>69300</v>
      </c>
    </row>
    <row r="81" spans="7:22" x14ac:dyDescent="0.25">
      <c r="O81" t="s">
        <v>23</v>
      </c>
      <c r="R81" s="2">
        <f>15%*R72</f>
        <v>4774.95</v>
      </c>
      <c r="S81" s="2">
        <v>12</v>
      </c>
      <c r="T81" s="2">
        <f t="shared" si="13"/>
        <v>57299.399999999994</v>
      </c>
      <c r="U81" s="2">
        <v>5</v>
      </c>
      <c r="V81" s="2">
        <f t="shared" si="14"/>
        <v>286497</v>
      </c>
    </row>
    <row r="82" spans="7:22" x14ac:dyDescent="0.25">
      <c r="O82" t="s">
        <v>26</v>
      </c>
      <c r="R82" s="3">
        <f>R72*12*31%</f>
        <v>118418.76</v>
      </c>
      <c r="S82" s="2">
        <v>1</v>
      </c>
      <c r="T82" s="2">
        <f t="shared" si="13"/>
        <v>118418.76</v>
      </c>
      <c r="U82" s="2">
        <v>5</v>
      </c>
      <c r="V82" s="2">
        <f t="shared" si="14"/>
        <v>592093.79999999993</v>
      </c>
    </row>
    <row r="85" spans="7:22" x14ac:dyDescent="0.25">
      <c r="R85" t="s">
        <v>30</v>
      </c>
    </row>
    <row r="87" spans="7:22" x14ac:dyDescent="0.25">
      <c r="R87" s="4">
        <v>6</v>
      </c>
    </row>
    <row r="88" spans="7:22" x14ac:dyDescent="0.25">
      <c r="O88" t="s">
        <v>16</v>
      </c>
      <c r="R88" s="2">
        <v>50220</v>
      </c>
      <c r="S88" s="2">
        <v>12</v>
      </c>
      <c r="T88" s="2">
        <f>R88*S88</f>
        <v>602640</v>
      </c>
      <c r="U88" s="2">
        <v>9</v>
      </c>
      <c r="V88" s="2">
        <f>T88*U88</f>
        <v>5423760</v>
      </c>
    </row>
    <row r="89" spans="7:22" x14ac:dyDescent="0.25">
      <c r="G89" t="s">
        <v>16</v>
      </c>
      <c r="J89" s="2">
        <v>5423760</v>
      </c>
      <c r="K89">
        <v>2985624</v>
      </c>
      <c r="L89" s="3">
        <f>J89+K89</f>
        <v>8409384</v>
      </c>
      <c r="M89">
        <f>1.3*L89</f>
        <v>10932199.200000001</v>
      </c>
      <c r="O89" t="s">
        <v>17</v>
      </c>
      <c r="R89" s="2">
        <v>35000</v>
      </c>
      <c r="S89" s="2">
        <v>12</v>
      </c>
      <c r="T89" s="2">
        <f t="shared" ref="T89:T98" si="15">R89*S89</f>
        <v>420000</v>
      </c>
      <c r="U89" s="2">
        <v>9</v>
      </c>
      <c r="V89" s="2">
        <f t="shared" ref="V89:V98" si="16">T89*U89</f>
        <v>3780000</v>
      </c>
    </row>
    <row r="90" spans="7:22" x14ac:dyDescent="0.25">
      <c r="G90" t="s">
        <v>17</v>
      </c>
      <c r="J90" s="2">
        <v>3780000</v>
      </c>
      <c r="K90">
        <v>2016000</v>
      </c>
      <c r="L90" s="3">
        <f t="shared" ref="L90:L99" si="17">J90+K90</f>
        <v>5796000</v>
      </c>
      <c r="O90" t="s">
        <v>18</v>
      </c>
      <c r="R90" s="2">
        <v>8000</v>
      </c>
      <c r="S90" s="2">
        <v>12</v>
      </c>
      <c r="T90" s="2">
        <f t="shared" si="15"/>
        <v>96000</v>
      </c>
      <c r="U90" s="2">
        <v>9</v>
      </c>
      <c r="V90" s="2">
        <f t="shared" si="16"/>
        <v>864000</v>
      </c>
    </row>
    <row r="91" spans="7:22" x14ac:dyDescent="0.25">
      <c r="G91" t="s">
        <v>18</v>
      </c>
      <c r="J91" s="2">
        <v>864000</v>
      </c>
      <c r="K91">
        <v>576000</v>
      </c>
      <c r="L91" s="3">
        <f t="shared" si="17"/>
        <v>1440000</v>
      </c>
      <c r="O91" t="s">
        <v>24</v>
      </c>
      <c r="R91" s="2">
        <v>0</v>
      </c>
      <c r="S91" s="2">
        <v>12</v>
      </c>
      <c r="T91" s="2">
        <f t="shared" si="15"/>
        <v>0</v>
      </c>
      <c r="U91" s="2">
        <v>9</v>
      </c>
      <c r="V91" s="2">
        <f t="shared" si="16"/>
        <v>0</v>
      </c>
    </row>
    <row r="92" spans="7:22" x14ac:dyDescent="0.25">
      <c r="G92" t="s">
        <v>24</v>
      </c>
      <c r="J92" s="2">
        <v>0</v>
      </c>
      <c r="K92">
        <v>0</v>
      </c>
      <c r="L92" s="3">
        <f t="shared" si="17"/>
        <v>0</v>
      </c>
      <c r="O92" t="s">
        <v>25</v>
      </c>
      <c r="R92" s="2">
        <v>0</v>
      </c>
      <c r="S92" s="2">
        <v>12</v>
      </c>
      <c r="T92" s="2">
        <f t="shared" si="15"/>
        <v>0</v>
      </c>
      <c r="U92" s="2">
        <v>9</v>
      </c>
      <c r="V92" s="2">
        <f t="shared" si="16"/>
        <v>0</v>
      </c>
    </row>
    <row r="93" spans="7:22" x14ac:dyDescent="0.25">
      <c r="G93" t="s">
        <v>25</v>
      </c>
      <c r="J93" s="2">
        <v>0</v>
      </c>
      <c r="K93">
        <v>0</v>
      </c>
      <c r="L93" s="3">
        <f t="shared" si="17"/>
        <v>0</v>
      </c>
      <c r="O93" t="s">
        <v>19</v>
      </c>
      <c r="R93" s="2">
        <v>8000</v>
      </c>
      <c r="S93" s="2">
        <v>12</v>
      </c>
      <c r="T93" s="2">
        <f t="shared" si="15"/>
        <v>96000</v>
      </c>
      <c r="U93" s="2">
        <v>9</v>
      </c>
      <c r="V93" s="2">
        <f t="shared" si="16"/>
        <v>864000</v>
      </c>
    </row>
    <row r="94" spans="7:22" x14ac:dyDescent="0.25">
      <c r="G94" t="s">
        <v>19</v>
      </c>
      <c r="J94" s="2">
        <v>864000</v>
      </c>
      <c r="K94">
        <v>504000</v>
      </c>
      <c r="L94" s="3">
        <f t="shared" si="17"/>
        <v>1368000</v>
      </c>
      <c r="O94" t="s">
        <v>20</v>
      </c>
      <c r="R94" s="2">
        <v>1080</v>
      </c>
      <c r="S94" s="2">
        <v>12</v>
      </c>
      <c r="T94" s="2">
        <f t="shared" si="15"/>
        <v>12960</v>
      </c>
      <c r="U94" s="2">
        <v>9</v>
      </c>
      <c r="V94" s="2">
        <f t="shared" si="16"/>
        <v>116640</v>
      </c>
    </row>
    <row r="95" spans="7:22" x14ac:dyDescent="0.25">
      <c r="G95" t="s">
        <v>20</v>
      </c>
      <c r="J95" s="2">
        <v>116640</v>
      </c>
      <c r="K95">
        <v>77760</v>
      </c>
      <c r="L95" s="3">
        <f t="shared" si="17"/>
        <v>194400</v>
      </c>
      <c r="O95" t="s">
        <v>21</v>
      </c>
      <c r="R95" s="2"/>
      <c r="S95" s="2">
        <v>12</v>
      </c>
      <c r="T95" s="2">
        <f t="shared" si="15"/>
        <v>0</v>
      </c>
      <c r="U95" s="2">
        <v>9</v>
      </c>
      <c r="V95" s="2">
        <f t="shared" si="16"/>
        <v>0</v>
      </c>
    </row>
    <row r="96" spans="7:22" x14ac:dyDescent="0.25">
      <c r="G96" t="s">
        <v>21</v>
      </c>
      <c r="J96" s="2">
        <v>0</v>
      </c>
      <c r="K96">
        <v>0</v>
      </c>
      <c r="L96" s="3">
        <f t="shared" si="17"/>
        <v>0</v>
      </c>
      <c r="O96" t="s">
        <v>22</v>
      </c>
      <c r="R96" s="2">
        <v>1543</v>
      </c>
      <c r="S96" s="2">
        <v>12</v>
      </c>
      <c r="T96" s="2">
        <f t="shared" si="15"/>
        <v>18516</v>
      </c>
      <c r="U96" s="2">
        <v>9</v>
      </c>
      <c r="V96" s="2">
        <f t="shared" si="16"/>
        <v>166644</v>
      </c>
    </row>
    <row r="97" spans="7:22" x14ac:dyDescent="0.25">
      <c r="G97" t="s">
        <v>22</v>
      </c>
      <c r="J97" s="2">
        <v>166644</v>
      </c>
      <c r="K97">
        <v>91440</v>
      </c>
      <c r="L97" s="3">
        <f t="shared" si="17"/>
        <v>258084</v>
      </c>
      <c r="O97" t="s">
        <v>23</v>
      </c>
      <c r="R97" s="2">
        <f>15%*R88</f>
        <v>7533</v>
      </c>
      <c r="S97" s="2">
        <v>12</v>
      </c>
      <c r="T97" s="2">
        <f t="shared" si="15"/>
        <v>90396</v>
      </c>
      <c r="U97" s="2">
        <v>9</v>
      </c>
      <c r="V97" s="2">
        <f t="shared" si="16"/>
        <v>813564</v>
      </c>
    </row>
    <row r="98" spans="7:22" x14ac:dyDescent="0.25">
      <c r="G98" t="s">
        <v>23</v>
      </c>
      <c r="J98" s="2">
        <v>813564</v>
      </c>
      <c r="K98">
        <v>447843.60000000003</v>
      </c>
      <c r="L98" s="3">
        <f t="shared" si="17"/>
        <v>1261407.6000000001</v>
      </c>
      <c r="O98" t="s">
        <v>26</v>
      </c>
      <c r="R98" s="3">
        <f>R88*12*31%</f>
        <v>186818.4</v>
      </c>
      <c r="S98" s="2">
        <v>1</v>
      </c>
      <c r="T98" s="2">
        <f t="shared" si="15"/>
        <v>186818.4</v>
      </c>
      <c r="U98" s="2">
        <v>9</v>
      </c>
      <c r="V98" s="2">
        <f t="shared" si="16"/>
        <v>1681365.5999999999</v>
      </c>
    </row>
    <row r="99" spans="7:22" x14ac:dyDescent="0.25">
      <c r="G99" t="s">
        <v>26</v>
      </c>
      <c r="J99" s="2">
        <v>1681365.5999999999</v>
      </c>
      <c r="K99">
        <v>925543.44</v>
      </c>
      <c r="L99" s="3">
        <f t="shared" si="17"/>
        <v>2606909.04</v>
      </c>
    </row>
    <row r="100" spans="7:22" x14ac:dyDescent="0.25">
      <c r="S100" s="3">
        <v>7</v>
      </c>
    </row>
    <row r="101" spans="7:22" x14ac:dyDescent="0.25">
      <c r="O101" t="s">
        <v>16</v>
      </c>
      <c r="R101" s="2">
        <v>41467</v>
      </c>
      <c r="S101" s="2">
        <v>12</v>
      </c>
      <c r="T101" s="2">
        <f>R101*S101</f>
        <v>497604</v>
      </c>
      <c r="U101" s="2">
        <v>6</v>
      </c>
      <c r="V101" s="2">
        <f>T101*U101</f>
        <v>2985624</v>
      </c>
    </row>
    <row r="102" spans="7:22" x14ac:dyDescent="0.25">
      <c r="O102" t="s">
        <v>17</v>
      </c>
      <c r="R102" s="2">
        <v>28000</v>
      </c>
      <c r="S102" s="2">
        <v>12</v>
      </c>
      <c r="T102" s="2">
        <f t="shared" ref="T102:T111" si="18">R102*S102</f>
        <v>336000</v>
      </c>
      <c r="U102" s="2">
        <v>6</v>
      </c>
      <c r="V102" s="2">
        <f t="shared" ref="V102:V111" si="19">T102*U102</f>
        <v>2016000</v>
      </c>
    </row>
    <row r="103" spans="7:22" x14ac:dyDescent="0.25">
      <c r="O103" t="s">
        <v>18</v>
      </c>
      <c r="R103" s="2">
        <v>8000</v>
      </c>
      <c r="S103" s="2">
        <v>12</v>
      </c>
      <c r="T103" s="2">
        <f t="shared" si="18"/>
        <v>96000</v>
      </c>
      <c r="U103" s="2">
        <v>6</v>
      </c>
      <c r="V103" s="2">
        <f t="shared" si="19"/>
        <v>576000</v>
      </c>
    </row>
    <row r="104" spans="7:22" x14ac:dyDescent="0.25">
      <c r="O104" t="s">
        <v>24</v>
      </c>
      <c r="R104" s="2">
        <v>0</v>
      </c>
      <c r="S104" s="2">
        <v>12</v>
      </c>
      <c r="T104" s="2">
        <f t="shared" si="18"/>
        <v>0</v>
      </c>
      <c r="U104" s="2">
        <v>6</v>
      </c>
      <c r="V104" s="2">
        <f t="shared" si="19"/>
        <v>0</v>
      </c>
    </row>
    <row r="105" spans="7:22" x14ac:dyDescent="0.25">
      <c r="O105" t="s">
        <v>25</v>
      </c>
      <c r="R105" s="2">
        <v>0</v>
      </c>
      <c r="S105" s="2">
        <v>12</v>
      </c>
      <c r="T105" s="2">
        <f t="shared" si="18"/>
        <v>0</v>
      </c>
      <c r="U105" s="2">
        <v>6</v>
      </c>
      <c r="V105" s="2">
        <f t="shared" si="19"/>
        <v>0</v>
      </c>
    </row>
    <row r="106" spans="7:22" x14ac:dyDescent="0.25">
      <c r="O106" t="s">
        <v>19</v>
      </c>
      <c r="R106" s="2">
        <v>7000</v>
      </c>
      <c r="S106" s="2">
        <v>12</v>
      </c>
      <c r="T106" s="2">
        <f t="shared" si="18"/>
        <v>84000</v>
      </c>
      <c r="U106" s="2">
        <v>6</v>
      </c>
      <c r="V106" s="2">
        <f t="shared" si="19"/>
        <v>504000</v>
      </c>
    </row>
    <row r="107" spans="7:22" x14ac:dyDescent="0.25">
      <c r="O107" t="s">
        <v>20</v>
      </c>
      <c r="R107" s="2">
        <v>1080</v>
      </c>
      <c r="S107" s="2">
        <v>12</v>
      </c>
      <c r="T107" s="2">
        <f t="shared" si="18"/>
        <v>12960</v>
      </c>
      <c r="U107" s="2">
        <v>6</v>
      </c>
      <c r="V107" s="2">
        <f t="shared" si="19"/>
        <v>77760</v>
      </c>
    </row>
    <row r="108" spans="7:22" x14ac:dyDescent="0.25">
      <c r="O108" t="s">
        <v>21</v>
      </c>
      <c r="R108" s="2"/>
      <c r="S108" s="2">
        <v>12</v>
      </c>
      <c r="T108" s="2">
        <f t="shared" si="18"/>
        <v>0</v>
      </c>
      <c r="U108" s="2">
        <v>6</v>
      </c>
      <c r="V108" s="2">
        <f t="shared" si="19"/>
        <v>0</v>
      </c>
    </row>
    <row r="109" spans="7:22" x14ac:dyDescent="0.25">
      <c r="O109" t="s">
        <v>22</v>
      </c>
      <c r="R109" s="2">
        <v>1270</v>
      </c>
      <c r="S109" s="2">
        <v>12</v>
      </c>
      <c r="T109" s="2">
        <f t="shared" si="18"/>
        <v>15240</v>
      </c>
      <c r="U109" s="2">
        <v>6</v>
      </c>
      <c r="V109" s="2">
        <f t="shared" si="19"/>
        <v>91440</v>
      </c>
    </row>
    <row r="110" spans="7:22" x14ac:dyDescent="0.25">
      <c r="O110" t="s">
        <v>23</v>
      </c>
      <c r="R110" s="2">
        <f>15%*R101</f>
        <v>6220.05</v>
      </c>
      <c r="S110" s="2">
        <v>12</v>
      </c>
      <c r="T110" s="2">
        <f t="shared" si="18"/>
        <v>74640.600000000006</v>
      </c>
      <c r="U110" s="2">
        <v>6</v>
      </c>
      <c r="V110" s="2">
        <f t="shared" si="19"/>
        <v>447843.60000000003</v>
      </c>
    </row>
    <row r="111" spans="7:22" x14ac:dyDescent="0.25">
      <c r="O111" t="s">
        <v>26</v>
      </c>
      <c r="R111" s="3">
        <f>R101*12*31%</f>
        <v>154257.24</v>
      </c>
      <c r="S111" s="2">
        <v>1</v>
      </c>
      <c r="T111" s="2">
        <f t="shared" si="18"/>
        <v>154257.24</v>
      </c>
      <c r="U111" s="2">
        <v>6</v>
      </c>
      <c r="V111" s="2">
        <f t="shared" si="19"/>
        <v>925543.44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owuor</dc:creator>
  <cp:lastModifiedBy>patrick owuor</cp:lastModifiedBy>
  <dcterms:created xsi:type="dcterms:W3CDTF">2025-01-30T22:37:20Z</dcterms:created>
  <dcterms:modified xsi:type="dcterms:W3CDTF">2025-01-31T03:46:12Z</dcterms:modified>
</cp:coreProperties>
</file>