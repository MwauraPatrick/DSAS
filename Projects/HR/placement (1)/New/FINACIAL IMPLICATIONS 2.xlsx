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 s="1"/>
  <c r="G13" i="2"/>
  <c r="H13" i="2" s="1"/>
  <c r="G14" i="2"/>
  <c r="H14" i="2" s="1"/>
  <c r="D12" i="2"/>
  <c r="D13" i="2"/>
  <c r="D14" i="2"/>
  <c r="D15" i="2"/>
  <c r="G15" i="2" s="1"/>
  <c r="H15" i="2" s="1"/>
  <c r="D11" i="2"/>
  <c r="G11" i="2" s="1"/>
  <c r="H11" i="2" l="1"/>
  <c r="H16" i="2" s="1"/>
  <c r="G16" i="2"/>
  <c r="D16" i="2"/>
</calcChain>
</file>

<file path=xl/sharedStrings.xml><?xml version="1.0" encoding="utf-8"?>
<sst xmlns="http://schemas.openxmlformats.org/spreadsheetml/2006/main" count="26" uniqueCount="20">
  <si>
    <t xml:space="preserve">CORPORATION SECRETARY AND LEGAL SERVICE </t>
  </si>
  <si>
    <t>RESEARCH AND PRODUCT DEVELOPMENT</t>
  </si>
  <si>
    <t>ANIMAL SCIENCE, WELFAREAND ETHICS</t>
  </si>
  <si>
    <t xml:space="preserve">CAPACITY BUILDING, PARTNERSHIP AND GRANT MANAGEMENT </t>
  </si>
  <si>
    <t>CORPORATE SERVICES DIRECTOR</t>
  </si>
  <si>
    <t>TOTAL</t>
  </si>
  <si>
    <t>DIRECTORATE</t>
  </si>
  <si>
    <t>BASIC SALARY</t>
  </si>
  <si>
    <t>ACTING ALLOWANCE</t>
  </si>
  <si>
    <t>FINANCIAL IMPLICATION ON APPOINTMENT ON ACTING / SPECIAL DUTY ALLOWANCE</t>
  </si>
  <si>
    <t>PER DIEM</t>
  </si>
  <si>
    <t>NAME OF DIRECTORATE</t>
  </si>
  <si>
    <t>RESPONSIBILITY ALLOWANCE PER MONTH</t>
  </si>
  <si>
    <t xml:space="preserve">ENTERTAINMENT ALLOWANCE PER MONTH   </t>
  </si>
  <si>
    <t>FINANCIAL IMPLICATION ON APPOINTMENT OF ACTING DIRECTORS.</t>
  </si>
  <si>
    <t>MONTHLY BUDGET AS PER SCACK AND PSC)</t>
  </si>
  <si>
    <t>20%OF SUBSTATIVE ACTING ALLOWANCE NM2ENTRY SCALE NMK-CATEGORY 4C</t>
  </si>
  <si>
    <t>ANIMAL SCIENCE, WELFARE AND ETHICS</t>
  </si>
  <si>
    <t>TOTAL PER MONTH</t>
  </si>
  <si>
    <t>TOTAL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</si>
</sst>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3" fontId="0" fillId="0" borderId="0" xfId="1" applyFont="1"/>
    <xf numFmtId="43" fontId="3" fillId="0" borderId="2" xfId="1" applyFont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43" fontId="4" fillId="0" borderId="4" xfId="1" applyFont="1" applyBorder="1" applyAlignment="1">
      <alignment vertical="center" wrapText="1"/>
    </xf>
    <xf numFmtId="43" fontId="5" fillId="0" borderId="4" xfId="1" applyFont="1" applyBorder="1" applyAlignment="1">
      <alignment vertical="center" wrapText="1"/>
    </xf>
    <xf numFmtId="0" fontId="2" fillId="0" borderId="0" xfId="0" applyFont="1"/>
    <xf numFmtId="43" fontId="2" fillId="0" borderId="0" xfId="1" applyFont="1"/>
    <xf numFmtId="0" fontId="6" fillId="0" borderId="0" xfId="0" applyFont="1"/>
    <xf numFmtId="43" fontId="6" fillId="0" borderId="0" xfId="1" applyFont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43" fontId="4" fillId="0" borderId="0" xfId="1" applyFont="1" applyBorder="1" applyAlignment="1">
      <alignment vertical="center" wrapText="1"/>
    </xf>
    <xf numFmtId="43" fontId="5" fillId="0" borderId="0" xfId="1" applyFont="1" applyBorder="1" applyAlignment="1">
      <alignment vertical="center" wrapText="1"/>
    </xf>
    <xf numFmtId="43" fontId="0" fillId="0" borderId="0" xfId="0" applyNumberFormat="1" applyBorder="1"/>
    <xf numFmtId="43" fontId="0" fillId="0" borderId="1" xfId="0" applyNumberFormat="1" applyFont="1" applyBorder="1"/>
    <xf numFmtId="0" fontId="7" fillId="0" borderId="0" xfId="0" applyFont="1" applyAlignment="1">
      <alignment vertical="center"/>
    </xf>
    <xf numFmtId="0" fontId="0" fillId="0" borderId="0" xfId="0" applyFont="1"/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43" fontId="8" fillId="0" borderId="1" xfId="1" applyFont="1" applyBorder="1" applyAlignment="1">
      <alignment vertical="center" wrapText="1"/>
    </xf>
    <xf numFmtId="43" fontId="8" fillId="0" borderId="5" xfId="1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43" fontId="8" fillId="0" borderId="3" xfId="1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43" fontId="9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3" fontId="8" fillId="0" borderId="1" xfId="1" applyFont="1" applyBorder="1" applyAlignment="1">
      <alignment vertical="center" wrapText="1"/>
    </xf>
    <xf numFmtId="43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A3" sqref="A3:XFD3"/>
    </sheetView>
  </sheetViews>
  <sheetFormatPr defaultRowHeight="15" x14ac:dyDescent="0.25"/>
  <cols>
    <col min="2" max="3" width="27.42578125" customWidth="1"/>
    <col min="4" max="4" width="28.7109375" style="5" customWidth="1"/>
    <col min="5" max="5" width="16.7109375" style="5" customWidth="1"/>
    <col min="6" max="6" width="15" style="5" customWidth="1"/>
    <col min="7" max="7" width="16.85546875" style="5" customWidth="1"/>
  </cols>
  <sheetData>
    <row r="2" spans="2:8" s="10" customFormat="1" x14ac:dyDescent="0.25">
      <c r="B2" s="10" t="s">
        <v>9</v>
      </c>
      <c r="D2" s="11"/>
      <c r="E2" s="11"/>
      <c r="F2" s="11"/>
      <c r="G2" s="11"/>
    </row>
    <row r="3" spans="2:8" s="12" customFormat="1" ht="16.5" customHeight="1" thickBot="1" x14ac:dyDescent="0.3">
      <c r="B3" s="12" t="s">
        <v>6</v>
      </c>
      <c r="C3" s="12" t="s">
        <v>7</v>
      </c>
      <c r="D3" s="13" t="s">
        <v>8</v>
      </c>
      <c r="E3" s="13"/>
      <c r="F3" s="13"/>
      <c r="G3" s="13"/>
      <c r="H3" s="12" t="s">
        <v>10</v>
      </c>
    </row>
    <row r="4" spans="2:8" ht="48" thickBot="1" x14ac:dyDescent="0.3">
      <c r="B4" s="1" t="s">
        <v>0</v>
      </c>
      <c r="C4" s="2"/>
      <c r="D4" s="6">
        <v>36976.75</v>
      </c>
      <c r="E4" s="6">
        <v>15000</v>
      </c>
      <c r="F4" s="6">
        <v>8000</v>
      </c>
      <c r="G4" s="6">
        <v>59976.75</v>
      </c>
    </row>
    <row r="5" spans="2:8" ht="48" thickBot="1" x14ac:dyDescent="0.3">
      <c r="B5" s="3" t="s">
        <v>1</v>
      </c>
      <c r="C5" s="4"/>
      <c r="D5" s="7">
        <v>36976.75</v>
      </c>
      <c r="E5" s="7">
        <v>15000</v>
      </c>
      <c r="F5" s="7">
        <v>8000</v>
      </c>
      <c r="G5" s="7">
        <v>59976.75</v>
      </c>
    </row>
    <row r="6" spans="2:8" ht="32.25" thickBot="1" x14ac:dyDescent="0.3">
      <c r="B6" s="3" t="s">
        <v>2</v>
      </c>
      <c r="C6" s="4"/>
      <c r="D6" s="7">
        <v>36976.75</v>
      </c>
      <c r="E6" s="7">
        <v>15000</v>
      </c>
      <c r="F6" s="7">
        <v>8000</v>
      </c>
      <c r="G6" s="7">
        <v>59976.75</v>
      </c>
    </row>
    <row r="7" spans="2:8" ht="48" thickBot="1" x14ac:dyDescent="0.3">
      <c r="B7" s="3" t="s">
        <v>3</v>
      </c>
      <c r="C7" s="4"/>
      <c r="D7" s="7">
        <v>36976.75</v>
      </c>
      <c r="E7" s="7">
        <v>15000</v>
      </c>
      <c r="F7" s="7">
        <v>8000</v>
      </c>
      <c r="G7" s="7">
        <v>59976.75</v>
      </c>
    </row>
    <row r="8" spans="2:8" ht="32.25" thickBot="1" x14ac:dyDescent="0.3">
      <c r="B8" s="3" t="s">
        <v>4</v>
      </c>
      <c r="C8" s="4"/>
      <c r="D8" s="7">
        <v>36976.75</v>
      </c>
      <c r="E8" s="7">
        <v>15000</v>
      </c>
      <c r="F8" s="7">
        <v>8000</v>
      </c>
      <c r="G8" s="7">
        <v>59976.75</v>
      </c>
    </row>
    <row r="9" spans="2:8" ht="16.5" thickBot="1" x14ac:dyDescent="0.3">
      <c r="B9" s="3" t="s">
        <v>5</v>
      </c>
      <c r="C9" s="4"/>
      <c r="D9" s="8">
        <v>184883.75</v>
      </c>
      <c r="E9" s="8">
        <v>75000</v>
      </c>
      <c r="F9" s="8">
        <v>40000</v>
      </c>
      <c r="G9" s="9">
        <v>299883.75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"/>
  <sheetViews>
    <sheetView tabSelected="1" topLeftCell="A7" workbookViewId="0">
      <selection activeCell="G8" sqref="G8"/>
    </sheetView>
  </sheetViews>
  <sheetFormatPr defaultRowHeight="15" x14ac:dyDescent="0.25"/>
  <cols>
    <col min="1" max="1" width="0.85546875" customWidth="1"/>
    <col min="2" max="2" width="26.140625" customWidth="1"/>
    <col min="3" max="3" width="11.28515625" customWidth="1"/>
    <col min="4" max="4" width="16.5703125" style="5" customWidth="1"/>
    <col min="5" max="5" width="16" style="5" customWidth="1"/>
    <col min="6" max="6" width="12.140625" style="5" customWidth="1"/>
    <col min="7" max="7" width="12.42578125" style="5" customWidth="1"/>
    <col min="8" max="8" width="14.42578125" customWidth="1"/>
  </cols>
  <sheetData>
    <row r="2" spans="2:11" ht="15.75" x14ac:dyDescent="0.25">
      <c r="B2" s="15"/>
      <c r="C2" s="15"/>
      <c r="D2" s="16"/>
      <c r="E2" s="16"/>
      <c r="F2" s="16"/>
      <c r="G2" s="17"/>
      <c r="H2" s="18"/>
    </row>
    <row r="3" spans="2:11" ht="15.75" x14ac:dyDescent="0.25">
      <c r="B3" s="14"/>
      <c r="C3" s="14"/>
    </row>
    <row r="7" spans="2:11" ht="30" customHeight="1" x14ac:dyDescent="0.25">
      <c r="B7" s="20" t="s">
        <v>14</v>
      </c>
      <c r="C7" s="20"/>
      <c r="H7" s="21"/>
    </row>
    <row r="8" spans="2:11" ht="42.75" customHeight="1" thickBot="1" x14ac:dyDescent="0.3">
      <c r="B8" s="20" t="s">
        <v>15</v>
      </c>
      <c r="C8" s="20"/>
      <c r="H8" s="21"/>
    </row>
    <row r="9" spans="2:11" ht="16.5" customHeight="1" thickBot="1" x14ac:dyDescent="0.3">
      <c r="B9" s="22" t="s">
        <v>11</v>
      </c>
      <c r="C9" s="23" t="s">
        <v>7</v>
      </c>
      <c r="D9" s="24" t="s">
        <v>16</v>
      </c>
      <c r="E9" s="24" t="s">
        <v>12</v>
      </c>
      <c r="F9" s="24" t="s">
        <v>13</v>
      </c>
      <c r="G9" s="25" t="s">
        <v>18</v>
      </c>
      <c r="H9" s="26"/>
    </row>
    <row r="10" spans="2:11" ht="83.25" customHeight="1" thickBot="1" x14ac:dyDescent="0.3">
      <c r="B10" s="22"/>
      <c r="C10" s="27"/>
      <c r="D10" s="24"/>
      <c r="E10" s="24"/>
      <c r="F10" s="24"/>
      <c r="G10" s="28"/>
      <c r="H10" s="29" t="s">
        <v>19</v>
      </c>
      <c r="K10" s="21"/>
    </row>
    <row r="11" spans="2:11" ht="45.75" customHeight="1" thickBot="1" x14ac:dyDescent="0.3">
      <c r="B11" s="30" t="s">
        <v>0</v>
      </c>
      <c r="C11" s="31">
        <v>147907</v>
      </c>
      <c r="D11" s="32">
        <f>C11*20%</f>
        <v>29581.4</v>
      </c>
      <c r="E11" s="32">
        <v>15000</v>
      </c>
      <c r="F11" s="32">
        <v>8000</v>
      </c>
      <c r="G11" s="32">
        <f>SUM(D11:F11)</f>
        <v>52581.4</v>
      </c>
      <c r="H11" s="19">
        <f>G11*12</f>
        <v>630976.80000000005</v>
      </c>
    </row>
    <row r="12" spans="2:11" ht="42.75" customHeight="1" x14ac:dyDescent="0.25">
      <c r="B12" s="30" t="s">
        <v>1</v>
      </c>
      <c r="C12" s="31">
        <v>147907</v>
      </c>
      <c r="D12" s="32">
        <f t="shared" ref="D12:D15" si="0">C12*20%</f>
        <v>29581.4</v>
      </c>
      <c r="E12" s="32">
        <v>15000</v>
      </c>
      <c r="F12" s="32">
        <v>8000</v>
      </c>
      <c r="G12" s="32">
        <f t="shared" ref="G12:G15" si="1">SUM(D12:F12)</f>
        <v>52581.4</v>
      </c>
      <c r="H12" s="19">
        <f t="shared" ref="H12:H15" si="2">G12*12</f>
        <v>630976.80000000005</v>
      </c>
    </row>
    <row r="13" spans="2:11" ht="36" customHeight="1" thickBot="1" x14ac:dyDescent="0.3">
      <c r="B13" s="30" t="s">
        <v>17</v>
      </c>
      <c r="C13" s="31">
        <v>147907</v>
      </c>
      <c r="D13" s="32">
        <f t="shared" si="0"/>
        <v>29581.4</v>
      </c>
      <c r="E13" s="32">
        <v>15000</v>
      </c>
      <c r="F13" s="32">
        <v>8000</v>
      </c>
      <c r="G13" s="32">
        <f t="shared" si="1"/>
        <v>52581.4</v>
      </c>
      <c r="H13" s="19">
        <f t="shared" si="2"/>
        <v>630976.80000000005</v>
      </c>
    </row>
    <row r="14" spans="2:11" ht="44.25" customHeight="1" thickBot="1" x14ac:dyDescent="0.3">
      <c r="B14" s="30" t="s">
        <v>3</v>
      </c>
      <c r="C14" s="31">
        <v>147907</v>
      </c>
      <c r="D14" s="32">
        <f t="shared" si="0"/>
        <v>29581.4</v>
      </c>
      <c r="E14" s="32">
        <v>15000</v>
      </c>
      <c r="F14" s="32">
        <v>8000</v>
      </c>
      <c r="G14" s="32">
        <f t="shared" si="1"/>
        <v>52581.4</v>
      </c>
      <c r="H14" s="19">
        <f t="shared" si="2"/>
        <v>630976.80000000005</v>
      </c>
    </row>
    <row r="15" spans="2:11" ht="35.25" customHeight="1" thickBot="1" x14ac:dyDescent="0.3">
      <c r="B15" s="30" t="s">
        <v>4</v>
      </c>
      <c r="C15" s="31">
        <v>147907</v>
      </c>
      <c r="D15" s="32">
        <f t="shared" si="0"/>
        <v>29581.4</v>
      </c>
      <c r="E15" s="32">
        <v>15000</v>
      </c>
      <c r="F15" s="32">
        <v>8000</v>
      </c>
      <c r="G15" s="32">
        <f t="shared" si="1"/>
        <v>52581.4</v>
      </c>
      <c r="H15" s="19">
        <f t="shared" si="2"/>
        <v>630976.80000000005</v>
      </c>
    </row>
    <row r="16" spans="2:11" ht="21.75" customHeight="1" thickBot="1" x14ac:dyDescent="0.3">
      <c r="B16" s="33" t="s">
        <v>5</v>
      </c>
      <c r="C16" s="30"/>
      <c r="D16" s="34">
        <f>SUM(D11:D15)</f>
        <v>147907</v>
      </c>
      <c r="E16" s="34">
        <v>75000</v>
      </c>
      <c r="F16" s="34">
        <v>40000</v>
      </c>
      <c r="G16" s="34">
        <f>SUM(G11:G15)</f>
        <v>262907</v>
      </c>
      <c r="H16" s="19">
        <f>SUM(H11:H15)</f>
        <v>3154884</v>
      </c>
    </row>
    <row r="17" spans="2:8" x14ac:dyDescent="0.25">
      <c r="B17" s="21"/>
      <c r="C17" s="21"/>
      <c r="H17" s="35"/>
    </row>
  </sheetData>
  <mergeCells count="6">
    <mergeCell ref="G9:G10"/>
    <mergeCell ref="B9:B10"/>
    <mergeCell ref="D9:D10"/>
    <mergeCell ref="E9:E10"/>
    <mergeCell ref="F9:F10"/>
    <mergeCell ref="C9:C1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2024-10-30T12:36:52Z</cp:lastPrinted>
  <dcterms:created xsi:type="dcterms:W3CDTF">2024-10-30T08:46:53Z</dcterms:created>
  <dcterms:modified xsi:type="dcterms:W3CDTF">2024-10-30T12:42:43Z</dcterms:modified>
</cp:coreProperties>
</file>