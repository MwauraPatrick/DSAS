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PRE\Desktop\"/>
    </mc:Choice>
  </mc:AlternateContent>
  <xr:revisionPtr revIDLastSave="0" documentId="13_ncr:1_{523D7ED3-49C7-46D2-BBE8-0432D538C02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Budget Estima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20" i="2" l="1"/>
  <c r="V118" i="2"/>
  <c r="W113" i="2"/>
  <c r="W112" i="2"/>
  <c r="W111" i="2"/>
  <c r="W110" i="2"/>
  <c r="W109" i="2"/>
  <c r="W108" i="2"/>
  <c r="W107" i="2"/>
  <c r="W98" i="2"/>
  <c r="W97" i="2"/>
  <c r="W100" i="2"/>
  <c r="W93" i="2"/>
  <c r="W94" i="2" s="1"/>
  <c r="W99" i="2" s="1"/>
  <c r="W92" i="2"/>
  <c r="W91" i="2"/>
  <c r="W90" i="2"/>
  <c r="W89" i="2"/>
  <c r="W88" i="2"/>
  <c r="W87" i="2"/>
  <c r="V77" i="2"/>
  <c r="V75" i="2"/>
  <c r="W70" i="2"/>
  <c r="W69" i="2"/>
  <c r="W68" i="2"/>
  <c r="W67" i="2"/>
  <c r="W66" i="2"/>
  <c r="W65" i="2"/>
  <c r="W64" i="2"/>
  <c r="V57" i="2"/>
  <c r="V55" i="2"/>
  <c r="W50" i="2"/>
  <c r="W49" i="2"/>
  <c r="W48" i="2"/>
  <c r="W47" i="2"/>
  <c r="W46" i="2"/>
  <c r="W45" i="2"/>
  <c r="W44" i="2"/>
  <c r="V37" i="2"/>
  <c r="V35" i="2"/>
  <c r="W30" i="2"/>
  <c r="W29" i="2"/>
  <c r="W28" i="2"/>
  <c r="W27" i="2"/>
  <c r="W26" i="2"/>
  <c r="W25" i="2"/>
  <c r="W24" i="2"/>
  <c r="V18" i="2"/>
  <c r="V16" i="2"/>
  <c r="W11" i="2"/>
  <c r="W10" i="2"/>
  <c r="W9" i="2"/>
  <c r="W8" i="2"/>
  <c r="W7" i="2"/>
  <c r="W6" i="2"/>
  <c r="W5" i="2"/>
  <c r="V39" i="1"/>
  <c r="L239" i="2"/>
  <c r="V36" i="1" s="1"/>
  <c r="V38" i="1"/>
  <c r="L233" i="2"/>
  <c r="L232" i="2"/>
  <c r="L231" i="2"/>
  <c r="L230" i="2"/>
  <c r="L229" i="2"/>
  <c r="L228" i="2"/>
  <c r="L227" i="2"/>
  <c r="L226" i="2"/>
  <c r="L225" i="2"/>
  <c r="L224" i="2"/>
  <c r="L223" i="2"/>
  <c r="L222" i="2"/>
  <c r="L221" i="2"/>
  <c r="L220" i="2"/>
  <c r="L219" i="2"/>
  <c r="L218" i="2"/>
  <c r="L217" i="2"/>
  <c r="L216" i="2"/>
  <c r="L215" i="2"/>
  <c r="L214" i="2"/>
  <c r="L213" i="2"/>
  <c r="L212" i="2"/>
  <c r="L211" i="2"/>
  <c r="L210" i="2"/>
  <c r="L209" i="2"/>
  <c r="L208" i="2"/>
  <c r="L207" i="2"/>
  <c r="L206" i="2"/>
  <c r="L205" i="2"/>
  <c r="L204" i="2"/>
  <c r="L203" i="2"/>
  <c r="L202" i="2"/>
  <c r="L201" i="2"/>
  <c r="L200" i="2"/>
  <c r="L199" i="2"/>
  <c r="L198" i="2"/>
  <c r="L197" i="2"/>
  <c r="L196" i="2"/>
  <c r="L195" i="2"/>
  <c r="L194" i="2"/>
  <c r="L193" i="2"/>
  <c r="L192" i="2"/>
  <c r="W103" i="2" l="1"/>
  <c r="V46" i="1" s="1"/>
  <c r="W114" i="2"/>
  <c r="V119" i="2" s="1"/>
  <c r="V122" i="2" s="1"/>
  <c r="V45" i="1" s="1"/>
  <c r="W71" i="2"/>
  <c r="V76" i="2" s="1"/>
  <c r="V81" i="2" s="1"/>
  <c r="V43" i="1" s="1"/>
  <c r="L234" i="2"/>
  <c r="V32" i="1" s="1"/>
  <c r="W51" i="2"/>
  <c r="V56" i="2" s="1"/>
  <c r="V59" i="2" s="1"/>
  <c r="W31" i="2"/>
  <c r="V36" i="2" s="1"/>
  <c r="V41" i="2" s="1"/>
  <c r="V41" i="1" s="1"/>
  <c r="W12" i="2"/>
  <c r="V17" i="2" s="1"/>
  <c r="V20" i="2" s="1"/>
  <c r="V40" i="1" s="1"/>
  <c r="E23" i="2"/>
  <c r="F61" i="2"/>
  <c r="F59" i="2"/>
  <c r="L84" i="2"/>
  <c r="L85" i="2"/>
  <c r="L86" i="2"/>
  <c r="L87" i="2"/>
  <c r="L113" i="2"/>
  <c r="L114" i="2"/>
  <c r="V37" i="1"/>
  <c r="M183" i="2"/>
  <c r="M182" i="2"/>
  <c r="M179" i="2"/>
  <c r="M178" i="2"/>
  <c r="M177" i="2"/>
  <c r="M176" i="2"/>
  <c r="M175" i="2"/>
  <c r="M172" i="2"/>
  <c r="M169" i="2"/>
  <c r="M168" i="2"/>
  <c r="M167" i="2"/>
  <c r="M166" i="2"/>
  <c r="M165" i="2"/>
  <c r="M162" i="2"/>
  <c r="M160" i="2"/>
  <c r="M159" i="2"/>
  <c r="M158" i="2"/>
  <c r="M157" i="2"/>
  <c r="M156" i="2"/>
  <c r="M155" i="2"/>
  <c r="M154" i="2"/>
  <c r="M153" i="2"/>
  <c r="M152" i="2"/>
  <c r="M151" i="2"/>
  <c r="M147" i="2"/>
  <c r="M145" i="2"/>
  <c r="M144" i="2"/>
  <c r="M143" i="2"/>
  <c r="M142" i="2"/>
  <c r="M141" i="2"/>
  <c r="M137" i="2"/>
  <c r="M135" i="2"/>
  <c r="M134" i="2"/>
  <c r="M133" i="2"/>
  <c r="M132" i="2"/>
  <c r="M131" i="2"/>
  <c r="M128" i="2"/>
  <c r="M127" i="2"/>
  <c r="M125" i="2"/>
  <c r="M124" i="2"/>
  <c r="M123" i="2"/>
  <c r="M122" i="2"/>
  <c r="M121" i="2"/>
  <c r="L108" i="2"/>
  <c r="L109" i="2"/>
  <c r="L107" i="2"/>
  <c r="L106" i="2"/>
  <c r="M97" i="2"/>
  <c r="M98" i="2"/>
  <c r="M99" i="2"/>
  <c r="M100" i="2"/>
  <c r="M96" i="2"/>
  <c r="L80" i="2"/>
  <c r="V28" i="1" s="1"/>
  <c r="L79" i="2"/>
  <c r="V27" i="1" s="1"/>
  <c r="L77" i="2"/>
  <c r="V25" i="1" s="1"/>
  <c r="J73" i="2"/>
  <c r="V24" i="1" s="1"/>
  <c r="L68" i="2"/>
  <c r="L67" i="2"/>
  <c r="L66" i="2"/>
  <c r="L65" i="2"/>
  <c r="L52" i="2"/>
  <c r="L53" i="2"/>
  <c r="L54" i="2"/>
  <c r="L46" i="2"/>
  <c r="L45" i="2"/>
  <c r="L40" i="2"/>
  <c r="L39" i="2"/>
  <c r="L38" i="2"/>
  <c r="L37" i="2"/>
  <c r="J32" i="2"/>
  <c r="V20" i="1" s="1"/>
  <c r="L26" i="2"/>
  <c r="L25" i="2"/>
  <c r="L24" i="2"/>
  <c r="L23" i="2"/>
  <c r="B65" i="2" l="1"/>
  <c r="L88" i="2"/>
  <c r="L115" i="2"/>
  <c r="V34" i="1" s="1"/>
  <c r="L110" i="2"/>
  <c r="V33" i="1" s="1"/>
  <c r="M185" i="2"/>
  <c r="V35" i="1" s="1"/>
  <c r="M101" i="2"/>
  <c r="L93" i="2" s="1"/>
  <c r="L27" i="2"/>
  <c r="J20" i="2" s="1"/>
  <c r="J21" i="2" s="1"/>
  <c r="L69" i="2"/>
  <c r="J60" i="2" s="1"/>
  <c r="J61" i="2" s="1"/>
  <c r="V23" i="1" s="1"/>
  <c r="L55" i="2"/>
  <c r="L48" i="2" s="1"/>
  <c r="L49" i="2" s="1"/>
  <c r="V22" i="1" s="1"/>
  <c r="L41" i="2"/>
  <c r="V21" i="1" s="1"/>
  <c r="V19" i="1" l="1"/>
  <c r="L14" i="2" l="1"/>
  <c r="L13" i="2"/>
  <c r="L12" i="2"/>
  <c r="L6" i="2"/>
  <c r="L5" i="2"/>
  <c r="D91" i="2"/>
  <c r="D90" i="2"/>
  <c r="D89" i="2"/>
  <c r="D76" i="2"/>
  <c r="D77" i="2"/>
  <c r="D78" i="2"/>
  <c r="D75" i="2"/>
  <c r="F54" i="2"/>
  <c r="F53" i="2"/>
  <c r="G50" i="2"/>
  <c r="G49" i="2"/>
  <c r="G48" i="2"/>
  <c r="G47" i="2"/>
  <c r="G46" i="2"/>
  <c r="G45" i="2"/>
  <c r="L92" i="2"/>
  <c r="L94" i="2" s="1"/>
  <c r="V29" i="1" s="1"/>
  <c r="D83" i="2"/>
  <c r="D82" i="2"/>
  <c r="G40" i="2"/>
  <c r="G41" i="2"/>
  <c r="B63" i="2"/>
  <c r="G39" i="2"/>
  <c r="G38" i="2"/>
  <c r="G37" i="2"/>
  <c r="G36" i="2"/>
  <c r="G35" i="2"/>
  <c r="F28" i="2"/>
  <c r="F29" i="2"/>
  <c r="F27" i="2"/>
  <c r="G18" i="2"/>
  <c r="G17" i="2"/>
  <c r="G16" i="2"/>
  <c r="G15" i="2"/>
  <c r="G14" i="2"/>
  <c r="G13" i="2"/>
  <c r="G6" i="2"/>
  <c r="G7" i="2"/>
  <c r="G8" i="2"/>
  <c r="G9" i="2"/>
  <c r="G10" i="2"/>
  <c r="G5" i="2"/>
  <c r="F55" i="2" l="1"/>
  <c r="F60" i="2" s="1"/>
  <c r="B64" i="2" s="1"/>
  <c r="D92" i="2"/>
  <c r="D85" i="2" s="1"/>
  <c r="D86" i="2" s="1"/>
  <c r="V14" i="1" s="1"/>
  <c r="L15" i="2"/>
  <c r="L8" i="2" s="1"/>
  <c r="L9" i="2" s="1"/>
  <c r="V18" i="1" s="1"/>
  <c r="D79" i="2"/>
  <c r="B72" i="2" s="1"/>
  <c r="B73" i="2" s="1"/>
  <c r="G42" i="2"/>
  <c r="B62" i="2" s="1"/>
  <c r="F30" i="2"/>
  <c r="L78" i="2" l="1"/>
  <c r="L81" i="2" s="1"/>
  <c r="V26" i="1"/>
  <c r="V13" i="1"/>
  <c r="B67" i="2"/>
  <c r="V12" i="1" s="1"/>
  <c r="G19" i="2" l="1"/>
  <c r="W50" i="1"/>
  <c r="Y50" i="1"/>
  <c r="AA49" i="1"/>
  <c r="C31" i="2" l="1"/>
  <c r="V11" i="1" s="1"/>
  <c r="AA50" i="1"/>
  <c r="V42" i="1" l="1"/>
  <c r="V50" i="1" s="1"/>
</calcChain>
</file>

<file path=xl/sharedStrings.xml><?xml version="1.0" encoding="utf-8"?>
<sst xmlns="http://schemas.openxmlformats.org/spreadsheetml/2006/main" count="755" uniqueCount="381">
  <si>
    <t>Results Areas</t>
  </si>
  <si>
    <t>Main Activities</t>
  </si>
  <si>
    <t>Sub Activities</t>
  </si>
  <si>
    <t>Expected Outputs</t>
  </si>
  <si>
    <t>Performance Indicators</t>
  </si>
  <si>
    <t>Means of verification</t>
  </si>
  <si>
    <t xml:space="preserve">Estimated Cost </t>
  </si>
  <si>
    <t>Off-budget resources</t>
  </si>
  <si>
    <t>Funding Gap</t>
  </si>
  <si>
    <t>July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</si>
  <si>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</si>
  <si>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</si>
  <si>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</si>
  <si>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</si>
  <si>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</si>
  <si>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</si>
  <si>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</si>
  <si>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</si>
  <si>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</si>
  <si>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</si>
  <si>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</si>
  <si>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Source of funding</t>
  </si>
  <si>
    <t>Amount</t>
  </si>
  <si>
    <t>Programme Name: ……………………………………………………………….</t>
  </si>
  <si>
    <t>Programme Outcome: ……………………………………………………………….</t>
  </si>
  <si>
    <t>Sub-Programme Name: ……………………………………………………………….</t>
  </si>
  <si>
    <t>GOK</t>
  </si>
  <si>
    <t>Approved Budget (Rec &amp; Dev)</t>
  </si>
  <si>
    <t>Total</t>
  </si>
  <si>
    <t>ANNUAL WORK PLAN 2024- 2025</t>
  </si>
  <si>
    <t>2024/25</t>
  </si>
  <si>
    <t>Target</t>
  </si>
  <si>
    <t>Delivery Unit/Directorate/Division/Section Name: ……………………………………………………………….</t>
  </si>
  <si>
    <t>Modernization and expansion of infrastructure and equipment for antivenom research and production</t>
  </si>
  <si>
    <t>Partnership on research and antivenom production</t>
  </si>
  <si>
    <t>Procurement of audio visual equipment</t>
  </si>
  <si>
    <t xml:space="preserve">Procurement of office furniture &amp; equipment </t>
  </si>
  <si>
    <t>Servicing &amp; Calibration of equipment</t>
  </si>
  <si>
    <t>Procurement of equipment maintenance services</t>
  </si>
  <si>
    <t>Procurement of fill &amp; finish equipment &amp; installation</t>
  </si>
  <si>
    <t>Procurement of Insurance services</t>
  </si>
  <si>
    <t>Purchase of equipment for snakebite venom &amp; antivenom Research &amp; Development</t>
  </si>
  <si>
    <t>Skills &amp; technology for antivenom fill &amp; finish acquired</t>
  </si>
  <si>
    <t>Leverage IT infrastructure/ internet expansion &amp; optimization at the new snakebite facilities</t>
  </si>
  <si>
    <t>Mapping of snakebite partners,stakeholders &amp; collaborators</t>
  </si>
  <si>
    <t>Acquire statutory obligations and regulations</t>
  </si>
  <si>
    <t>Establish Strategic patnership &amp; collaborations</t>
  </si>
  <si>
    <t>Procurement of field vehicles &amp; snakebite ambulances</t>
  </si>
  <si>
    <t>Identified antivenom commercial and manufacturing partners</t>
  </si>
  <si>
    <t>Meeting reports, Invoices for return air tickets, DSA</t>
  </si>
  <si>
    <t>NEMA permit</t>
  </si>
  <si>
    <t>Technology transfer for establishing the antivenom Fill &amp; Finish facility</t>
  </si>
  <si>
    <t>Approved architectural designs &amp; BQ</t>
  </si>
  <si>
    <t>Visit antivenom manufacturing and commercial partners for feasibility study</t>
  </si>
  <si>
    <t>Antivenom manufacturing and commercial partners visited</t>
  </si>
  <si>
    <t>Number of visits to antivenom manufacturing and commercial  partners</t>
  </si>
  <si>
    <t>Feasibility study for anti-venom fill &amp; finish facility</t>
  </si>
  <si>
    <t>Initiate the establishment of Snakebite Preclinical rodent &amp; bio-containment facility</t>
  </si>
  <si>
    <t>Conduct Environmental Impact Assessment for Snakebite preclinical rodent &amp; biocontainment facility</t>
  </si>
  <si>
    <t>Environmental Impact Assessment for Snakebite preclinical rodent &amp; biocontainment facility conducted</t>
  </si>
  <si>
    <t>Architectural and estimated BQs for Snakebite Preclinical rodent &amp; biocontainment facility developed</t>
  </si>
  <si>
    <t>Number of Architectural design and BQs</t>
  </si>
  <si>
    <t>Advertise for tender for construction of Snakebite Preclinical rodent &amp; bio-containment facility</t>
  </si>
  <si>
    <t>Snakebite preclinical rodent &amp; bio-containment facility tender advertised</t>
  </si>
  <si>
    <t>Number of advertisements</t>
  </si>
  <si>
    <t xml:space="preserve">Tender documents, PVs </t>
  </si>
  <si>
    <t>Award contract for snakebite preclinical rodent &amp; bio-containment facility</t>
  </si>
  <si>
    <t>Signed contract</t>
  </si>
  <si>
    <t>Snakebite Envenoming (SBE) antivenom market analysis performed</t>
  </si>
  <si>
    <t>Number of Signed MoUs, Signed contracts</t>
  </si>
  <si>
    <t>Number of SBE antivenom market analysis reports</t>
  </si>
  <si>
    <t>Develop architectural designs and estimamted BQs for anti-venom fill and finish facility</t>
  </si>
  <si>
    <t>Architectural and estimated BQs for Fill and Finish facility designed</t>
  </si>
  <si>
    <t>Environmental Impact Assessment for Fill and Finish Facility conducted</t>
  </si>
  <si>
    <t>Number of staff deployed</t>
  </si>
  <si>
    <t>Signed letter of deployment</t>
  </si>
  <si>
    <t>Advertise for tender for construction of fill &amp; finish facility</t>
  </si>
  <si>
    <t>Fill &amp; Finish facility tender advertised</t>
  </si>
  <si>
    <t>Award contract for antivenom fill &amp; finish facility</t>
  </si>
  <si>
    <t>Fill &amp; Finish facility contract awarded</t>
  </si>
  <si>
    <t xml:space="preserve">Number of Architectural design and BQs </t>
  </si>
  <si>
    <t>Number of NEMA permits</t>
  </si>
  <si>
    <t xml:space="preserve">Number of contracts </t>
  </si>
  <si>
    <t>Initiate the establishment of snakebite venom &amp; anti-venom research Laboratories, Coldroom, Offices &amp; conference /training facility</t>
  </si>
  <si>
    <t>Conduct Environmental Impact Assessment for Snakebite venom &amp; anti-venom research  Laboratories, Coldroom, Offices &amp; conference /training facility</t>
  </si>
  <si>
    <t>Environmental Impact Assessment for snakebite venom &amp; anti-venom research  Laboratories, Coldroom, Offices &amp; conference /training facility facility conducted</t>
  </si>
  <si>
    <t>Architectural designs and estinated BQs for snakebite venom &amp; anti-venom research  Laboratories, Coldroom, Offices &amp; conference /training facility developed</t>
  </si>
  <si>
    <t>Number of Architectural designs and BQs</t>
  </si>
  <si>
    <t>Develop architectural designs and estimated BQs for snakebite venom &amp; anti-venom research  Laboratories, Coldroom, Offices &amp; conference /training facility</t>
  </si>
  <si>
    <t>Field vehicles &amp; snakebite ambulances procured</t>
  </si>
  <si>
    <t>Number of Field vehicles &amp; snakebite ambulances</t>
  </si>
  <si>
    <t>DOF, LPO issued,  Delivery Notes</t>
  </si>
  <si>
    <t>Office furniture &amp; equipment  procured</t>
  </si>
  <si>
    <t>Number of   offices / counters Equipped</t>
  </si>
  <si>
    <t>DOF, LPO issued, Delivery notes</t>
  </si>
  <si>
    <t>Software &amp; licences procured</t>
  </si>
  <si>
    <t>Number of Software &amp; licences procured</t>
  </si>
  <si>
    <t>Licences Issued</t>
  </si>
  <si>
    <t>Nimber of offices leveraged</t>
  </si>
  <si>
    <t>Equipment maintenance services procured</t>
  </si>
  <si>
    <t>Number of contracts signed</t>
  </si>
  <si>
    <t>Signed Contract</t>
  </si>
  <si>
    <t>Insurance  services procured</t>
  </si>
  <si>
    <t>Formulate snakebite management guidelines &amp; policies</t>
  </si>
  <si>
    <t>Attendance Register</t>
  </si>
  <si>
    <t>Number of permits and Licenses</t>
  </si>
  <si>
    <t>Strategic patnership &amp; collaborations Established</t>
  </si>
  <si>
    <t>Request letter</t>
  </si>
  <si>
    <t>Number of Policies and guidelines</t>
  </si>
  <si>
    <t>Number of snakebite partners &amp; stakeholderds</t>
  </si>
  <si>
    <t xml:space="preserve">Advertise for tender for snakebite venom &amp; anti-venom research  Laboratories, Coldroom, Offices &amp; conference /training facility  </t>
  </si>
  <si>
    <t>Tender for snakebite venom &amp; anti-venom research  Laboratories, Coldroom, Offices &amp; conference /training facility advertised</t>
  </si>
  <si>
    <t>Snake management Policies and Guidelines Formulated</t>
  </si>
  <si>
    <t>Snakebite Partners, Stakeholders and Partners mapped</t>
  </si>
  <si>
    <t>Statutory Obligations and Regulatons acquired</t>
  </si>
  <si>
    <t>Fill &amp; Finish equipment procured</t>
  </si>
  <si>
    <t>Number of packaging machines procured</t>
  </si>
  <si>
    <t>Audio visual equipment procured</t>
  </si>
  <si>
    <t>Number of Public address systems,video cameras &amp; accessories, photo camera &amp; accessories &amp; video teleconferencing equipment</t>
  </si>
  <si>
    <t>Initiate partnership on research and antivenom production</t>
  </si>
  <si>
    <t>Advocacy for snakebite funding for research &amp; Development</t>
  </si>
  <si>
    <t>Procurement of Laboratory, cold room &amp; phlebetomy facility equipment</t>
  </si>
  <si>
    <t>Laboratory, cold room &amp; phlebetomy facility equipment procured</t>
  </si>
  <si>
    <t>Number of general laboratory equipment procured</t>
  </si>
  <si>
    <t>Identify antivenom commercial and manufacturing partners eg. Premium Serum &amp; Vaccines PVT Ltd, Universal Corporation</t>
  </si>
  <si>
    <t>Number of public engagement events conducted</t>
  </si>
  <si>
    <t>Number of key snakebite funding stakeholders</t>
  </si>
  <si>
    <t>Meeting reports, signed MOUs</t>
  </si>
  <si>
    <t>Conduct public engagement events for discussions on impact of R&amp;D, Public education &amp; awareness</t>
  </si>
  <si>
    <t xml:space="preserve"> Public engagement events for discussions on impact of R&amp;D, Public education &amp; awareness conducted,</t>
  </si>
  <si>
    <t>Initiate Process of land procurement and construction of animal housing facility for venom research &amp; antivenom production</t>
  </si>
  <si>
    <t>Construct horse stable, Phlebotomy rooms, plasma/sera isolation laboratories, offices and paddocks</t>
  </si>
  <si>
    <t>Horse stable, plebotomy rooms, plasma/sera isolation laboratory, paddocks and offices contracted</t>
  </si>
  <si>
    <t>Snakebite preclinical rodent &amp; bio-containment facility contract awarded</t>
  </si>
  <si>
    <t>Initiate purchase of atleast 20 acres piece of land for construction of animal facility for antivenom production</t>
  </si>
  <si>
    <t>Atleast 20 acres piece of land identified</t>
  </si>
  <si>
    <t>Number of acres of land identified</t>
  </si>
  <si>
    <t>Site visits reports, Survey reports</t>
  </si>
  <si>
    <t>Perform Snakebite Envenoming (SBE) antivenom market analysis &amp; Survey. (local, Regional &amp; International: consultancy Services)</t>
  </si>
  <si>
    <t>No.</t>
  </si>
  <si>
    <t>Pax/Item</t>
  </si>
  <si>
    <t>Rate</t>
  </si>
  <si>
    <t>No. of days</t>
  </si>
  <si>
    <t>DG</t>
  </si>
  <si>
    <t>CoR</t>
  </si>
  <si>
    <t>K-SRIC Lead</t>
  </si>
  <si>
    <t>no. of pax</t>
  </si>
  <si>
    <t>amount</t>
  </si>
  <si>
    <t>Upgrading of the Herpatarium building</t>
  </si>
  <si>
    <t>Installation of HVAC system</t>
  </si>
  <si>
    <t>Installation of CCTV cameras and motion sensors</t>
  </si>
  <si>
    <t>Purchase of snake enrichment devices</t>
  </si>
  <si>
    <t xml:space="preserve">HVAC System installed </t>
  </si>
  <si>
    <t xml:space="preserve">Purchase of snake cages </t>
  </si>
  <si>
    <t xml:space="preserve">Snake cages &amp; racks purchased </t>
  </si>
  <si>
    <t>Number of contracts</t>
  </si>
  <si>
    <t>Number of units</t>
  </si>
  <si>
    <t xml:space="preserve">Number of snake cages </t>
  </si>
  <si>
    <t>CCTV cameras and motion sensors installed</t>
  </si>
  <si>
    <t>Snake enrichment devices purchased</t>
  </si>
  <si>
    <t>Number of snakebite enrichment devices</t>
  </si>
  <si>
    <t>Number of CCTV cameras &amp; motion sensors</t>
  </si>
  <si>
    <t>Sub Activity 1: Visit to Anti Venom Commercial Partners</t>
  </si>
  <si>
    <t>MPs</t>
  </si>
  <si>
    <t>Number</t>
  </si>
  <si>
    <t>Board Members</t>
  </si>
  <si>
    <t>India</t>
  </si>
  <si>
    <t>Costa-Rica</t>
  </si>
  <si>
    <t>K-SRIC Technical</t>
  </si>
  <si>
    <t>Flight Tickets</t>
  </si>
  <si>
    <t>Premium Economy</t>
  </si>
  <si>
    <t>Business class</t>
  </si>
  <si>
    <t>Details</t>
  </si>
  <si>
    <t>Price</t>
  </si>
  <si>
    <t>Economy</t>
  </si>
  <si>
    <t>Local Running Costs</t>
  </si>
  <si>
    <t>Total Cost</t>
  </si>
  <si>
    <t xml:space="preserve"> India &amp; Dubai</t>
  </si>
  <si>
    <t>Sub Activity 2: Snakebite Envenoming (SBE) antivenom market analysis</t>
  </si>
  <si>
    <t>4 trips</t>
  </si>
  <si>
    <t>Conference costs</t>
  </si>
  <si>
    <t>Pax</t>
  </si>
  <si>
    <t>Days</t>
  </si>
  <si>
    <t>Conference costs @ Ksh. 5,000</t>
  </si>
  <si>
    <t>Perdiem</t>
  </si>
  <si>
    <t>Technical Staff</t>
  </si>
  <si>
    <t>Support Staff</t>
  </si>
  <si>
    <t>Nema Permit- Corporate</t>
  </si>
  <si>
    <t>Local</t>
  </si>
  <si>
    <t>Sub Activity 4: Architectural and estimated BQs for Fill and Finish facility</t>
  </si>
  <si>
    <t>Architectural design</t>
  </si>
  <si>
    <t>Structural design</t>
  </si>
  <si>
    <t>BQ</t>
  </si>
  <si>
    <t>(6-10% of the total cost)</t>
  </si>
  <si>
    <t>10% of 10m</t>
  </si>
  <si>
    <t>3.5% -4.5% of the total Cost</t>
  </si>
  <si>
    <t>Ksh. 41,600 per sq metre</t>
  </si>
  <si>
    <t>Main Activity: Upgrading of the Herpatarium building</t>
  </si>
  <si>
    <t>No. of Units</t>
  </si>
  <si>
    <t>Cost</t>
  </si>
  <si>
    <t>Fibre glass cage</t>
  </si>
  <si>
    <t>Purchase of snake cages</t>
  </si>
  <si>
    <t>Plastic snake cage- 90 litres</t>
  </si>
  <si>
    <t>Plastic snake cage- 60 litres</t>
  </si>
  <si>
    <t>Snake racks</t>
  </si>
  <si>
    <t>Land survey Fees</t>
  </si>
  <si>
    <t>Land Survey Trips</t>
  </si>
  <si>
    <t>KSRIC staff</t>
  </si>
  <si>
    <t>KIPRE Admin</t>
  </si>
  <si>
    <t>KIPRE Mgmnt</t>
  </si>
  <si>
    <t>Sub Activity: Identification of 20 Acre land for construction of animal facility for antivenom production</t>
  </si>
  <si>
    <t>Fuel &amp; vehicle Maintenance</t>
  </si>
  <si>
    <t>Procurement of software - Antivirus</t>
  </si>
  <si>
    <t>EIA Consultant</t>
  </si>
  <si>
    <t>Workshop</t>
  </si>
  <si>
    <t>Flight Costs</t>
  </si>
  <si>
    <t>Uganda</t>
  </si>
  <si>
    <t xml:space="preserve"> Uganda</t>
  </si>
  <si>
    <t>Fuel</t>
  </si>
  <si>
    <t>Per diem</t>
  </si>
  <si>
    <t>Conference</t>
  </si>
  <si>
    <t>Fuel cost &amp; Vehicle maintenance</t>
  </si>
  <si>
    <t>Subsistence Allowance</t>
  </si>
  <si>
    <t>Unit Cost</t>
  </si>
  <si>
    <t xml:space="preserve">Workshop costs </t>
  </si>
  <si>
    <t>Details- Two workshops</t>
  </si>
  <si>
    <t>Newspaper Advertisement</t>
  </si>
  <si>
    <t>Develop architectural designs and estimated BQs for Snakebite Preclinical rodent &amp; biocontainment facility</t>
  </si>
  <si>
    <t>Sub Activity 1: Develop architectural designs and estimated BQs for Snakebite Preclinical rodent &amp; biocontainment facility</t>
  </si>
  <si>
    <t>Sub Activity 3: Environmental Impact Assessment for fill &amp; Finish facility</t>
  </si>
  <si>
    <t>Sub Activity 2 : EIA for snakebite preclinical rodent &amp; bio-containment facility</t>
  </si>
  <si>
    <t>Opening &amp; Evaluation of tender</t>
  </si>
  <si>
    <t>Stationery</t>
  </si>
  <si>
    <t>Total:</t>
  </si>
  <si>
    <t>Architectural Design</t>
  </si>
  <si>
    <t>Sub Activity 3: Advertisement of tender for snakebite preclinical rodent &amp; bio containment facility</t>
  </si>
  <si>
    <t>Sub Activity 4: Award contract for snakebite preclinical rodent &amp; bio-containment facility</t>
  </si>
  <si>
    <t>Sub Activity 1: Develop Architectural designs and estimated BQs for snakebite venom &amp; anti-venom research  Laboratories, Coldroom, Offices &amp; conference /training facility</t>
  </si>
  <si>
    <t>Sub Activity 2: Conduct Environmental Impact Assessment for Snakebite venom &amp; anti-venom research  Laboratories, Coldroom, Offices &amp; conference /training facility</t>
  </si>
  <si>
    <t>Sub Activity 3: Advertise for tender for construction of Snakebite Preclinical rodent &amp; bio-containment facility</t>
  </si>
  <si>
    <t>Main Activity:Initiate the establishment of snakebite venom &amp; anti-venom research Laboratories, Coldroom, Offices &amp; conference /training facility</t>
  </si>
  <si>
    <t>Main Activity: Initiate the establishment of Snakebite Preclinical rodent &amp; bio-containment facility</t>
  </si>
  <si>
    <t>Main Activity: Feasibility study for Fill &amp; Finish</t>
  </si>
  <si>
    <t xml:space="preserve">Item description </t>
  </si>
  <si>
    <t xml:space="preserve">Dimension </t>
  </si>
  <si>
    <t>Qnty</t>
  </si>
  <si>
    <t xml:space="preserve">Price </t>
  </si>
  <si>
    <t>Pedestal mobile 3 drawer</t>
  </si>
  <si>
    <t>421x500x610mm</t>
  </si>
  <si>
    <t xml:space="preserve">Medium Back mesh chair-Fixed PP arms, single lock mechanism, Nylon base with Nylon castors </t>
  </si>
  <si>
    <t xml:space="preserve">2 way workstation Desk with white metal frame </t>
  </si>
  <si>
    <t>1200x1500x745mm</t>
  </si>
  <si>
    <t xml:space="preserve">Screen -Desktop clamp mounted -Rounded corners </t>
  </si>
  <si>
    <t>1300x18x350mm</t>
  </si>
  <si>
    <t>4 drawer filing cabinet -Grey</t>
  </si>
  <si>
    <t>450x600x1300mm</t>
  </si>
  <si>
    <t xml:space="preserve">Flip chart Board </t>
  </si>
  <si>
    <t>3x2 O/P FC-333-03BRD4005</t>
  </si>
  <si>
    <t>Office heater- Von</t>
  </si>
  <si>
    <t>2000w MH 302</t>
  </si>
  <si>
    <t xml:space="preserve">Extension cables </t>
  </si>
  <si>
    <t xml:space="preserve">Clinical Sciences Department </t>
  </si>
  <si>
    <t>Office heater- VoN</t>
  </si>
  <si>
    <t>2000W MH 302</t>
  </si>
  <si>
    <t>Public Health Epidemiology and Community Engagement Derpartment</t>
  </si>
  <si>
    <t>Office heater -VoN</t>
  </si>
  <si>
    <t>2000W</t>
  </si>
  <si>
    <t xml:space="preserve">Deputy Director's Office </t>
  </si>
  <si>
    <t xml:space="preserve">Executive sofa - two seater with arms and buttons - Ash grey </t>
  </si>
  <si>
    <t>Filing cabinet -glass swing door -Mahogany</t>
  </si>
  <si>
    <t>800x390x2074mm</t>
  </si>
  <si>
    <t xml:space="preserve">Safe digital lock + Key lock  &amp; tray, rating 60min - Inside </t>
  </si>
  <si>
    <t>Inside 320x234x260mm, Outside 412X363x360mm</t>
  </si>
  <si>
    <t xml:space="preserve">Airmesh medium back mesh chair -1D arms adjustable Height, Tilt function, Nylon Base with Nylon castors </t>
  </si>
  <si>
    <t xml:space="preserve">Medium back mesh chair -fixed PP arms, Single lock mechanism, Nylon Base with Nylon casters </t>
  </si>
  <si>
    <t>Straight Desk with metal frame (Inclusive front panel)</t>
  </si>
  <si>
    <t>1200x750x745mm</t>
  </si>
  <si>
    <t>Verona Executive desk  with side extension (Consiting of 3drawers  and filing cabinet)</t>
  </si>
  <si>
    <t>1800mmx1620x745mm</t>
  </si>
  <si>
    <t xml:space="preserve">Single coat hanger with arms in chrome &amp; wooden finish </t>
  </si>
  <si>
    <t>450x1280mm</t>
  </si>
  <si>
    <t>Water dispensor- Von (Cold, warm &amp; hot)</t>
  </si>
  <si>
    <t xml:space="preserve">Reception </t>
  </si>
  <si>
    <t xml:space="preserve">Airport waiting chair -3 seater </t>
  </si>
  <si>
    <t>Modular Reception, straight &amp; 2 quarter Round (without pedestral)</t>
  </si>
  <si>
    <t>2380x780x1100mm</t>
  </si>
  <si>
    <t xml:space="preserve">Executive confrence table Oblong with panel legs </t>
  </si>
  <si>
    <t>2400x1200x745</t>
  </si>
  <si>
    <t xml:space="preserve">Oblog coffee table </t>
  </si>
  <si>
    <t>1200x600x450mm</t>
  </si>
  <si>
    <t>Water dispensor -Von</t>
  </si>
  <si>
    <t xml:space="preserve">Kitchen </t>
  </si>
  <si>
    <t xml:space="preserve">Stockable Plastic chair with chrome legs </t>
  </si>
  <si>
    <t>KIPRE Physical Div staff</t>
  </si>
  <si>
    <t>Total- 4 trips</t>
  </si>
  <si>
    <t>Public address system</t>
  </si>
  <si>
    <t>Video Camera</t>
  </si>
  <si>
    <t>Accessories</t>
  </si>
  <si>
    <t>Camera- High End resolution</t>
  </si>
  <si>
    <t>Sub Activity: Procurement of snake bite field vehicles and ambulances</t>
  </si>
  <si>
    <t>4 by 4 Field vehicle</t>
  </si>
  <si>
    <t>Snakebite ambulances</t>
  </si>
  <si>
    <t>Conference room</t>
  </si>
  <si>
    <t>IT infrastructure/ internet expansion &amp; optimization at the new snakebite facilities Leveraged</t>
  </si>
  <si>
    <t xml:space="preserve">Sub Activity : IT infrastructure/ internet expansion &amp; optimization at the new snakebite facilities </t>
  </si>
  <si>
    <t>Main Activity : Initiate Process of land procurement and construction of animal housing facility for venom research &amp; antivenom production</t>
  </si>
  <si>
    <t>Sub Activity : Procurement of snakebite Office furniture &amp; equipment</t>
  </si>
  <si>
    <t>Main Activity: Procurement of Audio- Visual equipment</t>
  </si>
  <si>
    <t>Antivenom Quality Control &amp; Production Development</t>
  </si>
  <si>
    <t>Key Result Area: Modernization and expansion of infrastructure and equipment for antivenom research and production</t>
  </si>
  <si>
    <t>Key Result Area: Partnership on research and antivenom production</t>
  </si>
  <si>
    <t>Main Activity:Initiate partnership on research and antivenom production</t>
  </si>
  <si>
    <t>Flight Cost</t>
  </si>
  <si>
    <t>Local Running</t>
  </si>
  <si>
    <t>Number of Days</t>
  </si>
  <si>
    <t>Refrigerator (-20° C, +4 °C)</t>
  </si>
  <si>
    <t>Biosafety cabinet Class II B2</t>
  </si>
  <si>
    <t xml:space="preserve">Analytical weighing balance </t>
  </si>
  <si>
    <t xml:space="preserve">Gel electrophoresis system (casting plates, electrode assembly, companion running module, buffer tank and lid, casting stand and frames, Power Pac </t>
  </si>
  <si>
    <t>Microplate Spectophotometer (Preferred wavelength range 200 -999 nm)</t>
  </si>
  <si>
    <t>Illumina Hiseq 2500</t>
  </si>
  <si>
    <t>Negative 80 freezer</t>
  </si>
  <si>
    <t>Columns ( Sephadex G25 desalting column, RP-HPLC, Hydrophobic interactions columns)</t>
  </si>
  <si>
    <t>ELISA washer and dispenser</t>
  </si>
  <si>
    <t xml:space="preserve">Transblot transfer system </t>
  </si>
  <si>
    <t>Protein A/G affinity chromatography columns (HiTrap Protein A HP 5ml and HiTrap Protein G HP 5ml)</t>
  </si>
  <si>
    <t>Ultra-Performance Liquid
Chromatography (1290 Infinity II, Agilent Technologies)</t>
  </si>
  <si>
    <t>Liquid nitrogen tank (50ml)</t>
  </si>
  <si>
    <t>Medium centrifuge</t>
  </si>
  <si>
    <t xml:space="preserve">CO2 Incubator </t>
  </si>
  <si>
    <t>Refrigerator double door 635 litres (+4,-20)</t>
  </si>
  <si>
    <t>lab stools</t>
  </si>
  <si>
    <t>Vortexer</t>
  </si>
  <si>
    <t>Eye wash and mounted stations</t>
  </si>
  <si>
    <t>Power supply extension</t>
  </si>
  <si>
    <t>UPS</t>
  </si>
  <si>
    <t xml:space="preserve"> Electric Inverter APC </t>
  </si>
  <si>
    <t>Water distiller system</t>
  </si>
  <si>
    <t>Mini Centrifuge  (PCR tubes)</t>
  </si>
  <si>
    <t>Mini vortexer mixer</t>
  </si>
  <si>
    <t>Thermocycler</t>
  </si>
  <si>
    <t xml:space="preserve">Laboratory fluorescence microscope </t>
  </si>
  <si>
    <t>Amscope fluorescent microscope camera</t>
  </si>
  <si>
    <t>BD Facs Melody Cell Sorter</t>
  </si>
  <si>
    <t>Pro-safe Fume Hood 6ft</t>
  </si>
  <si>
    <t>Chest Freezer 480L</t>
  </si>
  <si>
    <t>Portable medical freezer (-20 )</t>
  </si>
  <si>
    <t>Autoclave Machine</t>
  </si>
  <si>
    <t>Portable power generator</t>
  </si>
  <si>
    <t>Wheelchair</t>
  </si>
  <si>
    <t>Pallet truck (trolly)</t>
  </si>
  <si>
    <t>CO2 tank and gauge</t>
  </si>
  <si>
    <t>Small animal rodent euthanasia chamber</t>
  </si>
  <si>
    <t>Temperator monitor for freezer room</t>
  </si>
  <si>
    <t>Lab thermometer hygrometer</t>
  </si>
  <si>
    <t>Confined space multi gas detector</t>
  </si>
  <si>
    <t>Sub Activity: Procurement of Laboratory, cold room &amp; phlebetomy facility equipment</t>
  </si>
  <si>
    <t>Laboratory tools and equipments</t>
  </si>
  <si>
    <t>Units</t>
  </si>
  <si>
    <t>Sub Activity:  Procurement of Equipment Maintenance &amp; Servicing</t>
  </si>
  <si>
    <t>Sub Activity:  Procurement of Insurance services- Vehicles,new equipment</t>
  </si>
  <si>
    <t>Sub Activity:  Procurement of Anti-Virus</t>
  </si>
  <si>
    <t>Kaspersky Antivirus</t>
  </si>
  <si>
    <t>Fuel &amp; Vehicle Maintenance</t>
  </si>
  <si>
    <t>Sub activity 2: Formulate snakebite management guidelines &amp; policies</t>
  </si>
  <si>
    <t>Printing</t>
  </si>
  <si>
    <t>Sub Activity 3: Mapping of snakebite partners,stakeholders &amp; collaborators</t>
  </si>
  <si>
    <t>Number of Statutory Obligations and Regulations Acquired</t>
  </si>
  <si>
    <t>Sub Activity 4: Acquire statutory obligations and regulations</t>
  </si>
  <si>
    <t>Sub Activity 1: Identify antivenom commercial and manufacturing partners eg. Premium Serum &amp; Vaccines PVT Ltd, Universal Corporation</t>
  </si>
  <si>
    <t>Main Activity: Advocacy for snakebite funding for research &amp; Development</t>
  </si>
  <si>
    <t>Sub Activity: Conduct public engagement events for discussions on impact of R&amp;D, Public education &amp; awareness</t>
  </si>
  <si>
    <t>Counties</t>
  </si>
  <si>
    <t>Participant costs(500 per county)</t>
  </si>
  <si>
    <t>Professional Consultants(2)</t>
  </si>
  <si>
    <t>Identify &amp; engage key snakebite funding stakeholders for R&amp;D</t>
  </si>
  <si>
    <t>Key snakebite funding stakeholders for R&amp;D identified &amp; engaged</t>
  </si>
  <si>
    <t>Sub Activity 2: Identify &amp; engage key snakebite funding stakeholders for R&amp;D</t>
  </si>
  <si>
    <t>Request Letter, Meeting reports</t>
  </si>
  <si>
    <t>Media campaigns, forums, webinars, workshops</t>
  </si>
  <si>
    <t>Meeting reports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</si>
</sst>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</numFmts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Verdana"/>
      <family val="2"/>
    </font>
    <font>
      <b/>
      <sz val="11"/>
      <color theme="1"/>
      <name val="Verdana"/>
      <family val="2"/>
    </font>
    <font>
      <sz val="12"/>
      <color theme="1"/>
      <name val="Verdana"/>
      <family val="2"/>
    </font>
    <font>
      <b/>
      <sz val="9"/>
      <color rgb="FF000000"/>
      <name val="Verdana"/>
      <family val="2"/>
    </font>
    <font>
      <sz val="9"/>
      <color rgb="FF000000"/>
      <name val="Verdana"/>
      <family val="2"/>
    </font>
    <font>
      <sz val="9"/>
      <color rgb="FFFF0000"/>
      <name val="Verdana"/>
      <family val="2"/>
    </font>
    <font>
      <sz val="9"/>
      <color theme="1"/>
      <name val="Verdana"/>
      <family val="2"/>
    </font>
    <font>
      <sz val="9"/>
      <name val="Verdana"/>
      <family val="2"/>
    </font>
    <font>
      <sz val="9"/>
      <color theme="5"/>
      <name val="Verdana"/>
      <family val="2"/>
    </font>
    <font>
      <sz val="9"/>
      <color theme="5" tint="-0.249977111117893"/>
      <name val="Verdana"/>
      <family val="2"/>
    </font>
    <font>
      <b/>
      <sz val="12"/>
      <color theme="1"/>
      <name val="Calibri"/>
      <family val="2"/>
      <scheme val="minor"/>
    </font>
    <font>
      <sz val="12"/>
      <color theme="5"/>
      <name val="Calibri"/>
      <family val="2"/>
      <scheme val="minor"/>
    </font>
    <font>
      <sz val="12"/>
      <color theme="5"/>
      <name val="Verdana"/>
      <family val="2"/>
    </font>
    <font>
      <sz val="12"/>
      <name val="Calibri"/>
      <family val="2"/>
      <scheme val="minor"/>
    </font>
    <font>
      <sz val="12"/>
      <name val="Verdana"/>
      <family val="2"/>
    </font>
    <font>
      <sz val="12"/>
      <color theme="5" tint="0.39997558519241921"/>
      <name val="Calibri"/>
      <family val="2"/>
      <scheme val="minor"/>
    </font>
    <font>
      <sz val="12"/>
      <color theme="5" tint="0.39997558519241921"/>
      <name val="Verdana"/>
      <family val="2"/>
    </font>
    <font>
      <b/>
      <sz val="12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78">
    <xf numFmtId="0" fontId="0" fillId="0" borderId="0" xfId="0"/>
    <xf numFmtId="0" fontId="4" fillId="0" borderId="0" xfId="0" applyFont="1"/>
    <xf numFmtId="0" fontId="3" fillId="2" borderId="2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0" fontId="4" fillId="0" borderId="1" xfId="0" applyFont="1" applyBorder="1"/>
    <xf numFmtId="164" fontId="4" fillId="0" borderId="1" xfId="1" applyFont="1" applyBorder="1"/>
    <xf numFmtId="0" fontId="6" fillId="5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7" fillId="5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top" wrapText="1"/>
    </xf>
    <xf numFmtId="0" fontId="7" fillId="5" borderId="5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wrapText="1"/>
    </xf>
    <xf numFmtId="0" fontId="4" fillId="0" borderId="0" xfId="0" applyFont="1" applyAlignment="1">
      <alignment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1" xfId="0" applyFont="1" applyBorder="1" applyAlignment="1">
      <alignment vertical="center"/>
    </xf>
    <xf numFmtId="0" fontId="8" fillId="0" borderId="1" xfId="0" applyFont="1" applyBorder="1"/>
    <xf numFmtId="0" fontId="8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wrapText="1"/>
    </xf>
    <xf numFmtId="0" fontId="4" fillId="6" borderId="1" xfId="0" applyFont="1" applyFill="1" applyBorder="1"/>
    <xf numFmtId="0" fontId="4" fillId="2" borderId="1" xfId="0" applyFont="1" applyFill="1" applyBorder="1"/>
    <xf numFmtId="0" fontId="9" fillId="0" borderId="1" xfId="0" applyFont="1" applyBorder="1" applyAlignment="1">
      <alignment wrapText="1"/>
    </xf>
    <xf numFmtId="0" fontId="11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wrapText="1"/>
    </xf>
    <xf numFmtId="164" fontId="4" fillId="0" borderId="0" xfId="1" applyFont="1"/>
    <xf numFmtId="0" fontId="12" fillId="0" borderId="0" xfId="0" applyFont="1"/>
    <xf numFmtId="0" fontId="8" fillId="0" borderId="1" xfId="0" applyFont="1" applyBorder="1" applyAlignment="1">
      <alignment vertical="top" wrapText="1"/>
    </xf>
    <xf numFmtId="0" fontId="12" fillId="0" borderId="1" xfId="0" applyFont="1" applyBorder="1"/>
    <xf numFmtId="164" fontId="0" fillId="0" borderId="1" xfId="1" applyFont="1" applyBorder="1"/>
    <xf numFmtId="43" fontId="12" fillId="0" borderId="0" xfId="0" applyNumberFormat="1" applyFont="1"/>
    <xf numFmtId="164" fontId="0" fillId="0" borderId="0" xfId="1" applyFont="1"/>
    <xf numFmtId="164" fontId="13" fillId="0" borderId="0" xfId="1" applyFont="1"/>
    <xf numFmtId="164" fontId="15" fillId="0" borderId="1" xfId="1" applyFont="1" applyBorder="1"/>
    <xf numFmtId="43" fontId="15" fillId="0" borderId="1" xfId="0" applyNumberFormat="1" applyFont="1" applyBorder="1"/>
    <xf numFmtId="164" fontId="14" fillId="0" borderId="1" xfId="1" applyFont="1" applyBorder="1"/>
    <xf numFmtId="164" fontId="16" fillId="0" borderId="0" xfId="1" applyFont="1"/>
    <xf numFmtId="0" fontId="17" fillId="0" borderId="0" xfId="0" applyFont="1"/>
    <xf numFmtId="164" fontId="18" fillId="0" borderId="1" xfId="1" applyFont="1" applyBorder="1"/>
    <xf numFmtId="0" fontId="12" fillId="0" borderId="3" xfId="0" applyFont="1" applyBorder="1"/>
    <xf numFmtId="0" fontId="15" fillId="0" borderId="3" xfId="0" applyFont="1" applyBorder="1"/>
    <xf numFmtId="0" fontId="12" fillId="0" borderId="1" xfId="0" applyFont="1" applyBorder="1" applyAlignment="1">
      <alignment horizontal="center"/>
    </xf>
    <xf numFmtId="164" fontId="12" fillId="0" borderId="0" xfId="1" applyFont="1"/>
    <xf numFmtId="0" fontId="0" fillId="0" borderId="1" xfId="0" applyBorder="1"/>
    <xf numFmtId="164" fontId="12" fillId="0" borderId="1" xfId="1" applyFont="1" applyBorder="1"/>
    <xf numFmtId="164" fontId="0" fillId="0" borderId="0" xfId="1" applyFont="1" applyBorder="1"/>
    <xf numFmtId="0" fontId="0" fillId="0" borderId="8" xfId="0" applyBorder="1"/>
    <xf numFmtId="0" fontId="15" fillId="0" borderId="0" xfId="0" applyFont="1"/>
    <xf numFmtId="164" fontId="0" fillId="0" borderId="1" xfId="1" applyFont="1" applyBorder="1" applyAlignment="1">
      <alignment horizontal="center"/>
    </xf>
    <xf numFmtId="0" fontId="12" fillId="2" borderId="0" xfId="0" applyFont="1" applyFill="1"/>
    <xf numFmtId="0" fontId="15" fillId="2" borderId="0" xfId="0" applyFont="1" applyFill="1" applyAlignment="1">
      <alignment horizontal="center"/>
    </xf>
    <xf numFmtId="0" fontId="12" fillId="0" borderId="4" xfId="0" applyFont="1" applyBorder="1"/>
    <xf numFmtId="0" fontId="12" fillId="0" borderId="8" xfId="0" applyFont="1" applyBorder="1"/>
    <xf numFmtId="0" fontId="0" fillId="0" borderId="1" xfId="1" applyNumberFormat="1" applyFont="1" applyBorder="1"/>
    <xf numFmtId="0" fontId="0" fillId="2" borderId="0" xfId="0" applyFill="1"/>
    <xf numFmtId="164" fontId="0" fillId="0" borderId="0" xfId="0" applyNumberFormat="1"/>
    <xf numFmtId="0" fontId="0" fillId="0" borderId="0" xfId="1" applyNumberFormat="1" applyFont="1"/>
    <xf numFmtId="43" fontId="0" fillId="0" borderId="0" xfId="0" applyNumberFormat="1"/>
    <xf numFmtId="43" fontId="0" fillId="0" borderId="1" xfId="0" applyNumberFormat="1" applyBorder="1"/>
    <xf numFmtId="3" fontId="0" fillId="0" borderId="0" xfId="0" applyNumberFormat="1"/>
    <xf numFmtId="0" fontId="0" fillId="2" borderId="0" xfId="0" applyFill="1" applyAlignment="1">
      <alignment horizontal="center"/>
    </xf>
    <xf numFmtId="0" fontId="0" fillId="0" borderId="0" xfId="1" applyNumberFormat="1" applyFont="1" applyBorder="1"/>
    <xf numFmtId="4" fontId="0" fillId="0" borderId="1" xfId="0" applyNumberFormat="1" applyBorder="1"/>
    <xf numFmtId="4" fontId="0" fillId="0" borderId="6" xfId="0" applyNumberFormat="1" applyBorder="1"/>
    <xf numFmtId="0" fontId="0" fillId="2" borderId="6" xfId="0" applyFill="1" applyBorder="1" applyAlignment="1">
      <alignment horizontal="center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center" vertical="top"/>
    </xf>
    <xf numFmtId="0" fontId="0" fillId="2" borderId="0" xfId="0" applyFill="1" applyAlignment="1">
      <alignment vertical="top"/>
    </xf>
    <xf numFmtId="0" fontId="0" fillId="0" borderId="0" xfId="0" applyAlignment="1">
      <alignment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/>
    </xf>
    <xf numFmtId="4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2" borderId="12" xfId="0" applyFill="1" applyBorder="1" applyAlignment="1">
      <alignment horizontal="center"/>
    </xf>
    <xf numFmtId="0" fontId="0" fillId="2" borderId="12" xfId="0" applyFill="1" applyBorder="1" applyAlignment="1">
      <alignment horizontal="center" wrapText="1"/>
    </xf>
    <xf numFmtId="0" fontId="0" fillId="2" borderId="0" xfId="0" applyFill="1" applyAlignment="1">
      <alignment wrapText="1"/>
    </xf>
    <xf numFmtId="0" fontId="0" fillId="2" borderId="0" xfId="0" applyFill="1" applyAlignment="1">
      <alignment horizontal="center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/>
    <xf numFmtId="0" fontId="0" fillId="2" borderId="1" xfId="0" applyFill="1" applyBorder="1" applyAlignment="1">
      <alignment vertical="center" wrapText="1"/>
    </xf>
    <xf numFmtId="3" fontId="0" fillId="2" borderId="1" xfId="0" applyNumberFormat="1" applyFill="1" applyBorder="1" applyAlignment="1">
      <alignment vertical="center" wrapText="1"/>
    </xf>
    <xf numFmtId="164" fontId="0" fillId="2" borderId="1" xfId="1" applyFont="1" applyFill="1" applyBorder="1"/>
    <xf numFmtId="3" fontId="0" fillId="2" borderId="1" xfId="0" applyNumberFormat="1" applyFill="1" applyBorder="1" applyAlignment="1">
      <alignment horizontal="center" wrapText="1"/>
    </xf>
    <xf numFmtId="0" fontId="0" fillId="2" borderId="1" xfId="0" applyFill="1" applyBorder="1" applyAlignment="1">
      <alignment wrapText="1"/>
    </xf>
    <xf numFmtId="3" fontId="0" fillId="2" borderId="1" xfId="0" applyNumberFormat="1" applyFill="1" applyBorder="1"/>
    <xf numFmtId="0" fontId="12" fillId="2" borderId="1" xfId="0" applyFont="1" applyFill="1" applyBorder="1" applyAlignment="1">
      <alignment vertical="center" wrapText="1"/>
    </xf>
    <xf numFmtId="3" fontId="0" fillId="2" borderId="2" xfId="0" applyNumberFormat="1" applyFill="1" applyBorder="1"/>
    <xf numFmtId="164" fontId="12" fillId="2" borderId="2" xfId="1" applyFont="1" applyFill="1" applyBorder="1"/>
    <xf numFmtId="0" fontId="19" fillId="5" borderId="10" xfId="0" applyFont="1" applyFill="1" applyBorder="1" applyAlignment="1">
      <alignment vertical="top"/>
    </xf>
    <xf numFmtId="0" fontId="20" fillId="5" borderId="11" xfId="0" applyFont="1" applyFill="1" applyBorder="1" applyAlignment="1">
      <alignment vertical="top"/>
    </xf>
    <xf numFmtId="164" fontId="12" fillId="2" borderId="1" xfId="0" applyNumberFormat="1" applyFont="1" applyFill="1" applyBorder="1"/>
    <xf numFmtId="0" fontId="12" fillId="2" borderId="1" xfId="0" applyFont="1" applyFill="1" applyBorder="1" applyAlignment="1">
      <alignment wrapText="1"/>
    </xf>
    <xf numFmtId="0" fontId="21" fillId="0" borderId="0" xfId="0" applyFont="1"/>
    <xf numFmtId="0" fontId="0" fillId="0" borderId="8" xfId="0" applyBorder="1" applyAlignment="1">
      <alignment horizontal="center" vertical="top"/>
    </xf>
    <xf numFmtId="0" fontId="20" fillId="2" borderId="11" xfId="0" applyFont="1" applyFill="1" applyBorder="1" applyAlignment="1">
      <alignment vertical="top"/>
    </xf>
    <xf numFmtId="0" fontId="12" fillId="2" borderId="1" xfId="0" applyFont="1" applyFill="1" applyBorder="1" applyAlignment="1">
      <alignment horizontal="left" vertical="top"/>
    </xf>
    <xf numFmtId="0" fontId="0" fillId="2" borderId="5" xfId="0" applyFill="1" applyBorder="1" applyAlignment="1">
      <alignment horizontal="left" vertical="top"/>
    </xf>
    <xf numFmtId="4" fontId="0" fillId="2" borderId="5" xfId="0" applyNumberFormat="1" applyFill="1" applyBorder="1" applyAlignment="1">
      <alignment horizontal="left" vertical="top"/>
    </xf>
    <xf numFmtId="3" fontId="0" fillId="2" borderId="5" xfId="0" applyNumberFormat="1" applyFill="1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4" fontId="0" fillId="2" borderId="1" xfId="0" applyNumberFormat="1" applyFill="1" applyBorder="1" applyAlignment="1">
      <alignment horizontal="left" vertical="top"/>
    </xf>
    <xf numFmtId="3" fontId="0" fillId="2" borderId="1" xfId="0" applyNumberFormat="1" applyFill="1" applyBorder="1" applyAlignment="1">
      <alignment horizontal="left" vertical="top"/>
    </xf>
    <xf numFmtId="0" fontId="12" fillId="2" borderId="4" xfId="0" applyFont="1" applyFill="1" applyBorder="1" applyAlignment="1">
      <alignment horizontal="left" vertical="top"/>
    </xf>
    <xf numFmtId="0" fontId="12" fillId="2" borderId="6" xfId="0" applyFont="1" applyFill="1" applyBorder="1" applyAlignment="1">
      <alignment horizontal="center" vertical="top"/>
    </xf>
    <xf numFmtId="0" fontId="12" fillId="2" borderId="9" xfId="0" applyFont="1" applyFill="1" applyBorder="1" applyAlignment="1">
      <alignment horizontal="center" vertical="top"/>
    </xf>
    <xf numFmtId="0" fontId="12" fillId="2" borderId="10" xfId="0" applyFont="1" applyFill="1" applyBorder="1" applyAlignment="1">
      <alignment horizontal="center" vertical="top"/>
    </xf>
    <xf numFmtId="4" fontId="12" fillId="2" borderId="1" xfId="0" applyNumberFormat="1" applyFont="1" applyFill="1" applyBorder="1" applyAlignment="1">
      <alignment horizontal="left" vertical="top"/>
    </xf>
    <xf numFmtId="0" fontId="12" fillId="2" borderId="1" xfId="0" applyFont="1" applyFill="1" applyBorder="1" applyAlignment="1">
      <alignment horizontal="center" vertical="top"/>
    </xf>
    <xf numFmtId="0" fontId="0" fillId="2" borderId="1" xfId="0" applyFill="1" applyBorder="1" applyAlignment="1">
      <alignment horizontal="left" vertical="top" wrapText="1"/>
    </xf>
    <xf numFmtId="0" fontId="12" fillId="2" borderId="1" xfId="0" applyFont="1" applyFill="1" applyBorder="1" applyAlignment="1">
      <alignment horizontal="left" vertical="top" wrapText="1"/>
    </xf>
    <xf numFmtId="0" fontId="12" fillId="2" borderId="4" xfId="0" applyFont="1" applyFill="1" applyBorder="1" applyAlignment="1">
      <alignment horizontal="left" vertical="top" wrapText="1"/>
    </xf>
    <xf numFmtId="164" fontId="0" fillId="2" borderId="1" xfId="1" applyFont="1" applyFill="1" applyBorder="1" applyAlignment="1">
      <alignment horizontal="left" vertical="top"/>
    </xf>
    <xf numFmtId="0" fontId="12" fillId="2" borderId="7" xfId="0" applyFont="1" applyFill="1" applyBorder="1" applyAlignment="1">
      <alignment horizontal="left" vertical="top"/>
    </xf>
    <xf numFmtId="0" fontId="0" fillId="0" borderId="2" xfId="0" applyBorder="1" applyAlignment="1">
      <alignment wrapText="1"/>
    </xf>
    <xf numFmtId="0" fontId="13" fillId="0" borderId="1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2" borderId="2" xfId="0" applyFont="1" applyFill="1" applyBorder="1" applyAlignment="1">
      <alignment horizontal="left" vertical="top"/>
    </xf>
    <xf numFmtId="4" fontId="0" fillId="2" borderId="1" xfId="0" applyNumberFormat="1" applyFill="1" applyBorder="1" applyAlignment="1">
      <alignment horizontal="right" vertical="top"/>
    </xf>
    <xf numFmtId="0" fontId="12" fillId="2" borderId="6" xfId="0" applyFont="1" applyFill="1" applyBorder="1" applyAlignment="1">
      <alignment horizontal="left" vertical="top"/>
    </xf>
    <xf numFmtId="164" fontId="12" fillId="2" borderId="4" xfId="0" applyNumberFormat="1" applyFont="1" applyFill="1" applyBorder="1" applyAlignment="1">
      <alignment horizontal="left" vertical="top"/>
    </xf>
    <xf numFmtId="0" fontId="12" fillId="2" borderId="10" xfId="0" applyFont="1" applyFill="1" applyBorder="1" applyAlignment="1">
      <alignment horizontal="left" vertical="top"/>
    </xf>
    <xf numFmtId="0" fontId="12" fillId="2" borderId="11" xfId="0" applyFont="1" applyFill="1" applyBorder="1" applyAlignment="1">
      <alignment horizontal="left" vertical="top"/>
    </xf>
    <xf numFmtId="0" fontId="0" fillId="0" borderId="0" xfId="0" applyAlignment="1">
      <alignment horizontal="center" wrapText="1"/>
    </xf>
    <xf numFmtId="0" fontId="12" fillId="2" borderId="0" xfId="0" applyFont="1" applyFill="1" applyAlignment="1">
      <alignment horizontal="left" vertical="top"/>
    </xf>
    <xf numFmtId="3" fontId="0" fillId="2" borderId="0" xfId="0" applyNumberFormat="1" applyFill="1" applyAlignment="1">
      <alignment horizontal="left" vertical="top"/>
    </xf>
    <xf numFmtId="0" fontId="0" fillId="2" borderId="0" xfId="0" applyFill="1" applyAlignment="1">
      <alignment horizontal="left" vertical="top"/>
    </xf>
    <xf numFmtId="4" fontId="0" fillId="2" borderId="0" xfId="0" applyNumberFormat="1" applyFill="1" applyAlignment="1">
      <alignment horizontal="left" vertical="top"/>
    </xf>
    <xf numFmtId="0" fontId="12" fillId="2" borderId="1" xfId="0" applyFont="1" applyFill="1" applyBorder="1"/>
    <xf numFmtId="0" fontId="12" fillId="2" borderId="1" xfId="0" applyFont="1" applyFill="1" applyBorder="1" applyAlignment="1">
      <alignment horizontal="center"/>
    </xf>
    <xf numFmtId="164" fontId="12" fillId="2" borderId="1" xfId="1" applyFont="1" applyFill="1" applyBorder="1" applyAlignment="1">
      <alignment horizontal="center"/>
    </xf>
    <xf numFmtId="164" fontId="16" fillId="0" borderId="1" xfId="1" applyFont="1" applyBorder="1"/>
    <xf numFmtId="0" fontId="0" fillId="0" borderId="1" xfId="0" applyBorder="1" applyAlignment="1">
      <alignment horizontal="left"/>
    </xf>
    <xf numFmtId="164" fontId="1" fillId="0" borderId="1" xfId="1" applyFont="1" applyBorder="1"/>
    <xf numFmtId="3" fontId="0" fillId="2" borderId="0" xfId="0" applyNumberFormat="1" applyFill="1"/>
    <xf numFmtId="164" fontId="12" fillId="2" borderId="0" xfId="1" applyFont="1" applyFill="1" applyBorder="1"/>
    <xf numFmtId="0" fontId="11" fillId="0" borderId="1" xfId="0" applyFont="1" applyBorder="1"/>
    <xf numFmtId="0" fontId="5" fillId="4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quotePrefix="1" applyFont="1" applyFill="1" applyBorder="1" applyAlignment="1">
      <alignment horizontal="center" vertical="center" wrapText="1"/>
    </xf>
    <xf numFmtId="164" fontId="5" fillId="4" borderId="1" xfId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8" fillId="0" borderId="6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8" fillId="5" borderId="4" xfId="0" applyFont="1" applyFill="1" applyBorder="1" applyAlignment="1">
      <alignment horizontal="left" vertical="center" wrapText="1"/>
    </xf>
    <xf numFmtId="0" fontId="8" fillId="5" borderId="8" xfId="0" applyFont="1" applyFill="1" applyBorder="1" applyAlignment="1">
      <alignment horizontal="left" vertical="center" wrapText="1"/>
    </xf>
    <xf numFmtId="0" fontId="7" fillId="5" borderId="8" xfId="0" applyFont="1" applyFill="1" applyBorder="1" applyAlignment="1">
      <alignment horizontal="left" vertical="center" wrapText="1"/>
    </xf>
    <xf numFmtId="0" fontId="7" fillId="5" borderId="5" xfId="0" applyFont="1" applyFill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7" fillId="5" borderId="4" xfId="0" applyFont="1" applyFill="1" applyBorder="1" applyAlignment="1">
      <alignment horizontal="center" vertical="top" wrapText="1"/>
    </xf>
    <xf numFmtId="0" fontId="7" fillId="5" borderId="8" xfId="0" applyFont="1" applyFill="1" applyBorder="1" applyAlignment="1">
      <alignment horizontal="center" vertical="top" wrapText="1"/>
    </xf>
    <xf numFmtId="0" fontId="7" fillId="5" borderId="5" xfId="0" applyFont="1" applyFill="1" applyBorder="1" applyAlignment="1">
      <alignment horizontal="center" vertical="top" wrapText="1"/>
    </xf>
    <xf numFmtId="0" fontId="8" fillId="0" borderId="4" xfId="0" applyFont="1" applyBorder="1" applyAlignment="1">
      <alignment horizontal="left" vertical="top" wrapText="1"/>
    </xf>
    <xf numFmtId="0" fontId="8" fillId="0" borderId="8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wrapText="1"/>
    </xf>
    <xf numFmtId="0" fontId="8" fillId="0" borderId="5" xfId="0" applyFont="1" applyBorder="1" applyAlignment="1">
      <alignment horizontal="left" wrapText="1"/>
    </xf>
    <xf numFmtId="0" fontId="12" fillId="0" borderId="1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12" fillId="2" borderId="1" xfId="0" applyFont="1" applyFill="1" applyBorder="1" applyAlignment="1">
      <alignment horizontal="center" vertical="top"/>
    </xf>
    <xf numFmtId="0" fontId="15" fillId="0" borderId="1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AB51"/>
  <sheetViews>
    <sheetView tabSelected="1" topLeftCell="G8" zoomScale="75" zoomScaleNormal="160" workbookViewId="0">
      <selection activeCell="P17" sqref="P17"/>
    </sheetView>
  </sheetViews>
  <sheetFormatPr defaultColWidth="10.9140625" defaultRowHeight="15" x14ac:dyDescent="0.3"/>
  <cols>
    <col min="1" max="1" width="10.9140625" style="1"/>
    <col min="2" max="2" width="10.1640625" style="1" customWidth="1"/>
    <col min="3" max="3" width="17.9140625" style="1" customWidth="1"/>
    <col min="4" max="4" width="37.5" style="14" customWidth="1"/>
    <col min="5" max="5" width="48.9140625" style="14" customWidth="1"/>
    <col min="6" max="6" width="44.08203125" style="14" customWidth="1"/>
    <col min="7" max="7" width="29.5" style="14" customWidth="1"/>
    <col min="8" max="8" width="10.9140625" style="14"/>
    <col min="9" max="9" width="17.33203125" style="14" customWidth="1"/>
    <col min="10" max="21" width="10.9140625" style="1"/>
    <col min="22" max="22" width="23.1640625" style="29" customWidth="1"/>
    <col min="23" max="16384" width="10.9140625" style="1"/>
  </cols>
  <sheetData>
    <row r="4" spans="2:28" x14ac:dyDescent="0.3">
      <c r="B4" s="5"/>
      <c r="C4" s="151" t="s">
        <v>29</v>
      </c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  <c r="AA4" s="151"/>
    </row>
    <row r="5" spans="2:28" x14ac:dyDescent="0.3">
      <c r="B5" s="5"/>
      <c r="C5" s="150" t="s">
        <v>23</v>
      </c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</row>
    <row r="6" spans="2:28" x14ac:dyDescent="0.3">
      <c r="B6" s="5"/>
      <c r="C6" s="150" t="s">
        <v>24</v>
      </c>
      <c r="D6" s="150"/>
      <c r="E6" s="150"/>
      <c r="F6" s="150"/>
      <c r="G6" s="150"/>
      <c r="H6" s="150"/>
      <c r="I6" s="150"/>
      <c r="J6" s="150"/>
      <c r="K6" s="150"/>
      <c r="L6" s="150"/>
      <c r="M6" s="150"/>
      <c r="N6" s="150"/>
      <c r="O6" s="150"/>
      <c r="P6" s="150"/>
      <c r="Q6" s="150"/>
      <c r="R6" s="150"/>
      <c r="S6" s="150"/>
      <c r="T6" s="150"/>
      <c r="U6" s="150"/>
      <c r="V6" s="150"/>
      <c r="W6" s="150"/>
      <c r="X6" s="150"/>
      <c r="Y6" s="150"/>
      <c r="Z6" s="150"/>
      <c r="AA6" s="150"/>
    </row>
    <row r="7" spans="2:28" x14ac:dyDescent="0.3">
      <c r="B7" s="5"/>
      <c r="C7" s="150" t="s">
        <v>25</v>
      </c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</row>
    <row r="8" spans="2:28" x14ac:dyDescent="0.3">
      <c r="B8" s="5"/>
      <c r="C8" s="150" t="s">
        <v>32</v>
      </c>
      <c r="D8" s="150"/>
      <c r="E8" s="150"/>
      <c r="F8" s="150"/>
      <c r="G8" s="150"/>
      <c r="H8" s="150"/>
      <c r="I8" s="150"/>
      <c r="J8" s="150"/>
      <c r="K8" s="150"/>
      <c r="L8" s="150"/>
      <c r="M8" s="150"/>
      <c r="N8" s="150"/>
      <c r="O8" s="150"/>
      <c r="P8" s="150"/>
      <c r="Q8" s="150"/>
      <c r="R8" s="150"/>
      <c r="S8" s="150"/>
      <c r="T8" s="150"/>
      <c r="U8" s="150"/>
      <c r="V8" s="150"/>
      <c r="W8" s="150"/>
      <c r="X8" s="150"/>
      <c r="Y8" s="150"/>
      <c r="Z8" s="150"/>
      <c r="AA8" s="150"/>
      <c r="AB8" s="2"/>
    </row>
    <row r="9" spans="2:28" ht="32.15" customHeight="1" x14ac:dyDescent="0.3">
      <c r="B9" s="5"/>
      <c r="C9" s="145" t="s">
        <v>0</v>
      </c>
      <c r="D9" s="145" t="s">
        <v>1</v>
      </c>
      <c r="E9" s="145" t="s">
        <v>2</v>
      </c>
      <c r="F9" s="145" t="s">
        <v>3</v>
      </c>
      <c r="G9" s="145" t="s">
        <v>4</v>
      </c>
      <c r="H9" s="142" t="s">
        <v>31</v>
      </c>
      <c r="I9" s="145" t="s">
        <v>5</v>
      </c>
      <c r="J9" s="146" t="s">
        <v>30</v>
      </c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7" t="s">
        <v>6</v>
      </c>
      <c r="W9" s="148" t="s">
        <v>27</v>
      </c>
      <c r="X9" s="149"/>
      <c r="Y9" s="145" t="s">
        <v>7</v>
      </c>
      <c r="Z9" s="145"/>
      <c r="AA9" s="144" t="s">
        <v>8</v>
      </c>
    </row>
    <row r="10" spans="2:28" ht="23" x14ac:dyDescent="0.3">
      <c r="B10" s="5"/>
      <c r="C10" s="145"/>
      <c r="D10" s="145"/>
      <c r="E10" s="145"/>
      <c r="F10" s="145"/>
      <c r="G10" s="145"/>
      <c r="H10" s="143"/>
      <c r="I10" s="145"/>
      <c r="J10" s="3" t="s">
        <v>9</v>
      </c>
      <c r="K10" s="3" t="s">
        <v>10</v>
      </c>
      <c r="L10" s="3" t="s">
        <v>11</v>
      </c>
      <c r="M10" s="3" t="s">
        <v>12</v>
      </c>
      <c r="N10" s="3" t="s">
        <v>13</v>
      </c>
      <c r="O10" s="3" t="s">
        <v>14</v>
      </c>
      <c r="P10" s="3" t="s">
        <v>15</v>
      </c>
      <c r="Q10" s="3" t="s">
        <v>16</v>
      </c>
      <c r="R10" s="3" t="s">
        <v>17</v>
      </c>
      <c r="S10" s="3" t="s">
        <v>18</v>
      </c>
      <c r="T10" s="3" t="s">
        <v>19</v>
      </c>
      <c r="U10" s="3" t="s">
        <v>20</v>
      </c>
      <c r="V10" s="147"/>
      <c r="W10" s="4" t="s">
        <v>26</v>
      </c>
      <c r="X10" s="3" t="s">
        <v>21</v>
      </c>
      <c r="Y10" s="3" t="s">
        <v>22</v>
      </c>
      <c r="Z10" s="3" t="s">
        <v>21</v>
      </c>
      <c r="AA10" s="144"/>
    </row>
    <row r="11" spans="2:28" ht="48.65" customHeight="1" x14ac:dyDescent="0.3">
      <c r="B11" s="10">
        <v>5</v>
      </c>
      <c r="C11" s="154" t="s">
        <v>33</v>
      </c>
      <c r="D11" s="157" t="s">
        <v>56</v>
      </c>
      <c r="E11" s="15" t="s">
        <v>53</v>
      </c>
      <c r="F11" s="15" t="s">
        <v>54</v>
      </c>
      <c r="G11" s="15" t="s">
        <v>55</v>
      </c>
      <c r="H11" s="15">
        <v>3</v>
      </c>
      <c r="I11" s="16" t="s">
        <v>49</v>
      </c>
      <c r="J11" s="5"/>
      <c r="K11" s="24"/>
      <c r="L11" s="23"/>
      <c r="M11" s="24"/>
      <c r="N11" s="23"/>
      <c r="O11" s="5"/>
      <c r="P11" s="5"/>
      <c r="Q11" s="23"/>
      <c r="R11" s="24"/>
      <c r="S11" s="5"/>
      <c r="T11" s="5"/>
      <c r="U11" s="5"/>
      <c r="V11" s="6">
        <f>'Budget Estimates'!C31</f>
        <v>23972945</v>
      </c>
      <c r="W11" s="5"/>
      <c r="X11" s="5"/>
      <c r="Y11" s="5"/>
      <c r="Z11" s="5"/>
      <c r="AA11" s="5"/>
    </row>
    <row r="12" spans="2:28" ht="48.65" customHeight="1" x14ac:dyDescent="0.3">
      <c r="B12" s="10"/>
      <c r="C12" s="155"/>
      <c r="D12" s="158"/>
      <c r="E12" s="15" t="s">
        <v>138</v>
      </c>
      <c r="F12" s="15" t="s">
        <v>68</v>
      </c>
      <c r="G12" s="15" t="s">
        <v>70</v>
      </c>
      <c r="H12" s="15">
        <v>6</v>
      </c>
      <c r="I12" s="16" t="s">
        <v>49</v>
      </c>
      <c r="J12" s="5"/>
      <c r="K12" s="23"/>
      <c r="L12" s="23"/>
      <c r="M12" s="5"/>
      <c r="N12" s="23"/>
      <c r="O12" s="23"/>
      <c r="P12" s="5"/>
      <c r="Q12" s="5"/>
      <c r="R12" s="23"/>
      <c r="S12" s="5"/>
      <c r="T12" s="23"/>
      <c r="U12" s="5"/>
      <c r="V12" s="6">
        <f>'Budget Estimates'!B67</f>
        <v>15833740</v>
      </c>
      <c r="W12" s="5"/>
      <c r="X12" s="5"/>
      <c r="Y12" s="5"/>
      <c r="Z12" s="5"/>
      <c r="AA12" s="5"/>
    </row>
    <row r="13" spans="2:28" ht="48.65" customHeight="1" x14ac:dyDescent="0.3">
      <c r="B13" s="10"/>
      <c r="C13" s="155"/>
      <c r="D13" s="158"/>
      <c r="E13" s="15" t="s">
        <v>58</v>
      </c>
      <c r="F13" s="15" t="s">
        <v>73</v>
      </c>
      <c r="G13" s="15" t="s">
        <v>81</v>
      </c>
      <c r="H13" s="18">
        <v>1</v>
      </c>
      <c r="I13" s="18" t="s">
        <v>50</v>
      </c>
      <c r="J13" s="5"/>
      <c r="K13" s="5"/>
      <c r="L13" s="5"/>
      <c r="M13" s="5"/>
      <c r="N13" s="24"/>
      <c r="O13" s="5"/>
      <c r="P13" s="5"/>
      <c r="Q13" s="5"/>
      <c r="R13" s="5"/>
      <c r="S13" s="5"/>
      <c r="T13" s="23"/>
      <c r="U13" s="5"/>
      <c r="V13" s="6">
        <f>'Budget Estimates'!B73</f>
        <v>2726000</v>
      </c>
      <c r="W13" s="5"/>
      <c r="X13" s="5"/>
      <c r="Y13" s="5"/>
      <c r="Z13" s="5"/>
      <c r="AA13" s="5"/>
    </row>
    <row r="14" spans="2:28" ht="48.65" customHeight="1" x14ac:dyDescent="0.3">
      <c r="B14" s="10"/>
      <c r="C14" s="155"/>
      <c r="D14" s="158"/>
      <c r="E14" s="15" t="s">
        <v>71</v>
      </c>
      <c r="F14" s="15" t="s">
        <v>72</v>
      </c>
      <c r="G14" s="15" t="s">
        <v>61</v>
      </c>
      <c r="H14" s="18">
        <v>2</v>
      </c>
      <c r="I14" s="15" t="s">
        <v>52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23"/>
      <c r="V14" s="42">
        <f>'Budget Estimates'!D86</f>
        <v>2380000</v>
      </c>
      <c r="W14" s="5"/>
      <c r="X14" s="5"/>
      <c r="Y14" s="5"/>
      <c r="Z14" s="5"/>
      <c r="AA14" s="5"/>
    </row>
    <row r="15" spans="2:28" ht="48.65" customHeight="1" x14ac:dyDescent="0.3">
      <c r="B15" s="10"/>
      <c r="C15" s="155"/>
      <c r="D15" s="158"/>
      <c r="E15" s="26" t="s">
        <v>51</v>
      </c>
      <c r="F15" s="26" t="s">
        <v>42</v>
      </c>
      <c r="G15" s="26" t="s">
        <v>74</v>
      </c>
      <c r="H15" s="27">
        <v>2</v>
      </c>
      <c r="I15" s="26" t="s">
        <v>75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6"/>
      <c r="W15" s="5"/>
      <c r="X15" s="5"/>
      <c r="Y15" s="5"/>
      <c r="Z15" s="5"/>
      <c r="AA15" s="5"/>
    </row>
    <row r="16" spans="2:28" ht="48.65" customHeight="1" x14ac:dyDescent="0.3">
      <c r="B16" s="10"/>
      <c r="C16" s="155"/>
      <c r="D16" s="158"/>
      <c r="E16" s="26" t="s">
        <v>76</v>
      </c>
      <c r="F16" s="26" t="s">
        <v>77</v>
      </c>
      <c r="G16" s="28" t="s">
        <v>64</v>
      </c>
      <c r="H16" s="26">
        <v>3</v>
      </c>
      <c r="I16" s="28" t="s">
        <v>65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6"/>
      <c r="W16" s="5"/>
      <c r="X16" s="5"/>
      <c r="Y16" s="5"/>
      <c r="Z16" s="5"/>
      <c r="AA16" s="5"/>
    </row>
    <row r="17" spans="2:27" ht="48.65" customHeight="1" x14ac:dyDescent="0.3">
      <c r="B17" s="10"/>
      <c r="C17" s="155"/>
      <c r="D17" s="158"/>
      <c r="E17" s="26" t="s">
        <v>78</v>
      </c>
      <c r="F17" s="26" t="s">
        <v>79</v>
      </c>
      <c r="G17" s="28" t="s">
        <v>82</v>
      </c>
      <c r="H17" s="26">
        <v>1</v>
      </c>
      <c r="I17" s="28" t="s">
        <v>67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6"/>
      <c r="W17" s="5"/>
      <c r="X17" s="5"/>
      <c r="Y17" s="5"/>
      <c r="Z17" s="5"/>
      <c r="AA17" s="5"/>
    </row>
    <row r="18" spans="2:27" ht="36.65" customHeight="1" x14ac:dyDescent="0.3">
      <c r="B18" s="10"/>
      <c r="C18" s="155"/>
      <c r="D18" s="157" t="s">
        <v>57</v>
      </c>
      <c r="E18" s="15" t="s">
        <v>227</v>
      </c>
      <c r="F18" s="15" t="s">
        <v>60</v>
      </c>
      <c r="G18" s="15" t="s">
        <v>80</v>
      </c>
      <c r="H18" s="18">
        <v>2</v>
      </c>
      <c r="I18" s="15" t="s">
        <v>52</v>
      </c>
      <c r="J18" s="5"/>
      <c r="K18" s="5"/>
      <c r="L18" s="23"/>
      <c r="M18" s="23"/>
      <c r="N18" s="23"/>
      <c r="O18" s="5"/>
      <c r="P18" s="5"/>
      <c r="Q18" s="5"/>
      <c r="R18" s="5"/>
      <c r="S18" s="5"/>
      <c r="T18" s="5"/>
      <c r="U18" s="5"/>
      <c r="V18" s="6">
        <f>'Budget Estimates'!L9</f>
        <v>2380000</v>
      </c>
      <c r="W18" s="5"/>
      <c r="X18" s="5"/>
      <c r="Y18" s="5"/>
      <c r="Z18" s="5"/>
      <c r="AA18" s="5"/>
    </row>
    <row r="19" spans="2:27" ht="35.4" customHeight="1" x14ac:dyDescent="0.3">
      <c r="B19" s="10"/>
      <c r="C19" s="155"/>
      <c r="D19" s="158"/>
      <c r="E19" s="15" t="s">
        <v>58</v>
      </c>
      <c r="F19" s="15" t="s">
        <v>59</v>
      </c>
      <c r="G19" s="15" t="s">
        <v>81</v>
      </c>
      <c r="H19" s="18">
        <v>1</v>
      </c>
      <c r="I19" s="18" t="s">
        <v>50</v>
      </c>
      <c r="J19" s="5"/>
      <c r="K19" s="5"/>
      <c r="L19" s="5"/>
      <c r="M19" s="5"/>
      <c r="N19" s="5"/>
      <c r="O19" s="23"/>
      <c r="P19" s="23"/>
      <c r="Q19" s="5"/>
      <c r="R19" s="5"/>
      <c r="S19" s="5"/>
      <c r="T19" s="5"/>
      <c r="U19" s="5"/>
      <c r="V19" s="42">
        <f>'Budget Estimates'!L27</f>
        <v>1876000</v>
      </c>
      <c r="W19" s="5"/>
      <c r="X19" s="5"/>
      <c r="Y19" s="5"/>
      <c r="Z19" s="5"/>
      <c r="AA19" s="5"/>
    </row>
    <row r="20" spans="2:27" ht="31.25" customHeight="1" x14ac:dyDescent="0.3">
      <c r="B20" s="10"/>
      <c r="C20" s="155"/>
      <c r="D20" s="158"/>
      <c r="E20" s="16" t="s">
        <v>62</v>
      </c>
      <c r="F20" s="16" t="s">
        <v>63</v>
      </c>
      <c r="G20" s="16" t="s">
        <v>64</v>
      </c>
      <c r="H20" s="16">
        <v>3</v>
      </c>
      <c r="I20" s="16" t="s">
        <v>65</v>
      </c>
      <c r="J20" s="5"/>
      <c r="K20" s="5"/>
      <c r="L20" s="5"/>
      <c r="M20" s="5"/>
      <c r="N20" s="5"/>
      <c r="O20" s="5"/>
      <c r="P20" s="5"/>
      <c r="Q20" s="23"/>
      <c r="R20" s="5"/>
      <c r="S20" s="5"/>
      <c r="T20" s="5"/>
      <c r="U20" s="5"/>
      <c r="V20" s="42">
        <f>'Budget Estimates'!J32</f>
        <v>250000</v>
      </c>
      <c r="W20" s="5"/>
      <c r="X20" s="5"/>
      <c r="Y20" s="5"/>
      <c r="Z20" s="5"/>
      <c r="AA20" s="5"/>
    </row>
    <row r="21" spans="2:27" ht="31.25" customHeight="1" x14ac:dyDescent="0.3">
      <c r="B21" s="10"/>
      <c r="C21" s="155"/>
      <c r="D21" s="158"/>
      <c r="E21" s="16" t="s">
        <v>66</v>
      </c>
      <c r="F21" s="16" t="s">
        <v>133</v>
      </c>
      <c r="G21" s="16" t="s">
        <v>155</v>
      </c>
      <c r="H21" s="16">
        <v>1</v>
      </c>
      <c r="I21" s="16" t="s">
        <v>67</v>
      </c>
      <c r="J21" s="5"/>
      <c r="K21" s="5"/>
      <c r="L21" s="5"/>
      <c r="M21" s="5"/>
      <c r="N21" s="5"/>
      <c r="O21" s="5"/>
      <c r="P21" s="5"/>
      <c r="Q21" s="5"/>
      <c r="R21" s="23"/>
      <c r="S21" s="23"/>
      <c r="T21" s="5"/>
      <c r="U21" s="5"/>
      <c r="V21" s="39">
        <f>'Budget Estimates'!L41</f>
        <v>1160000</v>
      </c>
      <c r="W21" s="5"/>
      <c r="X21" s="5"/>
      <c r="Y21" s="5"/>
      <c r="Z21" s="5"/>
      <c r="AA21" s="5"/>
    </row>
    <row r="22" spans="2:27" ht="54" customHeight="1" x14ac:dyDescent="0.3">
      <c r="B22" s="10"/>
      <c r="C22" s="155"/>
      <c r="D22" s="157" t="s">
        <v>83</v>
      </c>
      <c r="E22" s="16" t="s">
        <v>88</v>
      </c>
      <c r="F22" s="16" t="s">
        <v>86</v>
      </c>
      <c r="G22" s="16" t="s">
        <v>87</v>
      </c>
      <c r="H22" s="16">
        <v>2</v>
      </c>
      <c r="I22" s="15" t="s">
        <v>52</v>
      </c>
      <c r="J22" s="5"/>
      <c r="K22" s="5"/>
      <c r="L22" s="5"/>
      <c r="M22" s="5"/>
      <c r="N22" s="5"/>
      <c r="O22" s="5"/>
      <c r="P22" s="5"/>
      <c r="Q22" s="23"/>
      <c r="R22" s="5"/>
      <c r="S22" s="5"/>
      <c r="T22" s="5"/>
      <c r="U22" s="5"/>
      <c r="V22" s="6">
        <f>'Budget Estimates'!L49</f>
        <v>2380000</v>
      </c>
      <c r="W22" s="5"/>
      <c r="X22" s="5"/>
      <c r="Y22" s="5"/>
      <c r="Z22" s="5"/>
      <c r="AA22" s="5"/>
    </row>
    <row r="23" spans="2:27" ht="54" customHeight="1" x14ac:dyDescent="0.3">
      <c r="B23" s="10"/>
      <c r="C23" s="155"/>
      <c r="D23" s="158"/>
      <c r="E23" s="15" t="s">
        <v>84</v>
      </c>
      <c r="F23" s="16" t="s">
        <v>85</v>
      </c>
      <c r="G23" s="31" t="s">
        <v>81</v>
      </c>
      <c r="H23" s="16">
        <v>1</v>
      </c>
      <c r="I23" s="16" t="s">
        <v>50</v>
      </c>
      <c r="J23" s="5"/>
      <c r="K23" s="5"/>
      <c r="L23" s="5"/>
      <c r="M23" s="5"/>
      <c r="N23" s="5"/>
      <c r="O23" s="5"/>
      <c r="P23" s="5"/>
      <c r="Q23" s="5"/>
      <c r="R23" s="23"/>
      <c r="S23" s="5"/>
      <c r="T23" s="5"/>
      <c r="U23" s="5"/>
      <c r="V23" s="6">
        <f>'Budget Estimates'!J61</f>
        <v>2726000</v>
      </c>
      <c r="W23" s="5"/>
      <c r="X23" s="5"/>
      <c r="Y23" s="5"/>
      <c r="Z23" s="5"/>
      <c r="AA23" s="5"/>
    </row>
    <row r="24" spans="2:27" ht="51.65" customHeight="1" x14ac:dyDescent="0.3">
      <c r="B24" s="10"/>
      <c r="C24" s="155"/>
      <c r="D24" s="158"/>
      <c r="E24" s="16" t="s">
        <v>110</v>
      </c>
      <c r="F24" s="16" t="s">
        <v>111</v>
      </c>
      <c r="G24" s="16" t="s">
        <v>64</v>
      </c>
      <c r="H24" s="16">
        <v>3</v>
      </c>
      <c r="I24" s="16" t="s">
        <v>65</v>
      </c>
      <c r="J24" s="5"/>
      <c r="K24" s="5"/>
      <c r="L24" s="5"/>
      <c r="M24" s="5"/>
      <c r="N24" s="5"/>
      <c r="O24" s="5"/>
      <c r="P24" s="5"/>
      <c r="Q24" s="5"/>
      <c r="R24" s="23"/>
      <c r="S24" s="23"/>
      <c r="T24" s="5"/>
      <c r="U24" s="5"/>
      <c r="V24" s="6">
        <f>'Budget Estimates'!J73</f>
        <v>250000</v>
      </c>
      <c r="W24" s="5"/>
      <c r="X24" s="5"/>
      <c r="Y24" s="5"/>
      <c r="Z24" s="5"/>
      <c r="AA24" s="5"/>
    </row>
    <row r="25" spans="2:27" ht="51.65" customHeight="1" x14ac:dyDescent="0.3">
      <c r="B25" s="10"/>
      <c r="C25" s="155"/>
      <c r="D25" s="169" t="s">
        <v>148</v>
      </c>
      <c r="E25" s="16" t="s">
        <v>149</v>
      </c>
      <c r="F25" s="16" t="s">
        <v>152</v>
      </c>
      <c r="G25" s="16" t="s">
        <v>156</v>
      </c>
      <c r="H25" s="16">
        <v>1</v>
      </c>
      <c r="I25" s="25" t="s">
        <v>91</v>
      </c>
      <c r="J25" s="5"/>
      <c r="K25" s="5"/>
      <c r="L25" s="5"/>
      <c r="M25" s="5"/>
      <c r="N25" s="5"/>
      <c r="O25" s="5"/>
      <c r="P25" s="5"/>
      <c r="Q25" s="5"/>
      <c r="R25" s="23"/>
      <c r="S25" s="23"/>
      <c r="T25" s="5"/>
      <c r="U25" s="5"/>
      <c r="V25" s="6">
        <f>'Budget Estimates'!L77</f>
        <v>2400000</v>
      </c>
      <c r="W25" s="5"/>
      <c r="X25" s="5"/>
      <c r="Y25" s="5"/>
      <c r="Z25" s="5"/>
      <c r="AA25" s="5"/>
    </row>
    <row r="26" spans="2:27" ht="51.65" customHeight="1" x14ac:dyDescent="0.3">
      <c r="B26" s="10"/>
      <c r="C26" s="155"/>
      <c r="D26" s="169"/>
      <c r="E26" s="16" t="s">
        <v>153</v>
      </c>
      <c r="F26" s="16" t="s">
        <v>154</v>
      </c>
      <c r="G26" s="16" t="s">
        <v>157</v>
      </c>
      <c r="H26" s="16">
        <v>196</v>
      </c>
      <c r="I26" s="25" t="s">
        <v>91</v>
      </c>
      <c r="J26" s="5"/>
      <c r="K26" s="5"/>
      <c r="L26" s="5"/>
      <c r="M26" s="5"/>
      <c r="N26" s="5"/>
      <c r="O26" s="5"/>
      <c r="P26" s="5"/>
      <c r="Q26" s="5"/>
      <c r="R26" s="23"/>
      <c r="S26" s="23"/>
      <c r="T26" s="5"/>
      <c r="U26" s="5"/>
      <c r="V26" s="6">
        <f>'Budget Estimates'!L88</f>
        <v>4085000</v>
      </c>
      <c r="W26" s="5"/>
      <c r="X26" s="5"/>
      <c r="Y26" s="5"/>
      <c r="Z26" s="5"/>
      <c r="AA26" s="5"/>
    </row>
    <row r="27" spans="2:27" ht="51.65" customHeight="1" x14ac:dyDescent="0.3">
      <c r="B27" s="10"/>
      <c r="C27" s="155"/>
      <c r="D27" s="169"/>
      <c r="E27" s="16" t="s">
        <v>150</v>
      </c>
      <c r="F27" s="16" t="s">
        <v>158</v>
      </c>
      <c r="G27" s="16" t="s">
        <v>161</v>
      </c>
      <c r="H27" s="16">
        <v>4</v>
      </c>
      <c r="I27" s="25" t="s">
        <v>91</v>
      </c>
      <c r="J27" s="5"/>
      <c r="K27" s="5"/>
      <c r="L27" s="5"/>
      <c r="M27" s="5"/>
      <c r="N27" s="5"/>
      <c r="O27" s="5"/>
      <c r="P27" s="5"/>
      <c r="Q27" s="5"/>
      <c r="R27" s="23"/>
      <c r="S27" s="23"/>
      <c r="T27" s="5"/>
      <c r="U27" s="5"/>
      <c r="V27" s="6">
        <f>'Budget Estimates'!L79</f>
        <v>1400000</v>
      </c>
      <c r="W27" s="5"/>
      <c r="X27" s="5"/>
      <c r="Y27" s="5"/>
      <c r="Z27" s="5"/>
      <c r="AA27" s="5"/>
    </row>
    <row r="28" spans="2:27" ht="51.65" customHeight="1" x14ac:dyDescent="0.3">
      <c r="B28" s="10"/>
      <c r="C28" s="155"/>
      <c r="D28" s="169"/>
      <c r="E28" s="16" t="s">
        <v>151</v>
      </c>
      <c r="F28" s="16" t="s">
        <v>159</v>
      </c>
      <c r="G28" s="16" t="s">
        <v>160</v>
      </c>
      <c r="H28" s="16"/>
      <c r="I28" s="25" t="s">
        <v>91</v>
      </c>
      <c r="J28" s="5"/>
      <c r="K28" s="5"/>
      <c r="L28" s="5"/>
      <c r="M28" s="5"/>
      <c r="N28" s="5"/>
      <c r="O28" s="5"/>
      <c r="P28" s="5"/>
      <c r="Q28" s="5"/>
      <c r="R28" s="23"/>
      <c r="S28" s="23"/>
      <c r="T28" s="5"/>
      <c r="U28" s="5"/>
      <c r="V28" s="6">
        <f>'Budget Estimates'!L80</f>
        <v>900000</v>
      </c>
      <c r="W28" s="5"/>
      <c r="X28" s="5"/>
      <c r="Y28" s="5"/>
      <c r="Z28" s="5"/>
      <c r="AA28" s="5"/>
    </row>
    <row r="29" spans="2:27" ht="38.4" customHeight="1" x14ac:dyDescent="0.3">
      <c r="B29" s="10"/>
      <c r="C29" s="155"/>
      <c r="D29" s="170" t="s">
        <v>130</v>
      </c>
      <c r="E29" s="25" t="s">
        <v>134</v>
      </c>
      <c r="F29" s="16" t="s">
        <v>135</v>
      </c>
      <c r="G29" s="16" t="s">
        <v>136</v>
      </c>
      <c r="H29" s="16">
        <v>20</v>
      </c>
      <c r="I29" s="16" t="s">
        <v>137</v>
      </c>
      <c r="J29" s="5"/>
      <c r="K29" s="5"/>
      <c r="L29" s="5"/>
      <c r="M29" s="5"/>
      <c r="N29" s="5"/>
      <c r="O29" s="5"/>
      <c r="P29" s="5"/>
      <c r="Q29" s="5"/>
      <c r="R29" s="5"/>
      <c r="S29" s="23"/>
      <c r="T29" s="23"/>
      <c r="U29" s="23"/>
      <c r="V29" s="6">
        <f>'Budget Estimates'!L94</f>
        <v>1070200</v>
      </c>
      <c r="W29" s="5"/>
      <c r="X29" s="5"/>
      <c r="Y29" s="5"/>
      <c r="Z29" s="5"/>
      <c r="AA29" s="5"/>
    </row>
    <row r="30" spans="2:27" ht="31.25" customHeight="1" x14ac:dyDescent="0.3">
      <c r="B30" s="10"/>
      <c r="C30" s="155"/>
      <c r="D30" s="171"/>
      <c r="E30" s="22" t="s">
        <v>131</v>
      </c>
      <c r="F30" s="28" t="s">
        <v>132</v>
      </c>
      <c r="G30" s="16"/>
      <c r="H30" s="13"/>
      <c r="I30" s="13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6"/>
      <c r="W30" s="5"/>
      <c r="X30" s="5"/>
      <c r="Y30" s="5"/>
      <c r="Z30" s="5"/>
      <c r="AA30" s="5"/>
    </row>
    <row r="31" spans="2:27" ht="23.4" customHeight="1" x14ac:dyDescent="0.3">
      <c r="B31" s="10"/>
      <c r="C31" s="155"/>
      <c r="D31" s="167" t="s">
        <v>41</v>
      </c>
      <c r="E31" s="28" t="s">
        <v>39</v>
      </c>
      <c r="F31" s="28" t="s">
        <v>115</v>
      </c>
      <c r="G31" s="28" t="s">
        <v>116</v>
      </c>
      <c r="H31" s="28">
        <v>2</v>
      </c>
      <c r="I31" s="28" t="s">
        <v>91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6"/>
      <c r="W31" s="5"/>
      <c r="X31" s="5"/>
      <c r="Y31" s="5"/>
      <c r="Z31" s="5"/>
      <c r="AA31" s="5"/>
    </row>
    <row r="32" spans="2:27" ht="28.75" customHeight="1" x14ac:dyDescent="0.3">
      <c r="B32" s="10"/>
      <c r="C32" s="156"/>
      <c r="D32" s="168"/>
      <c r="E32" s="16" t="s">
        <v>121</v>
      </c>
      <c r="F32" s="16" t="s">
        <v>122</v>
      </c>
      <c r="G32" s="16" t="s">
        <v>123</v>
      </c>
      <c r="H32" s="16">
        <v>18</v>
      </c>
      <c r="I32" s="16" t="s">
        <v>91</v>
      </c>
      <c r="J32" s="5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6">
        <f>'Budget Estimates'!L234</f>
        <v>158546020</v>
      </c>
      <c r="W32" s="5"/>
      <c r="X32" s="5"/>
      <c r="Y32" s="5"/>
      <c r="Z32" s="5"/>
      <c r="AA32" s="5"/>
    </row>
    <row r="33" spans="2:27" ht="23.4" customHeight="1" x14ac:dyDescent="0.3">
      <c r="B33" s="10"/>
      <c r="C33" s="11"/>
      <c r="D33" s="168"/>
      <c r="E33" s="16" t="s">
        <v>35</v>
      </c>
      <c r="F33" s="16" t="s">
        <v>117</v>
      </c>
      <c r="G33" s="20" t="s">
        <v>118</v>
      </c>
      <c r="H33" s="16">
        <v>6</v>
      </c>
      <c r="I33" s="16" t="s">
        <v>91</v>
      </c>
      <c r="J33" s="5"/>
      <c r="K33" s="23"/>
      <c r="L33" s="23"/>
      <c r="M33" s="23"/>
      <c r="N33" s="5"/>
      <c r="O33" s="5"/>
      <c r="P33" s="5"/>
      <c r="Q33" s="5"/>
      <c r="R33" s="5"/>
      <c r="S33" s="5"/>
      <c r="T33" s="5"/>
      <c r="U33" s="5"/>
      <c r="V33" s="6">
        <f>'Budget Estimates'!L110</f>
        <v>2218898</v>
      </c>
      <c r="W33" s="5"/>
      <c r="X33" s="5"/>
      <c r="Y33" s="5"/>
      <c r="Z33" s="5"/>
      <c r="AA33" s="5"/>
    </row>
    <row r="34" spans="2:27" ht="27.65" customHeight="1" x14ac:dyDescent="0.3">
      <c r="B34" s="10"/>
      <c r="C34" s="11"/>
      <c r="D34" s="168"/>
      <c r="E34" s="16" t="s">
        <v>47</v>
      </c>
      <c r="F34" s="16" t="s">
        <v>89</v>
      </c>
      <c r="G34" s="16" t="s">
        <v>90</v>
      </c>
      <c r="H34" s="19">
        <v>6</v>
      </c>
      <c r="I34" s="16" t="s">
        <v>91</v>
      </c>
      <c r="J34" s="23"/>
      <c r="K34" s="23"/>
      <c r="L34" s="23"/>
      <c r="M34" s="23"/>
      <c r="N34" s="5"/>
      <c r="O34" s="5"/>
      <c r="P34" s="5"/>
      <c r="Q34" s="5"/>
      <c r="R34" s="5"/>
      <c r="S34" s="5"/>
      <c r="T34" s="5"/>
      <c r="U34" s="5"/>
      <c r="V34" s="6">
        <f>'Budget Estimates'!L115</f>
        <v>19200000</v>
      </c>
      <c r="W34" s="5"/>
      <c r="X34" s="5"/>
      <c r="Y34" s="5"/>
      <c r="Z34" s="5"/>
      <c r="AA34" s="5"/>
    </row>
    <row r="35" spans="2:27" ht="23.4" customHeight="1" x14ac:dyDescent="0.3">
      <c r="B35" s="10"/>
      <c r="C35" s="11"/>
      <c r="D35" s="168"/>
      <c r="E35" s="16" t="s">
        <v>36</v>
      </c>
      <c r="F35" s="16" t="s">
        <v>92</v>
      </c>
      <c r="G35" s="16" t="s">
        <v>93</v>
      </c>
      <c r="H35" s="19">
        <v>8</v>
      </c>
      <c r="I35" s="16" t="s">
        <v>94</v>
      </c>
      <c r="J35" s="5"/>
      <c r="K35" s="23"/>
      <c r="L35" s="23"/>
      <c r="M35" s="23"/>
      <c r="N35" s="5"/>
      <c r="O35" s="5"/>
      <c r="P35" s="5"/>
      <c r="Q35" s="5"/>
      <c r="R35" s="5"/>
      <c r="S35" s="5"/>
      <c r="T35" s="5"/>
      <c r="U35" s="5"/>
      <c r="V35" s="6">
        <f>'Budget Estimates'!M185</f>
        <v>2674597</v>
      </c>
      <c r="W35" s="5"/>
      <c r="X35" s="5"/>
      <c r="Y35" s="5"/>
      <c r="Z35" s="5"/>
      <c r="AA35" s="5"/>
    </row>
    <row r="36" spans="2:27" ht="23.4" customHeight="1" x14ac:dyDescent="0.3">
      <c r="B36" s="10"/>
      <c r="C36" s="11"/>
      <c r="D36" s="168"/>
      <c r="E36" s="16" t="s">
        <v>212</v>
      </c>
      <c r="F36" s="16" t="s">
        <v>95</v>
      </c>
      <c r="G36" s="16" t="s">
        <v>96</v>
      </c>
      <c r="H36" s="19">
        <v>20</v>
      </c>
      <c r="I36" s="16" t="s">
        <v>97</v>
      </c>
      <c r="J36" s="5"/>
      <c r="K36" s="23"/>
      <c r="L36" s="23"/>
      <c r="M36" s="23"/>
      <c r="N36" s="5"/>
      <c r="O36" s="5"/>
      <c r="P36" s="5"/>
      <c r="Q36" s="5"/>
      <c r="R36" s="5"/>
      <c r="S36" s="5"/>
      <c r="T36" s="5"/>
      <c r="U36" s="5"/>
      <c r="V36" s="40">
        <f>'Budget Estimates'!L239</f>
        <v>420000</v>
      </c>
      <c r="W36" s="5"/>
      <c r="X36" s="5"/>
      <c r="Y36" s="5"/>
      <c r="Z36" s="5"/>
      <c r="AA36" s="5"/>
    </row>
    <row r="37" spans="2:27" ht="24" customHeight="1" x14ac:dyDescent="0.3">
      <c r="B37" s="10"/>
      <c r="C37" s="11"/>
      <c r="D37" s="168"/>
      <c r="E37" s="17" t="s">
        <v>43</v>
      </c>
      <c r="F37" s="16" t="s">
        <v>303</v>
      </c>
      <c r="G37" s="16" t="s">
        <v>98</v>
      </c>
      <c r="H37" s="19">
        <v>8</v>
      </c>
      <c r="I37" s="16" t="s">
        <v>94</v>
      </c>
      <c r="J37" s="5"/>
      <c r="K37" s="5"/>
      <c r="L37" s="5"/>
      <c r="M37" s="5"/>
      <c r="N37" s="5"/>
      <c r="O37" s="5"/>
      <c r="P37" s="23"/>
      <c r="Q37" s="23"/>
      <c r="R37" s="23"/>
      <c r="S37" s="5"/>
      <c r="T37" s="5"/>
      <c r="U37" s="5"/>
      <c r="V37" s="6">
        <f>'Budget Estimates'!M187</f>
        <v>13500000</v>
      </c>
      <c r="W37" s="5"/>
      <c r="X37" s="5"/>
      <c r="Y37" s="5"/>
      <c r="Z37" s="5"/>
      <c r="AA37" s="5"/>
    </row>
    <row r="38" spans="2:27" ht="23.4" customHeight="1" x14ac:dyDescent="0.3">
      <c r="B38" s="10"/>
      <c r="C38" s="11"/>
      <c r="D38" s="152" t="s">
        <v>37</v>
      </c>
      <c r="E38" s="16" t="s">
        <v>38</v>
      </c>
      <c r="F38" s="16" t="s">
        <v>99</v>
      </c>
      <c r="G38" s="16" t="s">
        <v>100</v>
      </c>
      <c r="H38" s="19">
        <v>5</v>
      </c>
      <c r="I38" s="16" t="s">
        <v>101</v>
      </c>
      <c r="J38" s="5"/>
      <c r="K38" s="5"/>
      <c r="L38" s="5"/>
      <c r="M38" s="5"/>
      <c r="N38" s="5"/>
      <c r="O38" s="5"/>
      <c r="P38" s="5"/>
      <c r="Q38" s="5"/>
      <c r="R38" s="5"/>
      <c r="S38" s="23"/>
      <c r="T38" s="23"/>
      <c r="U38" s="23"/>
      <c r="V38" s="6">
        <f>'Budget Estimates'!L237</f>
        <v>6000000</v>
      </c>
      <c r="W38" s="5"/>
      <c r="X38" s="5"/>
      <c r="Y38" s="5"/>
      <c r="Z38" s="5"/>
      <c r="AA38" s="5"/>
    </row>
    <row r="39" spans="2:27" ht="23.4" customHeight="1" x14ac:dyDescent="0.3">
      <c r="B39" s="10"/>
      <c r="C39" s="11"/>
      <c r="D39" s="153"/>
      <c r="E39" s="16" t="s">
        <v>40</v>
      </c>
      <c r="F39" s="16" t="s">
        <v>102</v>
      </c>
      <c r="G39" s="16" t="s">
        <v>100</v>
      </c>
      <c r="H39" s="19">
        <v>1</v>
      </c>
      <c r="I39" s="16" t="s">
        <v>101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23"/>
      <c r="V39" s="136">
        <f>'Budget Estimates'!L238</f>
        <v>2500000</v>
      </c>
      <c r="W39" s="5"/>
      <c r="X39" s="5"/>
      <c r="Y39" s="5"/>
      <c r="Z39" s="5"/>
      <c r="AA39" s="5"/>
    </row>
    <row r="40" spans="2:27" ht="36.65" customHeight="1" x14ac:dyDescent="0.3">
      <c r="B40" s="10">
        <v>6</v>
      </c>
      <c r="C40" s="164" t="s">
        <v>34</v>
      </c>
      <c r="D40" s="159" t="s">
        <v>119</v>
      </c>
      <c r="E40" s="21" t="s">
        <v>124</v>
      </c>
      <c r="F40" s="21" t="s">
        <v>48</v>
      </c>
      <c r="G40" s="21" t="s">
        <v>69</v>
      </c>
      <c r="H40" s="15">
        <v>3</v>
      </c>
      <c r="I40" s="16" t="s">
        <v>49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6">
        <f>'Budget Estimates'!V20</f>
        <v>2480000</v>
      </c>
      <c r="W40" s="5"/>
      <c r="X40" s="5"/>
      <c r="Y40" s="5"/>
      <c r="Z40" s="5"/>
      <c r="AA40" s="6"/>
    </row>
    <row r="41" spans="2:27" ht="36.65" customHeight="1" x14ac:dyDescent="0.3">
      <c r="B41" s="10"/>
      <c r="C41" s="165"/>
      <c r="D41" s="160"/>
      <c r="E41" s="16" t="s">
        <v>103</v>
      </c>
      <c r="F41" s="16" t="s">
        <v>112</v>
      </c>
      <c r="G41" s="16" t="s">
        <v>108</v>
      </c>
      <c r="H41" s="19">
        <v>2</v>
      </c>
      <c r="I41" s="16" t="s">
        <v>104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6">
        <f>'Budget Estimates'!V41</f>
        <v>11463200</v>
      </c>
      <c r="W41" s="5"/>
      <c r="X41" s="5"/>
      <c r="Y41" s="5"/>
      <c r="Z41" s="5"/>
      <c r="AA41" s="6"/>
    </row>
    <row r="42" spans="2:27" ht="30.65" customHeight="1" x14ac:dyDescent="0.3">
      <c r="B42" s="10"/>
      <c r="C42" s="165"/>
      <c r="D42" s="161"/>
      <c r="E42" s="16" t="s">
        <v>44</v>
      </c>
      <c r="F42" s="16" t="s">
        <v>113</v>
      </c>
      <c r="G42" s="16" t="s">
        <v>109</v>
      </c>
      <c r="H42" s="19">
        <v>3</v>
      </c>
      <c r="I42" s="16" t="s">
        <v>380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6">
        <f>'Budget Estimates'!V59</f>
        <v>11600000</v>
      </c>
      <c r="W42" s="5"/>
      <c r="X42" s="5"/>
      <c r="Y42" s="5"/>
      <c r="Z42" s="5"/>
      <c r="AA42" s="6"/>
    </row>
    <row r="43" spans="2:27" ht="34.25" customHeight="1" x14ac:dyDescent="0.3">
      <c r="B43" s="10"/>
      <c r="C43" s="165"/>
      <c r="D43" s="161"/>
      <c r="E43" s="16" t="s">
        <v>45</v>
      </c>
      <c r="F43" s="16" t="s">
        <v>114</v>
      </c>
      <c r="G43" s="16" t="s">
        <v>105</v>
      </c>
      <c r="H43" s="19">
        <v>3</v>
      </c>
      <c r="I43" s="16" t="s">
        <v>378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6">
        <f>'Budget Estimates'!V81</f>
        <v>16397600</v>
      </c>
      <c r="W43" s="5"/>
      <c r="X43" s="5"/>
      <c r="Y43" s="5"/>
      <c r="Z43" s="5"/>
      <c r="AA43" s="6"/>
    </row>
    <row r="44" spans="2:27" ht="28.25" customHeight="1" x14ac:dyDescent="0.3">
      <c r="B44" s="10"/>
      <c r="C44" s="166"/>
      <c r="D44" s="162"/>
      <c r="E44" s="141" t="s">
        <v>46</v>
      </c>
      <c r="F44" s="19" t="s">
        <v>106</v>
      </c>
      <c r="G44" s="16" t="s">
        <v>367</v>
      </c>
      <c r="H44" s="19">
        <v>3</v>
      </c>
      <c r="I44" s="16" t="s">
        <v>107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6"/>
      <c r="W44" s="5"/>
      <c r="X44" s="5"/>
      <c r="Y44" s="5"/>
      <c r="Z44" s="5"/>
      <c r="AA44" s="6"/>
    </row>
    <row r="45" spans="2:27" ht="22.75" customHeight="1" x14ac:dyDescent="0.3">
      <c r="B45" s="10"/>
      <c r="C45" s="12"/>
      <c r="D45" s="157" t="s">
        <v>120</v>
      </c>
      <c r="E45" s="16" t="s">
        <v>375</v>
      </c>
      <c r="F45" s="16" t="s">
        <v>376</v>
      </c>
      <c r="G45" s="16" t="s">
        <v>126</v>
      </c>
      <c r="H45" s="19"/>
      <c r="I45" s="16" t="s">
        <v>127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6">
        <f>'Budget Estimates'!V122</f>
        <v>2480000</v>
      </c>
      <c r="W45" s="5"/>
      <c r="X45" s="5"/>
      <c r="Y45" s="5"/>
      <c r="Z45" s="5"/>
      <c r="AA45" s="6"/>
    </row>
    <row r="46" spans="2:27" ht="46.25" customHeight="1" x14ac:dyDescent="0.3">
      <c r="B46" s="10"/>
      <c r="C46" s="12"/>
      <c r="D46" s="158"/>
      <c r="E46" s="16" t="s">
        <v>128</v>
      </c>
      <c r="F46" s="16" t="s">
        <v>129</v>
      </c>
      <c r="G46" s="16" t="s">
        <v>125</v>
      </c>
      <c r="H46" s="19">
        <v>8</v>
      </c>
      <c r="I46" s="16" t="s">
        <v>379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6">
        <f>'Budget Estimates'!W103</f>
        <v>41537600</v>
      </c>
      <c r="W46" s="5"/>
      <c r="X46" s="5"/>
      <c r="Y46" s="5"/>
      <c r="Z46" s="5"/>
      <c r="AA46" s="6"/>
    </row>
    <row r="47" spans="2:27" ht="22.75" customHeight="1" x14ac:dyDescent="0.3">
      <c r="B47" s="10"/>
      <c r="C47" s="9"/>
      <c r="D47" s="158"/>
      <c r="E47" s="16"/>
      <c r="F47" s="16"/>
      <c r="G47" s="16"/>
      <c r="H47" s="19"/>
      <c r="I47" s="16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6"/>
      <c r="W47" s="5"/>
      <c r="X47" s="5"/>
      <c r="Y47" s="5"/>
      <c r="Z47" s="5"/>
      <c r="AA47" s="6"/>
    </row>
    <row r="48" spans="2:27" x14ac:dyDescent="0.3">
      <c r="B48" s="5"/>
      <c r="C48" s="7"/>
      <c r="D48" s="158"/>
      <c r="E48" s="16"/>
      <c r="F48" s="16"/>
      <c r="G48" s="16"/>
      <c r="H48" s="19"/>
      <c r="I48" s="16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6"/>
      <c r="W48" s="5"/>
      <c r="X48" s="5"/>
      <c r="Y48" s="5"/>
      <c r="Z48" s="5"/>
      <c r="AA48" s="6"/>
    </row>
    <row r="49" spans="2:27" x14ac:dyDescent="0.3">
      <c r="B49" s="5"/>
      <c r="C49" s="7"/>
      <c r="D49" s="163"/>
      <c r="E49" s="16"/>
      <c r="F49" s="16"/>
      <c r="G49" s="16"/>
      <c r="H49" s="19"/>
      <c r="I49" s="16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6"/>
      <c r="W49" s="5"/>
      <c r="X49" s="5"/>
      <c r="Y49" s="5"/>
      <c r="Z49" s="5"/>
      <c r="AA49" s="6">
        <f>(W49+Y49)-V49</f>
        <v>0</v>
      </c>
    </row>
    <row r="50" spans="2:27" x14ac:dyDescent="0.3">
      <c r="B50" s="5"/>
      <c r="C50" s="8" t="s">
        <v>28</v>
      </c>
      <c r="D50" s="16"/>
      <c r="E50" s="16"/>
      <c r="F50" s="16"/>
      <c r="G50" s="16"/>
      <c r="H50" s="13"/>
      <c r="I50" s="13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6">
        <f>SUM(V11:V49)</f>
        <v>356807800</v>
      </c>
      <c r="W50" s="6">
        <f>SUM(W11:W49)</f>
        <v>0</v>
      </c>
      <c r="X50" s="6"/>
      <c r="Y50" s="6">
        <f>SUM(Y11:Y49)</f>
        <v>0</v>
      </c>
      <c r="Z50" s="6"/>
      <c r="AA50" s="6">
        <f>SUM(AA11:AA49)</f>
        <v>0</v>
      </c>
    </row>
    <row r="51" spans="2:27" x14ac:dyDescent="0.3">
      <c r="D51" s="17"/>
      <c r="E51" s="17"/>
      <c r="F51" s="17"/>
      <c r="G51" s="17"/>
    </row>
  </sheetData>
  <mergeCells count="28">
    <mergeCell ref="D38:D39"/>
    <mergeCell ref="C11:C32"/>
    <mergeCell ref="D18:D21"/>
    <mergeCell ref="D40:D44"/>
    <mergeCell ref="D45:D49"/>
    <mergeCell ref="C40:C44"/>
    <mergeCell ref="D31:D37"/>
    <mergeCell ref="D25:D28"/>
    <mergeCell ref="D29:D30"/>
    <mergeCell ref="D11:D17"/>
    <mergeCell ref="D22:D24"/>
    <mergeCell ref="C5:AA5"/>
    <mergeCell ref="C6:AA6"/>
    <mergeCell ref="C8:AA8"/>
    <mergeCell ref="C7:AA7"/>
    <mergeCell ref="C4:AA4"/>
    <mergeCell ref="C9:C10"/>
    <mergeCell ref="D9:D10"/>
    <mergeCell ref="E9:E10"/>
    <mergeCell ref="F9:F10"/>
    <mergeCell ref="G9:G10"/>
    <mergeCell ref="H9:H10"/>
    <mergeCell ref="AA9:AA10"/>
    <mergeCell ref="I9:I10"/>
    <mergeCell ref="J9:U9"/>
    <mergeCell ref="V9:V10"/>
    <mergeCell ref="W9:X9"/>
    <mergeCell ref="Y9:Z9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41"/>
  <sheetViews>
    <sheetView zoomScale="121" workbookViewId="0">
      <selection activeCell="P126" sqref="P126"/>
    </sheetView>
  </sheetViews>
  <sheetFormatPr defaultColWidth="10.58203125" defaultRowHeight="15.5" x14ac:dyDescent="0.35"/>
  <cols>
    <col min="1" max="1" width="31.6640625" customWidth="1"/>
    <col min="2" max="2" width="22.33203125" customWidth="1"/>
    <col min="3" max="3" width="23.33203125" customWidth="1"/>
    <col min="4" max="4" width="19" customWidth="1"/>
    <col min="5" max="5" width="14.9140625" customWidth="1"/>
    <col min="6" max="6" width="15" bestFit="1" customWidth="1"/>
    <col min="7" max="7" width="15.83203125" customWidth="1"/>
    <col min="9" max="9" width="35.5" customWidth="1"/>
    <col min="10" max="10" width="21.1640625" customWidth="1"/>
    <col min="11" max="11" width="14.58203125" customWidth="1"/>
    <col min="12" max="12" width="17" customWidth="1"/>
    <col min="13" max="13" width="15" bestFit="1" customWidth="1"/>
    <col min="14" max="15" width="15.83203125" customWidth="1"/>
    <col min="18" max="18" width="18.33203125" customWidth="1"/>
    <col min="19" max="19" width="19" customWidth="1"/>
    <col min="22" max="22" width="14" customWidth="1"/>
    <col min="23" max="23" width="15.6640625" customWidth="1"/>
  </cols>
  <sheetData>
    <row r="1" spans="1:23" ht="18" customHeight="1" x14ac:dyDescent="0.35">
      <c r="A1" s="30" t="s">
        <v>309</v>
      </c>
      <c r="I1" s="30" t="s">
        <v>309</v>
      </c>
      <c r="Q1" s="94" t="s">
        <v>310</v>
      </c>
      <c r="R1" s="30"/>
      <c r="S1" s="30"/>
      <c r="T1" s="30"/>
      <c r="U1" s="30"/>
      <c r="V1" s="30"/>
      <c r="W1" s="30"/>
    </row>
    <row r="2" spans="1:23" ht="18" customHeight="1" x14ac:dyDescent="0.35">
      <c r="A2" s="98" t="s">
        <v>242</v>
      </c>
      <c r="I2" s="98" t="s">
        <v>241</v>
      </c>
      <c r="Q2" s="95" t="s">
        <v>311</v>
      </c>
      <c r="R2" s="30"/>
      <c r="S2" s="30"/>
      <c r="T2" s="30"/>
      <c r="U2" s="30"/>
      <c r="V2" s="30"/>
      <c r="W2" s="30"/>
    </row>
    <row r="3" spans="1:23" x14ac:dyDescent="0.35">
      <c r="A3" s="30" t="s">
        <v>162</v>
      </c>
      <c r="B3" s="58"/>
      <c r="C3" s="58"/>
      <c r="D3" s="58"/>
      <c r="E3" s="58"/>
      <c r="F3" s="58"/>
      <c r="G3" s="58"/>
      <c r="I3" s="30" t="s">
        <v>228</v>
      </c>
      <c r="J3" s="99"/>
      <c r="Q3" s="100" t="s">
        <v>369</v>
      </c>
    </row>
    <row r="4" spans="1:23" x14ac:dyDescent="0.35">
      <c r="A4" t="s">
        <v>166</v>
      </c>
      <c r="B4" s="101" t="s">
        <v>139</v>
      </c>
      <c r="C4" s="101" t="s">
        <v>140</v>
      </c>
      <c r="D4" s="101" t="s">
        <v>141</v>
      </c>
      <c r="E4" s="101" t="s">
        <v>164</v>
      </c>
      <c r="F4" s="101" t="s">
        <v>142</v>
      </c>
      <c r="G4" s="101" t="s">
        <v>22</v>
      </c>
      <c r="I4" s="30"/>
      <c r="Q4" t="s">
        <v>188</v>
      </c>
      <c r="R4" s="101" t="s">
        <v>139</v>
      </c>
      <c r="S4" s="101" t="s">
        <v>140</v>
      </c>
      <c r="T4" s="101" t="s">
        <v>141</v>
      </c>
      <c r="U4" s="101" t="s">
        <v>164</v>
      </c>
      <c r="V4" s="101" t="s">
        <v>142</v>
      </c>
      <c r="W4" s="101" t="s">
        <v>22</v>
      </c>
    </row>
    <row r="5" spans="1:23" x14ac:dyDescent="0.35">
      <c r="B5" s="102">
        <v>1</v>
      </c>
      <c r="C5" s="102" t="s">
        <v>143</v>
      </c>
      <c r="D5" s="103">
        <v>74624</v>
      </c>
      <c r="E5" s="104">
        <v>1</v>
      </c>
      <c r="F5" s="102">
        <v>7</v>
      </c>
      <c r="G5" s="103">
        <f>D5*F5*E5</f>
        <v>522368</v>
      </c>
      <c r="I5" t="s">
        <v>190</v>
      </c>
      <c r="J5" t="s">
        <v>193</v>
      </c>
      <c r="K5" t="s">
        <v>194</v>
      </c>
      <c r="L5" s="35">
        <f>10%*10000000</f>
        <v>1000000</v>
      </c>
      <c r="R5" s="102">
        <v>1</v>
      </c>
      <c r="S5" s="102" t="s">
        <v>143</v>
      </c>
      <c r="T5" s="103">
        <v>16800</v>
      </c>
      <c r="U5" s="104">
        <v>1</v>
      </c>
      <c r="V5" s="102">
        <v>7</v>
      </c>
      <c r="W5" s="103">
        <f>T5*V5*U5</f>
        <v>117600</v>
      </c>
    </row>
    <row r="6" spans="1:23" x14ac:dyDescent="0.35">
      <c r="B6" s="105">
        <v>2</v>
      </c>
      <c r="C6" s="105" t="s">
        <v>144</v>
      </c>
      <c r="D6" s="106">
        <v>56394</v>
      </c>
      <c r="E6" s="107">
        <v>1</v>
      </c>
      <c r="F6" s="102">
        <v>7</v>
      </c>
      <c r="G6" s="103">
        <f t="shared" ref="G6:G10" si="0">D6*F6*E6</f>
        <v>394758</v>
      </c>
      <c r="I6" t="s">
        <v>191</v>
      </c>
      <c r="J6" t="s">
        <v>195</v>
      </c>
      <c r="L6" s="35">
        <f xml:space="preserve"> 4.5% *10000000</f>
        <v>450000</v>
      </c>
      <c r="R6" s="105">
        <v>2</v>
      </c>
      <c r="S6" s="105" t="s">
        <v>144</v>
      </c>
      <c r="T6" s="106">
        <v>14000</v>
      </c>
      <c r="U6" s="107">
        <v>1</v>
      </c>
      <c r="V6" s="102">
        <v>7</v>
      </c>
      <c r="W6" s="103">
        <f t="shared" ref="W6:W11" si="1">T6*V6*U6</f>
        <v>98000</v>
      </c>
    </row>
    <row r="7" spans="1:23" x14ac:dyDescent="0.35">
      <c r="B7" s="105">
        <v>3</v>
      </c>
      <c r="C7" s="105" t="s">
        <v>145</v>
      </c>
      <c r="D7" s="106">
        <v>56394</v>
      </c>
      <c r="E7" s="107">
        <v>1</v>
      </c>
      <c r="F7" s="102">
        <v>7</v>
      </c>
      <c r="G7" s="103">
        <f t="shared" si="0"/>
        <v>394758</v>
      </c>
      <c r="I7" t="s">
        <v>192</v>
      </c>
      <c r="J7" t="s">
        <v>196</v>
      </c>
      <c r="L7" s="36">
        <v>450000</v>
      </c>
      <c r="R7" s="105">
        <v>3</v>
      </c>
      <c r="S7" s="105" t="s">
        <v>145</v>
      </c>
      <c r="T7" s="106">
        <v>14000</v>
      </c>
      <c r="U7" s="107">
        <v>1</v>
      </c>
      <c r="V7" s="102">
        <v>7</v>
      </c>
      <c r="W7" s="103">
        <f t="shared" si="1"/>
        <v>98000</v>
      </c>
    </row>
    <row r="8" spans="1:23" x14ac:dyDescent="0.35">
      <c r="B8" s="105">
        <v>4</v>
      </c>
      <c r="C8" s="105" t="s">
        <v>168</v>
      </c>
      <c r="D8" s="106">
        <v>47345</v>
      </c>
      <c r="E8" s="107">
        <v>2</v>
      </c>
      <c r="F8" s="102">
        <v>7</v>
      </c>
      <c r="G8" s="103">
        <f t="shared" si="0"/>
        <v>662830</v>
      </c>
      <c r="I8" s="41" t="s">
        <v>214</v>
      </c>
      <c r="L8" s="59">
        <f>L15</f>
        <v>480000</v>
      </c>
      <c r="R8" s="105">
        <v>4</v>
      </c>
      <c r="S8" s="105" t="s">
        <v>168</v>
      </c>
      <c r="T8" s="106">
        <v>11200</v>
      </c>
      <c r="U8" s="107">
        <v>4</v>
      </c>
      <c r="V8" s="102">
        <v>7</v>
      </c>
      <c r="W8" s="103">
        <f t="shared" si="1"/>
        <v>313600</v>
      </c>
    </row>
    <row r="9" spans="1:23" x14ac:dyDescent="0.35">
      <c r="B9" s="105">
        <v>5</v>
      </c>
      <c r="C9" s="105" t="s">
        <v>163</v>
      </c>
      <c r="D9" s="106">
        <v>82000</v>
      </c>
      <c r="E9" s="107">
        <v>3</v>
      </c>
      <c r="F9" s="102">
        <v>7</v>
      </c>
      <c r="G9" s="103">
        <f t="shared" si="0"/>
        <v>1722000</v>
      </c>
      <c r="I9" s="41"/>
      <c r="L9" s="59">
        <f>SUM(L5:L8)</f>
        <v>2380000</v>
      </c>
      <c r="R9" s="105">
        <v>5</v>
      </c>
      <c r="S9" s="105" t="s">
        <v>165</v>
      </c>
      <c r="T9" s="106">
        <v>18200</v>
      </c>
      <c r="U9" s="107">
        <v>4</v>
      </c>
      <c r="V9" s="102">
        <v>7</v>
      </c>
      <c r="W9" s="103">
        <f t="shared" si="1"/>
        <v>509600</v>
      </c>
    </row>
    <row r="10" spans="1:23" x14ac:dyDescent="0.35">
      <c r="B10" s="105">
        <v>6</v>
      </c>
      <c r="C10" s="105" t="s">
        <v>165</v>
      </c>
      <c r="D10" s="106">
        <v>74624</v>
      </c>
      <c r="E10" s="107">
        <v>4</v>
      </c>
      <c r="F10" s="102">
        <v>7</v>
      </c>
      <c r="G10" s="103">
        <f t="shared" si="0"/>
        <v>2089472</v>
      </c>
      <c r="I10" s="41"/>
      <c r="L10" s="59"/>
      <c r="R10" s="105">
        <v>6</v>
      </c>
      <c r="S10" s="105" t="s">
        <v>185</v>
      </c>
      <c r="T10" s="106">
        <v>14000</v>
      </c>
      <c r="U10" s="107">
        <v>3</v>
      </c>
      <c r="V10" s="102">
        <v>7</v>
      </c>
      <c r="W10" s="103">
        <f t="shared" si="1"/>
        <v>294000</v>
      </c>
    </row>
    <row r="11" spans="1:23" x14ac:dyDescent="0.35">
      <c r="B11" s="105"/>
      <c r="C11" s="105"/>
      <c r="D11" s="106"/>
      <c r="E11" s="107"/>
      <c r="F11" s="105"/>
      <c r="G11" s="106"/>
      <c r="I11" s="32" t="s">
        <v>172</v>
      </c>
      <c r="J11" s="48" t="s">
        <v>223</v>
      </c>
      <c r="K11" s="48" t="s">
        <v>164</v>
      </c>
      <c r="L11" s="32" t="s">
        <v>22</v>
      </c>
      <c r="R11" s="105">
        <v>7</v>
      </c>
      <c r="S11" s="105" t="s">
        <v>186</v>
      </c>
      <c r="T11" s="106">
        <v>11200</v>
      </c>
      <c r="U11" s="107">
        <v>3</v>
      </c>
      <c r="V11" s="102">
        <v>7</v>
      </c>
      <c r="W11" s="103">
        <f t="shared" si="1"/>
        <v>235200</v>
      </c>
    </row>
    <row r="12" spans="1:23" x14ac:dyDescent="0.35">
      <c r="B12" s="105"/>
      <c r="C12" s="105"/>
      <c r="D12" s="106"/>
      <c r="E12" s="107"/>
      <c r="F12" s="105"/>
      <c r="G12" s="106"/>
      <c r="I12" s="47" t="s">
        <v>219</v>
      </c>
      <c r="J12" s="33">
        <v>14000</v>
      </c>
      <c r="K12" s="57">
        <v>20</v>
      </c>
      <c r="L12" s="33">
        <f>J12*K12</f>
        <v>280000</v>
      </c>
      <c r="R12" s="105"/>
      <c r="S12" s="105"/>
      <c r="T12" s="106"/>
      <c r="U12" s="107"/>
      <c r="V12" s="105"/>
      <c r="W12" s="106">
        <f>SUM(W5:W11)</f>
        <v>1666000</v>
      </c>
    </row>
    <row r="13" spans="1:23" x14ac:dyDescent="0.35">
      <c r="A13" t="s">
        <v>167</v>
      </c>
      <c r="B13" s="102">
        <v>1</v>
      </c>
      <c r="C13" s="102" t="s">
        <v>143</v>
      </c>
      <c r="D13" s="103">
        <v>64000</v>
      </c>
      <c r="E13" s="104">
        <v>1</v>
      </c>
      <c r="F13" s="102">
        <v>7</v>
      </c>
      <c r="G13" s="103">
        <f>D13*F13*E13</f>
        <v>448000</v>
      </c>
      <c r="I13" s="47" t="s">
        <v>220</v>
      </c>
      <c r="J13" s="33">
        <v>5000</v>
      </c>
      <c r="K13" s="57">
        <v>20</v>
      </c>
      <c r="L13" s="33">
        <f t="shared" ref="L13:L14" si="2">J13*K13</f>
        <v>100000</v>
      </c>
    </row>
    <row r="14" spans="1:23" x14ac:dyDescent="0.35">
      <c r="B14" s="105">
        <v>2</v>
      </c>
      <c r="C14" s="105" t="s">
        <v>144</v>
      </c>
      <c r="D14" s="106">
        <v>48656</v>
      </c>
      <c r="E14" s="107">
        <v>1</v>
      </c>
      <c r="F14" s="102">
        <v>7</v>
      </c>
      <c r="G14" s="103">
        <f t="shared" ref="G14:G18" si="3">D14*F14*E14</f>
        <v>340592</v>
      </c>
      <c r="I14" s="47" t="s">
        <v>221</v>
      </c>
      <c r="J14" s="33">
        <v>100000</v>
      </c>
      <c r="K14" s="57">
        <v>1</v>
      </c>
      <c r="L14" s="33">
        <f t="shared" si="2"/>
        <v>100000</v>
      </c>
    </row>
    <row r="15" spans="1:23" x14ac:dyDescent="0.35">
      <c r="B15" s="105">
        <v>3</v>
      </c>
      <c r="C15" s="105" t="s">
        <v>145</v>
      </c>
      <c r="D15" s="106">
        <v>48656</v>
      </c>
      <c r="E15" s="107">
        <v>1</v>
      </c>
      <c r="F15" s="102">
        <v>7</v>
      </c>
      <c r="G15" s="103">
        <f t="shared" si="3"/>
        <v>340592</v>
      </c>
      <c r="I15" s="47" t="s">
        <v>28</v>
      </c>
      <c r="J15" s="33"/>
      <c r="K15" s="57"/>
      <c r="L15" s="33">
        <f>SUM(L12:L14)</f>
        <v>480000</v>
      </c>
      <c r="Q15" s="172" t="s">
        <v>172</v>
      </c>
      <c r="R15" s="172"/>
      <c r="S15" s="32" t="s">
        <v>181</v>
      </c>
      <c r="T15" s="32" t="s">
        <v>182</v>
      </c>
      <c r="U15" s="32" t="s">
        <v>141</v>
      </c>
      <c r="V15" s="32" t="s">
        <v>22</v>
      </c>
    </row>
    <row r="16" spans="1:23" x14ac:dyDescent="0.35">
      <c r="B16" s="105">
        <v>4</v>
      </c>
      <c r="C16" s="105" t="s">
        <v>168</v>
      </c>
      <c r="D16" s="106">
        <v>40918</v>
      </c>
      <c r="E16" s="107">
        <v>2</v>
      </c>
      <c r="F16" s="102">
        <v>7</v>
      </c>
      <c r="G16" s="103">
        <f t="shared" si="3"/>
        <v>572852</v>
      </c>
      <c r="Q16" s="173" t="s">
        <v>180</v>
      </c>
      <c r="R16" s="174"/>
      <c r="S16" s="47">
        <v>17</v>
      </c>
      <c r="T16" s="57">
        <v>7</v>
      </c>
      <c r="U16" s="33">
        <v>5000</v>
      </c>
      <c r="V16" s="62">
        <f>S16*T16* 5000</f>
        <v>595000</v>
      </c>
    </row>
    <row r="17" spans="1:23" x14ac:dyDescent="0.35">
      <c r="B17" s="105">
        <v>5</v>
      </c>
      <c r="C17" s="105" t="s">
        <v>163</v>
      </c>
      <c r="D17" s="106">
        <v>70427</v>
      </c>
      <c r="E17" s="107">
        <v>3</v>
      </c>
      <c r="F17" s="102">
        <v>7</v>
      </c>
      <c r="G17" s="103">
        <f t="shared" si="3"/>
        <v>1478967</v>
      </c>
      <c r="I17" s="30" t="s">
        <v>230</v>
      </c>
      <c r="Q17" s="173" t="s">
        <v>184</v>
      </c>
      <c r="R17" s="174"/>
      <c r="S17" s="47">
        <v>17</v>
      </c>
      <c r="T17" s="57">
        <v>7</v>
      </c>
      <c r="U17" s="33"/>
      <c r="V17" s="62">
        <f>W12</f>
        <v>1666000</v>
      </c>
    </row>
    <row r="18" spans="1:23" x14ac:dyDescent="0.35">
      <c r="B18" s="105">
        <v>6</v>
      </c>
      <c r="C18" s="105" t="s">
        <v>165</v>
      </c>
      <c r="D18" s="106">
        <v>70427</v>
      </c>
      <c r="E18" s="107">
        <v>4</v>
      </c>
      <c r="F18" s="102">
        <v>7</v>
      </c>
      <c r="G18" s="103">
        <f t="shared" si="3"/>
        <v>1971956</v>
      </c>
      <c r="I18" t="s">
        <v>187</v>
      </c>
      <c r="J18" s="35">
        <v>50000</v>
      </c>
      <c r="K18" s="35"/>
      <c r="Q18" s="175" t="s">
        <v>313</v>
      </c>
      <c r="R18" s="175"/>
      <c r="S18" s="47">
        <v>17</v>
      </c>
      <c r="T18" s="57">
        <v>7</v>
      </c>
      <c r="U18" s="33">
        <v>1000</v>
      </c>
      <c r="V18" s="62">
        <f>S18*T18*U18</f>
        <v>119000</v>
      </c>
    </row>
    <row r="19" spans="1:23" x14ac:dyDescent="0.35">
      <c r="B19" s="108"/>
      <c r="C19" s="109" t="s">
        <v>28</v>
      </c>
      <c r="D19" s="110"/>
      <c r="E19" s="110"/>
      <c r="F19" s="111"/>
      <c r="G19" s="112">
        <f>SUM(G5:G18)</f>
        <v>10939145</v>
      </c>
      <c r="I19" t="s">
        <v>213</v>
      </c>
      <c r="J19" s="35">
        <v>800000</v>
      </c>
      <c r="K19" s="35"/>
      <c r="Q19" s="47" t="s">
        <v>363</v>
      </c>
      <c r="R19" s="33"/>
      <c r="S19" s="47"/>
      <c r="T19" s="33"/>
      <c r="U19" s="62"/>
      <c r="V19" s="33">
        <v>100000</v>
      </c>
    </row>
    <row r="20" spans="1:23" x14ac:dyDescent="0.35">
      <c r="A20" s="105"/>
      <c r="B20" s="105"/>
      <c r="C20" s="105"/>
      <c r="D20" s="105"/>
      <c r="E20" s="105"/>
      <c r="F20" s="105"/>
      <c r="I20" t="s">
        <v>224</v>
      </c>
      <c r="J20" s="35">
        <f>L27</f>
        <v>1876000</v>
      </c>
      <c r="K20" s="35"/>
      <c r="Q20" s="47" t="s">
        <v>28</v>
      </c>
      <c r="R20" s="62"/>
      <c r="S20" s="47"/>
      <c r="T20" s="138"/>
      <c r="U20" s="62"/>
      <c r="V20" s="62">
        <f>SUM(V16:V19)</f>
        <v>2480000</v>
      </c>
    </row>
    <row r="21" spans="1:23" x14ac:dyDescent="0.35">
      <c r="A21" s="105"/>
      <c r="B21" s="176"/>
      <c r="C21" s="176"/>
      <c r="D21" s="176"/>
      <c r="E21" s="113"/>
      <c r="F21" s="105"/>
      <c r="J21" s="35">
        <f>SUM(J18:J20)</f>
        <v>2726000</v>
      </c>
      <c r="K21" s="35"/>
      <c r="R21" s="61"/>
    </row>
    <row r="22" spans="1:23" x14ac:dyDescent="0.35">
      <c r="A22" s="114"/>
      <c r="B22" s="115" t="s">
        <v>175</v>
      </c>
      <c r="C22" s="116" t="s">
        <v>146</v>
      </c>
      <c r="D22" t="s">
        <v>314</v>
      </c>
      <c r="E22" s="116" t="s">
        <v>147</v>
      </c>
      <c r="F22" s="114"/>
      <c r="I22" s="32" t="s">
        <v>225</v>
      </c>
      <c r="J22" s="48" t="s">
        <v>223</v>
      </c>
      <c r="K22" s="48" t="s">
        <v>164</v>
      </c>
      <c r="L22" s="32" t="s">
        <v>22</v>
      </c>
      <c r="Q22" s="30" t="s">
        <v>364</v>
      </c>
      <c r="R22" s="61"/>
    </row>
    <row r="23" spans="1:23" x14ac:dyDescent="0.35">
      <c r="A23" s="105"/>
      <c r="B23" s="105">
        <v>10000</v>
      </c>
      <c r="C23" s="105">
        <v>24</v>
      </c>
      <c r="D23" s="47">
        <v>14</v>
      </c>
      <c r="E23" s="117">
        <f>B23*C23*D23</f>
        <v>3360000</v>
      </c>
      <c r="F23" s="105"/>
      <c r="I23" s="47" t="s">
        <v>219</v>
      </c>
      <c r="J23" s="33">
        <v>14000</v>
      </c>
      <c r="K23" s="57">
        <v>30</v>
      </c>
      <c r="L23" s="33">
        <f>J23*K23</f>
        <v>420000</v>
      </c>
      <c r="Q23" t="s">
        <v>188</v>
      </c>
      <c r="R23" s="101" t="s">
        <v>139</v>
      </c>
      <c r="S23" s="101" t="s">
        <v>140</v>
      </c>
      <c r="T23" s="101" t="s">
        <v>141</v>
      </c>
      <c r="U23" s="101" t="s">
        <v>164</v>
      </c>
      <c r="V23" s="101" t="s">
        <v>142</v>
      </c>
      <c r="W23" s="101" t="s">
        <v>22</v>
      </c>
    </row>
    <row r="24" spans="1:23" x14ac:dyDescent="0.35">
      <c r="I24" s="47" t="s">
        <v>220</v>
      </c>
      <c r="J24" s="33">
        <v>5000</v>
      </c>
      <c r="K24" s="57">
        <v>30</v>
      </c>
      <c r="L24" s="33">
        <f t="shared" ref="L24:L26" si="4">J24*K24</f>
        <v>150000</v>
      </c>
      <c r="R24" s="102">
        <v>1</v>
      </c>
      <c r="S24" s="102" t="s">
        <v>143</v>
      </c>
      <c r="T24" s="103">
        <v>16800</v>
      </c>
      <c r="U24" s="104">
        <v>1</v>
      </c>
      <c r="V24" s="102">
        <v>21</v>
      </c>
      <c r="W24" s="103">
        <f>T24*V24*U24</f>
        <v>352800</v>
      </c>
    </row>
    <row r="25" spans="1:23" x14ac:dyDescent="0.35">
      <c r="B25" s="30" t="s">
        <v>169</v>
      </c>
      <c r="C25" s="30" t="s">
        <v>177</v>
      </c>
      <c r="I25" s="47" t="s">
        <v>221</v>
      </c>
      <c r="J25" s="33">
        <v>100000</v>
      </c>
      <c r="K25" s="57">
        <v>2</v>
      </c>
      <c r="L25" s="33">
        <f t="shared" si="4"/>
        <v>200000</v>
      </c>
      <c r="R25" s="105">
        <v>2</v>
      </c>
      <c r="S25" s="105" t="s">
        <v>144</v>
      </c>
      <c r="T25" s="106">
        <v>14000</v>
      </c>
      <c r="U25" s="107">
        <v>1</v>
      </c>
      <c r="V25" s="102">
        <v>21</v>
      </c>
      <c r="W25" s="103">
        <f t="shared" ref="W25:W30" si="5">T25*V25*U25</f>
        <v>294000</v>
      </c>
    </row>
    <row r="26" spans="1:23" x14ac:dyDescent="0.35">
      <c r="B26" s="172" t="s">
        <v>172</v>
      </c>
      <c r="C26" s="172"/>
      <c r="D26" s="43" t="s">
        <v>164</v>
      </c>
      <c r="E26" s="32" t="s">
        <v>173</v>
      </c>
      <c r="F26" s="32" t="s">
        <v>22</v>
      </c>
      <c r="I26" s="47" t="s">
        <v>222</v>
      </c>
      <c r="J26" s="33">
        <v>4200</v>
      </c>
      <c r="K26" s="57">
        <v>40</v>
      </c>
      <c r="L26" s="33">
        <f t="shared" si="4"/>
        <v>168000</v>
      </c>
      <c r="R26" s="105">
        <v>3</v>
      </c>
      <c r="S26" s="105" t="s">
        <v>145</v>
      </c>
      <c r="T26" s="106">
        <v>14000</v>
      </c>
      <c r="U26" s="107">
        <v>1</v>
      </c>
      <c r="V26" s="102">
        <v>21</v>
      </c>
      <c r="W26" s="103">
        <f t="shared" si="5"/>
        <v>294000</v>
      </c>
    </row>
    <row r="27" spans="1:23" x14ac:dyDescent="0.35">
      <c r="B27" s="177" t="s">
        <v>171</v>
      </c>
      <c r="C27" s="177"/>
      <c r="D27" s="44">
        <v>14</v>
      </c>
      <c r="E27" s="37">
        <v>450000</v>
      </c>
      <c r="F27" s="38">
        <f>D27*E27</f>
        <v>6300000</v>
      </c>
      <c r="I27" s="47" t="s">
        <v>28</v>
      </c>
      <c r="J27" s="33"/>
      <c r="K27" s="57"/>
      <c r="L27" s="33">
        <f>SUM(L23:L26)*2</f>
        <v>1876000</v>
      </c>
      <c r="R27" s="105">
        <v>4</v>
      </c>
      <c r="S27" s="105" t="s">
        <v>168</v>
      </c>
      <c r="T27" s="106">
        <v>11200</v>
      </c>
      <c r="U27" s="107">
        <v>15</v>
      </c>
      <c r="V27" s="102">
        <v>21</v>
      </c>
      <c r="W27" s="103">
        <f t="shared" si="5"/>
        <v>3528000</v>
      </c>
    </row>
    <row r="28" spans="1:23" x14ac:dyDescent="0.35">
      <c r="B28" s="177" t="s">
        <v>170</v>
      </c>
      <c r="C28" s="177"/>
      <c r="D28" s="44">
        <v>4</v>
      </c>
      <c r="E28" s="37">
        <v>393450</v>
      </c>
      <c r="F28" s="38">
        <f t="shared" ref="F28:F29" si="6">D28*E28</f>
        <v>1573800</v>
      </c>
      <c r="R28" s="105">
        <v>5</v>
      </c>
      <c r="S28" s="105" t="s">
        <v>165</v>
      </c>
      <c r="T28" s="106">
        <v>18200</v>
      </c>
      <c r="U28" s="107">
        <v>4</v>
      </c>
      <c r="V28" s="102">
        <v>21</v>
      </c>
      <c r="W28" s="103">
        <f t="shared" si="5"/>
        <v>1528800</v>
      </c>
    </row>
    <row r="29" spans="1:23" x14ac:dyDescent="0.35">
      <c r="B29" s="177" t="s">
        <v>174</v>
      </c>
      <c r="C29" s="177"/>
      <c r="D29" s="44">
        <v>6</v>
      </c>
      <c r="E29" s="37">
        <v>300000</v>
      </c>
      <c r="F29" s="38">
        <f t="shared" si="6"/>
        <v>1800000</v>
      </c>
      <c r="I29" s="30" t="s">
        <v>235</v>
      </c>
      <c r="J29" s="46"/>
      <c r="K29" s="46"/>
      <c r="R29" s="105">
        <v>6</v>
      </c>
      <c r="S29" s="105" t="s">
        <v>185</v>
      </c>
      <c r="T29" s="106">
        <v>14000</v>
      </c>
      <c r="U29" s="107">
        <v>3</v>
      </c>
      <c r="V29" s="102">
        <v>21</v>
      </c>
      <c r="W29" s="103">
        <f t="shared" si="5"/>
        <v>882000</v>
      </c>
    </row>
    <row r="30" spans="1:23" x14ac:dyDescent="0.35">
      <c r="B30" s="47" t="s">
        <v>28</v>
      </c>
      <c r="C30" s="47"/>
      <c r="F30" s="34">
        <f>SUM(F27:F29)</f>
        <v>9673800</v>
      </c>
      <c r="I30" s="32" t="s">
        <v>172</v>
      </c>
      <c r="J30" s="48" t="s">
        <v>22</v>
      </c>
      <c r="K30" s="46"/>
      <c r="R30" s="105">
        <v>7</v>
      </c>
      <c r="S30" s="105" t="s">
        <v>186</v>
      </c>
      <c r="T30" s="106">
        <v>11200</v>
      </c>
      <c r="U30" s="107">
        <v>3</v>
      </c>
      <c r="V30" s="102">
        <v>21</v>
      </c>
      <c r="W30" s="103">
        <f t="shared" si="5"/>
        <v>705600</v>
      </c>
    </row>
    <row r="31" spans="1:23" x14ac:dyDescent="0.35">
      <c r="B31" t="s">
        <v>176</v>
      </c>
      <c r="C31" s="61">
        <f>G19+E23+F30</f>
        <v>23972945</v>
      </c>
      <c r="I31" s="47" t="s">
        <v>226</v>
      </c>
      <c r="J31" s="33">
        <v>250000</v>
      </c>
      <c r="K31" s="46"/>
      <c r="R31" s="105"/>
      <c r="S31" s="105"/>
      <c r="T31" s="106"/>
      <c r="U31" s="107"/>
      <c r="V31" s="105"/>
      <c r="W31" s="106">
        <f>SUM(W24:W30)</f>
        <v>7585200</v>
      </c>
    </row>
    <row r="32" spans="1:23" x14ac:dyDescent="0.35">
      <c r="I32" s="32"/>
      <c r="J32" s="48">
        <f>SUM(J31)</f>
        <v>250000</v>
      </c>
      <c r="K32" s="46"/>
    </row>
    <row r="33" spans="1:23" x14ac:dyDescent="0.35">
      <c r="A33" s="30" t="s">
        <v>178</v>
      </c>
      <c r="B33" s="58"/>
      <c r="C33" s="58"/>
      <c r="D33" s="58"/>
      <c r="E33" s="58"/>
      <c r="F33" s="58"/>
      <c r="G33" s="58"/>
    </row>
    <row r="34" spans="1:23" x14ac:dyDescent="0.35">
      <c r="A34" t="s">
        <v>188</v>
      </c>
      <c r="B34" s="101" t="s">
        <v>139</v>
      </c>
      <c r="C34" s="101" t="s">
        <v>140</v>
      </c>
      <c r="D34" s="101" t="s">
        <v>141</v>
      </c>
      <c r="E34" s="101" t="s">
        <v>164</v>
      </c>
      <c r="F34" s="101" t="s">
        <v>142</v>
      </c>
      <c r="G34" s="101" t="s">
        <v>22</v>
      </c>
      <c r="I34" s="30" t="s">
        <v>236</v>
      </c>
      <c r="Q34" s="172" t="s">
        <v>172</v>
      </c>
      <c r="R34" s="172"/>
      <c r="S34" s="32" t="s">
        <v>181</v>
      </c>
      <c r="T34" s="32" t="s">
        <v>182</v>
      </c>
      <c r="U34" s="32" t="s">
        <v>141</v>
      </c>
      <c r="V34" s="32" t="s">
        <v>22</v>
      </c>
    </row>
    <row r="35" spans="1:23" x14ac:dyDescent="0.35">
      <c r="B35" s="102">
        <v>1</v>
      </c>
      <c r="C35" s="102" t="s">
        <v>143</v>
      </c>
      <c r="D35" s="103">
        <v>16800</v>
      </c>
      <c r="E35" s="104">
        <v>1</v>
      </c>
      <c r="F35" s="102">
        <v>7</v>
      </c>
      <c r="G35" s="103">
        <f>D35*F35*E35</f>
        <v>117600</v>
      </c>
      <c r="I35" s="30" t="s">
        <v>231</v>
      </c>
      <c r="Q35" s="173" t="s">
        <v>180</v>
      </c>
      <c r="R35" s="174"/>
      <c r="S35" s="47">
        <v>28</v>
      </c>
      <c r="T35" s="57">
        <v>21</v>
      </c>
      <c r="U35" s="33">
        <v>5000</v>
      </c>
      <c r="V35" s="62">
        <f>S35*T35* 5000</f>
        <v>2940000</v>
      </c>
    </row>
    <row r="36" spans="1:23" x14ac:dyDescent="0.35">
      <c r="B36" s="105">
        <v>2</v>
      </c>
      <c r="C36" s="105" t="s">
        <v>144</v>
      </c>
      <c r="D36" s="106">
        <v>14000</v>
      </c>
      <c r="E36" s="107">
        <v>1</v>
      </c>
      <c r="F36" s="102">
        <v>7</v>
      </c>
      <c r="G36" s="103">
        <f t="shared" ref="G36:G38" si="7">D36*F36*E36</f>
        <v>98000</v>
      </c>
      <c r="I36" s="32" t="s">
        <v>225</v>
      </c>
      <c r="J36" s="48" t="s">
        <v>223</v>
      </c>
      <c r="K36" s="48" t="s">
        <v>164</v>
      </c>
      <c r="L36" s="32" t="s">
        <v>22</v>
      </c>
      <c r="Q36" s="173" t="s">
        <v>184</v>
      </c>
      <c r="R36" s="174"/>
      <c r="S36" s="47">
        <v>28</v>
      </c>
      <c r="T36" s="57">
        <v>21</v>
      </c>
      <c r="U36" s="33"/>
      <c r="V36" s="62">
        <f>W31</f>
        <v>7585200</v>
      </c>
    </row>
    <row r="37" spans="1:23" x14ac:dyDescent="0.35">
      <c r="B37" s="105">
        <v>3</v>
      </c>
      <c r="C37" s="105" t="s">
        <v>145</v>
      </c>
      <c r="D37" s="106">
        <v>14000</v>
      </c>
      <c r="E37" s="107">
        <v>1</v>
      </c>
      <c r="F37" s="102">
        <v>7</v>
      </c>
      <c r="G37" s="103">
        <f t="shared" si="7"/>
        <v>98000</v>
      </c>
      <c r="I37" s="47" t="s">
        <v>219</v>
      </c>
      <c r="J37" s="33">
        <v>14000</v>
      </c>
      <c r="K37" s="57">
        <v>20</v>
      </c>
      <c r="L37" s="33">
        <f>J37*K37</f>
        <v>280000</v>
      </c>
      <c r="Q37" s="175" t="s">
        <v>313</v>
      </c>
      <c r="R37" s="175"/>
      <c r="S37" s="47">
        <v>28</v>
      </c>
      <c r="T37" s="57">
        <v>21</v>
      </c>
      <c r="U37" s="33">
        <v>1000</v>
      </c>
      <c r="V37" s="62">
        <f>S37*T37*U37</f>
        <v>588000</v>
      </c>
    </row>
    <row r="38" spans="1:23" x14ac:dyDescent="0.35">
      <c r="B38" s="105">
        <v>4</v>
      </c>
      <c r="C38" s="105" t="s">
        <v>168</v>
      </c>
      <c r="D38" s="106">
        <v>11200</v>
      </c>
      <c r="E38" s="107">
        <v>2</v>
      </c>
      <c r="F38" s="102">
        <v>7</v>
      </c>
      <c r="G38" s="103">
        <f t="shared" si="7"/>
        <v>156800</v>
      </c>
      <c r="I38" s="47" t="s">
        <v>220</v>
      </c>
      <c r="J38" s="33">
        <v>5000</v>
      </c>
      <c r="K38" s="57">
        <v>20</v>
      </c>
      <c r="L38" s="33">
        <f t="shared" ref="L38:L40" si="8">J38*K38</f>
        <v>100000</v>
      </c>
      <c r="Q38" s="47" t="s">
        <v>363</v>
      </c>
      <c r="R38" s="33"/>
      <c r="S38" s="47"/>
      <c r="T38" s="33"/>
      <c r="U38" s="62"/>
      <c r="V38" s="33">
        <v>200000</v>
      </c>
    </row>
    <row r="39" spans="1:23" x14ac:dyDescent="0.35">
      <c r="B39" s="105">
        <v>5</v>
      </c>
      <c r="C39" s="105" t="s">
        <v>165</v>
      </c>
      <c r="D39" s="106">
        <v>18200</v>
      </c>
      <c r="E39" s="107">
        <v>4</v>
      </c>
      <c r="F39" s="102">
        <v>7</v>
      </c>
      <c r="G39" s="103">
        <f t="shared" ref="G39:G41" si="9">D39*F39*E39</f>
        <v>509600</v>
      </c>
      <c r="I39" s="47" t="s">
        <v>221</v>
      </c>
      <c r="J39" s="33">
        <v>50000</v>
      </c>
      <c r="K39" s="57">
        <v>2</v>
      </c>
      <c r="L39" s="33">
        <f t="shared" si="8"/>
        <v>100000</v>
      </c>
      <c r="Q39" s="47" t="s">
        <v>232</v>
      </c>
      <c r="R39" s="62"/>
      <c r="S39" s="47"/>
      <c r="T39" s="138"/>
      <c r="U39" s="62"/>
      <c r="V39" s="62">
        <v>50000</v>
      </c>
    </row>
    <row r="40" spans="1:23" x14ac:dyDescent="0.35">
      <c r="B40" s="105">
        <v>6</v>
      </c>
      <c r="C40" s="105" t="s">
        <v>185</v>
      </c>
      <c r="D40" s="106">
        <v>14000</v>
      </c>
      <c r="E40" s="107">
        <v>3</v>
      </c>
      <c r="F40" s="102">
        <v>7</v>
      </c>
      <c r="G40" s="103">
        <f t="shared" si="9"/>
        <v>294000</v>
      </c>
      <c r="I40" s="47" t="s">
        <v>232</v>
      </c>
      <c r="J40" s="33">
        <v>50000</v>
      </c>
      <c r="K40" s="57">
        <v>2</v>
      </c>
      <c r="L40" s="33">
        <f t="shared" si="8"/>
        <v>100000</v>
      </c>
      <c r="Q40" s="47" t="s">
        <v>365</v>
      </c>
      <c r="R40" s="47"/>
      <c r="S40" s="47"/>
      <c r="T40" s="47"/>
      <c r="U40" s="47"/>
      <c r="V40" s="33">
        <v>100000</v>
      </c>
    </row>
    <row r="41" spans="1:23" x14ac:dyDescent="0.35">
      <c r="B41" s="105">
        <v>7</v>
      </c>
      <c r="C41" s="105" t="s">
        <v>186</v>
      </c>
      <c r="D41" s="106">
        <v>11200</v>
      </c>
      <c r="E41" s="107">
        <v>3</v>
      </c>
      <c r="F41" s="102">
        <v>7</v>
      </c>
      <c r="G41" s="103">
        <f t="shared" si="9"/>
        <v>235200</v>
      </c>
      <c r="I41" s="50" t="s">
        <v>233</v>
      </c>
      <c r="J41" s="35"/>
      <c r="K41" s="60"/>
      <c r="L41" s="35">
        <f>SUM(L37:L40)*2</f>
        <v>1160000</v>
      </c>
      <c r="V41" s="61">
        <f>SUM(V35:V40)</f>
        <v>11463200</v>
      </c>
    </row>
    <row r="42" spans="1:23" ht="15.65" customHeight="1" x14ac:dyDescent="0.35">
      <c r="B42" s="105"/>
      <c r="C42" s="105"/>
      <c r="D42" s="106"/>
      <c r="E42" s="107"/>
      <c r="F42" s="105"/>
      <c r="G42" s="106">
        <f>SUM(G35:G41)</f>
        <v>1509200</v>
      </c>
      <c r="I42" s="30" t="s">
        <v>240</v>
      </c>
      <c r="Q42" s="30" t="s">
        <v>366</v>
      </c>
    </row>
    <row r="43" spans="1:23" ht="15.65" customHeight="1" x14ac:dyDescent="0.35">
      <c r="B43" s="105"/>
      <c r="C43" s="105"/>
      <c r="D43" s="106"/>
      <c r="E43" s="107"/>
      <c r="F43" s="105"/>
      <c r="G43" s="106"/>
      <c r="Q43" t="s">
        <v>188</v>
      </c>
      <c r="R43" s="101" t="s">
        <v>139</v>
      </c>
      <c r="S43" s="101" t="s">
        <v>140</v>
      </c>
      <c r="T43" s="101" t="s">
        <v>141</v>
      </c>
      <c r="U43" s="101" t="s">
        <v>164</v>
      </c>
      <c r="V43" s="101" t="s">
        <v>142</v>
      </c>
      <c r="W43" s="101" t="s">
        <v>22</v>
      </c>
    </row>
    <row r="44" spans="1:23" x14ac:dyDescent="0.35">
      <c r="A44" t="s">
        <v>216</v>
      </c>
      <c r="B44" s="101" t="s">
        <v>139</v>
      </c>
      <c r="C44" s="101" t="s">
        <v>140</v>
      </c>
      <c r="D44" s="101" t="s">
        <v>141</v>
      </c>
      <c r="E44" s="101" t="s">
        <v>164</v>
      </c>
      <c r="F44" s="101" t="s">
        <v>142</v>
      </c>
      <c r="G44" s="101" t="s">
        <v>22</v>
      </c>
      <c r="I44" s="118" t="s">
        <v>237</v>
      </c>
      <c r="R44" s="102">
        <v>1</v>
      </c>
      <c r="S44" s="102" t="s">
        <v>143</v>
      </c>
      <c r="T44" s="103">
        <v>16800</v>
      </c>
      <c r="U44" s="104">
        <v>1</v>
      </c>
      <c r="V44" s="102">
        <v>30</v>
      </c>
      <c r="W44" s="103">
        <f>T44*V44*U44</f>
        <v>504000</v>
      </c>
    </row>
    <row r="45" spans="1:23" x14ac:dyDescent="0.35">
      <c r="B45" s="102">
        <v>1</v>
      </c>
      <c r="C45" s="102" t="s">
        <v>143</v>
      </c>
      <c r="D45" s="103">
        <v>79829</v>
      </c>
      <c r="E45" s="104">
        <v>1</v>
      </c>
      <c r="F45" s="102">
        <v>7</v>
      </c>
      <c r="G45" s="103">
        <f>D45*F45*E45</f>
        <v>558803</v>
      </c>
      <c r="I45" t="s">
        <v>234</v>
      </c>
      <c r="J45" t="s">
        <v>193</v>
      </c>
      <c r="K45" t="s">
        <v>194</v>
      </c>
      <c r="L45" s="35">
        <f>10%*10000000</f>
        <v>1000000</v>
      </c>
      <c r="R45" s="105">
        <v>2</v>
      </c>
      <c r="S45" s="105" t="s">
        <v>144</v>
      </c>
      <c r="T45" s="106">
        <v>14000</v>
      </c>
      <c r="U45" s="107">
        <v>1</v>
      </c>
      <c r="V45" s="102">
        <v>30</v>
      </c>
      <c r="W45" s="103">
        <f t="shared" ref="W45:W50" si="10">T45*V45*U45</f>
        <v>420000</v>
      </c>
    </row>
    <row r="46" spans="1:23" x14ac:dyDescent="0.35">
      <c r="B46" s="105">
        <v>2</v>
      </c>
      <c r="C46" s="105" t="s">
        <v>144</v>
      </c>
      <c r="D46" s="106">
        <v>55686</v>
      </c>
      <c r="E46" s="107">
        <v>1</v>
      </c>
      <c r="F46" s="102">
        <v>7</v>
      </c>
      <c r="G46" s="103">
        <f t="shared" ref="G46:G50" si="11">D46*F46*E46</f>
        <v>389802</v>
      </c>
      <c r="I46" t="s">
        <v>191</v>
      </c>
      <c r="J46" t="s">
        <v>195</v>
      </c>
      <c r="L46" s="35">
        <f xml:space="preserve"> 4.5% *10000000</f>
        <v>450000</v>
      </c>
      <c r="R46" s="105">
        <v>3</v>
      </c>
      <c r="S46" s="105" t="s">
        <v>145</v>
      </c>
      <c r="T46" s="106">
        <v>14000</v>
      </c>
      <c r="U46" s="107">
        <v>1</v>
      </c>
      <c r="V46" s="102">
        <v>30</v>
      </c>
      <c r="W46" s="103">
        <f t="shared" si="10"/>
        <v>420000</v>
      </c>
    </row>
    <row r="47" spans="1:23" x14ac:dyDescent="0.35">
      <c r="B47" s="105">
        <v>3</v>
      </c>
      <c r="C47" s="105" t="s">
        <v>145</v>
      </c>
      <c r="D47" s="106">
        <v>55686</v>
      </c>
      <c r="E47" s="107">
        <v>1</v>
      </c>
      <c r="F47" s="102">
        <v>7</v>
      </c>
      <c r="G47" s="103">
        <f t="shared" si="11"/>
        <v>389802</v>
      </c>
      <c r="I47" t="s">
        <v>192</v>
      </c>
      <c r="J47" t="s">
        <v>196</v>
      </c>
      <c r="L47" s="36">
        <v>450000</v>
      </c>
      <c r="R47" s="105">
        <v>4</v>
      </c>
      <c r="S47" s="105" t="s">
        <v>168</v>
      </c>
      <c r="T47" s="106">
        <v>11200</v>
      </c>
      <c r="U47" s="107">
        <v>4</v>
      </c>
      <c r="V47" s="102">
        <v>30</v>
      </c>
      <c r="W47" s="103">
        <f t="shared" si="10"/>
        <v>1344000</v>
      </c>
    </row>
    <row r="48" spans="1:23" x14ac:dyDescent="0.35">
      <c r="B48" s="105">
        <v>4</v>
      </c>
      <c r="C48" s="105" t="s">
        <v>168</v>
      </c>
      <c r="D48" s="106">
        <v>43484</v>
      </c>
      <c r="E48" s="107">
        <v>2</v>
      </c>
      <c r="F48" s="102">
        <v>7</v>
      </c>
      <c r="G48" s="103">
        <f t="shared" si="11"/>
        <v>608776</v>
      </c>
      <c r="I48" s="51" t="s">
        <v>214</v>
      </c>
      <c r="L48" s="59">
        <f>L55</f>
        <v>480000</v>
      </c>
      <c r="R48" s="105">
        <v>5</v>
      </c>
      <c r="S48" s="105" t="s">
        <v>165</v>
      </c>
      <c r="T48" s="106">
        <v>18200</v>
      </c>
      <c r="U48" s="107">
        <v>4</v>
      </c>
      <c r="V48" s="102">
        <v>30</v>
      </c>
      <c r="W48" s="103">
        <f t="shared" si="10"/>
        <v>2184000</v>
      </c>
    </row>
    <row r="49" spans="1:23" x14ac:dyDescent="0.35">
      <c r="B49" s="105">
        <v>5</v>
      </c>
      <c r="C49" s="105" t="s">
        <v>163</v>
      </c>
      <c r="D49" s="106">
        <v>0</v>
      </c>
      <c r="E49" s="107">
        <v>0</v>
      </c>
      <c r="F49" s="102">
        <v>7</v>
      </c>
      <c r="G49" s="103">
        <f t="shared" si="11"/>
        <v>0</v>
      </c>
      <c r="I49" s="41"/>
      <c r="L49" s="59">
        <f>SUM(L45:L48)</f>
        <v>2380000</v>
      </c>
      <c r="R49" s="105">
        <v>6</v>
      </c>
      <c r="S49" s="105" t="s">
        <v>185</v>
      </c>
      <c r="T49" s="106">
        <v>14000</v>
      </c>
      <c r="U49" s="107">
        <v>5</v>
      </c>
      <c r="V49" s="102">
        <v>30</v>
      </c>
      <c r="W49" s="103">
        <f t="shared" si="10"/>
        <v>2100000</v>
      </c>
    </row>
    <row r="50" spans="1:23" x14ac:dyDescent="0.35">
      <c r="B50" s="105">
        <v>6</v>
      </c>
      <c r="C50" s="105" t="s">
        <v>165</v>
      </c>
      <c r="D50" s="106">
        <v>79829</v>
      </c>
      <c r="E50" s="107">
        <v>4</v>
      </c>
      <c r="F50" s="102">
        <v>7</v>
      </c>
      <c r="G50" s="103">
        <f t="shared" si="11"/>
        <v>2235212</v>
      </c>
      <c r="I50" s="41"/>
      <c r="L50" s="59"/>
      <c r="R50" s="105">
        <v>7</v>
      </c>
      <c r="S50" s="105" t="s">
        <v>186</v>
      </c>
      <c r="T50" s="106">
        <v>11200</v>
      </c>
      <c r="U50" s="107">
        <v>3</v>
      </c>
      <c r="V50" s="102">
        <v>30</v>
      </c>
      <c r="W50" s="103">
        <f t="shared" si="10"/>
        <v>1008000</v>
      </c>
    </row>
    <row r="51" spans="1:23" x14ac:dyDescent="0.35">
      <c r="B51" s="30" t="s">
        <v>169</v>
      </c>
      <c r="C51" s="30" t="s">
        <v>217</v>
      </c>
      <c r="I51" s="32" t="s">
        <v>172</v>
      </c>
      <c r="J51" s="48" t="s">
        <v>223</v>
      </c>
      <c r="K51" s="48" t="s">
        <v>164</v>
      </c>
      <c r="L51" s="32" t="s">
        <v>22</v>
      </c>
      <c r="R51" s="105"/>
      <c r="S51" s="105"/>
      <c r="T51" s="106"/>
      <c r="U51" s="107"/>
      <c r="V51" s="105"/>
      <c r="W51" s="106">
        <f>SUM(W44:W50)</f>
        <v>7980000</v>
      </c>
    </row>
    <row r="52" spans="1:23" x14ac:dyDescent="0.35">
      <c r="B52" s="172" t="s">
        <v>172</v>
      </c>
      <c r="C52" s="172"/>
      <c r="D52" s="43" t="s">
        <v>164</v>
      </c>
      <c r="E52" s="32" t="s">
        <v>173</v>
      </c>
      <c r="F52" s="32" t="s">
        <v>22</v>
      </c>
      <c r="I52" s="47" t="s">
        <v>219</v>
      </c>
      <c r="J52" s="33">
        <v>14000</v>
      </c>
      <c r="K52" s="57">
        <v>20</v>
      </c>
      <c r="L52" s="33">
        <f>J52*K52</f>
        <v>280000</v>
      </c>
    </row>
    <row r="53" spans="1:23" x14ac:dyDescent="0.35">
      <c r="B53" s="177" t="s">
        <v>171</v>
      </c>
      <c r="C53" s="177"/>
      <c r="D53" s="44">
        <v>14</v>
      </c>
      <c r="E53" s="37">
        <v>53216</v>
      </c>
      <c r="F53" s="38">
        <f>D53*E53</f>
        <v>745024</v>
      </c>
      <c r="I53" s="47" t="s">
        <v>220</v>
      </c>
      <c r="J53" s="33">
        <v>5000</v>
      </c>
      <c r="K53" s="57">
        <v>20</v>
      </c>
      <c r="L53" s="33">
        <f t="shared" ref="L53:L54" si="12">J53*K53</f>
        <v>100000</v>
      </c>
    </row>
    <row r="54" spans="1:23" x14ac:dyDescent="0.35">
      <c r="B54" s="177" t="s">
        <v>174</v>
      </c>
      <c r="C54" s="177"/>
      <c r="D54" s="44">
        <v>4</v>
      </c>
      <c r="E54" s="37">
        <v>26676</v>
      </c>
      <c r="F54" s="38">
        <f t="shared" ref="F54" si="13">D54*E54</f>
        <v>106704</v>
      </c>
      <c r="I54" s="47" t="s">
        <v>221</v>
      </c>
      <c r="J54" s="33">
        <v>100000</v>
      </c>
      <c r="K54" s="57">
        <v>1</v>
      </c>
      <c r="L54" s="33">
        <f t="shared" si="12"/>
        <v>100000</v>
      </c>
      <c r="Q54" s="172" t="s">
        <v>172</v>
      </c>
      <c r="R54" s="172"/>
      <c r="S54" s="32" t="s">
        <v>181</v>
      </c>
      <c r="T54" s="32" t="s">
        <v>182</v>
      </c>
      <c r="U54" s="32" t="s">
        <v>141</v>
      </c>
      <c r="V54" s="32" t="s">
        <v>22</v>
      </c>
    </row>
    <row r="55" spans="1:23" x14ac:dyDescent="0.35">
      <c r="B55" t="s">
        <v>28</v>
      </c>
      <c r="F55" s="61">
        <f>SUM(F53:F54)</f>
        <v>851728</v>
      </c>
      <c r="I55" s="32" t="s">
        <v>28</v>
      </c>
      <c r="J55" s="33"/>
      <c r="K55" s="57"/>
      <c r="L55" s="33">
        <f>SUM(L52:L54)</f>
        <v>480000</v>
      </c>
      <c r="Q55" s="173" t="s">
        <v>180</v>
      </c>
      <c r="R55" s="174"/>
      <c r="S55" s="47">
        <v>19</v>
      </c>
      <c r="T55" s="57">
        <v>30</v>
      </c>
      <c r="U55" s="33">
        <v>5000</v>
      </c>
      <c r="V55" s="62">
        <f>S55*T55* 5000</f>
        <v>2850000</v>
      </c>
    </row>
    <row r="56" spans="1:23" x14ac:dyDescent="0.35">
      <c r="A56" t="s">
        <v>179</v>
      </c>
      <c r="Q56" s="173" t="s">
        <v>184</v>
      </c>
      <c r="R56" s="174"/>
      <c r="S56" s="47">
        <v>19</v>
      </c>
      <c r="T56" s="57">
        <v>30</v>
      </c>
      <c r="U56" s="33"/>
      <c r="V56" s="62">
        <f>W51</f>
        <v>7980000</v>
      </c>
    </row>
    <row r="57" spans="1:23" x14ac:dyDescent="0.35">
      <c r="A57" t="s">
        <v>183</v>
      </c>
      <c r="I57" s="30" t="s">
        <v>238</v>
      </c>
      <c r="Q57" s="175" t="s">
        <v>313</v>
      </c>
      <c r="R57" s="175"/>
      <c r="S57" s="47">
        <v>19</v>
      </c>
      <c r="T57" s="57">
        <v>30</v>
      </c>
      <c r="U57" s="33">
        <v>1000</v>
      </c>
      <c r="V57" s="62">
        <f>S57*T57*U57</f>
        <v>570000</v>
      </c>
    </row>
    <row r="58" spans="1:23" x14ac:dyDescent="0.35">
      <c r="A58" s="172" t="s">
        <v>172</v>
      </c>
      <c r="B58" s="172"/>
      <c r="C58" s="32" t="s">
        <v>181</v>
      </c>
      <c r="D58" s="32" t="s">
        <v>182</v>
      </c>
      <c r="E58" s="32" t="s">
        <v>141</v>
      </c>
      <c r="F58" s="32" t="s">
        <v>22</v>
      </c>
      <c r="I58" t="s">
        <v>187</v>
      </c>
      <c r="J58" s="35">
        <v>50000</v>
      </c>
      <c r="K58" s="35"/>
      <c r="Q58" s="47" t="s">
        <v>363</v>
      </c>
      <c r="R58" s="33"/>
      <c r="S58" s="47"/>
      <c r="T58" s="33"/>
      <c r="U58" s="62"/>
      <c r="V58" s="33">
        <v>200000</v>
      </c>
    </row>
    <row r="59" spans="1:23" x14ac:dyDescent="0.35">
      <c r="A59" s="173" t="s">
        <v>180</v>
      </c>
      <c r="B59" s="174"/>
      <c r="C59" s="47">
        <v>15</v>
      </c>
      <c r="D59" s="57">
        <v>28</v>
      </c>
      <c r="E59" s="33">
        <v>5000</v>
      </c>
      <c r="F59" s="62">
        <f>C59*D59* 5000</f>
        <v>2100000</v>
      </c>
      <c r="I59" t="s">
        <v>213</v>
      </c>
      <c r="J59" s="35">
        <v>800000</v>
      </c>
      <c r="K59" s="35"/>
      <c r="Q59" s="47"/>
      <c r="R59" s="62"/>
      <c r="S59" s="47"/>
      <c r="T59" s="138"/>
      <c r="U59" s="62"/>
      <c r="V59" s="61">
        <f>SUM(V55:V58)</f>
        <v>11600000</v>
      </c>
    </row>
    <row r="60" spans="1:23" x14ac:dyDescent="0.35">
      <c r="A60" s="173" t="s">
        <v>215</v>
      </c>
      <c r="B60" s="174"/>
      <c r="C60" s="47"/>
      <c r="D60" s="57"/>
      <c r="E60" s="33"/>
      <c r="F60" s="62">
        <f>F55</f>
        <v>851728</v>
      </c>
      <c r="I60" t="s">
        <v>224</v>
      </c>
      <c r="J60" s="35">
        <f>L69</f>
        <v>1876000</v>
      </c>
      <c r="K60" s="35"/>
      <c r="Q60" s="47"/>
      <c r="R60" s="47"/>
      <c r="S60" s="47"/>
      <c r="T60" s="47"/>
      <c r="U60" s="47"/>
      <c r="V60" s="33"/>
    </row>
    <row r="61" spans="1:23" x14ac:dyDescent="0.35">
      <c r="A61" s="173" t="s">
        <v>313</v>
      </c>
      <c r="B61" s="174"/>
      <c r="C61" s="47">
        <v>15</v>
      </c>
      <c r="D61" s="57">
        <v>7</v>
      </c>
      <c r="E61" s="33">
        <v>10000</v>
      </c>
      <c r="F61" s="62">
        <f>C61*D61*E61</f>
        <v>1050000</v>
      </c>
      <c r="I61" s="30" t="s">
        <v>28</v>
      </c>
      <c r="J61" s="35">
        <f>SUM(J58:J60)</f>
        <v>2726000</v>
      </c>
      <c r="K61" s="35"/>
    </row>
    <row r="62" spans="1:23" x14ac:dyDescent="0.35">
      <c r="A62" t="s">
        <v>184</v>
      </c>
      <c r="B62" s="35">
        <f>G42*4 +G50</f>
        <v>8272012</v>
      </c>
      <c r="D62" s="49"/>
      <c r="E62" s="61"/>
      <c r="I62" s="30"/>
      <c r="J62" s="35"/>
      <c r="K62" s="35"/>
      <c r="Q62" s="30" t="s">
        <v>368</v>
      </c>
    </row>
    <row r="63" spans="1:23" x14ac:dyDescent="0.35">
      <c r="A63" t="s">
        <v>180</v>
      </c>
      <c r="B63" s="61">
        <f>F59</f>
        <v>2100000</v>
      </c>
      <c r="D63" s="49"/>
      <c r="E63" s="61"/>
      <c r="I63" s="30"/>
      <c r="J63" s="35"/>
      <c r="K63" s="35"/>
      <c r="Q63" t="s">
        <v>188</v>
      </c>
      <c r="R63" s="101" t="s">
        <v>139</v>
      </c>
      <c r="S63" s="101" t="s">
        <v>140</v>
      </c>
      <c r="T63" s="101" t="s">
        <v>141</v>
      </c>
      <c r="U63" s="101" t="s">
        <v>164</v>
      </c>
      <c r="V63" s="101" t="s">
        <v>142</v>
      </c>
      <c r="W63" s="101" t="s">
        <v>22</v>
      </c>
    </row>
    <row r="64" spans="1:23" x14ac:dyDescent="0.35">
      <c r="A64" t="s">
        <v>312</v>
      </c>
      <c r="B64" s="61">
        <f>F60</f>
        <v>851728</v>
      </c>
      <c r="I64" s="32" t="s">
        <v>225</v>
      </c>
      <c r="J64" s="48" t="s">
        <v>223</v>
      </c>
      <c r="K64" s="48" t="s">
        <v>164</v>
      </c>
      <c r="L64" s="32" t="s">
        <v>22</v>
      </c>
      <c r="R64" s="102">
        <v>1</v>
      </c>
      <c r="S64" s="102" t="s">
        <v>143</v>
      </c>
      <c r="T64" s="103">
        <v>16800</v>
      </c>
      <c r="U64" s="104">
        <v>1</v>
      </c>
      <c r="V64" s="102">
        <v>28</v>
      </c>
      <c r="W64" s="103">
        <f>T64*V64*U64</f>
        <v>470400</v>
      </c>
    </row>
    <row r="65" spans="1:23" x14ac:dyDescent="0.35">
      <c r="A65" t="s">
        <v>313</v>
      </c>
      <c r="B65" s="61">
        <f>F61+E23</f>
        <v>4410000</v>
      </c>
      <c r="I65" s="47" t="s">
        <v>219</v>
      </c>
      <c r="J65" s="33">
        <v>14000</v>
      </c>
      <c r="K65" s="57">
        <v>30</v>
      </c>
      <c r="L65" s="33">
        <f>J65*K65</f>
        <v>420000</v>
      </c>
      <c r="R65" s="105">
        <v>2</v>
      </c>
      <c r="S65" s="105" t="s">
        <v>144</v>
      </c>
      <c r="T65" s="106">
        <v>14000</v>
      </c>
      <c r="U65" s="107">
        <v>1</v>
      </c>
      <c r="V65" s="102">
        <v>28</v>
      </c>
      <c r="W65" s="103">
        <f t="shared" ref="W65:W70" si="14">T65*V65*U65</f>
        <v>392000</v>
      </c>
    </row>
    <row r="66" spans="1:23" x14ac:dyDescent="0.35">
      <c r="A66" t="s">
        <v>218</v>
      </c>
      <c r="B66" s="35">
        <v>200000</v>
      </c>
      <c r="I66" s="47" t="s">
        <v>220</v>
      </c>
      <c r="J66" s="33">
        <v>5000</v>
      </c>
      <c r="K66" s="57">
        <v>30</v>
      </c>
      <c r="L66" s="33">
        <f t="shared" ref="L66:L68" si="15">J66*K66</f>
        <v>150000</v>
      </c>
      <c r="R66" s="105">
        <v>3</v>
      </c>
      <c r="S66" s="105" t="s">
        <v>145</v>
      </c>
      <c r="T66" s="106">
        <v>14000</v>
      </c>
      <c r="U66" s="107">
        <v>1</v>
      </c>
      <c r="V66" s="102">
        <v>28</v>
      </c>
      <c r="W66" s="103">
        <f t="shared" si="14"/>
        <v>392000</v>
      </c>
    </row>
    <row r="67" spans="1:23" x14ac:dyDescent="0.35">
      <c r="A67" t="s">
        <v>28</v>
      </c>
      <c r="B67" s="59">
        <f>SUM(B62:B66)</f>
        <v>15833740</v>
      </c>
      <c r="I67" s="47" t="s">
        <v>221</v>
      </c>
      <c r="J67" s="33">
        <v>100000</v>
      </c>
      <c r="K67" s="57">
        <v>2</v>
      </c>
      <c r="L67" s="33">
        <f t="shared" si="15"/>
        <v>200000</v>
      </c>
      <c r="R67" s="105">
        <v>4</v>
      </c>
      <c r="S67" s="105" t="s">
        <v>168</v>
      </c>
      <c r="T67" s="106">
        <v>11200</v>
      </c>
      <c r="U67" s="107">
        <v>15</v>
      </c>
      <c r="V67" s="102">
        <v>28</v>
      </c>
      <c r="W67" s="103">
        <f t="shared" si="14"/>
        <v>4704000</v>
      </c>
    </row>
    <row r="68" spans="1:23" x14ac:dyDescent="0.35">
      <c r="A68" s="30"/>
      <c r="B68" s="30"/>
      <c r="C68" s="30"/>
      <c r="D68" s="30"/>
      <c r="I68" s="47" t="s">
        <v>222</v>
      </c>
      <c r="J68" s="33">
        <v>4200</v>
      </c>
      <c r="K68" s="57">
        <v>40</v>
      </c>
      <c r="L68" s="33">
        <f t="shared" si="15"/>
        <v>168000</v>
      </c>
      <c r="R68" s="105">
        <v>5</v>
      </c>
      <c r="S68" s="105" t="s">
        <v>165</v>
      </c>
      <c r="T68" s="106">
        <v>18200</v>
      </c>
      <c r="U68" s="107">
        <v>4</v>
      </c>
      <c r="V68" s="102">
        <v>28</v>
      </c>
      <c r="W68" s="103">
        <f t="shared" si="14"/>
        <v>2038400</v>
      </c>
    </row>
    <row r="69" spans="1:23" x14ac:dyDescent="0.35">
      <c r="A69" s="30" t="s">
        <v>229</v>
      </c>
      <c r="B69" s="30"/>
      <c r="C69" s="30"/>
      <c r="D69" s="30"/>
      <c r="J69" s="35"/>
      <c r="K69" s="60"/>
      <c r="L69" s="35">
        <f>SUM(L65:L68)*2</f>
        <v>1876000</v>
      </c>
      <c r="R69" s="105">
        <v>6</v>
      </c>
      <c r="S69" s="105" t="s">
        <v>185</v>
      </c>
      <c r="T69" s="106">
        <v>14000</v>
      </c>
      <c r="U69" s="107">
        <v>3</v>
      </c>
      <c r="V69" s="102">
        <v>28</v>
      </c>
      <c r="W69" s="103">
        <f t="shared" si="14"/>
        <v>1176000</v>
      </c>
    </row>
    <row r="70" spans="1:23" x14ac:dyDescent="0.35">
      <c r="A70" t="s">
        <v>187</v>
      </c>
      <c r="B70" s="35">
        <v>50000</v>
      </c>
      <c r="C70" s="35"/>
      <c r="I70" s="32" t="s">
        <v>239</v>
      </c>
      <c r="R70" s="105">
        <v>7</v>
      </c>
      <c r="S70" s="105" t="s">
        <v>186</v>
      </c>
      <c r="T70" s="106">
        <v>11200</v>
      </c>
      <c r="U70" s="107">
        <v>3</v>
      </c>
      <c r="V70" s="102">
        <v>28</v>
      </c>
      <c r="W70" s="103">
        <f t="shared" si="14"/>
        <v>940800</v>
      </c>
    </row>
    <row r="71" spans="1:23" x14ac:dyDescent="0.35">
      <c r="A71" t="s">
        <v>213</v>
      </c>
      <c r="B71" s="35">
        <v>800000</v>
      </c>
      <c r="C71" s="35"/>
      <c r="I71" s="32" t="s">
        <v>172</v>
      </c>
      <c r="J71" s="48" t="s">
        <v>22</v>
      </c>
      <c r="K71" s="46"/>
      <c r="R71" s="105"/>
      <c r="S71" s="105"/>
      <c r="T71" s="106"/>
      <c r="U71" s="107"/>
      <c r="V71" s="105"/>
      <c r="W71" s="106">
        <f>SUM(W64:W70)</f>
        <v>10113600</v>
      </c>
    </row>
    <row r="72" spans="1:23" x14ac:dyDescent="0.35">
      <c r="A72" t="s">
        <v>224</v>
      </c>
      <c r="B72" s="35">
        <f>D79</f>
        <v>1876000</v>
      </c>
      <c r="C72" s="35"/>
      <c r="I72" s="47" t="s">
        <v>226</v>
      </c>
      <c r="J72" s="33">
        <v>250000</v>
      </c>
      <c r="K72" s="46"/>
    </row>
    <row r="73" spans="1:23" x14ac:dyDescent="0.35">
      <c r="B73" s="35">
        <f>SUM(B70:B72)</f>
        <v>2726000</v>
      </c>
      <c r="C73" s="35"/>
      <c r="I73" s="32"/>
      <c r="J73" s="48">
        <f>SUM(J72)</f>
        <v>250000</v>
      </c>
      <c r="K73" s="46"/>
    </row>
    <row r="74" spans="1:23" x14ac:dyDescent="0.35">
      <c r="A74" s="32" t="s">
        <v>225</v>
      </c>
      <c r="B74" s="48" t="s">
        <v>223</v>
      </c>
      <c r="C74" s="48" t="s">
        <v>164</v>
      </c>
      <c r="D74" s="32" t="s">
        <v>22</v>
      </c>
      <c r="Q74" s="172" t="s">
        <v>172</v>
      </c>
      <c r="R74" s="172"/>
      <c r="S74" s="32" t="s">
        <v>181</v>
      </c>
      <c r="T74" s="32" t="s">
        <v>182</v>
      </c>
      <c r="U74" s="32" t="s">
        <v>141</v>
      </c>
      <c r="V74" s="32" t="s">
        <v>22</v>
      </c>
    </row>
    <row r="75" spans="1:23" s="30" customFormat="1" x14ac:dyDescent="0.35">
      <c r="A75" s="47" t="s">
        <v>219</v>
      </c>
      <c r="B75" s="33">
        <v>14000</v>
      </c>
      <c r="C75" s="57">
        <v>30</v>
      </c>
      <c r="D75" s="33">
        <f>B75*C75</f>
        <v>420000</v>
      </c>
      <c r="I75" s="30" t="s">
        <v>197</v>
      </c>
      <c r="J75"/>
      <c r="K75"/>
      <c r="L75"/>
      <c r="Q75" s="173" t="s">
        <v>180</v>
      </c>
      <c r="R75" s="174"/>
      <c r="S75" s="47">
        <v>30</v>
      </c>
      <c r="T75" s="102">
        <v>28</v>
      </c>
      <c r="U75" s="33">
        <v>5000</v>
      </c>
      <c r="V75" s="62">
        <f>S75*T75* 5000</f>
        <v>4200000</v>
      </c>
      <c r="W75"/>
    </row>
    <row r="76" spans="1:23" s="30" customFormat="1" x14ac:dyDescent="0.35">
      <c r="A76" s="47" t="s">
        <v>220</v>
      </c>
      <c r="B76" s="33">
        <v>5000</v>
      </c>
      <c r="C76" s="57">
        <v>30</v>
      </c>
      <c r="D76" s="33">
        <f t="shared" ref="D76:D78" si="16">B76*C76</f>
        <v>150000</v>
      </c>
      <c r="I76" s="30" t="s">
        <v>2</v>
      </c>
      <c r="J76" t="s">
        <v>198</v>
      </c>
      <c r="K76" s="47" t="s">
        <v>199</v>
      </c>
      <c r="L76" s="47" t="s">
        <v>22</v>
      </c>
      <c r="Q76" s="173" t="s">
        <v>184</v>
      </c>
      <c r="R76" s="174"/>
      <c r="S76" s="47">
        <v>28</v>
      </c>
      <c r="T76" s="102">
        <v>28</v>
      </c>
      <c r="U76" s="33"/>
      <c r="V76" s="62">
        <f>W71</f>
        <v>10113600</v>
      </c>
      <c r="W76"/>
    </row>
    <row r="77" spans="1:23" s="30" customFormat="1" x14ac:dyDescent="0.35">
      <c r="A77" s="47" t="s">
        <v>221</v>
      </c>
      <c r="B77" s="33">
        <v>100000</v>
      </c>
      <c r="C77" s="57">
        <v>2</v>
      </c>
      <c r="D77" s="33">
        <f t="shared" si="16"/>
        <v>200000</v>
      </c>
      <c r="I77" s="77" t="s">
        <v>149</v>
      </c>
      <c r="J77" s="119">
        <v>1</v>
      </c>
      <c r="K77" s="33">
        <v>2400000</v>
      </c>
      <c r="L77" s="33">
        <f>J77*K77</f>
        <v>2400000</v>
      </c>
      <c r="Q77" s="175" t="s">
        <v>313</v>
      </c>
      <c r="R77" s="175"/>
      <c r="S77" s="47">
        <v>28</v>
      </c>
      <c r="T77" s="102">
        <v>28</v>
      </c>
      <c r="U77" s="33">
        <v>1000</v>
      </c>
      <c r="V77" s="62">
        <f>S77*T77*U77</f>
        <v>784000</v>
      </c>
      <c r="W77"/>
    </row>
    <row r="78" spans="1:23" s="30" customFormat="1" x14ac:dyDescent="0.35">
      <c r="A78" s="47" t="s">
        <v>222</v>
      </c>
      <c r="B78" s="33">
        <v>4200</v>
      </c>
      <c r="C78" s="57">
        <v>40</v>
      </c>
      <c r="D78" s="33">
        <f t="shared" si="16"/>
        <v>168000</v>
      </c>
      <c r="I78" s="77" t="s">
        <v>153</v>
      </c>
      <c r="J78" s="119">
        <v>196</v>
      </c>
      <c r="K78" s="33"/>
      <c r="L78" s="33">
        <f>L88</f>
        <v>4085000</v>
      </c>
      <c r="Q78" s="47" t="s">
        <v>363</v>
      </c>
      <c r="R78" s="33"/>
      <c r="S78" s="47"/>
      <c r="T78" s="33"/>
      <c r="U78" s="62"/>
      <c r="V78" s="33">
        <v>200000</v>
      </c>
      <c r="W78"/>
    </row>
    <row r="79" spans="1:23" s="30" customFormat="1" ht="31" x14ac:dyDescent="0.35">
      <c r="A79"/>
      <c r="B79" s="35"/>
      <c r="C79" s="60"/>
      <c r="D79" s="35">
        <f>SUM(D75:D78)*2</f>
        <v>1876000</v>
      </c>
      <c r="I79" s="77" t="s">
        <v>150</v>
      </c>
      <c r="J79" s="119">
        <v>4</v>
      </c>
      <c r="K79" s="33">
        <v>350000</v>
      </c>
      <c r="L79" s="33">
        <f>J79*K79</f>
        <v>1400000</v>
      </c>
      <c r="Q79" s="47" t="s">
        <v>374</v>
      </c>
      <c r="R79" s="62"/>
      <c r="S79" s="47"/>
      <c r="T79" s="138"/>
      <c r="U79" s="62"/>
      <c r="V79" s="62">
        <v>1000000</v>
      </c>
      <c r="W79"/>
    </row>
    <row r="80" spans="1:23" x14ac:dyDescent="0.35">
      <c r="I80" s="120" t="s">
        <v>151</v>
      </c>
      <c r="J80" s="119">
        <v>60</v>
      </c>
      <c r="K80" s="33">
        <v>15000</v>
      </c>
      <c r="L80" s="33">
        <f>J80*K80</f>
        <v>900000</v>
      </c>
      <c r="Q80" s="47" t="s">
        <v>365</v>
      </c>
      <c r="R80" s="47"/>
      <c r="S80" s="47"/>
      <c r="T80" s="47"/>
      <c r="U80" s="47"/>
      <c r="V80" s="33">
        <v>100000</v>
      </c>
    </row>
    <row r="81" spans="1:23" x14ac:dyDescent="0.35">
      <c r="A81" s="30" t="s">
        <v>189</v>
      </c>
      <c r="I81" s="120"/>
      <c r="J81" s="119"/>
      <c r="K81" s="33"/>
      <c r="L81" s="33">
        <f>SUM(L77:L79)</f>
        <v>7885000</v>
      </c>
      <c r="V81" s="61">
        <f>SUM(V75:V80)</f>
        <v>16397600</v>
      </c>
    </row>
    <row r="82" spans="1:23" x14ac:dyDescent="0.35">
      <c r="A82" t="s">
        <v>190</v>
      </c>
      <c r="B82" t="s">
        <v>193</v>
      </c>
      <c r="C82" t="s">
        <v>194</v>
      </c>
      <c r="D82" s="35">
        <f>10%*10000000</f>
        <v>1000000</v>
      </c>
    </row>
    <row r="83" spans="1:23" x14ac:dyDescent="0.35">
      <c r="A83" t="s">
        <v>191</v>
      </c>
      <c r="B83" t="s">
        <v>195</v>
      </c>
      <c r="D83" s="35">
        <f xml:space="preserve"> 4.5% *10000000</f>
        <v>450000</v>
      </c>
      <c r="I83" s="121" t="s">
        <v>201</v>
      </c>
      <c r="J83" s="47" t="s">
        <v>198</v>
      </c>
      <c r="K83" s="47" t="s">
        <v>199</v>
      </c>
      <c r="L83" s="47" t="s">
        <v>22</v>
      </c>
    </row>
    <row r="84" spans="1:23" x14ac:dyDescent="0.35">
      <c r="A84" t="s">
        <v>192</v>
      </c>
      <c r="B84" t="s">
        <v>196</v>
      </c>
      <c r="D84" s="36">
        <v>450000</v>
      </c>
      <c r="I84" s="47" t="s">
        <v>200</v>
      </c>
      <c r="J84" s="47">
        <v>60</v>
      </c>
      <c r="K84" s="33">
        <v>50000</v>
      </c>
      <c r="L84" s="33">
        <f>J84*K84</f>
        <v>3000000</v>
      </c>
      <c r="Q84" s="30" t="s">
        <v>370</v>
      </c>
    </row>
    <row r="85" spans="1:23" x14ac:dyDescent="0.35">
      <c r="A85" s="41" t="s">
        <v>214</v>
      </c>
      <c r="D85" s="59">
        <f>D92</f>
        <v>480000</v>
      </c>
      <c r="I85" s="47" t="s">
        <v>202</v>
      </c>
      <c r="J85" s="47">
        <v>50</v>
      </c>
      <c r="K85" s="33">
        <v>8000</v>
      </c>
      <c r="L85" s="33">
        <f>J85*K85</f>
        <v>400000</v>
      </c>
      <c r="Q85" s="30" t="s">
        <v>371</v>
      </c>
    </row>
    <row r="86" spans="1:23" x14ac:dyDescent="0.35">
      <c r="A86" s="41"/>
      <c r="D86" s="59">
        <f>SUM(D82:D85)</f>
        <v>2380000</v>
      </c>
      <c r="I86" s="47" t="s">
        <v>203</v>
      </c>
      <c r="J86" s="47">
        <v>50</v>
      </c>
      <c r="K86" s="33">
        <v>6500</v>
      </c>
      <c r="L86" s="33">
        <f>J86*K86</f>
        <v>325000</v>
      </c>
      <c r="Q86" t="s">
        <v>188</v>
      </c>
      <c r="R86" s="101" t="s">
        <v>139</v>
      </c>
      <c r="S86" s="101" t="s">
        <v>140</v>
      </c>
      <c r="T86" s="101" t="s">
        <v>141</v>
      </c>
      <c r="U86" s="101" t="s">
        <v>164</v>
      </c>
      <c r="V86" s="101" t="s">
        <v>142</v>
      </c>
      <c r="W86" s="101" t="s">
        <v>22</v>
      </c>
    </row>
    <row r="87" spans="1:23" x14ac:dyDescent="0.35">
      <c r="A87" s="41"/>
      <c r="D87" s="59"/>
      <c r="I87" s="47" t="s">
        <v>204</v>
      </c>
      <c r="J87" s="47">
        <v>36</v>
      </c>
      <c r="K87" s="33">
        <v>10000</v>
      </c>
      <c r="L87" s="33">
        <f>J87*K87</f>
        <v>360000</v>
      </c>
      <c r="R87" s="102">
        <v>1</v>
      </c>
      <c r="S87" s="102" t="s">
        <v>143</v>
      </c>
      <c r="T87" s="103">
        <v>16800</v>
      </c>
      <c r="U87" s="104">
        <v>1</v>
      </c>
      <c r="V87" s="102">
        <v>28</v>
      </c>
      <c r="W87" s="103">
        <f>T87*V87*U87</f>
        <v>470400</v>
      </c>
    </row>
    <row r="88" spans="1:23" x14ac:dyDescent="0.35">
      <c r="A88" s="32" t="s">
        <v>172</v>
      </c>
      <c r="B88" s="48" t="s">
        <v>223</v>
      </c>
      <c r="C88" s="48" t="s">
        <v>164</v>
      </c>
      <c r="D88" s="32" t="s">
        <v>22</v>
      </c>
      <c r="I88" s="47"/>
      <c r="J88" s="47"/>
      <c r="K88" s="35"/>
      <c r="L88" s="35">
        <f>SUM(L84:L87)</f>
        <v>4085000</v>
      </c>
      <c r="R88" s="105">
        <v>2</v>
      </c>
      <c r="S88" s="105" t="s">
        <v>144</v>
      </c>
      <c r="T88" s="106">
        <v>14000</v>
      </c>
      <c r="U88" s="107">
        <v>1</v>
      </c>
      <c r="V88" s="102">
        <v>28</v>
      </c>
      <c r="W88" s="103">
        <f t="shared" ref="W88:W93" si="17">T88*V88*U88</f>
        <v>392000</v>
      </c>
    </row>
    <row r="89" spans="1:23" x14ac:dyDescent="0.35">
      <c r="A89" s="47" t="s">
        <v>219</v>
      </c>
      <c r="B89" s="33">
        <v>14000</v>
      </c>
      <c r="C89" s="57">
        <v>20</v>
      </c>
      <c r="D89" s="33">
        <f>B89*C89</f>
        <v>280000</v>
      </c>
      <c r="R89" s="105">
        <v>3</v>
      </c>
      <c r="S89" s="105" t="s">
        <v>145</v>
      </c>
      <c r="T89" s="106">
        <v>14000</v>
      </c>
      <c r="U89" s="107">
        <v>1</v>
      </c>
      <c r="V89" s="102">
        <v>28</v>
      </c>
      <c r="W89" s="103">
        <f t="shared" si="17"/>
        <v>392000</v>
      </c>
    </row>
    <row r="90" spans="1:23" x14ac:dyDescent="0.35">
      <c r="A90" s="47" t="s">
        <v>220</v>
      </c>
      <c r="B90" s="33">
        <v>5000</v>
      </c>
      <c r="C90" s="57">
        <v>20</v>
      </c>
      <c r="D90" s="33">
        <f t="shared" ref="D90:D91" si="18">B90*C90</f>
        <v>100000</v>
      </c>
      <c r="I90" s="53" t="s">
        <v>305</v>
      </c>
      <c r="L90" s="59"/>
      <c r="R90" s="105">
        <v>4</v>
      </c>
      <c r="S90" s="105" t="s">
        <v>168</v>
      </c>
      <c r="T90" s="106">
        <v>11200</v>
      </c>
      <c r="U90" s="107">
        <v>15</v>
      </c>
      <c r="V90" s="102">
        <v>28</v>
      </c>
      <c r="W90" s="103">
        <f t="shared" si="17"/>
        <v>4704000</v>
      </c>
    </row>
    <row r="91" spans="1:23" x14ac:dyDescent="0.35">
      <c r="A91" s="47" t="s">
        <v>221</v>
      </c>
      <c r="B91" s="33">
        <v>100000</v>
      </c>
      <c r="C91" s="57">
        <v>1</v>
      </c>
      <c r="D91" s="33">
        <f t="shared" si="18"/>
        <v>100000</v>
      </c>
      <c r="I91" s="30" t="s">
        <v>210</v>
      </c>
      <c r="M91" s="58"/>
      <c r="R91" s="105">
        <v>5</v>
      </c>
      <c r="S91" s="105" t="s">
        <v>165</v>
      </c>
      <c r="T91" s="106">
        <v>18200</v>
      </c>
      <c r="U91" s="107">
        <v>4</v>
      </c>
      <c r="V91" s="102">
        <v>28</v>
      </c>
      <c r="W91" s="103">
        <f t="shared" si="17"/>
        <v>2038400</v>
      </c>
    </row>
    <row r="92" spans="1:23" x14ac:dyDescent="0.35">
      <c r="A92" s="47" t="s">
        <v>28</v>
      </c>
      <c r="B92" s="33"/>
      <c r="C92" s="57"/>
      <c r="D92" s="33">
        <f>SUM(D89:D91)</f>
        <v>480000</v>
      </c>
      <c r="I92" t="s">
        <v>205</v>
      </c>
      <c r="J92" s="63">
        <v>15000</v>
      </c>
      <c r="K92">
        <v>5</v>
      </c>
      <c r="L92" s="33">
        <f>J92*K92</f>
        <v>75000</v>
      </c>
      <c r="M92" s="64"/>
      <c r="R92" s="105">
        <v>6</v>
      </c>
      <c r="S92" s="105" t="s">
        <v>185</v>
      </c>
      <c r="T92" s="106">
        <v>14000</v>
      </c>
      <c r="U92" s="107">
        <v>3</v>
      </c>
      <c r="V92" s="102">
        <v>28</v>
      </c>
      <c r="W92" s="103">
        <f t="shared" si="17"/>
        <v>1176000</v>
      </c>
    </row>
    <row r="93" spans="1:23" x14ac:dyDescent="0.35">
      <c r="B93" s="49"/>
      <c r="C93" s="65"/>
      <c r="D93" s="49"/>
      <c r="I93" t="s">
        <v>206</v>
      </c>
      <c r="J93" s="101"/>
      <c r="K93" s="122"/>
      <c r="L93" s="123">
        <f>M101</f>
        <v>995200</v>
      </c>
      <c r="R93" s="105">
        <v>7</v>
      </c>
      <c r="S93" s="105" t="s">
        <v>186</v>
      </c>
      <c r="T93" s="106">
        <v>11200</v>
      </c>
      <c r="U93" s="107">
        <v>3</v>
      </c>
      <c r="V93" s="102">
        <v>28</v>
      </c>
      <c r="W93" s="103">
        <f t="shared" si="17"/>
        <v>940800</v>
      </c>
    </row>
    <row r="94" spans="1:23" x14ac:dyDescent="0.35">
      <c r="B94" s="49"/>
      <c r="C94" s="65"/>
      <c r="D94" s="49"/>
      <c r="I94" t="s">
        <v>294</v>
      </c>
      <c r="J94" s="108"/>
      <c r="K94" s="124"/>
      <c r="L94" s="125">
        <f>SUM(L92:L93)</f>
        <v>1070200</v>
      </c>
      <c r="R94" s="105"/>
      <c r="S94" s="105"/>
      <c r="T94" s="106"/>
      <c r="U94" s="107"/>
      <c r="V94" s="105"/>
      <c r="W94" s="106">
        <f>SUM(W87:W93)</f>
        <v>10113600</v>
      </c>
    </row>
    <row r="95" spans="1:23" x14ac:dyDescent="0.35">
      <c r="F95" s="58"/>
      <c r="G95" s="58"/>
      <c r="H95" s="58"/>
      <c r="I95" s="101" t="s">
        <v>172</v>
      </c>
      <c r="J95" s="101" t="s">
        <v>140</v>
      </c>
      <c r="K95" s="101" t="s">
        <v>164</v>
      </c>
      <c r="L95" s="106" t="s">
        <v>141</v>
      </c>
      <c r="M95" s="106" t="s">
        <v>28</v>
      </c>
    </row>
    <row r="96" spans="1:23" x14ac:dyDescent="0.35">
      <c r="F96" s="64"/>
      <c r="G96" s="64"/>
      <c r="H96" s="64"/>
      <c r="I96" s="105" t="s">
        <v>184</v>
      </c>
      <c r="J96" s="105" t="s">
        <v>207</v>
      </c>
      <c r="K96" s="105">
        <v>4</v>
      </c>
      <c r="L96" s="106">
        <v>14000</v>
      </c>
      <c r="M96" s="106">
        <f>K96*L96</f>
        <v>56000</v>
      </c>
      <c r="Q96" s="172" t="s">
        <v>172</v>
      </c>
      <c r="R96" s="172"/>
      <c r="S96" s="32" t="s">
        <v>181</v>
      </c>
      <c r="T96" s="32" t="s">
        <v>182</v>
      </c>
      <c r="U96" s="32" t="s">
        <v>141</v>
      </c>
      <c r="V96" s="32" t="s">
        <v>372</v>
      </c>
      <c r="W96" s="32" t="s">
        <v>22</v>
      </c>
    </row>
    <row r="97" spans="9:23" x14ac:dyDescent="0.35">
      <c r="I97" s="105" t="s">
        <v>184</v>
      </c>
      <c r="J97" s="105" t="s">
        <v>293</v>
      </c>
      <c r="K97" s="105">
        <v>4</v>
      </c>
      <c r="L97" s="106">
        <v>11200</v>
      </c>
      <c r="M97" s="106">
        <f>K97*L97</f>
        <v>44800</v>
      </c>
      <c r="Q97" s="175" t="s">
        <v>373</v>
      </c>
      <c r="R97" s="175"/>
      <c r="S97" s="47">
        <v>5000</v>
      </c>
      <c r="T97" s="137">
        <v>28</v>
      </c>
      <c r="U97" s="33">
        <v>1000</v>
      </c>
      <c r="V97" s="47">
        <v>10</v>
      </c>
      <c r="W97" s="62">
        <f>S97*U97</f>
        <v>5000000</v>
      </c>
    </row>
    <row r="98" spans="9:23" x14ac:dyDescent="0.35">
      <c r="I98" s="105" t="s">
        <v>184</v>
      </c>
      <c r="J98" s="105" t="s">
        <v>208</v>
      </c>
      <c r="K98" s="105">
        <v>3</v>
      </c>
      <c r="L98" s="106">
        <v>14000</v>
      </c>
      <c r="M98" s="106">
        <f>K98*L98</f>
        <v>42000</v>
      </c>
      <c r="Q98" s="173" t="s">
        <v>180</v>
      </c>
      <c r="R98" s="174"/>
      <c r="S98" s="47">
        <v>5028</v>
      </c>
      <c r="T98" s="102">
        <v>28</v>
      </c>
      <c r="U98" s="33">
        <v>5000</v>
      </c>
      <c r="V98" s="47"/>
      <c r="W98" s="62">
        <f>S98*U98</f>
        <v>25140000</v>
      </c>
    </row>
    <row r="99" spans="9:23" x14ac:dyDescent="0.35">
      <c r="I99" s="105" t="s">
        <v>184</v>
      </c>
      <c r="J99" s="105" t="s">
        <v>209</v>
      </c>
      <c r="K99" s="105">
        <v>4</v>
      </c>
      <c r="L99" s="106">
        <v>14000</v>
      </c>
      <c r="M99" s="106">
        <f>K99*L99</f>
        <v>56000</v>
      </c>
      <c r="Q99" s="173" t="s">
        <v>184</v>
      </c>
      <c r="R99" s="174"/>
      <c r="S99" s="47">
        <v>28</v>
      </c>
      <c r="T99" s="102">
        <v>28</v>
      </c>
      <c r="U99" s="33"/>
      <c r="V99" s="47"/>
      <c r="W99" s="62">
        <f>W94</f>
        <v>10113600</v>
      </c>
    </row>
    <row r="100" spans="9:23" x14ac:dyDescent="0.35">
      <c r="I100" s="105" t="s">
        <v>211</v>
      </c>
      <c r="J100" s="105" t="s">
        <v>211</v>
      </c>
      <c r="K100" s="105">
        <v>1</v>
      </c>
      <c r="L100" s="106">
        <v>50000</v>
      </c>
      <c r="M100" s="106">
        <f>K100*L100</f>
        <v>50000</v>
      </c>
      <c r="Q100" s="175" t="s">
        <v>313</v>
      </c>
      <c r="R100" s="175"/>
      <c r="S100" s="47">
        <v>28</v>
      </c>
      <c r="T100" s="102">
        <v>28</v>
      </c>
      <c r="U100" s="33">
        <v>1000</v>
      </c>
      <c r="V100" s="47"/>
      <c r="W100" s="62">
        <f>S100*T100*U100</f>
        <v>784000</v>
      </c>
    </row>
    <row r="101" spans="9:23" x14ac:dyDescent="0.35">
      <c r="I101" s="105" t="s">
        <v>294</v>
      </c>
      <c r="J101" s="47"/>
      <c r="K101" s="47"/>
      <c r="L101" s="47"/>
      <c r="M101" s="66">
        <f>SUM(M96:M100)*4</f>
        <v>995200</v>
      </c>
      <c r="Q101" s="47" t="s">
        <v>363</v>
      </c>
      <c r="R101" s="33"/>
      <c r="S101" s="47"/>
      <c r="T101" s="33"/>
      <c r="U101" s="62"/>
      <c r="V101" s="47"/>
      <c r="W101" s="33">
        <v>200000</v>
      </c>
    </row>
    <row r="102" spans="9:23" x14ac:dyDescent="0.35">
      <c r="Q102" s="47" t="s">
        <v>232</v>
      </c>
      <c r="R102" s="62"/>
      <c r="S102" s="47"/>
      <c r="T102" s="138"/>
      <c r="U102" s="62"/>
      <c r="V102" s="47"/>
      <c r="W102" s="62">
        <v>300000</v>
      </c>
    </row>
    <row r="103" spans="9:23" x14ac:dyDescent="0.35">
      <c r="I103" s="126" t="s">
        <v>307</v>
      </c>
      <c r="J103" s="55"/>
      <c r="K103" s="55"/>
      <c r="L103" s="55"/>
      <c r="Q103" s="47"/>
      <c r="R103" s="47"/>
      <c r="S103" s="47"/>
      <c r="T103" s="47"/>
      <c r="U103" s="47"/>
      <c r="V103" s="47"/>
      <c r="W103" s="33">
        <f>SUM(W97:W102)</f>
        <v>41537600</v>
      </c>
    </row>
    <row r="104" spans="9:23" x14ac:dyDescent="0.35">
      <c r="I104" s="127" t="s">
        <v>299</v>
      </c>
      <c r="J104" s="30"/>
      <c r="K104" s="55"/>
      <c r="L104" s="55"/>
      <c r="W104" s="61"/>
    </row>
    <row r="105" spans="9:23" x14ac:dyDescent="0.35">
      <c r="I105" s="56"/>
      <c r="J105" s="30" t="s">
        <v>198</v>
      </c>
      <c r="K105" s="55" t="s">
        <v>199</v>
      </c>
      <c r="L105" s="55" t="s">
        <v>22</v>
      </c>
      <c r="Q105" t="s">
        <v>377</v>
      </c>
    </row>
    <row r="106" spans="9:23" ht="18.649999999999999" customHeight="1" x14ac:dyDescent="0.35">
      <c r="I106" s="47" t="s">
        <v>295</v>
      </c>
      <c r="J106" s="77">
        <v>2</v>
      </c>
      <c r="K106" s="33">
        <v>300000</v>
      </c>
      <c r="L106" s="33">
        <f>J106*K106</f>
        <v>600000</v>
      </c>
      <c r="Q106" t="s">
        <v>188</v>
      </c>
      <c r="R106" s="101" t="s">
        <v>139</v>
      </c>
      <c r="S106" s="101" t="s">
        <v>140</v>
      </c>
      <c r="T106" s="101" t="s">
        <v>141</v>
      </c>
      <c r="U106" s="101" t="s">
        <v>164</v>
      </c>
      <c r="V106" s="101" t="s">
        <v>142</v>
      </c>
      <c r="W106" s="101" t="s">
        <v>22</v>
      </c>
    </row>
    <row r="107" spans="9:23" x14ac:dyDescent="0.35">
      <c r="I107" s="47" t="s">
        <v>296</v>
      </c>
      <c r="J107" s="47">
        <v>2</v>
      </c>
      <c r="K107" s="33">
        <v>449449</v>
      </c>
      <c r="L107" s="62">
        <f>J107*K107</f>
        <v>898898</v>
      </c>
      <c r="R107" s="102">
        <v>1</v>
      </c>
      <c r="S107" s="102" t="s">
        <v>143</v>
      </c>
      <c r="T107" s="103">
        <v>16800</v>
      </c>
      <c r="U107" s="104">
        <v>1</v>
      </c>
      <c r="V107" s="102">
        <v>7</v>
      </c>
      <c r="W107" s="103">
        <f>T107*V107*U107</f>
        <v>117600</v>
      </c>
    </row>
    <row r="108" spans="9:23" x14ac:dyDescent="0.35">
      <c r="I108" s="47" t="s">
        <v>298</v>
      </c>
      <c r="J108" s="47">
        <v>2</v>
      </c>
      <c r="K108" s="33">
        <v>300000</v>
      </c>
      <c r="L108" s="62">
        <f>J108*K108</f>
        <v>600000</v>
      </c>
      <c r="M108" s="67"/>
      <c r="R108" s="105">
        <v>2</v>
      </c>
      <c r="S108" s="105" t="s">
        <v>144</v>
      </c>
      <c r="T108" s="106">
        <v>14000</v>
      </c>
      <c r="U108" s="107">
        <v>1</v>
      </c>
      <c r="V108" s="102">
        <v>7</v>
      </c>
      <c r="W108" s="103">
        <f t="shared" ref="W108:W113" si="19">T108*V108*U108</f>
        <v>98000</v>
      </c>
    </row>
    <row r="109" spans="9:23" x14ac:dyDescent="0.35">
      <c r="I109" s="47" t="s">
        <v>297</v>
      </c>
      <c r="J109" s="47">
        <v>1</v>
      </c>
      <c r="K109" s="33">
        <v>120000</v>
      </c>
      <c r="L109" s="62">
        <f>J109*K109</f>
        <v>120000</v>
      </c>
      <c r="M109" s="67"/>
      <c r="R109" s="105">
        <v>3</v>
      </c>
      <c r="S109" s="105" t="s">
        <v>145</v>
      </c>
      <c r="T109" s="106">
        <v>14000</v>
      </c>
      <c r="U109" s="107">
        <v>1</v>
      </c>
      <c r="V109" s="102">
        <v>7</v>
      </c>
      <c r="W109" s="103">
        <f t="shared" si="19"/>
        <v>98000</v>
      </c>
    </row>
    <row r="110" spans="9:23" x14ac:dyDescent="0.35">
      <c r="K110" s="49"/>
      <c r="L110" s="61">
        <f>SUM(L106:L109)</f>
        <v>2218898</v>
      </c>
      <c r="M110" s="67"/>
      <c r="R110" s="105">
        <v>4</v>
      </c>
      <c r="S110" s="105" t="s">
        <v>168</v>
      </c>
      <c r="T110" s="106">
        <v>11200</v>
      </c>
      <c r="U110" s="107">
        <v>4</v>
      </c>
      <c r="V110" s="102">
        <v>7</v>
      </c>
      <c r="W110" s="103">
        <f t="shared" si="19"/>
        <v>313600</v>
      </c>
    </row>
    <row r="111" spans="9:23" x14ac:dyDescent="0.35">
      <c r="I111" s="53" t="s">
        <v>299</v>
      </c>
      <c r="J111" s="64"/>
      <c r="K111" s="64"/>
      <c r="L111" s="64"/>
      <c r="M111" s="67"/>
      <c r="R111" s="105">
        <v>5</v>
      </c>
      <c r="S111" s="105" t="s">
        <v>165</v>
      </c>
      <c r="T111" s="106">
        <v>18200</v>
      </c>
      <c r="U111" s="107">
        <v>4</v>
      </c>
      <c r="V111" s="102">
        <v>7</v>
      </c>
      <c r="W111" s="103">
        <f t="shared" si="19"/>
        <v>509600</v>
      </c>
    </row>
    <row r="112" spans="9:23" x14ac:dyDescent="0.35">
      <c r="I112" s="121" t="s">
        <v>172</v>
      </c>
      <c r="J112" s="47" t="s">
        <v>198</v>
      </c>
      <c r="K112" s="47" t="s">
        <v>199</v>
      </c>
      <c r="L112" s="47" t="s">
        <v>22</v>
      </c>
      <c r="M112" s="67"/>
      <c r="R112" s="105">
        <v>6</v>
      </c>
      <c r="S112" s="105" t="s">
        <v>185</v>
      </c>
      <c r="T112" s="106">
        <v>14000</v>
      </c>
      <c r="U112" s="107">
        <v>3</v>
      </c>
      <c r="V112" s="102">
        <v>7</v>
      </c>
      <c r="W112" s="103">
        <f t="shared" si="19"/>
        <v>294000</v>
      </c>
    </row>
    <row r="113" spans="1:23" x14ac:dyDescent="0.35">
      <c r="I113" s="47" t="s">
        <v>300</v>
      </c>
      <c r="J113" s="47">
        <v>2</v>
      </c>
      <c r="K113" s="33">
        <v>8000000</v>
      </c>
      <c r="L113" s="33">
        <f>J113*K113</f>
        <v>16000000</v>
      </c>
      <c r="M113" s="67"/>
      <c r="R113" s="105">
        <v>7</v>
      </c>
      <c r="S113" s="105" t="s">
        <v>186</v>
      </c>
      <c r="T113" s="106">
        <v>11200</v>
      </c>
      <c r="U113" s="107">
        <v>3</v>
      </c>
      <c r="V113" s="102">
        <v>7</v>
      </c>
      <c r="W113" s="103">
        <f t="shared" si="19"/>
        <v>235200</v>
      </c>
    </row>
    <row r="114" spans="1:23" x14ac:dyDescent="0.35">
      <c r="I114" s="47" t="s">
        <v>301</v>
      </c>
      <c r="J114" s="47">
        <v>4</v>
      </c>
      <c r="K114" s="33">
        <v>800000</v>
      </c>
      <c r="L114" s="33">
        <f>J114*K114</f>
        <v>3200000</v>
      </c>
      <c r="M114" s="67"/>
      <c r="R114" s="105"/>
      <c r="S114" s="105"/>
      <c r="T114" s="106"/>
      <c r="U114" s="107"/>
      <c r="V114" s="105"/>
      <c r="W114" s="106">
        <f>SUM(W107:W113)</f>
        <v>1666000</v>
      </c>
    </row>
    <row r="115" spans="1:23" x14ac:dyDescent="0.35">
      <c r="A115" s="30"/>
      <c r="I115" s="47"/>
      <c r="J115" s="47"/>
      <c r="K115" s="33"/>
      <c r="L115" s="33">
        <f>SUM(L113:L114)</f>
        <v>19200000</v>
      </c>
      <c r="M115" s="68"/>
    </row>
    <row r="116" spans="1:23" x14ac:dyDescent="0.35">
      <c r="A116" s="72"/>
      <c r="B116" s="72"/>
      <c r="C116" s="128"/>
      <c r="D116" s="49"/>
      <c r="E116" s="129"/>
      <c r="F116" s="129"/>
      <c r="G116" s="129"/>
      <c r="I116" s="69"/>
      <c r="J116" s="70"/>
      <c r="K116" s="70"/>
      <c r="L116" s="70"/>
      <c r="M116" s="64"/>
    </row>
    <row r="117" spans="1:23" x14ac:dyDescent="0.35">
      <c r="A117" s="72"/>
      <c r="B117" s="72"/>
      <c r="C117" s="128"/>
      <c r="D117" s="49"/>
      <c r="E117" s="130"/>
      <c r="F117" s="131"/>
      <c r="G117" s="132"/>
      <c r="I117" t="s">
        <v>306</v>
      </c>
      <c r="M117" s="71"/>
      <c r="Q117" s="172" t="s">
        <v>172</v>
      </c>
      <c r="R117" s="172"/>
      <c r="S117" s="32" t="s">
        <v>181</v>
      </c>
      <c r="T117" s="32" t="s">
        <v>182</v>
      </c>
      <c r="U117" s="32" t="s">
        <v>141</v>
      </c>
      <c r="V117" s="32" t="s">
        <v>22</v>
      </c>
    </row>
    <row r="118" spans="1:23" x14ac:dyDescent="0.35">
      <c r="B118" s="72"/>
      <c r="E118" s="130"/>
      <c r="F118" s="131"/>
      <c r="G118" s="132"/>
      <c r="I118" s="73" t="s">
        <v>308</v>
      </c>
      <c r="J118" s="54"/>
      <c r="K118" s="54"/>
      <c r="L118" s="54"/>
      <c r="M118" s="54"/>
      <c r="Q118" s="173" t="s">
        <v>180</v>
      </c>
      <c r="R118" s="174"/>
      <c r="S118" s="47">
        <v>17</v>
      </c>
      <c r="T118" s="57">
        <v>7</v>
      </c>
      <c r="U118" s="33">
        <v>5000</v>
      </c>
      <c r="V118" s="62">
        <f>S118*T118* 5000</f>
        <v>595000</v>
      </c>
    </row>
    <row r="119" spans="1:23" x14ac:dyDescent="0.35">
      <c r="E119" s="130"/>
      <c r="F119" s="131"/>
      <c r="G119" s="132"/>
      <c r="J119" s="74"/>
      <c r="K119" s="74"/>
      <c r="L119" s="74"/>
      <c r="M119" s="74"/>
      <c r="Q119" s="173" t="s">
        <v>184</v>
      </c>
      <c r="R119" s="174"/>
      <c r="S119" s="47">
        <v>17</v>
      </c>
      <c r="T119" s="57">
        <v>7</v>
      </c>
      <c r="U119" s="33"/>
      <c r="V119" s="62">
        <f>W114</f>
        <v>1666000</v>
      </c>
    </row>
    <row r="120" spans="1:23" x14ac:dyDescent="0.35">
      <c r="E120" s="130"/>
      <c r="F120" s="131"/>
      <c r="G120" s="132"/>
      <c r="I120" s="32" t="s">
        <v>243</v>
      </c>
      <c r="J120" s="45" t="s">
        <v>244</v>
      </c>
      <c r="K120" s="45" t="s">
        <v>245</v>
      </c>
      <c r="L120" s="45" t="s">
        <v>246</v>
      </c>
      <c r="M120" s="45" t="s">
        <v>22</v>
      </c>
      <c r="Q120" s="175" t="s">
        <v>313</v>
      </c>
      <c r="R120" s="175"/>
      <c r="S120" s="47">
        <v>17</v>
      </c>
      <c r="T120" s="57">
        <v>7</v>
      </c>
      <c r="U120" s="33">
        <v>1000</v>
      </c>
      <c r="V120" s="62">
        <f>S120*T120*U120</f>
        <v>119000</v>
      </c>
    </row>
    <row r="121" spans="1:23" x14ac:dyDescent="0.35">
      <c r="G121" s="75"/>
      <c r="I121" s="47" t="s">
        <v>247</v>
      </c>
      <c r="J121" s="76" t="s">
        <v>248</v>
      </c>
      <c r="K121" s="76">
        <v>15</v>
      </c>
      <c r="L121" s="52">
        <v>10140</v>
      </c>
      <c r="M121" s="52">
        <f>SUM(K121*L121)</f>
        <v>152100</v>
      </c>
      <c r="Q121" s="47" t="s">
        <v>363</v>
      </c>
      <c r="R121" s="33"/>
      <c r="S121" s="47"/>
      <c r="T121" s="33"/>
      <c r="U121" s="62"/>
      <c r="V121" s="33">
        <v>100000</v>
      </c>
    </row>
    <row r="122" spans="1:23" ht="23.4" customHeight="1" x14ac:dyDescent="0.35">
      <c r="G122" s="75"/>
      <c r="I122" s="77" t="s">
        <v>249</v>
      </c>
      <c r="J122" s="76"/>
      <c r="K122" s="76">
        <v>15</v>
      </c>
      <c r="L122" s="52">
        <v>16529</v>
      </c>
      <c r="M122" s="52">
        <f>SUM(K122*L122)</f>
        <v>247935</v>
      </c>
      <c r="Q122" s="47" t="s">
        <v>28</v>
      </c>
      <c r="R122" s="62"/>
      <c r="S122" s="47"/>
      <c r="T122" s="138"/>
      <c r="U122" s="62"/>
      <c r="V122" s="62">
        <f>SUM(V118:V121)</f>
        <v>2480000</v>
      </c>
    </row>
    <row r="123" spans="1:23" ht="31" x14ac:dyDescent="0.35">
      <c r="I123" s="77" t="s">
        <v>250</v>
      </c>
      <c r="J123" s="76" t="s">
        <v>251</v>
      </c>
      <c r="K123" s="76">
        <v>4</v>
      </c>
      <c r="L123" s="52">
        <v>34552</v>
      </c>
      <c r="M123" s="52">
        <f>SUM(K123*L123)</f>
        <v>138208</v>
      </c>
    </row>
    <row r="124" spans="1:23" ht="31" x14ac:dyDescent="0.35">
      <c r="I124" s="77" t="s">
        <v>252</v>
      </c>
      <c r="J124" s="76" t="s">
        <v>253</v>
      </c>
      <c r="K124" s="76">
        <v>8</v>
      </c>
      <c r="L124" s="52">
        <v>5821</v>
      </c>
      <c r="M124" s="52">
        <f>SUM(K124*L124)</f>
        <v>46568</v>
      </c>
    </row>
    <row r="125" spans="1:23" x14ac:dyDescent="0.35">
      <c r="I125" s="77" t="s">
        <v>254</v>
      </c>
      <c r="J125" s="76" t="s">
        <v>255</v>
      </c>
      <c r="K125" s="76">
        <v>2</v>
      </c>
      <c r="L125" s="52">
        <v>16356</v>
      </c>
      <c r="M125" s="52">
        <f>SUM(K125*L125)</f>
        <v>32712</v>
      </c>
    </row>
    <row r="126" spans="1:23" ht="31" x14ac:dyDescent="0.35">
      <c r="I126" s="77" t="s">
        <v>256</v>
      </c>
      <c r="J126" s="78" t="s">
        <v>257</v>
      </c>
      <c r="K126" s="76">
        <v>1</v>
      </c>
      <c r="L126" s="52">
        <v>9795</v>
      </c>
      <c r="M126" s="52">
        <v>9795</v>
      </c>
    </row>
    <row r="127" spans="1:23" x14ac:dyDescent="0.35">
      <c r="I127" s="77" t="s">
        <v>258</v>
      </c>
      <c r="J127" s="76" t="s">
        <v>259</v>
      </c>
      <c r="K127" s="76">
        <v>1</v>
      </c>
      <c r="L127" s="52">
        <v>7000</v>
      </c>
      <c r="M127" s="52">
        <f>SUM(K127*L127)</f>
        <v>7000</v>
      </c>
    </row>
    <row r="128" spans="1:23" x14ac:dyDescent="0.35">
      <c r="I128" s="77" t="s">
        <v>260</v>
      </c>
      <c r="J128" s="76"/>
      <c r="K128" s="76">
        <v>7</v>
      </c>
      <c r="L128" s="52">
        <v>3500</v>
      </c>
      <c r="M128" s="52">
        <f>SUM(K128*L128)</f>
        <v>24500</v>
      </c>
    </row>
    <row r="129" spans="9:13" x14ac:dyDescent="0.35">
      <c r="J129" s="74"/>
      <c r="K129" s="74"/>
      <c r="L129" s="74"/>
      <c r="M129" s="74"/>
    </row>
    <row r="130" spans="9:13" x14ac:dyDescent="0.35">
      <c r="I130" s="79" t="s">
        <v>261</v>
      </c>
      <c r="J130" s="79"/>
      <c r="K130" s="79"/>
      <c r="L130" s="79"/>
      <c r="M130" s="79"/>
    </row>
    <row r="131" spans="9:13" x14ac:dyDescent="0.35">
      <c r="I131" s="47" t="s">
        <v>247</v>
      </c>
      <c r="J131" s="76" t="s">
        <v>248</v>
      </c>
      <c r="K131" s="76">
        <v>10</v>
      </c>
      <c r="L131" s="52">
        <v>10140</v>
      </c>
      <c r="M131" s="52">
        <f>SUM(K131*L131)</f>
        <v>101400</v>
      </c>
    </row>
    <row r="132" spans="9:13" ht="46.5" x14ac:dyDescent="0.35">
      <c r="I132" s="77" t="s">
        <v>249</v>
      </c>
      <c r="J132" s="76"/>
      <c r="K132" s="76">
        <v>10</v>
      </c>
      <c r="L132" s="52">
        <v>16529</v>
      </c>
      <c r="M132" s="52">
        <f>SUM(K132*L132)</f>
        <v>165290</v>
      </c>
    </row>
    <row r="133" spans="9:13" ht="31" x14ac:dyDescent="0.35">
      <c r="I133" s="77" t="s">
        <v>250</v>
      </c>
      <c r="J133" s="76" t="s">
        <v>251</v>
      </c>
      <c r="K133" s="76">
        <v>3</v>
      </c>
      <c r="L133" s="52">
        <v>34552</v>
      </c>
      <c r="M133" s="52">
        <f>SUM(K133*L133)</f>
        <v>103656</v>
      </c>
    </row>
    <row r="134" spans="9:13" ht="31" x14ac:dyDescent="0.35">
      <c r="I134" s="77" t="s">
        <v>252</v>
      </c>
      <c r="J134" s="76" t="s">
        <v>253</v>
      </c>
      <c r="K134" s="76">
        <v>6</v>
      </c>
      <c r="L134" s="52">
        <v>5821</v>
      </c>
      <c r="M134" s="52">
        <f>SUM(K134*L134)</f>
        <v>34926</v>
      </c>
    </row>
    <row r="135" spans="9:13" x14ac:dyDescent="0.35">
      <c r="I135" s="77" t="s">
        <v>254</v>
      </c>
      <c r="J135" s="76" t="s">
        <v>255</v>
      </c>
      <c r="K135" s="76">
        <v>2</v>
      </c>
      <c r="L135" s="52">
        <v>16356</v>
      </c>
      <c r="M135" s="52">
        <f>SUM(K135*L135)</f>
        <v>32712</v>
      </c>
    </row>
    <row r="136" spans="9:13" ht="31" x14ac:dyDescent="0.35">
      <c r="I136" s="77" t="s">
        <v>256</v>
      </c>
      <c r="J136" s="78" t="s">
        <v>257</v>
      </c>
      <c r="K136" s="76">
        <v>1</v>
      </c>
      <c r="L136" s="52">
        <v>9795</v>
      </c>
      <c r="M136" s="52">
        <v>9795</v>
      </c>
    </row>
    <row r="137" spans="9:13" x14ac:dyDescent="0.35">
      <c r="I137" s="77" t="s">
        <v>262</v>
      </c>
      <c r="J137" s="76" t="s">
        <v>263</v>
      </c>
      <c r="K137" s="76">
        <v>1</v>
      </c>
      <c r="L137" s="52">
        <v>7000</v>
      </c>
      <c r="M137" s="52">
        <f>SUM(K137*L137)</f>
        <v>7000</v>
      </c>
    </row>
    <row r="138" spans="9:13" x14ac:dyDescent="0.35">
      <c r="I138" s="77" t="s">
        <v>260</v>
      </c>
      <c r="J138" s="76"/>
      <c r="K138" s="76">
        <v>5</v>
      </c>
      <c r="L138" s="52">
        <v>3500</v>
      </c>
      <c r="M138" s="52">
        <v>17500</v>
      </c>
    </row>
    <row r="139" spans="9:13" x14ac:dyDescent="0.35">
      <c r="J139" s="74"/>
      <c r="K139" s="74"/>
      <c r="L139" s="74"/>
      <c r="M139" s="74"/>
    </row>
    <row r="140" spans="9:13" x14ac:dyDescent="0.35">
      <c r="I140" s="79" t="s">
        <v>264</v>
      </c>
      <c r="J140" s="79"/>
      <c r="K140" s="79"/>
      <c r="L140" s="79"/>
      <c r="M140" s="79"/>
    </row>
    <row r="141" spans="9:13" x14ac:dyDescent="0.35">
      <c r="I141" s="47" t="s">
        <v>247</v>
      </c>
      <c r="J141" s="76" t="s">
        <v>248</v>
      </c>
      <c r="K141" s="76">
        <v>10</v>
      </c>
      <c r="L141" s="52">
        <v>10140</v>
      </c>
      <c r="M141" s="52">
        <f>SUM(K141*L141)</f>
        <v>101400</v>
      </c>
    </row>
    <row r="142" spans="9:13" ht="46.5" x14ac:dyDescent="0.35">
      <c r="I142" s="77" t="s">
        <v>249</v>
      </c>
      <c r="J142" s="76"/>
      <c r="K142" s="76">
        <v>10</v>
      </c>
      <c r="L142" s="52">
        <v>16529</v>
      </c>
      <c r="M142" s="52">
        <f>SUM(K142*L142)</f>
        <v>165290</v>
      </c>
    </row>
    <row r="143" spans="9:13" ht="31" x14ac:dyDescent="0.35">
      <c r="I143" s="77" t="s">
        <v>250</v>
      </c>
      <c r="J143" s="76" t="s">
        <v>251</v>
      </c>
      <c r="K143" s="76">
        <v>3</v>
      </c>
      <c r="L143" s="52">
        <v>34552</v>
      </c>
      <c r="M143" s="52">
        <f>SUM(K143*L143)</f>
        <v>103656</v>
      </c>
    </row>
    <row r="144" spans="9:13" x14ac:dyDescent="0.35">
      <c r="I144" s="47" t="s">
        <v>252</v>
      </c>
      <c r="J144" s="76" t="s">
        <v>253</v>
      </c>
      <c r="K144" s="76">
        <v>6</v>
      </c>
      <c r="L144" s="52">
        <v>5821</v>
      </c>
      <c r="M144" s="52">
        <f>SUM(K144*L144)</f>
        <v>34926</v>
      </c>
    </row>
    <row r="145" spans="9:13" x14ac:dyDescent="0.35">
      <c r="I145" s="77" t="s">
        <v>254</v>
      </c>
      <c r="J145" s="76" t="s">
        <v>255</v>
      </c>
      <c r="K145" s="76">
        <v>2</v>
      </c>
      <c r="L145" s="52">
        <v>16356</v>
      </c>
      <c r="M145" s="52">
        <f>SUM(K145*L145)</f>
        <v>32712</v>
      </c>
    </row>
    <row r="146" spans="9:13" ht="31" x14ac:dyDescent="0.35">
      <c r="I146" s="77" t="s">
        <v>256</v>
      </c>
      <c r="J146" s="78" t="s">
        <v>257</v>
      </c>
      <c r="K146" s="76">
        <v>1</v>
      </c>
      <c r="L146" s="52">
        <v>9795</v>
      </c>
      <c r="M146" s="52">
        <v>9795</v>
      </c>
    </row>
    <row r="147" spans="9:13" x14ac:dyDescent="0.35">
      <c r="I147" s="77" t="s">
        <v>265</v>
      </c>
      <c r="J147" s="76" t="s">
        <v>266</v>
      </c>
      <c r="K147" s="76">
        <v>1</v>
      </c>
      <c r="L147" s="52">
        <v>7000</v>
      </c>
      <c r="M147" s="52">
        <f>SUM(K147*L147)</f>
        <v>7000</v>
      </c>
    </row>
    <row r="148" spans="9:13" x14ac:dyDescent="0.35">
      <c r="I148" s="77" t="s">
        <v>260</v>
      </c>
      <c r="J148" s="76"/>
      <c r="K148" s="76">
        <v>5</v>
      </c>
      <c r="L148" s="52">
        <v>3500</v>
      </c>
      <c r="M148" s="52">
        <v>17500</v>
      </c>
    </row>
    <row r="149" spans="9:13" x14ac:dyDescent="0.35">
      <c r="J149" s="74"/>
      <c r="K149" s="74"/>
      <c r="L149" s="74"/>
      <c r="M149" s="74"/>
    </row>
    <row r="150" spans="9:13" x14ac:dyDescent="0.35">
      <c r="I150" s="80" t="s">
        <v>267</v>
      </c>
      <c r="J150" s="80"/>
      <c r="K150" s="80"/>
      <c r="L150" s="80"/>
      <c r="M150" s="80"/>
    </row>
    <row r="151" spans="9:13" ht="31" x14ac:dyDescent="0.35">
      <c r="I151" s="77" t="s">
        <v>268</v>
      </c>
      <c r="J151" s="76"/>
      <c r="K151" s="76">
        <v>2</v>
      </c>
      <c r="L151" s="52">
        <v>57868</v>
      </c>
      <c r="M151" s="52">
        <f t="shared" ref="M151:M160" si="20">SUM(K151*L151)</f>
        <v>115736</v>
      </c>
    </row>
    <row r="152" spans="9:13" ht="31" x14ac:dyDescent="0.35">
      <c r="I152" s="77" t="s">
        <v>269</v>
      </c>
      <c r="J152" s="76" t="s">
        <v>270</v>
      </c>
      <c r="K152" s="76">
        <v>1</v>
      </c>
      <c r="L152" s="52">
        <v>32626</v>
      </c>
      <c r="M152" s="52">
        <f t="shared" si="20"/>
        <v>32626</v>
      </c>
    </row>
    <row r="153" spans="9:13" ht="46.5" x14ac:dyDescent="0.35">
      <c r="I153" s="77" t="s">
        <v>271</v>
      </c>
      <c r="J153" s="78" t="s">
        <v>272</v>
      </c>
      <c r="K153" s="76">
        <v>1</v>
      </c>
      <c r="L153" s="52">
        <v>31240</v>
      </c>
      <c r="M153" s="52">
        <f t="shared" si="20"/>
        <v>31240</v>
      </c>
    </row>
    <row r="154" spans="9:13" ht="46.5" x14ac:dyDescent="0.35">
      <c r="I154" s="77" t="s">
        <v>273</v>
      </c>
      <c r="J154" s="76"/>
      <c r="K154" s="76">
        <v>1</v>
      </c>
      <c r="L154" s="52">
        <v>24878</v>
      </c>
      <c r="M154" s="52">
        <f t="shared" si="20"/>
        <v>24878</v>
      </c>
    </row>
    <row r="155" spans="9:13" ht="46.5" x14ac:dyDescent="0.35">
      <c r="I155" s="77" t="s">
        <v>274</v>
      </c>
      <c r="J155" s="76"/>
      <c r="K155" s="76">
        <v>3</v>
      </c>
      <c r="L155" s="52">
        <v>16529</v>
      </c>
      <c r="M155" s="52">
        <f t="shared" si="20"/>
        <v>49587</v>
      </c>
    </row>
    <row r="156" spans="9:13" ht="31" x14ac:dyDescent="0.35">
      <c r="I156" s="77" t="s">
        <v>275</v>
      </c>
      <c r="J156" s="76" t="s">
        <v>276</v>
      </c>
      <c r="K156" s="76">
        <v>1</v>
      </c>
      <c r="L156" s="52">
        <v>17815</v>
      </c>
      <c r="M156" s="52">
        <f t="shared" si="20"/>
        <v>17815</v>
      </c>
    </row>
    <row r="157" spans="9:13" ht="46.5" x14ac:dyDescent="0.35">
      <c r="I157" s="77" t="s">
        <v>277</v>
      </c>
      <c r="J157" s="78" t="s">
        <v>278</v>
      </c>
      <c r="K157" s="76">
        <v>1</v>
      </c>
      <c r="L157" s="52">
        <v>81880</v>
      </c>
      <c r="M157" s="52">
        <f t="shared" si="20"/>
        <v>81880</v>
      </c>
    </row>
    <row r="158" spans="9:13" ht="31" x14ac:dyDescent="0.35">
      <c r="I158" s="77" t="s">
        <v>279</v>
      </c>
      <c r="J158" s="76" t="s">
        <v>280</v>
      </c>
      <c r="K158" s="76">
        <v>1</v>
      </c>
      <c r="L158" s="52">
        <v>7820</v>
      </c>
      <c r="M158" s="52">
        <f t="shared" si="20"/>
        <v>7820</v>
      </c>
    </row>
    <row r="159" spans="9:13" ht="31" x14ac:dyDescent="0.35">
      <c r="I159" s="77" t="s">
        <v>256</v>
      </c>
      <c r="J159" s="78" t="s">
        <v>257</v>
      </c>
      <c r="K159" s="76">
        <v>1</v>
      </c>
      <c r="L159" s="52">
        <v>9795</v>
      </c>
      <c r="M159" s="52">
        <f t="shared" si="20"/>
        <v>9795</v>
      </c>
    </row>
    <row r="160" spans="9:13" x14ac:dyDescent="0.35">
      <c r="I160" s="77" t="s">
        <v>281</v>
      </c>
      <c r="J160" s="76"/>
      <c r="K160" s="76">
        <v>1</v>
      </c>
      <c r="L160" s="52">
        <v>22000</v>
      </c>
      <c r="M160" s="52">
        <f t="shared" si="20"/>
        <v>22000</v>
      </c>
    </row>
    <row r="161" spans="9:13" x14ac:dyDescent="0.35">
      <c r="I161" s="77" t="s">
        <v>265</v>
      </c>
      <c r="J161" s="76" t="s">
        <v>266</v>
      </c>
      <c r="K161" s="76">
        <v>1</v>
      </c>
      <c r="L161" s="52">
        <v>7000</v>
      </c>
      <c r="M161" s="52">
        <v>7000</v>
      </c>
    </row>
    <row r="162" spans="9:13" x14ac:dyDescent="0.35">
      <c r="I162" s="77" t="s">
        <v>260</v>
      </c>
      <c r="J162" s="76"/>
      <c r="K162" s="76">
        <v>2</v>
      </c>
      <c r="L162" s="52">
        <v>3500</v>
      </c>
      <c r="M162" s="52">
        <f>SUM(K162*L162)</f>
        <v>7000</v>
      </c>
    </row>
    <row r="163" spans="9:13" x14ac:dyDescent="0.35">
      <c r="J163" s="74"/>
      <c r="K163" s="74"/>
      <c r="L163" s="74"/>
      <c r="M163" s="74"/>
    </row>
    <row r="164" spans="9:13" x14ac:dyDescent="0.35">
      <c r="I164" s="80" t="s">
        <v>282</v>
      </c>
      <c r="J164" s="80"/>
      <c r="K164" s="80"/>
      <c r="L164" s="80"/>
      <c r="M164" s="80"/>
    </row>
    <row r="165" spans="9:13" ht="46.5" x14ac:dyDescent="0.35">
      <c r="I165" s="77" t="s">
        <v>274</v>
      </c>
      <c r="J165" s="76"/>
      <c r="K165" s="76">
        <v>4</v>
      </c>
      <c r="L165" s="52">
        <v>16529</v>
      </c>
      <c r="M165" s="52">
        <f>SUM(K165*L165)</f>
        <v>66116</v>
      </c>
    </row>
    <row r="166" spans="9:13" x14ac:dyDescent="0.35">
      <c r="I166" s="77" t="s">
        <v>254</v>
      </c>
      <c r="J166" s="76" t="s">
        <v>255</v>
      </c>
      <c r="K166" s="76">
        <v>2</v>
      </c>
      <c r="L166" s="52">
        <v>16356</v>
      </c>
      <c r="M166" s="52">
        <f>SUM(K166*L166)</f>
        <v>32712</v>
      </c>
    </row>
    <row r="167" spans="9:13" x14ac:dyDescent="0.35">
      <c r="I167" s="77" t="s">
        <v>283</v>
      </c>
      <c r="J167" s="76"/>
      <c r="K167" s="76">
        <v>3</v>
      </c>
      <c r="L167" s="52">
        <v>15413</v>
      </c>
      <c r="M167" s="52">
        <f>SUM(K167*L167)</f>
        <v>46239</v>
      </c>
    </row>
    <row r="168" spans="9:13" ht="31" x14ac:dyDescent="0.35">
      <c r="I168" s="77" t="s">
        <v>284</v>
      </c>
      <c r="J168" s="76" t="s">
        <v>285</v>
      </c>
      <c r="K168" s="76">
        <v>1</v>
      </c>
      <c r="L168" s="52">
        <v>112338</v>
      </c>
      <c r="M168" s="52">
        <f>SUM(K168*L168)</f>
        <v>112338</v>
      </c>
    </row>
    <row r="169" spans="9:13" ht="31" x14ac:dyDescent="0.35">
      <c r="I169" s="77" t="s">
        <v>256</v>
      </c>
      <c r="J169" s="78" t="s">
        <v>257</v>
      </c>
      <c r="K169" s="76">
        <v>1</v>
      </c>
      <c r="L169" s="52">
        <v>9795</v>
      </c>
      <c r="M169" s="52">
        <f>SUM(K169*L169)</f>
        <v>9795</v>
      </c>
    </row>
    <row r="170" spans="9:13" x14ac:dyDescent="0.35">
      <c r="I170" s="77" t="s">
        <v>281</v>
      </c>
      <c r="J170" s="78"/>
      <c r="K170" s="76">
        <v>1</v>
      </c>
      <c r="L170" s="52">
        <v>22000</v>
      </c>
      <c r="M170" s="52">
        <v>22000</v>
      </c>
    </row>
    <row r="171" spans="9:13" x14ac:dyDescent="0.35">
      <c r="I171" s="77" t="s">
        <v>265</v>
      </c>
      <c r="J171" s="78" t="s">
        <v>266</v>
      </c>
      <c r="K171" s="76">
        <v>1</v>
      </c>
      <c r="L171" s="52">
        <v>7000</v>
      </c>
      <c r="M171" s="52">
        <v>7000</v>
      </c>
    </row>
    <row r="172" spans="9:13" x14ac:dyDescent="0.35">
      <c r="I172" s="77" t="s">
        <v>260</v>
      </c>
      <c r="J172" s="76"/>
      <c r="K172" s="76">
        <v>2</v>
      </c>
      <c r="L172" s="52">
        <v>3500</v>
      </c>
      <c r="M172" s="52">
        <f>SUM(K172*L172)</f>
        <v>7000</v>
      </c>
    </row>
    <row r="173" spans="9:13" x14ac:dyDescent="0.35">
      <c r="J173" s="74"/>
      <c r="K173" s="74"/>
      <c r="L173" s="74"/>
      <c r="M173" s="74"/>
    </row>
    <row r="174" spans="9:13" x14ac:dyDescent="0.35">
      <c r="I174" s="79" t="s">
        <v>302</v>
      </c>
      <c r="J174" s="79"/>
      <c r="K174" s="79"/>
      <c r="L174" s="79"/>
      <c r="M174" s="79"/>
    </row>
    <row r="175" spans="9:13" ht="46.5" x14ac:dyDescent="0.35">
      <c r="I175" s="77" t="s">
        <v>274</v>
      </c>
      <c r="J175" s="76"/>
      <c r="K175" s="76">
        <v>10</v>
      </c>
      <c r="L175" s="52">
        <v>16529</v>
      </c>
      <c r="M175" s="52">
        <f t="shared" ref="M175" si="21">SUM(K175*L175)</f>
        <v>165290</v>
      </c>
    </row>
    <row r="176" spans="9:13" ht="31" x14ac:dyDescent="0.35">
      <c r="I176" s="77" t="s">
        <v>286</v>
      </c>
      <c r="J176" s="76" t="s">
        <v>287</v>
      </c>
      <c r="K176" s="76">
        <v>1</v>
      </c>
      <c r="L176" s="52">
        <v>96528</v>
      </c>
      <c r="M176" s="52">
        <f>SUM(K176*L176)</f>
        <v>96528</v>
      </c>
    </row>
    <row r="177" spans="9:15" x14ac:dyDescent="0.35">
      <c r="I177" s="77" t="s">
        <v>288</v>
      </c>
      <c r="J177" s="76" t="s">
        <v>289</v>
      </c>
      <c r="K177" s="76">
        <v>1</v>
      </c>
      <c r="L177" s="52">
        <v>12542</v>
      </c>
      <c r="M177" s="52">
        <f>SUM(K177*L177)</f>
        <v>12542</v>
      </c>
    </row>
    <row r="178" spans="9:15" x14ac:dyDescent="0.35">
      <c r="I178" s="77" t="s">
        <v>290</v>
      </c>
      <c r="J178" s="76"/>
      <c r="K178" s="76">
        <v>1</v>
      </c>
      <c r="L178" s="52">
        <v>22000</v>
      </c>
      <c r="M178" s="52">
        <f>SUM(K178*L178)</f>
        <v>22000</v>
      </c>
    </row>
    <row r="179" spans="9:15" x14ac:dyDescent="0.35">
      <c r="I179" s="77" t="s">
        <v>260</v>
      </c>
      <c r="J179" s="76"/>
      <c r="K179" s="76">
        <v>2</v>
      </c>
      <c r="L179" s="52">
        <v>3500</v>
      </c>
      <c r="M179" s="52">
        <f>SUM(K179*L179)</f>
        <v>7000</v>
      </c>
    </row>
    <row r="180" spans="9:15" x14ac:dyDescent="0.35">
      <c r="J180" s="74"/>
      <c r="K180" s="74"/>
      <c r="L180" s="74"/>
      <c r="M180" s="74"/>
    </row>
    <row r="181" spans="9:15" x14ac:dyDescent="0.35">
      <c r="I181" s="81"/>
      <c r="J181" s="82" t="s">
        <v>291</v>
      </c>
      <c r="K181" s="82"/>
      <c r="L181" s="82"/>
      <c r="M181" s="82"/>
    </row>
    <row r="182" spans="9:15" x14ac:dyDescent="0.35">
      <c r="I182" s="77" t="s">
        <v>292</v>
      </c>
      <c r="J182" s="76"/>
      <c r="K182" s="76">
        <v>10</v>
      </c>
      <c r="L182" s="52">
        <v>3220</v>
      </c>
      <c r="M182" s="52">
        <f>SUM(K182*L182)</f>
        <v>32200</v>
      </c>
    </row>
    <row r="183" spans="9:15" x14ac:dyDescent="0.35">
      <c r="I183" s="47" t="s">
        <v>288</v>
      </c>
      <c r="J183" s="76" t="s">
        <v>289</v>
      </c>
      <c r="K183" s="76">
        <v>2</v>
      </c>
      <c r="L183" s="52">
        <v>12542</v>
      </c>
      <c r="M183" s="52">
        <f>SUM(K183*L183)</f>
        <v>25084</v>
      </c>
    </row>
    <row r="184" spans="9:15" x14ac:dyDescent="0.35">
      <c r="I184" s="47"/>
      <c r="J184" s="76"/>
      <c r="K184" s="76"/>
      <c r="L184" s="52"/>
      <c r="M184" s="52"/>
    </row>
    <row r="185" spans="9:15" x14ac:dyDescent="0.35">
      <c r="I185" s="133" t="s">
        <v>28</v>
      </c>
      <c r="J185" s="134"/>
      <c r="K185" s="134"/>
      <c r="L185" s="134"/>
      <c r="M185" s="135">
        <f>SUM(M121+M122+M123+M124+M125+M126+M127+M128+M131+M132+M133+M134+M135+M136+M137+M138+M141+M142+M143+M144+M145+M146+M147+M148+M151+M152+M153+M154+M155+M156+M157+M158+M159+M160+M161+M162+M165+M166+M167+M168+M169+M170+M171+M172+M175+M176+M177+M178+M179+M182+M183)</f>
        <v>2674597</v>
      </c>
    </row>
    <row r="187" spans="9:15" x14ac:dyDescent="0.35">
      <c r="I187" s="30" t="s">
        <v>304</v>
      </c>
      <c r="M187" s="49">
        <v>13500000</v>
      </c>
      <c r="N187" s="58"/>
      <c r="O187" s="58"/>
    </row>
    <row r="189" spans="9:15" x14ac:dyDescent="0.35">
      <c r="I189" s="30" t="s">
        <v>356</v>
      </c>
    </row>
    <row r="190" spans="9:15" x14ac:dyDescent="0.35">
      <c r="I190" s="32" t="s">
        <v>357</v>
      </c>
      <c r="J190" s="83"/>
      <c r="K190" s="32"/>
      <c r="L190" s="47"/>
      <c r="M190" s="49"/>
      <c r="N190" s="49"/>
      <c r="O190" s="49"/>
    </row>
    <row r="191" spans="9:15" x14ac:dyDescent="0.35">
      <c r="I191" s="32" t="s">
        <v>172</v>
      </c>
      <c r="J191" s="30" t="s">
        <v>358</v>
      </c>
      <c r="K191" s="91" t="s">
        <v>223</v>
      </c>
      <c r="L191" s="32" t="s">
        <v>22</v>
      </c>
    </row>
    <row r="192" spans="9:15" x14ac:dyDescent="0.35">
      <c r="I192" s="85" t="s">
        <v>315</v>
      </c>
      <c r="J192" s="85">
        <v>1</v>
      </c>
      <c r="K192" s="86">
        <v>170000</v>
      </c>
      <c r="L192" s="87">
        <f>J192*K192</f>
        <v>170000</v>
      </c>
    </row>
    <row r="193" spans="9:12" x14ac:dyDescent="0.35">
      <c r="I193" s="85" t="s">
        <v>316</v>
      </c>
      <c r="J193" s="85">
        <v>3</v>
      </c>
      <c r="K193" s="86">
        <v>1800000</v>
      </c>
      <c r="L193" s="87">
        <f>J193*K193</f>
        <v>5400000</v>
      </c>
    </row>
    <row r="194" spans="9:12" x14ac:dyDescent="0.35">
      <c r="I194" s="85" t="s">
        <v>317</v>
      </c>
      <c r="J194" s="85">
        <v>2</v>
      </c>
      <c r="K194" s="86">
        <v>250000</v>
      </c>
      <c r="L194" s="87">
        <f>J194*K194</f>
        <v>500000</v>
      </c>
    </row>
    <row r="195" spans="9:12" ht="62" x14ac:dyDescent="0.35">
      <c r="I195" s="85" t="s">
        <v>318</v>
      </c>
      <c r="J195" s="84">
        <v>1</v>
      </c>
      <c r="K195" s="87">
        <v>650000</v>
      </c>
      <c r="L195" s="87">
        <f t="shared" ref="L195:L201" si="22">J195*K195</f>
        <v>650000</v>
      </c>
    </row>
    <row r="196" spans="9:12" ht="31" x14ac:dyDescent="0.35">
      <c r="I196" s="77" t="s">
        <v>319</v>
      </c>
      <c r="J196" s="47">
        <v>1</v>
      </c>
      <c r="K196" s="33">
        <v>4417595</v>
      </c>
      <c r="L196" s="33">
        <f t="shared" si="22"/>
        <v>4417595</v>
      </c>
    </row>
    <row r="197" spans="9:12" x14ac:dyDescent="0.35">
      <c r="I197" s="47" t="s">
        <v>320</v>
      </c>
      <c r="J197" s="47">
        <v>1</v>
      </c>
      <c r="K197" s="33">
        <v>8920670</v>
      </c>
      <c r="L197" s="33">
        <f t="shared" si="22"/>
        <v>8920670</v>
      </c>
    </row>
    <row r="198" spans="9:12" x14ac:dyDescent="0.35">
      <c r="I198" s="47" t="s">
        <v>321</v>
      </c>
      <c r="J198" s="47">
        <v>2</v>
      </c>
      <c r="K198" s="33">
        <v>3900000</v>
      </c>
      <c r="L198" s="33">
        <f t="shared" si="22"/>
        <v>7800000</v>
      </c>
    </row>
    <row r="199" spans="9:12" ht="46.5" x14ac:dyDescent="0.35">
      <c r="I199" s="85" t="s">
        <v>322</v>
      </c>
      <c r="J199" s="47">
        <v>2</v>
      </c>
      <c r="K199" s="88">
        <v>419830</v>
      </c>
      <c r="L199" s="33">
        <f t="shared" si="22"/>
        <v>839660</v>
      </c>
    </row>
    <row r="200" spans="9:12" x14ac:dyDescent="0.35">
      <c r="I200" s="85" t="s">
        <v>323</v>
      </c>
      <c r="J200" s="47">
        <v>1</v>
      </c>
      <c r="K200" s="86">
        <v>4900000</v>
      </c>
      <c r="L200" s="33">
        <f t="shared" si="22"/>
        <v>4900000</v>
      </c>
    </row>
    <row r="201" spans="9:12" x14ac:dyDescent="0.35">
      <c r="I201" s="85" t="s">
        <v>324</v>
      </c>
      <c r="J201" s="47">
        <v>1</v>
      </c>
      <c r="K201" s="86">
        <v>965126</v>
      </c>
      <c r="L201" s="33">
        <f t="shared" si="22"/>
        <v>965126</v>
      </c>
    </row>
    <row r="202" spans="9:12" ht="46.5" x14ac:dyDescent="0.35">
      <c r="I202" s="77" t="s">
        <v>325</v>
      </c>
      <c r="J202" s="47">
        <v>5</v>
      </c>
      <c r="K202" s="33">
        <v>300000</v>
      </c>
      <c r="L202" s="33">
        <f>J202*K202</f>
        <v>1500000</v>
      </c>
    </row>
    <row r="203" spans="9:12" ht="46.5" x14ac:dyDescent="0.35">
      <c r="I203" s="77" t="s">
        <v>326</v>
      </c>
      <c r="J203" s="47">
        <v>1</v>
      </c>
      <c r="K203" s="33">
        <v>13260000</v>
      </c>
      <c r="L203" s="33">
        <f>J203*K203</f>
        <v>13260000</v>
      </c>
    </row>
    <row r="204" spans="9:12" x14ac:dyDescent="0.35">
      <c r="I204" s="89" t="s">
        <v>327</v>
      </c>
      <c r="J204" s="84">
        <v>2</v>
      </c>
      <c r="K204" s="90">
        <v>152000</v>
      </c>
      <c r="L204" s="33">
        <f t="shared" ref="L204:L233" si="23">J204*K204</f>
        <v>304000</v>
      </c>
    </row>
    <row r="205" spans="9:12" x14ac:dyDescent="0.35">
      <c r="I205" s="89" t="s">
        <v>328</v>
      </c>
      <c r="J205" s="84">
        <v>1</v>
      </c>
      <c r="K205" s="90">
        <v>50157</v>
      </c>
      <c r="L205" s="33">
        <f t="shared" si="23"/>
        <v>50157</v>
      </c>
    </row>
    <row r="206" spans="9:12" x14ac:dyDescent="0.35">
      <c r="I206" s="89" t="s">
        <v>329</v>
      </c>
      <c r="J206" s="84">
        <v>1</v>
      </c>
      <c r="K206" s="90">
        <v>2400000</v>
      </c>
      <c r="L206" s="33">
        <f t="shared" si="23"/>
        <v>2400000</v>
      </c>
    </row>
    <row r="207" spans="9:12" ht="31" x14ac:dyDescent="0.35">
      <c r="I207" s="89" t="s">
        <v>330</v>
      </c>
      <c r="J207" s="84">
        <v>2</v>
      </c>
      <c r="K207" s="90">
        <v>280000</v>
      </c>
      <c r="L207" s="33">
        <f t="shared" si="23"/>
        <v>560000</v>
      </c>
    </row>
    <row r="208" spans="9:12" x14ac:dyDescent="0.35">
      <c r="I208" s="89" t="s">
        <v>331</v>
      </c>
      <c r="J208" s="84">
        <v>20</v>
      </c>
      <c r="K208" s="90">
        <v>75000</v>
      </c>
      <c r="L208" s="33">
        <f t="shared" si="23"/>
        <v>1500000</v>
      </c>
    </row>
    <row r="209" spans="9:16" x14ac:dyDescent="0.35">
      <c r="I209" s="89" t="s">
        <v>332</v>
      </c>
      <c r="J209" s="84">
        <v>2</v>
      </c>
      <c r="K209" s="90">
        <v>45000</v>
      </c>
      <c r="L209" s="33">
        <f t="shared" si="23"/>
        <v>90000</v>
      </c>
    </row>
    <row r="210" spans="9:16" x14ac:dyDescent="0.35">
      <c r="I210" s="89" t="s">
        <v>333</v>
      </c>
      <c r="J210" s="84">
        <v>5</v>
      </c>
      <c r="K210" s="90">
        <v>50000</v>
      </c>
      <c r="L210" s="33">
        <f t="shared" si="23"/>
        <v>250000</v>
      </c>
    </row>
    <row r="211" spans="9:16" x14ac:dyDescent="0.35">
      <c r="I211" s="89" t="s">
        <v>334</v>
      </c>
      <c r="J211" s="84">
        <v>7</v>
      </c>
      <c r="K211" s="90">
        <v>14000</v>
      </c>
      <c r="L211" s="33">
        <f t="shared" si="23"/>
        <v>98000</v>
      </c>
    </row>
    <row r="212" spans="9:16" x14ac:dyDescent="0.35">
      <c r="I212" s="89" t="s">
        <v>335</v>
      </c>
      <c r="J212" s="84">
        <v>3</v>
      </c>
      <c r="K212" s="90">
        <v>323700</v>
      </c>
      <c r="L212" s="33">
        <f t="shared" si="23"/>
        <v>971100</v>
      </c>
    </row>
    <row r="213" spans="9:16" x14ac:dyDescent="0.35">
      <c r="I213" s="89" t="s">
        <v>336</v>
      </c>
      <c r="J213" s="84">
        <v>1</v>
      </c>
      <c r="K213" s="90">
        <v>3500000</v>
      </c>
      <c r="L213" s="33">
        <f t="shared" si="23"/>
        <v>3500000</v>
      </c>
    </row>
    <row r="214" spans="9:16" x14ac:dyDescent="0.35">
      <c r="I214" s="89" t="s">
        <v>337</v>
      </c>
      <c r="J214" s="84">
        <v>1</v>
      </c>
      <c r="K214" s="90">
        <v>3000000</v>
      </c>
      <c r="L214" s="33">
        <f t="shared" si="23"/>
        <v>3000000</v>
      </c>
    </row>
    <row r="215" spans="9:16" x14ac:dyDescent="0.35">
      <c r="I215" s="85" t="s">
        <v>338</v>
      </c>
      <c r="J215" s="85">
        <v>1</v>
      </c>
      <c r="K215" s="87">
        <v>380000</v>
      </c>
      <c r="L215" s="33">
        <f t="shared" si="23"/>
        <v>380000</v>
      </c>
    </row>
    <row r="216" spans="9:16" x14ac:dyDescent="0.35">
      <c r="I216" s="85" t="s">
        <v>339</v>
      </c>
      <c r="J216" s="85">
        <v>1</v>
      </c>
      <c r="K216" s="87">
        <v>27625</v>
      </c>
      <c r="L216" s="33">
        <f t="shared" si="23"/>
        <v>27625</v>
      </c>
    </row>
    <row r="217" spans="9:16" x14ac:dyDescent="0.35">
      <c r="I217" s="85" t="s">
        <v>340</v>
      </c>
      <c r="J217" s="85">
        <v>1</v>
      </c>
      <c r="K217" s="33">
        <v>2964443</v>
      </c>
      <c r="L217" s="33">
        <f t="shared" si="23"/>
        <v>2964443</v>
      </c>
    </row>
    <row r="218" spans="9:16" x14ac:dyDescent="0.35">
      <c r="I218" s="85" t="s">
        <v>341</v>
      </c>
      <c r="J218" s="85">
        <v>1</v>
      </c>
      <c r="K218" s="33">
        <v>817768</v>
      </c>
      <c r="L218" s="33">
        <f t="shared" si="23"/>
        <v>817768</v>
      </c>
    </row>
    <row r="219" spans="9:16" x14ac:dyDescent="0.35">
      <c r="I219" s="85" t="s">
        <v>342</v>
      </c>
      <c r="J219" s="85">
        <v>1</v>
      </c>
      <c r="K219" s="33">
        <v>421476</v>
      </c>
      <c r="L219" s="33">
        <f t="shared" si="23"/>
        <v>421476</v>
      </c>
    </row>
    <row r="220" spans="9:16" x14ac:dyDescent="0.35">
      <c r="I220" s="85" t="s">
        <v>343</v>
      </c>
      <c r="J220" s="85">
        <v>1</v>
      </c>
      <c r="K220" s="33">
        <v>84000000</v>
      </c>
      <c r="L220" s="33">
        <f t="shared" si="23"/>
        <v>84000000</v>
      </c>
    </row>
    <row r="221" spans="9:16" x14ac:dyDescent="0.35">
      <c r="I221" s="85" t="s">
        <v>315</v>
      </c>
      <c r="J221" s="85">
        <v>1</v>
      </c>
      <c r="K221" s="87">
        <v>170000</v>
      </c>
      <c r="L221" s="87">
        <f t="shared" si="23"/>
        <v>170000</v>
      </c>
      <c r="P221" s="58"/>
    </row>
    <row r="222" spans="9:16" x14ac:dyDescent="0.35">
      <c r="I222" s="85" t="s">
        <v>344</v>
      </c>
      <c r="J222" s="85">
        <v>1</v>
      </c>
      <c r="K222" s="87">
        <v>1620000</v>
      </c>
      <c r="L222" s="87">
        <f t="shared" si="23"/>
        <v>1620000</v>
      </c>
      <c r="P222" s="58"/>
    </row>
    <row r="223" spans="9:16" x14ac:dyDescent="0.35">
      <c r="I223" s="84" t="s">
        <v>345</v>
      </c>
      <c r="J223" s="84">
        <v>1</v>
      </c>
      <c r="K223" s="84">
        <v>80000</v>
      </c>
      <c r="L223" s="87">
        <f t="shared" si="23"/>
        <v>80000</v>
      </c>
      <c r="P223" s="58"/>
    </row>
    <row r="224" spans="9:16" x14ac:dyDescent="0.35">
      <c r="I224" s="84" t="s">
        <v>346</v>
      </c>
      <c r="J224" s="84">
        <v>1</v>
      </c>
      <c r="K224" s="90">
        <v>380000</v>
      </c>
      <c r="L224" s="87">
        <f t="shared" si="23"/>
        <v>380000</v>
      </c>
      <c r="P224" s="58"/>
    </row>
    <row r="225" spans="9:16" x14ac:dyDescent="0.35">
      <c r="I225" s="89" t="s">
        <v>347</v>
      </c>
      <c r="J225" s="84">
        <v>2</v>
      </c>
      <c r="K225" s="84">
        <v>1800000</v>
      </c>
      <c r="L225" s="87">
        <f t="shared" si="23"/>
        <v>3600000</v>
      </c>
      <c r="P225" s="58"/>
    </row>
    <row r="226" spans="9:16" x14ac:dyDescent="0.35">
      <c r="I226" s="89" t="s">
        <v>348</v>
      </c>
      <c r="J226" s="84">
        <v>2</v>
      </c>
      <c r="K226" s="90">
        <v>350000</v>
      </c>
      <c r="L226" s="87">
        <f t="shared" si="23"/>
        <v>700000</v>
      </c>
      <c r="P226" s="58"/>
    </row>
    <row r="227" spans="9:16" x14ac:dyDescent="0.35">
      <c r="I227" s="89" t="s">
        <v>349</v>
      </c>
      <c r="J227" s="84">
        <v>1</v>
      </c>
      <c r="K227" s="90">
        <v>50000</v>
      </c>
      <c r="L227" s="87">
        <f t="shared" si="23"/>
        <v>50000</v>
      </c>
      <c r="P227" s="58"/>
    </row>
    <row r="228" spans="9:16" x14ac:dyDescent="0.35">
      <c r="I228" s="89" t="s">
        <v>350</v>
      </c>
      <c r="J228" s="84">
        <v>2</v>
      </c>
      <c r="K228" s="90">
        <v>50000</v>
      </c>
      <c r="L228" s="87">
        <f t="shared" si="23"/>
        <v>100000</v>
      </c>
      <c r="P228" s="58"/>
    </row>
    <row r="229" spans="9:16" x14ac:dyDescent="0.35">
      <c r="I229" s="89" t="s">
        <v>351</v>
      </c>
      <c r="J229" s="84">
        <v>2</v>
      </c>
      <c r="K229" s="90">
        <v>100000</v>
      </c>
      <c r="L229" s="87">
        <f t="shared" si="23"/>
        <v>200000</v>
      </c>
      <c r="P229" s="58"/>
    </row>
    <row r="230" spans="9:16" x14ac:dyDescent="0.35">
      <c r="I230" s="89" t="s">
        <v>352</v>
      </c>
      <c r="J230" s="84">
        <v>2</v>
      </c>
      <c r="K230" s="90">
        <v>80000</v>
      </c>
      <c r="L230" s="87">
        <f t="shared" si="23"/>
        <v>160000</v>
      </c>
      <c r="P230" s="58"/>
    </row>
    <row r="231" spans="9:16" x14ac:dyDescent="0.35">
      <c r="I231" s="89" t="s">
        <v>353</v>
      </c>
      <c r="J231" s="84">
        <v>15</v>
      </c>
      <c r="K231" s="90">
        <v>8000</v>
      </c>
      <c r="L231" s="87">
        <f t="shared" si="23"/>
        <v>120000</v>
      </c>
      <c r="P231" s="58"/>
    </row>
    <row r="232" spans="9:16" x14ac:dyDescent="0.35">
      <c r="I232" s="89" t="s">
        <v>354</v>
      </c>
      <c r="J232" s="84">
        <v>7</v>
      </c>
      <c r="K232" s="90">
        <v>1200</v>
      </c>
      <c r="L232" s="87">
        <f t="shared" si="23"/>
        <v>8400</v>
      </c>
      <c r="P232" s="58"/>
    </row>
    <row r="233" spans="9:16" x14ac:dyDescent="0.35">
      <c r="I233" s="89" t="s">
        <v>355</v>
      </c>
      <c r="J233" s="84">
        <v>2</v>
      </c>
      <c r="K233" s="90">
        <v>350000</v>
      </c>
      <c r="L233" s="87">
        <f t="shared" si="23"/>
        <v>700000</v>
      </c>
      <c r="P233" s="58"/>
    </row>
    <row r="234" spans="9:16" x14ac:dyDescent="0.35">
      <c r="I234" s="97" t="s">
        <v>28</v>
      </c>
      <c r="J234" s="89"/>
      <c r="K234" s="84"/>
      <c r="L234" s="96">
        <f>SUM(L192:L233)</f>
        <v>158546020</v>
      </c>
      <c r="M234" s="90"/>
      <c r="N234" s="92"/>
      <c r="O234" s="139"/>
      <c r="P234" s="58"/>
    </row>
    <row r="235" spans="9:16" x14ac:dyDescent="0.35">
      <c r="I235" s="89"/>
      <c r="J235" s="89"/>
      <c r="K235" s="84"/>
      <c r="L235" s="84"/>
      <c r="M235" s="84"/>
      <c r="N235" s="93"/>
      <c r="O235" s="140"/>
      <c r="P235" s="58"/>
    </row>
    <row r="237" spans="9:16" x14ac:dyDescent="0.35">
      <c r="I237" s="53" t="s">
        <v>359</v>
      </c>
      <c r="J237" s="30"/>
      <c r="K237" s="30"/>
      <c r="L237" s="35">
        <v>6000000</v>
      </c>
    </row>
    <row r="238" spans="9:16" x14ac:dyDescent="0.35">
      <c r="I238" s="30" t="s">
        <v>360</v>
      </c>
      <c r="J238" s="30"/>
      <c r="K238" s="30"/>
      <c r="L238" s="35">
        <v>2500000</v>
      </c>
    </row>
    <row r="239" spans="9:16" x14ac:dyDescent="0.35">
      <c r="I239" s="30" t="s">
        <v>361</v>
      </c>
      <c r="L239" s="59">
        <f>L241</f>
        <v>420000</v>
      </c>
    </row>
    <row r="240" spans="9:16" x14ac:dyDescent="0.35">
      <c r="I240" t="s">
        <v>172</v>
      </c>
      <c r="J240" t="s">
        <v>223</v>
      </c>
      <c r="K240" t="s">
        <v>164</v>
      </c>
      <c r="L240" t="s">
        <v>22</v>
      </c>
    </row>
    <row r="241" spans="9:12" x14ac:dyDescent="0.35">
      <c r="I241" t="s">
        <v>362</v>
      </c>
      <c r="J241">
        <v>4500</v>
      </c>
      <c r="K241">
        <v>20</v>
      </c>
      <c r="L241" s="35">
        <v>420000</v>
      </c>
    </row>
  </sheetData>
  <mergeCells count="37">
    <mergeCell ref="A58:B58"/>
    <mergeCell ref="A59:B59"/>
    <mergeCell ref="A60:B60"/>
    <mergeCell ref="A61:B61"/>
    <mergeCell ref="B52:C52"/>
    <mergeCell ref="B53:C53"/>
    <mergeCell ref="B54:C54"/>
    <mergeCell ref="B21:D21"/>
    <mergeCell ref="B26:C26"/>
    <mergeCell ref="B27:C27"/>
    <mergeCell ref="B28:C28"/>
    <mergeCell ref="B29:C29"/>
    <mergeCell ref="Q15:R15"/>
    <mergeCell ref="Q16:R16"/>
    <mergeCell ref="Q17:R17"/>
    <mergeCell ref="Q18:R18"/>
    <mergeCell ref="Q34:R34"/>
    <mergeCell ref="Q35:R35"/>
    <mergeCell ref="Q36:R36"/>
    <mergeCell ref="Q37:R37"/>
    <mergeCell ref="Q54:R54"/>
    <mergeCell ref="Q55:R55"/>
    <mergeCell ref="Q56:R56"/>
    <mergeCell ref="Q57:R57"/>
    <mergeCell ref="Q74:R74"/>
    <mergeCell ref="Q75:R75"/>
    <mergeCell ref="Q76:R76"/>
    <mergeCell ref="Q117:R117"/>
    <mergeCell ref="Q118:R118"/>
    <mergeCell ref="Q119:R119"/>
    <mergeCell ref="Q120:R120"/>
    <mergeCell ref="Q77:R77"/>
    <mergeCell ref="Q97:R97"/>
    <mergeCell ref="Q98:R98"/>
    <mergeCell ref="Q99:R99"/>
    <mergeCell ref="Q100:R100"/>
    <mergeCell ref="Q96:R9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Budget Estimates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KIPRE</cp:lastModifiedBy>
  <dcterms:created xsi:type="dcterms:W3CDTF">2022-08-23T06:32:15Z</dcterms:created>
  <dcterms:modified xsi:type="dcterms:W3CDTF">2024-07-28T15:27:48Z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2024-07-22T12:30:10Z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e086c75d-ed44-4165-8450-6fed41cbeacb</vt:lpwstr>
  </property>
  <property fmtid="{D5CDD505-2E9C-101B-9397-08002B2CF9AE}" pid="7" name="MSIP_Label_defa4170-0d19-0005-0004-bc88714345d2_ActionId">
    <vt:lpwstr>d5ed78ba-64f0-421e-904a-6cb8b4dca48a</vt:lpwstr>
  </property>
  <property fmtid="{D5CDD505-2E9C-101B-9397-08002B2CF9AE}" pid="8" name="MSIP_Label_defa4170-0d19-0005-0004-bc88714345d2_ContentBits">
    <vt:lpwstr>0</vt:lpwstr>
  </property>
</Properties>
</file>