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D23D56B7-B469-40DB-9A58-1E59AAC19511}" xr6:coauthVersionLast="47" xr6:coauthVersionMax="47" xr10:uidLastSave="{00000000-0000-0000-0000-000000000000}"/>
  <bookViews>
    <workbookView xWindow="-110" yWindow="-110" windowWidth="19420" windowHeight="10300" xr2:uid="{9F0608E5-4A17-45D2-A0A3-200019CB6FC7}"/>
  </bookViews>
  <sheets>
    <sheet name="OH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3" i="2" l="1"/>
  <c r="F202" i="2"/>
  <c r="F201" i="2"/>
  <c r="F200" i="2"/>
  <c r="F199" i="2"/>
  <c r="F198" i="2"/>
  <c r="F197" i="2"/>
  <c r="O193" i="2"/>
  <c r="F193" i="2"/>
  <c r="O189" i="2"/>
  <c r="F189" i="2"/>
  <c r="O188" i="2"/>
  <c r="F188" i="2"/>
  <c r="O187" i="2"/>
  <c r="F187" i="2"/>
  <c r="O186" i="2"/>
  <c r="F186" i="2"/>
  <c r="O185" i="2"/>
  <c r="F185" i="2"/>
  <c r="O184" i="2"/>
  <c r="F184" i="2"/>
  <c r="O183" i="2"/>
  <c r="F183" i="2"/>
  <c r="O182" i="2"/>
  <c r="F182" i="2"/>
  <c r="O181" i="2"/>
  <c r="F181" i="2"/>
  <c r="O180" i="2"/>
  <c r="F180" i="2"/>
  <c r="O179" i="2"/>
  <c r="F179" i="2"/>
  <c r="O178" i="2"/>
  <c r="F178" i="2"/>
  <c r="O177" i="2"/>
  <c r="F177" i="2"/>
  <c r="O176" i="2"/>
  <c r="F176" i="2"/>
  <c r="O175" i="2"/>
  <c r="F175" i="2"/>
  <c r="O174" i="2"/>
  <c r="F174" i="2"/>
  <c r="O173" i="2"/>
  <c r="F173" i="2"/>
  <c r="F169" i="2"/>
  <c r="F168" i="2"/>
  <c r="F167" i="2"/>
  <c r="F166" i="2"/>
  <c r="F165" i="2"/>
  <c r="F164" i="2"/>
  <c r="F163" i="2"/>
  <c r="O162" i="2"/>
  <c r="F162" i="2"/>
  <c r="O161" i="2"/>
  <c r="F161" i="2"/>
  <c r="F153" i="2"/>
  <c r="O152" i="2"/>
  <c r="F152" i="2"/>
  <c r="O151" i="2"/>
  <c r="F151" i="2"/>
  <c r="F154" i="2" s="1"/>
  <c r="O147" i="2"/>
  <c r="F147" i="2"/>
  <c r="F146" i="2"/>
  <c r="F145" i="2"/>
  <c r="F144" i="2"/>
  <c r="O143" i="2"/>
  <c r="F143" i="2"/>
  <c r="O142" i="2"/>
  <c r="F142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U58" i="2"/>
  <c r="S58" i="2"/>
  <c r="Q58" i="2"/>
  <c r="O58" i="2"/>
  <c r="F57" i="2"/>
  <c r="F56" i="2"/>
  <c r="F55" i="2"/>
  <c r="F54" i="2"/>
  <c r="F53" i="2"/>
  <c r="F52" i="2"/>
  <c r="F51" i="2"/>
  <c r="F50" i="2"/>
  <c r="F49" i="2"/>
  <c r="F48" i="2"/>
  <c r="O47" i="2"/>
  <c r="F47" i="2"/>
  <c r="O46" i="2"/>
  <c r="F46" i="2"/>
  <c r="O45" i="2"/>
  <c r="F45" i="2"/>
  <c r="O44" i="2"/>
  <c r="F44" i="2"/>
  <c r="O43" i="2"/>
  <c r="F43" i="2"/>
  <c r="O42" i="2"/>
  <c r="F42" i="2"/>
  <c r="O41" i="2"/>
  <c r="F41" i="2"/>
  <c r="O40" i="2"/>
  <c r="F40" i="2"/>
  <c r="O39" i="2"/>
  <c r="F39" i="2"/>
  <c r="O38" i="2"/>
  <c r="F38" i="2"/>
  <c r="O37" i="2"/>
  <c r="F37" i="2"/>
  <c r="O36" i="2"/>
  <c r="F36" i="2"/>
  <c r="O35" i="2"/>
  <c r="F35" i="2"/>
  <c r="O34" i="2"/>
  <c r="F34" i="2"/>
  <c r="F33" i="2"/>
  <c r="F32" i="2"/>
  <c r="F31" i="2"/>
  <c r="F30" i="2"/>
  <c r="F29" i="2"/>
  <c r="F28" i="2"/>
  <c r="F27" i="2"/>
  <c r="F26" i="2"/>
  <c r="F25" i="2"/>
  <c r="F24" i="2"/>
  <c r="U17" i="2"/>
  <c r="S17" i="2"/>
  <c r="Q17" i="2"/>
  <c r="O17" i="2"/>
  <c r="F14" i="2"/>
  <c r="F13" i="2"/>
  <c r="F12" i="2"/>
  <c r="F11" i="2"/>
  <c r="F10" i="2"/>
  <c r="F9" i="2"/>
  <c r="F8" i="2"/>
  <c r="F7" i="2"/>
  <c r="F6" i="2"/>
  <c r="F5" i="2"/>
  <c r="F4" i="2"/>
  <c r="F20" i="2" l="1"/>
  <c r="F148" i="2"/>
  <c r="F85" i="2"/>
  <c r="F204" i="2"/>
  <c r="F170" i="2"/>
  <c r="F190" i="2"/>
  <c r="F58" i="2"/>
  <c r="F136" i="2"/>
</calcChain>
</file>

<file path=xl/sharedStrings.xml><?xml version="1.0" encoding="utf-8"?>
<sst xmlns="http://schemas.openxmlformats.org/spreadsheetml/2006/main" count="1049" uniqueCount="206">
  <si>
    <t>ONE HEALTH PROCUREMENT PLAN 2024-2025</t>
  </si>
  <si>
    <t>ITEM DESCRIPTION</t>
  </si>
  <si>
    <t>UNIT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</si>
  <si>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</si>
  <si>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</si>
  <si>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</si>
  <si>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</si>
  <si>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</si>
  <si>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</si>
  <si>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</si>
  <si>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</si>
  <si>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</si>
  <si>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OPEN</t>
  </si>
  <si>
    <t>QUARTER REQUIRED</t>
  </si>
  <si>
    <r>
      <t>1.</t>
    </r>
    <r>
      <rPr>
        <b/>
        <sz val="11"/>
        <color theme="1"/>
        <rFont val="Calibri"/>
        <family val="2"/>
        <scheme val="minor"/>
      </rPr>
      <t>Field  Supplies</t>
    </r>
  </si>
  <si>
    <t>1ST</t>
  </si>
  <si>
    <t>2ND</t>
  </si>
  <si>
    <t>3RD</t>
  </si>
  <si>
    <t>4TH</t>
  </si>
  <si>
    <t>cotton wool</t>
  </si>
  <si>
    <t>One Health</t>
  </si>
  <si>
    <t>RFQ</t>
  </si>
  <si>
    <t>GOK</t>
  </si>
  <si>
    <t>√</t>
  </si>
  <si>
    <t>Nitrile  gloves-Large</t>
  </si>
  <si>
    <t>Nitrile gloves medium</t>
  </si>
  <si>
    <t>Nitrile gloves small</t>
  </si>
  <si>
    <t>Bio hazards bags</t>
  </si>
  <si>
    <t>Disposable bags</t>
  </si>
  <si>
    <t>Hydrogen peroxide</t>
  </si>
  <si>
    <t>Jik</t>
  </si>
  <si>
    <t>First Aid kit</t>
  </si>
  <si>
    <t>Spray Bottles 500ml</t>
  </si>
  <si>
    <t>Wash Bottles 500ml</t>
  </si>
  <si>
    <t>Serum separator blood tubes</t>
  </si>
  <si>
    <t>pack of 100</t>
  </si>
  <si>
    <t>EDTA blood tubes</t>
  </si>
  <si>
    <t>Iodine</t>
  </si>
  <si>
    <t>500 ml</t>
  </si>
  <si>
    <t>Necropsy kit</t>
  </si>
  <si>
    <t>Sterile polyester swabs</t>
  </si>
  <si>
    <t>2. Laboratory Supplies Non  Consumables</t>
  </si>
  <si>
    <t>Dustbins</t>
  </si>
  <si>
    <t>20ml beakers</t>
  </si>
  <si>
    <t>no</t>
  </si>
  <si>
    <t>40 ml beakers</t>
  </si>
  <si>
    <t>60ml beakers</t>
  </si>
  <si>
    <t>80ml beakers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</si>
  <si>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</si>
  <si>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</si>
  <si>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</si>
  <si>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</si>
  <si>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</si>
  <si>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</si>
  <si>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</si>
  <si>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Conical Flask 25ml</t>
  </si>
  <si>
    <t>No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</si>
  <si>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</si>
  <si>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</si>
  <si>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</si>
  <si>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</si>
  <si>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</si>
  <si>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</si>
  <si>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</si>
  <si>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</si>
  <si>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</si>
  <si>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</si>
  <si>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</si>
  <si>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</si>
  <si>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</si>
  <si>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</si>
  <si>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Bijou bottles</t>
  </si>
  <si>
    <t>3.Laboratory Supplies Consumables</t>
  </si>
  <si>
    <t>Serological pipettes 5ml</t>
  </si>
  <si>
    <t>pc</t>
  </si>
  <si>
    <t>Serological pipettes 10ml</t>
  </si>
  <si>
    <t>Serological pipettes 25ml</t>
  </si>
  <si>
    <t>Serological pipettes 50 ml</t>
  </si>
  <si>
    <t>Eppendorf tubes (1.5ml)</t>
  </si>
  <si>
    <t>pkt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</si>
  <si>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</si>
  <si>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</si>
  <si>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</si>
  <si>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</si>
  <si>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</si>
  <si>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</si>
  <si>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0.2 µm filter, Nalgene rapid flow sterile disposable filter units with PES membranes(pack of 12)</t>
  </si>
  <si>
    <t>box`</t>
  </si>
  <si>
    <t>Petridishes</t>
  </si>
  <si>
    <t>boxes</t>
  </si>
  <si>
    <t>PCR tubes</t>
  </si>
  <si>
    <t>pkts</t>
  </si>
  <si>
    <t>Acetic acid</t>
  </si>
  <si>
    <t xml:space="preserve"> 0.22 µm filters</t>
  </si>
  <si>
    <t>Pkt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</si>
  <si>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</si>
  <si>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</si>
  <si>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</si>
  <si>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</si>
  <si>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</si>
  <si>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</si>
  <si>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</si>
  <si>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</si>
  <si>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4.Laboratory Chemicals, Reagents and kits</t>
  </si>
  <si>
    <t>100bp DNA ladder</t>
  </si>
  <si>
    <t>Vials</t>
  </si>
  <si>
    <t>1kb DNA ladder</t>
  </si>
  <si>
    <t>Agarose  500g</t>
  </si>
  <si>
    <t>bottles</t>
  </si>
  <si>
    <t>One Taq hotstart 2X master mix</t>
  </si>
  <si>
    <t xml:space="preserve">2X Phusion Green HS II high fidelity PCR master mix </t>
  </si>
  <si>
    <t>Molecular water (500ml)</t>
  </si>
  <si>
    <t>RNA extraction kit</t>
  </si>
  <si>
    <t>kit</t>
  </si>
  <si>
    <t>RNA treatment kit</t>
  </si>
  <si>
    <t>Nitrocellulose membrane</t>
  </si>
  <si>
    <t>DNA loading dye</t>
  </si>
  <si>
    <t>vials</t>
  </si>
  <si>
    <t>TAE X10 (5 liter)</t>
  </si>
  <si>
    <t>Bottle</t>
  </si>
  <si>
    <t>absolute ethanol</t>
  </si>
  <si>
    <t>absolute methanol</t>
  </si>
  <si>
    <t>sodium phosphate monobasic</t>
  </si>
  <si>
    <t>500gm</t>
  </si>
  <si>
    <t>sodium phosphate dibasic</t>
  </si>
  <si>
    <t>sodium phosphate tribasic</t>
  </si>
  <si>
    <t>Tween 20 100ml</t>
  </si>
  <si>
    <t xml:space="preserve">Citric Acid </t>
  </si>
  <si>
    <t>0.45 μm  nitrocellulose membrane</t>
  </si>
  <si>
    <t>ammonium sulfate (500 grams)</t>
  </si>
  <si>
    <t>bottle</t>
  </si>
  <si>
    <t>Cryovials</t>
  </si>
  <si>
    <t>Cryoboxes</t>
  </si>
  <si>
    <t>Handheld electronic multichannel pipette</t>
  </si>
  <si>
    <t xml:space="preserve">Tris buffer </t>
  </si>
  <si>
    <t>Glycine</t>
  </si>
  <si>
    <t>SDS Powder</t>
  </si>
  <si>
    <t>Glycerol</t>
  </si>
  <si>
    <t>Coomassie brilliant blue stain 25g</t>
  </si>
  <si>
    <t>Citric Acid (500gm)</t>
  </si>
  <si>
    <t xml:space="preserve">Triton X-100 </t>
  </si>
  <si>
    <t>litres</t>
  </si>
  <si>
    <t>NaCL (500grams)</t>
  </si>
  <si>
    <t>NaOH (500g)</t>
  </si>
  <si>
    <t xml:space="preserve">β-mercaptoethanol </t>
  </si>
  <si>
    <t>Acrylamide</t>
  </si>
  <si>
    <t>Bis-acrylamide</t>
  </si>
  <si>
    <t>Ammonium persulfate (500g)</t>
  </si>
  <si>
    <t>TEMED</t>
  </si>
  <si>
    <t>5.Laboratory Tools and Equipment</t>
  </si>
  <si>
    <t xml:space="preserve">Gel electrophoresis system (casting plates, electrode assembly, companion running module, buffer tank and lid, casting stand and frames, Power Pac </t>
  </si>
  <si>
    <t>No.</t>
  </si>
  <si>
    <t>GPS unit</t>
  </si>
  <si>
    <t>Swingout centrifuge</t>
  </si>
  <si>
    <t>Ultra centrifuge</t>
  </si>
  <si>
    <t>Vector Homogenizer</t>
  </si>
  <si>
    <t>lab seats</t>
  </si>
  <si>
    <t>6.Staff Training and Conference Facilties</t>
  </si>
  <si>
    <t xml:space="preserve"> Develop Training modules for BRM for One Health staff (7 days workshop for 24pax) 4 trainings</t>
  </si>
  <si>
    <t>Pax</t>
  </si>
  <si>
    <t>Develop CHPs-OH training modules, Stakeholder engagements (4)</t>
  </si>
  <si>
    <t>Develop Standard Operating Procedures (SOPs) for Development of Environmental AMR SOPs</t>
  </si>
  <si>
    <t>7.Maintainance of Lab Equipment</t>
  </si>
  <si>
    <t>Maintenance of Lab Equipment</t>
  </si>
  <si>
    <t>Lot</t>
  </si>
  <si>
    <t>8.Computer Hardware,Software and Accessories</t>
  </si>
  <si>
    <t>Laptop</t>
  </si>
  <si>
    <t>Desktop Computer</t>
  </si>
  <si>
    <t>Projector</t>
  </si>
  <si>
    <t>Accessories</t>
  </si>
  <si>
    <t>Procurement of Anti-Virus</t>
  </si>
  <si>
    <t>External Hards Disk 3TB</t>
  </si>
  <si>
    <t>GPS Communicaton Devices</t>
  </si>
  <si>
    <t>nos</t>
  </si>
  <si>
    <t>Printer</t>
  </si>
  <si>
    <t>computer software</t>
  </si>
  <si>
    <t>9.Stationery and Printing</t>
  </si>
  <si>
    <t>Flip Charts</t>
  </si>
  <si>
    <t>Flip chart Stand</t>
  </si>
  <si>
    <t>Branded pens</t>
  </si>
  <si>
    <t>Highlighers</t>
  </si>
  <si>
    <t>Paper flip charts</t>
  </si>
  <si>
    <t>Pencils</t>
  </si>
  <si>
    <t>Whiteout</t>
  </si>
  <si>
    <t>Yellow stickers</t>
  </si>
  <si>
    <t>Box file</t>
  </si>
  <si>
    <t>Pcs</t>
  </si>
  <si>
    <t>Spring file</t>
  </si>
  <si>
    <t>Folders</t>
  </si>
  <si>
    <t>Portfolio</t>
  </si>
  <si>
    <t>Staplers</t>
  </si>
  <si>
    <t>Staple pins</t>
  </si>
  <si>
    <t>Thumb pin</t>
  </si>
  <si>
    <t>Pkt.</t>
  </si>
  <si>
    <t>Paper punch</t>
  </si>
  <si>
    <t>Standing whiteboard</t>
  </si>
  <si>
    <t>10.Toners and Cartridges</t>
  </si>
  <si>
    <t>cartridges</t>
  </si>
  <si>
    <t>11.Office Furniture and Equipment</t>
  </si>
  <si>
    <t xml:space="preserve">Medium Back mesh chair-Fixed PP arms, single lock mechanism, Nylon base with Nylon castors </t>
  </si>
  <si>
    <t xml:space="preserve">2 way workstation Desk with white metal frame </t>
  </si>
  <si>
    <t>4 drawer filing cabinet -Grey</t>
  </si>
  <si>
    <t xml:space="preserve">Extension cables </t>
  </si>
  <si>
    <t xml:space="preserve">Airmesh medium back mesh chair -1D arms adjustable Height, Tilt function, Nylon Base with Nylon castors </t>
  </si>
  <si>
    <t>Water dispensor- Von (Cold, warm &amp; hot)</t>
  </si>
  <si>
    <t>Office cabinets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</si>
</sst>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Agency FB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Wingdings"/>
      <charset val="2"/>
    </font>
    <font>
      <b/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name val="Verdana"/>
      <family val="2"/>
    </font>
    <font>
      <sz val="10"/>
      <color theme="1"/>
      <name val="Verdana"/>
      <family val="2"/>
    </font>
    <font>
      <sz val="1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8" fillId="0" borderId="0" xfId="2" applyFont="1"/>
    <xf numFmtId="43" fontId="1" fillId="0" borderId="1" xfId="1" applyFont="1" applyBorder="1"/>
    <xf numFmtId="164" fontId="0" fillId="0" borderId="1" xfId="0" applyNumberFormat="1" applyBorder="1"/>
    <xf numFmtId="0" fontId="7" fillId="0" borderId="1" xfId="0" applyFont="1" applyBorder="1"/>
    <xf numFmtId="43" fontId="3" fillId="0" borderId="1" xfId="1" applyFont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0" fontId="13" fillId="0" borderId="1" xfId="0" applyFont="1" applyBorder="1"/>
    <xf numFmtId="43" fontId="14" fillId="0" borderId="1" xfId="1" applyFont="1" applyBorder="1"/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6" fillId="3" borderId="1" xfId="0" applyFont="1" applyFill="1" applyBorder="1" applyAlignment="1">
      <alignment horizontal="left" vertical="center" wrapText="1"/>
    </xf>
    <xf numFmtId="43" fontId="2" fillId="0" borderId="1" xfId="1" applyFont="1" applyBorder="1"/>
    <xf numFmtId="0" fontId="2" fillId="0" borderId="1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0" fillId="2" borderId="1" xfId="0" applyFill="1" applyBorder="1" applyAlignment="1">
      <alignment wrapText="1"/>
    </xf>
    <xf numFmtId="43" fontId="0" fillId="2" borderId="1" xfId="1" applyFon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3" fontId="0" fillId="2" borderId="1" xfId="0" applyNumberFormat="1" applyFill="1" applyBorder="1"/>
    <xf numFmtId="0" fontId="0" fillId="2" borderId="0" xfId="0" applyFill="1"/>
    <xf numFmtId="0" fontId="0" fillId="2" borderId="1" xfId="0" applyFill="1" applyBorder="1" applyAlignment="1">
      <alignment horizontal="right"/>
    </xf>
    <xf numFmtId="164" fontId="14" fillId="0" borderId="0" xfId="0" applyNumberFormat="1" applyFont="1"/>
    <xf numFmtId="0" fontId="7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wrapText="1"/>
    </xf>
    <xf numFmtId="0" fontId="8" fillId="3" borderId="0" xfId="2" applyFont="1" applyFill="1"/>
    <xf numFmtId="43" fontId="1" fillId="3" borderId="1" xfId="1" applyFont="1" applyFill="1" applyBorder="1"/>
    <xf numFmtId="0" fontId="10" fillId="3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1" fillId="3" borderId="1" xfId="0" applyFont="1" applyFill="1" applyBorder="1" applyAlignment="1">
      <alignment horizontal="right"/>
    </xf>
    <xf numFmtId="0" fontId="7" fillId="3" borderId="1" xfId="0" applyFont="1" applyFill="1" applyBorder="1"/>
    <xf numFmtId="0" fontId="6" fillId="3" borderId="0" xfId="0" applyFont="1" applyFill="1"/>
    <xf numFmtId="43" fontId="9" fillId="3" borderId="1" xfId="1" applyFont="1" applyFill="1" applyBorder="1"/>
    <xf numFmtId="0" fontId="1" fillId="3" borderId="1" xfId="0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right"/>
    </xf>
    <xf numFmtId="43" fontId="0" fillId="3" borderId="1" xfId="1" applyFont="1" applyFill="1" applyBorder="1"/>
    <xf numFmtId="0" fontId="0" fillId="3" borderId="1" xfId="0" applyFill="1" applyBorder="1" applyAlignment="1">
      <alignment horizontal="center"/>
    </xf>
    <xf numFmtId="0" fontId="11" fillId="3" borderId="1" xfId="0" applyFont="1" applyFill="1" applyBorder="1"/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right" vertical="center"/>
    </xf>
    <xf numFmtId="43" fontId="12" fillId="3" borderId="1" xfId="1" applyFont="1" applyFill="1" applyBorder="1" applyAlignment="1">
      <alignment horizontal="left" vertical="center"/>
    </xf>
    <xf numFmtId="0" fontId="13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43" fontId="14" fillId="3" borderId="1" xfId="1" applyFont="1" applyFill="1" applyBorder="1"/>
    <xf numFmtId="0" fontId="6" fillId="3" borderId="1" xfId="0" applyFont="1" applyFill="1" applyBorder="1" applyAlignment="1">
      <alignment horizontal="right" vertical="center"/>
    </xf>
    <xf numFmtId="43" fontId="15" fillId="3" borderId="1" xfId="1" applyFont="1" applyFill="1" applyBorder="1"/>
    <xf numFmtId="43" fontId="6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 wrapText="1"/>
    </xf>
    <xf numFmtId="43" fontId="6" fillId="3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43" fontId="6" fillId="3" borderId="1" xfId="1" applyFont="1" applyFill="1" applyBorder="1"/>
    <xf numFmtId="0" fontId="6" fillId="3" borderId="1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43" fontId="3" fillId="3" borderId="1" xfId="1" applyFont="1" applyFill="1" applyBorder="1"/>
    <xf numFmtId="0" fontId="0" fillId="4" borderId="1" xfId="0" applyFill="1" applyBorder="1"/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/>
    </xf>
    <xf numFmtId="43" fontId="6" fillId="4" borderId="1" xfId="1" applyFont="1" applyFill="1" applyBorder="1" applyAlignment="1">
      <alignment horizontal="center" vertical="center"/>
    </xf>
    <xf numFmtId="43" fontId="0" fillId="4" borderId="1" xfId="1" applyFon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17" fillId="4" borderId="1" xfId="0" applyFont="1" applyFill="1" applyBorder="1"/>
    <xf numFmtId="0" fontId="17" fillId="4" borderId="1" xfId="0" applyFont="1" applyFill="1" applyBorder="1" applyAlignment="1">
      <alignment horizontal="right"/>
    </xf>
    <xf numFmtId="43" fontId="6" fillId="4" borderId="1" xfId="1" applyFont="1" applyFill="1" applyBorder="1" applyAlignment="1">
      <alignment horizontal="left" vertical="center"/>
    </xf>
    <xf numFmtId="0" fontId="2" fillId="4" borderId="1" xfId="0" applyFont="1" applyFill="1" applyBorder="1"/>
    <xf numFmtId="0" fontId="11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19" fillId="4" borderId="7" xfId="0" applyFont="1" applyFill="1" applyBorder="1" applyAlignment="1">
      <alignment vertical="top" wrapText="1"/>
    </xf>
    <xf numFmtId="0" fontId="6" fillId="4" borderId="1" xfId="0" applyFont="1" applyFill="1" applyBorder="1"/>
    <xf numFmtId="0" fontId="19" fillId="4" borderId="0" xfId="0" applyFont="1" applyFill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center" wrapText="1"/>
    </xf>
    <xf numFmtId="43" fontId="14" fillId="4" borderId="1" xfId="1" applyFont="1" applyFill="1" applyBorder="1"/>
    <xf numFmtId="3" fontId="0" fillId="4" borderId="1" xfId="0" applyNumberFormat="1" applyFill="1" applyBorder="1"/>
    <xf numFmtId="0" fontId="0" fillId="4" borderId="0" xfId="0" applyFill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43" fontId="6" fillId="4" borderId="1" xfId="1" applyFont="1" applyFill="1" applyBorder="1"/>
    <xf numFmtId="0" fontId="9" fillId="4" borderId="1" xfId="0" applyFont="1" applyFill="1" applyBorder="1"/>
    <xf numFmtId="0" fontId="9" fillId="4" borderId="0" xfId="0" applyFont="1" applyFill="1"/>
    <xf numFmtId="164" fontId="14" fillId="4" borderId="0" xfId="0" applyNumberFormat="1" applyFont="1" applyFill="1"/>
    <xf numFmtId="0" fontId="19" fillId="4" borderId="8" xfId="0" applyFont="1" applyFill="1" applyBorder="1" applyAlignment="1">
      <alignment vertical="top" wrapText="1"/>
    </xf>
    <xf numFmtId="0" fontId="4" fillId="4" borderId="1" xfId="0" applyFont="1" applyFill="1" applyBorder="1"/>
    <xf numFmtId="0" fontId="19" fillId="4" borderId="9" xfId="0" applyFont="1" applyFill="1" applyBorder="1" applyAlignment="1">
      <alignment vertical="top" wrapText="1"/>
    </xf>
    <xf numFmtId="0" fontId="0" fillId="4" borderId="10" xfId="0" applyFill="1" applyBorder="1"/>
    <xf numFmtId="43" fontId="0" fillId="4" borderId="10" xfId="1" applyFont="1" applyFill="1" applyBorder="1"/>
    <xf numFmtId="0" fontId="21" fillId="4" borderId="8" xfId="0" applyFont="1" applyFill="1" applyBorder="1" applyAlignment="1">
      <alignment vertical="top" wrapText="1"/>
    </xf>
    <xf numFmtId="43" fontId="22" fillId="4" borderId="1" xfId="1" applyFont="1" applyFill="1" applyBorder="1"/>
    <xf numFmtId="3" fontId="0" fillId="4" borderId="1" xfId="0" applyNumberFormat="1" applyFill="1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D99B7569-98F7-4049-BB6B-F5D1D1CEB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16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9D6FD5-CC7D-4EA4-84AD-2E69BFC981BD}"/>
            </a:ext>
          </a:extLst>
        </xdr:cNvPr>
        <xdr:cNvSpPr txBox="1"/>
      </xdr:nvSpPr>
      <xdr:spPr>
        <a:xfrm>
          <a:off x="7734300" y="3314700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6AA4-6647-48EA-91A9-8637F6A17B82}">
  <dimension ref="A1:W222"/>
  <sheetViews>
    <sheetView tabSelected="1" topLeftCell="D125" workbookViewId="0">
      <selection activeCell="G212" sqref="G212"/>
    </sheetView>
  </sheetViews>
  <sheetFormatPr defaultRowHeight="14.5" x14ac:dyDescent="0.35"/>
  <cols>
    <col min="1" max="1" width="15" customWidth="1"/>
    <col min="2" max="2" width="33" customWidth="1"/>
    <col min="3" max="3" width="12.1796875" customWidth="1"/>
    <col min="4" max="4" width="11.81640625" customWidth="1"/>
    <col min="5" max="5" width="16.7265625" customWidth="1"/>
    <col min="6" max="6" width="19.453125" customWidth="1"/>
    <col min="7" max="7" width="13.453125" customWidth="1"/>
    <col min="8" max="8" width="19.1796875" customWidth="1"/>
    <col min="9" max="9" width="11.7265625" customWidth="1"/>
    <col min="15" max="15" width="14.54296875" customWidth="1"/>
    <col min="17" max="17" width="12.8164062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43" t="s">
        <v>0</v>
      </c>
      <c r="F1" s="43"/>
      <c r="G1" s="43"/>
      <c r="H1" s="43"/>
    </row>
    <row r="2" spans="1:21" ht="29" x14ac:dyDescent="0.35">
      <c r="A2" s="1"/>
      <c r="B2" s="2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44" t="s">
        <v>13</v>
      </c>
      <c r="O2" s="45"/>
      <c r="P2" s="45"/>
      <c r="Q2" s="45"/>
      <c r="R2" s="45"/>
      <c r="S2" s="45"/>
      <c r="T2" s="45"/>
      <c r="U2" s="46"/>
    </row>
    <row r="3" spans="1:21" x14ac:dyDescent="0.35">
      <c r="A3" s="47" t="s">
        <v>14</v>
      </c>
      <c r="B3" s="48"/>
      <c r="C3" s="2"/>
      <c r="D3" s="1"/>
      <c r="E3" s="2"/>
      <c r="F3" s="2"/>
      <c r="G3" s="2"/>
      <c r="H3" s="2"/>
      <c r="I3" s="2"/>
      <c r="J3" s="1"/>
      <c r="K3" s="1"/>
      <c r="L3" s="1"/>
      <c r="M3" s="1"/>
      <c r="N3" s="49" t="s">
        <v>15</v>
      </c>
      <c r="O3" s="50"/>
      <c r="P3" s="49" t="s">
        <v>16</v>
      </c>
      <c r="Q3" s="50"/>
      <c r="R3" s="49" t="s">
        <v>17</v>
      </c>
      <c r="S3" s="50"/>
      <c r="T3" s="49" t="s">
        <v>18</v>
      </c>
      <c r="U3" s="50"/>
    </row>
    <row r="4" spans="1:21" ht="15.75" customHeight="1" x14ac:dyDescent="0.35">
      <c r="A4" s="51"/>
      <c r="B4" s="52" t="s">
        <v>19</v>
      </c>
      <c r="C4" s="53"/>
      <c r="D4" s="54">
        <v>10</v>
      </c>
      <c r="E4" s="55">
        <v>600</v>
      </c>
      <c r="F4" s="55">
        <f t="shared" ref="F4:F14" si="0">D4*E4</f>
        <v>6000</v>
      </c>
      <c r="G4" s="55" t="s">
        <v>20</v>
      </c>
      <c r="H4" s="56" t="s">
        <v>21</v>
      </c>
      <c r="I4" s="56" t="s">
        <v>22</v>
      </c>
      <c r="J4" s="51"/>
      <c r="K4" s="51"/>
      <c r="L4" s="51"/>
      <c r="M4" s="57" t="s">
        <v>23</v>
      </c>
      <c r="N4" s="58">
        <v>4</v>
      </c>
      <c r="O4" s="59">
        <v>2400</v>
      </c>
      <c r="P4" s="58">
        <v>2</v>
      </c>
      <c r="Q4" s="58">
        <v>1200</v>
      </c>
      <c r="R4" s="58">
        <v>2</v>
      </c>
      <c r="S4" s="58">
        <v>1200</v>
      </c>
      <c r="T4" s="58">
        <v>2</v>
      </c>
      <c r="U4" s="58">
        <v>1200</v>
      </c>
    </row>
    <row r="5" spans="1:21" ht="14.25" customHeight="1" x14ac:dyDescent="0.35">
      <c r="A5" s="51"/>
      <c r="B5" s="52" t="s">
        <v>24</v>
      </c>
      <c r="C5" s="53"/>
      <c r="D5" s="54">
        <v>30</v>
      </c>
      <c r="E5" s="55">
        <v>1600</v>
      </c>
      <c r="F5" s="55">
        <f t="shared" si="0"/>
        <v>48000</v>
      </c>
      <c r="G5" s="55" t="s">
        <v>20</v>
      </c>
      <c r="H5" s="56" t="s">
        <v>21</v>
      </c>
      <c r="I5" s="56" t="s">
        <v>22</v>
      </c>
      <c r="J5" s="51"/>
      <c r="K5" s="51"/>
      <c r="L5" s="51"/>
      <c r="M5" s="57" t="s">
        <v>23</v>
      </c>
      <c r="N5" s="58">
        <v>30</v>
      </c>
      <c r="O5" s="59">
        <v>48000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</row>
    <row r="6" spans="1:21" ht="19.5" customHeight="1" x14ac:dyDescent="0.35">
      <c r="A6" s="51"/>
      <c r="B6" s="52" t="s">
        <v>25</v>
      </c>
      <c r="C6" s="53"/>
      <c r="D6" s="54">
        <v>30</v>
      </c>
      <c r="E6" s="55">
        <v>1500</v>
      </c>
      <c r="F6" s="55">
        <f t="shared" si="0"/>
        <v>45000</v>
      </c>
      <c r="G6" s="55" t="s">
        <v>20</v>
      </c>
      <c r="H6" s="56" t="s">
        <v>21</v>
      </c>
      <c r="I6" s="56" t="s">
        <v>22</v>
      </c>
      <c r="J6" s="51"/>
      <c r="K6" s="51"/>
      <c r="L6" s="51"/>
      <c r="M6" s="57" t="s">
        <v>23</v>
      </c>
      <c r="N6" s="58">
        <v>30</v>
      </c>
      <c r="O6" s="59">
        <v>45000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</row>
    <row r="7" spans="1:21" ht="15.75" customHeight="1" x14ac:dyDescent="0.35">
      <c r="A7" s="51"/>
      <c r="B7" s="52" t="s">
        <v>26</v>
      </c>
      <c r="C7" s="53"/>
      <c r="D7" s="54">
        <v>30</v>
      </c>
      <c r="E7" s="55">
        <v>1600</v>
      </c>
      <c r="F7" s="55">
        <f t="shared" si="0"/>
        <v>48000</v>
      </c>
      <c r="G7" s="55" t="s">
        <v>20</v>
      </c>
      <c r="H7" s="56" t="s">
        <v>21</v>
      </c>
      <c r="I7" s="56" t="s">
        <v>22</v>
      </c>
      <c r="J7" s="51"/>
      <c r="K7" s="51"/>
      <c r="L7" s="51"/>
      <c r="M7" s="57" t="s">
        <v>23</v>
      </c>
      <c r="N7" s="58">
        <v>30</v>
      </c>
      <c r="O7" s="59">
        <v>48000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</row>
    <row r="8" spans="1:21" ht="13.5" customHeight="1" x14ac:dyDescent="0.35">
      <c r="A8" s="51"/>
      <c r="B8" s="52" t="s">
        <v>27</v>
      </c>
      <c r="C8" s="53"/>
      <c r="D8" s="54">
        <v>4</v>
      </c>
      <c r="E8" s="55">
        <v>8500</v>
      </c>
      <c r="F8" s="55">
        <f t="shared" si="0"/>
        <v>34000</v>
      </c>
      <c r="G8" s="55" t="s">
        <v>20</v>
      </c>
      <c r="H8" s="56" t="s">
        <v>21</v>
      </c>
      <c r="I8" s="56" t="s">
        <v>22</v>
      </c>
      <c r="J8" s="51"/>
      <c r="K8" s="51"/>
      <c r="L8" s="51"/>
      <c r="M8" s="57" t="s">
        <v>23</v>
      </c>
      <c r="N8" s="58">
        <v>4</v>
      </c>
      <c r="O8" s="59">
        <v>34000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</row>
    <row r="9" spans="1:21" ht="18" customHeight="1" x14ac:dyDescent="0.35">
      <c r="A9" s="51"/>
      <c r="B9" s="52" t="s">
        <v>28</v>
      </c>
      <c r="C9" s="53"/>
      <c r="D9" s="54">
        <v>4</v>
      </c>
      <c r="E9" s="55">
        <v>5000</v>
      </c>
      <c r="F9" s="55">
        <f t="shared" si="0"/>
        <v>20000</v>
      </c>
      <c r="G9" s="55" t="s">
        <v>20</v>
      </c>
      <c r="H9" s="56" t="s">
        <v>21</v>
      </c>
      <c r="I9" s="56" t="s">
        <v>22</v>
      </c>
      <c r="J9" s="51"/>
      <c r="K9" s="51"/>
      <c r="L9" s="51"/>
      <c r="M9" s="57" t="s">
        <v>23</v>
      </c>
      <c r="N9" s="58">
        <v>4</v>
      </c>
      <c r="O9" s="59">
        <v>20000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</row>
    <row r="10" spans="1:21" ht="14.25" customHeight="1" x14ac:dyDescent="0.35">
      <c r="A10" s="51"/>
      <c r="B10" s="52" t="s">
        <v>29</v>
      </c>
      <c r="C10" s="53"/>
      <c r="D10" s="54">
        <v>6</v>
      </c>
      <c r="E10" s="55">
        <v>400</v>
      </c>
      <c r="F10" s="55">
        <f t="shared" si="0"/>
        <v>2400</v>
      </c>
      <c r="G10" s="55" t="s">
        <v>20</v>
      </c>
      <c r="H10" s="56" t="s">
        <v>21</v>
      </c>
      <c r="I10" s="56" t="s">
        <v>22</v>
      </c>
      <c r="J10" s="51"/>
      <c r="K10" s="51"/>
      <c r="L10" s="51"/>
      <c r="M10" s="57" t="s">
        <v>23</v>
      </c>
      <c r="N10" s="58">
        <v>2</v>
      </c>
      <c r="O10" s="59">
        <v>800</v>
      </c>
      <c r="P10" s="58">
        <v>1</v>
      </c>
      <c r="Q10" s="58">
        <v>400</v>
      </c>
      <c r="R10" s="58">
        <v>2</v>
      </c>
      <c r="S10" s="58">
        <v>800</v>
      </c>
      <c r="T10" s="58">
        <v>1</v>
      </c>
      <c r="U10" s="58">
        <v>400</v>
      </c>
    </row>
    <row r="11" spans="1:21" ht="15.75" customHeight="1" x14ac:dyDescent="0.35">
      <c r="A11" s="51"/>
      <c r="B11" s="52" t="s">
        <v>30</v>
      </c>
      <c r="C11" s="53"/>
      <c r="D11" s="54">
        <v>20</v>
      </c>
      <c r="E11" s="55">
        <v>2800</v>
      </c>
      <c r="F11" s="55">
        <f t="shared" si="0"/>
        <v>56000</v>
      </c>
      <c r="G11" s="55" t="s">
        <v>20</v>
      </c>
      <c r="H11" s="56" t="s">
        <v>21</v>
      </c>
      <c r="I11" s="56" t="s">
        <v>22</v>
      </c>
      <c r="J11" s="51"/>
      <c r="K11" s="51"/>
      <c r="L11" s="51"/>
      <c r="M11" s="57" t="s">
        <v>23</v>
      </c>
      <c r="N11" s="58">
        <v>5</v>
      </c>
      <c r="O11" s="59">
        <v>14000</v>
      </c>
      <c r="P11" s="58">
        <v>5</v>
      </c>
      <c r="Q11" s="58">
        <v>14000</v>
      </c>
      <c r="R11" s="58">
        <v>5</v>
      </c>
      <c r="S11" s="58">
        <v>14000</v>
      </c>
      <c r="T11" s="58">
        <v>5</v>
      </c>
      <c r="U11" s="58">
        <v>14000</v>
      </c>
    </row>
    <row r="12" spans="1:21" ht="11.25" customHeight="1" x14ac:dyDescent="0.35">
      <c r="A12" s="51"/>
      <c r="B12" s="52" t="s">
        <v>31</v>
      </c>
      <c r="C12" s="53"/>
      <c r="D12" s="54">
        <v>3</v>
      </c>
      <c r="E12" s="55">
        <v>15000</v>
      </c>
      <c r="F12" s="55">
        <f t="shared" si="0"/>
        <v>45000</v>
      </c>
      <c r="G12" s="55" t="s">
        <v>20</v>
      </c>
      <c r="H12" s="56" t="s">
        <v>21</v>
      </c>
      <c r="I12" s="56" t="s">
        <v>22</v>
      </c>
      <c r="J12" s="51"/>
      <c r="K12" s="51"/>
      <c r="L12" s="51"/>
      <c r="M12" s="57" t="s">
        <v>23</v>
      </c>
      <c r="N12" s="58">
        <v>3</v>
      </c>
      <c r="O12" s="59">
        <v>150000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</row>
    <row r="13" spans="1:21" ht="15" customHeight="1" x14ac:dyDescent="0.35">
      <c r="A13" s="51"/>
      <c r="B13" s="52" t="s">
        <v>32</v>
      </c>
      <c r="C13" s="53"/>
      <c r="D13" s="54">
        <v>20</v>
      </c>
      <c r="E13" s="55">
        <v>480</v>
      </c>
      <c r="F13" s="55">
        <f t="shared" si="0"/>
        <v>9600</v>
      </c>
      <c r="G13" s="55" t="s">
        <v>20</v>
      </c>
      <c r="H13" s="56" t="s">
        <v>21</v>
      </c>
      <c r="I13" s="56" t="s">
        <v>22</v>
      </c>
      <c r="J13" s="51"/>
      <c r="K13" s="51"/>
      <c r="L13" s="51"/>
      <c r="M13" s="57" t="s">
        <v>23</v>
      </c>
      <c r="N13" s="58">
        <v>20</v>
      </c>
      <c r="O13" s="59">
        <v>9600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</row>
    <row r="14" spans="1:21" ht="15" customHeight="1" x14ac:dyDescent="0.35">
      <c r="A14" s="51"/>
      <c r="B14" s="52" t="s">
        <v>33</v>
      </c>
      <c r="C14" s="53"/>
      <c r="D14" s="54">
        <v>20</v>
      </c>
      <c r="E14" s="55">
        <v>1600</v>
      </c>
      <c r="F14" s="55">
        <f t="shared" si="0"/>
        <v>32000</v>
      </c>
      <c r="G14" s="55" t="s">
        <v>20</v>
      </c>
      <c r="H14" s="56" t="s">
        <v>21</v>
      </c>
      <c r="I14" s="56" t="s">
        <v>22</v>
      </c>
      <c r="J14" s="51"/>
      <c r="K14" s="51"/>
      <c r="L14" s="51"/>
      <c r="M14" s="57" t="s">
        <v>23</v>
      </c>
      <c r="N14" s="58">
        <v>20</v>
      </c>
      <c r="O14" s="59">
        <v>32000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</row>
    <row r="15" spans="1:21" x14ac:dyDescent="0.35">
      <c r="A15" s="58"/>
      <c r="B15" s="60" t="s">
        <v>34</v>
      </c>
      <c r="C15" s="54" t="s">
        <v>35</v>
      </c>
      <c r="D15" s="54">
        <v>20</v>
      </c>
      <c r="E15" s="61">
        <v>1400</v>
      </c>
      <c r="F15" s="55">
        <v>28000</v>
      </c>
      <c r="G15" s="55" t="s">
        <v>20</v>
      </c>
      <c r="H15" s="56" t="s">
        <v>21</v>
      </c>
      <c r="I15" s="56" t="s">
        <v>22</v>
      </c>
      <c r="J15" s="58"/>
      <c r="K15" s="58"/>
      <c r="L15" s="58"/>
      <c r="M15" s="62"/>
      <c r="N15" s="58"/>
      <c r="O15" s="58"/>
      <c r="P15" s="58"/>
      <c r="Q15" s="58"/>
      <c r="R15" s="58"/>
      <c r="S15" s="58"/>
      <c r="T15" s="58"/>
      <c r="U15" s="63"/>
    </row>
    <row r="16" spans="1:21" x14ac:dyDescent="0.35">
      <c r="A16" s="58"/>
      <c r="B16" s="60" t="s">
        <v>36</v>
      </c>
      <c r="C16" s="54" t="s">
        <v>35</v>
      </c>
      <c r="D16" s="54">
        <v>20</v>
      </c>
      <c r="E16" s="61">
        <v>1400</v>
      </c>
      <c r="F16" s="55">
        <v>28000</v>
      </c>
      <c r="G16" s="55" t="s">
        <v>20</v>
      </c>
      <c r="H16" s="56" t="s">
        <v>21</v>
      </c>
      <c r="I16" s="56" t="s">
        <v>22</v>
      </c>
      <c r="J16" s="58"/>
      <c r="K16" s="58"/>
      <c r="L16" s="58"/>
      <c r="M16" s="62"/>
      <c r="N16" s="58"/>
      <c r="O16" s="58"/>
      <c r="P16" s="58"/>
      <c r="Q16" s="58"/>
      <c r="R16" s="58"/>
      <c r="S16" s="58"/>
      <c r="T16" s="58"/>
      <c r="U16" s="63"/>
    </row>
    <row r="17" spans="1:21" x14ac:dyDescent="0.35">
      <c r="A17" s="58"/>
      <c r="B17" s="60" t="s">
        <v>37</v>
      </c>
      <c r="C17" s="58"/>
      <c r="D17" s="64" t="s">
        <v>38</v>
      </c>
      <c r="E17" s="61">
        <v>900</v>
      </c>
      <c r="F17" s="61">
        <v>900</v>
      </c>
      <c r="G17" s="55" t="s">
        <v>20</v>
      </c>
      <c r="H17" s="56" t="s">
        <v>21</v>
      </c>
      <c r="I17" s="56" t="s">
        <v>22</v>
      </c>
      <c r="J17" s="58"/>
      <c r="K17" s="58"/>
      <c r="L17" s="58"/>
      <c r="M17" s="65"/>
      <c r="N17" s="58"/>
      <c r="O17" s="58">
        <f>SUM(O4:O16)</f>
        <v>403800</v>
      </c>
      <c r="P17" s="58"/>
      <c r="Q17" s="58">
        <f>SUM(Q4:Q16)</f>
        <v>15600</v>
      </c>
      <c r="R17" s="58"/>
      <c r="S17" s="58">
        <f>SUM(S4:S16)</f>
        <v>16000</v>
      </c>
      <c r="T17" s="58"/>
      <c r="U17" s="63">
        <f>SUM(U4:U16)</f>
        <v>15600</v>
      </c>
    </row>
    <row r="18" spans="1:21" ht="15.5" x14ac:dyDescent="0.35">
      <c r="A18" s="58"/>
      <c r="B18" s="66" t="s">
        <v>39</v>
      </c>
      <c r="C18" s="58"/>
      <c r="D18" s="64">
        <v>1</v>
      </c>
      <c r="E18" s="61">
        <v>15000</v>
      </c>
      <c r="F18" s="61">
        <v>15000</v>
      </c>
      <c r="G18" s="55" t="s">
        <v>20</v>
      </c>
      <c r="H18" s="56" t="s">
        <v>21</v>
      </c>
      <c r="I18" s="56" t="s">
        <v>22</v>
      </c>
      <c r="J18" s="58"/>
      <c r="K18" s="58"/>
      <c r="L18" s="58"/>
      <c r="M18" s="65"/>
      <c r="N18" s="58"/>
      <c r="O18" s="58"/>
      <c r="P18" s="58"/>
      <c r="Q18" s="58"/>
      <c r="R18" s="58"/>
      <c r="S18" s="58"/>
      <c r="T18" s="58"/>
      <c r="U18" s="63"/>
    </row>
    <row r="19" spans="1:21" x14ac:dyDescent="0.35">
      <c r="A19" s="58"/>
      <c r="B19" s="60" t="s">
        <v>40</v>
      </c>
      <c r="C19" s="54" t="s">
        <v>35</v>
      </c>
      <c r="D19" s="54">
        <v>20</v>
      </c>
      <c r="E19" s="61">
        <v>1000</v>
      </c>
      <c r="F19" s="61">
        <v>20000</v>
      </c>
      <c r="G19" s="55" t="s">
        <v>20</v>
      </c>
      <c r="H19" s="56" t="s">
        <v>21</v>
      </c>
      <c r="I19" s="56" t="s">
        <v>22</v>
      </c>
      <c r="J19" s="58"/>
      <c r="K19" s="58"/>
      <c r="L19" s="58"/>
      <c r="M19" s="65"/>
      <c r="N19" s="58"/>
      <c r="O19" s="58"/>
      <c r="P19" s="58"/>
      <c r="Q19" s="58"/>
      <c r="R19" s="58"/>
      <c r="S19" s="58"/>
      <c r="T19" s="58"/>
      <c r="U19" s="63"/>
    </row>
    <row r="20" spans="1:21" x14ac:dyDescent="0.35">
      <c r="A20" s="8"/>
      <c r="B20" s="10"/>
      <c r="C20" s="4"/>
      <c r="D20" s="4"/>
      <c r="E20" s="11"/>
      <c r="F20" s="14">
        <f>SUM(F4:F19)</f>
        <v>437900</v>
      </c>
      <c r="G20" s="5"/>
      <c r="H20" s="6"/>
      <c r="I20" s="6"/>
      <c r="J20" s="8"/>
      <c r="K20" s="8"/>
      <c r="L20" s="8"/>
      <c r="M20" s="13"/>
      <c r="N20" s="8"/>
      <c r="O20" s="8"/>
      <c r="P20" s="8"/>
      <c r="Q20" s="8"/>
      <c r="R20" s="8"/>
      <c r="S20" s="8"/>
      <c r="T20" s="8"/>
      <c r="U20" s="12"/>
    </row>
    <row r="21" spans="1:21" x14ac:dyDescent="0.35">
      <c r="A21" s="8"/>
      <c r="B21" s="10"/>
      <c r="C21" s="4"/>
      <c r="D21" s="4"/>
      <c r="E21" s="11"/>
      <c r="F21" s="11"/>
      <c r="G21" s="5"/>
      <c r="H21" s="6"/>
      <c r="I21" s="6"/>
      <c r="J21" s="8"/>
      <c r="K21" s="8"/>
      <c r="L21" s="8"/>
      <c r="M21" s="13"/>
      <c r="N21" s="8"/>
      <c r="O21" s="8"/>
      <c r="P21" s="8"/>
      <c r="Q21" s="8"/>
      <c r="R21" s="8"/>
      <c r="S21" s="8"/>
      <c r="T21" s="8"/>
      <c r="U21" s="12"/>
    </row>
    <row r="22" spans="1:21" x14ac:dyDescent="0.35">
      <c r="A22" s="8"/>
      <c r="B22" s="10"/>
      <c r="C22" s="4"/>
      <c r="D22" s="4"/>
      <c r="E22" s="11"/>
      <c r="F22" s="11"/>
      <c r="G22" s="5"/>
      <c r="H22" s="6"/>
      <c r="I22" s="6"/>
      <c r="J22" s="8"/>
      <c r="K22" s="8"/>
      <c r="L22" s="8"/>
      <c r="M22" s="13"/>
      <c r="N22" s="8"/>
      <c r="O22" s="8"/>
      <c r="P22" s="8"/>
      <c r="Q22" s="8"/>
      <c r="R22" s="8"/>
      <c r="S22" s="8"/>
      <c r="T22" s="8"/>
      <c r="U22" s="12"/>
    </row>
    <row r="23" spans="1:21" ht="15.5" x14ac:dyDescent="0.35">
      <c r="A23" s="51" t="s">
        <v>41</v>
      </c>
      <c r="B23" s="51"/>
      <c r="C23" s="51"/>
      <c r="D23" s="58"/>
      <c r="E23" s="67"/>
      <c r="F23" s="6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63"/>
    </row>
    <row r="24" spans="1:21" ht="13.5" customHeight="1" x14ac:dyDescent="0.35">
      <c r="A24" s="51"/>
      <c r="B24" s="52" t="s">
        <v>42</v>
      </c>
      <c r="C24" s="53"/>
      <c r="D24" s="58">
        <v>8</v>
      </c>
      <c r="E24" s="67">
        <v>9200</v>
      </c>
      <c r="F24" s="55">
        <f>D24*E24</f>
        <v>73600</v>
      </c>
      <c r="G24" s="68" t="s">
        <v>20</v>
      </c>
      <c r="H24" s="56" t="s">
        <v>21</v>
      </c>
      <c r="I24" s="56" t="s">
        <v>22</v>
      </c>
      <c r="J24" s="58"/>
      <c r="K24" s="58"/>
      <c r="L24" s="58"/>
      <c r="M24" s="62" t="s">
        <v>23</v>
      </c>
      <c r="N24" s="58">
        <v>10</v>
      </c>
      <c r="O24" s="58">
        <v>92000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</row>
    <row r="25" spans="1:21" x14ac:dyDescent="0.35">
      <c r="A25" s="58"/>
      <c r="B25" s="58" t="s">
        <v>43</v>
      </c>
      <c r="C25" s="69" t="s">
        <v>44</v>
      </c>
      <c r="D25" s="58">
        <v>100</v>
      </c>
      <c r="E25" s="70">
        <v>2800</v>
      </c>
      <c r="F25" s="55">
        <f t="shared" ref="F25:F57" si="1">D25*E25</f>
        <v>280000</v>
      </c>
      <c r="G25" s="69" t="s">
        <v>20</v>
      </c>
      <c r="H25" s="69" t="s">
        <v>21</v>
      </c>
      <c r="I25" s="69" t="s">
        <v>22</v>
      </c>
      <c r="J25" s="69"/>
      <c r="K25" s="69"/>
      <c r="L25" s="69"/>
      <c r="M25" s="71" t="s">
        <v>23</v>
      </c>
      <c r="N25" s="58">
        <v>50</v>
      </c>
      <c r="O25" s="58">
        <v>140000</v>
      </c>
      <c r="P25" s="58">
        <v>0</v>
      </c>
      <c r="Q25" s="58">
        <v>0</v>
      </c>
      <c r="R25" s="58">
        <v>0</v>
      </c>
      <c r="S25" s="58">
        <v>0</v>
      </c>
      <c r="T25" s="72">
        <v>50</v>
      </c>
      <c r="U25" s="63">
        <v>140000</v>
      </c>
    </row>
    <row r="26" spans="1:21" x14ac:dyDescent="0.35">
      <c r="A26" s="58"/>
      <c r="B26" s="58" t="s">
        <v>45</v>
      </c>
      <c r="C26" s="69" t="s">
        <v>44</v>
      </c>
      <c r="D26" s="58">
        <v>100</v>
      </c>
      <c r="E26" s="70">
        <v>3000</v>
      </c>
      <c r="F26" s="55">
        <f t="shared" si="1"/>
        <v>300000</v>
      </c>
      <c r="G26" s="69" t="s">
        <v>20</v>
      </c>
      <c r="H26" s="69" t="s">
        <v>21</v>
      </c>
      <c r="I26" s="69" t="s">
        <v>22</v>
      </c>
      <c r="J26" s="69"/>
      <c r="K26" s="69"/>
      <c r="L26" s="69"/>
      <c r="M26" s="71" t="s">
        <v>23</v>
      </c>
      <c r="N26" s="58">
        <v>50</v>
      </c>
      <c r="O26" s="58">
        <v>150000</v>
      </c>
      <c r="P26" s="58">
        <v>0</v>
      </c>
      <c r="Q26" s="58">
        <v>0</v>
      </c>
      <c r="R26" s="58">
        <v>0</v>
      </c>
      <c r="S26" s="58">
        <v>0</v>
      </c>
      <c r="T26" s="72">
        <v>50</v>
      </c>
      <c r="U26" s="63">
        <v>150000</v>
      </c>
    </row>
    <row r="27" spans="1:21" x14ac:dyDescent="0.35">
      <c r="A27" s="58"/>
      <c r="B27" s="58" t="s">
        <v>46</v>
      </c>
      <c r="C27" s="69" t="s">
        <v>44</v>
      </c>
      <c r="D27" s="58">
        <v>100</v>
      </c>
      <c r="E27" s="70">
        <v>3200</v>
      </c>
      <c r="F27" s="55">
        <f t="shared" si="1"/>
        <v>320000</v>
      </c>
      <c r="G27" s="69" t="s">
        <v>20</v>
      </c>
      <c r="H27" s="69" t="s">
        <v>21</v>
      </c>
      <c r="I27" s="69" t="s">
        <v>22</v>
      </c>
      <c r="J27" s="69"/>
      <c r="K27" s="69"/>
      <c r="L27" s="69"/>
      <c r="M27" s="71" t="s">
        <v>23</v>
      </c>
      <c r="N27" s="58">
        <v>50</v>
      </c>
      <c r="O27" s="58">
        <v>160000</v>
      </c>
      <c r="P27" s="58">
        <v>0</v>
      </c>
      <c r="Q27" s="58">
        <v>0</v>
      </c>
      <c r="R27" s="58">
        <v>0</v>
      </c>
      <c r="S27" s="58">
        <v>0</v>
      </c>
      <c r="T27" s="72">
        <v>50</v>
      </c>
      <c r="U27" s="63">
        <v>160000</v>
      </c>
    </row>
    <row r="28" spans="1:21" x14ac:dyDescent="0.35">
      <c r="A28" s="58"/>
      <c r="B28" s="58" t="s">
        <v>47</v>
      </c>
      <c r="C28" s="69" t="s">
        <v>44</v>
      </c>
      <c r="D28" s="58">
        <v>100</v>
      </c>
      <c r="E28" s="70">
        <v>3400</v>
      </c>
      <c r="F28" s="55">
        <f t="shared" si="1"/>
        <v>340000</v>
      </c>
      <c r="G28" s="69" t="s">
        <v>20</v>
      </c>
      <c r="H28" s="69" t="s">
        <v>21</v>
      </c>
      <c r="I28" s="69" t="s">
        <v>22</v>
      </c>
      <c r="J28" s="69"/>
      <c r="K28" s="69"/>
      <c r="L28" s="69"/>
      <c r="M28" s="71" t="s">
        <v>23</v>
      </c>
      <c r="N28" s="58">
        <v>50</v>
      </c>
      <c r="O28" s="58">
        <v>170000</v>
      </c>
      <c r="P28" s="58">
        <v>0</v>
      </c>
      <c r="Q28" s="58">
        <v>0</v>
      </c>
      <c r="R28" s="58">
        <v>0</v>
      </c>
      <c r="S28" s="58">
        <v>0</v>
      </c>
      <c r="T28" s="72">
        <v>50</v>
      </c>
      <c r="U28" s="63">
        <v>170000</v>
      </c>
    </row>
    <row r="29" spans="1:21" x14ac:dyDescent="0.35">
      <c r="A29" s="58"/>
      <c r="B29" s="58" t="s">
        <v>48</v>
      </c>
      <c r="C29" s="69" t="s">
        <v>44</v>
      </c>
      <c r="D29" s="58">
        <v>2</v>
      </c>
      <c r="E29" s="70">
        <v>12500</v>
      </c>
      <c r="F29" s="55">
        <f t="shared" si="1"/>
        <v>25000</v>
      </c>
      <c r="G29" s="69" t="s">
        <v>20</v>
      </c>
      <c r="H29" s="69" t="s">
        <v>21</v>
      </c>
      <c r="I29" s="69" t="s">
        <v>22</v>
      </c>
      <c r="J29" s="69"/>
      <c r="K29" s="69"/>
      <c r="L29" s="69"/>
      <c r="M29" s="71" t="s">
        <v>23</v>
      </c>
      <c r="N29" s="58">
        <v>2</v>
      </c>
      <c r="O29" s="58">
        <v>25000</v>
      </c>
      <c r="P29" s="58">
        <v>0</v>
      </c>
      <c r="Q29" s="58">
        <v>0</v>
      </c>
      <c r="R29" s="58">
        <v>0</v>
      </c>
      <c r="S29" s="58">
        <v>0</v>
      </c>
      <c r="T29" s="72">
        <v>0</v>
      </c>
      <c r="U29" s="63">
        <v>0</v>
      </c>
    </row>
    <row r="30" spans="1:21" x14ac:dyDescent="0.35">
      <c r="A30" s="58"/>
      <c r="B30" s="58" t="s">
        <v>49</v>
      </c>
      <c r="C30" s="69" t="s">
        <v>50</v>
      </c>
      <c r="D30" s="58">
        <v>15</v>
      </c>
      <c r="E30" s="70">
        <v>8500</v>
      </c>
      <c r="F30" s="55">
        <f t="shared" si="1"/>
        <v>127500</v>
      </c>
      <c r="G30" s="69" t="s">
        <v>20</v>
      </c>
      <c r="H30" s="69" t="s">
        <v>21</v>
      </c>
      <c r="I30" s="69" t="s">
        <v>22</v>
      </c>
      <c r="J30" s="69"/>
      <c r="K30" s="69"/>
      <c r="L30" s="69"/>
      <c r="M30" s="71" t="s">
        <v>23</v>
      </c>
      <c r="N30" s="58">
        <v>3</v>
      </c>
      <c r="O30" s="58">
        <v>25500</v>
      </c>
      <c r="P30" s="58">
        <v>4</v>
      </c>
      <c r="Q30" s="58">
        <v>34000</v>
      </c>
      <c r="R30" s="58">
        <v>4</v>
      </c>
      <c r="S30" s="58">
        <v>34000</v>
      </c>
      <c r="T30" s="72">
        <v>4</v>
      </c>
      <c r="U30" s="63">
        <v>34000</v>
      </c>
    </row>
    <row r="31" spans="1:21" x14ac:dyDescent="0.35">
      <c r="A31" s="58"/>
      <c r="B31" s="58" t="s">
        <v>51</v>
      </c>
      <c r="C31" s="69" t="s">
        <v>50</v>
      </c>
      <c r="D31" s="58">
        <v>10</v>
      </c>
      <c r="E31" s="70">
        <v>1640</v>
      </c>
      <c r="F31" s="55">
        <f t="shared" si="1"/>
        <v>16400</v>
      </c>
      <c r="G31" s="69" t="s">
        <v>20</v>
      </c>
      <c r="H31" s="69" t="s">
        <v>21</v>
      </c>
      <c r="I31" s="69" t="s">
        <v>22</v>
      </c>
      <c r="J31" s="69"/>
      <c r="K31" s="69"/>
      <c r="L31" s="69"/>
      <c r="M31" s="71" t="s">
        <v>23</v>
      </c>
      <c r="N31" s="58">
        <v>10</v>
      </c>
      <c r="O31" s="58">
        <v>16400</v>
      </c>
      <c r="P31" s="58">
        <v>0</v>
      </c>
      <c r="Q31" s="58">
        <v>0</v>
      </c>
      <c r="R31" s="58">
        <v>0</v>
      </c>
      <c r="S31" s="58">
        <v>0</v>
      </c>
      <c r="T31" s="72">
        <v>0</v>
      </c>
      <c r="U31" s="63">
        <v>0</v>
      </c>
    </row>
    <row r="32" spans="1:21" x14ac:dyDescent="0.35">
      <c r="A32" s="58"/>
      <c r="B32" s="58" t="s">
        <v>52</v>
      </c>
      <c r="C32" s="69" t="s">
        <v>53</v>
      </c>
      <c r="D32" s="58">
        <v>5</v>
      </c>
      <c r="E32" s="70">
        <v>5760</v>
      </c>
      <c r="F32" s="55">
        <f t="shared" si="1"/>
        <v>28800</v>
      </c>
      <c r="G32" s="69" t="s">
        <v>20</v>
      </c>
      <c r="H32" s="69" t="s">
        <v>21</v>
      </c>
      <c r="I32" s="69" t="s">
        <v>22</v>
      </c>
      <c r="J32" s="69"/>
      <c r="K32" s="69"/>
      <c r="L32" s="69"/>
      <c r="M32" s="71" t="s">
        <v>23</v>
      </c>
      <c r="N32" s="58">
        <v>2</v>
      </c>
      <c r="O32" s="58">
        <v>11520</v>
      </c>
      <c r="P32" s="58">
        <v>1</v>
      </c>
      <c r="Q32" s="58">
        <v>5760</v>
      </c>
      <c r="R32" s="58">
        <v>1</v>
      </c>
      <c r="S32" s="58">
        <v>5760</v>
      </c>
      <c r="T32" s="72">
        <v>1</v>
      </c>
      <c r="U32" s="63">
        <v>5760</v>
      </c>
    </row>
    <row r="33" spans="1:21" x14ac:dyDescent="0.35">
      <c r="A33" s="58"/>
      <c r="B33" s="58" t="s">
        <v>54</v>
      </c>
      <c r="C33" s="69" t="s">
        <v>44</v>
      </c>
      <c r="D33" s="58">
        <v>2</v>
      </c>
      <c r="E33" s="70">
        <v>8500</v>
      </c>
      <c r="F33" s="55">
        <f t="shared" si="1"/>
        <v>17000</v>
      </c>
      <c r="G33" s="69" t="s">
        <v>20</v>
      </c>
      <c r="H33" s="69" t="s">
        <v>21</v>
      </c>
      <c r="I33" s="69" t="s">
        <v>22</v>
      </c>
      <c r="J33" s="69"/>
      <c r="K33" s="69"/>
      <c r="L33" s="69"/>
      <c r="M33" s="71" t="s">
        <v>23</v>
      </c>
      <c r="N33" s="58">
        <v>2</v>
      </c>
      <c r="O33" s="58">
        <v>17000</v>
      </c>
      <c r="P33" s="58">
        <v>0</v>
      </c>
      <c r="Q33" s="58">
        <v>0</v>
      </c>
      <c r="R33" s="58">
        <v>0</v>
      </c>
      <c r="S33" s="58">
        <v>0</v>
      </c>
      <c r="T33" s="72">
        <v>0</v>
      </c>
      <c r="U33" s="63">
        <v>0</v>
      </c>
    </row>
    <row r="34" spans="1:21" ht="15.5" x14ac:dyDescent="0.35">
      <c r="A34" s="58"/>
      <c r="B34" s="73" t="s">
        <v>55</v>
      </c>
      <c r="C34" s="74" t="s">
        <v>56</v>
      </c>
      <c r="D34" s="74">
        <v>10</v>
      </c>
      <c r="E34" s="75">
        <v>1400</v>
      </c>
      <c r="F34" s="55">
        <f t="shared" si="1"/>
        <v>14000</v>
      </c>
      <c r="G34" s="69" t="s">
        <v>20</v>
      </c>
      <c r="H34" s="69" t="s">
        <v>21</v>
      </c>
      <c r="I34" s="69" t="s">
        <v>22</v>
      </c>
      <c r="J34" s="69"/>
      <c r="K34" s="69"/>
      <c r="L34" s="69"/>
      <c r="M34" s="71" t="s">
        <v>23</v>
      </c>
      <c r="N34" s="58">
        <v>10</v>
      </c>
      <c r="O34" s="63">
        <f>N34*E34</f>
        <v>14000</v>
      </c>
      <c r="P34" s="58"/>
      <c r="Q34" s="58"/>
      <c r="R34" s="58"/>
      <c r="S34" s="58"/>
      <c r="T34" s="76"/>
      <c r="U34" s="63"/>
    </row>
    <row r="35" spans="1:21" ht="15.5" x14ac:dyDescent="0.35">
      <c r="A35" s="58"/>
      <c r="B35" s="73" t="s">
        <v>57</v>
      </c>
      <c r="C35" s="74" t="s">
        <v>56</v>
      </c>
      <c r="D35" s="74">
        <v>10</v>
      </c>
      <c r="E35" s="75">
        <v>1500</v>
      </c>
      <c r="F35" s="55">
        <f t="shared" si="1"/>
        <v>15000</v>
      </c>
      <c r="G35" s="69" t="s">
        <v>20</v>
      </c>
      <c r="H35" s="69" t="s">
        <v>21</v>
      </c>
      <c r="I35" s="69" t="s">
        <v>22</v>
      </c>
      <c r="J35" s="69"/>
      <c r="K35" s="69"/>
      <c r="L35" s="69"/>
      <c r="M35" s="71" t="s">
        <v>23</v>
      </c>
      <c r="N35" s="58">
        <v>10</v>
      </c>
      <c r="O35" s="63">
        <f t="shared" ref="O35:O47" si="2">N35*E35</f>
        <v>15000</v>
      </c>
      <c r="P35" s="58"/>
      <c r="Q35" s="58"/>
      <c r="R35" s="58"/>
      <c r="S35" s="58"/>
      <c r="T35" s="76"/>
      <c r="U35" s="63"/>
    </row>
    <row r="36" spans="1:21" ht="15.5" x14ac:dyDescent="0.35">
      <c r="A36" s="58"/>
      <c r="B36" s="73" t="s">
        <v>58</v>
      </c>
      <c r="C36" s="74" t="s">
        <v>56</v>
      </c>
      <c r="D36" s="74">
        <v>10</v>
      </c>
      <c r="E36" s="75">
        <v>1600</v>
      </c>
      <c r="F36" s="55">
        <f t="shared" si="1"/>
        <v>16000</v>
      </c>
      <c r="G36" s="69" t="s">
        <v>20</v>
      </c>
      <c r="H36" s="69" t="s">
        <v>21</v>
      </c>
      <c r="I36" s="69" t="s">
        <v>22</v>
      </c>
      <c r="J36" s="69"/>
      <c r="K36" s="69"/>
      <c r="L36" s="69"/>
      <c r="M36" s="71" t="s">
        <v>23</v>
      </c>
      <c r="N36" s="58">
        <v>10</v>
      </c>
      <c r="O36" s="63">
        <f t="shared" si="2"/>
        <v>16000</v>
      </c>
      <c r="P36" s="58"/>
      <c r="Q36" s="58"/>
      <c r="R36" s="58"/>
      <c r="S36" s="58"/>
      <c r="T36" s="76"/>
      <c r="U36" s="63"/>
    </row>
    <row r="37" spans="1:21" ht="15.5" x14ac:dyDescent="0.35">
      <c r="A37" s="58"/>
      <c r="B37" s="73" t="s">
        <v>59</v>
      </c>
      <c r="C37" s="74" t="s">
        <v>56</v>
      </c>
      <c r="D37" s="74">
        <v>10</v>
      </c>
      <c r="E37" s="75">
        <v>1850</v>
      </c>
      <c r="F37" s="55">
        <f t="shared" si="1"/>
        <v>18500</v>
      </c>
      <c r="G37" s="69" t="s">
        <v>20</v>
      </c>
      <c r="H37" s="69" t="s">
        <v>21</v>
      </c>
      <c r="I37" s="69" t="s">
        <v>22</v>
      </c>
      <c r="J37" s="69"/>
      <c r="K37" s="69"/>
      <c r="L37" s="69"/>
      <c r="M37" s="71" t="s">
        <v>23</v>
      </c>
      <c r="N37" s="58">
        <v>10</v>
      </c>
      <c r="O37" s="63">
        <f t="shared" si="2"/>
        <v>18500</v>
      </c>
      <c r="P37" s="58"/>
      <c r="Q37" s="58"/>
      <c r="R37" s="58"/>
      <c r="S37" s="58"/>
      <c r="T37" s="76"/>
      <c r="U37" s="63"/>
    </row>
    <row r="38" spans="1:21" ht="15.5" x14ac:dyDescent="0.35">
      <c r="A38" s="58"/>
      <c r="B38" s="73" t="s">
        <v>60</v>
      </c>
      <c r="C38" s="74" t="s">
        <v>56</v>
      </c>
      <c r="D38" s="74">
        <v>10</v>
      </c>
      <c r="E38" s="75">
        <v>2100</v>
      </c>
      <c r="F38" s="55">
        <f t="shared" si="1"/>
        <v>21000</v>
      </c>
      <c r="G38" s="69" t="s">
        <v>20</v>
      </c>
      <c r="H38" s="69" t="s">
        <v>21</v>
      </c>
      <c r="I38" s="69" t="s">
        <v>22</v>
      </c>
      <c r="J38" s="69"/>
      <c r="K38" s="69"/>
      <c r="L38" s="69"/>
      <c r="M38" s="71" t="s">
        <v>23</v>
      </c>
      <c r="N38" s="58">
        <v>10</v>
      </c>
      <c r="O38" s="63">
        <f t="shared" si="2"/>
        <v>21000</v>
      </c>
      <c r="P38" s="58"/>
      <c r="Q38" s="58"/>
      <c r="R38" s="58"/>
      <c r="S38" s="58"/>
      <c r="T38" s="76"/>
      <c r="U38" s="63"/>
    </row>
    <row r="39" spans="1:21" ht="15.5" x14ac:dyDescent="0.35">
      <c r="A39" s="58"/>
      <c r="B39" s="73" t="s">
        <v>61</v>
      </c>
      <c r="C39" s="74" t="s">
        <v>56</v>
      </c>
      <c r="D39" s="74">
        <v>10</v>
      </c>
      <c r="E39" s="75">
        <v>2400</v>
      </c>
      <c r="F39" s="55">
        <f t="shared" si="1"/>
        <v>24000</v>
      </c>
      <c r="G39" s="69" t="s">
        <v>20</v>
      </c>
      <c r="H39" s="69" t="s">
        <v>21</v>
      </c>
      <c r="I39" s="69" t="s">
        <v>22</v>
      </c>
      <c r="J39" s="69"/>
      <c r="K39" s="69"/>
      <c r="L39" s="69"/>
      <c r="M39" s="71" t="s">
        <v>23</v>
      </c>
      <c r="N39" s="58">
        <v>10</v>
      </c>
      <c r="O39" s="63">
        <f t="shared" si="2"/>
        <v>24000</v>
      </c>
      <c r="P39" s="58"/>
      <c r="Q39" s="58"/>
      <c r="R39" s="58"/>
      <c r="S39" s="58"/>
      <c r="T39" s="76"/>
      <c r="U39" s="63"/>
    </row>
    <row r="40" spans="1:21" ht="15.5" x14ac:dyDescent="0.35">
      <c r="A40" s="58"/>
      <c r="B40" s="73" t="s">
        <v>62</v>
      </c>
      <c r="C40" s="74" t="s">
        <v>56</v>
      </c>
      <c r="D40" s="74">
        <v>10</v>
      </c>
      <c r="E40" s="75">
        <v>1380</v>
      </c>
      <c r="F40" s="55">
        <f t="shared" si="1"/>
        <v>13800</v>
      </c>
      <c r="G40" s="69" t="s">
        <v>20</v>
      </c>
      <c r="H40" s="69" t="s">
        <v>21</v>
      </c>
      <c r="I40" s="69" t="s">
        <v>22</v>
      </c>
      <c r="J40" s="69"/>
      <c r="K40" s="69"/>
      <c r="L40" s="69"/>
      <c r="M40" s="71" t="s">
        <v>23</v>
      </c>
      <c r="N40" s="58">
        <v>10</v>
      </c>
      <c r="O40" s="63">
        <f t="shared" si="2"/>
        <v>13800</v>
      </c>
      <c r="P40" s="58"/>
      <c r="Q40" s="58"/>
      <c r="R40" s="58"/>
      <c r="S40" s="58"/>
      <c r="T40" s="76"/>
      <c r="U40" s="63"/>
    </row>
    <row r="41" spans="1:21" ht="15.5" x14ac:dyDescent="0.35">
      <c r="A41" s="58"/>
      <c r="B41" s="73" t="s">
        <v>63</v>
      </c>
      <c r="C41" s="74" t="s">
        <v>56</v>
      </c>
      <c r="D41" s="74">
        <v>10</v>
      </c>
      <c r="E41" s="75">
        <v>1480</v>
      </c>
      <c r="F41" s="55">
        <f t="shared" si="1"/>
        <v>14800</v>
      </c>
      <c r="G41" s="69" t="s">
        <v>20</v>
      </c>
      <c r="H41" s="69" t="s">
        <v>21</v>
      </c>
      <c r="I41" s="69" t="s">
        <v>22</v>
      </c>
      <c r="J41" s="69"/>
      <c r="K41" s="69"/>
      <c r="L41" s="69"/>
      <c r="M41" s="71" t="s">
        <v>23</v>
      </c>
      <c r="N41" s="58">
        <v>10</v>
      </c>
      <c r="O41" s="63">
        <f t="shared" si="2"/>
        <v>14800</v>
      </c>
      <c r="P41" s="58"/>
      <c r="Q41" s="58"/>
      <c r="R41" s="58"/>
      <c r="S41" s="58"/>
      <c r="T41" s="76"/>
      <c r="U41" s="63"/>
    </row>
    <row r="42" spans="1:21" ht="15.5" x14ac:dyDescent="0.35">
      <c r="A42" s="58"/>
      <c r="B42" s="73" t="s">
        <v>64</v>
      </c>
      <c r="C42" s="74" t="s">
        <v>56</v>
      </c>
      <c r="D42" s="74">
        <v>10</v>
      </c>
      <c r="E42" s="75">
        <v>1590</v>
      </c>
      <c r="F42" s="55">
        <f t="shared" si="1"/>
        <v>15900</v>
      </c>
      <c r="G42" s="69" t="s">
        <v>20</v>
      </c>
      <c r="H42" s="69" t="s">
        <v>21</v>
      </c>
      <c r="I42" s="69" t="s">
        <v>22</v>
      </c>
      <c r="J42" s="69"/>
      <c r="K42" s="69"/>
      <c r="L42" s="69"/>
      <c r="M42" s="71" t="s">
        <v>23</v>
      </c>
      <c r="N42" s="58">
        <v>10</v>
      </c>
      <c r="O42" s="63">
        <f t="shared" si="2"/>
        <v>15900</v>
      </c>
      <c r="P42" s="58"/>
      <c r="Q42" s="58"/>
      <c r="R42" s="58"/>
      <c r="S42" s="58"/>
      <c r="T42" s="76"/>
      <c r="U42" s="63"/>
    </row>
    <row r="43" spans="1:21" ht="15.5" x14ac:dyDescent="0.35">
      <c r="A43" s="58"/>
      <c r="B43" s="73" t="s">
        <v>65</v>
      </c>
      <c r="C43" s="74" t="s">
        <v>56</v>
      </c>
      <c r="D43" s="74">
        <v>12</v>
      </c>
      <c r="E43" s="75">
        <v>1700</v>
      </c>
      <c r="F43" s="55">
        <f t="shared" si="1"/>
        <v>20400</v>
      </c>
      <c r="G43" s="69" t="s">
        <v>20</v>
      </c>
      <c r="H43" s="69" t="s">
        <v>21</v>
      </c>
      <c r="I43" s="69" t="s">
        <v>22</v>
      </c>
      <c r="J43" s="69"/>
      <c r="K43" s="69"/>
      <c r="L43" s="69"/>
      <c r="M43" s="71" t="s">
        <v>23</v>
      </c>
      <c r="N43" s="58">
        <v>12</v>
      </c>
      <c r="O43" s="63">
        <f t="shared" si="2"/>
        <v>20400</v>
      </c>
      <c r="P43" s="58"/>
      <c r="Q43" s="58"/>
      <c r="R43" s="58"/>
      <c r="S43" s="58"/>
      <c r="T43" s="76"/>
      <c r="U43" s="63"/>
    </row>
    <row r="44" spans="1:21" ht="15.5" x14ac:dyDescent="0.35">
      <c r="A44" s="58"/>
      <c r="B44" s="73" t="s">
        <v>66</v>
      </c>
      <c r="C44" s="74" t="s">
        <v>56</v>
      </c>
      <c r="D44" s="74">
        <v>10</v>
      </c>
      <c r="E44" s="75">
        <v>2400</v>
      </c>
      <c r="F44" s="55">
        <f t="shared" si="1"/>
        <v>24000</v>
      </c>
      <c r="G44" s="69" t="s">
        <v>20</v>
      </c>
      <c r="H44" s="69" t="s">
        <v>21</v>
      </c>
      <c r="I44" s="69" t="s">
        <v>22</v>
      </c>
      <c r="J44" s="69"/>
      <c r="K44" s="69"/>
      <c r="L44" s="69"/>
      <c r="M44" s="71" t="s">
        <v>23</v>
      </c>
      <c r="N44" s="58">
        <v>10</v>
      </c>
      <c r="O44" s="63">
        <f t="shared" si="2"/>
        <v>24000</v>
      </c>
      <c r="P44" s="58"/>
      <c r="Q44" s="58"/>
      <c r="R44" s="58"/>
      <c r="S44" s="58"/>
      <c r="T44" s="76"/>
      <c r="U44" s="63"/>
    </row>
    <row r="45" spans="1:21" ht="15.5" x14ac:dyDescent="0.35">
      <c r="A45" s="58"/>
      <c r="B45" s="73" t="s">
        <v>67</v>
      </c>
      <c r="C45" s="74" t="s">
        <v>56</v>
      </c>
      <c r="D45" s="74">
        <v>15</v>
      </c>
      <c r="E45" s="75">
        <v>5000</v>
      </c>
      <c r="F45" s="55">
        <f t="shared" si="1"/>
        <v>75000</v>
      </c>
      <c r="G45" s="69" t="s">
        <v>20</v>
      </c>
      <c r="H45" s="69" t="s">
        <v>21</v>
      </c>
      <c r="I45" s="69" t="s">
        <v>22</v>
      </c>
      <c r="J45" s="69"/>
      <c r="K45" s="69"/>
      <c r="L45" s="69"/>
      <c r="M45" s="71" t="s">
        <v>23</v>
      </c>
      <c r="N45" s="58">
        <v>15</v>
      </c>
      <c r="O45" s="63">
        <f t="shared" si="2"/>
        <v>75000</v>
      </c>
      <c r="P45" s="58"/>
      <c r="Q45" s="58"/>
      <c r="R45" s="58"/>
      <c r="S45" s="58"/>
      <c r="T45" s="76"/>
      <c r="U45" s="63"/>
    </row>
    <row r="46" spans="1:21" ht="15.5" x14ac:dyDescent="0.35">
      <c r="A46" s="58"/>
      <c r="B46" s="73" t="s">
        <v>68</v>
      </c>
      <c r="C46" s="74" t="s">
        <v>56</v>
      </c>
      <c r="D46" s="74">
        <v>15</v>
      </c>
      <c r="E46" s="75">
        <v>3500</v>
      </c>
      <c r="F46" s="55">
        <f t="shared" si="1"/>
        <v>52500</v>
      </c>
      <c r="G46" s="69" t="s">
        <v>20</v>
      </c>
      <c r="H46" s="69" t="s">
        <v>21</v>
      </c>
      <c r="I46" s="69" t="s">
        <v>22</v>
      </c>
      <c r="J46" s="69"/>
      <c r="K46" s="69"/>
      <c r="L46" s="69"/>
      <c r="M46" s="71" t="s">
        <v>23</v>
      </c>
      <c r="N46" s="58">
        <v>15</v>
      </c>
      <c r="O46" s="63">
        <f t="shared" si="2"/>
        <v>52500</v>
      </c>
      <c r="P46" s="58"/>
      <c r="Q46" s="58"/>
      <c r="R46" s="58"/>
      <c r="S46" s="58"/>
      <c r="T46" s="76"/>
      <c r="U46" s="63"/>
    </row>
    <row r="47" spans="1:21" ht="15.5" x14ac:dyDescent="0.35">
      <c r="A47" s="58"/>
      <c r="B47" s="73" t="s">
        <v>69</v>
      </c>
      <c r="C47" s="74" t="s">
        <v>56</v>
      </c>
      <c r="D47" s="74">
        <v>10</v>
      </c>
      <c r="E47" s="75">
        <v>2500</v>
      </c>
      <c r="F47" s="55">
        <f t="shared" si="1"/>
        <v>25000</v>
      </c>
      <c r="G47" s="69" t="s">
        <v>20</v>
      </c>
      <c r="H47" s="69" t="s">
        <v>21</v>
      </c>
      <c r="I47" s="69" t="s">
        <v>22</v>
      </c>
      <c r="J47" s="69"/>
      <c r="K47" s="69"/>
      <c r="L47" s="69"/>
      <c r="M47" s="71" t="s">
        <v>23</v>
      </c>
      <c r="N47" s="58">
        <v>10</v>
      </c>
      <c r="O47" s="63">
        <f t="shared" si="2"/>
        <v>25000</v>
      </c>
      <c r="P47" s="58"/>
      <c r="Q47" s="58"/>
      <c r="R47" s="58"/>
      <c r="S47" s="58"/>
      <c r="T47" s="76"/>
      <c r="U47" s="63"/>
    </row>
    <row r="48" spans="1:21" ht="15.5" x14ac:dyDescent="0.35">
      <c r="A48" s="58"/>
      <c r="B48" s="73" t="s">
        <v>70</v>
      </c>
      <c r="C48" s="74" t="s">
        <v>56</v>
      </c>
      <c r="D48" s="74">
        <v>5</v>
      </c>
      <c r="E48" s="75">
        <v>200</v>
      </c>
      <c r="F48" s="55">
        <f t="shared" si="1"/>
        <v>1000</v>
      </c>
      <c r="G48" s="69" t="s">
        <v>20</v>
      </c>
      <c r="H48" s="69" t="s">
        <v>21</v>
      </c>
      <c r="I48" s="69" t="s">
        <v>22</v>
      </c>
      <c r="J48" s="69"/>
      <c r="K48" s="69"/>
      <c r="L48" s="69"/>
      <c r="M48" s="71" t="s">
        <v>23</v>
      </c>
      <c r="N48" s="58">
        <v>5</v>
      </c>
      <c r="O48" s="58"/>
      <c r="P48" s="58"/>
      <c r="Q48" s="58"/>
      <c r="R48" s="58"/>
      <c r="S48" s="58"/>
      <c r="T48" s="76"/>
      <c r="U48" s="63"/>
    </row>
    <row r="49" spans="1:21" x14ac:dyDescent="0.35">
      <c r="A49" s="58"/>
      <c r="B49" s="77" t="s">
        <v>43</v>
      </c>
      <c r="C49" s="58" t="s">
        <v>44</v>
      </c>
      <c r="D49" s="58">
        <v>100</v>
      </c>
      <c r="E49" s="70">
        <v>2800</v>
      </c>
      <c r="F49" s="55">
        <f t="shared" si="1"/>
        <v>280000</v>
      </c>
      <c r="G49" s="69" t="s">
        <v>20</v>
      </c>
      <c r="H49" s="69" t="s">
        <v>21</v>
      </c>
      <c r="I49" s="69" t="s">
        <v>22</v>
      </c>
      <c r="J49" s="69"/>
      <c r="K49" s="69"/>
      <c r="L49" s="69"/>
      <c r="M49" s="71" t="s">
        <v>23</v>
      </c>
      <c r="N49" s="58">
        <v>50</v>
      </c>
      <c r="O49" s="58">
        <v>140000</v>
      </c>
      <c r="P49" s="58">
        <v>0</v>
      </c>
      <c r="Q49" s="58">
        <v>0</v>
      </c>
      <c r="R49" s="58">
        <v>0</v>
      </c>
      <c r="S49" s="58">
        <v>0</v>
      </c>
      <c r="T49" s="72">
        <v>50</v>
      </c>
      <c r="U49" s="63">
        <v>140000</v>
      </c>
    </row>
    <row r="50" spans="1:21" x14ac:dyDescent="0.35">
      <c r="A50" s="58"/>
      <c r="B50" s="77" t="s">
        <v>45</v>
      </c>
      <c r="C50" s="58" t="s">
        <v>44</v>
      </c>
      <c r="D50" s="58">
        <v>100</v>
      </c>
      <c r="E50" s="70">
        <v>3000</v>
      </c>
      <c r="F50" s="55">
        <f t="shared" si="1"/>
        <v>300000</v>
      </c>
      <c r="G50" s="69" t="s">
        <v>20</v>
      </c>
      <c r="H50" s="69" t="s">
        <v>21</v>
      </c>
      <c r="I50" s="69" t="s">
        <v>22</v>
      </c>
      <c r="J50" s="69"/>
      <c r="K50" s="69"/>
      <c r="L50" s="69"/>
      <c r="M50" s="71" t="s">
        <v>23</v>
      </c>
      <c r="N50" s="58">
        <v>50</v>
      </c>
      <c r="O50" s="58">
        <v>150000</v>
      </c>
      <c r="P50" s="58">
        <v>0</v>
      </c>
      <c r="Q50" s="58">
        <v>0</v>
      </c>
      <c r="R50" s="58">
        <v>0</v>
      </c>
      <c r="S50" s="58">
        <v>0</v>
      </c>
      <c r="T50" s="72">
        <v>50</v>
      </c>
      <c r="U50" s="63">
        <v>150000</v>
      </c>
    </row>
    <row r="51" spans="1:21" x14ac:dyDescent="0.35">
      <c r="A51" s="58"/>
      <c r="B51" s="77" t="s">
        <v>46</v>
      </c>
      <c r="C51" s="58" t="s">
        <v>44</v>
      </c>
      <c r="D51" s="58">
        <v>100</v>
      </c>
      <c r="E51" s="70">
        <v>3200</v>
      </c>
      <c r="F51" s="55">
        <f t="shared" si="1"/>
        <v>320000</v>
      </c>
      <c r="G51" s="69" t="s">
        <v>20</v>
      </c>
      <c r="H51" s="69" t="s">
        <v>21</v>
      </c>
      <c r="I51" s="69" t="s">
        <v>22</v>
      </c>
      <c r="J51" s="69"/>
      <c r="K51" s="69"/>
      <c r="L51" s="69"/>
      <c r="M51" s="71" t="s">
        <v>23</v>
      </c>
      <c r="N51" s="58">
        <v>50</v>
      </c>
      <c r="O51" s="58">
        <v>160000</v>
      </c>
      <c r="P51" s="58">
        <v>0</v>
      </c>
      <c r="Q51" s="58">
        <v>0</v>
      </c>
      <c r="R51" s="58">
        <v>0</v>
      </c>
      <c r="S51" s="58">
        <v>0</v>
      </c>
      <c r="T51" s="72">
        <v>50</v>
      </c>
      <c r="U51" s="63">
        <v>160000</v>
      </c>
    </row>
    <row r="52" spans="1:21" x14ac:dyDescent="0.35">
      <c r="A52" s="58"/>
      <c r="B52" s="77" t="s">
        <v>47</v>
      </c>
      <c r="C52" s="58" t="s">
        <v>44</v>
      </c>
      <c r="D52" s="58">
        <v>100</v>
      </c>
      <c r="E52" s="70">
        <v>3400</v>
      </c>
      <c r="F52" s="55">
        <f t="shared" si="1"/>
        <v>340000</v>
      </c>
      <c r="G52" s="69" t="s">
        <v>20</v>
      </c>
      <c r="H52" s="69" t="s">
        <v>21</v>
      </c>
      <c r="I52" s="69" t="s">
        <v>22</v>
      </c>
      <c r="J52" s="69"/>
      <c r="K52" s="69"/>
      <c r="L52" s="69"/>
      <c r="M52" s="71" t="s">
        <v>23</v>
      </c>
      <c r="N52" s="58">
        <v>50</v>
      </c>
      <c r="O52" s="58">
        <v>170000</v>
      </c>
      <c r="P52" s="58">
        <v>0</v>
      </c>
      <c r="Q52" s="58">
        <v>0</v>
      </c>
      <c r="R52" s="58">
        <v>0</v>
      </c>
      <c r="S52" s="58">
        <v>0</v>
      </c>
      <c r="T52" s="72">
        <v>50</v>
      </c>
      <c r="U52" s="63">
        <v>170000</v>
      </c>
    </row>
    <row r="53" spans="1:21" x14ac:dyDescent="0.35">
      <c r="A53" s="58"/>
      <c r="B53" s="77" t="s">
        <v>71</v>
      </c>
      <c r="C53" s="58" t="s">
        <v>44</v>
      </c>
      <c r="D53" s="58">
        <v>2500</v>
      </c>
      <c r="E53" s="70">
        <v>250</v>
      </c>
      <c r="F53" s="55">
        <f t="shared" si="1"/>
        <v>625000</v>
      </c>
      <c r="G53" s="69" t="s">
        <v>20</v>
      </c>
      <c r="H53" s="69" t="s">
        <v>21</v>
      </c>
      <c r="I53" s="69" t="s">
        <v>22</v>
      </c>
      <c r="J53" s="69"/>
      <c r="K53" s="69"/>
      <c r="L53" s="69"/>
      <c r="M53" s="71" t="s">
        <v>23</v>
      </c>
      <c r="N53" s="58">
        <v>1000</v>
      </c>
      <c r="O53" s="58">
        <v>250000</v>
      </c>
      <c r="P53" s="58">
        <v>500</v>
      </c>
      <c r="Q53" s="58">
        <v>125000</v>
      </c>
      <c r="R53" s="58">
        <v>500</v>
      </c>
      <c r="S53" s="58">
        <v>125000</v>
      </c>
      <c r="T53" s="72">
        <v>500</v>
      </c>
      <c r="U53" s="63">
        <v>125000</v>
      </c>
    </row>
    <row r="54" spans="1:21" x14ac:dyDescent="0.35">
      <c r="A54" s="58"/>
      <c r="B54" s="77" t="s">
        <v>49</v>
      </c>
      <c r="C54" s="58" t="s">
        <v>50</v>
      </c>
      <c r="D54" s="58">
        <v>15</v>
      </c>
      <c r="E54" s="70">
        <v>8500</v>
      </c>
      <c r="F54" s="55">
        <f t="shared" si="1"/>
        <v>127500</v>
      </c>
      <c r="G54" s="69" t="s">
        <v>20</v>
      </c>
      <c r="H54" s="69" t="s">
        <v>21</v>
      </c>
      <c r="I54" s="69" t="s">
        <v>22</v>
      </c>
      <c r="J54" s="69"/>
      <c r="K54" s="69"/>
      <c r="L54" s="69"/>
      <c r="M54" s="71" t="s">
        <v>23</v>
      </c>
      <c r="N54" s="58">
        <v>3</v>
      </c>
      <c r="O54" s="58">
        <v>25500</v>
      </c>
      <c r="P54" s="58">
        <v>4</v>
      </c>
      <c r="Q54" s="58">
        <v>34000</v>
      </c>
      <c r="R54" s="58">
        <v>4</v>
      </c>
      <c r="S54" s="58">
        <v>34000</v>
      </c>
      <c r="T54" s="72">
        <v>4</v>
      </c>
      <c r="U54" s="63">
        <v>34000</v>
      </c>
    </row>
    <row r="55" spans="1:21" x14ac:dyDescent="0.35">
      <c r="A55" s="58"/>
      <c r="B55" s="78" t="s">
        <v>51</v>
      </c>
      <c r="C55" s="58" t="s">
        <v>50</v>
      </c>
      <c r="D55" s="58">
        <v>10</v>
      </c>
      <c r="E55" s="70">
        <v>1640</v>
      </c>
      <c r="F55" s="55">
        <f t="shared" si="1"/>
        <v>16400</v>
      </c>
      <c r="G55" s="69" t="s">
        <v>20</v>
      </c>
      <c r="H55" s="69" t="s">
        <v>21</v>
      </c>
      <c r="I55" s="69" t="s">
        <v>22</v>
      </c>
      <c r="J55" s="69"/>
      <c r="K55" s="69"/>
      <c r="L55" s="69"/>
      <c r="M55" s="71" t="s">
        <v>23</v>
      </c>
      <c r="N55" s="58">
        <v>10</v>
      </c>
      <c r="O55" s="58">
        <v>16400</v>
      </c>
      <c r="P55" s="58">
        <v>0</v>
      </c>
      <c r="Q55" s="58">
        <v>0</v>
      </c>
      <c r="R55" s="58">
        <v>0</v>
      </c>
      <c r="S55" s="58">
        <v>0</v>
      </c>
      <c r="T55" s="72">
        <v>0</v>
      </c>
      <c r="U55" s="63">
        <v>0</v>
      </c>
    </row>
    <row r="56" spans="1:21" x14ac:dyDescent="0.35">
      <c r="A56" s="58"/>
      <c r="B56" s="77" t="s">
        <v>52</v>
      </c>
      <c r="C56" s="58" t="s">
        <v>53</v>
      </c>
      <c r="D56" s="58">
        <v>5</v>
      </c>
      <c r="E56" s="70">
        <v>5760</v>
      </c>
      <c r="F56" s="55">
        <f t="shared" si="1"/>
        <v>28800</v>
      </c>
      <c r="G56" s="69" t="s">
        <v>20</v>
      </c>
      <c r="H56" s="69" t="s">
        <v>21</v>
      </c>
      <c r="I56" s="69" t="s">
        <v>22</v>
      </c>
      <c r="J56" s="69"/>
      <c r="K56" s="69"/>
      <c r="L56" s="69"/>
      <c r="M56" s="71" t="s">
        <v>23</v>
      </c>
      <c r="N56" s="58">
        <v>2</v>
      </c>
      <c r="O56" s="58">
        <v>11520</v>
      </c>
      <c r="P56" s="58">
        <v>1</v>
      </c>
      <c r="Q56" s="58">
        <v>5760</v>
      </c>
      <c r="R56" s="58">
        <v>1</v>
      </c>
      <c r="S56" s="58">
        <v>5760</v>
      </c>
      <c r="T56" s="72">
        <v>1</v>
      </c>
      <c r="U56" s="63">
        <v>5760</v>
      </c>
    </row>
    <row r="57" spans="1:21" x14ac:dyDescent="0.35">
      <c r="A57" s="58"/>
      <c r="B57" s="77" t="s">
        <v>54</v>
      </c>
      <c r="C57" s="58" t="s">
        <v>44</v>
      </c>
      <c r="D57" s="58">
        <v>2</v>
      </c>
      <c r="E57" s="70">
        <v>8500</v>
      </c>
      <c r="F57" s="55">
        <f t="shared" si="1"/>
        <v>17000</v>
      </c>
      <c r="G57" s="69" t="s">
        <v>20</v>
      </c>
      <c r="H57" s="69" t="s">
        <v>21</v>
      </c>
      <c r="I57" s="69" t="s">
        <v>22</v>
      </c>
      <c r="J57" s="69"/>
      <c r="K57" s="69"/>
      <c r="L57" s="69"/>
      <c r="M57" s="71" t="s">
        <v>23</v>
      </c>
      <c r="N57" s="58">
        <v>2</v>
      </c>
      <c r="O57" s="58">
        <v>17000</v>
      </c>
      <c r="P57" s="58">
        <v>0</v>
      </c>
      <c r="Q57" s="58">
        <v>0</v>
      </c>
      <c r="R57" s="58">
        <v>0</v>
      </c>
      <c r="S57" s="58">
        <v>0</v>
      </c>
      <c r="T57" s="72">
        <v>0</v>
      </c>
      <c r="U57" s="63">
        <v>0</v>
      </c>
    </row>
    <row r="58" spans="1:21" ht="15.5" x14ac:dyDescent="0.35">
      <c r="A58" s="58"/>
      <c r="B58" s="58"/>
      <c r="C58" s="58"/>
      <c r="D58" s="58"/>
      <c r="E58" s="70"/>
      <c r="F58" s="79">
        <f>SUM(F24:F57)</f>
        <v>3933900</v>
      </c>
      <c r="G58" s="69"/>
      <c r="H58" s="69"/>
      <c r="I58" s="69"/>
      <c r="J58" s="69"/>
      <c r="K58" s="69"/>
      <c r="L58" s="69"/>
      <c r="M58" s="71"/>
      <c r="N58" s="58"/>
      <c r="O58" s="58">
        <f>SUM(O49:O57)</f>
        <v>940420</v>
      </c>
      <c r="P58" s="58"/>
      <c r="Q58" s="58">
        <f>SUM(Q49:Q57)</f>
        <v>164760</v>
      </c>
      <c r="R58" s="58"/>
      <c r="S58" s="58">
        <f>SUM(S49:S57)</f>
        <v>164760</v>
      </c>
      <c r="T58" s="76"/>
      <c r="U58" s="63">
        <f>SUM(U49:U57)</f>
        <v>784760</v>
      </c>
    </row>
    <row r="59" spans="1:21" x14ac:dyDescent="0.35">
      <c r="A59" s="58"/>
      <c r="B59" s="58"/>
      <c r="C59" s="58"/>
      <c r="D59" s="58"/>
      <c r="E59" s="70"/>
      <c r="F59" s="70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63"/>
    </row>
    <row r="60" spans="1:21" ht="15.5" x14ac:dyDescent="0.35">
      <c r="A60" s="51" t="s">
        <v>72</v>
      </c>
      <c r="B60" s="51"/>
      <c r="C60" s="80"/>
      <c r="D60" s="58"/>
      <c r="E60" s="81"/>
      <c r="F60" s="81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63"/>
    </row>
    <row r="61" spans="1:21" ht="15.5" x14ac:dyDescent="0.35">
      <c r="A61" s="58"/>
      <c r="B61" s="21" t="s">
        <v>73</v>
      </c>
      <c r="C61" s="80" t="s">
        <v>74</v>
      </c>
      <c r="D61" s="80">
        <v>1000</v>
      </c>
      <c r="E61" s="82">
        <v>50</v>
      </c>
      <c r="F61" s="61">
        <f>D61*E61</f>
        <v>50000</v>
      </c>
      <c r="G61" s="69" t="s">
        <v>20</v>
      </c>
      <c r="H61" s="69" t="s">
        <v>21</v>
      </c>
      <c r="I61" s="69" t="s">
        <v>22</v>
      </c>
      <c r="J61" s="69"/>
      <c r="K61" s="69"/>
      <c r="L61" s="69"/>
      <c r="M61" s="71" t="s">
        <v>23</v>
      </c>
      <c r="N61" s="58">
        <v>1000</v>
      </c>
      <c r="O61" s="58">
        <v>50000</v>
      </c>
      <c r="P61" s="58"/>
      <c r="Q61" s="58"/>
      <c r="R61" s="58"/>
      <c r="S61" s="58"/>
      <c r="T61" s="58"/>
      <c r="U61" s="63"/>
    </row>
    <row r="62" spans="1:21" ht="15.5" x14ac:dyDescent="0.35">
      <c r="A62" s="58"/>
      <c r="B62" s="83" t="s">
        <v>75</v>
      </c>
      <c r="C62" s="80" t="s">
        <v>74</v>
      </c>
      <c r="D62" s="80">
        <v>1000</v>
      </c>
      <c r="E62" s="82">
        <v>55</v>
      </c>
      <c r="F62" s="61">
        <f t="shared" ref="F62:F84" si="3">D62*E62</f>
        <v>55000</v>
      </c>
      <c r="G62" s="69" t="s">
        <v>20</v>
      </c>
      <c r="H62" s="69" t="s">
        <v>21</v>
      </c>
      <c r="I62" s="69" t="s">
        <v>22</v>
      </c>
      <c r="J62" s="69"/>
      <c r="K62" s="69"/>
      <c r="L62" s="69"/>
      <c r="M62" s="71" t="s">
        <v>23</v>
      </c>
      <c r="N62" s="58">
        <v>1000</v>
      </c>
      <c r="O62" s="58">
        <v>55000</v>
      </c>
      <c r="P62" s="58"/>
      <c r="Q62" s="58"/>
      <c r="R62" s="58"/>
      <c r="S62" s="58"/>
      <c r="T62" s="58"/>
      <c r="U62" s="63"/>
    </row>
    <row r="63" spans="1:21" ht="15.5" x14ac:dyDescent="0.35">
      <c r="A63" s="58"/>
      <c r="B63" s="83" t="s">
        <v>76</v>
      </c>
      <c r="C63" s="80" t="s">
        <v>74</v>
      </c>
      <c r="D63" s="80">
        <v>1000</v>
      </c>
      <c r="E63" s="82">
        <v>60</v>
      </c>
      <c r="F63" s="61">
        <f t="shared" si="3"/>
        <v>60000</v>
      </c>
      <c r="G63" s="69" t="s">
        <v>20</v>
      </c>
      <c r="H63" s="69" t="s">
        <v>21</v>
      </c>
      <c r="I63" s="69" t="s">
        <v>22</v>
      </c>
      <c r="J63" s="69"/>
      <c r="K63" s="69"/>
      <c r="L63" s="69"/>
      <c r="M63" s="71" t="s">
        <v>23</v>
      </c>
      <c r="N63" s="58">
        <v>1000</v>
      </c>
      <c r="O63" s="58">
        <v>60000</v>
      </c>
      <c r="P63" s="58"/>
      <c r="Q63" s="58"/>
      <c r="R63" s="58"/>
      <c r="S63" s="58"/>
      <c r="T63" s="58"/>
      <c r="U63" s="63"/>
    </row>
    <row r="64" spans="1:21" ht="15.5" x14ac:dyDescent="0.35">
      <c r="A64" s="58"/>
      <c r="B64" s="83" t="s">
        <v>77</v>
      </c>
      <c r="C64" s="80" t="s">
        <v>74</v>
      </c>
      <c r="D64" s="80">
        <v>500</v>
      </c>
      <c r="E64" s="82">
        <v>70</v>
      </c>
      <c r="F64" s="61">
        <f t="shared" si="3"/>
        <v>35000</v>
      </c>
      <c r="G64" s="69" t="s">
        <v>20</v>
      </c>
      <c r="H64" s="69" t="s">
        <v>21</v>
      </c>
      <c r="I64" s="69" t="s">
        <v>22</v>
      </c>
      <c r="J64" s="69"/>
      <c r="K64" s="69"/>
      <c r="L64" s="69"/>
      <c r="M64" s="71" t="s">
        <v>23</v>
      </c>
      <c r="N64" s="58">
        <v>500</v>
      </c>
      <c r="O64" s="58">
        <v>35000</v>
      </c>
      <c r="P64" s="58"/>
      <c r="Q64" s="58"/>
      <c r="R64" s="58"/>
      <c r="S64" s="58"/>
      <c r="T64" s="58"/>
      <c r="U64" s="63"/>
    </row>
    <row r="65" spans="1:21" ht="15.5" x14ac:dyDescent="0.35">
      <c r="A65" s="58"/>
      <c r="B65" s="21" t="s">
        <v>78</v>
      </c>
      <c r="C65" s="80" t="s">
        <v>79</v>
      </c>
      <c r="D65" s="80">
        <v>7</v>
      </c>
      <c r="E65" s="82">
        <v>6500</v>
      </c>
      <c r="F65" s="61">
        <f t="shared" si="3"/>
        <v>45500</v>
      </c>
      <c r="G65" s="69" t="s">
        <v>20</v>
      </c>
      <c r="H65" s="69" t="s">
        <v>21</v>
      </c>
      <c r="I65" s="69" t="s">
        <v>22</v>
      </c>
      <c r="J65" s="69"/>
      <c r="K65" s="69"/>
      <c r="L65" s="69"/>
      <c r="M65" s="71" t="s">
        <v>23</v>
      </c>
      <c r="N65" s="58">
        <v>7</v>
      </c>
      <c r="O65" s="58">
        <v>45500</v>
      </c>
      <c r="P65" s="58"/>
      <c r="Q65" s="58"/>
      <c r="R65" s="58"/>
      <c r="S65" s="58"/>
      <c r="T65" s="58"/>
      <c r="U65" s="63"/>
    </row>
    <row r="66" spans="1:21" ht="15.5" x14ac:dyDescent="0.35">
      <c r="A66" s="58"/>
      <c r="B66" s="21" t="s">
        <v>80</v>
      </c>
      <c r="C66" s="80" t="s">
        <v>53</v>
      </c>
      <c r="D66" s="80">
        <v>3</v>
      </c>
      <c r="E66" s="82">
        <v>35000</v>
      </c>
      <c r="F66" s="61">
        <f t="shared" si="3"/>
        <v>105000</v>
      </c>
      <c r="G66" s="69" t="s">
        <v>20</v>
      </c>
      <c r="H66" s="69" t="s">
        <v>21</v>
      </c>
      <c r="I66" s="69" t="s">
        <v>22</v>
      </c>
      <c r="J66" s="69"/>
      <c r="K66" s="69"/>
      <c r="L66" s="69"/>
      <c r="M66" s="71" t="s">
        <v>23</v>
      </c>
      <c r="N66" s="58">
        <v>3</v>
      </c>
      <c r="O66" s="58">
        <v>105000</v>
      </c>
      <c r="P66" s="58"/>
      <c r="Q66" s="58"/>
      <c r="R66" s="58"/>
      <c r="S66" s="58"/>
      <c r="T66" s="58"/>
      <c r="U66" s="63"/>
    </row>
    <row r="67" spans="1:21" ht="15.5" x14ac:dyDescent="0.35">
      <c r="A67" s="58"/>
      <c r="B67" s="21" t="s">
        <v>81</v>
      </c>
      <c r="C67" s="80" t="s">
        <v>79</v>
      </c>
      <c r="D67" s="80">
        <v>20</v>
      </c>
      <c r="E67" s="82">
        <v>2400</v>
      </c>
      <c r="F67" s="61">
        <f t="shared" si="3"/>
        <v>48000</v>
      </c>
      <c r="G67" s="69" t="s">
        <v>20</v>
      </c>
      <c r="H67" s="69" t="s">
        <v>21</v>
      </c>
      <c r="I67" s="69" t="s">
        <v>22</v>
      </c>
      <c r="J67" s="69"/>
      <c r="K67" s="69"/>
      <c r="L67" s="69"/>
      <c r="M67" s="71" t="s">
        <v>23</v>
      </c>
      <c r="N67" s="58">
        <v>20</v>
      </c>
      <c r="O67" s="58">
        <v>48000</v>
      </c>
      <c r="P67" s="58"/>
      <c r="Q67" s="58"/>
      <c r="R67" s="58"/>
      <c r="S67" s="58"/>
      <c r="T67" s="58"/>
      <c r="U67" s="63"/>
    </row>
    <row r="68" spans="1:21" ht="15.5" x14ac:dyDescent="0.35">
      <c r="A68" s="58"/>
      <c r="B68" s="21" t="s">
        <v>82</v>
      </c>
      <c r="C68" s="80" t="s">
        <v>79</v>
      </c>
      <c r="D68" s="80">
        <v>20</v>
      </c>
      <c r="E68" s="82">
        <v>2800</v>
      </c>
      <c r="F68" s="61">
        <f t="shared" si="3"/>
        <v>56000</v>
      </c>
      <c r="G68" s="69" t="s">
        <v>20</v>
      </c>
      <c r="H68" s="69" t="s">
        <v>21</v>
      </c>
      <c r="I68" s="69" t="s">
        <v>22</v>
      </c>
      <c r="J68" s="69"/>
      <c r="K68" s="69"/>
      <c r="L68" s="69"/>
      <c r="M68" s="71" t="s">
        <v>23</v>
      </c>
      <c r="N68" s="58">
        <v>20</v>
      </c>
      <c r="O68" s="58">
        <v>56000</v>
      </c>
      <c r="P68" s="58"/>
      <c r="Q68" s="58"/>
      <c r="R68" s="58"/>
      <c r="S68" s="58"/>
      <c r="T68" s="58"/>
      <c r="U68" s="63"/>
    </row>
    <row r="69" spans="1:21" ht="15.5" x14ac:dyDescent="0.35">
      <c r="A69" s="58"/>
      <c r="B69" s="21" t="s">
        <v>83</v>
      </c>
      <c r="C69" s="80" t="s">
        <v>53</v>
      </c>
      <c r="D69" s="80">
        <v>8</v>
      </c>
      <c r="E69" s="82">
        <v>15800</v>
      </c>
      <c r="F69" s="61">
        <f t="shared" si="3"/>
        <v>126400</v>
      </c>
      <c r="G69" s="69" t="s">
        <v>20</v>
      </c>
      <c r="H69" s="69" t="s">
        <v>21</v>
      </c>
      <c r="I69" s="69" t="s">
        <v>22</v>
      </c>
      <c r="J69" s="69"/>
      <c r="K69" s="69"/>
      <c r="L69" s="69"/>
      <c r="M69" s="71" t="s">
        <v>23</v>
      </c>
      <c r="N69" s="58">
        <v>8</v>
      </c>
      <c r="O69" s="58">
        <v>126400</v>
      </c>
      <c r="P69" s="58"/>
      <c r="Q69" s="58"/>
      <c r="R69" s="58"/>
      <c r="S69" s="58"/>
      <c r="T69" s="58"/>
      <c r="U69" s="63"/>
    </row>
    <row r="70" spans="1:21" ht="15.5" x14ac:dyDescent="0.35">
      <c r="A70" s="58"/>
      <c r="B70" s="21" t="s">
        <v>84</v>
      </c>
      <c r="C70" s="80" t="s">
        <v>53</v>
      </c>
      <c r="D70" s="80">
        <v>8</v>
      </c>
      <c r="E70" s="82">
        <v>14800</v>
      </c>
      <c r="F70" s="61">
        <f t="shared" si="3"/>
        <v>118400</v>
      </c>
      <c r="G70" s="69" t="s">
        <v>20</v>
      </c>
      <c r="H70" s="69" t="s">
        <v>21</v>
      </c>
      <c r="I70" s="69" t="s">
        <v>22</v>
      </c>
      <c r="J70" s="69"/>
      <c r="K70" s="69"/>
      <c r="L70" s="69"/>
      <c r="M70" s="71" t="s">
        <v>23</v>
      </c>
      <c r="N70" s="58">
        <v>8</v>
      </c>
      <c r="O70" s="58">
        <v>118400</v>
      </c>
      <c r="P70" s="58"/>
      <c r="Q70" s="58"/>
      <c r="R70" s="58"/>
      <c r="S70" s="58"/>
      <c r="T70" s="58"/>
      <c r="U70" s="63"/>
    </row>
    <row r="71" spans="1:21" ht="15.5" x14ac:dyDescent="0.35">
      <c r="A71" s="58"/>
      <c r="B71" s="83" t="s">
        <v>85</v>
      </c>
      <c r="C71" s="80" t="s">
        <v>53</v>
      </c>
      <c r="D71" s="80">
        <v>8</v>
      </c>
      <c r="E71" s="82">
        <v>15800</v>
      </c>
      <c r="F71" s="61">
        <f t="shared" si="3"/>
        <v>126400</v>
      </c>
      <c r="G71" s="69" t="s">
        <v>20</v>
      </c>
      <c r="H71" s="69" t="s">
        <v>21</v>
      </c>
      <c r="I71" s="69" t="s">
        <v>22</v>
      </c>
      <c r="J71" s="69"/>
      <c r="K71" s="69"/>
      <c r="L71" s="69"/>
      <c r="M71" s="71" t="s">
        <v>23</v>
      </c>
      <c r="N71" s="58">
        <v>8</v>
      </c>
      <c r="O71" s="58">
        <v>126400</v>
      </c>
      <c r="P71" s="58"/>
      <c r="Q71" s="58"/>
      <c r="R71" s="58"/>
      <c r="S71" s="58"/>
      <c r="T71" s="58"/>
      <c r="U71" s="63"/>
    </row>
    <row r="72" spans="1:21" ht="46.5" x14ac:dyDescent="0.35">
      <c r="A72" s="58"/>
      <c r="B72" s="21" t="s">
        <v>86</v>
      </c>
      <c r="C72" s="80" t="s">
        <v>87</v>
      </c>
      <c r="D72" s="80">
        <v>4</v>
      </c>
      <c r="E72" s="82">
        <v>78000</v>
      </c>
      <c r="F72" s="61">
        <f t="shared" si="3"/>
        <v>312000</v>
      </c>
      <c r="G72" s="69" t="s">
        <v>20</v>
      </c>
      <c r="H72" s="69" t="s">
        <v>21</v>
      </c>
      <c r="I72" s="69" t="s">
        <v>22</v>
      </c>
      <c r="J72" s="69"/>
      <c r="K72" s="69"/>
      <c r="L72" s="69"/>
      <c r="M72" s="71" t="s">
        <v>23</v>
      </c>
      <c r="N72" s="58">
        <v>4</v>
      </c>
      <c r="O72" s="58">
        <v>312000</v>
      </c>
      <c r="P72" s="58"/>
      <c r="Q72" s="58"/>
      <c r="R72" s="58"/>
      <c r="S72" s="58"/>
      <c r="T72" s="58"/>
      <c r="U72" s="63"/>
    </row>
    <row r="73" spans="1:21" ht="15.5" x14ac:dyDescent="0.35">
      <c r="A73" s="58"/>
      <c r="B73" s="21" t="s">
        <v>88</v>
      </c>
      <c r="C73" s="80" t="s">
        <v>89</v>
      </c>
      <c r="D73" s="80">
        <v>3</v>
      </c>
      <c r="E73" s="82">
        <v>17500</v>
      </c>
      <c r="F73" s="61">
        <f t="shared" si="3"/>
        <v>52500</v>
      </c>
      <c r="G73" s="69" t="s">
        <v>20</v>
      </c>
      <c r="H73" s="69" t="s">
        <v>21</v>
      </c>
      <c r="I73" s="69" t="s">
        <v>22</v>
      </c>
      <c r="J73" s="69"/>
      <c r="K73" s="69"/>
      <c r="L73" s="69"/>
      <c r="M73" s="71" t="s">
        <v>23</v>
      </c>
      <c r="N73" s="58">
        <v>3</v>
      </c>
      <c r="O73" s="58">
        <v>52500</v>
      </c>
      <c r="P73" s="58"/>
      <c r="Q73" s="58"/>
      <c r="R73" s="58"/>
      <c r="S73" s="58"/>
      <c r="T73" s="58"/>
      <c r="U73" s="63"/>
    </row>
    <row r="74" spans="1:21" ht="15.5" x14ac:dyDescent="0.35">
      <c r="A74" s="58"/>
      <c r="B74" s="21" t="s">
        <v>90</v>
      </c>
      <c r="C74" s="84" t="s">
        <v>91</v>
      </c>
      <c r="D74" s="84">
        <v>2</v>
      </c>
      <c r="E74" s="82">
        <v>12000</v>
      </c>
      <c r="F74" s="61">
        <f t="shared" si="3"/>
        <v>24000</v>
      </c>
      <c r="G74" s="69" t="s">
        <v>20</v>
      </c>
      <c r="H74" s="69" t="s">
        <v>21</v>
      </c>
      <c r="I74" s="69" t="s">
        <v>22</v>
      </c>
      <c r="J74" s="69"/>
      <c r="K74" s="69"/>
      <c r="L74" s="69"/>
      <c r="M74" s="71" t="s">
        <v>23</v>
      </c>
      <c r="N74" s="58">
        <v>2</v>
      </c>
      <c r="O74" s="58">
        <v>24000</v>
      </c>
      <c r="P74" s="58"/>
      <c r="Q74" s="58"/>
      <c r="R74" s="58"/>
      <c r="S74" s="58"/>
      <c r="T74" s="58"/>
      <c r="U74" s="63"/>
    </row>
    <row r="75" spans="1:21" ht="15.5" x14ac:dyDescent="0.35">
      <c r="A75" s="58"/>
      <c r="B75" s="83" t="s">
        <v>92</v>
      </c>
      <c r="C75" s="80"/>
      <c r="D75" s="80">
        <v>1</v>
      </c>
      <c r="E75" s="82">
        <v>5800</v>
      </c>
      <c r="F75" s="61">
        <f t="shared" si="3"/>
        <v>5800</v>
      </c>
      <c r="G75" s="69" t="s">
        <v>20</v>
      </c>
      <c r="H75" s="69" t="s">
        <v>21</v>
      </c>
      <c r="I75" s="69" t="s">
        <v>22</v>
      </c>
      <c r="J75" s="69"/>
      <c r="K75" s="69"/>
      <c r="L75" s="69"/>
      <c r="M75" s="71" t="s">
        <v>23</v>
      </c>
      <c r="N75" s="58">
        <v>1</v>
      </c>
      <c r="O75" s="58">
        <v>5800</v>
      </c>
      <c r="P75" s="58"/>
      <c r="Q75" s="58"/>
      <c r="R75" s="58"/>
      <c r="S75" s="58"/>
      <c r="T75" s="58"/>
      <c r="U75" s="63"/>
    </row>
    <row r="76" spans="1:21" ht="15.5" x14ac:dyDescent="0.35">
      <c r="A76" s="58"/>
      <c r="B76" s="21" t="s">
        <v>93</v>
      </c>
      <c r="C76" s="84" t="s">
        <v>94</v>
      </c>
      <c r="D76" s="84">
        <v>2</v>
      </c>
      <c r="E76" s="85">
        <v>24000</v>
      </c>
      <c r="F76" s="61">
        <f t="shared" si="3"/>
        <v>48000</v>
      </c>
      <c r="G76" s="69" t="s">
        <v>20</v>
      </c>
      <c r="H76" s="69" t="s">
        <v>21</v>
      </c>
      <c r="I76" s="69" t="s">
        <v>22</v>
      </c>
      <c r="J76" s="69"/>
      <c r="K76" s="69"/>
      <c r="L76" s="69"/>
      <c r="M76" s="71" t="s">
        <v>23</v>
      </c>
      <c r="N76" s="58">
        <v>2</v>
      </c>
      <c r="O76" s="58">
        <v>48000</v>
      </c>
      <c r="P76" s="58"/>
      <c r="Q76" s="58"/>
      <c r="R76" s="58"/>
      <c r="S76" s="58"/>
      <c r="T76" s="58"/>
      <c r="U76" s="63"/>
    </row>
    <row r="77" spans="1:21" ht="15.5" x14ac:dyDescent="0.35">
      <c r="A77" s="58"/>
      <c r="B77" s="86" t="s">
        <v>95</v>
      </c>
      <c r="C77" s="87" t="s">
        <v>56</v>
      </c>
      <c r="D77" s="87">
        <v>2</v>
      </c>
      <c r="E77" s="88">
        <v>55000</v>
      </c>
      <c r="F77" s="61">
        <f t="shared" si="3"/>
        <v>110000</v>
      </c>
      <c r="G77" s="69" t="s">
        <v>20</v>
      </c>
      <c r="H77" s="69" t="s">
        <v>21</v>
      </c>
      <c r="I77" s="69" t="s">
        <v>22</v>
      </c>
      <c r="J77" s="69"/>
      <c r="K77" s="69"/>
      <c r="L77" s="69"/>
      <c r="M77" s="71" t="s">
        <v>23</v>
      </c>
      <c r="N77" s="58">
        <v>2</v>
      </c>
      <c r="O77" s="58">
        <v>110000</v>
      </c>
      <c r="P77" s="58"/>
      <c r="Q77" s="58"/>
      <c r="R77" s="58"/>
      <c r="S77" s="58"/>
      <c r="T77" s="58"/>
      <c r="U77" s="63"/>
    </row>
    <row r="78" spans="1:21" ht="15.5" x14ac:dyDescent="0.35">
      <c r="A78" s="58"/>
      <c r="B78" s="86" t="s">
        <v>96</v>
      </c>
      <c r="C78" s="87" t="s">
        <v>56</v>
      </c>
      <c r="D78" s="87">
        <v>3</v>
      </c>
      <c r="E78" s="88">
        <v>55000</v>
      </c>
      <c r="F78" s="61">
        <f t="shared" si="3"/>
        <v>165000</v>
      </c>
      <c r="G78" s="69" t="s">
        <v>20</v>
      </c>
      <c r="H78" s="69" t="s">
        <v>21</v>
      </c>
      <c r="I78" s="69" t="s">
        <v>22</v>
      </c>
      <c r="J78" s="69"/>
      <c r="K78" s="69"/>
      <c r="L78" s="69"/>
      <c r="M78" s="71" t="s">
        <v>23</v>
      </c>
      <c r="N78" s="58">
        <v>3</v>
      </c>
      <c r="O78" s="58">
        <v>165000</v>
      </c>
      <c r="P78" s="58"/>
      <c r="Q78" s="58"/>
      <c r="R78" s="58"/>
      <c r="S78" s="58"/>
      <c r="T78" s="58"/>
      <c r="U78" s="63"/>
    </row>
    <row r="79" spans="1:21" ht="15.5" x14ac:dyDescent="0.35">
      <c r="A79" s="58"/>
      <c r="B79" s="86" t="s">
        <v>97</v>
      </c>
      <c r="C79" s="87" t="s">
        <v>56</v>
      </c>
      <c r="D79" s="87">
        <v>3</v>
      </c>
      <c r="E79" s="88">
        <v>55000</v>
      </c>
      <c r="F79" s="61">
        <f t="shared" si="3"/>
        <v>165000</v>
      </c>
      <c r="G79" s="69" t="s">
        <v>20</v>
      </c>
      <c r="H79" s="69" t="s">
        <v>21</v>
      </c>
      <c r="I79" s="69" t="s">
        <v>22</v>
      </c>
      <c r="J79" s="69"/>
      <c r="K79" s="69"/>
      <c r="L79" s="69"/>
      <c r="M79" s="71" t="s">
        <v>23</v>
      </c>
      <c r="N79" s="58">
        <v>3</v>
      </c>
      <c r="O79" s="58">
        <v>165000</v>
      </c>
      <c r="P79" s="58"/>
      <c r="Q79" s="58"/>
      <c r="R79" s="58"/>
      <c r="S79" s="58"/>
      <c r="T79" s="58"/>
      <c r="U79" s="63"/>
    </row>
    <row r="80" spans="1:21" ht="15.5" x14ac:dyDescent="0.35">
      <c r="A80" s="58"/>
      <c r="B80" s="86" t="s">
        <v>98</v>
      </c>
      <c r="C80" s="87" t="s">
        <v>56</v>
      </c>
      <c r="D80" s="87">
        <v>3</v>
      </c>
      <c r="E80" s="88">
        <v>55000</v>
      </c>
      <c r="F80" s="61">
        <f t="shared" si="3"/>
        <v>165000</v>
      </c>
      <c r="G80" s="69" t="s">
        <v>20</v>
      </c>
      <c r="H80" s="69" t="s">
        <v>21</v>
      </c>
      <c r="I80" s="69" t="s">
        <v>22</v>
      </c>
      <c r="J80" s="69"/>
      <c r="K80" s="69"/>
      <c r="L80" s="69"/>
      <c r="M80" s="71" t="s">
        <v>23</v>
      </c>
      <c r="N80" s="58">
        <v>3</v>
      </c>
      <c r="O80" s="58">
        <v>165000</v>
      </c>
      <c r="P80" s="58"/>
      <c r="Q80" s="58"/>
      <c r="R80" s="58"/>
      <c r="S80" s="58"/>
      <c r="T80" s="58"/>
      <c r="U80" s="63"/>
    </row>
    <row r="81" spans="1:21" ht="31" x14ac:dyDescent="0.35">
      <c r="A81" s="58"/>
      <c r="B81" s="89" t="s">
        <v>99</v>
      </c>
      <c r="C81" s="87" t="s">
        <v>56</v>
      </c>
      <c r="D81" s="87">
        <v>2</v>
      </c>
      <c r="E81" s="88">
        <v>178000</v>
      </c>
      <c r="F81" s="61">
        <f t="shared" si="3"/>
        <v>356000</v>
      </c>
      <c r="G81" s="69" t="s">
        <v>20</v>
      </c>
      <c r="H81" s="69" t="s">
        <v>21</v>
      </c>
      <c r="I81" s="69" t="s">
        <v>22</v>
      </c>
      <c r="J81" s="69"/>
      <c r="K81" s="69"/>
      <c r="L81" s="69"/>
      <c r="M81" s="71" t="s">
        <v>23</v>
      </c>
      <c r="N81" s="58">
        <v>2</v>
      </c>
      <c r="O81" s="58">
        <v>356000</v>
      </c>
      <c r="P81" s="58"/>
      <c r="Q81" s="58"/>
      <c r="R81" s="58"/>
      <c r="S81" s="58"/>
      <c r="T81" s="58"/>
      <c r="U81" s="63"/>
    </row>
    <row r="82" spans="1:21" ht="31" x14ac:dyDescent="0.35">
      <c r="A82" s="58"/>
      <c r="B82" s="89" t="s">
        <v>100</v>
      </c>
      <c r="C82" s="87" t="s">
        <v>56</v>
      </c>
      <c r="D82" s="87">
        <v>2</v>
      </c>
      <c r="E82" s="88">
        <v>178000</v>
      </c>
      <c r="F82" s="61">
        <f t="shared" si="3"/>
        <v>356000</v>
      </c>
      <c r="G82" s="69" t="s">
        <v>20</v>
      </c>
      <c r="H82" s="69" t="s">
        <v>21</v>
      </c>
      <c r="I82" s="69" t="s">
        <v>22</v>
      </c>
      <c r="J82" s="69"/>
      <c r="K82" s="69"/>
      <c r="L82" s="69"/>
      <c r="M82" s="71" t="s">
        <v>23</v>
      </c>
      <c r="N82" s="58">
        <v>2</v>
      </c>
      <c r="O82" s="58">
        <v>356000</v>
      </c>
      <c r="P82" s="58"/>
      <c r="Q82" s="58"/>
      <c r="R82" s="58"/>
      <c r="S82" s="58"/>
      <c r="T82" s="58"/>
      <c r="U82" s="63"/>
    </row>
    <row r="83" spans="1:21" ht="15.5" x14ac:dyDescent="0.35">
      <c r="A83" s="58"/>
      <c r="B83" s="86" t="s">
        <v>101</v>
      </c>
      <c r="C83" s="87" t="s">
        <v>56</v>
      </c>
      <c r="D83" s="87">
        <v>3</v>
      </c>
      <c r="E83" s="88">
        <v>25000</v>
      </c>
      <c r="F83" s="61">
        <f t="shared" si="3"/>
        <v>75000</v>
      </c>
      <c r="G83" s="69" t="s">
        <v>20</v>
      </c>
      <c r="H83" s="69" t="s">
        <v>21</v>
      </c>
      <c r="I83" s="69" t="s">
        <v>22</v>
      </c>
      <c r="J83" s="69"/>
      <c r="K83" s="69"/>
      <c r="L83" s="69"/>
      <c r="M83" s="71" t="s">
        <v>23</v>
      </c>
      <c r="N83" s="58">
        <v>3</v>
      </c>
      <c r="O83" s="58">
        <v>75000</v>
      </c>
      <c r="P83" s="58"/>
      <c r="Q83" s="58"/>
      <c r="R83" s="58"/>
      <c r="S83" s="58"/>
      <c r="T83" s="58"/>
      <c r="U83" s="63"/>
    </row>
    <row r="84" spans="1:21" ht="15.5" x14ac:dyDescent="0.35">
      <c r="A84" s="58"/>
      <c r="B84" s="86" t="s">
        <v>102</v>
      </c>
      <c r="C84" s="90"/>
      <c r="D84" s="87">
        <v>1</v>
      </c>
      <c r="E84" s="88">
        <v>70000</v>
      </c>
      <c r="F84" s="61">
        <f t="shared" si="3"/>
        <v>70000</v>
      </c>
      <c r="G84" s="69" t="s">
        <v>20</v>
      </c>
      <c r="H84" s="69" t="s">
        <v>21</v>
      </c>
      <c r="I84" s="69" t="s">
        <v>22</v>
      </c>
      <c r="J84" s="69"/>
      <c r="K84" s="69"/>
      <c r="L84" s="69"/>
      <c r="M84" s="71" t="s">
        <v>23</v>
      </c>
      <c r="N84" s="58">
        <v>1</v>
      </c>
      <c r="O84" s="58">
        <v>70000</v>
      </c>
      <c r="P84" s="58"/>
      <c r="Q84" s="58"/>
      <c r="R84" s="58"/>
      <c r="S84" s="58"/>
      <c r="T84" s="58"/>
      <c r="U84" s="63"/>
    </row>
    <row r="85" spans="1:21" ht="15.5" x14ac:dyDescent="0.35">
      <c r="A85" s="58"/>
      <c r="B85" s="90"/>
      <c r="C85" s="90"/>
      <c r="D85" s="91"/>
      <c r="E85" s="61"/>
      <c r="F85" s="92">
        <f>SUM(F61:F84)</f>
        <v>2730000</v>
      </c>
      <c r="G85" s="58"/>
      <c r="H85" s="58"/>
      <c r="I85" s="58"/>
      <c r="J85" s="58"/>
      <c r="K85" s="58"/>
      <c r="L85" s="58"/>
      <c r="M85" s="65"/>
      <c r="N85" s="58"/>
      <c r="O85" s="58"/>
      <c r="P85" s="58"/>
      <c r="Q85" s="58"/>
      <c r="R85" s="58"/>
      <c r="S85" s="58"/>
      <c r="T85" s="58"/>
      <c r="U85" s="63"/>
    </row>
    <row r="86" spans="1:21" x14ac:dyDescent="0.35">
      <c r="A86" s="8"/>
      <c r="B86" s="8"/>
      <c r="C86" s="8"/>
      <c r="D86" s="8"/>
      <c r="E86" s="11"/>
      <c r="F86" s="1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12"/>
    </row>
    <row r="87" spans="1:21" x14ac:dyDescent="0.35">
      <c r="A87" s="8"/>
      <c r="B87" s="8"/>
      <c r="C87" s="8"/>
      <c r="D87" s="8"/>
      <c r="E87" s="11"/>
      <c r="F87" s="1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12"/>
    </row>
    <row r="88" spans="1:21" x14ac:dyDescent="0.35">
      <c r="A88" s="1" t="s">
        <v>103</v>
      </c>
      <c r="B88" s="1"/>
      <c r="C88" s="1"/>
      <c r="D88" s="8"/>
      <c r="E88" s="16"/>
      <c r="F88" s="1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12"/>
    </row>
    <row r="89" spans="1:21" ht="15.5" x14ac:dyDescent="0.35">
      <c r="A89" s="93"/>
      <c r="B89" s="94" t="s">
        <v>104</v>
      </c>
      <c r="C89" s="95" t="s">
        <v>105</v>
      </c>
      <c r="D89" s="93">
        <v>7</v>
      </c>
      <c r="E89" s="96">
        <v>24000</v>
      </c>
      <c r="F89" s="97">
        <f>D89*E89</f>
        <v>168000</v>
      </c>
      <c r="G89" s="95" t="s">
        <v>20</v>
      </c>
      <c r="H89" s="95" t="s">
        <v>21</v>
      </c>
      <c r="I89" s="95" t="s">
        <v>22</v>
      </c>
      <c r="J89" s="95"/>
      <c r="K89" s="95"/>
      <c r="L89" s="95"/>
      <c r="M89" s="98" t="s">
        <v>23</v>
      </c>
      <c r="N89" s="93">
        <v>1</v>
      </c>
      <c r="O89" s="93">
        <v>24000</v>
      </c>
      <c r="P89" s="93">
        <v>2</v>
      </c>
      <c r="Q89" s="93">
        <v>48000</v>
      </c>
      <c r="R89" s="93">
        <v>2</v>
      </c>
      <c r="S89" s="93">
        <v>48000</v>
      </c>
      <c r="T89" s="93">
        <v>2</v>
      </c>
      <c r="U89" s="99">
        <v>48000</v>
      </c>
    </row>
    <row r="90" spans="1:21" ht="15.5" x14ac:dyDescent="0.35">
      <c r="A90" s="100"/>
      <c r="B90" s="94" t="s">
        <v>106</v>
      </c>
      <c r="C90" s="101" t="s">
        <v>105</v>
      </c>
      <c r="D90" s="93">
        <v>7</v>
      </c>
      <c r="E90" s="96">
        <v>37000</v>
      </c>
      <c r="F90" s="97">
        <f t="shared" ref="F90:F109" si="4">D90*E90</f>
        <v>259000</v>
      </c>
      <c r="G90" s="95" t="s">
        <v>20</v>
      </c>
      <c r="H90" s="95" t="s">
        <v>21</v>
      </c>
      <c r="I90" s="95" t="s">
        <v>22</v>
      </c>
      <c r="J90" s="95"/>
      <c r="K90" s="95"/>
      <c r="L90" s="95"/>
      <c r="M90" s="98" t="s">
        <v>23</v>
      </c>
      <c r="N90" s="93">
        <v>1</v>
      </c>
      <c r="O90" s="93">
        <v>37000</v>
      </c>
      <c r="P90" s="93">
        <v>2</v>
      </c>
      <c r="Q90" s="93">
        <v>74000</v>
      </c>
      <c r="R90" s="93">
        <v>2</v>
      </c>
      <c r="S90" s="93">
        <v>74000</v>
      </c>
      <c r="T90" s="93">
        <v>2</v>
      </c>
      <c r="U90" s="99">
        <v>74000</v>
      </c>
    </row>
    <row r="91" spans="1:21" ht="15.5" x14ac:dyDescent="0.35">
      <c r="A91" s="102"/>
      <c r="B91" s="94" t="s">
        <v>107</v>
      </c>
      <c r="C91" s="103" t="s">
        <v>108</v>
      </c>
      <c r="D91" s="102">
        <v>9</v>
      </c>
      <c r="E91" s="96">
        <v>65000</v>
      </c>
      <c r="F91" s="97">
        <f t="shared" si="4"/>
        <v>585000</v>
      </c>
      <c r="G91" s="95" t="s">
        <v>20</v>
      </c>
      <c r="H91" s="95" t="s">
        <v>21</v>
      </c>
      <c r="I91" s="95" t="s">
        <v>22</v>
      </c>
      <c r="J91" s="95"/>
      <c r="K91" s="95"/>
      <c r="L91" s="95"/>
      <c r="M91" s="98" t="s">
        <v>23</v>
      </c>
      <c r="N91" s="93">
        <v>3</v>
      </c>
      <c r="O91" s="93">
        <v>195000</v>
      </c>
      <c r="P91" s="93">
        <v>2</v>
      </c>
      <c r="Q91" s="93">
        <v>130000</v>
      </c>
      <c r="R91" s="93">
        <v>2</v>
      </c>
      <c r="S91" s="93">
        <v>130000</v>
      </c>
      <c r="T91" s="93">
        <v>2</v>
      </c>
      <c r="U91" s="99">
        <v>130000</v>
      </c>
    </row>
    <row r="92" spans="1:21" ht="15.5" x14ac:dyDescent="0.35">
      <c r="A92" s="102"/>
      <c r="B92" s="94" t="s">
        <v>109</v>
      </c>
      <c r="C92" s="103" t="s">
        <v>105</v>
      </c>
      <c r="D92" s="102">
        <v>10</v>
      </c>
      <c r="E92" s="96">
        <v>18000</v>
      </c>
      <c r="F92" s="97">
        <f t="shared" si="4"/>
        <v>180000</v>
      </c>
      <c r="G92" s="95" t="s">
        <v>20</v>
      </c>
      <c r="H92" s="95" t="s">
        <v>21</v>
      </c>
      <c r="I92" s="95" t="s">
        <v>22</v>
      </c>
      <c r="J92" s="95"/>
      <c r="K92" s="95"/>
      <c r="L92" s="95"/>
      <c r="M92" s="98" t="s">
        <v>23</v>
      </c>
      <c r="N92" s="93">
        <v>1</v>
      </c>
      <c r="O92" s="93">
        <v>18000</v>
      </c>
      <c r="P92" s="93">
        <v>3</v>
      </c>
      <c r="Q92" s="93">
        <v>54000</v>
      </c>
      <c r="R92" s="93">
        <v>3</v>
      </c>
      <c r="S92" s="93">
        <v>54000</v>
      </c>
      <c r="T92" s="93">
        <v>3</v>
      </c>
      <c r="U92" s="99">
        <v>54000</v>
      </c>
    </row>
    <row r="93" spans="1:21" ht="31" x14ac:dyDescent="0.35">
      <c r="A93" s="102"/>
      <c r="B93" s="94" t="s">
        <v>110</v>
      </c>
      <c r="C93" s="103" t="s">
        <v>105</v>
      </c>
      <c r="D93" s="102">
        <v>10</v>
      </c>
      <c r="E93" s="96">
        <v>78600</v>
      </c>
      <c r="F93" s="97">
        <f t="shared" si="4"/>
        <v>786000</v>
      </c>
      <c r="G93" s="95" t="s">
        <v>20</v>
      </c>
      <c r="H93" s="95" t="s">
        <v>21</v>
      </c>
      <c r="I93" s="95" t="s">
        <v>22</v>
      </c>
      <c r="J93" s="95"/>
      <c r="K93" s="95"/>
      <c r="L93" s="95"/>
      <c r="M93" s="98" t="s">
        <v>23</v>
      </c>
      <c r="N93" s="93">
        <v>1</v>
      </c>
      <c r="O93" s="93">
        <v>78600</v>
      </c>
      <c r="P93" s="93">
        <v>3</v>
      </c>
      <c r="Q93" s="93">
        <v>235800</v>
      </c>
      <c r="R93" s="93">
        <v>3</v>
      </c>
      <c r="S93" s="93">
        <v>235800</v>
      </c>
      <c r="T93" s="93">
        <v>3</v>
      </c>
      <c r="U93" s="99">
        <v>235800</v>
      </c>
    </row>
    <row r="94" spans="1:21" ht="15.5" x14ac:dyDescent="0.35">
      <c r="A94" s="102"/>
      <c r="B94" s="94" t="s">
        <v>111</v>
      </c>
      <c r="C94" s="103" t="s">
        <v>108</v>
      </c>
      <c r="D94" s="102">
        <v>7</v>
      </c>
      <c r="E94" s="96">
        <v>12000</v>
      </c>
      <c r="F94" s="97">
        <f t="shared" si="4"/>
        <v>84000</v>
      </c>
      <c r="G94" s="95" t="s">
        <v>20</v>
      </c>
      <c r="H94" s="95" t="s">
        <v>21</v>
      </c>
      <c r="I94" s="95" t="s">
        <v>22</v>
      </c>
      <c r="J94" s="95"/>
      <c r="K94" s="95"/>
      <c r="L94" s="95"/>
      <c r="M94" s="98" t="s">
        <v>23</v>
      </c>
      <c r="N94" s="93">
        <v>1</v>
      </c>
      <c r="O94" s="93">
        <v>12000</v>
      </c>
      <c r="P94" s="93">
        <v>2</v>
      </c>
      <c r="Q94" s="93">
        <v>24000</v>
      </c>
      <c r="R94" s="93">
        <v>2</v>
      </c>
      <c r="S94" s="93">
        <v>24000</v>
      </c>
      <c r="T94" s="93">
        <v>2</v>
      </c>
      <c r="U94" s="99">
        <v>24000</v>
      </c>
    </row>
    <row r="95" spans="1:21" ht="15.5" x14ac:dyDescent="0.35">
      <c r="A95" s="102"/>
      <c r="B95" s="94" t="s">
        <v>112</v>
      </c>
      <c r="C95" s="103" t="s">
        <v>113</v>
      </c>
      <c r="D95" s="102">
        <v>7</v>
      </c>
      <c r="E95" s="96">
        <v>85000</v>
      </c>
      <c r="F95" s="97">
        <f t="shared" si="4"/>
        <v>595000</v>
      </c>
      <c r="G95" s="95" t="s">
        <v>20</v>
      </c>
      <c r="H95" s="95" t="s">
        <v>21</v>
      </c>
      <c r="I95" s="95" t="s">
        <v>22</v>
      </c>
      <c r="J95" s="95"/>
      <c r="K95" s="95"/>
      <c r="L95" s="95"/>
      <c r="M95" s="98" t="s">
        <v>23</v>
      </c>
      <c r="N95" s="93">
        <v>1</v>
      </c>
      <c r="O95" s="93">
        <v>85000</v>
      </c>
      <c r="P95" s="93">
        <v>2</v>
      </c>
      <c r="Q95" s="93">
        <v>170000</v>
      </c>
      <c r="R95" s="93">
        <v>2</v>
      </c>
      <c r="S95" s="93">
        <v>170000</v>
      </c>
      <c r="T95" s="93">
        <v>2</v>
      </c>
      <c r="U95" s="99">
        <v>170000</v>
      </c>
    </row>
    <row r="96" spans="1:21" ht="15.5" x14ac:dyDescent="0.35">
      <c r="A96" s="102"/>
      <c r="B96" s="94" t="s">
        <v>114</v>
      </c>
      <c r="C96" s="95" t="s">
        <v>113</v>
      </c>
      <c r="D96" s="93">
        <v>9</v>
      </c>
      <c r="E96" s="96">
        <v>35000</v>
      </c>
      <c r="F96" s="97">
        <f t="shared" si="4"/>
        <v>315000</v>
      </c>
      <c r="G96" s="95" t="s">
        <v>20</v>
      </c>
      <c r="H96" s="95" t="s">
        <v>21</v>
      </c>
      <c r="I96" s="95" t="s">
        <v>22</v>
      </c>
      <c r="J96" s="95"/>
      <c r="K96" s="95"/>
      <c r="L96" s="95"/>
      <c r="M96" s="98" t="s">
        <v>23</v>
      </c>
      <c r="N96" s="93">
        <v>1</v>
      </c>
      <c r="O96" s="93">
        <v>35000</v>
      </c>
      <c r="P96" s="93">
        <v>3</v>
      </c>
      <c r="Q96" s="93">
        <v>105000</v>
      </c>
      <c r="R96" s="93">
        <v>3</v>
      </c>
      <c r="S96" s="93">
        <v>105000</v>
      </c>
      <c r="T96" s="93">
        <v>2</v>
      </c>
      <c r="U96" s="99">
        <v>70000</v>
      </c>
    </row>
    <row r="97" spans="1:21" ht="15.5" x14ac:dyDescent="0.35">
      <c r="A97" s="102"/>
      <c r="B97" s="94" t="s">
        <v>90</v>
      </c>
      <c r="C97" s="103" t="s">
        <v>91</v>
      </c>
      <c r="D97" s="102">
        <v>6</v>
      </c>
      <c r="E97" s="104">
        <v>12000</v>
      </c>
      <c r="F97" s="97">
        <f t="shared" si="4"/>
        <v>72000</v>
      </c>
      <c r="G97" s="95" t="s">
        <v>20</v>
      </c>
      <c r="H97" s="95" t="s">
        <v>21</v>
      </c>
      <c r="I97" s="95" t="s">
        <v>22</v>
      </c>
      <c r="J97" s="95"/>
      <c r="K97" s="95"/>
      <c r="L97" s="95"/>
      <c r="M97" s="98" t="s">
        <v>23</v>
      </c>
      <c r="N97" s="93">
        <v>0</v>
      </c>
      <c r="O97" s="93">
        <v>0</v>
      </c>
      <c r="P97" s="93">
        <v>2</v>
      </c>
      <c r="Q97" s="93">
        <v>24000</v>
      </c>
      <c r="R97" s="93">
        <v>2</v>
      </c>
      <c r="S97" s="93">
        <v>24000</v>
      </c>
      <c r="T97" s="93">
        <v>2</v>
      </c>
      <c r="U97" s="99">
        <v>24000</v>
      </c>
    </row>
    <row r="98" spans="1:21" ht="15.5" x14ac:dyDescent="0.35">
      <c r="A98" s="102"/>
      <c r="B98" s="94" t="s">
        <v>115</v>
      </c>
      <c r="C98" s="103"/>
      <c r="D98" s="102">
        <v>5</v>
      </c>
      <c r="E98" s="104">
        <v>47600</v>
      </c>
      <c r="F98" s="97">
        <f t="shared" si="4"/>
        <v>238000</v>
      </c>
      <c r="G98" s="95" t="s">
        <v>20</v>
      </c>
      <c r="H98" s="95" t="s">
        <v>21</v>
      </c>
      <c r="I98" s="95" t="s">
        <v>22</v>
      </c>
      <c r="J98" s="95"/>
      <c r="K98" s="95"/>
      <c r="L98" s="95"/>
      <c r="M98" s="98" t="s">
        <v>23</v>
      </c>
      <c r="N98" s="93">
        <v>0</v>
      </c>
      <c r="O98" s="93">
        <v>0</v>
      </c>
      <c r="P98" s="93">
        <v>1</v>
      </c>
      <c r="Q98" s="93">
        <v>47600</v>
      </c>
      <c r="R98" s="93">
        <v>1</v>
      </c>
      <c r="S98" s="93">
        <v>47600</v>
      </c>
      <c r="T98" s="93">
        <v>3</v>
      </c>
      <c r="U98" s="99">
        <v>142800</v>
      </c>
    </row>
    <row r="99" spans="1:21" ht="15.5" x14ac:dyDescent="0.35">
      <c r="A99" s="102"/>
      <c r="B99" s="94" t="s">
        <v>116</v>
      </c>
      <c r="C99" s="103" t="s">
        <v>117</v>
      </c>
      <c r="D99" s="102">
        <v>5</v>
      </c>
      <c r="E99" s="104">
        <v>15000</v>
      </c>
      <c r="F99" s="97">
        <f t="shared" si="4"/>
        <v>75000</v>
      </c>
      <c r="G99" s="95" t="s">
        <v>20</v>
      </c>
      <c r="H99" s="95" t="s">
        <v>21</v>
      </c>
      <c r="I99" s="95" t="s">
        <v>22</v>
      </c>
      <c r="J99" s="95"/>
      <c r="K99" s="95"/>
      <c r="L99" s="95"/>
      <c r="M99" s="98" t="s">
        <v>23</v>
      </c>
      <c r="N99" s="93">
        <v>0</v>
      </c>
      <c r="O99" s="93">
        <v>0</v>
      </c>
      <c r="P99" s="93">
        <v>2</v>
      </c>
      <c r="Q99" s="93">
        <v>30000</v>
      </c>
      <c r="R99" s="93">
        <v>2</v>
      </c>
      <c r="S99" s="93">
        <v>30000</v>
      </c>
      <c r="T99" s="93">
        <v>1</v>
      </c>
      <c r="U99" s="99">
        <v>15000</v>
      </c>
    </row>
    <row r="100" spans="1:21" ht="15.5" x14ac:dyDescent="0.35">
      <c r="A100" s="105"/>
      <c r="B100" s="94" t="s">
        <v>118</v>
      </c>
      <c r="C100" s="95" t="s">
        <v>119</v>
      </c>
      <c r="D100" s="93">
        <v>3</v>
      </c>
      <c r="E100" s="104">
        <v>50000</v>
      </c>
      <c r="F100" s="97">
        <f t="shared" si="4"/>
        <v>150000</v>
      </c>
      <c r="G100" s="95" t="s">
        <v>20</v>
      </c>
      <c r="H100" s="95" t="s">
        <v>21</v>
      </c>
      <c r="I100" s="95" t="s">
        <v>22</v>
      </c>
      <c r="J100" s="95"/>
      <c r="K100" s="95"/>
      <c r="L100" s="95"/>
      <c r="M100" s="98" t="s">
        <v>23</v>
      </c>
      <c r="N100" s="93">
        <v>0</v>
      </c>
      <c r="O100" s="93">
        <v>0</v>
      </c>
      <c r="P100" s="93">
        <v>1</v>
      </c>
      <c r="Q100" s="93">
        <v>50000</v>
      </c>
      <c r="R100" s="93">
        <v>1</v>
      </c>
      <c r="S100" s="93">
        <v>50000</v>
      </c>
      <c r="T100" s="106">
        <v>1</v>
      </c>
      <c r="U100" s="99">
        <v>50000</v>
      </c>
    </row>
    <row r="101" spans="1:21" ht="15.5" x14ac:dyDescent="0.35">
      <c r="A101" s="105"/>
      <c r="B101" s="94" t="s">
        <v>120</v>
      </c>
      <c r="C101" s="107" t="s">
        <v>108</v>
      </c>
      <c r="D101" s="93">
        <v>5</v>
      </c>
      <c r="E101" s="97">
        <v>6500</v>
      </c>
      <c r="F101" s="97">
        <f t="shared" si="4"/>
        <v>32500</v>
      </c>
      <c r="G101" s="95" t="s">
        <v>20</v>
      </c>
      <c r="H101" s="95" t="s">
        <v>21</v>
      </c>
      <c r="I101" s="95" t="s">
        <v>22</v>
      </c>
      <c r="J101" s="95"/>
      <c r="K101" s="95"/>
      <c r="L101" s="95"/>
      <c r="M101" s="95" t="s">
        <v>23</v>
      </c>
      <c r="N101" s="93">
        <v>5</v>
      </c>
      <c r="O101" s="93">
        <v>32500</v>
      </c>
      <c r="P101" s="93"/>
      <c r="Q101" s="93">
        <v>0</v>
      </c>
      <c r="R101" s="93"/>
      <c r="S101" s="93">
        <v>0</v>
      </c>
      <c r="T101" s="108"/>
      <c r="U101" s="99">
        <v>0</v>
      </c>
    </row>
    <row r="102" spans="1:21" ht="15.5" x14ac:dyDescent="0.35">
      <c r="A102" s="105"/>
      <c r="B102" s="94" t="s">
        <v>121</v>
      </c>
      <c r="C102" s="107" t="s">
        <v>108</v>
      </c>
      <c r="D102" s="93">
        <v>5</v>
      </c>
      <c r="E102" s="97">
        <v>4800</v>
      </c>
      <c r="F102" s="97">
        <f t="shared" si="4"/>
        <v>24000</v>
      </c>
      <c r="G102" s="95" t="s">
        <v>20</v>
      </c>
      <c r="H102" s="95" t="s">
        <v>21</v>
      </c>
      <c r="I102" s="95" t="s">
        <v>22</v>
      </c>
      <c r="J102" s="95"/>
      <c r="K102" s="95"/>
      <c r="L102" s="95"/>
      <c r="M102" s="95" t="s">
        <v>23</v>
      </c>
      <c r="N102" s="93">
        <v>5</v>
      </c>
      <c r="O102" s="93">
        <v>24000</v>
      </c>
      <c r="P102" s="93"/>
      <c r="Q102" s="93">
        <v>0</v>
      </c>
      <c r="R102" s="93"/>
      <c r="S102" s="93">
        <v>0</v>
      </c>
      <c r="T102" s="108"/>
      <c r="U102" s="99">
        <v>0</v>
      </c>
    </row>
    <row r="103" spans="1:21" ht="15.5" x14ac:dyDescent="0.35">
      <c r="A103" s="105"/>
      <c r="B103" s="94" t="s">
        <v>122</v>
      </c>
      <c r="C103" s="107" t="s">
        <v>123</v>
      </c>
      <c r="D103" s="93">
        <v>2</v>
      </c>
      <c r="E103" s="97">
        <v>24800</v>
      </c>
      <c r="F103" s="97">
        <f t="shared" si="4"/>
        <v>49600</v>
      </c>
      <c r="G103" s="95" t="s">
        <v>20</v>
      </c>
      <c r="H103" s="95" t="s">
        <v>21</v>
      </c>
      <c r="I103" s="95" t="s">
        <v>22</v>
      </c>
      <c r="J103" s="95"/>
      <c r="K103" s="95"/>
      <c r="L103" s="95"/>
      <c r="M103" s="95" t="s">
        <v>23</v>
      </c>
      <c r="N103" s="93">
        <v>2</v>
      </c>
      <c r="O103" s="93">
        <v>49600</v>
      </c>
      <c r="P103" s="93"/>
      <c r="Q103" s="93">
        <v>0</v>
      </c>
      <c r="R103" s="93"/>
      <c r="S103" s="93">
        <v>0</v>
      </c>
      <c r="T103" s="108"/>
      <c r="U103" s="99">
        <v>0</v>
      </c>
    </row>
    <row r="104" spans="1:21" ht="15.5" x14ac:dyDescent="0.35">
      <c r="A104" s="105"/>
      <c r="B104" s="94" t="s">
        <v>124</v>
      </c>
      <c r="C104" s="107" t="s">
        <v>123</v>
      </c>
      <c r="D104" s="93">
        <v>2</v>
      </c>
      <c r="E104" s="97">
        <v>26800</v>
      </c>
      <c r="F104" s="97">
        <f t="shared" si="4"/>
        <v>53600</v>
      </c>
      <c r="G104" s="95" t="s">
        <v>20</v>
      </c>
      <c r="H104" s="95" t="s">
        <v>21</v>
      </c>
      <c r="I104" s="95" t="s">
        <v>22</v>
      </c>
      <c r="J104" s="95"/>
      <c r="K104" s="95"/>
      <c r="L104" s="95"/>
      <c r="M104" s="95" t="s">
        <v>23</v>
      </c>
      <c r="N104" s="93">
        <v>2</v>
      </c>
      <c r="O104" s="93">
        <v>53600</v>
      </c>
      <c r="P104" s="93"/>
      <c r="Q104" s="93">
        <v>0</v>
      </c>
      <c r="R104" s="93"/>
      <c r="S104" s="93">
        <v>0</v>
      </c>
      <c r="T104" s="108"/>
      <c r="U104" s="99">
        <v>0</v>
      </c>
    </row>
    <row r="105" spans="1:21" ht="15.5" x14ac:dyDescent="0.35">
      <c r="A105" s="105"/>
      <c r="B105" s="94" t="s">
        <v>125</v>
      </c>
      <c r="C105" s="107" t="s">
        <v>123</v>
      </c>
      <c r="D105" s="93">
        <v>2</v>
      </c>
      <c r="E105" s="97">
        <v>26800</v>
      </c>
      <c r="F105" s="97">
        <f t="shared" si="4"/>
        <v>53600</v>
      </c>
      <c r="G105" s="95" t="s">
        <v>20</v>
      </c>
      <c r="H105" s="95" t="s">
        <v>21</v>
      </c>
      <c r="I105" s="95" t="s">
        <v>22</v>
      </c>
      <c r="J105" s="95"/>
      <c r="K105" s="95"/>
      <c r="L105" s="95"/>
      <c r="M105" s="95" t="s">
        <v>23</v>
      </c>
      <c r="N105" s="93">
        <v>2</v>
      </c>
      <c r="O105" s="93">
        <v>53600</v>
      </c>
      <c r="P105" s="93"/>
      <c r="Q105" s="93">
        <v>0</v>
      </c>
      <c r="R105" s="93"/>
      <c r="S105" s="93">
        <v>0</v>
      </c>
      <c r="T105" s="108"/>
      <c r="U105" s="99">
        <v>0</v>
      </c>
    </row>
    <row r="106" spans="1:21" ht="15.5" x14ac:dyDescent="0.35">
      <c r="A106" s="105"/>
      <c r="B106" s="94" t="s">
        <v>126</v>
      </c>
      <c r="C106" s="107" t="s">
        <v>108</v>
      </c>
      <c r="D106" s="93">
        <v>10</v>
      </c>
      <c r="E106" s="97">
        <v>18200</v>
      </c>
      <c r="F106" s="97">
        <f t="shared" si="4"/>
        <v>182000</v>
      </c>
      <c r="G106" s="95" t="s">
        <v>20</v>
      </c>
      <c r="H106" s="95" t="s">
        <v>21</v>
      </c>
      <c r="I106" s="95" t="s">
        <v>22</v>
      </c>
      <c r="J106" s="95"/>
      <c r="K106" s="95"/>
      <c r="L106" s="95"/>
      <c r="M106" s="95" t="s">
        <v>23</v>
      </c>
      <c r="N106" s="93">
        <v>10</v>
      </c>
      <c r="O106" s="93">
        <v>182000</v>
      </c>
      <c r="P106" s="93"/>
      <c r="Q106" s="93">
        <v>0</v>
      </c>
      <c r="R106" s="93"/>
      <c r="S106" s="93">
        <v>0</v>
      </c>
      <c r="T106" s="108"/>
      <c r="U106" s="99">
        <v>0</v>
      </c>
    </row>
    <row r="107" spans="1:21" ht="15.5" x14ac:dyDescent="0.35">
      <c r="A107" s="105"/>
      <c r="B107" s="94" t="s">
        <v>127</v>
      </c>
      <c r="C107" s="107" t="s">
        <v>123</v>
      </c>
      <c r="D107" s="93">
        <v>2</v>
      </c>
      <c r="E107" s="97">
        <v>22200</v>
      </c>
      <c r="F107" s="97">
        <f t="shared" si="4"/>
        <v>44400</v>
      </c>
      <c r="G107" s="95" t="s">
        <v>20</v>
      </c>
      <c r="H107" s="95" t="s">
        <v>21</v>
      </c>
      <c r="I107" s="95" t="s">
        <v>22</v>
      </c>
      <c r="J107" s="95"/>
      <c r="K107" s="95"/>
      <c r="L107" s="95"/>
      <c r="M107" s="95" t="s">
        <v>23</v>
      </c>
      <c r="N107" s="93">
        <v>2</v>
      </c>
      <c r="O107" s="93">
        <v>44400</v>
      </c>
      <c r="P107" s="93"/>
      <c r="Q107" s="93">
        <v>0</v>
      </c>
      <c r="R107" s="93"/>
      <c r="S107" s="93">
        <v>0</v>
      </c>
      <c r="T107" s="108"/>
      <c r="U107" s="99">
        <v>0</v>
      </c>
    </row>
    <row r="108" spans="1:21" ht="15.5" x14ac:dyDescent="0.35">
      <c r="A108" s="105"/>
      <c r="B108" s="94" t="s">
        <v>128</v>
      </c>
      <c r="C108" s="107"/>
      <c r="D108" s="93">
        <v>2</v>
      </c>
      <c r="E108" s="97">
        <v>47600</v>
      </c>
      <c r="F108" s="97">
        <f t="shared" si="4"/>
        <v>95200</v>
      </c>
      <c r="G108" s="95" t="s">
        <v>20</v>
      </c>
      <c r="H108" s="95" t="s">
        <v>21</v>
      </c>
      <c r="I108" s="95" t="s">
        <v>22</v>
      </c>
      <c r="J108" s="95"/>
      <c r="K108" s="95"/>
      <c r="L108" s="95"/>
      <c r="M108" s="95" t="s">
        <v>23</v>
      </c>
      <c r="N108" s="93">
        <v>2</v>
      </c>
      <c r="O108" s="93">
        <v>95200</v>
      </c>
      <c r="P108" s="93"/>
      <c r="Q108" s="93">
        <v>0</v>
      </c>
      <c r="R108" s="93"/>
      <c r="S108" s="93">
        <v>0</v>
      </c>
      <c r="T108" s="108"/>
      <c r="U108" s="99">
        <v>0</v>
      </c>
    </row>
    <row r="109" spans="1:21" ht="15.5" x14ac:dyDescent="0.35">
      <c r="A109" s="105"/>
      <c r="B109" s="94" t="s">
        <v>129</v>
      </c>
      <c r="C109" s="107" t="s">
        <v>130</v>
      </c>
      <c r="D109" s="93">
        <v>3</v>
      </c>
      <c r="E109" s="97">
        <v>2500</v>
      </c>
      <c r="F109" s="97">
        <f t="shared" si="4"/>
        <v>7500</v>
      </c>
      <c r="G109" s="95" t="s">
        <v>20</v>
      </c>
      <c r="H109" s="95" t="s">
        <v>21</v>
      </c>
      <c r="I109" s="95" t="s">
        <v>22</v>
      </c>
      <c r="J109" s="95"/>
      <c r="K109" s="95"/>
      <c r="L109" s="95"/>
      <c r="M109" s="95" t="s">
        <v>23</v>
      </c>
      <c r="N109" s="93">
        <v>3</v>
      </c>
      <c r="O109" s="93">
        <v>7500</v>
      </c>
      <c r="P109" s="93"/>
      <c r="Q109" s="93">
        <v>0</v>
      </c>
      <c r="R109" s="93"/>
      <c r="S109" s="93">
        <v>0</v>
      </c>
      <c r="T109" s="108"/>
      <c r="U109" s="99">
        <v>0</v>
      </c>
    </row>
    <row r="110" spans="1:21" ht="15.5" x14ac:dyDescent="0.35">
      <c r="A110" s="105"/>
      <c r="B110" s="109" t="s">
        <v>78</v>
      </c>
      <c r="C110" s="93" t="s">
        <v>79</v>
      </c>
      <c r="D110" s="93">
        <v>2</v>
      </c>
      <c r="E110" s="97">
        <v>6500</v>
      </c>
      <c r="F110" s="97">
        <f>D110*E110</f>
        <v>13000</v>
      </c>
      <c r="G110" s="95" t="s">
        <v>20</v>
      </c>
      <c r="H110" s="95" t="s">
        <v>21</v>
      </c>
      <c r="I110" s="95" t="s">
        <v>22</v>
      </c>
      <c r="J110" s="95"/>
      <c r="K110" s="95"/>
      <c r="L110" s="95"/>
      <c r="M110" s="95" t="s">
        <v>23</v>
      </c>
      <c r="N110" s="93"/>
      <c r="O110" s="93"/>
      <c r="P110" s="93">
        <v>2</v>
      </c>
      <c r="Q110" s="93">
        <v>13000</v>
      </c>
      <c r="R110" s="93"/>
      <c r="S110" s="93">
        <v>0</v>
      </c>
      <c r="T110" s="108"/>
      <c r="U110" s="99">
        <v>0</v>
      </c>
    </row>
    <row r="111" spans="1:21" ht="15.5" x14ac:dyDescent="0.35">
      <c r="A111" s="105"/>
      <c r="B111" s="109" t="s">
        <v>80</v>
      </c>
      <c r="C111" s="93" t="s">
        <v>53</v>
      </c>
      <c r="D111" s="93">
        <v>1</v>
      </c>
      <c r="E111" s="97">
        <v>35000</v>
      </c>
      <c r="F111" s="97">
        <f t="shared" ref="F111:F120" si="5">D111*E111</f>
        <v>35000</v>
      </c>
      <c r="G111" s="95" t="s">
        <v>20</v>
      </c>
      <c r="H111" s="95" t="s">
        <v>21</v>
      </c>
      <c r="I111" s="95" t="s">
        <v>22</v>
      </c>
      <c r="J111" s="95"/>
      <c r="K111" s="95"/>
      <c r="L111" s="95"/>
      <c r="M111" s="95" t="s">
        <v>23</v>
      </c>
      <c r="N111" s="93"/>
      <c r="O111" s="93"/>
      <c r="P111" s="93">
        <v>1</v>
      </c>
      <c r="Q111" s="93">
        <v>35000</v>
      </c>
      <c r="R111" s="93"/>
      <c r="S111" s="93">
        <v>0</v>
      </c>
      <c r="T111" s="108"/>
      <c r="U111" s="99">
        <v>0</v>
      </c>
    </row>
    <row r="112" spans="1:21" ht="15.5" x14ac:dyDescent="0.35">
      <c r="A112" s="105"/>
      <c r="B112" s="109" t="s">
        <v>81</v>
      </c>
      <c r="C112" s="93" t="s">
        <v>79</v>
      </c>
      <c r="D112" s="93">
        <v>6</v>
      </c>
      <c r="E112" s="97">
        <v>2400</v>
      </c>
      <c r="F112" s="97">
        <f t="shared" si="5"/>
        <v>14400</v>
      </c>
      <c r="G112" s="95" t="s">
        <v>20</v>
      </c>
      <c r="H112" s="95" t="s">
        <v>21</v>
      </c>
      <c r="I112" s="95" t="s">
        <v>22</v>
      </c>
      <c r="J112" s="95"/>
      <c r="K112" s="95"/>
      <c r="L112" s="95"/>
      <c r="M112" s="95" t="s">
        <v>23</v>
      </c>
      <c r="N112" s="93"/>
      <c r="O112" s="93"/>
      <c r="P112" s="93">
        <v>6</v>
      </c>
      <c r="Q112" s="93">
        <v>14400</v>
      </c>
      <c r="R112" s="93"/>
      <c r="S112" s="93">
        <v>0</v>
      </c>
      <c r="T112" s="108"/>
      <c r="U112" s="99">
        <v>0</v>
      </c>
    </row>
    <row r="113" spans="1:21" ht="15.5" x14ac:dyDescent="0.35">
      <c r="A113" s="105"/>
      <c r="B113" s="109" t="s">
        <v>82</v>
      </c>
      <c r="C113" s="93" t="s">
        <v>79</v>
      </c>
      <c r="D113" s="93">
        <v>5</v>
      </c>
      <c r="E113" s="97">
        <v>2800</v>
      </c>
      <c r="F113" s="97">
        <f t="shared" si="5"/>
        <v>14000</v>
      </c>
      <c r="G113" s="95" t="s">
        <v>20</v>
      </c>
      <c r="H113" s="95" t="s">
        <v>21</v>
      </c>
      <c r="I113" s="95" t="s">
        <v>22</v>
      </c>
      <c r="J113" s="95"/>
      <c r="K113" s="95"/>
      <c r="L113" s="95"/>
      <c r="M113" s="95" t="s">
        <v>23</v>
      </c>
      <c r="N113" s="93"/>
      <c r="O113" s="93"/>
      <c r="P113" s="93">
        <v>5</v>
      </c>
      <c r="Q113" s="93">
        <v>14000</v>
      </c>
      <c r="R113" s="93"/>
      <c r="S113" s="93">
        <v>0</v>
      </c>
      <c r="T113" s="108"/>
      <c r="U113" s="99">
        <v>0</v>
      </c>
    </row>
    <row r="114" spans="1:21" ht="15.5" x14ac:dyDescent="0.35">
      <c r="A114" s="105"/>
      <c r="B114" s="109" t="s">
        <v>83</v>
      </c>
      <c r="C114" s="93" t="s">
        <v>53</v>
      </c>
      <c r="D114" s="93">
        <v>1</v>
      </c>
      <c r="E114" s="97">
        <v>15800</v>
      </c>
      <c r="F114" s="97">
        <f t="shared" si="5"/>
        <v>15800</v>
      </c>
      <c r="G114" s="95" t="s">
        <v>20</v>
      </c>
      <c r="H114" s="95" t="s">
        <v>21</v>
      </c>
      <c r="I114" s="95" t="s">
        <v>22</v>
      </c>
      <c r="J114" s="95"/>
      <c r="K114" s="95"/>
      <c r="L114" s="95"/>
      <c r="M114" s="95" t="s">
        <v>23</v>
      </c>
      <c r="N114" s="93"/>
      <c r="O114" s="93"/>
      <c r="P114" s="93">
        <v>1</v>
      </c>
      <c r="Q114" s="93">
        <v>15800</v>
      </c>
      <c r="R114" s="93"/>
      <c r="S114" s="93">
        <v>0</v>
      </c>
      <c r="T114" s="108"/>
      <c r="U114" s="99">
        <v>0</v>
      </c>
    </row>
    <row r="115" spans="1:21" ht="15.5" x14ac:dyDescent="0.35">
      <c r="A115" s="105"/>
      <c r="B115" s="109" t="s">
        <v>84</v>
      </c>
      <c r="C115" s="93" t="s">
        <v>53</v>
      </c>
      <c r="D115" s="93">
        <v>1</v>
      </c>
      <c r="E115" s="97">
        <v>14800</v>
      </c>
      <c r="F115" s="97">
        <f t="shared" si="5"/>
        <v>14800</v>
      </c>
      <c r="G115" s="95" t="s">
        <v>20</v>
      </c>
      <c r="H115" s="95" t="s">
        <v>21</v>
      </c>
      <c r="I115" s="95" t="s">
        <v>22</v>
      </c>
      <c r="J115" s="95"/>
      <c r="K115" s="95"/>
      <c r="L115" s="95"/>
      <c r="M115" s="95" t="s">
        <v>23</v>
      </c>
      <c r="N115" s="93"/>
      <c r="O115" s="93"/>
      <c r="P115" s="93">
        <v>1</v>
      </c>
      <c r="Q115" s="93">
        <v>14800</v>
      </c>
      <c r="R115" s="93"/>
      <c r="S115" s="93">
        <v>0</v>
      </c>
      <c r="T115" s="108"/>
      <c r="U115" s="99">
        <v>0</v>
      </c>
    </row>
    <row r="116" spans="1:21" ht="15.5" x14ac:dyDescent="0.35">
      <c r="A116" s="105"/>
      <c r="B116" s="110" t="s">
        <v>85</v>
      </c>
      <c r="C116" s="93" t="s">
        <v>53</v>
      </c>
      <c r="D116" s="93">
        <v>1</v>
      </c>
      <c r="E116" s="97">
        <v>15800</v>
      </c>
      <c r="F116" s="97">
        <f t="shared" si="5"/>
        <v>15800</v>
      </c>
      <c r="G116" s="95" t="s">
        <v>20</v>
      </c>
      <c r="H116" s="95" t="s">
        <v>21</v>
      </c>
      <c r="I116" s="95" t="s">
        <v>22</v>
      </c>
      <c r="J116" s="95"/>
      <c r="K116" s="95"/>
      <c r="L116" s="95"/>
      <c r="M116" s="95" t="s">
        <v>23</v>
      </c>
      <c r="N116" s="93"/>
      <c r="O116" s="93"/>
      <c r="P116" s="93">
        <v>1</v>
      </c>
      <c r="Q116" s="93">
        <v>15800</v>
      </c>
      <c r="R116" s="93"/>
      <c r="S116" s="93">
        <v>0</v>
      </c>
      <c r="T116" s="108"/>
      <c r="U116" s="99">
        <v>0</v>
      </c>
    </row>
    <row r="117" spans="1:21" ht="15.5" x14ac:dyDescent="0.35">
      <c r="A117" s="105"/>
      <c r="B117" s="110" t="s">
        <v>131</v>
      </c>
      <c r="C117" s="93" t="s">
        <v>53</v>
      </c>
      <c r="D117" s="93">
        <v>3000</v>
      </c>
      <c r="E117" s="97">
        <v>45</v>
      </c>
      <c r="F117" s="97">
        <f t="shared" si="5"/>
        <v>135000</v>
      </c>
      <c r="G117" s="95" t="s">
        <v>20</v>
      </c>
      <c r="H117" s="95" t="s">
        <v>21</v>
      </c>
      <c r="I117" s="95" t="s">
        <v>22</v>
      </c>
      <c r="J117" s="95"/>
      <c r="K117" s="95"/>
      <c r="L117" s="95"/>
      <c r="M117" s="95" t="s">
        <v>23</v>
      </c>
      <c r="N117" s="93"/>
      <c r="O117" s="93"/>
      <c r="P117" s="93">
        <v>3000</v>
      </c>
      <c r="Q117" s="93">
        <v>135000</v>
      </c>
      <c r="R117" s="93"/>
      <c r="S117" s="93">
        <v>0</v>
      </c>
      <c r="T117" s="108"/>
      <c r="U117" s="99">
        <v>0</v>
      </c>
    </row>
    <row r="118" spans="1:21" ht="15.5" x14ac:dyDescent="0.35">
      <c r="A118" s="105"/>
      <c r="B118" s="110" t="s">
        <v>132</v>
      </c>
      <c r="C118" s="93" t="s">
        <v>53</v>
      </c>
      <c r="D118" s="93">
        <v>40</v>
      </c>
      <c r="E118" s="97">
        <v>2500</v>
      </c>
      <c r="F118" s="97">
        <f t="shared" si="5"/>
        <v>100000</v>
      </c>
      <c r="G118" s="95" t="s">
        <v>20</v>
      </c>
      <c r="H118" s="95" t="s">
        <v>21</v>
      </c>
      <c r="I118" s="95" t="s">
        <v>22</v>
      </c>
      <c r="J118" s="95"/>
      <c r="K118" s="95"/>
      <c r="L118" s="95"/>
      <c r="M118" s="95" t="s">
        <v>23</v>
      </c>
      <c r="N118" s="93"/>
      <c r="O118" s="93"/>
      <c r="P118" s="93">
        <v>40</v>
      </c>
      <c r="Q118" s="93">
        <v>100000</v>
      </c>
      <c r="R118" s="93"/>
      <c r="S118" s="93">
        <v>0</v>
      </c>
      <c r="T118" s="108"/>
      <c r="U118" s="99">
        <v>0</v>
      </c>
    </row>
    <row r="119" spans="1:21" ht="15.5" x14ac:dyDescent="0.35">
      <c r="A119" s="105"/>
      <c r="B119" s="110" t="s">
        <v>102</v>
      </c>
      <c r="C119" s="93"/>
      <c r="D119" s="93">
        <v>3</v>
      </c>
      <c r="E119" s="97">
        <v>70000</v>
      </c>
      <c r="F119" s="97">
        <f t="shared" si="5"/>
        <v>210000</v>
      </c>
      <c r="G119" s="95" t="s">
        <v>20</v>
      </c>
      <c r="H119" s="95" t="s">
        <v>21</v>
      </c>
      <c r="I119" s="95" t="s">
        <v>22</v>
      </c>
      <c r="J119" s="95"/>
      <c r="K119" s="95"/>
      <c r="L119" s="95"/>
      <c r="M119" s="95" t="s">
        <v>23</v>
      </c>
      <c r="N119" s="93"/>
      <c r="O119" s="93"/>
      <c r="P119" s="93">
        <v>1</v>
      </c>
      <c r="Q119" s="93">
        <v>70000</v>
      </c>
      <c r="R119" s="93">
        <v>1</v>
      </c>
      <c r="S119" s="93">
        <v>70000</v>
      </c>
      <c r="T119" s="106">
        <v>1</v>
      </c>
      <c r="U119" s="99">
        <v>70000</v>
      </c>
    </row>
    <row r="120" spans="1:21" ht="31" x14ac:dyDescent="0.35">
      <c r="A120" s="105"/>
      <c r="B120" s="111" t="s">
        <v>133</v>
      </c>
      <c r="C120" s="93"/>
      <c r="D120" s="93">
        <v>1</v>
      </c>
      <c r="E120" s="97">
        <v>229500</v>
      </c>
      <c r="F120" s="97">
        <f t="shared" si="5"/>
        <v>229500</v>
      </c>
      <c r="G120" s="95" t="s">
        <v>20</v>
      </c>
      <c r="H120" s="95" t="s">
        <v>21</v>
      </c>
      <c r="I120" s="95" t="s">
        <v>22</v>
      </c>
      <c r="J120" s="95"/>
      <c r="K120" s="95"/>
      <c r="L120" s="95"/>
      <c r="M120" s="95" t="s">
        <v>23</v>
      </c>
      <c r="N120" s="93"/>
      <c r="O120" s="93"/>
      <c r="P120" s="93">
        <v>1</v>
      </c>
      <c r="Q120" s="93">
        <v>229500</v>
      </c>
      <c r="R120" s="93"/>
      <c r="S120" s="93"/>
      <c r="T120" s="108"/>
      <c r="U120" s="99"/>
    </row>
    <row r="121" spans="1:21" ht="15.5" x14ac:dyDescent="0.35">
      <c r="A121" s="105"/>
      <c r="B121" s="94" t="s">
        <v>134</v>
      </c>
      <c r="C121" s="107" t="s">
        <v>123</v>
      </c>
      <c r="D121" s="93">
        <v>4</v>
      </c>
      <c r="E121" s="96">
        <v>18900</v>
      </c>
      <c r="F121" s="97">
        <f>D121*E121</f>
        <v>75600</v>
      </c>
      <c r="G121" s="95" t="s">
        <v>20</v>
      </c>
      <c r="H121" s="95" t="s">
        <v>21</v>
      </c>
      <c r="I121" s="95" t="s">
        <v>22</v>
      </c>
      <c r="J121" s="95"/>
      <c r="K121" s="95"/>
      <c r="L121" s="95"/>
      <c r="M121" s="95" t="s">
        <v>23</v>
      </c>
      <c r="N121" s="112">
        <v>2</v>
      </c>
      <c r="O121" s="93">
        <v>37800</v>
      </c>
      <c r="P121" s="93">
        <v>2</v>
      </c>
      <c r="Q121" s="93">
        <v>37800</v>
      </c>
      <c r="R121" s="93"/>
      <c r="S121" s="93"/>
      <c r="T121" s="108"/>
      <c r="U121" s="99"/>
    </row>
    <row r="122" spans="1:21" ht="15.5" x14ac:dyDescent="0.35">
      <c r="A122" s="105"/>
      <c r="B122" s="113" t="s">
        <v>135</v>
      </c>
      <c r="C122" s="107"/>
      <c r="D122" s="93">
        <v>3</v>
      </c>
      <c r="E122" s="96">
        <v>6500</v>
      </c>
      <c r="F122" s="97">
        <f t="shared" ref="F122:F135" si="6">D122*E122</f>
        <v>19500</v>
      </c>
      <c r="G122" s="95" t="s">
        <v>20</v>
      </c>
      <c r="H122" s="95" t="s">
        <v>21</v>
      </c>
      <c r="I122" s="95" t="s">
        <v>22</v>
      </c>
      <c r="J122" s="95"/>
      <c r="K122" s="95"/>
      <c r="L122" s="95"/>
      <c r="M122" s="95" t="s">
        <v>23</v>
      </c>
      <c r="N122" s="112">
        <v>3</v>
      </c>
      <c r="O122" s="93">
        <v>19500</v>
      </c>
      <c r="P122" s="93">
        <v>0</v>
      </c>
      <c r="Q122" s="93">
        <v>0</v>
      </c>
      <c r="R122" s="93"/>
      <c r="S122" s="93"/>
      <c r="T122" s="108"/>
      <c r="U122" s="99"/>
    </row>
    <row r="123" spans="1:21" ht="15.5" x14ac:dyDescent="0.35">
      <c r="A123" s="105"/>
      <c r="B123" s="113" t="s">
        <v>136</v>
      </c>
      <c r="C123" s="107"/>
      <c r="D123" s="93">
        <v>3</v>
      </c>
      <c r="E123" s="96">
        <v>54600</v>
      </c>
      <c r="F123" s="97">
        <f t="shared" si="6"/>
        <v>163800</v>
      </c>
      <c r="G123" s="95" t="s">
        <v>20</v>
      </c>
      <c r="H123" s="95" t="s">
        <v>21</v>
      </c>
      <c r="I123" s="95" t="s">
        <v>22</v>
      </c>
      <c r="J123" s="95"/>
      <c r="K123" s="95"/>
      <c r="L123" s="95"/>
      <c r="M123" s="95" t="s">
        <v>23</v>
      </c>
      <c r="N123" s="112">
        <v>1</v>
      </c>
      <c r="O123" s="93">
        <v>54600</v>
      </c>
      <c r="P123" s="93">
        <v>2</v>
      </c>
      <c r="Q123" s="93">
        <v>109200</v>
      </c>
      <c r="R123" s="93"/>
      <c r="S123" s="93"/>
      <c r="T123" s="108"/>
      <c r="U123" s="99"/>
    </row>
    <row r="124" spans="1:21" ht="15.5" x14ac:dyDescent="0.35">
      <c r="A124" s="105"/>
      <c r="B124" s="113" t="s">
        <v>137</v>
      </c>
      <c r="C124" s="107"/>
      <c r="D124" s="93">
        <v>3</v>
      </c>
      <c r="E124" s="96">
        <v>6500</v>
      </c>
      <c r="F124" s="97">
        <f t="shared" si="6"/>
        <v>19500</v>
      </c>
      <c r="G124" s="95" t="s">
        <v>20</v>
      </c>
      <c r="H124" s="95" t="s">
        <v>21</v>
      </c>
      <c r="I124" s="95" t="s">
        <v>22</v>
      </c>
      <c r="J124" s="95"/>
      <c r="K124" s="95"/>
      <c r="L124" s="95"/>
      <c r="M124" s="95" t="s">
        <v>23</v>
      </c>
      <c r="N124" s="112">
        <v>3</v>
      </c>
      <c r="O124" s="93">
        <v>19500</v>
      </c>
      <c r="P124" s="93">
        <v>0</v>
      </c>
      <c r="Q124" s="93">
        <v>0</v>
      </c>
      <c r="R124" s="93"/>
      <c r="S124" s="93"/>
      <c r="T124" s="108"/>
      <c r="U124" s="99"/>
    </row>
    <row r="125" spans="1:21" ht="15.5" x14ac:dyDescent="0.35">
      <c r="A125" s="105"/>
      <c r="B125" s="113" t="s">
        <v>138</v>
      </c>
      <c r="C125" s="107"/>
      <c r="D125" s="93">
        <v>3</v>
      </c>
      <c r="E125" s="96">
        <v>28600</v>
      </c>
      <c r="F125" s="97">
        <f t="shared" si="6"/>
        <v>85800</v>
      </c>
      <c r="G125" s="95" t="s">
        <v>20</v>
      </c>
      <c r="H125" s="95" t="s">
        <v>21</v>
      </c>
      <c r="I125" s="95" t="s">
        <v>22</v>
      </c>
      <c r="J125" s="95"/>
      <c r="K125" s="95"/>
      <c r="L125" s="95"/>
      <c r="M125" s="95" t="s">
        <v>23</v>
      </c>
      <c r="N125" s="112">
        <v>1</v>
      </c>
      <c r="O125" s="93">
        <v>28600</v>
      </c>
      <c r="P125" s="93">
        <v>2</v>
      </c>
      <c r="Q125" s="93">
        <v>57200</v>
      </c>
      <c r="R125" s="93"/>
      <c r="S125" s="93"/>
      <c r="T125" s="108"/>
      <c r="U125" s="99"/>
    </row>
    <row r="126" spans="1:21" ht="15.5" x14ac:dyDescent="0.35">
      <c r="A126" s="105"/>
      <c r="B126" s="94" t="s">
        <v>139</v>
      </c>
      <c r="C126" s="107" t="s">
        <v>108</v>
      </c>
      <c r="D126" s="93">
        <v>1</v>
      </c>
      <c r="E126" s="96">
        <v>22200</v>
      </c>
      <c r="F126" s="97">
        <f t="shared" si="6"/>
        <v>22200</v>
      </c>
      <c r="G126" s="95" t="s">
        <v>20</v>
      </c>
      <c r="H126" s="95" t="s">
        <v>21</v>
      </c>
      <c r="I126" s="95" t="s">
        <v>22</v>
      </c>
      <c r="J126" s="95"/>
      <c r="K126" s="95"/>
      <c r="L126" s="95"/>
      <c r="M126" s="95" t="s">
        <v>23</v>
      </c>
      <c r="N126" s="112">
        <v>1</v>
      </c>
      <c r="O126" s="93">
        <v>22200</v>
      </c>
      <c r="P126" s="93">
        <v>0</v>
      </c>
      <c r="Q126" s="93">
        <v>0</v>
      </c>
      <c r="R126" s="93"/>
      <c r="S126" s="93"/>
      <c r="T126" s="108"/>
      <c r="U126" s="99"/>
    </row>
    <row r="127" spans="1:21" ht="15.5" x14ac:dyDescent="0.35">
      <c r="A127" s="105"/>
      <c r="B127" s="94" t="s">
        <v>140</v>
      </c>
      <c r="C127" s="107" t="s">
        <v>141</v>
      </c>
      <c r="D127" s="93">
        <v>4</v>
      </c>
      <c r="E127" s="96">
        <v>26000</v>
      </c>
      <c r="F127" s="97">
        <f t="shared" si="6"/>
        <v>104000</v>
      </c>
      <c r="G127" s="95" t="s">
        <v>20</v>
      </c>
      <c r="H127" s="95" t="s">
        <v>21</v>
      </c>
      <c r="I127" s="95" t="s">
        <v>22</v>
      </c>
      <c r="J127" s="95"/>
      <c r="K127" s="95"/>
      <c r="L127" s="95"/>
      <c r="M127" s="95" t="s">
        <v>23</v>
      </c>
      <c r="N127" s="112">
        <v>3</v>
      </c>
      <c r="O127" s="93">
        <v>78000</v>
      </c>
      <c r="P127" s="93">
        <v>1</v>
      </c>
      <c r="Q127" s="93">
        <v>26000</v>
      </c>
      <c r="R127" s="93"/>
      <c r="S127" s="93"/>
      <c r="T127" s="108"/>
      <c r="U127" s="99"/>
    </row>
    <row r="128" spans="1:21" ht="15.5" x14ac:dyDescent="0.35">
      <c r="A128" s="105"/>
      <c r="B128" s="94" t="s">
        <v>142</v>
      </c>
      <c r="C128" s="107" t="s">
        <v>108</v>
      </c>
      <c r="D128" s="93">
        <v>7</v>
      </c>
      <c r="E128" s="96">
        <v>1500</v>
      </c>
      <c r="F128" s="97">
        <f t="shared" si="6"/>
        <v>10500</v>
      </c>
      <c r="G128" s="95" t="s">
        <v>20</v>
      </c>
      <c r="H128" s="95" t="s">
        <v>21</v>
      </c>
      <c r="I128" s="95" t="s">
        <v>22</v>
      </c>
      <c r="J128" s="95"/>
      <c r="K128" s="95"/>
      <c r="L128" s="95"/>
      <c r="M128" s="95" t="s">
        <v>23</v>
      </c>
      <c r="N128" s="112">
        <v>7</v>
      </c>
      <c r="O128" s="93">
        <v>10500</v>
      </c>
      <c r="P128" s="93">
        <v>0</v>
      </c>
      <c r="Q128" s="93">
        <v>0</v>
      </c>
      <c r="R128" s="93"/>
      <c r="S128" s="93"/>
      <c r="T128" s="108"/>
      <c r="U128" s="99"/>
    </row>
    <row r="129" spans="1:21" ht="15.5" x14ac:dyDescent="0.35">
      <c r="A129" s="105"/>
      <c r="B129" s="94" t="s">
        <v>143</v>
      </c>
      <c r="C129" s="107" t="s">
        <v>108</v>
      </c>
      <c r="D129" s="93">
        <v>7</v>
      </c>
      <c r="E129" s="96">
        <v>1100</v>
      </c>
      <c r="F129" s="97">
        <f t="shared" si="6"/>
        <v>7700</v>
      </c>
      <c r="G129" s="95" t="s">
        <v>20</v>
      </c>
      <c r="H129" s="95" t="s">
        <v>21</v>
      </c>
      <c r="I129" s="95" t="s">
        <v>22</v>
      </c>
      <c r="J129" s="95"/>
      <c r="K129" s="95"/>
      <c r="L129" s="95"/>
      <c r="M129" s="95" t="s">
        <v>23</v>
      </c>
      <c r="N129" s="112">
        <v>7</v>
      </c>
      <c r="O129" s="93">
        <v>7700</v>
      </c>
      <c r="P129" s="93">
        <v>0</v>
      </c>
      <c r="Q129" s="93">
        <v>0</v>
      </c>
      <c r="R129" s="93"/>
      <c r="S129" s="93"/>
      <c r="T129" s="108"/>
      <c r="U129" s="99"/>
    </row>
    <row r="130" spans="1:21" ht="15.5" x14ac:dyDescent="0.35">
      <c r="A130" s="105"/>
      <c r="B130" s="94" t="s">
        <v>128</v>
      </c>
      <c r="C130" s="107" t="s">
        <v>53</v>
      </c>
      <c r="D130" s="93">
        <v>1</v>
      </c>
      <c r="E130" s="96">
        <v>47600</v>
      </c>
      <c r="F130" s="97">
        <f t="shared" si="6"/>
        <v>47600</v>
      </c>
      <c r="G130" s="95" t="s">
        <v>20</v>
      </c>
      <c r="H130" s="95" t="s">
        <v>21</v>
      </c>
      <c r="I130" s="95" t="s">
        <v>22</v>
      </c>
      <c r="J130" s="95"/>
      <c r="K130" s="95"/>
      <c r="L130" s="95"/>
      <c r="M130" s="95" t="s">
        <v>23</v>
      </c>
      <c r="N130" s="112">
        <v>1</v>
      </c>
      <c r="O130" s="93">
        <v>47600</v>
      </c>
      <c r="P130" s="93">
        <v>0</v>
      </c>
      <c r="Q130" s="93">
        <v>0</v>
      </c>
      <c r="R130" s="93"/>
      <c r="S130" s="93"/>
      <c r="T130" s="108"/>
      <c r="U130" s="99"/>
    </row>
    <row r="131" spans="1:21" ht="15.5" x14ac:dyDescent="0.35">
      <c r="A131" s="105"/>
      <c r="B131" s="114" t="s">
        <v>144</v>
      </c>
      <c r="C131" s="107" t="s">
        <v>108</v>
      </c>
      <c r="D131" s="93">
        <v>3</v>
      </c>
      <c r="E131" s="104">
        <v>8400</v>
      </c>
      <c r="F131" s="97">
        <f t="shared" si="6"/>
        <v>25200</v>
      </c>
      <c r="G131" s="95" t="s">
        <v>20</v>
      </c>
      <c r="H131" s="95" t="s">
        <v>21</v>
      </c>
      <c r="I131" s="95" t="s">
        <v>22</v>
      </c>
      <c r="J131" s="95"/>
      <c r="K131" s="95"/>
      <c r="L131" s="95"/>
      <c r="M131" s="95" t="s">
        <v>23</v>
      </c>
      <c r="N131" s="112">
        <v>3</v>
      </c>
      <c r="O131" s="93">
        <v>25200</v>
      </c>
      <c r="P131" s="93"/>
      <c r="Q131" s="93">
        <v>0</v>
      </c>
      <c r="R131" s="93"/>
      <c r="S131" s="93"/>
      <c r="T131" s="108"/>
      <c r="U131" s="99"/>
    </row>
    <row r="132" spans="1:21" ht="15.5" x14ac:dyDescent="0.35">
      <c r="A132" s="105"/>
      <c r="B132" s="94" t="s">
        <v>145</v>
      </c>
      <c r="C132" s="107" t="s">
        <v>108</v>
      </c>
      <c r="D132" s="93">
        <v>2</v>
      </c>
      <c r="E132" s="104">
        <v>22950</v>
      </c>
      <c r="F132" s="97">
        <f t="shared" si="6"/>
        <v>45900</v>
      </c>
      <c r="G132" s="95" t="s">
        <v>20</v>
      </c>
      <c r="H132" s="95" t="s">
        <v>21</v>
      </c>
      <c r="I132" s="95" t="s">
        <v>22</v>
      </c>
      <c r="J132" s="95"/>
      <c r="K132" s="95"/>
      <c r="L132" s="95"/>
      <c r="M132" s="95" t="s">
        <v>23</v>
      </c>
      <c r="N132" s="112">
        <v>2</v>
      </c>
      <c r="O132" s="93">
        <v>45900</v>
      </c>
      <c r="P132" s="93"/>
      <c r="Q132" s="93">
        <v>0</v>
      </c>
      <c r="R132" s="93"/>
      <c r="S132" s="93"/>
      <c r="T132" s="108"/>
      <c r="U132" s="99"/>
    </row>
    <row r="133" spans="1:21" ht="15.5" x14ac:dyDescent="0.35">
      <c r="A133" s="105"/>
      <c r="B133" s="94" t="s">
        <v>146</v>
      </c>
      <c r="C133" s="107" t="s">
        <v>108</v>
      </c>
      <c r="D133" s="93">
        <v>2</v>
      </c>
      <c r="E133" s="104">
        <v>4590</v>
      </c>
      <c r="F133" s="97">
        <f t="shared" si="6"/>
        <v>9180</v>
      </c>
      <c r="G133" s="95" t="s">
        <v>20</v>
      </c>
      <c r="H133" s="95" t="s">
        <v>21</v>
      </c>
      <c r="I133" s="95" t="s">
        <v>22</v>
      </c>
      <c r="J133" s="95"/>
      <c r="K133" s="95"/>
      <c r="L133" s="95"/>
      <c r="M133" s="95" t="s">
        <v>23</v>
      </c>
      <c r="N133" s="112">
        <v>2</v>
      </c>
      <c r="O133" s="93">
        <v>9180</v>
      </c>
      <c r="P133" s="93"/>
      <c r="Q133" s="93">
        <v>0</v>
      </c>
      <c r="R133" s="93"/>
      <c r="S133" s="93"/>
      <c r="T133" s="108"/>
      <c r="U133" s="99"/>
    </row>
    <row r="134" spans="1:21" ht="15.5" x14ac:dyDescent="0.35">
      <c r="A134" s="105"/>
      <c r="B134" s="94" t="s">
        <v>147</v>
      </c>
      <c r="C134" s="107" t="s">
        <v>108</v>
      </c>
      <c r="D134" s="93">
        <v>3</v>
      </c>
      <c r="E134" s="104">
        <v>2500</v>
      </c>
      <c r="F134" s="97">
        <f t="shared" si="6"/>
        <v>7500</v>
      </c>
      <c r="G134" s="95" t="s">
        <v>20</v>
      </c>
      <c r="H134" s="95" t="s">
        <v>21</v>
      </c>
      <c r="I134" s="95" t="s">
        <v>22</v>
      </c>
      <c r="J134" s="95"/>
      <c r="K134" s="95"/>
      <c r="L134" s="95"/>
      <c r="M134" s="95" t="s">
        <v>23</v>
      </c>
      <c r="N134" s="112">
        <v>3</v>
      </c>
      <c r="O134" s="93">
        <v>7500</v>
      </c>
      <c r="P134" s="93"/>
      <c r="Q134" s="93">
        <v>0</v>
      </c>
      <c r="R134" s="93"/>
      <c r="S134" s="93"/>
      <c r="T134" s="108"/>
      <c r="U134" s="99"/>
    </row>
    <row r="135" spans="1:21" ht="15.5" x14ac:dyDescent="0.35">
      <c r="A135" s="105"/>
      <c r="B135" s="94" t="s">
        <v>148</v>
      </c>
      <c r="C135" s="107" t="s">
        <v>108</v>
      </c>
      <c r="D135" s="93">
        <v>2</v>
      </c>
      <c r="E135" s="104">
        <v>17850</v>
      </c>
      <c r="F135" s="97">
        <f t="shared" si="6"/>
        <v>35700</v>
      </c>
      <c r="G135" s="95" t="s">
        <v>20</v>
      </c>
      <c r="H135" s="95" t="s">
        <v>21</v>
      </c>
      <c r="I135" s="95" t="s">
        <v>22</v>
      </c>
      <c r="J135" s="95"/>
      <c r="K135" s="95"/>
      <c r="L135" s="95"/>
      <c r="M135" s="95" t="s">
        <v>23</v>
      </c>
      <c r="N135" s="112">
        <v>2</v>
      </c>
      <c r="O135" s="93">
        <v>35700</v>
      </c>
      <c r="P135" s="93"/>
      <c r="Q135" s="93">
        <v>0</v>
      </c>
      <c r="R135" s="93"/>
      <c r="S135" s="93"/>
      <c r="T135" s="108"/>
      <c r="U135" s="99"/>
    </row>
    <row r="136" spans="1:21" ht="15.5" x14ac:dyDescent="0.35">
      <c r="A136" s="20"/>
      <c r="B136" s="19"/>
      <c r="C136" s="20"/>
      <c r="D136" s="8"/>
      <c r="E136" s="16"/>
      <c r="F136" s="18">
        <f>SUM(F89:F135)</f>
        <v>5526380</v>
      </c>
      <c r="G136" s="15"/>
      <c r="H136" s="15"/>
      <c r="I136" s="15"/>
      <c r="J136" s="15"/>
      <c r="K136" s="15"/>
      <c r="L136" s="15"/>
      <c r="M136" s="15" t="s">
        <v>23</v>
      </c>
      <c r="N136" s="8"/>
      <c r="O136" s="8"/>
      <c r="P136" s="8"/>
      <c r="Q136" s="8"/>
      <c r="R136" s="8"/>
      <c r="S136" s="8"/>
      <c r="T136" s="17"/>
      <c r="U136" s="12"/>
    </row>
    <row r="137" spans="1:21" ht="15.5" x14ac:dyDescent="0.35">
      <c r="A137" s="20"/>
      <c r="B137" s="19"/>
      <c r="C137" s="20"/>
      <c r="D137" s="8"/>
      <c r="E137" s="16"/>
      <c r="F137" s="16"/>
      <c r="G137" s="15"/>
      <c r="H137" s="15"/>
      <c r="I137" s="15"/>
      <c r="J137" s="15"/>
      <c r="K137" s="15"/>
      <c r="L137" s="15"/>
      <c r="M137" s="15"/>
      <c r="N137" s="8"/>
      <c r="O137" s="8"/>
      <c r="P137" s="8"/>
      <c r="Q137" s="8"/>
      <c r="R137" s="8"/>
      <c r="S137" s="8"/>
      <c r="T137" s="17"/>
      <c r="U137" s="12"/>
    </row>
    <row r="138" spans="1:21" ht="15.5" x14ac:dyDescent="0.35">
      <c r="A138" s="20"/>
      <c r="B138" s="19"/>
      <c r="C138" s="20"/>
      <c r="D138" s="20"/>
      <c r="E138" s="22"/>
      <c r="F138" s="22"/>
      <c r="G138" s="23"/>
      <c r="H138" s="23"/>
      <c r="I138" s="23"/>
      <c r="J138" s="15"/>
      <c r="K138" s="15"/>
      <c r="L138" s="15"/>
      <c r="M138" s="15"/>
      <c r="N138" s="8"/>
      <c r="O138" s="8"/>
      <c r="P138" s="8"/>
      <c r="Q138" s="8"/>
      <c r="R138" s="8"/>
      <c r="S138" s="8"/>
      <c r="T138" s="17"/>
      <c r="U138" s="12"/>
    </row>
    <row r="139" spans="1:21" x14ac:dyDescent="0.35">
      <c r="A139" s="8"/>
      <c r="B139" s="8"/>
      <c r="C139" s="8"/>
      <c r="D139" s="8"/>
      <c r="E139" s="16"/>
      <c r="F139" s="1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7"/>
      <c r="U139" s="12"/>
    </row>
    <row r="140" spans="1:21" x14ac:dyDescent="0.35">
      <c r="A140" s="8"/>
      <c r="B140" s="8"/>
      <c r="C140" s="8"/>
      <c r="D140" s="8"/>
      <c r="E140" s="16"/>
      <c r="F140" s="1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7"/>
      <c r="U140" s="12"/>
    </row>
    <row r="141" spans="1:21" x14ac:dyDescent="0.35">
      <c r="A141" s="39" t="s">
        <v>149</v>
      </c>
      <c r="B141" s="40"/>
      <c r="C141" s="24"/>
      <c r="D141" s="8"/>
      <c r="E141" s="16"/>
      <c r="F141" s="1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7"/>
      <c r="U141" s="12"/>
    </row>
    <row r="142" spans="1:21" x14ac:dyDescent="0.35">
      <c r="A142" s="9"/>
      <c r="B142" s="115" t="s">
        <v>150</v>
      </c>
      <c r="C142" s="93" t="s">
        <v>151</v>
      </c>
      <c r="D142" s="93">
        <v>1</v>
      </c>
      <c r="E142" s="97">
        <v>650000</v>
      </c>
      <c r="F142" s="97">
        <f t="shared" ref="F142:F147" si="7">D142*E142</f>
        <v>650000</v>
      </c>
      <c r="G142" s="93" t="s">
        <v>20</v>
      </c>
      <c r="H142" s="93" t="s">
        <v>21</v>
      </c>
      <c r="I142" s="93" t="s">
        <v>22</v>
      </c>
      <c r="J142" s="116"/>
      <c r="K142" s="116"/>
      <c r="L142" s="116"/>
      <c r="M142" s="116" t="s">
        <v>23</v>
      </c>
      <c r="N142" s="93">
        <v>1</v>
      </c>
      <c r="O142" s="99">
        <f t="shared" ref="O142:O147" si="8">D142*E142</f>
        <v>650000</v>
      </c>
      <c r="P142" s="93"/>
      <c r="Q142" s="93"/>
      <c r="R142" s="93"/>
      <c r="S142" s="93"/>
      <c r="T142" s="93"/>
      <c r="U142" s="99"/>
    </row>
    <row r="143" spans="1:21" x14ac:dyDescent="0.35">
      <c r="A143" s="9"/>
      <c r="B143" s="117" t="s">
        <v>152</v>
      </c>
      <c r="C143" s="93" t="s">
        <v>151</v>
      </c>
      <c r="D143" s="118">
        <v>3</v>
      </c>
      <c r="E143" s="97">
        <v>45000</v>
      </c>
      <c r="F143" s="97">
        <f t="shared" si="7"/>
        <v>135000</v>
      </c>
      <c r="G143" s="93" t="s">
        <v>20</v>
      </c>
      <c r="H143" s="93" t="s">
        <v>21</v>
      </c>
      <c r="I143" s="93" t="s">
        <v>22</v>
      </c>
      <c r="J143" s="93"/>
      <c r="K143" s="93"/>
      <c r="L143" s="93"/>
      <c r="M143" s="116" t="s">
        <v>23</v>
      </c>
      <c r="N143" s="93">
        <v>2</v>
      </c>
      <c r="O143" s="99">
        <f t="shared" si="8"/>
        <v>135000</v>
      </c>
      <c r="P143" s="93"/>
      <c r="Q143" s="93"/>
      <c r="R143" s="93"/>
      <c r="S143" s="93"/>
      <c r="T143" s="108"/>
      <c r="U143" s="99"/>
    </row>
    <row r="144" spans="1:21" x14ac:dyDescent="0.35">
      <c r="A144" s="9"/>
      <c r="B144" s="119" t="s">
        <v>153</v>
      </c>
      <c r="C144" s="93"/>
      <c r="D144" s="93">
        <v>1</v>
      </c>
      <c r="E144" s="97">
        <v>5000000</v>
      </c>
      <c r="F144" s="97">
        <f t="shared" si="7"/>
        <v>5000000</v>
      </c>
      <c r="G144" s="93" t="s">
        <v>20</v>
      </c>
      <c r="H144" s="93" t="s">
        <v>21</v>
      </c>
      <c r="I144" s="93" t="s">
        <v>22</v>
      </c>
      <c r="J144" s="93"/>
      <c r="K144" s="93"/>
      <c r="L144" s="93"/>
      <c r="M144" s="116"/>
      <c r="N144" s="93"/>
      <c r="O144" s="99"/>
      <c r="P144" s="93"/>
      <c r="Q144" s="93"/>
      <c r="R144" s="93"/>
      <c r="S144" s="93"/>
      <c r="T144" s="108"/>
      <c r="U144" s="99"/>
    </row>
    <row r="145" spans="1:23" x14ac:dyDescent="0.35">
      <c r="A145" s="9"/>
      <c r="B145" s="119" t="s">
        <v>154</v>
      </c>
      <c r="C145" s="93"/>
      <c r="D145" s="93">
        <v>1</v>
      </c>
      <c r="E145" s="97">
        <v>1000000</v>
      </c>
      <c r="F145" s="97">
        <f t="shared" si="7"/>
        <v>1000000</v>
      </c>
      <c r="G145" s="93" t="s">
        <v>20</v>
      </c>
      <c r="H145" s="93" t="s">
        <v>21</v>
      </c>
      <c r="I145" s="93" t="s">
        <v>22</v>
      </c>
      <c r="J145" s="93"/>
      <c r="K145" s="93"/>
      <c r="L145" s="93"/>
      <c r="M145" s="116"/>
      <c r="N145" s="93"/>
      <c r="O145" s="99"/>
      <c r="P145" s="93"/>
      <c r="Q145" s="93"/>
      <c r="R145" s="93"/>
      <c r="S145" s="93"/>
      <c r="T145" s="108"/>
      <c r="U145" s="99"/>
    </row>
    <row r="146" spans="1:23" x14ac:dyDescent="0.35">
      <c r="A146" s="9"/>
      <c r="B146" s="119" t="s">
        <v>155</v>
      </c>
      <c r="C146" s="93"/>
      <c r="D146" s="93">
        <v>1</v>
      </c>
      <c r="E146" s="97">
        <v>1000000</v>
      </c>
      <c r="F146" s="97">
        <f t="shared" si="7"/>
        <v>1000000</v>
      </c>
      <c r="G146" s="93" t="s">
        <v>20</v>
      </c>
      <c r="H146" s="93" t="s">
        <v>21</v>
      </c>
      <c r="I146" s="93">
        <v>1</v>
      </c>
      <c r="J146" s="93"/>
      <c r="K146" s="93"/>
      <c r="L146" s="93"/>
      <c r="M146" s="116"/>
      <c r="N146" s="93"/>
      <c r="O146" s="99"/>
      <c r="P146" s="93"/>
      <c r="Q146" s="93"/>
      <c r="R146" s="93"/>
      <c r="S146" s="93"/>
      <c r="T146" s="108"/>
      <c r="U146" s="99"/>
    </row>
    <row r="147" spans="1:23" x14ac:dyDescent="0.35">
      <c r="A147" s="9"/>
      <c r="B147" s="118" t="s">
        <v>156</v>
      </c>
      <c r="C147" s="93" t="s">
        <v>151</v>
      </c>
      <c r="D147" s="93">
        <v>10</v>
      </c>
      <c r="E147" s="97">
        <v>75000</v>
      </c>
      <c r="F147" s="97">
        <f t="shared" si="7"/>
        <v>750000</v>
      </c>
      <c r="G147" s="93" t="s">
        <v>20</v>
      </c>
      <c r="H147" s="93" t="s">
        <v>21</v>
      </c>
      <c r="I147" s="93" t="s">
        <v>22</v>
      </c>
      <c r="J147" s="93"/>
      <c r="K147" s="93"/>
      <c r="L147" s="93"/>
      <c r="M147" s="116" t="s">
        <v>23</v>
      </c>
      <c r="N147" s="93">
        <v>2</v>
      </c>
      <c r="O147" s="99">
        <f t="shared" si="8"/>
        <v>750000</v>
      </c>
      <c r="P147" s="93"/>
      <c r="Q147" s="93"/>
      <c r="R147" s="93"/>
      <c r="S147" s="93"/>
      <c r="T147" s="108"/>
      <c r="U147" s="99"/>
    </row>
    <row r="148" spans="1:23" ht="15.5" x14ac:dyDescent="0.35">
      <c r="A148" s="9"/>
      <c r="B148" s="9"/>
      <c r="C148" s="8"/>
      <c r="D148" s="8"/>
      <c r="E148" s="16"/>
      <c r="F148" s="18">
        <f>SUM(F142:F147)</f>
        <v>8535000</v>
      </c>
      <c r="G148" s="8"/>
      <c r="H148" s="8"/>
      <c r="I148" s="8"/>
      <c r="J148" s="8"/>
      <c r="K148" s="8"/>
      <c r="L148" s="8"/>
      <c r="M148" s="7"/>
      <c r="N148" s="8"/>
      <c r="O148" s="12"/>
      <c r="P148" s="8"/>
      <c r="Q148" s="8"/>
      <c r="R148" s="8"/>
      <c r="S148" s="8"/>
      <c r="T148" s="17"/>
      <c r="U148" s="12"/>
    </row>
    <row r="150" spans="1:23" ht="15.5" x14ac:dyDescent="0.35">
      <c r="A150" s="39" t="s">
        <v>157</v>
      </c>
      <c r="B150" s="40"/>
      <c r="C150" s="9"/>
      <c r="D150" s="3"/>
      <c r="E150" s="16"/>
      <c r="F150" s="1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3"/>
      <c r="U150" s="12"/>
    </row>
    <row r="151" spans="1:23" ht="54" x14ac:dyDescent="0.35">
      <c r="A151" s="93"/>
      <c r="B151" s="120" t="s">
        <v>158</v>
      </c>
      <c r="C151" s="93" t="s">
        <v>159</v>
      </c>
      <c r="D151" s="93">
        <v>72</v>
      </c>
      <c r="E151" s="97">
        <v>35000</v>
      </c>
      <c r="F151" s="97">
        <f>D151*E151</f>
        <v>2520000</v>
      </c>
      <c r="G151" s="121" t="s">
        <v>20</v>
      </c>
      <c r="H151" s="93" t="s">
        <v>21</v>
      </c>
      <c r="I151" s="93" t="s">
        <v>22</v>
      </c>
      <c r="J151" s="93"/>
      <c r="K151" s="93"/>
      <c r="L151" s="93"/>
      <c r="M151" s="98" t="s">
        <v>23</v>
      </c>
      <c r="N151" s="93">
        <v>24</v>
      </c>
      <c r="O151" s="99">
        <f>D151*E151</f>
        <v>2520000</v>
      </c>
      <c r="P151" s="93"/>
      <c r="Q151" s="93"/>
      <c r="R151" s="93"/>
      <c r="S151" s="93"/>
      <c r="T151" s="93"/>
      <c r="U151" s="99"/>
    </row>
    <row r="152" spans="1:23" ht="40.5" x14ac:dyDescent="0.35">
      <c r="A152" s="93"/>
      <c r="B152" s="122" t="s">
        <v>160</v>
      </c>
      <c r="C152" s="93" t="s">
        <v>159</v>
      </c>
      <c r="D152" s="93">
        <v>72</v>
      </c>
      <c r="E152" s="97">
        <v>35000</v>
      </c>
      <c r="F152" s="97">
        <f>D152*E152</f>
        <v>2520000</v>
      </c>
      <c r="G152" s="121"/>
      <c r="H152" s="93"/>
      <c r="I152" s="93"/>
      <c r="J152" s="93"/>
      <c r="K152" s="93"/>
      <c r="L152" s="93"/>
      <c r="M152" s="98"/>
      <c r="N152" s="93"/>
      <c r="O152" s="99">
        <f>D152*E152</f>
        <v>2520000</v>
      </c>
      <c r="P152" s="93"/>
      <c r="Q152" s="93"/>
      <c r="R152" s="93"/>
      <c r="S152" s="93"/>
      <c r="T152" s="93"/>
      <c r="U152" s="99"/>
    </row>
    <row r="153" spans="1:23" ht="54" x14ac:dyDescent="0.35">
      <c r="A153" s="93"/>
      <c r="B153" s="123" t="s">
        <v>161</v>
      </c>
      <c r="C153" s="93" t="s">
        <v>159</v>
      </c>
      <c r="D153" s="93">
        <v>10</v>
      </c>
      <c r="E153" s="97">
        <v>35000</v>
      </c>
      <c r="F153" s="97">
        <f t="shared" ref="F153" si="9">D153*E153</f>
        <v>350000</v>
      </c>
      <c r="G153" s="121" t="s">
        <v>20</v>
      </c>
      <c r="H153" s="93" t="s">
        <v>21</v>
      </c>
      <c r="I153" s="93" t="s">
        <v>22</v>
      </c>
      <c r="J153" s="93"/>
      <c r="K153" s="93"/>
      <c r="L153" s="93"/>
      <c r="M153" s="98"/>
      <c r="N153" s="93"/>
      <c r="O153" s="93"/>
      <c r="P153" s="93"/>
      <c r="Q153" s="99">
        <v>875000</v>
      </c>
      <c r="R153" s="93"/>
      <c r="S153" s="93">
        <v>875000</v>
      </c>
      <c r="T153" s="93"/>
      <c r="U153" s="99"/>
    </row>
    <row r="154" spans="1:23" ht="15.5" x14ac:dyDescent="0.35">
      <c r="A154" s="93"/>
      <c r="B154" s="124"/>
      <c r="C154" s="93"/>
      <c r="D154" s="93"/>
      <c r="E154" s="97"/>
      <c r="F154" s="125">
        <f>SUM(F151:F153)</f>
        <v>5390000</v>
      </c>
      <c r="G154" s="121"/>
      <c r="H154" s="93"/>
      <c r="I154" s="93"/>
      <c r="J154" s="93"/>
      <c r="K154" s="93"/>
      <c r="L154" s="93"/>
      <c r="M154" s="98" t="s">
        <v>23</v>
      </c>
      <c r="N154" s="93">
        <v>6</v>
      </c>
      <c r="O154" s="93">
        <v>6690000</v>
      </c>
      <c r="P154" s="93">
        <v>3</v>
      </c>
      <c r="Q154" s="126">
        <v>18400000</v>
      </c>
      <c r="R154" s="93">
        <v>3</v>
      </c>
      <c r="S154" s="93">
        <v>1400000</v>
      </c>
      <c r="T154" s="93"/>
      <c r="U154" s="99"/>
    </row>
    <row r="155" spans="1:23" x14ac:dyDescent="0.3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</row>
    <row r="156" spans="1:23" x14ac:dyDescent="0.35">
      <c r="A156" s="39" t="s">
        <v>162</v>
      </c>
      <c r="B156" s="40"/>
      <c r="C156" s="1"/>
      <c r="D156" s="8"/>
      <c r="E156" s="16"/>
      <c r="F156" s="1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2"/>
    </row>
    <row r="157" spans="1:23" ht="15.5" x14ac:dyDescent="0.35">
      <c r="A157" s="121"/>
      <c r="B157" s="128" t="s">
        <v>163</v>
      </c>
      <c r="C157" s="129" t="s">
        <v>164</v>
      </c>
      <c r="D157" s="129"/>
      <c r="E157" s="130"/>
      <c r="F157" s="131">
        <v>1000000</v>
      </c>
      <c r="G157" s="93" t="s">
        <v>20</v>
      </c>
      <c r="H157" s="93" t="s">
        <v>21</v>
      </c>
      <c r="I157" s="93" t="s">
        <v>22</v>
      </c>
      <c r="J157" s="93"/>
      <c r="K157" s="93"/>
      <c r="L157" s="93"/>
      <c r="M157" s="98" t="s">
        <v>23</v>
      </c>
      <c r="N157" s="93"/>
      <c r="O157" s="93">
        <v>1250000</v>
      </c>
      <c r="P157" s="93"/>
      <c r="Q157" s="93">
        <v>1250000</v>
      </c>
      <c r="R157" s="93"/>
      <c r="S157" s="93">
        <v>1250000</v>
      </c>
      <c r="T157" s="93"/>
      <c r="U157" s="99">
        <v>1250000</v>
      </c>
      <c r="V157" s="30"/>
      <c r="W157" s="30"/>
    </row>
    <row r="160" spans="1:23" x14ac:dyDescent="0.35">
      <c r="A160" s="39" t="s">
        <v>165</v>
      </c>
      <c r="B160" s="40"/>
      <c r="C160" s="8"/>
      <c r="D160" s="8"/>
      <c r="E160" s="16"/>
      <c r="F160" s="1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2"/>
    </row>
    <row r="161" spans="1:21" ht="15.5" x14ac:dyDescent="0.35">
      <c r="A161" s="8"/>
      <c r="B161" s="132" t="s">
        <v>166</v>
      </c>
      <c r="C161" s="93" t="s">
        <v>151</v>
      </c>
      <c r="D161" s="93">
        <v>8</v>
      </c>
      <c r="E161" s="130">
        <v>280000</v>
      </c>
      <c r="F161" s="97">
        <f>D161*E161</f>
        <v>2240000</v>
      </c>
      <c r="G161" s="95" t="s">
        <v>20</v>
      </c>
      <c r="H161" s="95" t="s">
        <v>21</v>
      </c>
      <c r="I161" s="95" t="s">
        <v>22</v>
      </c>
      <c r="J161" s="116" t="s">
        <v>23</v>
      </c>
      <c r="K161" s="116" t="s">
        <v>23</v>
      </c>
      <c r="L161" s="116" t="s">
        <v>23</v>
      </c>
      <c r="M161" s="93"/>
      <c r="N161" s="93">
        <v>16</v>
      </c>
      <c r="O161" s="93">
        <f>D161*E161</f>
        <v>2240000</v>
      </c>
      <c r="P161" s="93"/>
      <c r="Q161" s="93"/>
      <c r="R161" s="93"/>
      <c r="S161" s="93"/>
      <c r="T161" s="93"/>
      <c r="U161" s="99"/>
    </row>
    <row r="162" spans="1:21" ht="15.5" x14ac:dyDescent="0.35">
      <c r="A162" s="8"/>
      <c r="B162" s="129" t="s">
        <v>167</v>
      </c>
      <c r="C162" s="93" t="s">
        <v>151</v>
      </c>
      <c r="D162" s="93">
        <v>3</v>
      </c>
      <c r="E162" s="130">
        <v>200000</v>
      </c>
      <c r="F162" s="97">
        <f t="shared" ref="F162:F169" si="10">D162*E162</f>
        <v>600000</v>
      </c>
      <c r="G162" s="95" t="s">
        <v>20</v>
      </c>
      <c r="H162" s="95" t="s">
        <v>21</v>
      </c>
      <c r="I162" s="95" t="s">
        <v>22</v>
      </c>
      <c r="J162" s="116" t="s">
        <v>23</v>
      </c>
      <c r="K162" s="116" t="s">
        <v>23</v>
      </c>
      <c r="L162" s="116" t="s">
        <v>23</v>
      </c>
      <c r="M162" s="93"/>
      <c r="N162" s="93">
        <v>6</v>
      </c>
      <c r="O162" s="93">
        <f t="shared" ref="O162" si="11">D162*E162</f>
        <v>600000</v>
      </c>
      <c r="P162" s="93"/>
      <c r="Q162" s="93"/>
      <c r="R162" s="93"/>
      <c r="S162" s="93"/>
      <c r="T162" s="93"/>
      <c r="U162" s="99"/>
    </row>
    <row r="163" spans="1:21" s="30" customFormat="1" ht="15.5" x14ac:dyDescent="0.35">
      <c r="A163" s="9"/>
      <c r="B163" s="129" t="s">
        <v>168</v>
      </c>
      <c r="C163" s="93" t="s">
        <v>151</v>
      </c>
      <c r="D163" s="93">
        <v>1</v>
      </c>
      <c r="E163" s="97">
        <v>280000</v>
      </c>
      <c r="F163" s="97">
        <f t="shared" si="10"/>
        <v>280000</v>
      </c>
      <c r="G163" s="95" t="s">
        <v>20</v>
      </c>
      <c r="H163" s="95" t="s">
        <v>21</v>
      </c>
      <c r="I163" s="95" t="s">
        <v>22</v>
      </c>
      <c r="J163" s="116" t="s">
        <v>23</v>
      </c>
      <c r="K163" s="116" t="s">
        <v>23</v>
      </c>
      <c r="L163" s="116" t="s">
        <v>23</v>
      </c>
      <c r="M163" s="93"/>
      <c r="N163" s="93">
        <v>1</v>
      </c>
      <c r="O163" s="93">
        <v>280000</v>
      </c>
      <c r="P163" s="93"/>
      <c r="Q163" s="93"/>
      <c r="R163" s="93"/>
      <c r="S163" s="93"/>
      <c r="T163" s="93"/>
      <c r="U163" s="99"/>
    </row>
    <row r="164" spans="1:21" s="30" customFormat="1" ht="15.5" x14ac:dyDescent="0.35">
      <c r="A164" s="9"/>
      <c r="B164" s="129" t="s">
        <v>169</v>
      </c>
      <c r="C164" s="93" t="s">
        <v>151</v>
      </c>
      <c r="D164" s="93">
        <v>1</v>
      </c>
      <c r="E164" s="97">
        <v>120000</v>
      </c>
      <c r="F164" s="97">
        <f t="shared" si="10"/>
        <v>120000</v>
      </c>
      <c r="G164" s="95" t="s">
        <v>20</v>
      </c>
      <c r="H164" s="95" t="s">
        <v>21</v>
      </c>
      <c r="I164" s="95" t="s">
        <v>22</v>
      </c>
      <c r="J164" s="116" t="s">
        <v>23</v>
      </c>
      <c r="K164" s="116" t="s">
        <v>23</v>
      </c>
      <c r="L164" s="116" t="s">
        <v>23</v>
      </c>
      <c r="M164" s="93"/>
      <c r="N164" s="93"/>
      <c r="O164" s="93"/>
      <c r="P164" s="93"/>
      <c r="Q164" s="93"/>
      <c r="R164" s="93"/>
      <c r="S164" s="93"/>
      <c r="T164" s="93"/>
      <c r="U164" s="99"/>
    </row>
    <row r="165" spans="1:21" s="30" customFormat="1" ht="15.5" x14ac:dyDescent="0.35">
      <c r="A165" s="9"/>
      <c r="B165" s="133" t="s">
        <v>170</v>
      </c>
      <c r="C165" s="93" t="s">
        <v>151</v>
      </c>
      <c r="D165" s="93">
        <v>1</v>
      </c>
      <c r="E165" s="97">
        <v>420000</v>
      </c>
      <c r="F165" s="97">
        <f t="shared" si="10"/>
        <v>420000</v>
      </c>
      <c r="G165" s="95" t="s">
        <v>20</v>
      </c>
      <c r="H165" s="95" t="s">
        <v>21</v>
      </c>
      <c r="I165" s="95" t="s">
        <v>22</v>
      </c>
      <c r="J165" s="116" t="s">
        <v>23</v>
      </c>
      <c r="K165" s="116" t="s">
        <v>23</v>
      </c>
      <c r="L165" s="116" t="s">
        <v>23</v>
      </c>
      <c r="M165" s="93"/>
      <c r="N165" s="93"/>
      <c r="O165" s="93"/>
      <c r="P165" s="93"/>
      <c r="Q165" s="93"/>
      <c r="R165" s="93"/>
      <c r="S165" s="93"/>
      <c r="T165" s="93"/>
      <c r="U165" s="99"/>
    </row>
    <row r="166" spans="1:21" s="30" customFormat="1" x14ac:dyDescent="0.35">
      <c r="A166" s="9"/>
      <c r="B166" s="118" t="s">
        <v>171</v>
      </c>
      <c r="C166" s="93" t="s">
        <v>151</v>
      </c>
      <c r="D166" s="93">
        <v>5</v>
      </c>
      <c r="E166" s="97">
        <v>26000</v>
      </c>
      <c r="F166" s="97">
        <f t="shared" si="10"/>
        <v>130000</v>
      </c>
      <c r="G166" s="95" t="s">
        <v>20</v>
      </c>
      <c r="H166" s="95" t="s">
        <v>21</v>
      </c>
      <c r="I166" s="95" t="s">
        <v>22</v>
      </c>
      <c r="J166" s="98" t="s">
        <v>23</v>
      </c>
      <c r="K166" s="98" t="s">
        <v>23</v>
      </c>
      <c r="L166" s="98" t="s">
        <v>23</v>
      </c>
      <c r="M166" s="93"/>
      <c r="N166" s="93">
        <v>5</v>
      </c>
      <c r="O166" s="93">
        <v>130000</v>
      </c>
      <c r="P166" s="93"/>
      <c r="Q166" s="93"/>
      <c r="R166" s="93"/>
      <c r="S166" s="93"/>
      <c r="T166" s="93"/>
      <c r="U166" s="99"/>
    </row>
    <row r="167" spans="1:21" s="30" customFormat="1" x14ac:dyDescent="0.35">
      <c r="A167" s="9"/>
      <c r="B167" s="118" t="s">
        <v>172</v>
      </c>
      <c r="C167" s="93" t="s">
        <v>173</v>
      </c>
      <c r="D167" s="93">
        <v>4</v>
      </c>
      <c r="E167" s="97">
        <v>50000</v>
      </c>
      <c r="F167" s="97">
        <f t="shared" si="10"/>
        <v>200000</v>
      </c>
      <c r="G167" s="95" t="s">
        <v>20</v>
      </c>
      <c r="H167" s="95" t="s">
        <v>21</v>
      </c>
      <c r="I167" s="95" t="s">
        <v>22</v>
      </c>
      <c r="J167" s="98" t="s">
        <v>23</v>
      </c>
      <c r="K167" s="98" t="s">
        <v>23</v>
      </c>
      <c r="L167" s="98" t="s">
        <v>23</v>
      </c>
      <c r="M167" s="93"/>
      <c r="N167" s="93">
        <v>10</v>
      </c>
      <c r="O167" s="93">
        <v>500000</v>
      </c>
      <c r="P167" s="93"/>
      <c r="Q167" s="93"/>
      <c r="R167" s="93"/>
      <c r="S167" s="93"/>
      <c r="T167" s="93"/>
      <c r="U167" s="99"/>
    </row>
    <row r="168" spans="1:21" s="30" customFormat="1" x14ac:dyDescent="0.35">
      <c r="A168" s="9"/>
      <c r="B168" s="118" t="s">
        <v>174</v>
      </c>
      <c r="C168" s="93" t="s">
        <v>173</v>
      </c>
      <c r="D168" s="93">
        <v>1</v>
      </c>
      <c r="E168" s="97">
        <v>50000</v>
      </c>
      <c r="F168" s="97">
        <f t="shared" si="10"/>
        <v>50000</v>
      </c>
      <c r="G168" s="95" t="s">
        <v>20</v>
      </c>
      <c r="H168" s="95" t="s">
        <v>21</v>
      </c>
      <c r="I168" s="95" t="s">
        <v>22</v>
      </c>
      <c r="J168" s="98" t="s">
        <v>23</v>
      </c>
      <c r="K168" s="98" t="s">
        <v>23</v>
      </c>
      <c r="L168" s="98" t="s">
        <v>23</v>
      </c>
      <c r="M168" s="93"/>
      <c r="N168" s="93">
        <v>1</v>
      </c>
      <c r="O168" s="93">
        <v>50000</v>
      </c>
      <c r="P168" s="93"/>
      <c r="Q168" s="93"/>
      <c r="R168" s="93"/>
      <c r="S168" s="93"/>
      <c r="T168" s="93"/>
      <c r="U168" s="99"/>
    </row>
    <row r="169" spans="1:21" s="30" customFormat="1" x14ac:dyDescent="0.35">
      <c r="A169" s="9"/>
      <c r="B169" s="118" t="s">
        <v>175</v>
      </c>
      <c r="C169" s="93" t="s">
        <v>173</v>
      </c>
      <c r="D169" s="93">
        <v>2</v>
      </c>
      <c r="E169" s="97">
        <v>131858</v>
      </c>
      <c r="F169" s="97">
        <f t="shared" si="10"/>
        <v>263716</v>
      </c>
      <c r="G169" s="95" t="s">
        <v>20</v>
      </c>
      <c r="H169" s="95" t="s">
        <v>21</v>
      </c>
      <c r="I169" s="95" t="s">
        <v>22</v>
      </c>
      <c r="J169" s="98" t="s">
        <v>23</v>
      </c>
      <c r="K169" s="98" t="s">
        <v>23</v>
      </c>
      <c r="L169" s="98" t="s">
        <v>23</v>
      </c>
      <c r="M169" s="93"/>
      <c r="N169" s="93">
        <v>2</v>
      </c>
      <c r="O169" s="93">
        <v>263716</v>
      </c>
      <c r="P169" s="93"/>
      <c r="Q169" s="93"/>
      <c r="R169" s="93"/>
      <c r="S169" s="93"/>
      <c r="T169" s="93"/>
      <c r="U169" s="99"/>
    </row>
    <row r="170" spans="1:21" ht="15.5" x14ac:dyDescent="0.35">
      <c r="B170" s="127"/>
      <c r="C170" s="127"/>
      <c r="D170" s="127"/>
      <c r="E170" s="127"/>
      <c r="F170" s="134">
        <f>SUM(F161:F169)</f>
        <v>4303716</v>
      </c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</row>
    <row r="172" spans="1:21" s="30" customFormat="1" x14ac:dyDescent="0.35">
      <c r="A172" s="37" t="s">
        <v>176</v>
      </c>
      <c r="B172" s="38"/>
      <c r="C172" s="9"/>
      <c r="D172" s="9"/>
      <c r="E172" s="9"/>
      <c r="F172" s="2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8"/>
    </row>
    <row r="173" spans="1:21" s="30" customFormat="1" x14ac:dyDescent="0.35">
      <c r="A173" s="100"/>
      <c r="B173" s="118" t="s">
        <v>177</v>
      </c>
      <c r="C173" s="93" t="s">
        <v>151</v>
      </c>
      <c r="D173" s="93">
        <v>20</v>
      </c>
      <c r="E173" s="93">
        <v>2000</v>
      </c>
      <c r="F173" s="97">
        <f>D173*E173</f>
        <v>40000</v>
      </c>
      <c r="G173" s="93" t="s">
        <v>20</v>
      </c>
      <c r="H173" s="93" t="s">
        <v>21</v>
      </c>
      <c r="I173" s="93" t="s">
        <v>22</v>
      </c>
      <c r="J173" s="116" t="s">
        <v>23</v>
      </c>
      <c r="K173" s="98" t="s">
        <v>23</v>
      </c>
      <c r="L173" s="98" t="s">
        <v>23</v>
      </c>
      <c r="M173" s="93"/>
      <c r="N173" s="93">
        <v>20</v>
      </c>
      <c r="O173" s="93">
        <f>D173*E173</f>
        <v>40000</v>
      </c>
      <c r="P173" s="93"/>
      <c r="Q173" s="93"/>
      <c r="R173" s="93"/>
      <c r="S173" s="93"/>
      <c r="T173" s="93"/>
      <c r="U173" s="99"/>
    </row>
    <row r="174" spans="1:21" s="30" customFormat="1" x14ac:dyDescent="0.35">
      <c r="A174" s="93"/>
      <c r="B174" s="118" t="s">
        <v>178</v>
      </c>
      <c r="C174" s="93" t="s">
        <v>151</v>
      </c>
      <c r="D174" s="93">
        <v>2</v>
      </c>
      <c r="E174" s="93">
        <v>10000</v>
      </c>
      <c r="F174" s="97">
        <f t="shared" ref="F174:F188" si="12">D174*E174</f>
        <v>20000</v>
      </c>
      <c r="G174" s="93" t="s">
        <v>20</v>
      </c>
      <c r="H174" s="93" t="s">
        <v>21</v>
      </c>
      <c r="I174" s="93" t="s">
        <v>22</v>
      </c>
      <c r="J174" s="116" t="s">
        <v>23</v>
      </c>
      <c r="K174" s="98" t="s">
        <v>23</v>
      </c>
      <c r="L174" s="98" t="s">
        <v>23</v>
      </c>
      <c r="M174" s="93"/>
      <c r="N174" s="93">
        <v>5</v>
      </c>
      <c r="O174" s="93">
        <f t="shared" ref="O174:O189" si="13">D174*E174</f>
        <v>20000</v>
      </c>
      <c r="P174" s="93"/>
      <c r="Q174" s="93"/>
      <c r="R174" s="93"/>
      <c r="S174" s="93"/>
      <c r="T174" s="93"/>
      <c r="U174" s="99"/>
    </row>
    <row r="175" spans="1:21" s="30" customFormat="1" x14ac:dyDescent="0.35">
      <c r="A175" s="93"/>
      <c r="B175" s="123" t="s">
        <v>179</v>
      </c>
      <c r="C175" s="93" t="s">
        <v>94</v>
      </c>
      <c r="D175" s="123">
        <v>4</v>
      </c>
      <c r="E175" s="123">
        <v>2500</v>
      </c>
      <c r="F175" s="97">
        <f t="shared" si="12"/>
        <v>10000</v>
      </c>
      <c r="G175" s="93" t="s">
        <v>20</v>
      </c>
      <c r="H175" s="93" t="s">
        <v>21</v>
      </c>
      <c r="I175" s="93" t="s">
        <v>22</v>
      </c>
      <c r="J175" s="116" t="s">
        <v>23</v>
      </c>
      <c r="K175" s="98" t="s">
        <v>23</v>
      </c>
      <c r="L175" s="98" t="s">
        <v>23</v>
      </c>
      <c r="M175" s="93"/>
      <c r="N175" s="135">
        <v>4</v>
      </c>
      <c r="O175" s="93">
        <f t="shared" si="13"/>
        <v>10000</v>
      </c>
      <c r="P175" s="93"/>
      <c r="Q175" s="93"/>
      <c r="R175" s="93"/>
      <c r="S175" s="93"/>
      <c r="T175" s="93"/>
      <c r="U175" s="99"/>
    </row>
    <row r="176" spans="1:21" s="30" customFormat="1" x14ac:dyDescent="0.35">
      <c r="A176" s="93"/>
      <c r="B176" s="123" t="s">
        <v>180</v>
      </c>
      <c r="C176" s="93" t="s">
        <v>94</v>
      </c>
      <c r="D176" s="123">
        <v>1</v>
      </c>
      <c r="E176" s="123">
        <v>140</v>
      </c>
      <c r="F176" s="97">
        <f t="shared" si="12"/>
        <v>140</v>
      </c>
      <c r="G176" s="93" t="s">
        <v>20</v>
      </c>
      <c r="H176" s="93" t="s">
        <v>21</v>
      </c>
      <c r="I176" s="93" t="s">
        <v>22</v>
      </c>
      <c r="J176" s="116" t="s">
        <v>23</v>
      </c>
      <c r="K176" s="98" t="s">
        <v>23</v>
      </c>
      <c r="L176" s="98" t="s">
        <v>23</v>
      </c>
      <c r="M176" s="93"/>
      <c r="N176" s="135">
        <v>1</v>
      </c>
      <c r="O176" s="93">
        <f t="shared" si="13"/>
        <v>140</v>
      </c>
      <c r="P176" s="93"/>
      <c r="Q176" s="93"/>
      <c r="R176" s="93"/>
      <c r="S176" s="93"/>
      <c r="T176" s="93"/>
      <c r="U176" s="99"/>
    </row>
    <row r="177" spans="1:21" s="30" customFormat="1" x14ac:dyDescent="0.35">
      <c r="A177" s="93"/>
      <c r="B177" s="123" t="s">
        <v>181</v>
      </c>
      <c r="C177" s="93" t="s">
        <v>151</v>
      </c>
      <c r="D177" s="123">
        <v>5</v>
      </c>
      <c r="E177" s="123">
        <v>1200</v>
      </c>
      <c r="F177" s="97">
        <f t="shared" si="12"/>
        <v>6000</v>
      </c>
      <c r="G177" s="93" t="s">
        <v>20</v>
      </c>
      <c r="H177" s="93" t="s">
        <v>21</v>
      </c>
      <c r="I177" s="93" t="s">
        <v>22</v>
      </c>
      <c r="J177" s="116" t="s">
        <v>23</v>
      </c>
      <c r="K177" s="98" t="s">
        <v>23</v>
      </c>
      <c r="L177" s="98" t="s">
        <v>23</v>
      </c>
      <c r="M177" s="93"/>
      <c r="N177" s="135">
        <v>5</v>
      </c>
      <c r="O177" s="93">
        <f t="shared" si="13"/>
        <v>6000</v>
      </c>
      <c r="P177" s="93"/>
      <c r="Q177" s="93"/>
      <c r="R177" s="93"/>
      <c r="S177" s="93"/>
      <c r="T177" s="93"/>
      <c r="U177" s="99"/>
    </row>
    <row r="178" spans="1:21" s="30" customFormat="1" x14ac:dyDescent="0.35">
      <c r="A178" s="93"/>
      <c r="B178" s="123" t="s">
        <v>182</v>
      </c>
      <c r="C178" s="93" t="s">
        <v>94</v>
      </c>
      <c r="D178" s="123">
        <v>5</v>
      </c>
      <c r="E178" s="123">
        <v>1200</v>
      </c>
      <c r="F178" s="97">
        <f t="shared" si="12"/>
        <v>6000</v>
      </c>
      <c r="G178" s="93" t="s">
        <v>20</v>
      </c>
      <c r="H178" s="93" t="s">
        <v>21</v>
      </c>
      <c r="I178" s="93" t="s">
        <v>22</v>
      </c>
      <c r="J178" s="116" t="s">
        <v>23</v>
      </c>
      <c r="K178" s="98" t="s">
        <v>23</v>
      </c>
      <c r="L178" s="98" t="s">
        <v>23</v>
      </c>
      <c r="M178" s="93"/>
      <c r="N178" s="135">
        <v>5</v>
      </c>
      <c r="O178" s="93">
        <f t="shared" si="13"/>
        <v>6000</v>
      </c>
      <c r="P178" s="93"/>
      <c r="Q178" s="93"/>
      <c r="R178" s="93"/>
      <c r="S178" s="93"/>
      <c r="T178" s="93"/>
      <c r="U178" s="99"/>
    </row>
    <row r="179" spans="1:21" s="30" customFormat="1" x14ac:dyDescent="0.35">
      <c r="A179" s="93"/>
      <c r="B179" s="123" t="s">
        <v>183</v>
      </c>
      <c r="C179" s="93" t="s">
        <v>94</v>
      </c>
      <c r="D179" s="123">
        <v>1</v>
      </c>
      <c r="E179" s="123">
        <v>960</v>
      </c>
      <c r="F179" s="97">
        <f t="shared" si="12"/>
        <v>960</v>
      </c>
      <c r="G179" s="93" t="s">
        <v>20</v>
      </c>
      <c r="H179" s="93" t="s">
        <v>21</v>
      </c>
      <c r="I179" s="93" t="s">
        <v>22</v>
      </c>
      <c r="J179" s="116" t="s">
        <v>23</v>
      </c>
      <c r="K179" s="98" t="s">
        <v>23</v>
      </c>
      <c r="L179" s="98" t="s">
        <v>23</v>
      </c>
      <c r="M179" s="93"/>
      <c r="N179" s="135">
        <v>1</v>
      </c>
      <c r="O179" s="93">
        <f t="shared" si="13"/>
        <v>960</v>
      </c>
      <c r="P179" s="93"/>
      <c r="Q179" s="93"/>
      <c r="R179" s="93"/>
      <c r="S179" s="93"/>
      <c r="T179" s="93"/>
      <c r="U179" s="99"/>
    </row>
    <row r="180" spans="1:21" s="30" customFormat="1" x14ac:dyDescent="0.35">
      <c r="A180" s="93"/>
      <c r="B180" s="123" t="s">
        <v>184</v>
      </c>
      <c r="C180" s="93" t="s">
        <v>94</v>
      </c>
      <c r="D180" s="123">
        <v>5</v>
      </c>
      <c r="E180" s="123">
        <v>380</v>
      </c>
      <c r="F180" s="97">
        <f t="shared" si="12"/>
        <v>1900</v>
      </c>
      <c r="G180" s="93" t="s">
        <v>20</v>
      </c>
      <c r="H180" s="93" t="s">
        <v>21</v>
      </c>
      <c r="I180" s="93" t="s">
        <v>22</v>
      </c>
      <c r="J180" s="116" t="s">
        <v>23</v>
      </c>
      <c r="K180" s="98" t="s">
        <v>23</v>
      </c>
      <c r="L180" s="98" t="s">
        <v>23</v>
      </c>
      <c r="M180" s="93"/>
      <c r="N180" s="135">
        <v>5</v>
      </c>
      <c r="O180" s="93">
        <f t="shared" si="13"/>
        <v>1900</v>
      </c>
      <c r="P180" s="93"/>
      <c r="Q180" s="93"/>
      <c r="R180" s="93"/>
      <c r="S180" s="93"/>
      <c r="T180" s="93"/>
      <c r="U180" s="99"/>
    </row>
    <row r="181" spans="1:21" s="30" customFormat="1" x14ac:dyDescent="0.35">
      <c r="A181" s="93"/>
      <c r="B181" s="123" t="s">
        <v>185</v>
      </c>
      <c r="C181" s="93" t="s">
        <v>186</v>
      </c>
      <c r="D181" s="123">
        <v>30</v>
      </c>
      <c r="E181" s="123">
        <v>380</v>
      </c>
      <c r="F181" s="97">
        <f t="shared" si="12"/>
        <v>11400</v>
      </c>
      <c r="G181" s="93" t="s">
        <v>20</v>
      </c>
      <c r="H181" s="93" t="s">
        <v>21</v>
      </c>
      <c r="I181" s="93" t="s">
        <v>22</v>
      </c>
      <c r="J181" s="116" t="s">
        <v>23</v>
      </c>
      <c r="K181" s="98" t="s">
        <v>23</v>
      </c>
      <c r="L181" s="98" t="s">
        <v>23</v>
      </c>
      <c r="M181" s="93"/>
      <c r="N181" s="135">
        <v>30</v>
      </c>
      <c r="O181" s="93">
        <f t="shared" si="13"/>
        <v>11400</v>
      </c>
      <c r="P181" s="93"/>
      <c r="Q181" s="93"/>
      <c r="R181" s="93"/>
      <c r="S181" s="93"/>
      <c r="T181" s="93"/>
      <c r="U181" s="99"/>
    </row>
    <row r="182" spans="1:21" s="30" customFormat="1" x14ac:dyDescent="0.35">
      <c r="A182" s="93"/>
      <c r="B182" s="123" t="s">
        <v>187</v>
      </c>
      <c r="C182" s="93" t="s">
        <v>186</v>
      </c>
      <c r="D182" s="123">
        <v>30</v>
      </c>
      <c r="E182" s="123">
        <v>95</v>
      </c>
      <c r="F182" s="97">
        <f t="shared" si="12"/>
        <v>2850</v>
      </c>
      <c r="G182" s="93" t="s">
        <v>20</v>
      </c>
      <c r="H182" s="93" t="s">
        <v>21</v>
      </c>
      <c r="I182" s="93" t="s">
        <v>22</v>
      </c>
      <c r="J182" s="116" t="s">
        <v>23</v>
      </c>
      <c r="K182" s="98" t="s">
        <v>23</v>
      </c>
      <c r="L182" s="98" t="s">
        <v>23</v>
      </c>
      <c r="M182" s="93"/>
      <c r="N182" s="135">
        <v>30</v>
      </c>
      <c r="O182" s="93">
        <f t="shared" si="13"/>
        <v>2850</v>
      </c>
      <c r="P182" s="93"/>
      <c r="Q182" s="93"/>
      <c r="R182" s="93"/>
      <c r="S182" s="93"/>
      <c r="T182" s="93"/>
      <c r="U182" s="99"/>
    </row>
    <row r="183" spans="1:21" s="30" customFormat="1" x14ac:dyDescent="0.35">
      <c r="A183" s="93"/>
      <c r="B183" s="123" t="s">
        <v>188</v>
      </c>
      <c r="C183" s="93" t="s">
        <v>186</v>
      </c>
      <c r="D183" s="123">
        <v>20</v>
      </c>
      <c r="E183" s="123">
        <v>120</v>
      </c>
      <c r="F183" s="97">
        <f t="shared" si="12"/>
        <v>2400</v>
      </c>
      <c r="G183" s="93" t="s">
        <v>20</v>
      </c>
      <c r="H183" s="93" t="s">
        <v>21</v>
      </c>
      <c r="I183" s="93" t="s">
        <v>22</v>
      </c>
      <c r="J183" s="116" t="s">
        <v>23</v>
      </c>
      <c r="K183" s="98" t="s">
        <v>23</v>
      </c>
      <c r="L183" s="98" t="s">
        <v>23</v>
      </c>
      <c r="M183" s="93"/>
      <c r="N183" s="135">
        <v>20</v>
      </c>
      <c r="O183" s="93">
        <f t="shared" si="13"/>
        <v>2400</v>
      </c>
      <c r="P183" s="93"/>
      <c r="Q183" s="93"/>
      <c r="R183" s="93"/>
      <c r="S183" s="93"/>
      <c r="T183" s="93"/>
      <c r="U183" s="99"/>
    </row>
    <row r="184" spans="1:21" s="30" customFormat="1" x14ac:dyDescent="0.35">
      <c r="A184" s="93"/>
      <c r="B184" s="123" t="s">
        <v>189</v>
      </c>
      <c r="C184" s="93" t="s">
        <v>186</v>
      </c>
      <c r="D184" s="123">
        <v>20</v>
      </c>
      <c r="E184" s="123">
        <v>970</v>
      </c>
      <c r="F184" s="97">
        <f t="shared" si="12"/>
        <v>19400</v>
      </c>
      <c r="G184" s="93" t="s">
        <v>20</v>
      </c>
      <c r="H184" s="93" t="s">
        <v>21</v>
      </c>
      <c r="I184" s="93" t="s">
        <v>22</v>
      </c>
      <c r="J184" s="116" t="s">
        <v>23</v>
      </c>
      <c r="K184" s="98" t="s">
        <v>23</v>
      </c>
      <c r="L184" s="98" t="s">
        <v>23</v>
      </c>
      <c r="M184" s="93"/>
      <c r="N184" s="135">
        <v>20</v>
      </c>
      <c r="O184" s="93">
        <f t="shared" si="13"/>
        <v>19400</v>
      </c>
      <c r="P184" s="93"/>
      <c r="Q184" s="93"/>
      <c r="R184" s="93"/>
      <c r="S184" s="93"/>
      <c r="T184" s="93"/>
      <c r="U184" s="99"/>
    </row>
    <row r="185" spans="1:21" s="30" customFormat="1" x14ac:dyDescent="0.35">
      <c r="A185" s="93"/>
      <c r="B185" s="123" t="s">
        <v>190</v>
      </c>
      <c r="C185" s="93" t="s">
        <v>186</v>
      </c>
      <c r="D185" s="123">
        <v>10</v>
      </c>
      <c r="E185" s="123">
        <v>490</v>
      </c>
      <c r="F185" s="97">
        <f t="shared" si="12"/>
        <v>4900</v>
      </c>
      <c r="G185" s="93" t="s">
        <v>20</v>
      </c>
      <c r="H185" s="93" t="s">
        <v>21</v>
      </c>
      <c r="I185" s="93" t="s">
        <v>22</v>
      </c>
      <c r="J185" s="116" t="s">
        <v>23</v>
      </c>
      <c r="K185" s="98" t="s">
        <v>23</v>
      </c>
      <c r="L185" s="98" t="s">
        <v>23</v>
      </c>
      <c r="M185" s="93"/>
      <c r="N185" s="135">
        <v>10</v>
      </c>
      <c r="O185" s="93">
        <f t="shared" si="13"/>
        <v>4900</v>
      </c>
      <c r="P185" s="93"/>
      <c r="Q185" s="93"/>
      <c r="R185" s="93"/>
      <c r="S185" s="93"/>
      <c r="T185" s="93"/>
      <c r="U185" s="99"/>
    </row>
    <row r="186" spans="1:21" s="30" customFormat="1" x14ac:dyDescent="0.35">
      <c r="A186" s="136"/>
      <c r="B186" s="123" t="s">
        <v>191</v>
      </c>
      <c r="C186" s="93" t="s">
        <v>94</v>
      </c>
      <c r="D186" s="123">
        <v>10</v>
      </c>
      <c r="E186" s="123">
        <v>240</v>
      </c>
      <c r="F186" s="97">
        <f t="shared" si="12"/>
        <v>2400</v>
      </c>
      <c r="G186" s="93" t="s">
        <v>20</v>
      </c>
      <c r="H186" s="93" t="s">
        <v>21</v>
      </c>
      <c r="I186" s="93" t="s">
        <v>22</v>
      </c>
      <c r="J186" s="116" t="s">
        <v>23</v>
      </c>
      <c r="K186" s="98" t="s">
        <v>23</v>
      </c>
      <c r="L186" s="98" t="s">
        <v>23</v>
      </c>
      <c r="M186" s="93"/>
      <c r="N186" s="135">
        <v>10</v>
      </c>
      <c r="O186" s="93">
        <f t="shared" si="13"/>
        <v>2400</v>
      </c>
      <c r="P186" s="93"/>
      <c r="Q186" s="93"/>
      <c r="R186" s="93"/>
      <c r="S186" s="93"/>
      <c r="T186" s="93"/>
      <c r="U186" s="99"/>
    </row>
    <row r="187" spans="1:21" s="30" customFormat="1" x14ac:dyDescent="0.35">
      <c r="A187" s="136"/>
      <c r="B187" s="123" t="s">
        <v>192</v>
      </c>
      <c r="C187" s="93" t="s">
        <v>193</v>
      </c>
      <c r="D187" s="123">
        <v>10</v>
      </c>
      <c r="E187" s="123">
        <v>120</v>
      </c>
      <c r="F187" s="97">
        <f t="shared" si="12"/>
        <v>1200</v>
      </c>
      <c r="G187" s="93" t="s">
        <v>20</v>
      </c>
      <c r="H187" s="93" t="s">
        <v>21</v>
      </c>
      <c r="I187" s="93" t="s">
        <v>22</v>
      </c>
      <c r="J187" s="116" t="s">
        <v>23</v>
      </c>
      <c r="K187" s="98" t="s">
        <v>23</v>
      </c>
      <c r="L187" s="98" t="s">
        <v>23</v>
      </c>
      <c r="M187" s="93"/>
      <c r="N187" s="135">
        <v>10</v>
      </c>
      <c r="O187" s="93">
        <f t="shared" si="13"/>
        <v>1200</v>
      </c>
      <c r="P187" s="93"/>
      <c r="Q187" s="93"/>
      <c r="R187" s="93"/>
      <c r="S187" s="93"/>
      <c r="T187" s="93"/>
      <c r="U187" s="99"/>
    </row>
    <row r="188" spans="1:21" s="30" customFormat="1" x14ac:dyDescent="0.35">
      <c r="A188" s="136"/>
      <c r="B188" s="137" t="s">
        <v>194</v>
      </c>
      <c r="C188" s="138" t="s">
        <v>186</v>
      </c>
      <c r="D188" s="137">
        <v>4</v>
      </c>
      <c r="E188" s="137">
        <v>980</v>
      </c>
      <c r="F188" s="139">
        <f t="shared" si="12"/>
        <v>3920</v>
      </c>
      <c r="G188" s="93" t="s">
        <v>20</v>
      </c>
      <c r="H188" s="93" t="s">
        <v>21</v>
      </c>
      <c r="I188" s="93" t="s">
        <v>22</v>
      </c>
      <c r="J188" s="116" t="s">
        <v>23</v>
      </c>
      <c r="K188" s="98" t="s">
        <v>23</v>
      </c>
      <c r="L188" s="98" t="s">
        <v>23</v>
      </c>
      <c r="M188" s="93"/>
      <c r="N188" s="135">
        <v>4</v>
      </c>
      <c r="O188" s="93">
        <f t="shared" si="13"/>
        <v>3920</v>
      </c>
      <c r="P188" s="93"/>
      <c r="Q188" s="93"/>
      <c r="R188" s="93"/>
      <c r="S188" s="93"/>
      <c r="T188" s="93"/>
      <c r="U188" s="99"/>
    </row>
    <row r="189" spans="1:21" s="30" customFormat="1" x14ac:dyDescent="0.35">
      <c r="A189" s="93"/>
      <c r="B189" s="135" t="s">
        <v>195</v>
      </c>
      <c r="C189" s="93" t="s">
        <v>151</v>
      </c>
      <c r="D189" s="135">
        <v>1</v>
      </c>
      <c r="E189" s="135">
        <v>24000</v>
      </c>
      <c r="F189" s="97">
        <f>D189*E189</f>
        <v>24000</v>
      </c>
      <c r="G189" s="93" t="s">
        <v>20</v>
      </c>
      <c r="H189" s="93" t="s">
        <v>21</v>
      </c>
      <c r="I189" s="93" t="s">
        <v>22</v>
      </c>
      <c r="J189" s="116" t="s">
        <v>23</v>
      </c>
      <c r="K189" s="98" t="s">
        <v>23</v>
      </c>
      <c r="L189" s="98" t="s">
        <v>23</v>
      </c>
      <c r="M189" s="93"/>
      <c r="N189" s="135">
        <v>1</v>
      </c>
      <c r="O189" s="93">
        <f t="shared" si="13"/>
        <v>24000</v>
      </c>
      <c r="P189" s="93"/>
      <c r="Q189" s="93"/>
      <c r="R189" s="93"/>
      <c r="S189" s="93"/>
      <c r="T189" s="93"/>
      <c r="U189" s="99"/>
    </row>
    <row r="190" spans="1:21" ht="15.5" x14ac:dyDescent="0.35">
      <c r="F190" s="32">
        <f>SUM(F173:F189)</f>
        <v>157470</v>
      </c>
    </row>
    <row r="192" spans="1:21" x14ac:dyDescent="0.35">
      <c r="A192" s="41" t="s">
        <v>196</v>
      </c>
      <c r="B192" s="4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28"/>
    </row>
    <row r="193" spans="1:21" ht="15.5" x14ac:dyDescent="0.35">
      <c r="A193" s="121"/>
      <c r="B193" s="140" t="s">
        <v>197</v>
      </c>
      <c r="C193" s="121" t="s">
        <v>151</v>
      </c>
      <c r="D193" s="140">
        <v>8</v>
      </c>
      <c r="E193" s="140">
        <v>32000</v>
      </c>
      <c r="F193" s="141">
        <f t="shared" ref="F193" si="14">D193*E193</f>
        <v>256000</v>
      </c>
      <c r="G193" s="121" t="s">
        <v>20</v>
      </c>
      <c r="H193" s="121" t="s">
        <v>21</v>
      </c>
      <c r="I193" s="93" t="s">
        <v>22</v>
      </c>
      <c r="J193" s="116" t="s">
        <v>23</v>
      </c>
      <c r="K193" s="98" t="s">
        <v>23</v>
      </c>
      <c r="L193" s="98" t="s">
        <v>23</v>
      </c>
      <c r="M193" s="93"/>
      <c r="N193" s="93">
        <v>10</v>
      </c>
      <c r="O193" s="93">
        <f t="shared" ref="O193" si="15">D193*E193</f>
        <v>256000</v>
      </c>
      <c r="P193" s="93"/>
      <c r="Q193" s="93"/>
      <c r="R193" s="93"/>
      <c r="S193" s="93"/>
      <c r="T193" s="93"/>
      <c r="U193" s="99"/>
    </row>
    <row r="196" spans="1:21" x14ac:dyDescent="0.35">
      <c r="A196" s="37" t="s">
        <v>198</v>
      </c>
      <c r="B196" s="38"/>
      <c r="C196" s="9"/>
      <c r="D196" s="9"/>
      <c r="E196" s="9"/>
      <c r="F196" s="9"/>
      <c r="G196" s="9"/>
      <c r="H196" s="9"/>
      <c r="I196" s="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2"/>
    </row>
    <row r="197" spans="1:21" ht="43.5" x14ac:dyDescent="0.35">
      <c r="A197" s="93"/>
      <c r="B197" s="118" t="s">
        <v>199</v>
      </c>
      <c r="C197" s="93" t="s">
        <v>151</v>
      </c>
      <c r="D197" s="95">
        <v>8</v>
      </c>
      <c r="E197" s="95">
        <v>32000</v>
      </c>
      <c r="F197" s="93">
        <f t="shared" ref="F197:F202" si="16">D197*E197</f>
        <v>256000</v>
      </c>
      <c r="G197" s="93" t="s">
        <v>20</v>
      </c>
      <c r="H197" s="93" t="s">
        <v>21</v>
      </c>
      <c r="I197" s="93" t="s">
        <v>22</v>
      </c>
      <c r="J197" s="116" t="s">
        <v>23</v>
      </c>
      <c r="K197" s="116" t="s">
        <v>23</v>
      </c>
      <c r="L197" s="116" t="s">
        <v>23</v>
      </c>
      <c r="M197" s="93"/>
      <c r="N197" s="93"/>
      <c r="O197" s="93"/>
      <c r="P197" s="93"/>
      <c r="Q197" s="93"/>
      <c r="R197" s="93"/>
      <c r="S197" s="93"/>
      <c r="T197" s="93"/>
      <c r="U197" s="99"/>
    </row>
    <row r="198" spans="1:21" ht="29" x14ac:dyDescent="0.35">
      <c r="A198" s="93"/>
      <c r="B198" s="118" t="s">
        <v>200</v>
      </c>
      <c r="C198" s="93" t="s">
        <v>151</v>
      </c>
      <c r="D198" s="95">
        <v>4</v>
      </c>
      <c r="E198" s="142">
        <v>90000</v>
      </c>
      <c r="F198" s="93">
        <f t="shared" si="16"/>
        <v>360000</v>
      </c>
      <c r="G198" s="93" t="s">
        <v>20</v>
      </c>
      <c r="H198" s="93" t="s">
        <v>21</v>
      </c>
      <c r="I198" s="93" t="s">
        <v>22</v>
      </c>
      <c r="J198" s="116" t="s">
        <v>23</v>
      </c>
      <c r="K198" s="116" t="s">
        <v>23</v>
      </c>
      <c r="L198" s="116" t="s">
        <v>23</v>
      </c>
      <c r="M198" s="93"/>
      <c r="N198" s="93"/>
      <c r="O198" s="93"/>
      <c r="P198" s="93"/>
      <c r="Q198" s="93"/>
      <c r="R198" s="93"/>
      <c r="S198" s="93"/>
      <c r="T198" s="93"/>
      <c r="U198" s="99"/>
    </row>
    <row r="199" spans="1:21" x14ac:dyDescent="0.35">
      <c r="A199" s="93"/>
      <c r="B199" s="118" t="s">
        <v>201</v>
      </c>
      <c r="C199" s="93" t="s">
        <v>151</v>
      </c>
      <c r="D199" s="95">
        <v>8</v>
      </c>
      <c r="E199" s="95">
        <v>25000</v>
      </c>
      <c r="F199" s="93">
        <f t="shared" si="16"/>
        <v>200000</v>
      </c>
      <c r="G199" s="93" t="s">
        <v>20</v>
      </c>
      <c r="H199" s="93" t="s">
        <v>21</v>
      </c>
      <c r="I199" s="93" t="s">
        <v>22</v>
      </c>
      <c r="J199" s="116" t="s">
        <v>23</v>
      </c>
      <c r="K199" s="116" t="s">
        <v>23</v>
      </c>
      <c r="L199" s="116" t="s">
        <v>23</v>
      </c>
      <c r="M199" s="93"/>
      <c r="N199" s="93"/>
      <c r="O199" s="93"/>
      <c r="P199" s="93"/>
      <c r="Q199" s="93"/>
      <c r="R199" s="93"/>
      <c r="S199" s="93"/>
      <c r="T199" s="93"/>
      <c r="U199" s="99"/>
    </row>
    <row r="200" spans="1:21" x14ac:dyDescent="0.35">
      <c r="A200" s="93"/>
      <c r="B200" s="118" t="s">
        <v>202</v>
      </c>
      <c r="C200" s="93" t="s">
        <v>151</v>
      </c>
      <c r="D200" s="95">
        <v>8</v>
      </c>
      <c r="E200" s="95">
        <v>3500</v>
      </c>
      <c r="F200" s="93">
        <f t="shared" si="16"/>
        <v>28000</v>
      </c>
      <c r="G200" s="93" t="s">
        <v>20</v>
      </c>
      <c r="H200" s="93" t="s">
        <v>21</v>
      </c>
      <c r="I200" s="93" t="s">
        <v>22</v>
      </c>
      <c r="J200" s="116" t="s">
        <v>23</v>
      </c>
      <c r="K200" s="116" t="s">
        <v>23</v>
      </c>
      <c r="L200" s="116" t="s">
        <v>23</v>
      </c>
      <c r="M200" s="93"/>
      <c r="N200" s="93"/>
      <c r="O200" s="93"/>
      <c r="P200" s="93"/>
      <c r="Q200" s="93"/>
      <c r="R200" s="93"/>
      <c r="S200" s="93"/>
      <c r="T200" s="93"/>
      <c r="U200" s="99"/>
    </row>
    <row r="201" spans="1:21" ht="43.5" x14ac:dyDescent="0.35">
      <c r="A201" s="93"/>
      <c r="B201" s="118" t="s">
        <v>203</v>
      </c>
      <c r="C201" s="93" t="s">
        <v>151</v>
      </c>
      <c r="D201" s="98">
        <v>1</v>
      </c>
      <c r="E201" s="98">
        <v>32000</v>
      </c>
      <c r="F201" s="93">
        <f t="shared" si="16"/>
        <v>32000</v>
      </c>
      <c r="G201" s="93" t="s">
        <v>20</v>
      </c>
      <c r="H201" s="93" t="s">
        <v>21</v>
      </c>
      <c r="I201" s="93" t="s">
        <v>22</v>
      </c>
      <c r="J201" s="116" t="s">
        <v>23</v>
      </c>
      <c r="K201" s="116" t="s">
        <v>23</v>
      </c>
      <c r="L201" s="116" t="s">
        <v>23</v>
      </c>
      <c r="M201" s="93"/>
      <c r="N201" s="93"/>
      <c r="O201" s="93"/>
      <c r="P201" s="93"/>
      <c r="Q201" s="93"/>
      <c r="R201" s="93"/>
      <c r="S201" s="93"/>
      <c r="T201" s="93"/>
      <c r="U201" s="99"/>
    </row>
    <row r="202" spans="1:21" ht="29" x14ac:dyDescent="0.35">
      <c r="A202" s="93"/>
      <c r="B202" s="118" t="s">
        <v>204</v>
      </c>
      <c r="C202" s="93" t="s">
        <v>151</v>
      </c>
      <c r="D202" s="98">
        <v>3</v>
      </c>
      <c r="E202" s="98">
        <v>22000</v>
      </c>
      <c r="F202" s="93">
        <f t="shared" si="16"/>
        <v>66000</v>
      </c>
      <c r="G202" s="93" t="s">
        <v>20</v>
      </c>
      <c r="H202" s="93" t="s">
        <v>21</v>
      </c>
      <c r="I202" s="93" t="s">
        <v>22</v>
      </c>
      <c r="J202" s="116" t="s">
        <v>23</v>
      </c>
      <c r="K202" s="116" t="s">
        <v>23</v>
      </c>
      <c r="L202" s="116" t="s">
        <v>23</v>
      </c>
      <c r="M202" s="93"/>
      <c r="N202" s="93"/>
      <c r="O202" s="93"/>
      <c r="P202" s="93"/>
      <c r="Q202" s="93"/>
      <c r="R202" s="93"/>
      <c r="S202" s="93"/>
      <c r="T202" s="93"/>
      <c r="U202" s="99"/>
    </row>
    <row r="203" spans="1:21" x14ac:dyDescent="0.35">
      <c r="A203" s="93"/>
      <c r="B203" s="118" t="s">
        <v>205</v>
      </c>
      <c r="C203" s="93" t="s">
        <v>151</v>
      </c>
      <c r="D203" s="98">
        <v>3</v>
      </c>
      <c r="E203" s="98">
        <v>36000</v>
      </c>
      <c r="F203" s="93">
        <v>108000</v>
      </c>
      <c r="G203" s="93" t="s">
        <v>20</v>
      </c>
      <c r="H203" s="93" t="s">
        <v>21</v>
      </c>
      <c r="I203" s="93" t="s">
        <v>22</v>
      </c>
      <c r="J203" s="116" t="s">
        <v>23</v>
      </c>
      <c r="K203" s="116" t="s">
        <v>23</v>
      </c>
      <c r="L203" s="116" t="s">
        <v>23</v>
      </c>
      <c r="M203" s="93"/>
      <c r="N203" s="93">
        <v>3</v>
      </c>
      <c r="O203" s="93">
        <f>D203*E203</f>
        <v>108000</v>
      </c>
      <c r="P203" s="93"/>
      <c r="Q203" s="93"/>
      <c r="R203" s="93"/>
      <c r="S203" s="93"/>
      <c r="T203" s="93"/>
      <c r="U203" s="99"/>
    </row>
    <row r="204" spans="1:21" ht="15.5" x14ac:dyDescent="0.35">
      <c r="A204" s="93"/>
      <c r="B204" s="118"/>
      <c r="C204" s="93"/>
      <c r="D204" s="98"/>
      <c r="E204" s="98"/>
      <c r="F204" s="125">
        <f>SUM(F197:F203)</f>
        <v>1050000</v>
      </c>
      <c r="G204" s="93"/>
      <c r="H204" s="93"/>
      <c r="I204" s="93"/>
      <c r="J204" s="116"/>
      <c r="K204" s="116"/>
      <c r="L204" s="116"/>
      <c r="M204" s="93"/>
      <c r="N204" s="93"/>
      <c r="O204" s="93"/>
      <c r="P204" s="93"/>
      <c r="Q204" s="93"/>
      <c r="R204" s="93"/>
      <c r="S204" s="93"/>
      <c r="T204" s="93"/>
      <c r="U204" s="99"/>
    </row>
    <row r="205" spans="1:21" x14ac:dyDescent="0.35">
      <c r="A205" s="37"/>
      <c r="B205" s="38"/>
      <c r="C205" s="9"/>
      <c r="D205" s="27"/>
      <c r="E205" s="27"/>
      <c r="F205" s="9"/>
      <c r="G205" s="9"/>
      <c r="H205" s="9"/>
      <c r="I205" s="9"/>
      <c r="J205" s="33"/>
      <c r="K205" s="33"/>
      <c r="L205" s="33"/>
      <c r="M205" s="9"/>
      <c r="N205" s="9"/>
      <c r="O205" s="9"/>
      <c r="P205" s="9"/>
      <c r="Q205" s="9"/>
      <c r="R205" s="9"/>
      <c r="S205" s="9"/>
      <c r="T205" s="9"/>
      <c r="U205" s="28"/>
    </row>
    <row r="206" spans="1:21" x14ac:dyDescent="0.35">
      <c r="A206" s="9"/>
      <c r="B206" s="25"/>
      <c r="C206" s="9"/>
      <c r="D206" s="27"/>
      <c r="E206" s="27"/>
      <c r="F206" s="26"/>
      <c r="G206" s="9"/>
      <c r="H206" s="9"/>
      <c r="I206" s="9"/>
      <c r="J206" s="33"/>
      <c r="K206" s="33"/>
      <c r="L206" s="33"/>
      <c r="M206" s="27"/>
      <c r="N206" s="9"/>
      <c r="O206" s="26"/>
      <c r="P206" s="9"/>
      <c r="Q206" s="26"/>
      <c r="R206" s="9"/>
      <c r="S206" s="9"/>
      <c r="T206" s="9"/>
      <c r="U206" s="28"/>
    </row>
    <row r="207" spans="1:21" x14ac:dyDescent="0.35">
      <c r="A207" s="9"/>
      <c r="B207" s="25"/>
      <c r="C207" s="9"/>
      <c r="D207" s="27"/>
      <c r="E207" s="27"/>
      <c r="F207" s="9"/>
      <c r="G207" s="9"/>
      <c r="H207" s="9"/>
      <c r="I207" s="9"/>
      <c r="J207" s="33"/>
      <c r="K207" s="33"/>
      <c r="L207" s="33"/>
      <c r="M207" s="9"/>
      <c r="N207" s="9"/>
      <c r="O207" s="9"/>
      <c r="P207" s="9"/>
      <c r="Q207" s="9"/>
      <c r="R207" s="9"/>
      <c r="S207" s="9"/>
      <c r="T207" s="9"/>
      <c r="U207" s="28"/>
    </row>
    <row r="208" spans="1:21" x14ac:dyDescent="0.35">
      <c r="A208" s="9"/>
      <c r="B208" s="25"/>
      <c r="C208" s="9"/>
      <c r="D208" s="27"/>
      <c r="E208" s="34"/>
      <c r="F208" s="9"/>
      <c r="G208" s="9"/>
      <c r="H208" s="9"/>
      <c r="I208" s="9"/>
      <c r="J208" s="33"/>
      <c r="K208" s="33"/>
      <c r="L208" s="33"/>
      <c r="M208" s="9"/>
      <c r="N208" s="9"/>
      <c r="O208" s="9"/>
      <c r="P208" s="9"/>
      <c r="Q208" s="9"/>
      <c r="R208" s="9"/>
      <c r="S208" s="9"/>
      <c r="T208" s="9"/>
      <c r="U208" s="28"/>
    </row>
    <row r="209" spans="1:21" x14ac:dyDescent="0.35">
      <c r="A209" s="37"/>
      <c r="B209" s="38"/>
      <c r="C209" s="9"/>
      <c r="D209" s="27"/>
      <c r="E209" s="27"/>
      <c r="F209" s="9"/>
      <c r="G209" s="9"/>
      <c r="H209" s="9"/>
      <c r="I209" s="9"/>
      <c r="J209" s="33"/>
      <c r="K209" s="33"/>
      <c r="L209" s="33"/>
      <c r="M209" s="9"/>
      <c r="N209" s="9"/>
      <c r="O209" s="9"/>
      <c r="P209" s="9"/>
      <c r="Q209" s="9"/>
      <c r="R209" s="9"/>
      <c r="S209" s="9"/>
      <c r="T209" s="9"/>
      <c r="U209" s="28"/>
    </row>
    <row r="210" spans="1:21" x14ac:dyDescent="0.35">
      <c r="A210" s="9"/>
      <c r="B210" s="25"/>
      <c r="C210" s="9"/>
      <c r="D210" s="31"/>
      <c r="E210" s="27"/>
      <c r="F210" s="9"/>
      <c r="G210" s="9"/>
      <c r="H210" s="9"/>
      <c r="I210" s="9"/>
      <c r="J210" s="33"/>
      <c r="K210" s="33"/>
      <c r="L210" s="33"/>
      <c r="M210" s="33"/>
      <c r="N210" s="9"/>
      <c r="O210" s="9"/>
      <c r="P210" s="9"/>
      <c r="Q210" s="9"/>
      <c r="R210" s="9"/>
      <c r="S210" s="9"/>
      <c r="T210" s="9"/>
      <c r="U210" s="28"/>
    </row>
    <row r="211" spans="1:21" x14ac:dyDescent="0.35">
      <c r="A211" s="9"/>
      <c r="B211" s="25"/>
      <c r="C211" s="9"/>
      <c r="D211" s="31"/>
      <c r="E211" s="34"/>
      <c r="F211" s="9"/>
      <c r="G211" s="9"/>
      <c r="H211" s="9"/>
      <c r="I211" s="9"/>
      <c r="J211" s="33"/>
      <c r="K211" s="33"/>
      <c r="L211" s="33"/>
      <c r="M211" s="33"/>
      <c r="N211" s="9"/>
      <c r="O211" s="9"/>
      <c r="P211" s="9"/>
      <c r="Q211" s="9"/>
      <c r="R211" s="9"/>
      <c r="S211" s="9"/>
      <c r="T211" s="9"/>
      <c r="U211" s="28"/>
    </row>
    <row r="212" spans="1:21" x14ac:dyDescent="0.35">
      <c r="A212" s="9"/>
      <c r="B212" s="25"/>
      <c r="C212" s="9"/>
      <c r="D212" s="31"/>
      <c r="E212" s="34"/>
      <c r="F212" s="9"/>
      <c r="G212" s="9"/>
      <c r="H212" s="9"/>
      <c r="I212" s="9"/>
      <c r="J212" s="33"/>
      <c r="K212" s="33"/>
      <c r="L212" s="33"/>
      <c r="M212" s="33"/>
      <c r="N212" s="9"/>
      <c r="O212" s="9"/>
      <c r="P212" s="9"/>
      <c r="Q212" s="9"/>
      <c r="R212" s="9"/>
      <c r="S212" s="9"/>
      <c r="T212" s="9"/>
      <c r="U212" s="28"/>
    </row>
    <row r="213" spans="1:21" x14ac:dyDescent="0.35">
      <c r="A213" s="9"/>
      <c r="B213" s="25"/>
      <c r="C213" s="9"/>
      <c r="D213" s="27"/>
      <c r="E213" s="27"/>
      <c r="F213" s="9"/>
      <c r="G213" s="9"/>
      <c r="H213" s="9"/>
      <c r="I213" s="9"/>
      <c r="J213" s="33"/>
      <c r="K213" s="33"/>
      <c r="L213" s="33"/>
      <c r="M213" s="9"/>
      <c r="N213" s="9"/>
      <c r="O213" s="9"/>
      <c r="P213" s="9"/>
      <c r="Q213" s="9"/>
      <c r="R213" s="9"/>
      <c r="S213" s="9"/>
      <c r="T213" s="9"/>
      <c r="U213" s="28"/>
    </row>
    <row r="214" spans="1:21" ht="15.5" x14ac:dyDescent="0.35">
      <c r="A214" s="9"/>
      <c r="B214" s="35"/>
      <c r="C214" s="9"/>
      <c r="D214" s="9"/>
      <c r="E214" s="34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28"/>
    </row>
    <row r="215" spans="1:21" x14ac:dyDescent="0.35">
      <c r="A215" s="9"/>
      <c r="B215" s="9"/>
      <c r="C215" s="9"/>
      <c r="D215" s="9"/>
      <c r="E215" s="29"/>
      <c r="F215" s="3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28"/>
    </row>
    <row r="216" spans="1:2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28"/>
    </row>
    <row r="217" spans="1:2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28"/>
    </row>
    <row r="218" spans="1:21" x14ac:dyDescent="0.35">
      <c r="A218" s="37"/>
      <c r="B218" s="3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28"/>
    </row>
    <row r="219" spans="1:2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33"/>
      <c r="N219" s="9"/>
      <c r="O219" s="9"/>
      <c r="P219" s="9"/>
      <c r="Q219" s="9"/>
      <c r="R219" s="9"/>
      <c r="S219" s="9"/>
      <c r="T219" s="9"/>
      <c r="U219" s="28"/>
    </row>
    <row r="220" spans="1:2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33"/>
      <c r="N220" s="9"/>
      <c r="O220" s="9"/>
      <c r="P220" s="9"/>
      <c r="Q220" s="9"/>
      <c r="R220" s="9"/>
      <c r="S220" s="9"/>
      <c r="T220" s="9"/>
      <c r="U220" s="28"/>
    </row>
    <row r="221" spans="1:21" x14ac:dyDescent="0.35">
      <c r="A221" s="9"/>
      <c r="B221" s="2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33"/>
      <c r="N221" s="9"/>
      <c r="O221" s="9"/>
      <c r="P221" s="9"/>
      <c r="Q221" s="9"/>
      <c r="R221" s="9"/>
      <c r="S221" s="9"/>
      <c r="T221" s="9"/>
      <c r="U221" s="28"/>
    </row>
    <row r="222" spans="1:2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33"/>
      <c r="N222" s="9"/>
      <c r="O222" s="9"/>
      <c r="P222" s="9"/>
      <c r="Q222" s="9"/>
      <c r="R222" s="9"/>
      <c r="S222" s="9"/>
      <c r="T222" s="9"/>
      <c r="U222" s="28"/>
    </row>
  </sheetData>
  <mergeCells count="17">
    <mergeCell ref="E1:H1"/>
    <mergeCell ref="N2:U2"/>
    <mergeCell ref="A3:B3"/>
    <mergeCell ref="N3:O3"/>
    <mergeCell ref="P3:Q3"/>
    <mergeCell ref="R3:S3"/>
    <mergeCell ref="T3:U3"/>
    <mergeCell ref="A196:B196"/>
    <mergeCell ref="A205:B205"/>
    <mergeCell ref="A209:B209"/>
    <mergeCell ref="A218:B218"/>
    <mergeCell ref="A141:B141"/>
    <mergeCell ref="A150:B150"/>
    <mergeCell ref="A156:B156"/>
    <mergeCell ref="A160:B160"/>
    <mergeCell ref="A172:B172"/>
    <mergeCell ref="A192:B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Mwadime</dc:creator>
  <cp:lastModifiedBy>KIPRE</cp:lastModifiedBy>
  <dcterms:created xsi:type="dcterms:W3CDTF">2024-08-09T09:55:47Z</dcterms:created>
  <dcterms:modified xsi:type="dcterms:W3CDTF">2024-08-09T14:57:17Z</dcterms:modified>
</cp:coreProperties>
</file>