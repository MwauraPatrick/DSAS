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KIPRE\Desktop\"/>
    </mc:Choice>
  </mc:AlternateContent>
  <xr:revisionPtr revIDLastSave="0" documentId="8_{D5F8C1B1-26BF-4D8B-B793-D849C6EE9405}" xr6:coauthVersionLast="47" xr6:coauthVersionMax="47" xr10:uidLastSave="{00000000-0000-0000-0000-000000000000}"/>
  <bookViews>
    <workbookView xWindow="-110" yWindow="-110" windowWidth="19420" windowHeight="10300" activeTab="3" xr2:uid="{00000000-000D-0000-FFFF-FFFF00000000}"/>
  </bookViews>
  <sheets>
    <sheet name="Revised 3mwp" sheetId="12" r:id="rId1"/>
    <sheet name="3 M-Budget" sheetId="5" r:id="rId2"/>
    <sheet name="Revised 1ywp" sheetId="13" r:id="rId3"/>
    <sheet name="Itemized 1ywp" sheetId="16" r:id="rId4"/>
    <sheet name="1Y-Budget" sheetId="7" r:id="rId5"/>
    <sheet name="ksric budget"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0" i="16" l="1"/>
  <c r="W26" i="16"/>
  <c r="Y26" i="16" s="1"/>
  <c r="V18" i="16"/>
  <c r="W18" i="16" s="1"/>
  <c r="L20" i="7"/>
  <c r="W10" i="16"/>
  <c r="V11" i="16"/>
  <c r="W11" i="16" s="1"/>
  <c r="V12" i="16"/>
  <c r="W12" i="16" s="1"/>
  <c r="V4" i="16"/>
  <c r="W4" i="16" s="1"/>
  <c r="U16" i="16"/>
  <c r="W16" i="16" s="1"/>
  <c r="L11" i="7"/>
  <c r="F185" i="7"/>
  <c r="F186" i="7"/>
  <c r="F187" i="7"/>
  <c r="F188" i="7"/>
  <c r="F189" i="7"/>
  <c r="F190" i="7"/>
  <c r="F191" i="7"/>
  <c r="F192" i="7"/>
  <c r="F193" i="7"/>
  <c r="F194" i="7"/>
  <c r="U16" i="13"/>
  <c r="F220" i="7"/>
  <c r="F215" i="7"/>
  <c r="F216" i="7"/>
  <c r="F217" i="7"/>
  <c r="F219" i="7"/>
  <c r="F221" i="7"/>
  <c r="F209" i="7"/>
  <c r="F208" i="7"/>
  <c r="F207" i="7"/>
  <c r="F206" i="7"/>
  <c r="F205" i="7"/>
  <c r="F204" i="7"/>
  <c r="F203" i="7"/>
  <c r="F202" i="7"/>
  <c r="F201" i="7"/>
  <c r="F200" i="7"/>
  <c r="L22" i="7"/>
  <c r="L21" i="7"/>
  <c r="L19" i="7"/>
  <c r="L18" i="7"/>
  <c r="L17" i="7"/>
  <c r="L14" i="7"/>
  <c r="L13" i="7"/>
  <c r="L12" i="7"/>
  <c r="L10" i="7"/>
  <c r="L9" i="7"/>
  <c r="L8" i="7"/>
  <c r="L7" i="7"/>
  <c r="L6" i="7"/>
  <c r="L5" i="7"/>
  <c r="L4" i="7"/>
  <c r="K19" i="12"/>
  <c r="F324" i="5"/>
  <c r="F323" i="5"/>
  <c r="F322" i="5"/>
  <c r="F321" i="5"/>
  <c r="F320" i="5"/>
  <c r="F325" i="5" s="1"/>
  <c r="F319" i="5"/>
  <c r="F318" i="5"/>
  <c r="F317" i="5"/>
  <c r="F316" i="5"/>
  <c r="F315" i="5"/>
  <c r="E131" i="5"/>
  <c r="N93" i="5"/>
  <c r="N92" i="5"/>
  <c r="N91" i="5"/>
  <c r="N90" i="5"/>
  <c r="N88" i="5"/>
  <c r="N87" i="5"/>
  <c r="N86" i="5"/>
  <c r="W20" i="16" l="1"/>
  <c r="F195" i="7"/>
  <c r="U26" i="16" s="1"/>
  <c r="L15" i="7"/>
  <c r="L23" i="7"/>
  <c r="F223" i="7"/>
  <c r="U23" i="16" s="1"/>
  <c r="V23" i="16" s="1"/>
  <c r="W23" i="16" s="1"/>
  <c r="F210" i="7"/>
  <c r="U22" i="16" s="1"/>
  <c r="V22" i="16" s="1"/>
  <c r="W22" i="16" s="1"/>
  <c r="N95" i="5"/>
  <c r="K7" i="12" s="1"/>
  <c r="U5" i="13" l="1"/>
  <c r="U5" i="16"/>
  <c r="K8" i="12"/>
  <c r="U24" i="13"/>
  <c r="U23" i="13"/>
  <c r="K4" i="12"/>
  <c r="U5" i="12"/>
  <c r="V5" i="16" l="1"/>
  <c r="W5" i="16" s="1"/>
  <c r="F309" i="5"/>
  <c r="F308" i="5"/>
  <c r="F307" i="5"/>
  <c r="F306" i="5"/>
  <c r="F305" i="5"/>
  <c r="F304" i="5"/>
  <c r="F303" i="5"/>
  <c r="F302" i="5"/>
  <c r="F301" i="5"/>
  <c r="F300" i="5"/>
  <c r="N25" i="5"/>
  <c r="N24" i="5"/>
  <c r="N23" i="5"/>
  <c r="N22" i="5"/>
  <c r="N21" i="5"/>
  <c r="N20" i="5"/>
  <c r="N19" i="5"/>
  <c r="N18" i="5"/>
  <c r="N17" i="5"/>
  <c r="U418" i="11"/>
  <c r="F418" i="11"/>
  <c r="F410" i="11"/>
  <c r="F409" i="11"/>
  <c r="F408" i="11"/>
  <c r="F407" i="11"/>
  <c r="F406" i="11"/>
  <c r="F405" i="11"/>
  <c r="F402" i="11"/>
  <c r="F401" i="11"/>
  <c r="F400" i="11"/>
  <c r="F399" i="11"/>
  <c r="F398" i="11"/>
  <c r="F397" i="11"/>
  <c r="F389" i="11"/>
  <c r="F388" i="11"/>
  <c r="F387" i="11"/>
  <c r="U386" i="11"/>
  <c r="F386" i="11"/>
  <c r="U385" i="11"/>
  <c r="F385" i="11"/>
  <c r="F384" i="11"/>
  <c r="F383" i="11"/>
  <c r="F382" i="11"/>
  <c r="F381" i="11"/>
  <c r="F380" i="11"/>
  <c r="F379" i="11"/>
  <c r="F378" i="11"/>
  <c r="F377" i="11"/>
  <c r="U376" i="11"/>
  <c r="U375" i="11"/>
  <c r="F375" i="11"/>
  <c r="F374" i="11"/>
  <c r="F373" i="11"/>
  <c r="F372" i="11"/>
  <c r="F371" i="11"/>
  <c r="F370" i="11"/>
  <c r="F369" i="11"/>
  <c r="F368" i="11"/>
  <c r="F367" i="11"/>
  <c r="F366" i="11"/>
  <c r="F365" i="11"/>
  <c r="F364" i="11"/>
  <c r="F363" i="11"/>
  <c r="F362" i="11"/>
  <c r="F361" i="11"/>
  <c r="F360" i="11"/>
  <c r="F359" i="11"/>
  <c r="F358" i="11"/>
  <c r="U357" i="11"/>
  <c r="F357" i="11"/>
  <c r="U356" i="11"/>
  <c r="F356" i="11"/>
  <c r="U355" i="11"/>
  <c r="F355" i="11"/>
  <c r="U354" i="11"/>
  <c r="F354" i="11"/>
  <c r="U353" i="11"/>
  <c r="F353" i="11"/>
  <c r="U352" i="11"/>
  <c r="F352" i="11"/>
  <c r="U351" i="11"/>
  <c r="F351" i="11"/>
  <c r="F349" i="11"/>
  <c r="F348" i="11"/>
  <c r="F347" i="11"/>
  <c r="F346" i="11"/>
  <c r="F345" i="11"/>
  <c r="F344" i="11"/>
  <c r="F343" i="11"/>
  <c r="F342" i="11"/>
  <c r="F341" i="11"/>
  <c r="F340" i="11"/>
  <c r="U339" i="11"/>
  <c r="F339" i="11"/>
  <c r="U337" i="11"/>
  <c r="F337" i="11"/>
  <c r="U336" i="11"/>
  <c r="F336" i="11"/>
  <c r="U335" i="11"/>
  <c r="F335" i="11"/>
  <c r="U334" i="11"/>
  <c r="F334" i="11"/>
  <c r="U333" i="11"/>
  <c r="F333" i="11"/>
  <c r="U332" i="11"/>
  <c r="F332" i="11"/>
  <c r="U331" i="11"/>
  <c r="F331" i="11"/>
  <c r="F328" i="11"/>
  <c r="F327" i="11"/>
  <c r="F326" i="11"/>
  <c r="F325" i="11"/>
  <c r="U324" i="11"/>
  <c r="F324" i="11"/>
  <c r="U323" i="11"/>
  <c r="F323" i="11"/>
  <c r="F322" i="11"/>
  <c r="F321" i="11"/>
  <c r="F320" i="11"/>
  <c r="F319" i="11"/>
  <c r="F318" i="11"/>
  <c r="F317" i="11"/>
  <c r="F316" i="11"/>
  <c r="F315" i="11"/>
  <c r="F314" i="11"/>
  <c r="F313" i="11"/>
  <c r="F312" i="11"/>
  <c r="F311" i="11"/>
  <c r="F310" i="11"/>
  <c r="F309" i="11"/>
  <c r="F308" i="11"/>
  <c r="F307" i="11"/>
  <c r="F306" i="11"/>
  <c r="F305" i="11"/>
  <c r="U304" i="11"/>
  <c r="F304" i="11"/>
  <c r="U303" i="11"/>
  <c r="F303" i="11"/>
  <c r="U302" i="11"/>
  <c r="F302" i="11"/>
  <c r="U301" i="11"/>
  <c r="F301" i="11"/>
  <c r="U300" i="11"/>
  <c r="F300" i="11"/>
  <c r="U299" i="11"/>
  <c r="F299" i="11"/>
  <c r="U298" i="11"/>
  <c r="F298" i="11"/>
  <c r="U297" i="11"/>
  <c r="F297" i="11"/>
  <c r="U296" i="11"/>
  <c r="F296" i="11"/>
  <c r="U295" i="11"/>
  <c r="F295" i="11"/>
  <c r="U294" i="11"/>
  <c r="U293" i="11"/>
  <c r="U292" i="11"/>
  <c r="U291" i="11"/>
  <c r="U290" i="11"/>
  <c r="F290" i="11"/>
  <c r="U289" i="11"/>
  <c r="F289" i="11"/>
  <c r="U288" i="11"/>
  <c r="F288" i="11"/>
  <c r="U287" i="11"/>
  <c r="F287" i="11"/>
  <c r="U286" i="11"/>
  <c r="F286" i="11"/>
  <c r="U285" i="11"/>
  <c r="F285" i="11"/>
  <c r="U284" i="11"/>
  <c r="F284" i="11"/>
  <c r="U283" i="11"/>
  <c r="F283" i="11"/>
  <c r="U282" i="11"/>
  <c r="F282" i="11"/>
  <c r="U281" i="11"/>
  <c r="F281" i="11"/>
  <c r="U280" i="11"/>
  <c r="F280" i="11"/>
  <c r="U279" i="11"/>
  <c r="F279" i="11"/>
  <c r="U278" i="11"/>
  <c r="F278" i="11"/>
  <c r="U277" i="11"/>
  <c r="F277" i="11"/>
  <c r="U276" i="11"/>
  <c r="F276" i="11"/>
  <c r="U275" i="11"/>
  <c r="F275" i="11"/>
  <c r="U274" i="11"/>
  <c r="F274" i="11"/>
  <c r="U273" i="11"/>
  <c r="F273" i="11"/>
  <c r="U272" i="11"/>
  <c r="F272" i="11"/>
  <c r="U271" i="11"/>
  <c r="F271" i="11"/>
  <c r="U270" i="11"/>
  <c r="F270" i="11"/>
  <c r="U269" i="11"/>
  <c r="F269" i="11"/>
  <c r="U268" i="11"/>
  <c r="F268" i="11"/>
  <c r="U267" i="11"/>
  <c r="F267" i="11"/>
  <c r="U266" i="11"/>
  <c r="F266" i="11"/>
  <c r="U265" i="11"/>
  <c r="F265" i="11"/>
  <c r="U264" i="11"/>
  <c r="F264" i="11"/>
  <c r="U263" i="11"/>
  <c r="F263" i="11"/>
  <c r="U262" i="11"/>
  <c r="F262" i="11"/>
  <c r="F261" i="11"/>
  <c r="U260" i="11"/>
  <c r="F260" i="11"/>
  <c r="U259" i="11"/>
  <c r="F259" i="11"/>
  <c r="U258" i="11"/>
  <c r="F258" i="11"/>
  <c r="U257" i="11"/>
  <c r="F257" i="11"/>
  <c r="U256" i="11"/>
  <c r="F256" i="11"/>
  <c r="U255" i="11"/>
  <c r="F255" i="11"/>
  <c r="U254" i="11"/>
  <c r="F254" i="11"/>
  <c r="U253" i="11"/>
  <c r="F253" i="11"/>
  <c r="F252" i="11"/>
  <c r="U251" i="11"/>
  <c r="F251" i="11"/>
  <c r="U250" i="11"/>
  <c r="F250" i="11"/>
  <c r="U249" i="11"/>
  <c r="F249" i="11"/>
  <c r="U248" i="11"/>
  <c r="F248" i="11"/>
  <c r="U247" i="11"/>
  <c r="F247" i="11"/>
  <c r="U246" i="11"/>
  <c r="F246" i="11"/>
  <c r="F245" i="11"/>
  <c r="F243" i="11"/>
  <c r="U242" i="11"/>
  <c r="F242" i="11"/>
  <c r="F241" i="11"/>
  <c r="U240" i="11"/>
  <c r="F240" i="11"/>
  <c r="U239" i="11"/>
  <c r="F239" i="11"/>
  <c r="U238" i="11"/>
  <c r="U237" i="11"/>
  <c r="F237" i="11"/>
  <c r="U236" i="11"/>
  <c r="F236" i="11"/>
  <c r="U234" i="11"/>
  <c r="U233" i="11"/>
  <c r="F233" i="11"/>
  <c r="U231" i="11"/>
  <c r="F231" i="11"/>
  <c r="U230" i="11"/>
  <c r="F230" i="11"/>
  <c r="U229" i="11"/>
  <c r="F229" i="11"/>
  <c r="U228" i="11"/>
  <c r="F228" i="11"/>
  <c r="U227" i="11"/>
  <c r="F227" i="11"/>
  <c r="U226" i="11"/>
  <c r="F226" i="11"/>
  <c r="U225" i="11"/>
  <c r="F225" i="11"/>
  <c r="U223" i="11"/>
  <c r="F223" i="11"/>
  <c r="U222" i="11"/>
  <c r="F222" i="11"/>
  <c r="U221" i="11"/>
  <c r="F221" i="11"/>
  <c r="U219" i="11"/>
  <c r="F219" i="11"/>
  <c r="U218" i="11"/>
  <c r="F218" i="11"/>
  <c r="U217" i="11"/>
  <c r="F217" i="11"/>
  <c r="U216" i="11"/>
  <c r="F216" i="11"/>
  <c r="U215" i="11"/>
  <c r="F215" i="11"/>
  <c r="U214" i="11"/>
  <c r="F214" i="11"/>
  <c r="U213" i="11"/>
  <c r="F213" i="11"/>
  <c r="U212" i="11"/>
  <c r="F212" i="11"/>
  <c r="U211" i="11"/>
  <c r="F211" i="11"/>
  <c r="U210" i="11"/>
  <c r="F210" i="11"/>
  <c r="U209" i="11"/>
  <c r="F209" i="11"/>
  <c r="U208" i="11"/>
  <c r="F208" i="11"/>
  <c r="U207" i="11"/>
  <c r="F207" i="11"/>
  <c r="U206" i="11"/>
  <c r="F206" i="11"/>
  <c r="U205" i="11"/>
  <c r="F205" i="11"/>
  <c r="U204" i="11"/>
  <c r="F204" i="11"/>
  <c r="U203" i="11"/>
  <c r="F203" i="11"/>
  <c r="U202" i="11"/>
  <c r="F202" i="11"/>
  <c r="U201" i="11"/>
  <c r="U200" i="11"/>
  <c r="F200" i="11"/>
  <c r="U199" i="11"/>
  <c r="F199" i="11"/>
  <c r="F195" i="11"/>
  <c r="F194" i="11"/>
  <c r="F193" i="11"/>
  <c r="F192" i="11"/>
  <c r="F191" i="11"/>
  <c r="F190" i="11"/>
  <c r="F189" i="11"/>
  <c r="F188" i="11"/>
  <c r="F187" i="11"/>
  <c r="F186" i="11"/>
  <c r="F185" i="11"/>
  <c r="F184" i="11"/>
  <c r="F183" i="11"/>
  <c r="F182" i="11"/>
  <c r="F181" i="11"/>
  <c r="F180" i="11"/>
  <c r="F179" i="11"/>
  <c r="F178" i="11"/>
  <c r="F177" i="11"/>
  <c r="F176" i="11"/>
  <c r="F175" i="11"/>
  <c r="F174" i="11"/>
  <c r="F173" i="11"/>
  <c r="F172" i="11"/>
  <c r="F171"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U128" i="11"/>
  <c r="F128" i="11"/>
  <c r="U127" i="11"/>
  <c r="F127" i="11"/>
  <c r="U126" i="11"/>
  <c r="F126" i="11"/>
  <c r="F125" i="11"/>
  <c r="F124" i="11"/>
  <c r="F123" i="11"/>
  <c r="U122" i="11"/>
  <c r="F122" i="11"/>
  <c r="U121" i="11"/>
  <c r="F121" i="11"/>
  <c r="U120" i="11"/>
  <c r="F120" i="11"/>
  <c r="U110" i="11"/>
  <c r="F110" i="11"/>
  <c r="U109" i="11"/>
  <c r="F109" i="11"/>
  <c r="U108" i="11"/>
  <c r="F108" i="11"/>
  <c r="U107" i="11"/>
  <c r="F107" i="11"/>
  <c r="U106" i="11"/>
  <c r="F106" i="11"/>
  <c r="U105" i="11"/>
  <c r="F105" i="11"/>
  <c r="U104" i="11"/>
  <c r="F104" i="11"/>
  <c r="U103" i="11"/>
  <c r="F103" i="11"/>
  <c r="U102" i="11"/>
  <c r="F102" i="11"/>
  <c r="U101" i="11"/>
  <c r="F101" i="11"/>
  <c r="U100" i="11"/>
  <c r="F100" i="11"/>
  <c r="U99" i="11"/>
  <c r="F99" i="11"/>
  <c r="U98" i="11"/>
  <c r="F98" i="11"/>
  <c r="U97" i="11"/>
  <c r="F97" i="11"/>
  <c r="U96" i="11"/>
  <c r="F96" i="11"/>
  <c r="U95" i="11"/>
  <c r="F95" i="11"/>
  <c r="U94" i="11"/>
  <c r="F94" i="11"/>
  <c r="U93" i="11"/>
  <c r="F93" i="11"/>
  <c r="U92" i="11"/>
  <c r="F92" i="11"/>
  <c r="U88" i="11"/>
  <c r="F88" i="11"/>
  <c r="U87" i="11"/>
  <c r="F87" i="11"/>
  <c r="U86" i="11"/>
  <c r="F86" i="11"/>
  <c r="U85" i="11"/>
  <c r="F85" i="11"/>
  <c r="U84" i="11"/>
  <c r="F84" i="11"/>
  <c r="U83" i="11"/>
  <c r="F83" i="11"/>
  <c r="U82" i="11"/>
  <c r="F82" i="11"/>
  <c r="U81" i="11"/>
  <c r="F81" i="11"/>
  <c r="U80" i="11"/>
  <c r="F80" i="11"/>
  <c r="U79" i="11"/>
  <c r="F79" i="11"/>
  <c r="U78" i="11"/>
  <c r="F78" i="11"/>
  <c r="U77" i="11"/>
  <c r="F77" i="11"/>
  <c r="U76" i="11"/>
  <c r="F76" i="11"/>
  <c r="U75" i="11"/>
  <c r="F75" i="11"/>
  <c r="U74" i="11"/>
  <c r="F74" i="11"/>
  <c r="U73" i="11"/>
  <c r="F73" i="11"/>
  <c r="U72" i="11"/>
  <c r="F72" i="11"/>
  <c r="U71" i="11"/>
  <c r="F71" i="11"/>
  <c r="U70" i="11"/>
  <c r="F70" i="11"/>
  <c r="U69" i="11"/>
  <c r="F69" i="11"/>
  <c r="U68" i="11"/>
  <c r="F68" i="11"/>
  <c r="U67" i="11"/>
  <c r="F67" i="11"/>
  <c r="U66" i="11"/>
  <c r="F66" i="11"/>
  <c r="U65" i="11"/>
  <c r="F65" i="11"/>
  <c r="U64" i="11"/>
  <c r="F64" i="11"/>
  <c r="U63" i="11"/>
  <c r="F63" i="11"/>
  <c r="U62" i="11"/>
  <c r="F62" i="11"/>
  <c r="U61" i="11"/>
  <c r="F61" i="11"/>
  <c r="U60" i="11"/>
  <c r="F60" i="11"/>
  <c r="U59" i="11"/>
  <c r="F59" i="11"/>
  <c r="U58" i="11"/>
  <c r="F58" i="11"/>
  <c r="U57" i="11"/>
  <c r="F57" i="11"/>
  <c r="U56" i="11"/>
  <c r="U55" i="11"/>
  <c r="F55" i="11"/>
  <c r="U54" i="11"/>
  <c r="F54" i="11"/>
  <c r="U53" i="11"/>
  <c r="F53" i="11"/>
  <c r="U52" i="11"/>
  <c r="F52" i="11"/>
  <c r="U51" i="11"/>
  <c r="F51" i="11"/>
  <c r="U50" i="11"/>
  <c r="F50" i="11"/>
  <c r="U49" i="11"/>
  <c r="F49" i="11"/>
  <c r="U48" i="11"/>
  <c r="F48" i="11"/>
  <c r="U47" i="11"/>
  <c r="F47" i="11"/>
  <c r="F46" i="11"/>
  <c r="U44" i="11"/>
  <c r="F44" i="11"/>
  <c r="U43" i="11"/>
  <c r="F43" i="11"/>
  <c r="U42" i="11"/>
  <c r="F42" i="11"/>
  <c r="U41" i="11"/>
  <c r="F41" i="11"/>
  <c r="U40" i="11"/>
  <c r="F40" i="11"/>
  <c r="U39" i="11"/>
  <c r="U38" i="11"/>
  <c r="U25" i="11"/>
  <c r="F25" i="11"/>
  <c r="U24" i="11"/>
  <c r="F24" i="11"/>
  <c r="U23" i="11"/>
  <c r="F23" i="11"/>
  <c r="U22" i="11"/>
  <c r="F22" i="11"/>
  <c r="U21" i="11"/>
  <c r="F21" i="11"/>
  <c r="U20" i="11"/>
  <c r="F20" i="11"/>
  <c r="U19" i="11"/>
  <c r="F19" i="11"/>
  <c r="U18" i="11"/>
  <c r="F18" i="11"/>
  <c r="U17" i="11"/>
  <c r="F17" i="11"/>
  <c r="U16" i="11"/>
  <c r="F16" i="11"/>
  <c r="U15" i="11"/>
  <c r="F15" i="11"/>
  <c r="U14" i="11"/>
  <c r="F14" i="11"/>
  <c r="U13" i="11"/>
  <c r="F9" i="11"/>
  <c r="U8" i="11"/>
  <c r="F8" i="11"/>
  <c r="U7" i="11"/>
  <c r="F7" i="11"/>
  <c r="U6" i="11"/>
  <c r="F6" i="11"/>
  <c r="F419" i="11" s="1"/>
  <c r="U27" i="13" l="1"/>
  <c r="F310" i="5"/>
  <c r="N27" i="5"/>
  <c r="K5" i="12" l="1"/>
  <c r="F178" i="7"/>
  <c r="F177" i="7"/>
  <c r="F176" i="7"/>
  <c r="F175" i="7"/>
  <c r="F174" i="7"/>
  <c r="F173" i="7"/>
  <c r="F172" i="7"/>
  <c r="F171" i="7"/>
  <c r="F170" i="7"/>
  <c r="F158" i="7"/>
  <c r="F157" i="7"/>
  <c r="F164" i="7"/>
  <c r="F163" i="7"/>
  <c r="F162" i="7"/>
  <c r="F161" i="7"/>
  <c r="F160" i="7"/>
  <c r="F159" i="7"/>
  <c r="F156" i="7"/>
  <c r="F155" i="7"/>
  <c r="F143" i="7"/>
  <c r="F219" i="5"/>
  <c r="F220" i="5"/>
  <c r="F142" i="7"/>
  <c r="F218" i="5"/>
  <c r="F149" i="7"/>
  <c r="F148" i="7"/>
  <c r="F147" i="7"/>
  <c r="F146" i="7"/>
  <c r="F145" i="7"/>
  <c r="F144" i="7"/>
  <c r="F141" i="7"/>
  <c r="F140" i="7"/>
  <c r="F134" i="7"/>
  <c r="F133" i="7"/>
  <c r="F132" i="7"/>
  <c r="F131" i="7"/>
  <c r="F130" i="7"/>
  <c r="F129" i="7"/>
  <c r="F128" i="7"/>
  <c r="F127" i="7"/>
  <c r="F121" i="7"/>
  <c r="F120" i="7"/>
  <c r="F119" i="7"/>
  <c r="F118" i="7"/>
  <c r="F116" i="7"/>
  <c r="F115" i="7"/>
  <c r="F114" i="7"/>
  <c r="F106" i="7"/>
  <c r="F105" i="7"/>
  <c r="F103" i="7"/>
  <c r="F102" i="7"/>
  <c r="F101" i="7"/>
  <c r="F96" i="7"/>
  <c r="F95" i="7"/>
  <c r="F94" i="7"/>
  <c r="F93" i="7"/>
  <c r="F92" i="7"/>
  <c r="F90" i="7"/>
  <c r="F89" i="7"/>
  <c r="F88" i="7"/>
  <c r="F78" i="7"/>
  <c r="F83" i="7"/>
  <c r="F82" i="7"/>
  <c r="F81" i="7"/>
  <c r="F80" i="7"/>
  <c r="F79" i="7"/>
  <c r="F77" i="7"/>
  <c r="F76" i="7"/>
  <c r="F75" i="7"/>
  <c r="F69" i="7"/>
  <c r="F68" i="7"/>
  <c r="F67" i="7"/>
  <c r="F66" i="7"/>
  <c r="F65" i="7"/>
  <c r="F63" i="7"/>
  <c r="F62" i="7"/>
  <c r="F61" i="7"/>
  <c r="F55" i="7"/>
  <c r="F54" i="7"/>
  <c r="F53" i="7"/>
  <c r="F52" i="7"/>
  <c r="F51" i="7"/>
  <c r="F50" i="7"/>
  <c r="F49" i="7"/>
  <c r="F48" i="7"/>
  <c r="F47" i="7"/>
  <c r="F42" i="7"/>
  <c r="F41" i="7"/>
  <c r="F40" i="7"/>
  <c r="F39" i="7"/>
  <c r="F38" i="7"/>
  <c r="F37" i="7"/>
  <c r="F36" i="7"/>
  <c r="F35" i="7"/>
  <c r="F34" i="7"/>
  <c r="N118" i="5"/>
  <c r="N117" i="5"/>
  <c r="N116" i="5"/>
  <c r="N115" i="5"/>
  <c r="N114" i="5"/>
  <c r="N112" i="5"/>
  <c r="N111" i="5"/>
  <c r="N110" i="5"/>
  <c r="F279" i="5"/>
  <c r="F278" i="5"/>
  <c r="F277" i="5"/>
  <c r="F276" i="5"/>
  <c r="F275" i="5"/>
  <c r="F274" i="5"/>
  <c r="F273" i="5"/>
  <c r="F272" i="5"/>
  <c r="F271" i="5"/>
  <c r="F265" i="5"/>
  <c r="F264" i="5"/>
  <c r="F263" i="5"/>
  <c r="F262" i="5"/>
  <c r="F261" i="5"/>
  <c r="F260" i="5"/>
  <c r="F259" i="5"/>
  <c r="F258" i="5"/>
  <c r="F257" i="5"/>
  <c r="F251" i="5"/>
  <c r="F250" i="5"/>
  <c r="F249" i="5"/>
  <c r="F248" i="5"/>
  <c r="F247" i="5"/>
  <c r="F246" i="5"/>
  <c r="F245" i="5"/>
  <c r="F244" i="5"/>
  <c r="F238" i="5"/>
  <c r="F237" i="5"/>
  <c r="F236" i="5"/>
  <c r="F235" i="5"/>
  <c r="F234" i="5"/>
  <c r="F233" i="5"/>
  <c r="F232" i="5"/>
  <c r="F231" i="5"/>
  <c r="F225" i="5"/>
  <c r="F224" i="5"/>
  <c r="F223" i="5"/>
  <c r="F222" i="5"/>
  <c r="F221" i="5"/>
  <c r="F217" i="5"/>
  <c r="F216" i="5"/>
  <c r="F210" i="5"/>
  <c r="F209" i="5"/>
  <c r="F208" i="5"/>
  <c r="F207" i="5"/>
  <c r="F206" i="5"/>
  <c r="F205" i="5"/>
  <c r="F204" i="5"/>
  <c r="F203" i="5"/>
  <c r="F197" i="5"/>
  <c r="F196" i="5"/>
  <c r="F195" i="5"/>
  <c r="F194" i="5"/>
  <c r="F193" i="5"/>
  <c r="F192" i="5"/>
  <c r="F191" i="5"/>
  <c r="F190" i="5"/>
  <c r="F182" i="5"/>
  <c r="F181" i="5"/>
  <c r="F180" i="5"/>
  <c r="F179" i="5"/>
  <c r="F178" i="5"/>
  <c r="F177" i="5"/>
  <c r="F176" i="5"/>
  <c r="F175" i="5"/>
  <c r="F169" i="5"/>
  <c r="F168" i="5"/>
  <c r="F167" i="5"/>
  <c r="F166" i="5"/>
  <c r="F164" i="5"/>
  <c r="F163" i="5"/>
  <c r="F162" i="5"/>
  <c r="F143" i="5"/>
  <c r="F142" i="5"/>
  <c r="F140" i="5"/>
  <c r="F139" i="5"/>
  <c r="F138" i="5"/>
  <c r="F133" i="5"/>
  <c r="F132" i="5"/>
  <c r="F131" i="5"/>
  <c r="F130" i="5"/>
  <c r="F129" i="5"/>
  <c r="F127" i="5"/>
  <c r="F126" i="5"/>
  <c r="F125" i="5"/>
  <c r="F120" i="5"/>
  <c r="F119" i="5"/>
  <c r="F118" i="5"/>
  <c r="F117" i="5"/>
  <c r="F116" i="5"/>
  <c r="F114" i="5"/>
  <c r="F113" i="5"/>
  <c r="F112" i="5"/>
  <c r="F106" i="5"/>
  <c r="F105" i="5"/>
  <c r="F104" i="5"/>
  <c r="F103" i="5"/>
  <c r="F101" i="5"/>
  <c r="F100" i="5"/>
  <c r="F99" i="5"/>
  <c r="F93" i="5"/>
  <c r="F92" i="5"/>
  <c r="F91" i="5"/>
  <c r="F90" i="5"/>
  <c r="F88" i="5"/>
  <c r="F87" i="5"/>
  <c r="F86" i="5"/>
  <c r="F80" i="5"/>
  <c r="F79" i="5"/>
  <c r="F78" i="5"/>
  <c r="F77" i="5"/>
  <c r="F76" i="5"/>
  <c r="F74" i="5"/>
  <c r="F73" i="5"/>
  <c r="F72" i="5"/>
  <c r="F66" i="5"/>
  <c r="F65" i="5"/>
  <c r="F64" i="5"/>
  <c r="F63" i="5"/>
  <c r="F62" i="5"/>
  <c r="F60" i="5"/>
  <c r="F59" i="5"/>
  <c r="F58" i="5"/>
  <c r="F52" i="5"/>
  <c r="F51" i="5"/>
  <c r="F50" i="5"/>
  <c r="F49" i="5"/>
  <c r="F47" i="5"/>
  <c r="F46" i="5"/>
  <c r="F45" i="5"/>
  <c r="F39" i="5"/>
  <c r="F38" i="5"/>
  <c r="F37" i="5"/>
  <c r="F36" i="5"/>
  <c r="F35" i="5"/>
  <c r="F34" i="5"/>
  <c r="F33" i="5"/>
  <c r="F32" i="5"/>
  <c r="F31" i="5"/>
  <c r="F24" i="5"/>
  <c r="F23" i="5"/>
  <c r="F22" i="5"/>
  <c r="F21" i="5"/>
  <c r="F20" i="5"/>
  <c r="F19" i="5"/>
  <c r="F18" i="5"/>
  <c r="F17" i="5"/>
  <c r="N11" i="5"/>
  <c r="N10" i="5"/>
  <c r="F10" i="5"/>
  <c r="N9" i="5"/>
  <c r="F9" i="5"/>
  <c r="N8" i="5"/>
  <c r="F8" i="5"/>
  <c r="N7" i="5"/>
  <c r="F7" i="5"/>
  <c r="N6" i="5"/>
  <c r="F6" i="5"/>
  <c r="N5" i="5"/>
  <c r="F5" i="5"/>
  <c r="N4" i="5"/>
  <c r="F4" i="5"/>
  <c r="F3" i="5"/>
  <c r="F179" i="7" l="1"/>
  <c r="U25" i="16" s="1"/>
  <c r="V25" i="16" s="1"/>
  <c r="W25" i="16" s="1"/>
  <c r="F165" i="7"/>
  <c r="U24" i="16" s="1"/>
  <c r="V24" i="16" s="1"/>
  <c r="W24" i="16" s="1"/>
  <c r="F108" i="5"/>
  <c r="F26" i="5"/>
  <c r="F40" i="5"/>
  <c r="F54" i="5"/>
  <c r="F145" i="5"/>
  <c r="F67" i="5"/>
  <c r="F122" i="7"/>
  <c r="U15" i="16" s="1"/>
  <c r="V15" i="16" s="1"/>
  <c r="W15" i="16" s="1"/>
  <c r="F43" i="7"/>
  <c r="F198" i="5"/>
  <c r="F239" i="5"/>
  <c r="F266" i="5"/>
  <c r="F170" i="5"/>
  <c r="F280" i="5"/>
  <c r="F183" i="5"/>
  <c r="F211" i="5"/>
  <c r="F252" i="5"/>
  <c r="F11" i="5"/>
  <c r="F121" i="5"/>
  <c r="F134" i="5"/>
  <c r="F226" i="5"/>
  <c r="F150" i="7"/>
  <c r="U21" i="16" s="1"/>
  <c r="V21" i="16" s="1"/>
  <c r="F135" i="7"/>
  <c r="U17" i="16" s="1"/>
  <c r="V17" i="16" s="1"/>
  <c r="W17" i="16" s="1"/>
  <c r="F108" i="7"/>
  <c r="U14" i="16" s="1"/>
  <c r="V14" i="16" s="1"/>
  <c r="W14" i="16" s="1"/>
  <c r="F97" i="7"/>
  <c r="U13" i="16" s="1"/>
  <c r="V13" i="16" s="1"/>
  <c r="W13" i="16" s="1"/>
  <c r="F95" i="5"/>
  <c r="F84" i="7"/>
  <c r="U9" i="16" s="1"/>
  <c r="V9" i="16" s="1"/>
  <c r="W9" i="16" s="1"/>
  <c r="F81" i="5"/>
  <c r="F70" i="7"/>
  <c r="U8" i="16" s="1"/>
  <c r="V8" i="16" s="1"/>
  <c r="W8" i="16" s="1"/>
  <c r="F56" i="7"/>
  <c r="N119" i="5"/>
  <c r="N12" i="5"/>
  <c r="W21" i="16" l="1"/>
  <c r="W27" i="16" s="1"/>
  <c r="V27" i="16"/>
  <c r="U27" i="16"/>
  <c r="X27" i="16" s="1"/>
  <c r="U6" i="13"/>
  <c r="U6" i="16"/>
  <c r="U9" i="13"/>
  <c r="U25" i="13"/>
  <c r="U15" i="13"/>
  <c r="U26" i="13"/>
  <c r="U22" i="13"/>
  <c r="U28" i="13" s="1"/>
  <c r="U17" i="13"/>
  <c r="U14" i="13"/>
  <c r="U13" i="13"/>
  <c r="K17" i="12"/>
  <c r="K16" i="12"/>
  <c r="K11" i="12"/>
  <c r="K6" i="12"/>
  <c r="U8" i="13"/>
  <c r="K18" i="12"/>
  <c r="K13" i="12"/>
  <c r="K12" i="12"/>
  <c r="K10" i="12"/>
  <c r="K9" i="12"/>
  <c r="F10" i="7"/>
  <c r="F27" i="7"/>
  <c r="V6" i="16" l="1"/>
  <c r="W6" i="16" s="1"/>
  <c r="K15" i="12"/>
  <c r="K20" i="12"/>
  <c r="F28" i="7"/>
  <c r="F26" i="7"/>
  <c r="F25" i="7"/>
  <c r="F24" i="7"/>
  <c r="F23" i="7"/>
  <c r="F22" i="7"/>
  <c r="F21" i="7"/>
  <c r="F19" i="7"/>
  <c r="F12" i="7"/>
  <c r="F9" i="7"/>
  <c r="F8" i="7"/>
  <c r="F7" i="7"/>
  <c r="F6" i="7"/>
  <c r="F5" i="7"/>
  <c r="F4" i="7"/>
  <c r="F3" i="7"/>
  <c r="K21" i="12" l="1"/>
  <c r="F30" i="7"/>
  <c r="F13" i="7"/>
  <c r="U7" i="16" s="1"/>
  <c r="V7" i="16" l="1"/>
  <c r="W7" i="16" s="1"/>
  <c r="W19" i="16" s="1"/>
  <c r="U19" i="16"/>
  <c r="U7" i="13"/>
  <c r="U28" i="16" l="1"/>
  <c r="X19" i="16"/>
  <c r="U20" i="13"/>
  <c r="U29" i="13" s="1"/>
</calcChain>
</file>

<file path=xl/sharedStrings.xml><?xml version="1.0" encoding="utf-8"?>
<sst xmlns="http://schemas.openxmlformats.org/spreadsheetml/2006/main" count="2107" uniqueCount="579">
  <si>
    <t>Results Areas</t>
  </si>
  <si>
    <t>Main Activities</t>
  </si>
  <si>
    <t>Sub Activities</t>
  </si>
  <si>
    <t>Expected Outputs</t>
  </si>
  <si>
    <t>Performance Indicators</t>
  </si>
  <si>
    <t>Means of verification</t>
  </si>
  <si>
    <t xml:space="preserve">Estimated Cost </t>
  </si>
  <si>
    <t>Off-budget resources</t>
  </si>
  <si>
    <t>Funding Gap</t>
  </si>
  <si>
    <t>July</t>
  </si>
  <si>
    <t>Aug</t>
  </si>
  <si>
    <t>Sep</t>
  </si>
  <si>
    <t>Oct</t>
  </si>
  <si>
    <t>Nov</t>
  </si>
  <si>
    <t>Dec</t>
  </si>
  <si>
    <t>Jan</t>
  </si>
  <si>
    <t>Feb</t>
  </si>
  <si>
    <t>Mar</t>
  </si>
  <si>
    <t>Apr</t>
  </si>
  <si>
    <t>May</t>
  </si>
  <si>
    <t>Jun</t>
  </si>
  <si>
    <t>Source of funding</t>
  </si>
  <si>
    <t>Amount</t>
  </si>
  <si>
    <t>GOK</t>
  </si>
  <si>
    <t>Approved Budget (Rec &amp; Dev)</t>
  </si>
  <si>
    <t>Total</t>
  </si>
  <si>
    <t>2024/25</t>
  </si>
  <si>
    <t>Target</t>
  </si>
  <si>
    <t xml:space="preserve">Mapping of snakes of medical importance and snakebite Hotspots   </t>
  </si>
  <si>
    <t>Strengthen the Human Resource for snakebite management and antivenom production</t>
  </si>
  <si>
    <t>Number of counties trained</t>
  </si>
  <si>
    <t>applications for the Ethical approvals and NACOSTI permits submitted</t>
  </si>
  <si>
    <t>Ethical approvals, NACOSTI permits</t>
  </si>
  <si>
    <t>Conduct coverage surveys to map Snakebite Hotspots</t>
  </si>
  <si>
    <t>number of data collectors trained per county</t>
  </si>
  <si>
    <t>Training certificates</t>
  </si>
  <si>
    <t>Data collectors trained on community-based survey methodologies</t>
  </si>
  <si>
    <t>Number of counties surveyed</t>
  </si>
  <si>
    <t>survey questionnaires, geographic maps</t>
  </si>
  <si>
    <t>number of integration programs on snakebite prevention and intervention</t>
  </si>
  <si>
    <t xml:space="preserve">Number of program officers trained </t>
  </si>
  <si>
    <t>Training programes/ schedules, training certificates</t>
  </si>
  <si>
    <t>number of counties trained</t>
  </si>
  <si>
    <t>training schedules, attendance sheets, photo evidence</t>
  </si>
  <si>
    <t>healthcare workers and community healthcare promoters in 8 counties trained on protocols in integrating Snakebite Envenoming mapping with other NTDs, Malaria and Livestock programs</t>
  </si>
  <si>
    <t>Maps of surveyed counties, Vehicle work tickets, county approval letters</t>
  </si>
  <si>
    <t>Train 5 program officers on mapping of snakes of Medical Importance and other venomous snakes using the Geographic Information System.(GIS)</t>
  </si>
  <si>
    <t xml:space="preserve"> program officers trained on  mapping of snakes of Medical Importance and other venomous snakes using the GIS system</t>
  </si>
  <si>
    <t xml:space="preserve">Number of ethical approvals and NACOSTI </t>
  </si>
  <si>
    <t>validation surveys conducted</t>
  </si>
  <si>
    <t>Validation report, Vehicle work tickets</t>
  </si>
  <si>
    <t>Number of counties where validation surveys were conducted</t>
  </si>
  <si>
    <t>Number of counties where CHPs were trained</t>
  </si>
  <si>
    <t>Meeting notices, Photos</t>
  </si>
  <si>
    <t>Social media, website &amp; other digital platforms engaged</t>
  </si>
  <si>
    <t>Number of Social media, website &amp; other digital platforms Engaged</t>
  </si>
  <si>
    <t>Active Social Media Handles, Website</t>
  </si>
  <si>
    <t>training needs assessment to evaluate the requirements for training healthcare workers in snakebite diagnosis, management, antivenom administration, and prevention and control measures conducted</t>
  </si>
  <si>
    <t>Finalized assessment reports</t>
  </si>
  <si>
    <t>number of training mannuals developed</t>
  </si>
  <si>
    <t xml:space="preserve">workshop reports, Training manuals, Vehicle work tickets, </t>
  </si>
  <si>
    <t>Needs assessment reports per county</t>
  </si>
  <si>
    <t xml:space="preserve">County ToTs trained on snakebite diagnosis, management, antivenom administration and snakebite prevention and control measure </t>
  </si>
  <si>
    <t>training mannuals on snakebite diagnosis, management, antivenom administration and snakebite prevention and control measures developed.</t>
  </si>
  <si>
    <t>Number of CHP Training programs launched</t>
  </si>
  <si>
    <t>County CHP training programes launched</t>
  </si>
  <si>
    <t>Attendance sheets,  county approval letters, invitation letters, photos</t>
  </si>
  <si>
    <t>CHPs trained on snakebite diagnosis, treatment, management and rehabilitation</t>
  </si>
  <si>
    <t>Tool for reporting community-based snakebite incidences and deaths developed</t>
  </si>
  <si>
    <t>Number of reporting tools developed</t>
  </si>
  <si>
    <t>Develop a user friendly community based reporting tool to report snakebite incidences and deaths across 8 counties</t>
  </si>
  <si>
    <t>Engage Social media, website &amp; other digital platforms to create awareness on snake identification, snakebite first aid and  prevention and control measures</t>
  </si>
  <si>
    <t xml:space="preserve">awareness campaigns to educate communities on snakebite first aidnd  prevention and control measures held </t>
  </si>
  <si>
    <t>Number of awareness campaigns held</t>
  </si>
  <si>
    <t>Number of school based campaigns conducted</t>
  </si>
  <si>
    <t>County approvals, Training Reports, training certificates, attendance sheets</t>
  </si>
  <si>
    <t>Train Community Health Promoters (CHPs) on snake species identification, snakebite diagnosis, first aid, prevention and control measures</t>
  </si>
  <si>
    <t>Training reports, training certificates</t>
  </si>
  <si>
    <t xml:space="preserve">Train health care workers on snakebite diagnosis, management, antivenom administration and snakebite prevention and control measures </t>
  </si>
  <si>
    <t>mpaign reports, attendance records, photographs, feedback forms</t>
  </si>
  <si>
    <t>2023/24</t>
  </si>
  <si>
    <t xml:space="preserve">April </t>
  </si>
  <si>
    <t>June</t>
  </si>
  <si>
    <t>Integrate Snakebite Envenoming mapping with other NTD programs</t>
  </si>
  <si>
    <t>Integrate Snakebite  mapping with the Kenya Livestock MasterPlan (KLMP)</t>
  </si>
  <si>
    <t>school based campaigns to raise awareness on snake identification, first aid measures and prevention and control of snakebite conducted (educational games, puppetries)</t>
  </si>
  <si>
    <t>ITEM</t>
  </si>
  <si>
    <t>UNIT COST</t>
  </si>
  <si>
    <t>QTY</t>
  </si>
  <si>
    <t>TOTAL</t>
  </si>
  <si>
    <t>Per diem</t>
  </si>
  <si>
    <t>conference</t>
  </si>
  <si>
    <t>fuel cost</t>
  </si>
  <si>
    <t>vehicle maintenance</t>
  </si>
  <si>
    <t>Air ticket</t>
  </si>
  <si>
    <t>Subsistence allowance</t>
  </si>
  <si>
    <t>Training allowance</t>
  </si>
  <si>
    <t>training materials</t>
  </si>
  <si>
    <t>Media</t>
  </si>
  <si>
    <t>Days</t>
  </si>
  <si>
    <t>counties</t>
  </si>
  <si>
    <t>Sub activity 1</t>
  </si>
  <si>
    <t>Sub activity 2</t>
  </si>
  <si>
    <t>Sub activity 3</t>
  </si>
  <si>
    <t>Sub activity 4</t>
  </si>
  <si>
    <t>Data collection materials</t>
  </si>
  <si>
    <t>Sub activity 5</t>
  </si>
  <si>
    <t>Sub activity 6</t>
  </si>
  <si>
    <t>Sub activity 7</t>
  </si>
  <si>
    <t xml:space="preserve">Subsistence allowance </t>
  </si>
  <si>
    <t>Sub activity 8</t>
  </si>
  <si>
    <t>Sub activity 9</t>
  </si>
  <si>
    <t>Sub activity 10</t>
  </si>
  <si>
    <t>Sub activity 11</t>
  </si>
  <si>
    <t>Sub activity 12</t>
  </si>
  <si>
    <t>Sub activity 13</t>
  </si>
  <si>
    <t>Printing/ Branding</t>
  </si>
  <si>
    <t>Sub activity 14</t>
  </si>
  <si>
    <t>Sub activity 15</t>
  </si>
  <si>
    <t>Sub activity 16</t>
  </si>
  <si>
    <t>Sub activity 17</t>
  </si>
  <si>
    <t>Sub activity 18</t>
  </si>
  <si>
    <t>Sub activity 19</t>
  </si>
  <si>
    <t>Sub activity 20</t>
  </si>
  <si>
    <t xml:space="preserve"> Subsistance allowance (CHPs)</t>
  </si>
  <si>
    <t>Printing materials</t>
  </si>
  <si>
    <t xml:space="preserve">Dissemination conducted in counties where integration of snakebite envenoming mapping with other NTD programs was conducted </t>
  </si>
  <si>
    <t>Number of sub counties where dissemination was conducted</t>
  </si>
  <si>
    <t>Report</t>
  </si>
  <si>
    <t>Conduct five school-based campaigns in each of the 10 counties to raise awareness among children on snake identification, first aid measures, and snakebite prevention and control.</t>
  </si>
  <si>
    <t>Sub activity 21</t>
  </si>
  <si>
    <t xml:space="preserve"> Subsistance allowance (CHMT)</t>
  </si>
  <si>
    <t>counties surveyed for venomous snake identification and GIS mapping</t>
  </si>
  <si>
    <t>Number of counties surveyed, Species of snakes of medical importance and other venomous snakes  identified, Number of county geographical maps developed</t>
  </si>
  <si>
    <t>Vehicle work tickets, county approval letters, complete Snake species data sheets, County geographical maps</t>
  </si>
  <si>
    <t xml:space="preserve">Sub activity </t>
  </si>
  <si>
    <t>Security</t>
  </si>
  <si>
    <t>Invoice receipts, Attendance sheets, county approval letters</t>
  </si>
  <si>
    <t>Number of venues procured, number of county approval letters acquired.</t>
  </si>
  <si>
    <t xml:space="preserve">workshop programme, attendance sheet, Meeting agendas and minutes, venue payment receipts, Database </t>
  </si>
  <si>
    <t>common integration programs on snakebite prevention and intervention identified, integration protocols and SOPs developed, Dashboard for mapping of snakes of medical importance and snakebite hotspots created</t>
  </si>
  <si>
    <t xml:space="preserve">number of integration programs identified, number of protocols developed, Number of dashboards created and intergrated into the MoH-NTD database </t>
  </si>
  <si>
    <t>workshop programme, attendance sheet, Meeting agendas and minutes, venue payment receipts, Integrated program protocols, SOPs</t>
  </si>
  <si>
    <t>common integration programs on snakebite prevention and intervention identified, Integration protocols and SOPs in integrating Snakebite Envenoming mapping with Livestock KLMP program developed</t>
  </si>
  <si>
    <t xml:space="preserve">Dissemination conducted in counties where integration of snakebite envenoming mapping with KLMP programs was conducted </t>
  </si>
  <si>
    <t>Train health care workers on snakebite diagnosis, management, antivenom administration and snakebite prevention and control measures</t>
  </si>
  <si>
    <t>ITEM DESCRIPTION</t>
  </si>
  <si>
    <t>UNIT</t>
  </si>
  <si>
    <t>ESTIMATED UNIT PRICE</t>
  </si>
  <si>
    <t>TOTAL ESTIMATED  PRICE</t>
  </si>
  <si>
    <t>USER DEPT</t>
  </si>
  <si>
    <t>PROCUREMENT METHOD</t>
  </si>
  <si>
    <t>SOURCE OF FUNDS</t>
  </si>
  <si>
    <t>YOUTH</t>
  </si>
  <si>
    <t>WOMEN</t>
  </si>
  <si>
    <t>PWD</t>
  </si>
  <si>
    <t>OPEN</t>
  </si>
  <si>
    <t>QUARTER REQUIRED</t>
  </si>
  <si>
    <t>1ST</t>
  </si>
  <si>
    <t>2ND</t>
  </si>
  <si>
    <t>3RD</t>
  </si>
  <si>
    <t>4TH</t>
  </si>
  <si>
    <t>KSH</t>
  </si>
  <si>
    <t>1.Licenses and permits</t>
  </si>
  <si>
    <t>NACOSTI research license</t>
  </si>
  <si>
    <t>KSRIC</t>
  </si>
  <si>
    <t>Direct Procurement</t>
  </si>
  <si>
    <t>√</t>
  </si>
  <si>
    <t>WRTI research permit</t>
  </si>
  <si>
    <t>NEMA access permit</t>
  </si>
  <si>
    <t>KWS research permit</t>
  </si>
  <si>
    <t>ISO Certificate</t>
  </si>
  <si>
    <t>2.Medical and veterinary supplies consumables</t>
  </si>
  <si>
    <t>SAIMR monovalent antivenom(Boomslang), EchiTab-Plus monovalent antivenom , Saimr polyvalent</t>
  </si>
  <si>
    <t>PKT</t>
  </si>
  <si>
    <t>30 gauge insulin/trajector syringes</t>
  </si>
  <si>
    <t>box</t>
  </si>
  <si>
    <t>RFQ</t>
  </si>
  <si>
    <t>cotton wool</t>
  </si>
  <si>
    <t>roll</t>
  </si>
  <si>
    <t>dissecting kit</t>
  </si>
  <si>
    <t>no</t>
  </si>
  <si>
    <t>formaldehyde</t>
  </si>
  <si>
    <t>2.5litres</t>
  </si>
  <si>
    <t>surgical spirit</t>
  </si>
  <si>
    <t>5litres</t>
  </si>
  <si>
    <t>Nitrile  gloves-Large</t>
  </si>
  <si>
    <t>Pkt</t>
  </si>
  <si>
    <t>Nitrile gloves medium</t>
  </si>
  <si>
    <t>Nitrile gloves small</t>
  </si>
  <si>
    <t>Bio hazards bags</t>
  </si>
  <si>
    <t>Disposable bags</t>
  </si>
  <si>
    <t>Dustbins</t>
  </si>
  <si>
    <t>No.</t>
  </si>
  <si>
    <t xml:space="preserve">Oxytetracycline </t>
  </si>
  <si>
    <t>100ml</t>
  </si>
  <si>
    <t>Penstrep</t>
  </si>
  <si>
    <t xml:space="preserve">100ml </t>
  </si>
  <si>
    <t>Biotrin</t>
  </si>
  <si>
    <t xml:space="preserve">200g </t>
  </si>
  <si>
    <t xml:space="preserve">Piperazin </t>
  </si>
  <si>
    <t>100g</t>
  </si>
  <si>
    <t>Albafas 10%</t>
  </si>
  <si>
    <t>1liter</t>
  </si>
  <si>
    <t>Hydrogen peroxide</t>
  </si>
  <si>
    <t>200ml</t>
  </si>
  <si>
    <t>Iodine</t>
  </si>
  <si>
    <t>500ml</t>
  </si>
  <si>
    <t>Ivermectin</t>
  </si>
  <si>
    <t>Jik</t>
  </si>
  <si>
    <t>20ml ordinary syringe</t>
  </si>
  <si>
    <t>5ml Ordinary syringe</t>
  </si>
  <si>
    <t>pkt</t>
  </si>
  <si>
    <t>3.Medical and veterinary supplies non consumbles</t>
  </si>
  <si>
    <t>First Aid kit</t>
  </si>
  <si>
    <t>No</t>
  </si>
  <si>
    <t>Eye wash and mounted station</t>
  </si>
  <si>
    <t>Spray Bottles 500ml</t>
  </si>
  <si>
    <t>Wash Bottles 500ml</t>
  </si>
  <si>
    <t>NO</t>
  </si>
  <si>
    <t>Snake bite emergency kit</t>
  </si>
  <si>
    <t>Geotagging Machine</t>
  </si>
  <si>
    <t>Health Montering Devices</t>
  </si>
  <si>
    <t>4.TOOLS  AND EQUIPMENT</t>
  </si>
  <si>
    <t>5. VEHICLE MAITAINANCE AND FUEL</t>
  </si>
  <si>
    <t>Diesel(fuel) for snake capture work in 15 counties</t>
  </si>
  <si>
    <t>litres</t>
  </si>
  <si>
    <t>Service of motor vehicles</t>
  </si>
  <si>
    <t>fuel for snake mapping</t>
  </si>
  <si>
    <t xml:space="preserve">Vehicle maintainance </t>
  </si>
  <si>
    <t>several</t>
  </si>
  <si>
    <t>6. Uniforms and Protective gears</t>
  </si>
  <si>
    <t>7. Laboratory supplies non  consumables</t>
  </si>
  <si>
    <t>Conical Flask 25ml</t>
  </si>
  <si>
    <t>Conical Flask 50ml</t>
  </si>
  <si>
    <t>Conical Flask 100ml</t>
  </si>
  <si>
    <t>Conical Flask 250ml</t>
  </si>
  <si>
    <t>Conical Flask 500ml</t>
  </si>
  <si>
    <t>Conical Flask 1000ml</t>
  </si>
  <si>
    <t>Beakers 50ml</t>
  </si>
  <si>
    <t>Beakers100ml</t>
  </si>
  <si>
    <t>Beakers 250ml</t>
  </si>
  <si>
    <t>Beakers 500ml</t>
  </si>
  <si>
    <t>Beakers 1000ml</t>
  </si>
  <si>
    <t>8.Lboratory Supplies Consumables</t>
  </si>
  <si>
    <t>Serological pipettes 5ml</t>
  </si>
  <si>
    <t>pc</t>
  </si>
  <si>
    <t>Serological pipettes 10ml</t>
  </si>
  <si>
    <t>Serological pipettes 25ml</t>
  </si>
  <si>
    <t>Serological pipettes 50 ml</t>
  </si>
  <si>
    <t>Eppendorf tubes (1.5ml)</t>
  </si>
  <si>
    <t>50ml Falcon Tubes</t>
  </si>
  <si>
    <t>Tips( 200ul) yellow</t>
  </si>
  <si>
    <t>Tips (1000ul)blue</t>
  </si>
  <si>
    <t>Filtered Tips( 10ul)</t>
  </si>
  <si>
    <t>Filtered Tips( 200ul)</t>
  </si>
  <si>
    <t>Filtered Tips(1000ul)</t>
  </si>
  <si>
    <t>0.2 µm filter, Nalgene rapid flow sterile disposable filter units with PES membranes(pack of 12)</t>
  </si>
  <si>
    <t xml:space="preserve">Elisa 96 well plates (Nunc flat bottom),  </t>
  </si>
  <si>
    <t>Box</t>
  </si>
  <si>
    <t xml:space="preserve"> 0.22 µm filters</t>
  </si>
  <si>
    <t>sodium citrate tubes( 6ml)</t>
  </si>
  <si>
    <t>pkts</t>
  </si>
  <si>
    <t>9.Laboratory Chemicals, Reagents and kits</t>
  </si>
  <si>
    <t xml:space="preserve">Tris buffer </t>
  </si>
  <si>
    <t>500gm</t>
  </si>
  <si>
    <t>Glycine</t>
  </si>
  <si>
    <t>SDS Powder</t>
  </si>
  <si>
    <t>Glycerol</t>
  </si>
  <si>
    <t>Bromophenol blue 25g</t>
  </si>
  <si>
    <t>Coomassie brilliant blue stain 25g</t>
  </si>
  <si>
    <t>Acetic acid</t>
  </si>
  <si>
    <t xml:space="preserve"> 10X PBS  1litre</t>
  </si>
  <si>
    <t>bottles</t>
  </si>
  <si>
    <t>absolute ethanol</t>
  </si>
  <si>
    <t>absolute methanol</t>
  </si>
  <si>
    <t>sodium phosphate monobasic</t>
  </si>
  <si>
    <t>sodium phosphate dibasic</t>
  </si>
  <si>
    <t>sodium phosphate tribasic</t>
  </si>
  <si>
    <t>PH Meter standards 4.0 (1L)</t>
  </si>
  <si>
    <t>PH Meter standards 7.01(1L)</t>
  </si>
  <si>
    <t>PH Meter standards storage(1L)</t>
  </si>
  <si>
    <t>Tween 20 100ml</t>
  </si>
  <si>
    <t>Soy Milk</t>
  </si>
  <si>
    <t>Pkts</t>
  </si>
  <si>
    <t>Horseradish Peroxidase-Conjugated Rabbit anti-horse 1gG secondary antibody</t>
  </si>
  <si>
    <t>vials</t>
  </si>
  <si>
    <t>Coating Buffer Tablets</t>
  </si>
  <si>
    <t xml:space="preserve">Citric Acid </t>
  </si>
  <si>
    <t>ABTZ Tablets</t>
  </si>
  <si>
    <t>Gelatin, (500gm)</t>
  </si>
  <si>
    <t xml:space="preserve">Triton X-100 </t>
  </si>
  <si>
    <t>Azocasein 5gm</t>
  </si>
  <si>
    <t>Trichloroacetic acid( 500ml)</t>
  </si>
  <si>
    <t>Agarose  500g</t>
  </si>
  <si>
    <t>Human fibronogen ( 100mg)</t>
  </si>
  <si>
    <t>sachets</t>
  </si>
  <si>
    <t>Mass spectrometry (service)</t>
  </si>
  <si>
    <t>CaCL2  (500grams)</t>
  </si>
  <si>
    <t>bottle</t>
  </si>
  <si>
    <t>NaCL (500g)</t>
  </si>
  <si>
    <t>NaOH (500g)</t>
  </si>
  <si>
    <t>Purified protease from bovine plasma</t>
  </si>
  <si>
    <t>DNA from calf thymus</t>
  </si>
  <si>
    <t xml:space="preserve">Dnase from bovine pancreas </t>
  </si>
  <si>
    <t>One Taq 2X master mix</t>
  </si>
  <si>
    <t>kit</t>
  </si>
  <si>
    <t xml:space="preserve">Phusion Green hot star 11 high fidelity PCR master mix </t>
  </si>
  <si>
    <t>Molecular grade water (500ml)</t>
  </si>
  <si>
    <t xml:space="preserve">bottle </t>
  </si>
  <si>
    <t xml:space="preserve">DNA sequencing </t>
  </si>
  <si>
    <t>sample</t>
  </si>
  <si>
    <t>DNA extraction kit</t>
  </si>
  <si>
    <t>TAE X10 (5 liter)</t>
  </si>
  <si>
    <t>Bottle</t>
  </si>
  <si>
    <t>DNA purification kit (EXOSAP)</t>
  </si>
  <si>
    <t>Big dye sequencing kit</t>
  </si>
  <si>
    <t>Dried skimmed milk (500grams)</t>
  </si>
  <si>
    <t>tin</t>
  </si>
  <si>
    <t>0.45 μm  nitrocellulose membrane</t>
  </si>
  <si>
    <t>Diaminobenzidine (DAB) substrate</t>
  </si>
  <si>
    <t>Caprylic acid (500grams)</t>
  </si>
  <si>
    <t>IgG purification kit</t>
  </si>
  <si>
    <t>Dialysis cassettes</t>
  </si>
  <si>
    <t>Concetration devices</t>
  </si>
  <si>
    <t>pepsin</t>
  </si>
  <si>
    <t>kg</t>
  </si>
  <si>
    <t>ammonium sulfate (500 grams)</t>
  </si>
  <si>
    <t>Prestained protein ladder (100-250 kDa (2 vials)</t>
  </si>
  <si>
    <t>Unstained protein ladder (100-250 kDa (2vials)</t>
  </si>
  <si>
    <t xml:space="preserve">β-mercaptoethanol </t>
  </si>
  <si>
    <t>100bp DNA ladder</t>
  </si>
  <si>
    <t>1kb DNA ladder</t>
  </si>
  <si>
    <t>DNA loading dye</t>
  </si>
  <si>
    <t>Acrylamide</t>
  </si>
  <si>
    <t>Bis-acrylamide</t>
  </si>
  <si>
    <t>Ammonium persulfate (500g)</t>
  </si>
  <si>
    <t>TEMED</t>
  </si>
  <si>
    <t>Purified horse IgG (1mg/ml)</t>
  </si>
  <si>
    <t>Bovine serum albumin (1mg/ml)</t>
  </si>
  <si>
    <t>Yeast Extract (250g)</t>
  </si>
  <si>
    <t>D-Sorbitol (500g)</t>
  </si>
  <si>
    <t>Electroporation cuvettes</t>
  </si>
  <si>
    <t>SR-CAA yeast growth media (500g)</t>
  </si>
  <si>
    <t>D Raffinose Pentahydrate powder (100g)</t>
  </si>
  <si>
    <t>Bacto Casamino acids (500g)</t>
  </si>
  <si>
    <t>Dextrose (1kg)</t>
  </si>
  <si>
    <t>Galactose (1kg)</t>
  </si>
  <si>
    <t>anti-llama antibody</t>
  </si>
  <si>
    <t>Streptavidin-488 (SA-PE), Alexa fluor 488 dye</t>
  </si>
  <si>
    <t>KCL (500g)</t>
  </si>
  <si>
    <t>10.Laboratory tools and equipments</t>
  </si>
  <si>
    <t>STANDS</t>
  </si>
  <si>
    <t>Refrigerator (-20° C, +4 °C)</t>
  </si>
  <si>
    <t>Biosafety cabinet Class II B2</t>
  </si>
  <si>
    <t>Analytical weighing balance</t>
  </si>
  <si>
    <t xml:space="preserve">Gel electrophoresis system (casting plates, electrode assembly, companion running module, buffer tank and lid, casting stand and frames, Power Pac </t>
  </si>
  <si>
    <t>Microplate Spectophotometer (Preferred wavelength range 200 -999 nm)</t>
  </si>
  <si>
    <t>Open tender</t>
  </si>
  <si>
    <t>Illumina Hiseq 2500</t>
  </si>
  <si>
    <t>Automatic pipet aid</t>
  </si>
  <si>
    <t>Negative 80 freezer</t>
  </si>
  <si>
    <t>open tender</t>
  </si>
  <si>
    <t>Columns ( Sephadex G25 desalting column, RP-HPLC, Hydrophobic interactions columns)</t>
  </si>
  <si>
    <t>Pipettes P10</t>
  </si>
  <si>
    <t>Pipettes P20</t>
  </si>
  <si>
    <t>Pipettes P200</t>
  </si>
  <si>
    <t>Pipettes P1000)</t>
  </si>
  <si>
    <t xml:space="preserve">12 Multichannel pipettes 30 - 300 µl  </t>
  </si>
  <si>
    <t>12 Multichannel Pipettes 10 - 100 µl</t>
  </si>
  <si>
    <t>ELISA washer and dispenser</t>
  </si>
  <si>
    <t xml:space="preserve">Transblot transfer system </t>
  </si>
  <si>
    <t>Protein A/G affinity chromatography columns (HiTrap Protein A HP 5ml and HiTrap Protein G HP 5ml)</t>
  </si>
  <si>
    <t>Ultra-Performance Liquid
Chromatography (1290 Infinity II, Agilent Technologies)</t>
  </si>
  <si>
    <t>Autoclave</t>
  </si>
  <si>
    <t>Liquid nitrogen tank</t>
  </si>
  <si>
    <t>50ml</t>
  </si>
  <si>
    <t>Medium centrifuge</t>
  </si>
  <si>
    <t xml:space="preserve">CO2 Incubator </t>
  </si>
  <si>
    <t>plus 5 and minus 20 refrigerator double door 635 litres</t>
  </si>
  <si>
    <t>lab stools</t>
  </si>
  <si>
    <t>Vortexer</t>
  </si>
  <si>
    <t>Eye wash and mounted stations</t>
  </si>
  <si>
    <t>Class II Biosafet cabinet</t>
  </si>
  <si>
    <t>Power supply extension</t>
  </si>
  <si>
    <t>UPS</t>
  </si>
  <si>
    <t xml:space="preserve"> UPS Invertor</t>
  </si>
  <si>
    <t>Water distiller system</t>
  </si>
  <si>
    <t>Mini Centrifuge  (PCR tubes)</t>
  </si>
  <si>
    <t>Mini vortexer</t>
  </si>
  <si>
    <t>Thermocycler</t>
  </si>
  <si>
    <t>Biological microscope MSC-B5005M</t>
  </si>
  <si>
    <t>microscope camera BUC1D-830C( mount usb2.0 cmos)</t>
  </si>
  <si>
    <t xml:space="preserve"> </t>
  </si>
  <si>
    <t>BD Facs Melody Cell Sorter</t>
  </si>
  <si>
    <t xml:space="preserve">Fume Hood </t>
  </si>
  <si>
    <t>Chest Freezer 480L</t>
  </si>
  <si>
    <t>SD-CAA plates</t>
  </si>
  <si>
    <t>Autoclave Machine</t>
  </si>
  <si>
    <t>11.Colony Supplies</t>
  </si>
  <si>
    <t>Trap boxes</t>
  </si>
  <si>
    <t>Water bowls/Drinkers</t>
  </si>
  <si>
    <t>Beddings</t>
  </si>
  <si>
    <t>Mice beddings</t>
  </si>
  <si>
    <t>Bags</t>
  </si>
  <si>
    <t>12.New snake cages</t>
  </si>
  <si>
    <t xml:space="preserve">Snake cages </t>
  </si>
  <si>
    <t>snake racks</t>
  </si>
  <si>
    <t xml:space="preserve">Mice Cages </t>
  </si>
  <si>
    <t>Water bottles</t>
  </si>
  <si>
    <t>Racks</t>
  </si>
  <si>
    <t>13.F00D FOR PRIMATES AND SMALL ANIMALS</t>
  </si>
  <si>
    <t>Mice feeds</t>
  </si>
  <si>
    <t>bag</t>
  </si>
  <si>
    <t>14.TRAINING,WORKSHOPS AND CONFERENCES</t>
  </si>
  <si>
    <t xml:space="preserve">STAFF TRAINING </t>
  </si>
  <si>
    <t>conference facilities</t>
  </si>
  <si>
    <t>lot</t>
  </si>
  <si>
    <t>15.AIR TICKETS EXPENSES</t>
  </si>
  <si>
    <t>tickets</t>
  </si>
  <si>
    <t>TICKETS</t>
  </si>
  <si>
    <t>15.insurance</t>
  </si>
  <si>
    <t>Travel insurance</t>
  </si>
  <si>
    <t>nos</t>
  </si>
  <si>
    <t>16. INFRASTRUCTURE</t>
  </si>
  <si>
    <t>Installation of HVAC SYSTEM</t>
  </si>
  <si>
    <t>Automatic lighting system</t>
  </si>
  <si>
    <t>Snake rooms renovation</t>
  </si>
  <si>
    <t>CCTV camera installation and security system</t>
  </si>
  <si>
    <t>purchase /lease of land for animal research</t>
  </si>
  <si>
    <t xml:space="preserve">purchase of horses </t>
  </si>
  <si>
    <t>CD-1 MICE PROCUREMENT</t>
  </si>
  <si>
    <t>Rodent house renovation and construction of preclinical testing lab</t>
  </si>
  <si>
    <t xml:space="preserve">Setting up a production unit at KIPRE </t>
  </si>
  <si>
    <t>Laboratory renovations</t>
  </si>
  <si>
    <t>Automatic Lighting System  at Herptarium</t>
  </si>
  <si>
    <t xml:space="preserve">CCTV Cameras Installation </t>
  </si>
  <si>
    <t>Installation Motion Sensor Cameras</t>
  </si>
  <si>
    <t xml:space="preserve">Installation Smoke detectors </t>
  </si>
  <si>
    <t>HVAC Systems at Herptarium</t>
  </si>
  <si>
    <r>
      <t>17.</t>
    </r>
    <r>
      <rPr>
        <b/>
        <sz val="12"/>
        <color theme="1"/>
        <rFont val="Calibri"/>
        <family val="2"/>
        <scheme val="minor"/>
      </rPr>
      <t>Computer hardware and accessories</t>
    </r>
  </si>
  <si>
    <t>Alluminium Troys</t>
  </si>
  <si>
    <t>Voice Recorder</t>
  </si>
  <si>
    <t>External Hards Disk 3TB</t>
  </si>
  <si>
    <t>Digital Cameras</t>
  </si>
  <si>
    <t>laptops</t>
  </si>
  <si>
    <t>Projector</t>
  </si>
  <si>
    <t>Tablets</t>
  </si>
  <si>
    <t>Power Bank</t>
  </si>
  <si>
    <t>GPS Communicaton Devices</t>
  </si>
  <si>
    <t>Printer</t>
  </si>
  <si>
    <t>computer software</t>
  </si>
  <si>
    <t>High Defination Binoculars</t>
  </si>
  <si>
    <t>Np.</t>
  </si>
  <si>
    <t>Desktop computers</t>
  </si>
  <si>
    <t>tablets</t>
  </si>
  <si>
    <t>External hard disk 3TB</t>
  </si>
  <si>
    <t>NOS</t>
  </si>
  <si>
    <t>M &amp;E tools and software network</t>
  </si>
  <si>
    <t>NETWORK ASSISTED STORAGE 10TB</t>
  </si>
  <si>
    <t>Printer EcosystemM3145idn</t>
  </si>
  <si>
    <t xml:space="preserve">Camera </t>
  </si>
  <si>
    <t>One Digital camera</t>
  </si>
  <si>
    <t>18.STATIONERIES AND PRINTING</t>
  </si>
  <si>
    <t xml:space="preserve">Flip chart </t>
  </si>
  <si>
    <t>Flip chart stand</t>
  </si>
  <si>
    <t>Roller Banners</t>
  </si>
  <si>
    <t>Tear Drops</t>
  </si>
  <si>
    <t>Printing materials,data collection material and training material</t>
  </si>
  <si>
    <t>lots</t>
  </si>
  <si>
    <t>printing papers</t>
  </si>
  <si>
    <t>Branded  pens</t>
  </si>
  <si>
    <t>highlighters</t>
  </si>
  <si>
    <t>Paper flip charts</t>
  </si>
  <si>
    <t>rolls</t>
  </si>
  <si>
    <t>Pencils</t>
  </si>
  <si>
    <t>White out</t>
  </si>
  <si>
    <t>pcs</t>
  </si>
  <si>
    <t>Yellow stickers</t>
  </si>
  <si>
    <t>Box file</t>
  </si>
  <si>
    <t xml:space="preserve"> Spring files</t>
  </si>
  <si>
    <t>Folders</t>
  </si>
  <si>
    <t>Portfolio</t>
  </si>
  <si>
    <t>Staplers</t>
  </si>
  <si>
    <t>Staple pins</t>
  </si>
  <si>
    <t>Thumb pin</t>
  </si>
  <si>
    <t>Paper punch</t>
  </si>
  <si>
    <t>Binders</t>
  </si>
  <si>
    <t>Paper Cutter</t>
  </si>
  <si>
    <t>Standing board</t>
  </si>
  <si>
    <t>19.purchase of new motor vehicle</t>
  </si>
  <si>
    <t>4x4 motor vehicle loaded with GPS COMMUNICATION ACCESSORIES</t>
  </si>
  <si>
    <t>Double cabin motor vehicle loaded with GPS communication accessories</t>
  </si>
  <si>
    <t>20. Electricals</t>
  </si>
  <si>
    <t>Torch</t>
  </si>
  <si>
    <t>21.Publicity expenses</t>
  </si>
  <si>
    <t>Media expenses</t>
  </si>
  <si>
    <t>22.TONERS AND CATRIDGES</t>
  </si>
  <si>
    <t>Catridges for Ecosystem</t>
  </si>
  <si>
    <t>23.OFFICE FURNITURE AND EQUIPMENT</t>
  </si>
  <si>
    <t>Office cabinets</t>
  </si>
  <si>
    <t>Binding  machines</t>
  </si>
  <si>
    <t>24. SOFTWARES</t>
  </si>
  <si>
    <t>N vivo qual Analysis Software License</t>
  </si>
  <si>
    <t>Graph pad prism software((academic package 10 users package)</t>
  </si>
  <si>
    <t>SPSS Software single user</t>
  </si>
  <si>
    <t>Turnitin software</t>
  </si>
  <si>
    <t>Subscription per year for 100 students</t>
  </si>
  <si>
    <t>Geneious software</t>
  </si>
  <si>
    <t>chmt budget</t>
  </si>
  <si>
    <t>Items procured</t>
  </si>
  <si>
    <t>Number of items procured</t>
  </si>
  <si>
    <t>Invoices, DOF, Receipts</t>
  </si>
  <si>
    <t>Item</t>
  </si>
  <si>
    <t>Unit cost</t>
  </si>
  <si>
    <t>Training materials</t>
  </si>
  <si>
    <t>Survey materials</t>
  </si>
  <si>
    <t>number of items procured</t>
  </si>
  <si>
    <t>reporting tool populated across 8 counties</t>
  </si>
  <si>
    <t>Invoices, receipts</t>
  </si>
  <si>
    <t>county and subcounty HRIOs trained on snakebite reporting in the KHIS</t>
  </si>
  <si>
    <t>Training reports</t>
  </si>
  <si>
    <t>motorcycle ambulances fuel and maintenance service procured</t>
  </si>
  <si>
    <t>Number of maintenance services per county</t>
  </si>
  <si>
    <t>fuel invoices, receipts</t>
  </si>
  <si>
    <t>Sub activity 22</t>
  </si>
  <si>
    <t>Sub activity 23</t>
  </si>
  <si>
    <t>printing</t>
  </si>
  <si>
    <t>Subtotal</t>
  </si>
  <si>
    <t>Grandtotal</t>
  </si>
  <si>
    <t>Grand total</t>
  </si>
  <si>
    <t>healthcare workers and community healthcare promoters in 3 counties trained on protocols in integrating Snakebite Envenoming mapping with other NTD programs</t>
  </si>
  <si>
    <t>3 counties surveyed for integration of snakebite envenoming mapping with other NTD programs</t>
  </si>
  <si>
    <t>Train livestock ward officers  and community healthcare promoters on protocols in  integrating Snakebite integrating snakebite mapping with the KLMP in 3 counties  (Kisumu, Siaya, Migori)</t>
  </si>
  <si>
    <t>Disseminate survey findings to 10 Counties  (Kitui, Turkana, Lamu, Kwale, Baringo, Samburu) (procure transport and DSA for 15 public officers for 5 days)</t>
  </si>
  <si>
    <t>workshop report, attendance list, IEC materials and training mannuals</t>
  </si>
  <si>
    <t xml:space="preserve">Apply for ethical approvals and NACOSTI permits to conduct householdsurveys for the mapping of snakebite hotspots in 30 counties </t>
  </si>
  <si>
    <t>Implement Motorcycle Snakebite Emergency Response System (SERS) for Community Health Promoters (CHPs) to efficiently respond to snakebite incidents within the community. Procure fuel and maintenance for 6 motorcycle ambulances in 6 counties.</t>
  </si>
  <si>
    <t>Procure projector, flipcharts, rollup banners, tear drops</t>
  </si>
  <si>
    <t>Conduct surveys  to integrate Snakebite Envenoming mapping with other NTD programs in  3 counties (Homa Bay, Siaya, Migori) (procure transport and DSA for 10 public officers for 10 days per county )</t>
  </si>
  <si>
    <t>3 counties surveyed for integration of snakebite envenoming mapping with other NTDs, Malaria and Livestock programs</t>
  </si>
  <si>
    <t>Venue to hold stakeholders meetings with county health management teams procured</t>
  </si>
  <si>
    <t>Conduct a 5 day workshop for the training of county data collectors on snakebite community-based survey methodologies in 2 counties (Kitui, Turkana)</t>
  </si>
  <si>
    <t>Conduct community based surveys in 2 counties (Kitui, Turkana) to map snakebite hotspots (Procure transport, subsistenance allowance for 10 data collectors,  and DSA for 10  public officers for 3 weeks per county</t>
  </si>
  <si>
    <t>2 counties surveyed to map snakebite hotspots</t>
  </si>
  <si>
    <t>Procure a venue for a 3-day stakeholders meeting with county health management teams in two counties (Kitui, Turkana) to obtain approvals for conducting surveys to map snakebite hotspots. (Procure transport, conference, DSA for 15 officers for 3 days per county)</t>
  </si>
  <si>
    <t>Conduct a 10-day workshop with national stakeholders to develop protocols for integrating snakebite management with existing MoH-NTD programs and develop a snakebite database. (Procure transport, conference, DSA for 15 officers for 3 days per county)</t>
  </si>
  <si>
    <t>Train county and sub county healthcare workers and community health promoters on protocols in 3 counties (Homa Bay, Siaya, Migori)</t>
  </si>
  <si>
    <t>Organize a one-week workshop with national stakeholders from the Kenya Ministry of Agriculture to integrate snakebite mortality mapping into the Kenya Livestock Master Plan (KLMP) and develop training and data collection protocols for livestock ward officers and community health promoters to support this integration.</t>
  </si>
  <si>
    <t>Conduct surveys to Integrate snakebite mapping with the KLMP in 3 counties (procure transport and DSA for 5 public officers for 10 days per county )</t>
  </si>
  <si>
    <t>Conduct a training needs assessment across 2 counties (Turkana, Kitui) to evaluate the requirements for training healthcare workers in snakebite diagnosis, management, antivenom administration, and prevention and control measures (procure transportation and DSA for 5 officers, 3 weeks per county)</t>
  </si>
  <si>
    <t>Conduct a 5 day Workshop to develop training manuals on snake identification snakebite diagnosis, management, antivenom administration and snakebite prevention and control measures (procure workshop venue, transportation and DSA for 5 officers)</t>
  </si>
  <si>
    <t>Conduct a county level Trainer of Trainer (ToT) trainings on snakebite diagnosis, management, antivenom administration and snakebite prevention and control measures to capacity build across different health care carders in 2 counties (Kitui, Turkana). Procure training venue, provide daily subsistence allowance (DSA) for 15 officers, and lunch allowance for 20 healthcare workers per county, for a duration of 5 days per county</t>
  </si>
  <si>
    <t>Train CHPs on snake species identification, snakebite diagnosis, first aid, prevention and control measures. (Procure IEC tools to populate amongst CHPs, procure workshop venue, transportation and DSA for 5 officers for 5 days per county)</t>
  </si>
  <si>
    <t>10 counties surveyed for integration of snakebite envenoming mapping with other NTD programs</t>
  </si>
  <si>
    <t>organise a 5 day workshop to develop, update and improve CHP training modules Information, Education and Communication (IEC) materials on snakebite awareness, first aid measures and prevention and control of snakebite (secure workshop venue, transport and DSA for 15 officers)</t>
  </si>
  <si>
    <t>CHP training modules, IEC materials developed (posters, pullup banners, leaflets, T-shirts, lesos, Caps, brochures, pamplets)</t>
  </si>
  <si>
    <t>Number of IEC materials developed, Number of training modules imptroved</t>
  </si>
  <si>
    <t xml:space="preserve">Identify and map Snakes of Medical Importance and other venomous snakes, map intra and intercounty snakebite hotspots in endemic counties </t>
  </si>
  <si>
    <t>Survey 5 counties to map snakebite incidences (Procure subsistence allowance for 10 county data collectors, transport and DSA for 10 public officers for 3 weeks per county)</t>
  </si>
  <si>
    <t>Train healthcare workers and community healthcare promoters on protocols in  integrating Snakebite Envenoming mapping with other NTD programs  in 5 counties</t>
  </si>
  <si>
    <t>healthcare workers and community healthcare promoters in 5 counties trained on protocols in integrating Snakebite Envenoming mapping with other NTD programs</t>
  </si>
  <si>
    <t>Conduct surveys  to integrate Snakebite Envenoming mapping with other NTD programs in 5 counties. (procure transport and DSA for 10 public officers for 5 days per county )</t>
  </si>
  <si>
    <t>Conduct a validation survey to assess and validate the reach and impact of surveys to integrate Snakebite Envenoming mapping with other NTD in 5 counties  (procure transport and DSA for 10 public officers for 5 days per county)</t>
  </si>
  <si>
    <t>Disseminattion of survey findings to 5 counties (procure transport and DSA for 10 public officers for 12 days, 2 days per county- total 10 counties )</t>
  </si>
  <si>
    <t>Train livestock ward officers  and community healthcare promoters on protocols in  integrating Snakebite integrating snakebite mapping with the KLMP in 5 counties</t>
  </si>
  <si>
    <t>healthcare workers and community healthcare promoters in 5 counties trained on protocols in integrating Snakebite Envenoming mapping with the  Livestock program</t>
  </si>
  <si>
    <t>Survey 5 counties to integrate snakebite mapping with the KLMP in 5 counties (procure transport and DSA for 5 public officers for 10 days per county )</t>
  </si>
  <si>
    <t>5 counties surveyed for integration of snakebite envenoming mapping with other NTDs, Malaria and Livestock programs</t>
  </si>
  <si>
    <t>Conduct public awareness campaigns on snake identification, snakebite first aid and  prevention and control measures in 5 counties</t>
  </si>
  <si>
    <t>Conduct a county level Trainer of Trainer (ToT) trainings on snakebite diagnosis, management, antivenom administration and snakebite prevention and control measures to capacity build across different health care carders in 5 counties. Procure training venue, provide daily subsistence allowance (DSA) for 5 officers, and lunch allowance for 20 healthcare workers per county, for a duration of 5 days per county</t>
  </si>
  <si>
    <t xml:space="preserve">Conduct a Kenya Health Reporting System (KHIS) training workshop to county and subcounty Health Records Information Officers (HRIOs) to ensure complete accurate and timely reporting of snakebite and antivenom utilization data in 5 counties. Procure conference venue, transport, DSA for 5 officers, allowance for 20  (HRIOs) </t>
  </si>
  <si>
    <t>Launch CHP training programs in 5 counties. procure workshop venue, transportation and DSA for 5 officers for 5 days per county.</t>
  </si>
  <si>
    <r>
      <t>Conduct a 5 day workshop for the training of data collectors on snakebite community-based survey methodologies in 10 counties</t>
    </r>
    <r>
      <rPr>
        <sz val="11"/>
        <color rgb="FFFF0000"/>
        <rFont val="Times New Roman"/>
        <family val="1"/>
      </rPr>
      <t xml:space="preserve"> (Kilifi, Marsabit, Wajir,   Makueni, Samburu)</t>
    </r>
  </si>
  <si>
    <t>Procure voice recorders, digital camera, data collection tablets, laptops, GIS communication devices, power banks, high definition binoculars, printer, N ViVo analysis software, tents (10 units)</t>
  </si>
  <si>
    <t>Human Resource and personnel</t>
  </si>
  <si>
    <t>Tents</t>
  </si>
  <si>
    <r>
      <t>Conduct a 5 day workshop for the training of data collectors on snakebite community-based survey methodologies in 5 counties</t>
    </r>
    <r>
      <rPr>
        <sz val="11"/>
        <color rgb="FFFF0000"/>
        <rFont val="Times New Roman"/>
        <family val="1"/>
      </rPr>
      <t xml:space="preserve"> (Kilifi, Marsabit, Wajir,   Makueni, Samburu)</t>
    </r>
  </si>
  <si>
    <t>Develop a user friendly community based reporting tool to report snakebite incidences and deaths across 5 counties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</si>
</sst>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_);_(* \(#,##0\);_(* &quot;-&quot;??_);_(@_)"/>
  </numFmts>
  <fonts count="22" x14ac:knownFonts="1">
    <font>
      <sz val="12"/>
      <color theme="1"/>
      <name val="Calibri"/>
      <family val="2"/>
      <scheme val="minor"/>
    </font>
    <font>
      <sz val="12"/>
      <color theme="1"/>
      <name val="Calibri"/>
      <family val="2"/>
      <scheme val="minor"/>
    </font>
    <font>
      <sz val="11"/>
      <color theme="1"/>
      <name val="Times New Roman"/>
      <family val="1"/>
    </font>
    <font>
      <b/>
      <sz val="11"/>
      <color rgb="FF000000"/>
      <name val="Times New Roman"/>
      <family val="1"/>
    </font>
    <font>
      <sz val="11"/>
      <name val="Times New Roman"/>
      <family val="1"/>
    </font>
    <font>
      <sz val="11"/>
      <color rgb="FF000000"/>
      <name val="Times New Roman"/>
      <family val="1"/>
    </font>
    <font>
      <sz val="11"/>
      <color rgb="FFFF0000"/>
      <name val="Calibri"/>
      <family val="2"/>
      <scheme val="minor"/>
    </font>
    <font>
      <b/>
      <sz val="11"/>
      <color theme="1"/>
      <name val="Calibri"/>
      <family val="2"/>
      <scheme val="minor"/>
    </font>
    <font>
      <sz val="11"/>
      <color theme="0"/>
      <name val="Calibri"/>
      <family val="2"/>
      <scheme val="minor"/>
    </font>
    <font>
      <sz val="11"/>
      <color theme="1"/>
      <name val="Agency FB"/>
      <family val="2"/>
    </font>
    <font>
      <sz val="12"/>
      <color theme="1"/>
      <name val="Times New Roman"/>
      <family val="1"/>
    </font>
    <font>
      <b/>
      <sz val="11"/>
      <color theme="1"/>
      <name val="Times New Roman"/>
      <family val="1"/>
    </font>
    <font>
      <b/>
      <sz val="11"/>
      <color theme="1"/>
      <name val="Wingdings"/>
      <charset val="2"/>
    </font>
    <font>
      <sz val="12"/>
      <color rgb="FFFF0000"/>
      <name val="Times New Roman"/>
      <family val="1"/>
    </font>
    <font>
      <sz val="11"/>
      <name val="Calibri"/>
      <family val="2"/>
      <scheme val="minor"/>
    </font>
    <font>
      <sz val="12"/>
      <name val="Times New Roman"/>
      <family val="1"/>
    </font>
    <font>
      <sz val="12"/>
      <color rgb="FF000000"/>
      <name val="Times New Roman"/>
      <family val="1"/>
    </font>
    <font>
      <b/>
      <sz val="12"/>
      <color theme="1"/>
      <name val="Calibri"/>
      <family val="2"/>
      <scheme val="minor"/>
    </font>
    <font>
      <b/>
      <sz val="11"/>
      <name val="Times New Roman"/>
      <family val="1"/>
    </font>
    <font>
      <sz val="11"/>
      <color rgb="FFFF0000"/>
      <name val="Times New Roman"/>
      <family val="1"/>
    </font>
    <font>
      <sz val="11"/>
      <color theme="0" tint="-0.14999847407452621"/>
      <name val="Times New Roman"/>
      <family val="1"/>
    </font>
    <font>
      <sz val="12"/>
      <color rgb="FFFF0000"/>
      <name val="Calibri"/>
      <family val="2"/>
      <scheme val="minor"/>
    </font>
  </fonts>
  <fills count="12">
    <fill>
      <patternFill patternType="none"/>
    </fill>
    <fill>
      <patternFill patternType="gray125"/>
    </fill>
    <fill>
      <patternFill patternType="solid">
        <fgColor rgb="FFFDE9D9"/>
        <bgColor indexed="64"/>
      </patternFill>
    </fill>
    <fill>
      <patternFill patternType="solid">
        <fgColor rgb="FFFFFFFF"/>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0"/>
        <bgColor indexed="64"/>
      </patternFill>
    </fill>
    <fill>
      <patternFill patternType="solid">
        <fgColor theme="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164" fontId="1" fillId="0" borderId="0" applyFont="0" applyFill="0" applyBorder="0" applyAlignment="0" applyProtection="0"/>
  </cellStyleXfs>
  <cellXfs count="187">
    <xf numFmtId="0" fontId="0" fillId="0" borderId="0" xfId="0"/>
    <xf numFmtId="0" fontId="2" fillId="0" borderId="1" xfId="0" applyFont="1" applyBorder="1" applyAlignment="1">
      <alignment vertical="top" wrapText="1"/>
    </xf>
    <xf numFmtId="0" fontId="2" fillId="0" borderId="1" xfId="0" applyFont="1" applyBorder="1" applyAlignment="1">
      <alignment vertical="top"/>
    </xf>
    <xf numFmtId="0" fontId="3" fillId="2" borderId="1" xfId="0" applyFont="1" applyFill="1" applyBorder="1" applyAlignment="1">
      <alignment vertical="top" wrapText="1"/>
    </xf>
    <xf numFmtId="164" fontId="2" fillId="0" borderId="1" xfId="1" applyFont="1" applyBorder="1" applyAlignment="1">
      <alignment vertical="top"/>
    </xf>
    <xf numFmtId="0" fontId="4" fillId="0" borderId="1" xfId="0" applyFont="1" applyBorder="1" applyAlignment="1">
      <alignment vertical="top" wrapText="1"/>
    </xf>
    <xf numFmtId="164" fontId="2" fillId="0" borderId="1" xfId="1" applyFont="1" applyFill="1" applyBorder="1" applyAlignment="1">
      <alignment vertical="top"/>
    </xf>
    <xf numFmtId="0" fontId="2" fillId="4" borderId="1" xfId="0" applyFont="1" applyFill="1" applyBorder="1" applyAlignment="1">
      <alignment vertical="top"/>
    </xf>
    <xf numFmtId="0" fontId="4" fillId="4" borderId="1" xfId="0" applyFont="1" applyFill="1" applyBorder="1" applyAlignment="1">
      <alignment vertical="top" wrapText="1"/>
    </xf>
    <xf numFmtId="164" fontId="0" fillId="0" borderId="0" xfId="1" applyFont="1"/>
    <xf numFmtId="164" fontId="0" fillId="0" borderId="0" xfId="0" applyNumberFormat="1"/>
    <xf numFmtId="164" fontId="4" fillId="0" borderId="1" xfId="1" applyFont="1" applyFill="1" applyBorder="1" applyAlignment="1">
      <alignment vertical="top" wrapText="1"/>
    </xf>
    <xf numFmtId="164" fontId="2" fillId="0" borderId="1" xfId="0" applyNumberFormat="1" applyFont="1" applyBorder="1" applyAlignment="1">
      <alignment vertical="top"/>
    </xf>
    <xf numFmtId="164" fontId="0" fillId="0" borderId="0" xfId="1" applyFont="1" applyFill="1"/>
    <xf numFmtId="0" fontId="0" fillId="6" borderId="0" xfId="0" applyFill="1"/>
    <xf numFmtId="164" fontId="0" fillId="6" borderId="0" xfId="1" applyFont="1" applyFill="1"/>
    <xf numFmtId="164" fontId="0" fillId="6" borderId="0" xfId="0" applyNumberFormat="1" applyFill="1"/>
    <xf numFmtId="0" fontId="2" fillId="5" borderId="1" xfId="0" applyFont="1" applyFill="1" applyBorder="1" applyAlignment="1">
      <alignment vertical="top"/>
    </xf>
    <xf numFmtId="164" fontId="4" fillId="0" borderId="1" xfId="1" applyFont="1" applyBorder="1" applyAlignment="1">
      <alignment vertical="top" wrapText="1"/>
    </xf>
    <xf numFmtId="0" fontId="4" fillId="8" borderId="1" xfId="0" applyFont="1" applyFill="1" applyBorder="1" applyAlignment="1">
      <alignment vertical="top" wrapText="1"/>
    </xf>
    <xf numFmtId="0" fontId="7" fillId="0" borderId="4" xfId="0" applyFont="1" applyBorder="1"/>
    <xf numFmtId="0" fontId="7" fillId="0" borderId="6" xfId="0" applyFont="1" applyBorder="1" applyAlignment="1">
      <alignment wrapText="1"/>
    </xf>
    <xf numFmtId="0" fontId="7" fillId="0" borderId="6" xfId="0" applyFont="1" applyBorder="1"/>
    <xf numFmtId="0" fontId="7" fillId="0" borderId="1" xfId="0" applyFont="1" applyBorder="1" applyAlignment="1">
      <alignment horizontal="center" wrapText="1"/>
    </xf>
    <xf numFmtId="0" fontId="0" fillId="0" borderId="1" xfId="0" applyBorder="1"/>
    <xf numFmtId="0" fontId="7" fillId="0" borderId="1" xfId="0" applyFont="1" applyBorder="1"/>
    <xf numFmtId="0" fontId="7" fillId="0" borderId="1" xfId="0" applyFont="1" applyBorder="1" applyAlignment="1">
      <alignment horizontal="left" vertical="top"/>
    </xf>
    <xf numFmtId="164" fontId="0" fillId="0" borderId="1" xfId="1" applyFont="1" applyBorder="1"/>
    <xf numFmtId="0" fontId="9" fillId="0" borderId="1" xfId="0" applyFont="1" applyBorder="1"/>
    <xf numFmtId="164" fontId="0" fillId="0" borderId="1" xfId="0" applyNumberFormat="1" applyBorder="1"/>
    <xf numFmtId="0" fontId="0" fillId="9" borderId="1" xfId="0" applyFill="1" applyBorder="1"/>
    <xf numFmtId="164" fontId="0" fillId="9" borderId="1" xfId="1" applyFont="1" applyFill="1" applyBorder="1"/>
    <xf numFmtId="0" fontId="9" fillId="9" borderId="1" xfId="0" applyFont="1" applyFill="1" applyBorder="1"/>
    <xf numFmtId="0" fontId="10" fillId="10" borderId="1" xfId="0" applyFont="1" applyFill="1" applyBorder="1" applyAlignment="1">
      <alignment vertical="center" wrapText="1"/>
    </xf>
    <xf numFmtId="0" fontId="11" fillId="0" borderId="1" xfId="0" applyFont="1" applyBorder="1"/>
    <xf numFmtId="0" fontId="0" fillId="11" borderId="1" xfId="0" applyFill="1" applyBorder="1"/>
    <xf numFmtId="0" fontId="12" fillId="0" borderId="1" xfId="0" applyFont="1" applyBorder="1"/>
    <xf numFmtId="0" fontId="0" fillId="11" borderId="1" xfId="0" applyFill="1" applyBorder="1" applyAlignment="1">
      <alignment wrapText="1"/>
    </xf>
    <xf numFmtId="164" fontId="0" fillId="11" borderId="1" xfId="1" applyFont="1" applyFill="1" applyBorder="1"/>
    <xf numFmtId="164" fontId="0" fillId="11" borderId="1" xfId="0" applyNumberFormat="1" applyFill="1" applyBorder="1"/>
    <xf numFmtId="0" fontId="13" fillId="10" borderId="1" xfId="0" applyFont="1" applyFill="1" applyBorder="1" applyAlignment="1">
      <alignment vertical="center" wrapText="1"/>
    </xf>
    <xf numFmtId="0" fontId="6" fillId="0" borderId="1" xfId="0" applyFont="1" applyBorder="1"/>
    <xf numFmtId="164" fontId="6" fillId="0" borderId="1" xfId="1" applyFont="1" applyBorder="1"/>
    <xf numFmtId="0" fontId="14" fillId="0" borderId="1" xfId="0" applyFont="1" applyBorder="1"/>
    <xf numFmtId="0" fontId="15" fillId="10" borderId="1" xfId="0" applyFont="1" applyFill="1" applyBorder="1" applyAlignment="1">
      <alignment vertical="center" wrapText="1"/>
    </xf>
    <xf numFmtId="164" fontId="14" fillId="0" borderId="1" xfId="1" applyFont="1" applyBorder="1"/>
    <xf numFmtId="0" fontId="7" fillId="0" borderId="3" xfId="0" applyFont="1" applyBorder="1" applyAlignment="1">
      <alignment horizontal="left"/>
    </xf>
    <xf numFmtId="0" fontId="0" fillId="10" borderId="1" xfId="0" applyFill="1" applyBorder="1"/>
    <xf numFmtId="0" fontId="0" fillId="0" borderId="4" xfId="0" applyBorder="1"/>
    <xf numFmtId="0" fontId="0" fillId="0" borderId="6" xfId="0" applyBorder="1"/>
    <xf numFmtId="0" fontId="0" fillId="0" borderId="1" xfId="0" applyBorder="1" applyAlignment="1">
      <alignment wrapText="1"/>
    </xf>
    <xf numFmtId="0" fontId="10" fillId="0" borderId="1" xfId="0" applyFont="1" applyBorder="1" applyAlignment="1">
      <alignment vertical="center" wrapText="1"/>
    </xf>
    <xf numFmtId="164" fontId="0" fillId="0" borderId="6" xfId="1" applyFont="1" applyFill="1" applyBorder="1"/>
    <xf numFmtId="0" fontId="10" fillId="0" borderId="6" xfId="0" applyFont="1" applyBorder="1" applyAlignment="1">
      <alignment vertical="center" wrapText="1"/>
    </xf>
    <xf numFmtId="0" fontId="16" fillId="0" borderId="0" xfId="0" applyFont="1"/>
    <xf numFmtId="3" fontId="10" fillId="10" borderId="1" xfId="0" applyNumberFormat="1" applyFont="1" applyFill="1" applyBorder="1" applyAlignment="1">
      <alignment vertical="center" wrapText="1"/>
    </xf>
    <xf numFmtId="164" fontId="0" fillId="10" borderId="1" xfId="1" applyFont="1" applyFill="1" applyBorder="1"/>
    <xf numFmtId="0" fontId="10" fillId="0" borderId="1" xfId="0" applyFont="1" applyBorder="1" applyAlignment="1">
      <alignment wrapText="1"/>
    </xf>
    <xf numFmtId="0" fontId="10" fillId="10" borderId="1" xfId="0" applyFont="1" applyFill="1" applyBorder="1" applyAlignment="1">
      <alignment wrapText="1"/>
    </xf>
    <xf numFmtId="0" fontId="10" fillId="10" borderId="1" xfId="0" applyFont="1" applyFill="1" applyBorder="1"/>
    <xf numFmtId="3" fontId="10" fillId="10" borderId="1" xfId="0" applyNumberFormat="1" applyFont="1" applyFill="1" applyBorder="1"/>
    <xf numFmtId="0" fontId="12" fillId="10" borderId="1" xfId="0" applyFont="1" applyFill="1" applyBorder="1"/>
    <xf numFmtId="164" fontId="0" fillId="10" borderId="1" xfId="0" applyNumberFormat="1" applyFill="1" applyBorder="1"/>
    <xf numFmtId="0" fontId="7" fillId="10" borderId="1" xfId="0" applyFont="1" applyFill="1" applyBorder="1"/>
    <xf numFmtId="0" fontId="0" fillId="10" borderId="1" xfId="0" applyFill="1" applyBorder="1" applyAlignment="1">
      <alignment wrapText="1"/>
    </xf>
    <xf numFmtId="0" fontId="0" fillId="10" borderId="0" xfId="0" applyFill="1"/>
    <xf numFmtId="0" fontId="0" fillId="5" borderId="1" xfId="0" applyFill="1" applyBorder="1"/>
    <xf numFmtId="164" fontId="0" fillId="5" borderId="1" xfId="1" applyFont="1" applyFill="1" applyBorder="1"/>
    <xf numFmtId="0" fontId="0" fillId="11" borderId="0" xfId="0" applyFill="1"/>
    <xf numFmtId="3" fontId="0" fillId="0" borderId="1" xfId="0" applyNumberFormat="1" applyBorder="1"/>
    <xf numFmtId="0" fontId="10" fillId="10" borderId="6" xfId="0" applyFont="1" applyFill="1" applyBorder="1" applyAlignment="1">
      <alignment vertical="center" wrapText="1"/>
    </xf>
    <xf numFmtId="0" fontId="10" fillId="11" borderId="1" xfId="0" applyFont="1" applyFill="1" applyBorder="1" applyAlignment="1">
      <alignment vertical="center" wrapText="1"/>
    </xf>
    <xf numFmtId="0" fontId="7" fillId="0" borderId="1" xfId="0" applyFont="1" applyBorder="1" applyAlignment="1">
      <alignment wrapText="1"/>
    </xf>
    <xf numFmtId="0" fontId="7" fillId="11" borderId="1" xfId="0" applyFont="1" applyFill="1" applyBorder="1"/>
    <xf numFmtId="3" fontId="0" fillId="11" borderId="1" xfId="0" applyNumberFormat="1" applyFill="1" applyBorder="1"/>
    <xf numFmtId="0" fontId="0" fillId="11" borderId="6" xfId="0" applyFill="1" applyBorder="1"/>
    <xf numFmtId="0" fontId="0" fillId="11" borderId="6" xfId="0" applyFill="1" applyBorder="1" applyAlignment="1">
      <alignment wrapText="1"/>
    </xf>
    <xf numFmtId="0" fontId="0" fillId="9" borderId="1" xfId="0" applyFill="1" applyBorder="1" applyAlignment="1">
      <alignment wrapText="1"/>
    </xf>
    <xf numFmtId="0" fontId="8" fillId="10" borderId="1" xfId="0" applyFont="1" applyFill="1" applyBorder="1"/>
    <xf numFmtId="3" fontId="0" fillId="10" borderId="1" xfId="0" applyNumberFormat="1" applyFill="1" applyBorder="1"/>
    <xf numFmtId="164" fontId="0" fillId="9" borderId="1" xfId="0" applyNumberFormat="1" applyFill="1" applyBorder="1"/>
    <xf numFmtId="0" fontId="0" fillId="9" borderId="0" xfId="0" applyFill="1"/>
    <xf numFmtId="43" fontId="0" fillId="10" borderId="0" xfId="0" applyNumberFormat="1" applyFill="1"/>
    <xf numFmtId="0" fontId="0" fillId="7" borderId="0" xfId="0" applyFill="1"/>
    <xf numFmtId="0" fontId="0" fillId="7" borderId="1" xfId="0" applyFill="1" applyBorder="1" applyAlignment="1">
      <alignment wrapText="1"/>
    </xf>
    <xf numFmtId="0" fontId="0" fillId="7" borderId="1" xfId="0" applyFill="1" applyBorder="1"/>
    <xf numFmtId="164" fontId="0" fillId="7" borderId="1" xfId="1" applyFont="1" applyFill="1" applyBorder="1"/>
    <xf numFmtId="3" fontId="0" fillId="7" borderId="1" xfId="0" applyNumberFormat="1" applyFill="1" applyBorder="1"/>
    <xf numFmtId="0" fontId="0" fillId="7" borderId="6" xfId="0" applyFill="1" applyBorder="1" applyAlignment="1">
      <alignment wrapText="1"/>
    </xf>
    <xf numFmtId="0" fontId="0" fillId="7" borderId="6" xfId="0" applyFill="1" applyBorder="1"/>
    <xf numFmtId="0" fontId="0" fillId="7" borderId="0" xfId="0" applyFill="1" applyAlignment="1">
      <alignment wrapText="1"/>
    </xf>
    <xf numFmtId="0" fontId="5" fillId="3" borderId="1" xfId="0" applyFont="1" applyFill="1" applyBorder="1" applyAlignment="1">
      <alignment vertical="top" wrapText="1"/>
    </xf>
    <xf numFmtId="164" fontId="0" fillId="7" borderId="6" xfId="1" applyFont="1" applyFill="1" applyBorder="1"/>
    <xf numFmtId="164" fontId="2" fillId="8" borderId="1" xfId="1" applyFont="1" applyFill="1" applyBorder="1" applyAlignment="1">
      <alignment vertical="top"/>
    </xf>
    <xf numFmtId="164" fontId="2" fillId="7" borderId="1" xfId="0" applyNumberFormat="1" applyFont="1" applyFill="1" applyBorder="1" applyAlignment="1">
      <alignment vertical="top"/>
    </xf>
    <xf numFmtId="0" fontId="18" fillId="7" borderId="7" xfId="0" applyFont="1" applyFill="1" applyBorder="1" applyAlignment="1">
      <alignment horizontal="center" vertical="top" wrapText="1"/>
    </xf>
    <xf numFmtId="0" fontId="18" fillId="7" borderId="3" xfId="0" applyFont="1" applyFill="1" applyBorder="1" applyAlignment="1">
      <alignment horizontal="center" vertical="top" wrapText="1"/>
    </xf>
    <xf numFmtId="164" fontId="4" fillId="7" borderId="1" xfId="1" applyFont="1" applyFill="1" applyBorder="1" applyAlignment="1">
      <alignment vertical="top" wrapText="1"/>
    </xf>
    <xf numFmtId="0" fontId="2" fillId="7" borderId="0" xfId="0" applyFont="1" applyFill="1" applyAlignment="1">
      <alignment vertical="top"/>
    </xf>
    <xf numFmtId="0" fontId="2" fillId="0" borderId="0" xfId="0" applyFont="1" applyAlignment="1">
      <alignment vertical="top"/>
    </xf>
    <xf numFmtId="164" fontId="11" fillId="8" borderId="1" xfId="0" applyNumberFormat="1" applyFont="1" applyFill="1" applyBorder="1" applyAlignment="1">
      <alignment vertical="top"/>
    </xf>
    <xf numFmtId="164" fontId="11" fillId="0" borderId="1" xfId="1" applyFont="1" applyFill="1" applyBorder="1" applyAlignment="1">
      <alignment vertical="top"/>
    </xf>
    <xf numFmtId="164" fontId="11" fillId="8" borderId="1" xfId="1" applyFont="1" applyFill="1" applyBorder="1" applyAlignment="1">
      <alignment vertical="top"/>
    </xf>
    <xf numFmtId="164" fontId="11" fillId="7" borderId="1" xfId="0" applyNumberFormat="1" applyFont="1" applyFill="1" applyBorder="1" applyAlignment="1">
      <alignment vertical="top"/>
    </xf>
    <xf numFmtId="0" fontId="11" fillId="0" borderId="1" xfId="0" applyFont="1" applyBorder="1" applyAlignment="1">
      <alignment vertical="top"/>
    </xf>
    <xf numFmtId="0" fontId="11" fillId="7" borderId="1" xfId="0" applyFont="1" applyFill="1" applyBorder="1" applyAlignment="1">
      <alignment vertical="top"/>
    </xf>
    <xf numFmtId="164" fontId="11" fillId="7" borderId="1" xfId="1" applyFont="1" applyFill="1" applyBorder="1" applyAlignment="1">
      <alignment vertical="top"/>
    </xf>
    <xf numFmtId="0" fontId="4" fillId="0" borderId="6" xfId="0" applyFont="1" applyBorder="1" applyAlignment="1">
      <alignment horizontal="center" vertical="top" wrapText="1"/>
    </xf>
    <xf numFmtId="0" fontId="4" fillId="0" borderId="5" xfId="0" applyFont="1" applyBorder="1" applyAlignment="1">
      <alignment horizontal="center" vertical="top" wrapText="1"/>
    </xf>
    <xf numFmtId="0" fontId="18" fillId="7" borderId="2" xfId="0" applyFont="1" applyFill="1" applyBorder="1" applyAlignment="1">
      <alignment vertical="top" wrapText="1"/>
    </xf>
    <xf numFmtId="0" fontId="18" fillId="7" borderId="7" xfId="0" applyFont="1" applyFill="1" applyBorder="1" applyAlignment="1">
      <alignment vertical="top" wrapText="1"/>
    </xf>
    <xf numFmtId="0" fontId="18" fillId="7" borderId="3" xfId="0" applyFont="1" applyFill="1" applyBorder="1" applyAlignment="1">
      <alignment vertical="top" wrapText="1"/>
    </xf>
    <xf numFmtId="0" fontId="2" fillId="0" borderId="4" xfId="0" applyFont="1" applyBorder="1" applyAlignment="1">
      <alignment vertical="top" wrapText="1"/>
    </xf>
    <xf numFmtId="0" fontId="3" fillId="7" borderId="2" xfId="0" applyFont="1" applyFill="1" applyBorder="1" applyAlignment="1">
      <alignment vertical="top" wrapText="1"/>
    </xf>
    <xf numFmtId="0" fontId="3" fillId="7" borderId="7" xfId="0" applyFont="1" applyFill="1" applyBorder="1" applyAlignment="1">
      <alignment vertical="top" wrapText="1"/>
    </xf>
    <xf numFmtId="0" fontId="3" fillId="7" borderId="3" xfId="0" applyFont="1" applyFill="1" applyBorder="1" applyAlignment="1">
      <alignment vertical="top" wrapText="1"/>
    </xf>
    <xf numFmtId="164" fontId="11" fillId="8" borderId="2" xfId="1" applyFont="1" applyFill="1" applyBorder="1" applyAlignment="1">
      <alignment vertical="top"/>
    </xf>
    <xf numFmtId="164" fontId="11" fillId="8" borderId="7" xfId="1" applyFont="1" applyFill="1" applyBorder="1" applyAlignment="1">
      <alignment vertical="top"/>
    </xf>
    <xf numFmtId="164" fontId="11" fillId="8" borderId="3" xfId="1" applyFont="1" applyFill="1" applyBorder="1" applyAlignment="1">
      <alignment vertical="top"/>
    </xf>
    <xf numFmtId="0" fontId="3" fillId="2" borderId="2" xfId="0" quotePrefix="1" applyFont="1" applyFill="1" applyBorder="1" applyAlignment="1">
      <alignment vertical="top" wrapText="1"/>
    </xf>
    <xf numFmtId="0" fontId="3" fillId="2" borderId="7" xfId="0" quotePrefix="1" applyFont="1" applyFill="1" applyBorder="1" applyAlignment="1">
      <alignment vertical="top" wrapText="1"/>
    </xf>
    <xf numFmtId="0" fontId="3" fillId="2" borderId="3" xfId="0" quotePrefix="1" applyFont="1" applyFill="1" applyBorder="1" applyAlignment="1">
      <alignment vertical="top" wrapText="1"/>
    </xf>
    <xf numFmtId="0" fontId="4" fillId="0" borderId="6" xfId="0" applyFont="1" applyBorder="1" applyAlignment="1">
      <alignment vertical="top" wrapText="1"/>
    </xf>
    <xf numFmtId="0" fontId="5" fillId="0" borderId="1" xfId="0" applyFont="1" applyBorder="1" applyAlignment="1">
      <alignment vertical="top" wrapText="1"/>
    </xf>
    <xf numFmtId="0" fontId="4" fillId="0" borderId="4" xfId="0" applyFont="1" applyBorder="1" applyAlignment="1">
      <alignment vertical="top" wrapText="1"/>
    </xf>
    <xf numFmtId="0" fontId="3" fillId="0" borderId="5" xfId="0" applyFont="1" applyBorder="1" applyAlignment="1">
      <alignment vertical="top" wrapText="1"/>
    </xf>
    <xf numFmtId="0" fontId="3" fillId="0" borderId="1" xfId="0" applyFont="1" applyBorder="1" applyAlignment="1">
      <alignment vertical="top" wrapText="1"/>
    </xf>
    <xf numFmtId="164" fontId="3" fillId="0" borderId="5" xfId="1" applyFont="1" applyFill="1" applyBorder="1" applyAlignment="1">
      <alignment horizontal="center" vertical="top" wrapText="1"/>
    </xf>
    <xf numFmtId="165" fontId="3" fillId="0" borderId="5" xfId="0" applyNumberFormat="1" applyFont="1" applyBorder="1" applyAlignment="1">
      <alignment vertical="top" wrapText="1"/>
    </xf>
    <xf numFmtId="0" fontId="2" fillId="0" borderId="4" xfId="0" applyFont="1" applyBorder="1" applyAlignment="1">
      <alignment vertical="top"/>
    </xf>
    <xf numFmtId="0" fontId="4" fillId="4" borderId="4" xfId="0" applyFont="1" applyFill="1" applyBorder="1" applyAlignment="1">
      <alignment vertical="top" wrapText="1"/>
    </xf>
    <xf numFmtId="164" fontId="2" fillId="0" borderId="4" xfId="1" applyFont="1" applyBorder="1" applyAlignment="1">
      <alignment vertical="top"/>
    </xf>
    <xf numFmtId="0" fontId="4" fillId="3" borderId="6" xfId="0" applyFont="1" applyFill="1" applyBorder="1" applyAlignment="1">
      <alignment vertical="top" wrapText="1"/>
    </xf>
    <xf numFmtId="0" fontId="4" fillId="3" borderId="5" xfId="0" applyFont="1" applyFill="1" applyBorder="1" applyAlignment="1">
      <alignment vertical="top" wrapText="1"/>
    </xf>
    <xf numFmtId="0" fontId="20" fillId="0" borderId="1" xfId="0" applyFont="1" applyBorder="1" applyAlignment="1">
      <alignment vertical="top"/>
    </xf>
    <xf numFmtId="164" fontId="21" fillId="6" borderId="0" xfId="0" applyNumberFormat="1" applyFont="1" applyFill="1"/>
    <xf numFmtId="0" fontId="18" fillId="7" borderId="8" xfId="0" applyFont="1" applyFill="1" applyBorder="1" applyAlignment="1">
      <alignment horizontal="center" vertical="top" wrapText="1"/>
    </xf>
    <xf numFmtId="164" fontId="3" fillId="0" borderId="1" xfId="0" applyNumberFormat="1" applyFont="1" applyBorder="1" applyAlignment="1">
      <alignment vertical="top" wrapText="1"/>
    </xf>
    <xf numFmtId="164" fontId="4" fillId="0" borderId="1" xfId="0" applyNumberFormat="1" applyFont="1" applyBorder="1" applyAlignment="1">
      <alignment vertical="top" wrapText="1"/>
    </xf>
    <xf numFmtId="0" fontId="5" fillId="0" borderId="6" xfId="0" applyFont="1" applyBorder="1" applyAlignment="1">
      <alignment horizontal="center" vertical="top" wrapText="1"/>
    </xf>
    <xf numFmtId="0" fontId="5" fillId="0" borderId="5" xfId="0" applyFont="1" applyBorder="1" applyAlignment="1">
      <alignment horizontal="center" vertical="top" wrapText="1"/>
    </xf>
    <xf numFmtId="0" fontId="5" fillId="0" borderId="4" xfId="0" applyFont="1" applyBorder="1" applyAlignment="1">
      <alignment horizontal="center" vertical="top" wrapText="1"/>
    </xf>
    <xf numFmtId="0" fontId="4" fillId="0" borderId="4" xfId="0" applyFont="1" applyBorder="1" applyAlignment="1">
      <alignment horizontal="center" vertical="top" wrapText="1"/>
    </xf>
    <xf numFmtId="0" fontId="4" fillId="0" borderId="6" xfId="0" applyFont="1" applyBorder="1" applyAlignment="1">
      <alignment horizontal="center" vertical="top" wrapText="1"/>
    </xf>
    <xf numFmtId="0" fontId="4" fillId="0" borderId="5" xfId="0" applyFont="1" applyBorder="1" applyAlignment="1">
      <alignment horizontal="center" vertical="top" wrapText="1"/>
    </xf>
    <xf numFmtId="0" fontId="2" fillId="0" borderId="4" xfId="0" applyFont="1" applyBorder="1" applyAlignment="1">
      <alignment horizontal="center" vertical="top" wrapText="1"/>
    </xf>
    <xf numFmtId="0" fontId="2" fillId="0" borderId="6" xfId="0" applyFont="1" applyBorder="1" applyAlignment="1">
      <alignment horizontal="center" vertical="top" wrapText="1"/>
    </xf>
    <xf numFmtId="0" fontId="2" fillId="0" borderId="5" xfId="0" applyFont="1" applyBorder="1" applyAlignment="1">
      <alignment horizontal="center" vertical="top" wrapText="1"/>
    </xf>
    <xf numFmtId="0" fontId="5" fillId="3" borderId="4" xfId="0" applyFont="1" applyFill="1" applyBorder="1" applyAlignment="1">
      <alignment horizontal="center" vertical="top" wrapText="1"/>
    </xf>
    <xf numFmtId="0" fontId="5" fillId="3" borderId="6" xfId="0" applyFont="1" applyFill="1" applyBorder="1" applyAlignment="1">
      <alignment horizontal="center" vertical="top" wrapText="1"/>
    </xf>
    <xf numFmtId="0" fontId="5" fillId="3" borderId="5" xfId="0" applyFont="1" applyFill="1" applyBorder="1" applyAlignment="1">
      <alignment horizontal="center" vertical="top" wrapText="1"/>
    </xf>
    <xf numFmtId="164" fontId="3" fillId="2" borderId="1" xfId="1" applyFont="1" applyFill="1" applyBorder="1" applyAlignment="1">
      <alignment vertical="top" wrapText="1"/>
    </xf>
    <xf numFmtId="0" fontId="3" fillId="2" borderId="1" xfId="0" applyFont="1" applyFill="1" applyBorder="1" applyAlignment="1">
      <alignment vertical="top" wrapText="1"/>
    </xf>
    <xf numFmtId="165" fontId="3" fillId="2" borderId="1" xfId="0" applyNumberFormat="1" applyFont="1" applyFill="1" applyBorder="1" applyAlignment="1">
      <alignment vertical="top" wrapText="1"/>
    </xf>
    <xf numFmtId="0" fontId="11" fillId="7" borderId="2" xfId="0" applyFont="1" applyFill="1" applyBorder="1" applyAlignment="1">
      <alignment horizontal="center" vertical="top" wrapText="1"/>
    </xf>
    <xf numFmtId="0" fontId="11" fillId="7" borderId="7" xfId="0" applyFont="1" applyFill="1" applyBorder="1" applyAlignment="1">
      <alignment horizontal="center" vertical="top" wrapText="1"/>
    </xf>
    <xf numFmtId="0" fontId="11" fillId="7" borderId="3" xfId="0" applyFont="1" applyFill="1" applyBorder="1" applyAlignment="1">
      <alignment horizontal="center" vertical="top" wrapText="1"/>
    </xf>
    <xf numFmtId="164" fontId="11" fillId="8" borderId="2" xfId="1" applyFont="1" applyFill="1" applyBorder="1" applyAlignment="1">
      <alignment horizontal="center" vertical="top"/>
    </xf>
    <xf numFmtId="164" fontId="11" fillId="8" borderId="7" xfId="1" applyFont="1" applyFill="1" applyBorder="1" applyAlignment="1">
      <alignment horizontal="center" vertical="top"/>
    </xf>
    <xf numFmtId="164" fontId="11" fillId="8" borderId="3" xfId="1" applyFont="1" applyFill="1" applyBorder="1" applyAlignment="1">
      <alignment horizontal="center" vertical="top"/>
    </xf>
    <xf numFmtId="0" fontId="5" fillId="3" borderId="4" xfId="0" applyFont="1" applyFill="1" applyBorder="1" applyAlignment="1">
      <alignment vertical="top" wrapText="1"/>
    </xf>
    <xf numFmtId="0" fontId="5" fillId="3" borderId="6" xfId="0" applyFont="1" applyFill="1" applyBorder="1" applyAlignment="1">
      <alignment vertical="top" wrapText="1"/>
    </xf>
    <xf numFmtId="0" fontId="5" fillId="3" borderId="5" xfId="0" applyFont="1" applyFill="1" applyBorder="1" applyAlignment="1">
      <alignment vertical="top" wrapText="1"/>
    </xf>
    <xf numFmtId="0" fontId="2" fillId="0" borderId="4"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top" wrapText="1"/>
    </xf>
    <xf numFmtId="0" fontId="18" fillId="7" borderId="2" xfId="0" applyFont="1" applyFill="1" applyBorder="1" applyAlignment="1">
      <alignment horizontal="center" vertical="top" wrapText="1"/>
    </xf>
    <xf numFmtId="0" fontId="18" fillId="7" borderId="7" xfId="0" applyFont="1" applyFill="1" applyBorder="1" applyAlignment="1">
      <alignment horizontal="center" vertical="top" wrapText="1"/>
    </xf>
    <xf numFmtId="0" fontId="18" fillId="7" borderId="3" xfId="0" applyFont="1" applyFill="1" applyBorder="1" applyAlignment="1">
      <alignment horizontal="center" vertical="top" wrapText="1"/>
    </xf>
    <xf numFmtId="0" fontId="3" fillId="2" borderId="4" xfId="0" applyFont="1" applyFill="1" applyBorder="1" applyAlignment="1">
      <alignment vertical="top" wrapText="1"/>
    </xf>
    <xf numFmtId="0" fontId="3" fillId="2" borderId="5" xfId="0" applyFont="1" applyFill="1" applyBorder="1" applyAlignment="1">
      <alignment vertical="top" wrapText="1"/>
    </xf>
    <xf numFmtId="0" fontId="3" fillId="2" borderId="2" xfId="0" quotePrefix="1" applyFont="1" applyFill="1" applyBorder="1" applyAlignment="1">
      <alignment vertical="top" wrapText="1"/>
    </xf>
    <xf numFmtId="0" fontId="3" fillId="2" borderId="7" xfId="0" quotePrefix="1" applyFont="1" applyFill="1" applyBorder="1" applyAlignment="1">
      <alignment vertical="top" wrapText="1"/>
    </xf>
    <xf numFmtId="0" fontId="3" fillId="2" borderId="3" xfId="0" quotePrefix="1" applyFont="1" applyFill="1" applyBorder="1" applyAlignment="1">
      <alignment vertical="top" wrapText="1"/>
    </xf>
    <xf numFmtId="164" fontId="3" fillId="2" borderId="4" xfId="1" applyFont="1" applyFill="1" applyBorder="1" applyAlignment="1">
      <alignment horizontal="center" vertical="top" wrapText="1"/>
    </xf>
    <xf numFmtId="164" fontId="3" fillId="2" borderId="5" xfId="1" applyFont="1" applyFill="1" applyBorder="1" applyAlignment="1">
      <alignment horizontal="center" vertical="top" wrapText="1"/>
    </xf>
    <xf numFmtId="0" fontId="3" fillId="2" borderId="2" xfId="0" applyFont="1" applyFill="1" applyBorder="1" applyAlignment="1">
      <alignment vertical="top" wrapText="1"/>
    </xf>
    <xf numFmtId="0" fontId="3" fillId="2" borderId="3" xfId="0" applyFont="1" applyFill="1" applyBorder="1" applyAlignment="1">
      <alignment vertical="top" wrapText="1"/>
    </xf>
    <xf numFmtId="165" fontId="3" fillId="2" borderId="4" xfId="0" applyNumberFormat="1" applyFont="1" applyFill="1" applyBorder="1" applyAlignment="1">
      <alignment vertical="top" wrapText="1"/>
    </xf>
    <xf numFmtId="165" fontId="3" fillId="2" borderId="5" xfId="0" applyNumberFormat="1" applyFont="1" applyFill="1" applyBorder="1" applyAlignment="1">
      <alignment vertical="top" wrapText="1"/>
    </xf>
    <xf numFmtId="0" fontId="7" fillId="0" borderId="2" xfId="0" applyFont="1" applyBorder="1" applyAlignment="1">
      <alignment horizontal="left"/>
    </xf>
    <xf numFmtId="0" fontId="7" fillId="0" borderId="3" xfId="0" applyFont="1" applyBorder="1" applyAlignment="1">
      <alignment horizontal="left"/>
    </xf>
    <xf numFmtId="0" fontId="7" fillId="0" borderId="8" xfId="0" applyFont="1" applyBorder="1" applyAlignment="1">
      <alignment horizontal="center" wrapText="1"/>
    </xf>
    <xf numFmtId="0" fontId="7" fillId="0" borderId="9" xfId="0" applyFont="1" applyBorder="1" applyAlignment="1">
      <alignment horizontal="center" wrapText="1"/>
    </xf>
    <xf numFmtId="0" fontId="7" fillId="0" borderId="10" xfId="0" applyFont="1" applyBorder="1" applyAlignment="1">
      <alignment horizontal="center" wrapText="1"/>
    </xf>
    <xf numFmtId="0" fontId="7" fillId="0" borderId="2" xfId="0" applyFont="1" applyBorder="1" applyAlignment="1">
      <alignment horizontal="center" wrapText="1"/>
    </xf>
    <xf numFmtId="0" fontId="7" fillId="0" borderId="3" xfId="0" applyFont="1" applyBorder="1"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6</xdr:col>
      <xdr:colOff>523875</xdr:colOff>
      <xdr:row>7</xdr:row>
      <xdr:rowOff>157162</xdr:rowOff>
    </xdr:from>
    <xdr:ext cx="404380" cy="99147"/>
    <xdr:sp macro="" textlink="">
      <xdr:nvSpPr>
        <xdr:cNvPr id="2" name="TextBox 1">
          <a:extLst>
            <a:ext uri="{FF2B5EF4-FFF2-40B4-BE49-F238E27FC236}">
              <a16:creationId xmlns:a16="http://schemas.microsoft.com/office/drawing/2014/main" id="{2FC5A77D-6064-48B8-ADDF-D1EE0927DA8C}"/>
            </a:ext>
          </a:extLst>
        </xdr:cNvPr>
        <xdr:cNvSpPr txBox="1"/>
      </xdr:nvSpPr>
      <xdr:spPr>
        <a:xfrm>
          <a:off x="7197725" y="1630362"/>
          <a:ext cx="404380" cy="991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5C402-DEDF-487E-93DC-24C68A38195C}">
  <dimension ref="A2:AT33"/>
  <sheetViews>
    <sheetView topLeftCell="D18" zoomScale="80" workbookViewId="0">
      <selection activeCell="H6" sqref="H6"/>
    </sheetView>
  </sheetViews>
  <sheetFormatPr defaultColWidth="10.83203125" defaultRowHeight="14" x14ac:dyDescent="0.35"/>
  <cols>
    <col min="1" max="1" width="22.33203125" style="2" customWidth="1"/>
    <col min="2" max="2" width="19.9140625" style="2" customWidth="1"/>
    <col min="3" max="3" width="64.08203125" style="2" customWidth="1"/>
    <col min="4" max="4" width="38.4140625" style="2" bestFit="1" customWidth="1"/>
    <col min="5" max="5" width="18.08203125" style="2" bestFit="1" customWidth="1"/>
    <col min="6" max="6" width="10.9140625" style="2" bestFit="1" customWidth="1"/>
    <col min="7" max="7" width="30.6640625" style="1" bestFit="1" customWidth="1"/>
    <col min="8" max="8" width="10.83203125" style="2"/>
    <col min="9" max="9" width="9.58203125" style="2" customWidth="1"/>
    <col min="10" max="10" width="10.6640625" style="2" customWidth="1"/>
    <col min="11" max="11" width="19.83203125" style="4" bestFit="1" customWidth="1"/>
    <col min="12" max="15" width="10.83203125" style="2"/>
    <col min="16" max="16" width="13.08203125" style="2" bestFit="1" customWidth="1"/>
    <col min="17" max="16384" width="10.83203125" style="2"/>
  </cols>
  <sheetData>
    <row r="2" spans="1:46" ht="37" customHeight="1" x14ac:dyDescent="0.35">
      <c r="A2" s="3" t="s">
        <v>0</v>
      </c>
      <c r="B2" s="3" t="s">
        <v>1</v>
      </c>
      <c r="C2" s="3" t="s">
        <v>2</v>
      </c>
      <c r="D2" s="3" t="s">
        <v>3</v>
      </c>
      <c r="E2" s="3" t="s">
        <v>4</v>
      </c>
      <c r="F2" s="3" t="s">
        <v>27</v>
      </c>
      <c r="G2" s="3" t="s">
        <v>5</v>
      </c>
      <c r="H2" s="119" t="s">
        <v>80</v>
      </c>
      <c r="I2" s="120"/>
      <c r="J2" s="121"/>
      <c r="K2" s="151" t="s">
        <v>6</v>
      </c>
      <c r="L2" s="152" t="s">
        <v>24</v>
      </c>
      <c r="M2" s="152"/>
      <c r="N2" s="152" t="s">
        <v>7</v>
      </c>
      <c r="O2" s="152"/>
      <c r="P2" s="153" t="s">
        <v>8</v>
      </c>
    </row>
    <row r="3" spans="1:46" ht="17" customHeight="1" x14ac:dyDescent="0.35">
      <c r="A3" s="3"/>
      <c r="B3" s="3"/>
      <c r="C3" s="3"/>
      <c r="D3" s="3"/>
      <c r="E3" s="3"/>
      <c r="F3" s="3"/>
      <c r="G3" s="3"/>
      <c r="H3" s="3" t="s">
        <v>81</v>
      </c>
      <c r="I3" s="3" t="s">
        <v>19</v>
      </c>
      <c r="J3" s="3" t="s">
        <v>82</v>
      </c>
      <c r="K3" s="151"/>
      <c r="L3" s="3" t="s">
        <v>23</v>
      </c>
      <c r="M3" s="3" t="s">
        <v>21</v>
      </c>
      <c r="N3" s="3" t="s">
        <v>22</v>
      </c>
      <c r="O3" s="3" t="s">
        <v>21</v>
      </c>
      <c r="P3" s="153"/>
    </row>
    <row r="4" spans="1:46" ht="75.5" customHeight="1" x14ac:dyDescent="0.35">
      <c r="A4" s="145" t="s">
        <v>28</v>
      </c>
      <c r="B4" s="141" t="s">
        <v>33</v>
      </c>
      <c r="C4" s="123" t="s">
        <v>536</v>
      </c>
      <c r="D4" s="123" t="s">
        <v>31</v>
      </c>
      <c r="E4" s="1" t="s">
        <v>48</v>
      </c>
      <c r="F4" s="1">
        <v>4</v>
      </c>
      <c r="G4" s="1" t="s">
        <v>32</v>
      </c>
      <c r="H4" s="7"/>
      <c r="K4" s="6">
        <f>(40000*4)+(10000*4)</f>
        <v>200000</v>
      </c>
      <c r="P4" s="6"/>
    </row>
    <row r="5" spans="1:46" customFormat="1" ht="66" customHeight="1" x14ac:dyDescent="0.35">
      <c r="A5" s="146"/>
      <c r="B5" s="139"/>
      <c r="C5" s="1" t="s">
        <v>545</v>
      </c>
      <c r="D5" s="1" t="s">
        <v>541</v>
      </c>
      <c r="E5" s="1" t="s">
        <v>138</v>
      </c>
      <c r="F5" s="2">
        <v>2</v>
      </c>
      <c r="G5" s="1" t="s">
        <v>137</v>
      </c>
      <c r="H5" s="7"/>
      <c r="I5" s="7"/>
      <c r="J5" s="2"/>
      <c r="K5" s="12">
        <f>'3 M-Budget'!N27</f>
        <v>2092000</v>
      </c>
      <c r="L5" s="2"/>
      <c r="M5" s="2"/>
      <c r="N5" s="2"/>
      <c r="O5" s="2"/>
      <c r="P5" s="2"/>
      <c r="Q5" s="2"/>
      <c r="R5" s="2"/>
      <c r="S5" s="2"/>
      <c r="T5" s="2"/>
      <c r="U5" s="4">
        <f>'1Y-Budget'!F29</f>
        <v>0</v>
      </c>
      <c r="V5" s="2"/>
      <c r="W5" s="2"/>
      <c r="X5" s="2"/>
      <c r="Y5" s="2"/>
      <c r="Z5" s="4"/>
    </row>
    <row r="6" spans="1:46" ht="42" x14ac:dyDescent="0.35">
      <c r="A6" s="146"/>
      <c r="B6" s="139"/>
      <c r="C6" s="1" t="s">
        <v>542</v>
      </c>
      <c r="D6" s="1" t="s">
        <v>36</v>
      </c>
      <c r="E6" s="1" t="s">
        <v>34</v>
      </c>
      <c r="F6" s="2">
        <v>2</v>
      </c>
      <c r="G6" s="1" t="s">
        <v>35</v>
      </c>
      <c r="H6" s="7"/>
      <c r="K6" s="4">
        <f>'3 M-Budget'!F40</f>
        <v>2215000</v>
      </c>
      <c r="P6" s="6"/>
    </row>
    <row r="7" spans="1:46" ht="59" customHeight="1" x14ac:dyDescent="0.35">
      <c r="A7" s="146"/>
      <c r="B7" s="139"/>
      <c r="C7" s="1" t="s">
        <v>543</v>
      </c>
      <c r="D7" s="1" t="s">
        <v>544</v>
      </c>
      <c r="E7" s="1" t="s">
        <v>37</v>
      </c>
      <c r="F7" s="2">
        <v>2</v>
      </c>
      <c r="G7" s="1" t="s">
        <v>38</v>
      </c>
      <c r="H7" s="7"/>
      <c r="I7" s="7"/>
      <c r="J7" s="7"/>
      <c r="K7" s="6">
        <f>'3 M-Budget'!N95</f>
        <v>8494000</v>
      </c>
      <c r="P7" s="6"/>
    </row>
    <row r="8" spans="1:46" ht="98" x14ac:dyDescent="0.35">
      <c r="A8" s="146"/>
      <c r="B8" s="139" t="s">
        <v>83</v>
      </c>
      <c r="C8" s="123" t="s">
        <v>546</v>
      </c>
      <c r="D8" s="1" t="s">
        <v>140</v>
      </c>
      <c r="E8" s="1" t="s">
        <v>141</v>
      </c>
      <c r="F8" s="2">
        <v>1</v>
      </c>
      <c r="G8" s="1" t="s">
        <v>139</v>
      </c>
      <c r="H8" s="7"/>
      <c r="K8" s="6">
        <f>'3 M-Budget'!N12</f>
        <v>3970000</v>
      </c>
      <c r="P8" s="6"/>
    </row>
    <row r="9" spans="1:46" s="5" customFormat="1" ht="56" x14ac:dyDescent="0.35">
      <c r="A9" s="146"/>
      <c r="B9" s="139"/>
      <c r="C9" s="1" t="s">
        <v>547</v>
      </c>
      <c r="D9" s="1" t="s">
        <v>531</v>
      </c>
      <c r="E9" s="5" t="s">
        <v>42</v>
      </c>
      <c r="F9" s="5">
        <v>3</v>
      </c>
      <c r="G9" s="5" t="s">
        <v>43</v>
      </c>
      <c r="H9" s="8"/>
      <c r="I9" s="8"/>
      <c r="J9" s="8"/>
      <c r="K9" s="11">
        <f>'3 M-Budget'!F81</f>
        <v>1542000</v>
      </c>
    </row>
    <row r="10" spans="1:46" s="5" customFormat="1" ht="42" x14ac:dyDescent="0.35">
      <c r="A10" s="146"/>
      <c r="B10" s="140"/>
      <c r="C10" s="5" t="s">
        <v>539</v>
      </c>
      <c r="D10" s="5" t="s">
        <v>532</v>
      </c>
      <c r="E10" s="5" t="s">
        <v>37</v>
      </c>
      <c r="F10" s="5">
        <v>3</v>
      </c>
      <c r="G10" s="1" t="s">
        <v>45</v>
      </c>
      <c r="H10" s="8"/>
      <c r="I10" s="8"/>
      <c r="J10" s="8"/>
      <c r="K10" s="11">
        <f>'3 M-Budget'!F95</f>
        <v>3725000</v>
      </c>
    </row>
    <row r="11" spans="1:46" s="5" customFormat="1" ht="70" x14ac:dyDescent="0.35">
      <c r="A11" s="146"/>
      <c r="B11" s="142" t="s">
        <v>84</v>
      </c>
      <c r="C11" s="1" t="s">
        <v>548</v>
      </c>
      <c r="D11" s="5" t="s">
        <v>143</v>
      </c>
      <c r="E11" s="5" t="s">
        <v>39</v>
      </c>
      <c r="F11" s="5">
        <v>1</v>
      </c>
      <c r="G11" s="5" t="s">
        <v>142</v>
      </c>
      <c r="H11" s="8"/>
      <c r="I11" s="8"/>
      <c r="K11" s="11">
        <f>'3 M-Budget'!F121</f>
        <v>1160000</v>
      </c>
    </row>
    <row r="12" spans="1:46" s="5" customFormat="1" ht="56" x14ac:dyDescent="0.35">
      <c r="A12" s="146"/>
      <c r="B12" s="143"/>
      <c r="C12" s="1" t="s">
        <v>533</v>
      </c>
      <c r="D12" s="1" t="s">
        <v>44</v>
      </c>
      <c r="E12" s="5" t="s">
        <v>42</v>
      </c>
      <c r="F12" s="5">
        <v>3</v>
      </c>
      <c r="G12" s="5" t="s">
        <v>43</v>
      </c>
      <c r="H12" s="8"/>
      <c r="I12" s="8"/>
      <c r="K12" s="11">
        <f>'3 M-Budget'!F134</f>
        <v>1143000</v>
      </c>
    </row>
    <row r="13" spans="1:46" s="5" customFormat="1" ht="42" x14ac:dyDescent="0.35">
      <c r="A13" s="146"/>
      <c r="B13" s="143"/>
      <c r="C13" s="5" t="s">
        <v>549</v>
      </c>
      <c r="D13" s="5" t="s">
        <v>540</v>
      </c>
      <c r="E13" s="5" t="s">
        <v>37</v>
      </c>
      <c r="F13" s="5">
        <v>3</v>
      </c>
      <c r="G13" s="1" t="s">
        <v>45</v>
      </c>
      <c r="H13" s="8"/>
      <c r="I13" s="8"/>
      <c r="J13" s="8"/>
      <c r="K13" s="11">
        <f>'3 M-Budget'!F145</f>
        <v>5660000</v>
      </c>
    </row>
    <row r="14" spans="1:46" ht="56" x14ac:dyDescent="0.35">
      <c r="A14" s="147"/>
      <c r="B14" s="144"/>
      <c r="C14" s="1" t="s">
        <v>71</v>
      </c>
      <c r="D14" s="1" t="s">
        <v>54</v>
      </c>
      <c r="E14" s="1" t="s">
        <v>55</v>
      </c>
      <c r="F14" s="2">
        <v>3</v>
      </c>
      <c r="G14" s="1" t="s">
        <v>56</v>
      </c>
      <c r="H14" s="8"/>
      <c r="I14" s="8"/>
      <c r="K14" s="4">
        <v>500000</v>
      </c>
      <c r="P14" s="4"/>
    </row>
    <row r="15" spans="1:46" s="105" customFormat="1" ht="15.5" customHeight="1" x14ac:dyDescent="0.35">
      <c r="A15" s="109" t="s">
        <v>528</v>
      </c>
      <c r="B15" s="110"/>
      <c r="C15" s="110"/>
      <c r="D15" s="110"/>
      <c r="E15" s="110"/>
      <c r="F15" s="110"/>
      <c r="G15" s="110"/>
      <c r="H15" s="110"/>
      <c r="I15" s="110"/>
      <c r="J15" s="111"/>
      <c r="K15" s="106">
        <f>SUM(K5:K14)</f>
        <v>30501000</v>
      </c>
      <c r="L15" s="104"/>
      <c r="M15" s="104"/>
      <c r="N15" s="104"/>
      <c r="O15" s="104"/>
      <c r="P15" s="101"/>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row>
    <row r="16" spans="1:46" ht="103.5" customHeight="1" x14ac:dyDescent="0.35">
      <c r="A16" s="148" t="s">
        <v>29</v>
      </c>
      <c r="B16" s="1" t="s">
        <v>78</v>
      </c>
      <c r="C16" s="1" t="s">
        <v>550</v>
      </c>
      <c r="D16" s="1" t="s">
        <v>57</v>
      </c>
      <c r="E16" s="1" t="s">
        <v>61</v>
      </c>
      <c r="F16" s="1">
        <v>2</v>
      </c>
      <c r="G16" s="1" t="s">
        <v>58</v>
      </c>
      <c r="H16" s="8"/>
      <c r="I16" s="8"/>
      <c r="J16" s="8"/>
      <c r="K16" s="4">
        <f>'3 M-Budget'!F198</f>
        <v>1370000</v>
      </c>
      <c r="P16" s="4"/>
    </row>
    <row r="17" spans="1:40" ht="56" x14ac:dyDescent="0.35">
      <c r="A17" s="149"/>
      <c r="B17" s="1"/>
      <c r="C17" s="1" t="s">
        <v>551</v>
      </c>
      <c r="D17" s="1" t="s">
        <v>63</v>
      </c>
      <c r="E17" s="1" t="s">
        <v>59</v>
      </c>
      <c r="F17" s="2">
        <v>2</v>
      </c>
      <c r="G17" s="1" t="s">
        <v>60</v>
      </c>
      <c r="H17" s="8"/>
      <c r="K17" s="4">
        <f>'3 M-Budget'!F211</f>
        <v>1760000</v>
      </c>
      <c r="P17" s="4"/>
    </row>
    <row r="18" spans="1:40" s="129" customFormat="1" ht="114" customHeight="1" x14ac:dyDescent="0.35">
      <c r="A18" s="149"/>
      <c r="B18" s="112"/>
      <c r="C18" s="112" t="s">
        <v>552</v>
      </c>
      <c r="D18" s="112" t="s">
        <v>62</v>
      </c>
      <c r="E18" s="112" t="s">
        <v>30</v>
      </c>
      <c r="F18" s="129">
        <v>2</v>
      </c>
      <c r="G18" s="112" t="s">
        <v>75</v>
      </c>
      <c r="H18" s="130"/>
      <c r="I18" s="130"/>
      <c r="K18" s="131">
        <f>'3 M-Budget'!F226</f>
        <v>3620000</v>
      </c>
      <c r="P18" s="131"/>
    </row>
    <row r="19" spans="1:40" ht="114" customHeight="1" x14ac:dyDescent="0.35">
      <c r="A19" s="150"/>
      <c r="B19" s="1" t="s">
        <v>76</v>
      </c>
      <c r="C19" s="1" t="s">
        <v>553</v>
      </c>
      <c r="D19" s="1" t="s">
        <v>67</v>
      </c>
      <c r="E19" s="1" t="s">
        <v>52</v>
      </c>
      <c r="F19" s="2">
        <v>2</v>
      </c>
      <c r="G19" s="1" t="s">
        <v>77</v>
      </c>
      <c r="H19" s="8"/>
      <c r="I19" s="8"/>
      <c r="K19" s="4">
        <f>'3 M-Budget'!F325</f>
        <v>3120000</v>
      </c>
      <c r="P19" s="4"/>
    </row>
    <row r="20" spans="1:40" s="105" customFormat="1" x14ac:dyDescent="0.35">
      <c r="A20" s="113" t="s">
        <v>528</v>
      </c>
      <c r="B20" s="114"/>
      <c r="C20" s="114"/>
      <c r="D20" s="114"/>
      <c r="E20" s="114"/>
      <c r="F20" s="114"/>
      <c r="G20" s="114"/>
      <c r="H20" s="114"/>
      <c r="I20" s="114"/>
      <c r="J20" s="115"/>
      <c r="K20" s="103">
        <f>SUM(K16:K18)</f>
        <v>6750000</v>
      </c>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row>
    <row r="21" spans="1:40" s="102" customFormat="1" ht="37.5" customHeight="1" x14ac:dyDescent="0.35">
      <c r="A21" s="116" t="s">
        <v>529</v>
      </c>
      <c r="B21" s="117"/>
      <c r="C21" s="117"/>
      <c r="D21" s="117"/>
      <c r="E21" s="117"/>
      <c r="F21" s="117"/>
      <c r="G21" s="117"/>
      <c r="H21" s="117"/>
      <c r="I21" s="117"/>
      <c r="J21" s="118"/>
      <c r="K21" s="100">
        <f>K20+K15</f>
        <v>37251000</v>
      </c>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row>
    <row r="22" spans="1:40" x14ac:dyDescent="0.35">
      <c r="A22" s="91"/>
      <c r="B22" s="1"/>
      <c r="C22" s="1"/>
      <c r="D22" s="1"/>
      <c r="E22" s="1"/>
      <c r="P22" s="4"/>
    </row>
    <row r="23" spans="1:40" x14ac:dyDescent="0.35">
      <c r="A23" s="91"/>
      <c r="B23" s="1"/>
      <c r="C23" s="1"/>
      <c r="D23" s="1"/>
      <c r="E23" s="1"/>
      <c r="P23" s="4"/>
    </row>
    <row r="24" spans="1:40" ht="50" customHeight="1" x14ac:dyDescent="0.35">
      <c r="A24" s="91"/>
      <c r="B24" s="145"/>
      <c r="C24" s="1"/>
      <c r="D24" s="1"/>
      <c r="E24" s="1"/>
      <c r="F24" s="1"/>
      <c r="P24" s="4"/>
    </row>
    <row r="25" spans="1:40" ht="31.5" customHeight="1" x14ac:dyDescent="0.35">
      <c r="A25" s="91"/>
      <c r="B25" s="146"/>
      <c r="C25" s="1"/>
      <c r="D25" s="1"/>
      <c r="E25" s="1"/>
      <c r="F25" s="1"/>
      <c r="P25" s="4"/>
    </row>
    <row r="26" spans="1:40" ht="43" customHeight="1" x14ac:dyDescent="0.35">
      <c r="A26" s="91"/>
      <c r="B26" s="146"/>
      <c r="C26" s="1"/>
      <c r="D26" s="1"/>
      <c r="E26" s="1"/>
      <c r="F26" s="1"/>
      <c r="P26" s="4"/>
    </row>
    <row r="27" spans="1:40" x14ac:dyDescent="0.35">
      <c r="A27" s="91"/>
      <c r="B27" s="147"/>
      <c r="C27" s="1"/>
      <c r="D27" s="1"/>
      <c r="E27" s="1"/>
      <c r="F27" s="1"/>
      <c r="P27" s="4"/>
    </row>
    <row r="28" spans="1:40" ht="30" customHeight="1" x14ac:dyDescent="0.35">
      <c r="A28" s="91"/>
      <c r="B28" s="1"/>
      <c r="C28" s="1"/>
      <c r="D28" s="1"/>
      <c r="E28" s="1"/>
      <c r="F28" s="1"/>
      <c r="P28" s="4"/>
    </row>
    <row r="29" spans="1:40" ht="47" customHeight="1" x14ac:dyDescent="0.35">
      <c r="A29" s="91"/>
      <c r="B29" s="1"/>
      <c r="C29" s="1"/>
      <c r="D29" s="1"/>
      <c r="E29" s="1"/>
      <c r="F29" s="1"/>
    </row>
    <row r="30" spans="1:40" ht="32" customHeight="1" x14ac:dyDescent="0.35">
      <c r="A30" s="91"/>
      <c r="B30" s="1"/>
      <c r="C30" s="1"/>
      <c r="D30" s="1"/>
      <c r="E30" s="1"/>
      <c r="F30" s="1"/>
    </row>
    <row r="31" spans="1:40" x14ac:dyDescent="0.35">
      <c r="A31" s="91"/>
      <c r="B31" s="1"/>
      <c r="C31" s="1"/>
      <c r="D31" s="1"/>
      <c r="E31" s="1"/>
      <c r="F31" s="1"/>
    </row>
    <row r="32" spans="1:40" x14ac:dyDescent="0.35">
      <c r="A32" s="91"/>
      <c r="B32" s="1"/>
      <c r="C32" s="1"/>
      <c r="D32" s="1"/>
      <c r="E32" s="1"/>
      <c r="F32" s="1"/>
    </row>
    <row r="33" spans="1:16" ht="33" customHeight="1" x14ac:dyDescent="0.35">
      <c r="A33" s="91"/>
      <c r="B33" s="1"/>
      <c r="D33" s="1"/>
      <c r="E33" s="1"/>
      <c r="P33" s="4"/>
    </row>
  </sheetData>
  <mergeCells count="10">
    <mergeCell ref="K2:K3"/>
    <mergeCell ref="L2:M2"/>
    <mergeCell ref="N2:O2"/>
    <mergeCell ref="P2:P3"/>
    <mergeCell ref="B8:B10"/>
    <mergeCell ref="B4:B7"/>
    <mergeCell ref="B11:B14"/>
    <mergeCell ref="A4:A14"/>
    <mergeCell ref="B24:B27"/>
    <mergeCell ref="A16:A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5"/>
  <sheetViews>
    <sheetView topLeftCell="A226" workbookViewId="0">
      <selection activeCell="A237" sqref="A237:XFD237"/>
    </sheetView>
  </sheetViews>
  <sheetFormatPr defaultRowHeight="15.5" x14ac:dyDescent="0.35"/>
  <cols>
    <col min="1" max="1" width="25.1640625" bestFit="1" customWidth="1"/>
    <col min="2" max="2" width="12.4140625" style="9" bestFit="1" customWidth="1"/>
    <col min="6" max="6" width="13.5" bestFit="1" customWidth="1"/>
    <col min="9" max="9" width="19.4140625" bestFit="1" customWidth="1"/>
    <col min="10" max="10" width="11" bestFit="1" customWidth="1"/>
    <col min="12" max="13" width="12.4140625" bestFit="1" customWidth="1"/>
    <col min="14" max="14" width="13.6640625" bestFit="1" customWidth="1"/>
  </cols>
  <sheetData>
    <row r="1" spans="1:14" x14ac:dyDescent="0.35">
      <c r="A1" t="s">
        <v>101</v>
      </c>
    </row>
    <row r="2" spans="1:14" x14ac:dyDescent="0.35">
      <c r="A2" t="s">
        <v>86</v>
      </c>
      <c r="B2" s="9" t="s">
        <v>87</v>
      </c>
      <c r="C2" t="s">
        <v>88</v>
      </c>
      <c r="D2" t="s">
        <v>99</v>
      </c>
      <c r="E2" t="s">
        <v>100</v>
      </c>
      <c r="F2" t="s">
        <v>89</v>
      </c>
      <c r="I2" t="s">
        <v>135</v>
      </c>
      <c r="J2" s="9"/>
    </row>
    <row r="3" spans="1:14" x14ac:dyDescent="0.35">
      <c r="A3" t="s">
        <v>90</v>
      </c>
      <c r="B3" s="9">
        <v>14000</v>
      </c>
      <c r="C3">
        <v>15</v>
      </c>
      <c r="D3">
        <v>14</v>
      </c>
      <c r="E3">
        <v>2</v>
      </c>
      <c r="F3" s="9">
        <f>B3*C3*D3*E3</f>
        <v>5880000</v>
      </c>
      <c r="I3" t="s">
        <v>86</v>
      </c>
      <c r="J3" s="9" t="s">
        <v>87</v>
      </c>
      <c r="K3" t="s">
        <v>88</v>
      </c>
      <c r="L3" t="s">
        <v>99</v>
      </c>
      <c r="M3" t="s">
        <v>100</v>
      </c>
      <c r="N3" t="s">
        <v>89</v>
      </c>
    </row>
    <row r="4" spans="1:14" x14ac:dyDescent="0.35">
      <c r="A4" t="s">
        <v>91</v>
      </c>
      <c r="B4" s="9">
        <v>0</v>
      </c>
      <c r="C4" s="9">
        <v>0</v>
      </c>
      <c r="D4" s="9">
        <v>0</v>
      </c>
      <c r="E4" s="9">
        <v>0</v>
      </c>
      <c r="F4" s="9">
        <f t="shared" ref="F4:F10" si="0">B4*C4*D4*E4</f>
        <v>0</v>
      </c>
      <c r="I4" t="s">
        <v>90</v>
      </c>
      <c r="J4" s="9">
        <v>14000</v>
      </c>
      <c r="K4">
        <v>20</v>
      </c>
      <c r="L4">
        <v>10</v>
      </c>
      <c r="M4">
        <v>1</v>
      </c>
      <c r="N4" s="9">
        <f>J4*K4*L4*M4</f>
        <v>2800000</v>
      </c>
    </row>
    <row r="5" spans="1:14" x14ac:dyDescent="0.35">
      <c r="A5" t="s">
        <v>92</v>
      </c>
      <c r="B5" s="9">
        <v>200</v>
      </c>
      <c r="C5">
        <v>85</v>
      </c>
      <c r="D5">
        <v>14</v>
      </c>
      <c r="E5">
        <v>2</v>
      </c>
      <c r="F5" s="9">
        <f t="shared" si="0"/>
        <v>476000</v>
      </c>
      <c r="I5" t="s">
        <v>91</v>
      </c>
      <c r="J5" s="9">
        <v>5000</v>
      </c>
      <c r="K5" s="9">
        <v>20</v>
      </c>
      <c r="L5" s="9">
        <v>10</v>
      </c>
      <c r="M5" s="9">
        <v>1</v>
      </c>
      <c r="N5" s="9">
        <f t="shared" ref="N5:N11" si="1">J5*K5*L5*M5</f>
        <v>1000000</v>
      </c>
    </row>
    <row r="6" spans="1:14" x14ac:dyDescent="0.35">
      <c r="A6" t="s">
        <v>93</v>
      </c>
      <c r="B6" s="9">
        <v>0</v>
      </c>
      <c r="C6" s="9">
        <v>0</v>
      </c>
      <c r="D6" s="9">
        <v>0</v>
      </c>
      <c r="E6" s="9">
        <v>0</v>
      </c>
      <c r="F6" s="9">
        <f t="shared" si="0"/>
        <v>0</v>
      </c>
      <c r="I6" t="s">
        <v>92</v>
      </c>
      <c r="J6" s="9">
        <v>200</v>
      </c>
      <c r="K6">
        <v>85</v>
      </c>
      <c r="L6">
        <v>10</v>
      </c>
      <c r="M6">
        <v>1</v>
      </c>
      <c r="N6" s="9">
        <f t="shared" si="1"/>
        <v>170000</v>
      </c>
    </row>
    <row r="7" spans="1:14" x14ac:dyDescent="0.35">
      <c r="A7" t="s">
        <v>94</v>
      </c>
      <c r="B7" s="9">
        <v>28000</v>
      </c>
      <c r="C7">
        <v>5</v>
      </c>
      <c r="D7">
        <v>1</v>
      </c>
      <c r="E7">
        <v>1</v>
      </c>
      <c r="F7" s="9">
        <f t="shared" si="0"/>
        <v>140000</v>
      </c>
      <c r="I7" t="s">
        <v>93</v>
      </c>
      <c r="J7" s="9">
        <v>0</v>
      </c>
      <c r="K7" s="9">
        <v>0</v>
      </c>
      <c r="L7" s="9">
        <v>0</v>
      </c>
      <c r="M7" s="9">
        <v>0</v>
      </c>
      <c r="N7" s="9">
        <f t="shared" si="1"/>
        <v>0</v>
      </c>
    </row>
    <row r="8" spans="1:14" x14ac:dyDescent="0.35">
      <c r="A8" t="s">
        <v>95</v>
      </c>
      <c r="B8" s="9">
        <v>0</v>
      </c>
      <c r="C8" s="9">
        <v>0</v>
      </c>
      <c r="D8" s="9">
        <v>0</v>
      </c>
      <c r="E8" s="9">
        <v>0</v>
      </c>
      <c r="F8" s="9">
        <f t="shared" si="0"/>
        <v>0</v>
      </c>
      <c r="I8" t="s">
        <v>94</v>
      </c>
      <c r="J8" s="9">
        <v>0</v>
      </c>
      <c r="K8">
        <v>0</v>
      </c>
      <c r="L8">
        <v>0</v>
      </c>
      <c r="M8">
        <v>0</v>
      </c>
      <c r="N8" s="9">
        <f t="shared" si="1"/>
        <v>0</v>
      </c>
    </row>
    <row r="9" spans="1:14" x14ac:dyDescent="0.35">
      <c r="A9" t="s">
        <v>96</v>
      </c>
      <c r="B9" s="9">
        <v>0</v>
      </c>
      <c r="C9" s="9">
        <v>0</v>
      </c>
      <c r="D9" s="9">
        <v>0</v>
      </c>
      <c r="E9" s="9">
        <v>0</v>
      </c>
      <c r="F9" s="9">
        <f t="shared" si="0"/>
        <v>0</v>
      </c>
      <c r="I9" t="s">
        <v>95</v>
      </c>
      <c r="J9" s="9">
        <v>0</v>
      </c>
      <c r="K9" s="9">
        <v>0</v>
      </c>
      <c r="L9" s="9">
        <v>0</v>
      </c>
      <c r="M9" s="9">
        <v>0</v>
      </c>
      <c r="N9" s="9">
        <f t="shared" si="1"/>
        <v>0</v>
      </c>
    </row>
    <row r="10" spans="1:14" x14ac:dyDescent="0.35">
      <c r="A10" t="s">
        <v>97</v>
      </c>
      <c r="B10" s="9">
        <v>0</v>
      </c>
      <c r="C10" s="9">
        <v>0</v>
      </c>
      <c r="D10" s="9">
        <v>0</v>
      </c>
      <c r="E10" s="9">
        <v>0</v>
      </c>
      <c r="F10" s="9">
        <f t="shared" si="0"/>
        <v>0</v>
      </c>
      <c r="I10" t="s">
        <v>96</v>
      </c>
      <c r="J10" s="9">
        <v>0</v>
      </c>
      <c r="K10" s="9">
        <v>0</v>
      </c>
      <c r="L10" s="9">
        <v>0</v>
      </c>
      <c r="M10" s="9">
        <v>0</v>
      </c>
      <c r="N10" s="9">
        <f t="shared" si="1"/>
        <v>0</v>
      </c>
    </row>
    <row r="11" spans="1:14" x14ac:dyDescent="0.35">
      <c r="A11" t="s">
        <v>25</v>
      </c>
      <c r="B11" s="9">
        <v>0</v>
      </c>
      <c r="C11" s="9">
        <v>0</v>
      </c>
      <c r="D11" s="9">
        <v>0</v>
      </c>
      <c r="E11" s="9">
        <v>0</v>
      </c>
      <c r="F11" s="10">
        <f>SUM(F3:F10)</f>
        <v>6496000</v>
      </c>
      <c r="I11" t="s">
        <v>97</v>
      </c>
      <c r="J11" s="9">
        <v>0</v>
      </c>
      <c r="K11" s="9">
        <v>0</v>
      </c>
      <c r="L11" s="9">
        <v>0</v>
      </c>
      <c r="M11" s="9">
        <v>0</v>
      </c>
      <c r="N11" s="9">
        <f t="shared" si="1"/>
        <v>0</v>
      </c>
    </row>
    <row r="12" spans="1:14" x14ac:dyDescent="0.35">
      <c r="I12" t="s">
        <v>25</v>
      </c>
      <c r="J12" s="9">
        <v>0</v>
      </c>
      <c r="K12" s="9">
        <v>0</v>
      </c>
      <c r="L12" s="9">
        <v>0</v>
      </c>
      <c r="M12" s="9">
        <v>0</v>
      </c>
      <c r="N12" s="10">
        <f>SUM(N4:N11)</f>
        <v>3970000</v>
      </c>
    </row>
    <row r="13" spans="1:14" x14ac:dyDescent="0.35">
      <c r="J13" s="9"/>
    </row>
    <row r="15" spans="1:14" x14ac:dyDescent="0.35">
      <c r="A15" t="s">
        <v>102</v>
      </c>
      <c r="I15" t="s">
        <v>509</v>
      </c>
      <c r="J15" s="9"/>
    </row>
    <row r="16" spans="1:14" x14ac:dyDescent="0.35">
      <c r="A16" t="s">
        <v>86</v>
      </c>
      <c r="B16" s="9" t="s">
        <v>87</v>
      </c>
      <c r="C16" t="s">
        <v>88</v>
      </c>
      <c r="D16" t="s">
        <v>99</v>
      </c>
      <c r="E16" t="s">
        <v>100</v>
      </c>
      <c r="F16" t="s">
        <v>89</v>
      </c>
      <c r="I16" t="s">
        <v>86</v>
      </c>
      <c r="J16" s="9" t="s">
        <v>87</v>
      </c>
      <c r="K16" t="s">
        <v>88</v>
      </c>
      <c r="L16" t="s">
        <v>99</v>
      </c>
      <c r="M16" t="s">
        <v>100</v>
      </c>
      <c r="N16" t="s">
        <v>89</v>
      </c>
    </row>
    <row r="17" spans="1:14" x14ac:dyDescent="0.35">
      <c r="A17" t="s">
        <v>90</v>
      </c>
      <c r="B17" s="9">
        <v>14000</v>
      </c>
      <c r="C17">
        <v>10</v>
      </c>
      <c r="D17">
        <v>2</v>
      </c>
      <c r="E17">
        <v>3</v>
      </c>
      <c r="F17" s="9">
        <f>B17*C17*D17*E17</f>
        <v>840000</v>
      </c>
      <c r="I17" t="s">
        <v>90</v>
      </c>
      <c r="J17" s="9">
        <v>14000</v>
      </c>
      <c r="K17">
        <v>15</v>
      </c>
      <c r="L17">
        <v>3</v>
      </c>
      <c r="M17">
        <v>2</v>
      </c>
      <c r="N17" s="9">
        <f>J17*K17*L17*M17</f>
        <v>1260000</v>
      </c>
    </row>
    <row r="18" spans="1:14" x14ac:dyDescent="0.35">
      <c r="A18" t="s">
        <v>91</v>
      </c>
      <c r="B18" s="9">
        <v>5000</v>
      </c>
      <c r="C18">
        <v>10</v>
      </c>
      <c r="D18">
        <v>2</v>
      </c>
      <c r="E18">
        <v>2</v>
      </c>
      <c r="F18" s="9">
        <f t="shared" ref="F18:F24" si="2">B18*C18*D18*E18</f>
        <v>200000</v>
      </c>
      <c r="I18" t="s">
        <v>91</v>
      </c>
      <c r="J18" s="9">
        <v>5000</v>
      </c>
      <c r="K18">
        <v>15</v>
      </c>
      <c r="L18">
        <v>3</v>
      </c>
      <c r="M18">
        <v>2</v>
      </c>
      <c r="N18" s="9">
        <f t="shared" ref="N18:N25" si="3">J18*K18*L18*M18</f>
        <v>450000</v>
      </c>
    </row>
    <row r="19" spans="1:14" x14ac:dyDescent="0.35">
      <c r="A19" t="s">
        <v>92</v>
      </c>
      <c r="B19" s="9">
        <v>0</v>
      </c>
      <c r="C19">
        <v>0</v>
      </c>
      <c r="D19">
        <v>0</v>
      </c>
      <c r="E19">
        <v>0</v>
      </c>
      <c r="F19" s="9">
        <f t="shared" si="2"/>
        <v>0</v>
      </c>
      <c r="I19" t="s">
        <v>92</v>
      </c>
      <c r="J19" s="9">
        <v>200</v>
      </c>
      <c r="K19">
        <v>85</v>
      </c>
      <c r="L19">
        <v>3</v>
      </c>
      <c r="M19">
        <v>2</v>
      </c>
      <c r="N19" s="9">
        <f t="shared" si="3"/>
        <v>102000</v>
      </c>
    </row>
    <row r="20" spans="1:14" x14ac:dyDescent="0.35">
      <c r="A20" t="s">
        <v>93</v>
      </c>
      <c r="B20" s="9">
        <v>0</v>
      </c>
      <c r="C20" s="9">
        <v>0</v>
      </c>
      <c r="D20" s="9">
        <v>0</v>
      </c>
      <c r="E20" s="9">
        <v>0</v>
      </c>
      <c r="F20" s="9">
        <f t="shared" si="2"/>
        <v>0</v>
      </c>
      <c r="I20" t="s">
        <v>93</v>
      </c>
      <c r="J20" s="9">
        <v>0</v>
      </c>
      <c r="K20" s="9">
        <v>0</v>
      </c>
      <c r="L20" s="9">
        <v>0</v>
      </c>
      <c r="M20" s="9">
        <v>0</v>
      </c>
      <c r="N20" s="9">
        <f t="shared" si="3"/>
        <v>0</v>
      </c>
    </row>
    <row r="21" spans="1:14" x14ac:dyDescent="0.35">
      <c r="A21" t="s">
        <v>94</v>
      </c>
      <c r="B21" s="9">
        <v>28000</v>
      </c>
      <c r="C21">
        <v>5</v>
      </c>
      <c r="D21">
        <v>1</v>
      </c>
      <c r="E21">
        <v>1</v>
      </c>
      <c r="F21" s="9">
        <f t="shared" si="2"/>
        <v>140000</v>
      </c>
      <c r="I21" t="s">
        <v>94</v>
      </c>
      <c r="J21" s="9">
        <v>28000</v>
      </c>
      <c r="K21">
        <v>5</v>
      </c>
      <c r="L21">
        <v>1</v>
      </c>
      <c r="M21">
        <v>2</v>
      </c>
      <c r="N21" s="9">
        <f t="shared" si="3"/>
        <v>280000</v>
      </c>
    </row>
    <row r="22" spans="1:14" x14ac:dyDescent="0.35">
      <c r="A22" t="s">
        <v>95</v>
      </c>
      <c r="B22" s="9">
        <v>0</v>
      </c>
      <c r="C22" s="9">
        <v>0</v>
      </c>
      <c r="D22" s="9">
        <v>0</v>
      </c>
      <c r="E22" s="9">
        <v>0</v>
      </c>
      <c r="F22" s="9">
        <f t="shared" si="2"/>
        <v>0</v>
      </c>
      <c r="I22" t="s">
        <v>95</v>
      </c>
      <c r="J22" s="9">
        <v>0</v>
      </c>
      <c r="K22" s="9">
        <v>0</v>
      </c>
      <c r="L22" s="9">
        <v>0</v>
      </c>
      <c r="M22" s="9">
        <v>0</v>
      </c>
      <c r="N22" s="9">
        <f t="shared" si="3"/>
        <v>0</v>
      </c>
    </row>
    <row r="23" spans="1:14" x14ac:dyDescent="0.35">
      <c r="A23" t="s">
        <v>96</v>
      </c>
      <c r="B23" s="9">
        <v>0</v>
      </c>
      <c r="C23" s="9">
        <v>0</v>
      </c>
      <c r="D23" s="9">
        <v>0</v>
      </c>
      <c r="E23" s="9">
        <v>0</v>
      </c>
      <c r="F23" s="9">
        <f t="shared" si="2"/>
        <v>0</v>
      </c>
      <c r="I23" t="s">
        <v>96</v>
      </c>
      <c r="J23" s="9">
        <v>0</v>
      </c>
      <c r="K23" s="9">
        <v>0</v>
      </c>
      <c r="L23" s="9">
        <v>0</v>
      </c>
      <c r="M23" s="9">
        <v>0</v>
      </c>
      <c r="N23" s="9">
        <f t="shared" si="3"/>
        <v>0</v>
      </c>
    </row>
    <row r="24" spans="1:14" x14ac:dyDescent="0.35">
      <c r="A24" t="s">
        <v>97</v>
      </c>
      <c r="B24" s="9">
        <v>0</v>
      </c>
      <c r="C24" s="9">
        <v>0</v>
      </c>
      <c r="D24" s="9">
        <v>0</v>
      </c>
      <c r="E24" s="9">
        <v>0</v>
      </c>
      <c r="F24" s="9">
        <f t="shared" si="2"/>
        <v>0</v>
      </c>
      <c r="I24" t="s">
        <v>136</v>
      </c>
      <c r="J24" s="9">
        <v>0</v>
      </c>
      <c r="K24" s="9">
        <v>0</v>
      </c>
      <c r="L24" s="9">
        <v>0</v>
      </c>
      <c r="M24" s="9">
        <v>0</v>
      </c>
      <c r="N24" s="9">
        <f t="shared" si="3"/>
        <v>0</v>
      </c>
    </row>
    <row r="25" spans="1:14" x14ac:dyDescent="0.35">
      <c r="A25" t="s">
        <v>98</v>
      </c>
      <c r="B25" s="9">
        <v>0</v>
      </c>
      <c r="C25" s="9">
        <v>0</v>
      </c>
      <c r="D25" s="9">
        <v>0</v>
      </c>
      <c r="E25" s="9">
        <v>0</v>
      </c>
      <c r="F25" s="9">
        <v>0</v>
      </c>
      <c r="I25" t="s">
        <v>97</v>
      </c>
      <c r="J25" s="9">
        <v>0</v>
      </c>
      <c r="K25" s="9">
        <v>0</v>
      </c>
      <c r="L25" s="9">
        <v>0</v>
      </c>
      <c r="M25" s="9">
        <v>0</v>
      </c>
      <c r="N25" s="9">
        <f t="shared" si="3"/>
        <v>0</v>
      </c>
    </row>
    <row r="26" spans="1:14" x14ac:dyDescent="0.35">
      <c r="F26" s="10">
        <f>SUM(F17:F24)</f>
        <v>1180000</v>
      </c>
      <c r="I26" t="s">
        <v>98</v>
      </c>
      <c r="J26" s="9">
        <v>0</v>
      </c>
      <c r="K26" s="9">
        <v>0</v>
      </c>
      <c r="L26" s="9">
        <v>0</v>
      </c>
      <c r="M26" s="9">
        <v>0</v>
      </c>
      <c r="N26" s="9">
        <v>0</v>
      </c>
    </row>
    <row r="27" spans="1:14" x14ac:dyDescent="0.35">
      <c r="J27" s="9"/>
      <c r="N27" s="10">
        <f>SUM(N17:N25)</f>
        <v>2092000</v>
      </c>
    </row>
    <row r="29" spans="1:14" x14ac:dyDescent="0.35">
      <c r="A29" t="s">
        <v>103</v>
      </c>
    </row>
    <row r="30" spans="1:14" x14ac:dyDescent="0.35">
      <c r="A30" t="s">
        <v>86</v>
      </c>
      <c r="B30" s="9" t="s">
        <v>87</v>
      </c>
      <c r="C30" t="s">
        <v>88</v>
      </c>
      <c r="D30" t="s">
        <v>99</v>
      </c>
      <c r="E30" t="s">
        <v>100</v>
      </c>
      <c r="F30" t="s">
        <v>89</v>
      </c>
    </row>
    <row r="31" spans="1:14" x14ac:dyDescent="0.35">
      <c r="A31" t="s">
        <v>90</v>
      </c>
      <c r="B31" s="9">
        <v>14000</v>
      </c>
      <c r="C31">
        <v>10</v>
      </c>
      <c r="D31">
        <v>5</v>
      </c>
      <c r="E31">
        <v>2</v>
      </c>
      <c r="F31" s="9">
        <f>B31*C31*D31*E31</f>
        <v>1400000</v>
      </c>
    </row>
    <row r="32" spans="1:14" x14ac:dyDescent="0.35">
      <c r="A32" t="s">
        <v>91</v>
      </c>
      <c r="B32" s="9">
        <v>5000</v>
      </c>
      <c r="C32">
        <v>10</v>
      </c>
      <c r="D32">
        <v>5</v>
      </c>
      <c r="E32">
        <v>2</v>
      </c>
      <c r="F32" s="9">
        <f t="shared" ref="F32:F39" si="4">B32*C32*D32*E32</f>
        <v>500000</v>
      </c>
    </row>
    <row r="33" spans="1:6" x14ac:dyDescent="0.35">
      <c r="A33" t="s">
        <v>92</v>
      </c>
      <c r="B33" s="9">
        <v>200</v>
      </c>
      <c r="C33">
        <v>85</v>
      </c>
      <c r="D33">
        <v>5</v>
      </c>
      <c r="E33">
        <v>2</v>
      </c>
      <c r="F33" s="9">
        <f t="shared" si="4"/>
        <v>170000</v>
      </c>
    </row>
    <row r="34" spans="1:6" x14ac:dyDescent="0.35">
      <c r="A34" t="s">
        <v>93</v>
      </c>
      <c r="B34" s="9">
        <v>0</v>
      </c>
      <c r="C34" s="9">
        <v>0</v>
      </c>
      <c r="D34" s="9">
        <v>0</v>
      </c>
      <c r="E34" s="9">
        <v>0</v>
      </c>
      <c r="F34" s="9">
        <f t="shared" si="4"/>
        <v>0</v>
      </c>
    </row>
    <row r="35" spans="1:6" x14ac:dyDescent="0.35">
      <c r="A35" t="s">
        <v>94</v>
      </c>
      <c r="B35" s="9">
        <v>0</v>
      </c>
      <c r="C35">
        <v>0</v>
      </c>
      <c r="D35">
        <v>0</v>
      </c>
      <c r="E35">
        <v>0</v>
      </c>
      <c r="F35" s="9">
        <f t="shared" si="4"/>
        <v>0</v>
      </c>
    </row>
    <row r="36" spans="1:6" x14ac:dyDescent="0.35">
      <c r="A36" t="s">
        <v>95</v>
      </c>
      <c r="B36" s="13">
        <v>0</v>
      </c>
      <c r="C36">
        <v>0</v>
      </c>
      <c r="D36">
        <v>0</v>
      </c>
      <c r="E36">
        <v>0</v>
      </c>
      <c r="F36" s="9">
        <f t="shared" si="4"/>
        <v>0</v>
      </c>
    </row>
    <row r="37" spans="1:6" x14ac:dyDescent="0.35">
      <c r="A37" t="s">
        <v>96</v>
      </c>
      <c r="B37" s="9">
        <v>2500</v>
      </c>
      <c r="C37">
        <v>5</v>
      </c>
      <c r="D37">
        <v>5</v>
      </c>
      <c r="E37">
        <v>2</v>
      </c>
      <c r="F37" s="9">
        <f t="shared" si="4"/>
        <v>125000</v>
      </c>
    </row>
    <row r="38" spans="1:6" x14ac:dyDescent="0.35">
      <c r="A38" t="s">
        <v>97</v>
      </c>
      <c r="B38" s="9">
        <v>10000</v>
      </c>
      <c r="C38">
        <v>1</v>
      </c>
      <c r="D38">
        <v>1</v>
      </c>
      <c r="E38">
        <v>2</v>
      </c>
      <c r="F38" s="9">
        <f t="shared" si="4"/>
        <v>20000</v>
      </c>
    </row>
    <row r="39" spans="1:6" x14ac:dyDescent="0.35">
      <c r="A39" t="s">
        <v>98</v>
      </c>
      <c r="B39" s="9">
        <v>0</v>
      </c>
      <c r="C39">
        <v>0</v>
      </c>
      <c r="D39">
        <v>0</v>
      </c>
      <c r="E39">
        <v>0</v>
      </c>
      <c r="F39" s="9">
        <f t="shared" si="4"/>
        <v>0</v>
      </c>
    </row>
    <row r="40" spans="1:6" x14ac:dyDescent="0.35">
      <c r="F40" s="10">
        <f>SUM(F31:F39)</f>
        <v>2215000</v>
      </c>
    </row>
    <row r="43" spans="1:6" x14ac:dyDescent="0.35">
      <c r="A43" t="s">
        <v>104</v>
      </c>
    </row>
    <row r="44" spans="1:6" x14ac:dyDescent="0.35">
      <c r="A44" t="s">
        <v>86</v>
      </c>
      <c r="B44" s="9" t="s">
        <v>87</v>
      </c>
      <c r="C44" t="s">
        <v>88</v>
      </c>
      <c r="D44" t="s">
        <v>99</v>
      </c>
      <c r="E44" t="s">
        <v>100</v>
      </c>
      <c r="F44" t="s">
        <v>89</v>
      </c>
    </row>
    <row r="45" spans="1:6" x14ac:dyDescent="0.35">
      <c r="A45" t="s">
        <v>90</v>
      </c>
      <c r="B45" s="9">
        <v>14000</v>
      </c>
      <c r="C45">
        <v>5</v>
      </c>
      <c r="D45">
        <v>21</v>
      </c>
      <c r="E45">
        <v>2</v>
      </c>
      <c r="F45" s="9">
        <f>B45*C45*D45*E45</f>
        <v>2940000</v>
      </c>
    </row>
    <row r="46" spans="1:6" x14ac:dyDescent="0.35">
      <c r="A46" t="s">
        <v>91</v>
      </c>
      <c r="B46" s="9">
        <v>0</v>
      </c>
      <c r="C46">
        <v>0</v>
      </c>
      <c r="D46">
        <v>0</v>
      </c>
      <c r="E46">
        <v>0</v>
      </c>
      <c r="F46" s="9">
        <f t="shared" ref="F46:F52" si="5">B46*C46*D46*E46</f>
        <v>0</v>
      </c>
    </row>
    <row r="47" spans="1:6" x14ac:dyDescent="0.35">
      <c r="A47" t="s">
        <v>92</v>
      </c>
      <c r="B47" s="9">
        <v>200</v>
      </c>
      <c r="C47">
        <v>85</v>
      </c>
      <c r="D47">
        <v>21</v>
      </c>
      <c r="E47">
        <v>2</v>
      </c>
      <c r="F47" s="9">
        <f t="shared" si="5"/>
        <v>714000</v>
      </c>
    </row>
    <row r="48" spans="1:6" x14ac:dyDescent="0.35">
      <c r="A48" t="s">
        <v>93</v>
      </c>
      <c r="F48" s="9">
        <v>500000</v>
      </c>
    </row>
    <row r="49" spans="1:6" x14ac:dyDescent="0.35">
      <c r="A49" t="s">
        <v>94</v>
      </c>
      <c r="B49" s="9">
        <v>0</v>
      </c>
      <c r="C49">
        <v>0</v>
      </c>
      <c r="D49">
        <v>0</v>
      </c>
      <c r="E49">
        <v>0</v>
      </c>
      <c r="F49" s="9">
        <f t="shared" si="5"/>
        <v>0</v>
      </c>
    </row>
    <row r="50" spans="1:6" x14ac:dyDescent="0.35">
      <c r="A50" t="s">
        <v>95</v>
      </c>
      <c r="B50" s="9">
        <v>5000</v>
      </c>
      <c r="C50">
        <v>10</v>
      </c>
      <c r="D50">
        <v>21</v>
      </c>
      <c r="E50">
        <v>2</v>
      </c>
      <c r="F50" s="9">
        <f t="shared" si="5"/>
        <v>2100000</v>
      </c>
    </row>
    <row r="51" spans="1:6" x14ac:dyDescent="0.35">
      <c r="A51" t="s">
        <v>96</v>
      </c>
      <c r="B51" s="9">
        <v>0</v>
      </c>
      <c r="C51">
        <v>0</v>
      </c>
      <c r="D51">
        <v>0</v>
      </c>
      <c r="E51">
        <v>0</v>
      </c>
      <c r="F51" s="9">
        <f t="shared" si="5"/>
        <v>0</v>
      </c>
    </row>
    <row r="52" spans="1:6" x14ac:dyDescent="0.35">
      <c r="A52" t="s">
        <v>105</v>
      </c>
      <c r="B52" s="9">
        <v>200000</v>
      </c>
      <c r="C52">
        <v>1</v>
      </c>
      <c r="D52">
        <v>1</v>
      </c>
      <c r="E52">
        <v>2</v>
      </c>
      <c r="F52" s="9">
        <f t="shared" si="5"/>
        <v>400000</v>
      </c>
    </row>
    <row r="53" spans="1:6" x14ac:dyDescent="0.35">
      <c r="A53" t="s">
        <v>98</v>
      </c>
      <c r="B53" s="9">
        <v>0</v>
      </c>
      <c r="C53">
        <v>0</v>
      </c>
      <c r="D53">
        <v>0</v>
      </c>
    </row>
    <row r="54" spans="1:6" x14ac:dyDescent="0.35">
      <c r="F54" s="10">
        <f>SUM(F45:F53)</f>
        <v>6654000</v>
      </c>
    </row>
    <row r="56" spans="1:6" x14ac:dyDescent="0.35">
      <c r="A56" t="s">
        <v>106</v>
      </c>
    </row>
    <row r="57" spans="1:6" x14ac:dyDescent="0.35">
      <c r="A57" t="s">
        <v>86</v>
      </c>
      <c r="B57" s="9" t="s">
        <v>87</v>
      </c>
      <c r="C57" t="s">
        <v>88</v>
      </c>
      <c r="D57" t="s">
        <v>99</v>
      </c>
      <c r="E57" t="s">
        <v>100</v>
      </c>
      <c r="F57" t="s">
        <v>89</v>
      </c>
    </row>
    <row r="58" spans="1:6" x14ac:dyDescent="0.35">
      <c r="A58" t="s">
        <v>90</v>
      </c>
      <c r="B58" s="9">
        <v>14000</v>
      </c>
      <c r="C58">
        <v>10</v>
      </c>
      <c r="D58">
        <v>5</v>
      </c>
      <c r="E58">
        <v>1</v>
      </c>
      <c r="F58" s="9">
        <f>B58*C58*D58*E58</f>
        <v>700000</v>
      </c>
    </row>
    <row r="59" spans="1:6" x14ac:dyDescent="0.35">
      <c r="A59" t="s">
        <v>91</v>
      </c>
      <c r="B59" s="9">
        <v>5000</v>
      </c>
      <c r="C59">
        <v>10</v>
      </c>
      <c r="D59">
        <v>5</v>
      </c>
      <c r="E59">
        <v>1</v>
      </c>
      <c r="F59" s="9">
        <f t="shared" ref="F59:F60" si="6">B59*C59*D59*E59</f>
        <v>250000</v>
      </c>
    </row>
    <row r="60" spans="1:6" x14ac:dyDescent="0.35">
      <c r="A60" t="s">
        <v>92</v>
      </c>
      <c r="B60" s="9">
        <v>200</v>
      </c>
      <c r="C60">
        <v>85</v>
      </c>
      <c r="D60">
        <v>5</v>
      </c>
      <c r="E60">
        <v>1</v>
      </c>
      <c r="F60" s="9">
        <f t="shared" si="6"/>
        <v>85000</v>
      </c>
    </row>
    <row r="61" spans="1:6" x14ac:dyDescent="0.35">
      <c r="A61" t="s">
        <v>93</v>
      </c>
      <c r="B61" s="9">
        <v>0</v>
      </c>
      <c r="C61">
        <v>0</v>
      </c>
      <c r="D61">
        <v>0</v>
      </c>
      <c r="E61">
        <v>0</v>
      </c>
      <c r="F61" s="9">
        <v>0</v>
      </c>
    </row>
    <row r="62" spans="1:6" x14ac:dyDescent="0.35">
      <c r="A62" t="s">
        <v>94</v>
      </c>
      <c r="B62" s="9">
        <v>0</v>
      </c>
      <c r="C62">
        <v>0</v>
      </c>
      <c r="D62">
        <v>0</v>
      </c>
      <c r="E62">
        <v>0</v>
      </c>
      <c r="F62" s="9">
        <f t="shared" ref="F62:F66" si="7">B62*C62*D62*E62</f>
        <v>0</v>
      </c>
    </row>
    <row r="63" spans="1:6" x14ac:dyDescent="0.35">
      <c r="A63" t="s">
        <v>95</v>
      </c>
      <c r="B63" s="9">
        <v>0</v>
      </c>
      <c r="C63">
        <v>0</v>
      </c>
      <c r="D63">
        <v>0</v>
      </c>
      <c r="E63">
        <v>0</v>
      </c>
      <c r="F63" s="9">
        <f t="shared" si="7"/>
        <v>0</v>
      </c>
    </row>
    <row r="64" spans="1:6" x14ac:dyDescent="0.35">
      <c r="A64" t="s">
        <v>96</v>
      </c>
      <c r="B64" s="9">
        <v>0</v>
      </c>
      <c r="C64">
        <v>0</v>
      </c>
      <c r="D64">
        <v>0</v>
      </c>
      <c r="E64">
        <v>0</v>
      </c>
      <c r="F64" s="9">
        <f t="shared" si="7"/>
        <v>0</v>
      </c>
    </row>
    <row r="65" spans="1:6" x14ac:dyDescent="0.35">
      <c r="A65" t="s">
        <v>105</v>
      </c>
      <c r="B65" s="9">
        <v>0</v>
      </c>
      <c r="C65">
        <v>0</v>
      </c>
      <c r="D65">
        <v>0</v>
      </c>
      <c r="E65">
        <v>0</v>
      </c>
      <c r="F65" s="9">
        <f t="shared" si="7"/>
        <v>0</v>
      </c>
    </row>
    <row r="66" spans="1:6" x14ac:dyDescent="0.35">
      <c r="A66" t="s">
        <v>98</v>
      </c>
      <c r="B66" s="9">
        <v>0</v>
      </c>
      <c r="C66">
        <v>0</v>
      </c>
      <c r="D66">
        <v>0</v>
      </c>
      <c r="E66">
        <v>0</v>
      </c>
      <c r="F66" s="9">
        <f t="shared" si="7"/>
        <v>0</v>
      </c>
    </row>
    <row r="67" spans="1:6" x14ac:dyDescent="0.35">
      <c r="A67" t="s">
        <v>25</v>
      </c>
      <c r="F67" s="10">
        <f>SUM(F58:F66)</f>
        <v>1035000</v>
      </c>
    </row>
    <row r="70" spans="1:6" x14ac:dyDescent="0.35">
      <c r="A70" t="s">
        <v>107</v>
      </c>
    </row>
    <row r="71" spans="1:6" x14ac:dyDescent="0.35">
      <c r="A71" t="s">
        <v>86</v>
      </c>
      <c r="B71" s="9" t="s">
        <v>87</v>
      </c>
      <c r="C71" t="s">
        <v>88</v>
      </c>
      <c r="D71" t="s">
        <v>99</v>
      </c>
      <c r="E71" t="s">
        <v>100</v>
      </c>
      <c r="F71" t="s">
        <v>89</v>
      </c>
    </row>
    <row r="72" spans="1:6" x14ac:dyDescent="0.35">
      <c r="A72" t="s">
        <v>90</v>
      </c>
      <c r="B72" s="9">
        <v>14000</v>
      </c>
      <c r="C72">
        <v>5</v>
      </c>
      <c r="D72">
        <v>3</v>
      </c>
      <c r="E72">
        <v>2</v>
      </c>
      <c r="F72" s="9">
        <f>B72*C72*D72*E72</f>
        <v>420000</v>
      </c>
    </row>
    <row r="73" spans="1:6" x14ac:dyDescent="0.35">
      <c r="A73" t="s">
        <v>91</v>
      </c>
      <c r="B73" s="9">
        <v>0</v>
      </c>
      <c r="C73">
        <v>0</v>
      </c>
      <c r="D73">
        <v>0</v>
      </c>
      <c r="E73">
        <v>0</v>
      </c>
      <c r="F73" s="9">
        <f t="shared" ref="F73:F74" si="8">B73*C73*D73*E73</f>
        <v>0</v>
      </c>
    </row>
    <row r="74" spans="1:6" x14ac:dyDescent="0.35">
      <c r="A74" t="s">
        <v>92</v>
      </c>
      <c r="B74" s="9">
        <v>200</v>
      </c>
      <c r="C74">
        <v>85</v>
      </c>
      <c r="D74">
        <v>3</v>
      </c>
      <c r="E74">
        <v>2</v>
      </c>
      <c r="F74" s="9">
        <f t="shared" si="8"/>
        <v>102000</v>
      </c>
    </row>
    <row r="75" spans="1:6" x14ac:dyDescent="0.35">
      <c r="A75" t="s">
        <v>93</v>
      </c>
      <c r="B75" s="9">
        <v>0</v>
      </c>
      <c r="C75">
        <v>0</v>
      </c>
      <c r="D75">
        <v>0</v>
      </c>
      <c r="E75">
        <v>0</v>
      </c>
      <c r="F75" s="9">
        <v>0</v>
      </c>
    </row>
    <row r="76" spans="1:6" x14ac:dyDescent="0.35">
      <c r="A76" t="s">
        <v>94</v>
      </c>
      <c r="B76" s="9">
        <v>0</v>
      </c>
      <c r="C76">
        <v>0</v>
      </c>
      <c r="D76">
        <v>0</v>
      </c>
      <c r="E76">
        <v>0</v>
      </c>
      <c r="F76" s="9">
        <f t="shared" ref="F76:F80" si="9">B76*C76*D76*E76</f>
        <v>0</v>
      </c>
    </row>
    <row r="77" spans="1:6" x14ac:dyDescent="0.35">
      <c r="A77" t="s">
        <v>95</v>
      </c>
      <c r="B77" s="9">
        <v>5000</v>
      </c>
      <c r="C77">
        <v>30</v>
      </c>
      <c r="D77">
        <v>3</v>
      </c>
      <c r="E77">
        <v>2</v>
      </c>
      <c r="F77" s="9">
        <f t="shared" si="9"/>
        <v>900000</v>
      </c>
    </row>
    <row r="78" spans="1:6" x14ac:dyDescent="0.35">
      <c r="A78" t="s">
        <v>96</v>
      </c>
      <c r="B78" s="9">
        <v>2000</v>
      </c>
      <c r="C78">
        <v>5</v>
      </c>
      <c r="D78">
        <v>6</v>
      </c>
      <c r="E78">
        <v>2</v>
      </c>
      <c r="F78" s="9">
        <f t="shared" si="9"/>
        <v>120000</v>
      </c>
    </row>
    <row r="79" spans="1:6" x14ac:dyDescent="0.35">
      <c r="A79" t="s">
        <v>105</v>
      </c>
      <c r="B79" s="9">
        <v>0</v>
      </c>
      <c r="C79">
        <v>0</v>
      </c>
      <c r="D79">
        <v>0</v>
      </c>
      <c r="E79">
        <v>0</v>
      </c>
      <c r="F79" s="9">
        <f t="shared" si="9"/>
        <v>0</v>
      </c>
    </row>
    <row r="80" spans="1:6" x14ac:dyDescent="0.35">
      <c r="A80" t="s">
        <v>98</v>
      </c>
      <c r="B80" s="9">
        <v>0</v>
      </c>
      <c r="C80">
        <v>0</v>
      </c>
      <c r="D80">
        <v>0</v>
      </c>
      <c r="E80">
        <v>0</v>
      </c>
      <c r="F80" s="9">
        <f t="shared" si="9"/>
        <v>0</v>
      </c>
    </row>
    <row r="81" spans="1:14" x14ac:dyDescent="0.35">
      <c r="F81" s="10">
        <f>SUM(F72:F80)</f>
        <v>1542000</v>
      </c>
    </row>
    <row r="84" spans="1:14" x14ac:dyDescent="0.35">
      <c r="A84" t="s">
        <v>108</v>
      </c>
      <c r="I84" t="s">
        <v>135</v>
      </c>
      <c r="J84" s="9"/>
    </row>
    <row r="85" spans="1:14" x14ac:dyDescent="0.35">
      <c r="A85" t="s">
        <v>86</v>
      </c>
      <c r="B85" s="9" t="s">
        <v>87</v>
      </c>
      <c r="C85" t="s">
        <v>88</v>
      </c>
      <c r="D85" t="s">
        <v>99</v>
      </c>
      <c r="E85" t="s">
        <v>100</v>
      </c>
      <c r="F85" t="s">
        <v>89</v>
      </c>
      <c r="I85" t="s">
        <v>86</v>
      </c>
      <c r="J85" s="9" t="s">
        <v>87</v>
      </c>
      <c r="K85" t="s">
        <v>88</v>
      </c>
      <c r="L85" t="s">
        <v>99</v>
      </c>
      <c r="M85" t="s">
        <v>100</v>
      </c>
      <c r="N85" t="s">
        <v>89</v>
      </c>
    </row>
    <row r="86" spans="1:14" x14ac:dyDescent="0.35">
      <c r="A86" t="s">
        <v>90</v>
      </c>
      <c r="B86" s="9">
        <v>14000</v>
      </c>
      <c r="C86">
        <v>12</v>
      </c>
      <c r="D86">
        <v>5</v>
      </c>
      <c r="E86">
        <v>3</v>
      </c>
      <c r="F86" s="9">
        <f>B86*C86*D86*E86</f>
        <v>2520000</v>
      </c>
      <c r="I86" t="s">
        <v>90</v>
      </c>
      <c r="J86" s="9">
        <v>14000</v>
      </c>
      <c r="K86">
        <v>10</v>
      </c>
      <c r="L86">
        <v>21</v>
      </c>
      <c r="M86">
        <v>2</v>
      </c>
      <c r="N86" s="9">
        <f>J86*K86*L86*M86</f>
        <v>5880000</v>
      </c>
    </row>
    <row r="87" spans="1:14" x14ac:dyDescent="0.35">
      <c r="A87" t="s">
        <v>91</v>
      </c>
      <c r="B87" s="9">
        <v>0</v>
      </c>
      <c r="C87">
        <v>0</v>
      </c>
      <c r="D87">
        <v>0</v>
      </c>
      <c r="E87">
        <v>0</v>
      </c>
      <c r="F87" s="9">
        <f t="shared" ref="F87:F88" si="10">B87*C87*D87*E87</f>
        <v>0</v>
      </c>
      <c r="I87" t="s">
        <v>91</v>
      </c>
      <c r="J87" s="9">
        <v>0</v>
      </c>
      <c r="K87">
        <v>0</v>
      </c>
      <c r="L87">
        <v>0</v>
      </c>
      <c r="M87">
        <v>0</v>
      </c>
      <c r="N87" s="9">
        <f t="shared" ref="N87:N88" si="11">J87*K87*L87*M87</f>
        <v>0</v>
      </c>
    </row>
    <row r="88" spans="1:14" x14ac:dyDescent="0.35">
      <c r="A88" t="s">
        <v>92</v>
      </c>
      <c r="B88" s="9">
        <v>200</v>
      </c>
      <c r="C88">
        <v>85</v>
      </c>
      <c r="D88">
        <v>5</v>
      </c>
      <c r="E88">
        <v>3</v>
      </c>
      <c r="F88" s="9">
        <f t="shared" si="10"/>
        <v>255000</v>
      </c>
      <c r="I88" t="s">
        <v>92</v>
      </c>
      <c r="J88" s="9">
        <v>200</v>
      </c>
      <c r="K88">
        <v>85</v>
      </c>
      <c r="L88">
        <v>21</v>
      </c>
      <c r="M88">
        <v>2</v>
      </c>
      <c r="N88" s="9">
        <f t="shared" si="11"/>
        <v>714000</v>
      </c>
    </row>
    <row r="89" spans="1:14" x14ac:dyDescent="0.35">
      <c r="A89" t="s">
        <v>93</v>
      </c>
      <c r="B89" s="9">
        <v>0</v>
      </c>
      <c r="C89">
        <v>0</v>
      </c>
      <c r="D89">
        <v>0</v>
      </c>
      <c r="E89">
        <v>0</v>
      </c>
      <c r="F89" s="9">
        <v>500000</v>
      </c>
      <c r="I89" t="s">
        <v>93</v>
      </c>
      <c r="J89" s="9">
        <v>0</v>
      </c>
      <c r="K89">
        <v>0</v>
      </c>
      <c r="L89">
        <v>0</v>
      </c>
      <c r="M89">
        <v>0</v>
      </c>
      <c r="N89" s="9">
        <v>500000</v>
      </c>
    </row>
    <row r="90" spans="1:14" x14ac:dyDescent="0.35">
      <c r="A90" t="s">
        <v>94</v>
      </c>
      <c r="B90" s="9">
        <v>0</v>
      </c>
      <c r="C90">
        <v>0</v>
      </c>
      <c r="D90">
        <v>0</v>
      </c>
      <c r="E90">
        <v>0</v>
      </c>
      <c r="F90" s="9">
        <f t="shared" ref="F90:F93" si="12">B90*C90*D90*E90</f>
        <v>0</v>
      </c>
      <c r="I90" t="s">
        <v>94</v>
      </c>
      <c r="J90" s="9">
        <v>0</v>
      </c>
      <c r="K90">
        <v>0</v>
      </c>
      <c r="L90">
        <v>0</v>
      </c>
      <c r="M90">
        <v>0</v>
      </c>
      <c r="N90" s="9">
        <f t="shared" ref="N90:N93" si="13">J90*K90*L90*M90</f>
        <v>0</v>
      </c>
    </row>
    <row r="91" spans="1:14" x14ac:dyDescent="0.35">
      <c r="A91" t="s">
        <v>109</v>
      </c>
      <c r="B91" s="9">
        <v>0</v>
      </c>
      <c r="C91">
        <v>0</v>
      </c>
      <c r="D91">
        <v>0</v>
      </c>
      <c r="E91">
        <v>0</v>
      </c>
      <c r="F91" s="9">
        <f t="shared" si="12"/>
        <v>0</v>
      </c>
      <c r="I91" t="s">
        <v>109</v>
      </c>
      <c r="J91" s="9">
        <v>2500</v>
      </c>
      <c r="K91">
        <v>10</v>
      </c>
      <c r="L91">
        <v>21</v>
      </c>
      <c r="M91">
        <v>2</v>
      </c>
      <c r="N91" s="9">
        <f t="shared" si="13"/>
        <v>1050000</v>
      </c>
    </row>
    <row r="92" spans="1:14" x14ac:dyDescent="0.35">
      <c r="A92" t="s">
        <v>95</v>
      </c>
      <c r="B92" s="9">
        <v>0</v>
      </c>
      <c r="C92">
        <v>0</v>
      </c>
      <c r="D92">
        <v>0</v>
      </c>
      <c r="E92">
        <v>0</v>
      </c>
      <c r="F92" s="9">
        <f t="shared" si="12"/>
        <v>0</v>
      </c>
      <c r="I92" t="s">
        <v>95</v>
      </c>
      <c r="J92" s="9">
        <v>0</v>
      </c>
      <c r="K92">
        <v>0</v>
      </c>
      <c r="L92">
        <v>0</v>
      </c>
      <c r="M92">
        <v>0</v>
      </c>
      <c r="N92" s="9">
        <f t="shared" si="13"/>
        <v>0</v>
      </c>
    </row>
    <row r="93" spans="1:14" x14ac:dyDescent="0.35">
      <c r="A93" t="s">
        <v>105</v>
      </c>
      <c r="B93" s="9">
        <v>100000</v>
      </c>
      <c r="C93">
        <v>1</v>
      </c>
      <c r="D93">
        <v>1</v>
      </c>
      <c r="E93">
        <v>3</v>
      </c>
      <c r="F93" s="9">
        <f t="shared" si="12"/>
        <v>300000</v>
      </c>
      <c r="I93" t="s">
        <v>105</v>
      </c>
      <c r="J93" s="9">
        <v>100000</v>
      </c>
      <c r="K93">
        <v>1</v>
      </c>
      <c r="L93">
        <v>1</v>
      </c>
      <c r="M93">
        <v>2</v>
      </c>
      <c r="N93" s="9">
        <f t="shared" si="13"/>
        <v>200000</v>
      </c>
    </row>
    <row r="94" spans="1:14" x14ac:dyDescent="0.35">
      <c r="A94" t="s">
        <v>98</v>
      </c>
      <c r="B94" s="9">
        <v>0</v>
      </c>
      <c r="C94">
        <v>0</v>
      </c>
      <c r="D94">
        <v>0</v>
      </c>
      <c r="E94">
        <v>0</v>
      </c>
      <c r="F94" s="9">
        <v>150000</v>
      </c>
      <c r="I94" t="s">
        <v>98</v>
      </c>
      <c r="J94" s="9">
        <v>0</v>
      </c>
      <c r="K94">
        <v>0</v>
      </c>
      <c r="L94">
        <v>0</v>
      </c>
      <c r="M94">
        <v>0</v>
      </c>
      <c r="N94" s="9">
        <v>150000</v>
      </c>
    </row>
    <row r="95" spans="1:14" x14ac:dyDescent="0.35">
      <c r="F95" s="10">
        <f>SUM(F86:F94)</f>
        <v>3725000</v>
      </c>
      <c r="J95" s="9"/>
      <c r="N95" s="10">
        <f>SUM(N86:N94)</f>
        <v>8494000</v>
      </c>
    </row>
    <row r="97" spans="1:14" x14ac:dyDescent="0.35">
      <c r="A97" t="s">
        <v>110</v>
      </c>
    </row>
    <row r="98" spans="1:14" x14ac:dyDescent="0.35">
      <c r="A98" t="s">
        <v>86</v>
      </c>
      <c r="B98" s="9" t="s">
        <v>87</v>
      </c>
      <c r="C98" t="s">
        <v>88</v>
      </c>
      <c r="D98" t="s">
        <v>99</v>
      </c>
      <c r="E98" t="s">
        <v>100</v>
      </c>
      <c r="F98" t="s">
        <v>89</v>
      </c>
    </row>
    <row r="99" spans="1:14" x14ac:dyDescent="0.35">
      <c r="A99" t="s">
        <v>90</v>
      </c>
      <c r="B99" s="9">
        <v>14000</v>
      </c>
      <c r="C99">
        <v>10</v>
      </c>
      <c r="D99">
        <v>10</v>
      </c>
      <c r="E99">
        <v>3</v>
      </c>
      <c r="F99" s="9">
        <f>B99*C99*D99*E99</f>
        <v>4200000</v>
      </c>
    </row>
    <row r="100" spans="1:14" x14ac:dyDescent="0.35">
      <c r="A100" t="s">
        <v>91</v>
      </c>
      <c r="B100" s="9">
        <v>0</v>
      </c>
      <c r="C100">
        <v>0</v>
      </c>
      <c r="D100">
        <v>0</v>
      </c>
      <c r="E100">
        <v>0</v>
      </c>
      <c r="F100" s="9">
        <f t="shared" ref="F100:F101" si="14">B100*C100*D100*E100</f>
        <v>0</v>
      </c>
    </row>
    <row r="101" spans="1:14" x14ac:dyDescent="0.35">
      <c r="A101" t="s">
        <v>92</v>
      </c>
      <c r="B101" s="9">
        <v>200</v>
      </c>
      <c r="C101">
        <v>85</v>
      </c>
      <c r="D101">
        <v>10</v>
      </c>
      <c r="E101">
        <v>3</v>
      </c>
      <c r="F101" s="9">
        <f t="shared" si="14"/>
        <v>510000</v>
      </c>
    </row>
    <row r="102" spans="1:14" x14ac:dyDescent="0.35">
      <c r="A102" t="s">
        <v>93</v>
      </c>
      <c r="B102" s="9">
        <v>0</v>
      </c>
      <c r="C102">
        <v>0</v>
      </c>
      <c r="D102">
        <v>0</v>
      </c>
      <c r="E102">
        <v>0</v>
      </c>
      <c r="F102" s="9">
        <v>0</v>
      </c>
    </row>
    <row r="103" spans="1:14" x14ac:dyDescent="0.35">
      <c r="A103" t="s">
        <v>94</v>
      </c>
      <c r="B103" s="9">
        <v>0</v>
      </c>
      <c r="C103">
        <v>0</v>
      </c>
      <c r="D103">
        <v>0</v>
      </c>
      <c r="E103">
        <v>0</v>
      </c>
      <c r="F103" s="9">
        <f t="shared" ref="F103:F106" si="15">B103*C103*D103*E103</f>
        <v>0</v>
      </c>
    </row>
    <row r="104" spans="1:14" x14ac:dyDescent="0.35">
      <c r="A104" t="s">
        <v>109</v>
      </c>
      <c r="B104" s="9">
        <v>0</v>
      </c>
      <c r="C104">
        <v>0</v>
      </c>
      <c r="D104">
        <v>0</v>
      </c>
      <c r="E104">
        <v>0</v>
      </c>
      <c r="F104" s="9">
        <f t="shared" si="15"/>
        <v>0</v>
      </c>
    </row>
    <row r="105" spans="1:14" x14ac:dyDescent="0.35">
      <c r="A105" t="s">
        <v>109</v>
      </c>
      <c r="B105" s="9">
        <v>0</v>
      </c>
      <c r="C105">
        <v>0</v>
      </c>
      <c r="D105">
        <v>0</v>
      </c>
      <c r="E105">
        <v>0</v>
      </c>
      <c r="F105" s="9">
        <f t="shared" si="15"/>
        <v>0</v>
      </c>
    </row>
    <row r="106" spans="1:14" x14ac:dyDescent="0.35">
      <c r="A106" t="s">
        <v>105</v>
      </c>
      <c r="B106" s="9">
        <v>0</v>
      </c>
      <c r="C106">
        <v>0</v>
      </c>
      <c r="D106">
        <v>0</v>
      </c>
      <c r="E106">
        <v>0</v>
      </c>
      <c r="F106" s="9">
        <f t="shared" si="15"/>
        <v>0</v>
      </c>
    </row>
    <row r="107" spans="1:14" x14ac:dyDescent="0.35">
      <c r="A107" t="s">
        <v>98</v>
      </c>
      <c r="B107" s="9">
        <v>0</v>
      </c>
      <c r="C107">
        <v>0</v>
      </c>
      <c r="D107">
        <v>0</v>
      </c>
      <c r="E107">
        <v>0</v>
      </c>
      <c r="F107" s="9">
        <v>0</v>
      </c>
    </row>
    <row r="108" spans="1:14" x14ac:dyDescent="0.35">
      <c r="F108" s="10">
        <f>SUM(F99:F107)</f>
        <v>4710000</v>
      </c>
      <c r="I108" t="s">
        <v>111</v>
      </c>
      <c r="J108" s="9"/>
    </row>
    <row r="109" spans="1:14" x14ac:dyDescent="0.35">
      <c r="I109" t="s">
        <v>86</v>
      </c>
      <c r="J109" s="9" t="s">
        <v>87</v>
      </c>
      <c r="K109" t="s">
        <v>88</v>
      </c>
      <c r="L109" t="s">
        <v>99</v>
      </c>
      <c r="M109" t="s">
        <v>100</v>
      </c>
      <c r="N109" t="s">
        <v>89</v>
      </c>
    </row>
    <row r="110" spans="1:14" x14ac:dyDescent="0.35">
      <c r="A110" t="s">
        <v>111</v>
      </c>
      <c r="I110" t="s">
        <v>90</v>
      </c>
      <c r="J110" s="9">
        <v>14000</v>
      </c>
      <c r="K110">
        <v>15</v>
      </c>
      <c r="L110">
        <v>5</v>
      </c>
      <c r="M110">
        <v>10</v>
      </c>
      <c r="N110" s="9">
        <f>J110*K110*L110*M110</f>
        <v>10500000</v>
      </c>
    </row>
    <row r="111" spans="1:14" x14ac:dyDescent="0.35">
      <c r="A111" t="s">
        <v>86</v>
      </c>
      <c r="B111" s="9" t="s">
        <v>87</v>
      </c>
      <c r="C111" t="s">
        <v>88</v>
      </c>
      <c r="D111" t="s">
        <v>99</v>
      </c>
      <c r="E111" t="s">
        <v>100</v>
      </c>
      <c r="F111" t="s">
        <v>89</v>
      </c>
      <c r="I111" t="s">
        <v>91</v>
      </c>
      <c r="J111" s="9">
        <v>5000</v>
      </c>
      <c r="K111">
        <v>15</v>
      </c>
      <c r="L111">
        <v>5</v>
      </c>
      <c r="M111">
        <v>10</v>
      </c>
      <c r="N111" s="9">
        <f t="shared" ref="N111:N112" si="16">J111*K111*L111*M111</f>
        <v>3750000</v>
      </c>
    </row>
    <row r="112" spans="1:14" x14ac:dyDescent="0.35">
      <c r="A112" t="s">
        <v>90</v>
      </c>
      <c r="B112" s="9">
        <v>14000</v>
      </c>
      <c r="C112">
        <v>5</v>
      </c>
      <c r="D112">
        <v>5</v>
      </c>
      <c r="E112">
        <v>1</v>
      </c>
      <c r="F112" s="9">
        <f>B112*C112*D112*E112</f>
        <v>350000</v>
      </c>
      <c r="I112" t="s">
        <v>92</v>
      </c>
      <c r="J112" s="9">
        <v>200</v>
      </c>
      <c r="K112">
        <v>85</v>
      </c>
      <c r="L112">
        <v>5</v>
      </c>
      <c r="M112">
        <v>10</v>
      </c>
      <c r="N112" s="9">
        <f t="shared" si="16"/>
        <v>850000</v>
      </c>
    </row>
    <row r="113" spans="1:14" x14ac:dyDescent="0.35">
      <c r="A113" t="s">
        <v>91</v>
      </c>
      <c r="B113" s="9">
        <v>5000</v>
      </c>
      <c r="C113">
        <v>5</v>
      </c>
      <c r="D113">
        <v>5</v>
      </c>
      <c r="E113">
        <v>1</v>
      </c>
      <c r="F113" s="9">
        <f t="shared" ref="F113:F114" si="17">B113*C113*D113*E113</f>
        <v>125000</v>
      </c>
      <c r="I113" t="s">
        <v>93</v>
      </c>
      <c r="J113" s="9">
        <v>0</v>
      </c>
      <c r="K113">
        <v>0</v>
      </c>
      <c r="L113">
        <v>0</v>
      </c>
      <c r="M113">
        <v>0</v>
      </c>
      <c r="N113" s="9">
        <v>0</v>
      </c>
    </row>
    <row r="114" spans="1:14" x14ac:dyDescent="0.35">
      <c r="A114" t="s">
        <v>92</v>
      </c>
      <c r="B114" s="9">
        <v>200</v>
      </c>
      <c r="C114">
        <v>85</v>
      </c>
      <c r="D114">
        <v>5</v>
      </c>
      <c r="E114">
        <v>1</v>
      </c>
      <c r="F114" s="9">
        <f t="shared" si="17"/>
        <v>85000</v>
      </c>
      <c r="I114" t="s">
        <v>94</v>
      </c>
      <c r="J114" s="9">
        <v>0</v>
      </c>
      <c r="K114">
        <v>0</v>
      </c>
      <c r="L114">
        <v>0</v>
      </c>
      <c r="M114">
        <v>0</v>
      </c>
      <c r="N114" s="9">
        <f t="shared" ref="N114:N118" si="18">J114*K114*L114*M114</f>
        <v>0</v>
      </c>
    </row>
    <row r="115" spans="1:14" x14ac:dyDescent="0.35">
      <c r="A115" t="s">
        <v>93</v>
      </c>
      <c r="B115" s="9">
        <v>0</v>
      </c>
      <c r="C115">
        <v>0</v>
      </c>
      <c r="D115">
        <v>0</v>
      </c>
      <c r="E115">
        <v>0</v>
      </c>
      <c r="F115" s="9">
        <v>0</v>
      </c>
      <c r="I115" t="s">
        <v>95</v>
      </c>
      <c r="J115" s="9">
        <v>0</v>
      </c>
      <c r="K115">
        <v>0</v>
      </c>
      <c r="L115">
        <v>0</v>
      </c>
      <c r="M115">
        <v>0</v>
      </c>
      <c r="N115" s="9">
        <f t="shared" si="18"/>
        <v>0</v>
      </c>
    </row>
    <row r="116" spans="1:14" x14ac:dyDescent="0.35">
      <c r="A116" t="s">
        <v>94</v>
      </c>
      <c r="B116" s="9">
        <v>0</v>
      </c>
      <c r="C116">
        <v>0</v>
      </c>
      <c r="D116">
        <v>0</v>
      </c>
      <c r="E116">
        <v>0</v>
      </c>
      <c r="F116" s="9">
        <f t="shared" ref="F116:F120" si="19">B116*C116*D116*E116</f>
        <v>0</v>
      </c>
      <c r="I116" t="s">
        <v>96</v>
      </c>
      <c r="J116" s="9">
        <v>0</v>
      </c>
      <c r="K116">
        <v>0</v>
      </c>
      <c r="L116">
        <v>0</v>
      </c>
      <c r="M116">
        <v>0</v>
      </c>
      <c r="N116" s="9">
        <f t="shared" si="18"/>
        <v>0</v>
      </c>
    </row>
    <row r="117" spans="1:14" x14ac:dyDescent="0.35">
      <c r="A117" t="s">
        <v>95</v>
      </c>
      <c r="B117" s="9">
        <v>0</v>
      </c>
      <c r="C117">
        <v>0</v>
      </c>
      <c r="D117">
        <v>0</v>
      </c>
      <c r="E117">
        <v>0</v>
      </c>
      <c r="F117" s="9">
        <f t="shared" si="19"/>
        <v>0</v>
      </c>
      <c r="I117" t="s">
        <v>125</v>
      </c>
      <c r="J117" s="9">
        <v>0</v>
      </c>
      <c r="K117">
        <v>0</v>
      </c>
      <c r="L117">
        <v>0</v>
      </c>
      <c r="M117">
        <v>0</v>
      </c>
      <c r="N117" s="9">
        <f t="shared" si="18"/>
        <v>0</v>
      </c>
    </row>
    <row r="118" spans="1:14" x14ac:dyDescent="0.35">
      <c r="A118" t="s">
        <v>96</v>
      </c>
      <c r="B118" s="9">
        <v>0</v>
      </c>
      <c r="C118">
        <v>0</v>
      </c>
      <c r="D118">
        <v>0</v>
      </c>
      <c r="E118">
        <v>0</v>
      </c>
      <c r="F118" s="9">
        <f t="shared" si="19"/>
        <v>0</v>
      </c>
      <c r="I118" t="s">
        <v>98</v>
      </c>
      <c r="J118" s="9">
        <v>0</v>
      </c>
      <c r="K118">
        <v>0</v>
      </c>
      <c r="L118">
        <v>0</v>
      </c>
      <c r="M118">
        <v>0</v>
      </c>
      <c r="N118" s="9">
        <f t="shared" si="18"/>
        <v>0</v>
      </c>
    </row>
    <row r="119" spans="1:14" x14ac:dyDescent="0.35">
      <c r="A119" t="s">
        <v>125</v>
      </c>
      <c r="B119" s="9">
        <v>100000</v>
      </c>
      <c r="C119">
        <v>1</v>
      </c>
      <c r="D119">
        <v>1</v>
      </c>
      <c r="E119">
        <v>6</v>
      </c>
      <c r="F119" s="9">
        <f t="shared" si="19"/>
        <v>600000</v>
      </c>
      <c r="J119" s="9"/>
      <c r="N119" s="10">
        <f>SUM(N110:N118)</f>
        <v>15100000</v>
      </c>
    </row>
    <row r="120" spans="1:14" x14ac:dyDescent="0.35">
      <c r="A120" t="s">
        <v>98</v>
      </c>
      <c r="B120" s="9">
        <v>0</v>
      </c>
      <c r="C120">
        <v>0</v>
      </c>
      <c r="D120">
        <v>0</v>
      </c>
      <c r="E120">
        <v>0</v>
      </c>
      <c r="F120" s="9">
        <f t="shared" si="19"/>
        <v>0</v>
      </c>
    </row>
    <row r="121" spans="1:14" x14ac:dyDescent="0.35">
      <c r="F121" s="10">
        <f>SUM(F112:F120)</f>
        <v>1160000</v>
      </c>
    </row>
    <row r="123" spans="1:14" x14ac:dyDescent="0.35">
      <c r="A123" t="s">
        <v>112</v>
      </c>
    </row>
    <row r="124" spans="1:14" x14ac:dyDescent="0.35">
      <c r="A124" t="s">
        <v>86</v>
      </c>
      <c r="B124" s="9" t="s">
        <v>87</v>
      </c>
      <c r="C124" t="s">
        <v>88</v>
      </c>
      <c r="D124" t="s">
        <v>99</v>
      </c>
      <c r="E124" t="s">
        <v>100</v>
      </c>
      <c r="F124" t="s">
        <v>89</v>
      </c>
    </row>
    <row r="125" spans="1:14" x14ac:dyDescent="0.35">
      <c r="A125" t="s">
        <v>90</v>
      </c>
      <c r="B125" s="9">
        <v>14000</v>
      </c>
      <c r="C125">
        <v>5</v>
      </c>
      <c r="D125">
        <v>3</v>
      </c>
      <c r="E125">
        <v>3</v>
      </c>
      <c r="F125" s="9">
        <f>B125*C125*D125*E125</f>
        <v>630000</v>
      </c>
    </row>
    <row r="126" spans="1:14" x14ac:dyDescent="0.35">
      <c r="A126" t="s">
        <v>91</v>
      </c>
      <c r="B126" s="9">
        <v>0</v>
      </c>
      <c r="C126">
        <v>0</v>
      </c>
      <c r="D126">
        <v>0</v>
      </c>
      <c r="E126">
        <v>0</v>
      </c>
      <c r="F126" s="9">
        <f t="shared" ref="F126:F127" si="20">B126*C126*D126*E126</f>
        <v>0</v>
      </c>
    </row>
    <row r="127" spans="1:14" x14ac:dyDescent="0.35">
      <c r="A127" t="s">
        <v>92</v>
      </c>
      <c r="B127" s="9">
        <v>200</v>
      </c>
      <c r="C127">
        <v>85</v>
      </c>
      <c r="D127">
        <v>3</v>
      </c>
      <c r="E127">
        <v>3</v>
      </c>
      <c r="F127" s="9">
        <f t="shared" si="20"/>
        <v>153000</v>
      </c>
    </row>
    <row r="128" spans="1:14" x14ac:dyDescent="0.35">
      <c r="A128" t="s">
        <v>93</v>
      </c>
      <c r="B128" s="9">
        <v>0</v>
      </c>
      <c r="C128">
        <v>0</v>
      </c>
      <c r="D128">
        <v>0</v>
      </c>
      <c r="E128">
        <v>0</v>
      </c>
      <c r="F128" s="9">
        <v>0</v>
      </c>
    </row>
    <row r="129" spans="1:6" x14ac:dyDescent="0.35">
      <c r="A129" t="s">
        <v>94</v>
      </c>
      <c r="B129" s="9">
        <v>0</v>
      </c>
      <c r="C129">
        <v>0</v>
      </c>
      <c r="D129">
        <v>0</v>
      </c>
      <c r="E129">
        <v>0</v>
      </c>
      <c r="F129" s="9">
        <f t="shared" ref="F129:F133" si="21">B129*C129*D129*E129</f>
        <v>0</v>
      </c>
    </row>
    <row r="130" spans="1:6" x14ac:dyDescent="0.35">
      <c r="A130" t="s">
        <v>95</v>
      </c>
      <c r="B130" s="9">
        <v>2000</v>
      </c>
      <c r="C130">
        <v>20</v>
      </c>
      <c r="D130">
        <v>3</v>
      </c>
      <c r="E130">
        <v>3</v>
      </c>
      <c r="F130" s="9">
        <f t="shared" si="21"/>
        <v>360000</v>
      </c>
    </row>
    <row r="131" spans="1:6" x14ac:dyDescent="0.35">
      <c r="A131" t="s">
        <v>96</v>
      </c>
      <c r="B131" s="9">
        <v>0</v>
      </c>
      <c r="C131">
        <v>0</v>
      </c>
      <c r="D131">
        <v>0</v>
      </c>
      <c r="E131">
        <f>-H131</f>
        <v>0</v>
      </c>
      <c r="F131" s="9">
        <f t="shared" si="21"/>
        <v>0</v>
      </c>
    </row>
    <row r="132" spans="1:6" x14ac:dyDescent="0.35">
      <c r="A132" t="s">
        <v>105</v>
      </c>
      <c r="B132" s="9">
        <v>0</v>
      </c>
      <c r="C132">
        <v>0</v>
      </c>
      <c r="D132">
        <v>0</v>
      </c>
      <c r="E132">
        <v>0</v>
      </c>
      <c r="F132" s="9">
        <f t="shared" si="21"/>
        <v>0</v>
      </c>
    </row>
    <row r="133" spans="1:6" x14ac:dyDescent="0.35">
      <c r="A133" t="s">
        <v>98</v>
      </c>
      <c r="B133" s="9">
        <v>0</v>
      </c>
      <c r="C133">
        <v>0</v>
      </c>
      <c r="D133">
        <v>0</v>
      </c>
      <c r="E133">
        <v>0</v>
      </c>
      <c r="F133" s="9">
        <f t="shared" si="21"/>
        <v>0</v>
      </c>
    </row>
    <row r="134" spans="1:6" x14ac:dyDescent="0.35">
      <c r="F134" s="10">
        <f>SUM(F125:F133)</f>
        <v>1143000</v>
      </c>
    </row>
    <row r="136" spans="1:6" x14ac:dyDescent="0.35">
      <c r="A136" t="s">
        <v>113</v>
      </c>
    </row>
    <row r="137" spans="1:6" x14ac:dyDescent="0.35">
      <c r="A137" t="s">
        <v>86</v>
      </c>
      <c r="B137" s="9" t="s">
        <v>87</v>
      </c>
      <c r="C137" t="s">
        <v>88</v>
      </c>
      <c r="D137" t="s">
        <v>99</v>
      </c>
      <c r="E137" t="s">
        <v>100</v>
      </c>
      <c r="F137" t="s">
        <v>89</v>
      </c>
    </row>
    <row r="138" spans="1:6" x14ac:dyDescent="0.35">
      <c r="A138" t="s">
        <v>90</v>
      </c>
      <c r="B138" s="9">
        <v>14000</v>
      </c>
      <c r="C138">
        <v>10</v>
      </c>
      <c r="D138">
        <v>10</v>
      </c>
      <c r="E138">
        <v>3</v>
      </c>
      <c r="F138" s="9">
        <f>B138*C138*D138*E138</f>
        <v>4200000</v>
      </c>
    </row>
    <row r="139" spans="1:6" x14ac:dyDescent="0.35">
      <c r="A139" t="s">
        <v>91</v>
      </c>
      <c r="B139" s="9">
        <v>0</v>
      </c>
      <c r="C139">
        <v>0</v>
      </c>
      <c r="D139">
        <v>0</v>
      </c>
      <c r="E139">
        <v>0</v>
      </c>
      <c r="F139" s="9">
        <f t="shared" ref="F139:F140" si="22">B139*C139*D139*E139</f>
        <v>0</v>
      </c>
    </row>
    <row r="140" spans="1:6" x14ac:dyDescent="0.35">
      <c r="A140" t="s">
        <v>92</v>
      </c>
      <c r="B140" s="9">
        <v>200</v>
      </c>
      <c r="C140">
        <v>85</v>
      </c>
      <c r="D140">
        <v>10</v>
      </c>
      <c r="E140">
        <v>3</v>
      </c>
      <c r="F140" s="9">
        <f t="shared" si="22"/>
        <v>510000</v>
      </c>
    </row>
    <row r="141" spans="1:6" x14ac:dyDescent="0.35">
      <c r="A141" t="s">
        <v>93</v>
      </c>
      <c r="B141" s="9">
        <v>0</v>
      </c>
      <c r="C141">
        <v>0</v>
      </c>
      <c r="D141">
        <v>0</v>
      </c>
      <c r="E141">
        <v>0</v>
      </c>
      <c r="F141" s="9">
        <v>500000</v>
      </c>
    </row>
    <row r="142" spans="1:6" x14ac:dyDescent="0.35">
      <c r="A142" t="s">
        <v>94</v>
      </c>
      <c r="B142" s="9">
        <v>0</v>
      </c>
      <c r="C142">
        <v>0</v>
      </c>
      <c r="D142">
        <v>0</v>
      </c>
      <c r="E142">
        <v>0</v>
      </c>
      <c r="F142" s="9">
        <f t="shared" ref="F142:F143" si="23">B142*C142*D142*E142</f>
        <v>0</v>
      </c>
    </row>
    <row r="143" spans="1:6" x14ac:dyDescent="0.35">
      <c r="A143" t="s">
        <v>105</v>
      </c>
      <c r="B143" s="9">
        <v>100000</v>
      </c>
      <c r="C143">
        <v>1</v>
      </c>
      <c r="D143">
        <v>1</v>
      </c>
      <c r="E143">
        <v>3</v>
      </c>
      <c r="F143" s="9">
        <f t="shared" si="23"/>
        <v>300000</v>
      </c>
    </row>
    <row r="144" spans="1:6" x14ac:dyDescent="0.35">
      <c r="A144" t="s">
        <v>98</v>
      </c>
      <c r="B144" s="9">
        <v>0</v>
      </c>
      <c r="C144">
        <v>0</v>
      </c>
      <c r="D144">
        <v>0</v>
      </c>
      <c r="E144">
        <v>0</v>
      </c>
      <c r="F144" s="9">
        <v>150000</v>
      </c>
    </row>
    <row r="145" spans="1:6" x14ac:dyDescent="0.35">
      <c r="F145" s="10">
        <f>SUM(F138:F144)</f>
        <v>5660000</v>
      </c>
    </row>
    <row r="160" spans="1:6" x14ac:dyDescent="0.35">
      <c r="A160" s="14" t="s">
        <v>115</v>
      </c>
      <c r="B160" s="15"/>
      <c r="C160" s="14"/>
      <c r="D160" s="14"/>
      <c r="E160" s="14"/>
      <c r="F160" s="14"/>
    </row>
    <row r="161" spans="1:6" x14ac:dyDescent="0.35">
      <c r="A161" s="14" t="s">
        <v>86</v>
      </c>
      <c r="B161" s="15" t="s">
        <v>87</v>
      </c>
      <c r="C161" s="14" t="s">
        <v>88</v>
      </c>
      <c r="D161" s="14" t="s">
        <v>99</v>
      </c>
      <c r="E161" s="14" t="s">
        <v>100</v>
      </c>
      <c r="F161" s="14" t="s">
        <v>89</v>
      </c>
    </row>
    <row r="162" spans="1:6" x14ac:dyDescent="0.35">
      <c r="A162" s="14" t="s">
        <v>90</v>
      </c>
      <c r="B162" s="15">
        <v>14000</v>
      </c>
      <c r="C162" s="14">
        <v>15</v>
      </c>
      <c r="D162" s="14">
        <v>5</v>
      </c>
      <c r="E162" s="14">
        <v>3</v>
      </c>
      <c r="F162" s="15">
        <f>B162*C162*D162*E162</f>
        <v>3150000</v>
      </c>
    </row>
    <row r="163" spans="1:6" x14ac:dyDescent="0.35">
      <c r="A163" s="14" t="s">
        <v>91</v>
      </c>
      <c r="B163" s="15">
        <v>0</v>
      </c>
      <c r="C163" s="14">
        <v>0</v>
      </c>
      <c r="D163" s="14">
        <v>0</v>
      </c>
      <c r="E163" s="14">
        <v>0</v>
      </c>
      <c r="F163" s="15">
        <f t="shared" ref="F163:F164" si="24">B163*C163*D163*E163</f>
        <v>0</v>
      </c>
    </row>
    <row r="164" spans="1:6" x14ac:dyDescent="0.35">
      <c r="A164" s="14" t="s">
        <v>92</v>
      </c>
      <c r="B164" s="15">
        <v>200</v>
      </c>
      <c r="C164" s="14">
        <v>85</v>
      </c>
      <c r="D164" s="14">
        <v>5</v>
      </c>
      <c r="E164" s="14">
        <v>3</v>
      </c>
      <c r="F164" s="15">
        <f t="shared" si="24"/>
        <v>255000</v>
      </c>
    </row>
    <row r="165" spans="1:6" x14ac:dyDescent="0.35">
      <c r="A165" s="14" t="s">
        <v>93</v>
      </c>
      <c r="B165" s="15">
        <v>0</v>
      </c>
      <c r="C165" s="14">
        <v>0</v>
      </c>
      <c r="D165" s="14">
        <v>0</v>
      </c>
      <c r="E165" s="14">
        <v>0</v>
      </c>
      <c r="F165" s="15">
        <v>0</v>
      </c>
    </row>
    <row r="166" spans="1:6" x14ac:dyDescent="0.35">
      <c r="A166" s="14" t="s">
        <v>94</v>
      </c>
      <c r="B166" s="15">
        <v>28000</v>
      </c>
      <c r="C166" s="14">
        <v>2</v>
      </c>
      <c r="D166" s="14">
        <v>1</v>
      </c>
      <c r="E166" s="14">
        <v>1</v>
      </c>
      <c r="F166" s="15">
        <f t="shared" ref="F166:F169" si="25">B166*C166*D166*E166</f>
        <v>56000</v>
      </c>
    </row>
    <row r="167" spans="1:6" x14ac:dyDescent="0.35">
      <c r="A167" s="14" t="s">
        <v>105</v>
      </c>
      <c r="B167" s="15">
        <v>0</v>
      </c>
      <c r="C167" s="14">
        <v>0</v>
      </c>
      <c r="D167" s="14">
        <v>0</v>
      </c>
      <c r="E167" s="14">
        <v>0</v>
      </c>
      <c r="F167" s="15">
        <f t="shared" si="25"/>
        <v>0</v>
      </c>
    </row>
    <row r="168" spans="1:6" x14ac:dyDescent="0.35">
      <c r="A168" s="14" t="s">
        <v>116</v>
      </c>
      <c r="B168" s="15">
        <v>500000</v>
      </c>
      <c r="C168" s="14">
        <v>1</v>
      </c>
      <c r="D168" s="14">
        <v>1</v>
      </c>
      <c r="E168" s="14">
        <v>1</v>
      </c>
      <c r="F168" s="15">
        <f t="shared" si="25"/>
        <v>500000</v>
      </c>
    </row>
    <row r="169" spans="1:6" x14ac:dyDescent="0.35">
      <c r="A169" s="14" t="s">
        <v>98</v>
      </c>
      <c r="B169" s="15">
        <v>0</v>
      </c>
      <c r="C169" s="14">
        <v>1</v>
      </c>
      <c r="D169" s="14">
        <v>1</v>
      </c>
      <c r="E169" s="14">
        <v>0</v>
      </c>
      <c r="F169" s="15">
        <f t="shared" si="25"/>
        <v>0</v>
      </c>
    </row>
    <row r="170" spans="1:6" x14ac:dyDescent="0.35">
      <c r="A170" s="14"/>
      <c r="B170" s="15"/>
      <c r="C170" s="14"/>
      <c r="D170" s="14"/>
      <c r="E170" s="14"/>
      <c r="F170" s="16">
        <f>SUM(F162:F169)</f>
        <v>3961000</v>
      </c>
    </row>
    <row r="173" spans="1:6" x14ac:dyDescent="0.35">
      <c r="A173" s="14" t="s">
        <v>117</v>
      </c>
      <c r="B173" s="15"/>
      <c r="C173" s="14"/>
      <c r="D173" s="14"/>
      <c r="E173" s="14"/>
      <c r="F173" s="14"/>
    </row>
    <row r="174" spans="1:6" x14ac:dyDescent="0.35">
      <c r="A174" s="14" t="s">
        <v>86</v>
      </c>
      <c r="B174" s="15" t="s">
        <v>87</v>
      </c>
      <c r="C174" s="14" t="s">
        <v>88</v>
      </c>
      <c r="D174" s="14" t="s">
        <v>99</v>
      </c>
      <c r="E174" s="14" t="s">
        <v>100</v>
      </c>
      <c r="F174" s="14" t="s">
        <v>89</v>
      </c>
    </row>
    <row r="175" spans="1:6" x14ac:dyDescent="0.35">
      <c r="A175" s="14" t="s">
        <v>90</v>
      </c>
      <c r="B175" s="15">
        <v>14000</v>
      </c>
      <c r="C175" s="14">
        <v>15</v>
      </c>
      <c r="D175" s="14">
        <v>7</v>
      </c>
      <c r="E175" s="14">
        <v>3</v>
      </c>
      <c r="F175" s="15">
        <f>B175*C175*D175*E175</f>
        <v>4410000</v>
      </c>
    </row>
    <row r="176" spans="1:6" x14ac:dyDescent="0.35">
      <c r="A176" s="14" t="s">
        <v>91</v>
      </c>
      <c r="B176" s="15">
        <v>0</v>
      </c>
      <c r="C176" s="14">
        <v>0</v>
      </c>
      <c r="D176" s="14">
        <v>0</v>
      </c>
      <c r="E176" s="14">
        <v>0</v>
      </c>
      <c r="F176" s="15">
        <f t="shared" ref="F176:F182" si="26">B176*C176*D176*E176</f>
        <v>0</v>
      </c>
    </row>
    <row r="177" spans="1:6" x14ac:dyDescent="0.35">
      <c r="A177" s="14" t="s">
        <v>92</v>
      </c>
      <c r="B177" s="15">
        <v>200</v>
      </c>
      <c r="C177" s="14">
        <v>85</v>
      </c>
      <c r="D177" s="14">
        <v>7</v>
      </c>
      <c r="E177" s="14">
        <v>3</v>
      </c>
      <c r="F177" s="15">
        <f t="shared" si="26"/>
        <v>357000</v>
      </c>
    </row>
    <row r="178" spans="1:6" x14ac:dyDescent="0.35">
      <c r="A178" s="14" t="s">
        <v>93</v>
      </c>
      <c r="B178" s="15">
        <v>500000</v>
      </c>
      <c r="C178" s="14">
        <v>1</v>
      </c>
      <c r="D178" s="14">
        <v>1</v>
      </c>
      <c r="E178" s="14">
        <v>1</v>
      </c>
      <c r="F178" s="15">
        <f t="shared" si="26"/>
        <v>500000</v>
      </c>
    </row>
    <row r="179" spans="1:6" x14ac:dyDescent="0.35">
      <c r="A179" s="14" t="s">
        <v>94</v>
      </c>
      <c r="B179" s="15">
        <v>0</v>
      </c>
      <c r="C179" s="14">
        <v>0</v>
      </c>
      <c r="D179" s="14">
        <v>0</v>
      </c>
      <c r="E179" s="14">
        <v>0</v>
      </c>
      <c r="F179" s="15">
        <f t="shared" si="26"/>
        <v>0</v>
      </c>
    </row>
    <row r="180" spans="1:6" x14ac:dyDescent="0.35">
      <c r="A180" s="14" t="s">
        <v>105</v>
      </c>
      <c r="B180" s="15">
        <v>0</v>
      </c>
      <c r="C180" s="14">
        <v>0</v>
      </c>
      <c r="D180" s="14">
        <v>0</v>
      </c>
      <c r="E180" s="14">
        <v>0</v>
      </c>
      <c r="F180" s="15">
        <f t="shared" si="26"/>
        <v>0</v>
      </c>
    </row>
    <row r="181" spans="1:6" x14ac:dyDescent="0.35">
      <c r="A181" s="14" t="s">
        <v>116</v>
      </c>
      <c r="B181" s="15">
        <v>200000</v>
      </c>
      <c r="C181" s="14">
        <v>1</v>
      </c>
      <c r="D181" s="14">
        <v>1</v>
      </c>
      <c r="E181" s="14">
        <v>3</v>
      </c>
      <c r="F181" s="15">
        <f t="shared" si="26"/>
        <v>600000</v>
      </c>
    </row>
    <row r="182" spans="1:6" x14ac:dyDescent="0.35">
      <c r="A182" s="14" t="s">
        <v>98</v>
      </c>
      <c r="B182" s="15">
        <v>0</v>
      </c>
      <c r="C182" s="14">
        <v>0</v>
      </c>
      <c r="D182" s="14">
        <v>0</v>
      </c>
      <c r="E182" s="14">
        <v>0</v>
      </c>
      <c r="F182" s="15">
        <f t="shared" si="26"/>
        <v>0</v>
      </c>
    </row>
    <row r="183" spans="1:6" x14ac:dyDescent="0.35">
      <c r="A183" s="14"/>
      <c r="B183" s="15"/>
      <c r="C183" s="14"/>
      <c r="D183" s="14"/>
      <c r="E183" s="14"/>
      <c r="F183" s="16">
        <f>SUM(F175:F182)</f>
        <v>5867000</v>
      </c>
    </row>
    <row r="188" spans="1:6" x14ac:dyDescent="0.35">
      <c r="A188" s="14" t="s">
        <v>118</v>
      </c>
      <c r="B188" s="15"/>
      <c r="C188" s="14"/>
      <c r="D188" s="14"/>
      <c r="E188" s="14"/>
      <c r="F188" s="14"/>
    </row>
    <row r="189" spans="1:6" x14ac:dyDescent="0.35">
      <c r="A189" s="14" t="s">
        <v>86</v>
      </c>
      <c r="B189" s="15" t="s">
        <v>87</v>
      </c>
      <c r="C189" s="14" t="s">
        <v>88</v>
      </c>
      <c r="D189" s="14" t="s">
        <v>99</v>
      </c>
      <c r="E189" s="14" t="s">
        <v>100</v>
      </c>
      <c r="F189" s="14" t="s">
        <v>89</v>
      </c>
    </row>
    <row r="190" spans="1:6" x14ac:dyDescent="0.35">
      <c r="A190" s="14" t="s">
        <v>90</v>
      </c>
      <c r="B190" s="15">
        <v>14000</v>
      </c>
      <c r="C190" s="14">
        <v>5</v>
      </c>
      <c r="D190" s="14">
        <v>5</v>
      </c>
      <c r="E190" s="14">
        <v>2</v>
      </c>
      <c r="F190" s="15">
        <f>B190*C190*D190*E190</f>
        <v>700000</v>
      </c>
    </row>
    <row r="191" spans="1:6" x14ac:dyDescent="0.35">
      <c r="A191" s="14" t="s">
        <v>91</v>
      </c>
      <c r="B191" s="15">
        <v>0</v>
      </c>
      <c r="C191" s="14">
        <v>0</v>
      </c>
      <c r="D191" s="14">
        <v>0</v>
      </c>
      <c r="E191" s="14">
        <v>0</v>
      </c>
      <c r="F191" s="15">
        <f t="shared" ref="F191:F197" si="27">B191*C191*D191*E191</f>
        <v>0</v>
      </c>
    </row>
    <row r="192" spans="1:6" x14ac:dyDescent="0.35">
      <c r="A192" s="14" t="s">
        <v>92</v>
      </c>
      <c r="B192" s="15">
        <v>200</v>
      </c>
      <c r="C192" s="14">
        <v>85</v>
      </c>
      <c r="D192" s="14">
        <v>5</v>
      </c>
      <c r="E192" s="14">
        <v>2</v>
      </c>
      <c r="F192" s="15">
        <f t="shared" si="27"/>
        <v>170000</v>
      </c>
    </row>
    <row r="193" spans="1:6" x14ac:dyDescent="0.35">
      <c r="A193" s="14" t="s">
        <v>93</v>
      </c>
      <c r="B193" s="15">
        <v>500000</v>
      </c>
      <c r="C193" s="14">
        <v>1</v>
      </c>
      <c r="D193" s="14">
        <v>1</v>
      </c>
      <c r="E193" s="14">
        <v>1</v>
      </c>
      <c r="F193" s="15">
        <f t="shared" si="27"/>
        <v>500000</v>
      </c>
    </row>
    <row r="194" spans="1:6" x14ac:dyDescent="0.35">
      <c r="A194" s="14" t="s">
        <v>94</v>
      </c>
      <c r="B194" s="15">
        <v>0</v>
      </c>
      <c r="C194" s="14">
        <v>0</v>
      </c>
      <c r="D194" s="14">
        <v>0</v>
      </c>
      <c r="E194" s="14">
        <v>0</v>
      </c>
      <c r="F194" s="15">
        <f t="shared" si="27"/>
        <v>0</v>
      </c>
    </row>
    <row r="195" spans="1:6" x14ac:dyDescent="0.35">
      <c r="A195" s="14" t="s">
        <v>105</v>
      </c>
      <c r="B195" s="15">
        <v>0</v>
      </c>
      <c r="C195" s="14">
        <v>0</v>
      </c>
      <c r="D195" s="14">
        <v>0</v>
      </c>
      <c r="E195" s="14">
        <v>0</v>
      </c>
      <c r="F195" s="15">
        <f t="shared" si="27"/>
        <v>0</v>
      </c>
    </row>
    <row r="196" spans="1:6" x14ac:dyDescent="0.35">
      <c r="A196" s="14" t="s">
        <v>116</v>
      </c>
      <c r="B196" s="15">
        <v>0</v>
      </c>
      <c r="C196" s="14">
        <v>0</v>
      </c>
      <c r="D196" s="14">
        <v>0</v>
      </c>
      <c r="E196" s="14">
        <v>0</v>
      </c>
      <c r="F196" s="15">
        <f t="shared" si="27"/>
        <v>0</v>
      </c>
    </row>
    <row r="197" spans="1:6" x14ac:dyDescent="0.35">
      <c r="A197" s="14" t="s">
        <v>98</v>
      </c>
      <c r="B197" s="15">
        <v>0</v>
      </c>
      <c r="C197" s="14">
        <v>0</v>
      </c>
      <c r="D197" s="14">
        <v>0</v>
      </c>
      <c r="E197" s="14">
        <v>0</v>
      </c>
      <c r="F197" s="15">
        <f t="shared" si="27"/>
        <v>0</v>
      </c>
    </row>
    <row r="198" spans="1:6" x14ac:dyDescent="0.35">
      <c r="A198" s="14"/>
      <c r="B198" s="15"/>
      <c r="C198" s="14"/>
      <c r="D198" s="14"/>
      <c r="E198" s="14"/>
      <c r="F198" s="16">
        <f>SUM(F190:F197)</f>
        <v>1370000</v>
      </c>
    </row>
    <row r="201" spans="1:6" x14ac:dyDescent="0.35">
      <c r="A201" s="14" t="s">
        <v>119</v>
      </c>
      <c r="B201" s="15"/>
      <c r="C201" s="14"/>
      <c r="D201" s="14"/>
      <c r="E201" s="14"/>
      <c r="F201" s="14"/>
    </row>
    <row r="202" spans="1:6" x14ac:dyDescent="0.35">
      <c r="A202" s="14" t="s">
        <v>86</v>
      </c>
      <c r="B202" s="15" t="s">
        <v>87</v>
      </c>
      <c r="C202" s="14" t="s">
        <v>88</v>
      </c>
      <c r="D202" s="14" t="s">
        <v>99</v>
      </c>
      <c r="E202" s="14" t="s">
        <v>100</v>
      </c>
      <c r="F202" s="14" t="s">
        <v>89</v>
      </c>
    </row>
    <row r="203" spans="1:6" x14ac:dyDescent="0.35">
      <c r="A203" s="14" t="s">
        <v>90</v>
      </c>
      <c r="B203" s="15">
        <v>14000</v>
      </c>
      <c r="C203" s="14">
        <v>5</v>
      </c>
      <c r="D203" s="14">
        <v>5</v>
      </c>
      <c r="E203" s="14">
        <v>1</v>
      </c>
      <c r="F203" s="15">
        <f>B203*C203*D203*E203</f>
        <v>350000</v>
      </c>
    </row>
    <row r="204" spans="1:6" x14ac:dyDescent="0.35">
      <c r="A204" s="14" t="s">
        <v>91</v>
      </c>
      <c r="B204" s="15">
        <v>5000</v>
      </c>
      <c r="C204" s="14">
        <v>5</v>
      </c>
      <c r="D204" s="14">
        <v>5</v>
      </c>
      <c r="E204" s="14">
        <v>1</v>
      </c>
      <c r="F204" s="15">
        <f t="shared" ref="F204:F210" si="28">B204*C204*D204*E204</f>
        <v>125000</v>
      </c>
    </row>
    <row r="205" spans="1:6" x14ac:dyDescent="0.35">
      <c r="A205" s="14" t="s">
        <v>92</v>
      </c>
      <c r="B205" s="15">
        <v>200</v>
      </c>
      <c r="C205" s="14">
        <v>85</v>
      </c>
      <c r="D205" s="14">
        <v>5</v>
      </c>
      <c r="E205" s="14">
        <v>1</v>
      </c>
      <c r="F205" s="15">
        <f t="shared" si="28"/>
        <v>85000</v>
      </c>
    </row>
    <row r="206" spans="1:6" x14ac:dyDescent="0.35">
      <c r="A206" s="14" t="s">
        <v>93</v>
      </c>
      <c r="B206" s="15">
        <v>0</v>
      </c>
      <c r="C206" s="14">
        <v>0</v>
      </c>
      <c r="D206" s="14">
        <v>0</v>
      </c>
      <c r="E206" s="14">
        <v>0</v>
      </c>
      <c r="F206" s="15">
        <f t="shared" si="28"/>
        <v>0</v>
      </c>
    </row>
    <row r="207" spans="1:6" x14ac:dyDescent="0.35">
      <c r="A207" s="14" t="s">
        <v>94</v>
      </c>
      <c r="B207" s="15">
        <v>0</v>
      </c>
      <c r="C207" s="14">
        <v>0</v>
      </c>
      <c r="D207" s="14">
        <v>0</v>
      </c>
      <c r="E207" s="14">
        <v>0</v>
      </c>
      <c r="F207" s="15">
        <f t="shared" si="28"/>
        <v>0</v>
      </c>
    </row>
    <row r="208" spans="1:6" x14ac:dyDescent="0.35">
      <c r="A208" s="14" t="s">
        <v>105</v>
      </c>
      <c r="B208" s="15">
        <v>0</v>
      </c>
      <c r="C208" s="14">
        <v>0</v>
      </c>
      <c r="D208" s="14">
        <v>0</v>
      </c>
      <c r="E208" s="14">
        <v>0</v>
      </c>
      <c r="F208" s="15">
        <f t="shared" si="28"/>
        <v>0</v>
      </c>
    </row>
    <row r="209" spans="1:6" x14ac:dyDescent="0.35">
      <c r="A209" s="14" t="s">
        <v>116</v>
      </c>
      <c r="B209" s="15">
        <v>200000</v>
      </c>
      <c r="C209" s="14">
        <v>1</v>
      </c>
      <c r="D209" s="14">
        <v>1</v>
      </c>
      <c r="E209" s="14">
        <v>6</v>
      </c>
      <c r="F209" s="15">
        <f t="shared" si="28"/>
        <v>1200000</v>
      </c>
    </row>
    <row r="210" spans="1:6" x14ac:dyDescent="0.35">
      <c r="A210" s="14" t="s">
        <v>98</v>
      </c>
      <c r="B210" s="15">
        <v>0</v>
      </c>
      <c r="C210" s="14">
        <v>0</v>
      </c>
      <c r="D210" s="14">
        <v>0</v>
      </c>
      <c r="E210" s="14">
        <v>0</v>
      </c>
      <c r="F210" s="15">
        <f t="shared" si="28"/>
        <v>0</v>
      </c>
    </row>
    <row r="211" spans="1:6" x14ac:dyDescent="0.35">
      <c r="A211" s="14"/>
      <c r="B211" s="15"/>
      <c r="C211" s="14"/>
      <c r="D211" s="14"/>
      <c r="E211" s="14"/>
      <c r="F211" s="16">
        <f>SUM(F203:F210)</f>
        <v>1760000</v>
      </c>
    </row>
    <row r="214" spans="1:6" x14ac:dyDescent="0.35">
      <c r="A214" s="14" t="s">
        <v>120</v>
      </c>
      <c r="B214" s="15"/>
      <c r="C214" s="14"/>
      <c r="D214" s="14"/>
      <c r="E214" s="14"/>
      <c r="F214" s="14"/>
    </row>
    <row r="215" spans="1:6" x14ac:dyDescent="0.35">
      <c r="A215" s="14" t="s">
        <v>86</v>
      </c>
      <c r="B215" s="15" t="s">
        <v>87</v>
      </c>
      <c r="C215" s="14" t="s">
        <v>88</v>
      </c>
      <c r="D215" s="14" t="s">
        <v>99</v>
      </c>
      <c r="E215" s="14" t="s">
        <v>100</v>
      </c>
      <c r="F215" s="14" t="s">
        <v>89</v>
      </c>
    </row>
    <row r="216" spans="1:6" x14ac:dyDescent="0.35">
      <c r="A216" s="14" t="s">
        <v>90</v>
      </c>
      <c r="B216" s="15">
        <v>14000</v>
      </c>
      <c r="C216" s="14">
        <v>5</v>
      </c>
      <c r="D216" s="14">
        <v>5</v>
      </c>
      <c r="E216" s="14">
        <v>2</v>
      </c>
      <c r="F216" s="15">
        <f>B216*C216*D216*E216</f>
        <v>700000</v>
      </c>
    </row>
    <row r="217" spans="1:6" x14ac:dyDescent="0.35">
      <c r="A217" s="14" t="s">
        <v>91</v>
      </c>
      <c r="B217" s="15">
        <v>5000</v>
      </c>
      <c r="C217" s="14">
        <v>25</v>
      </c>
      <c r="D217" s="14">
        <v>5</v>
      </c>
      <c r="E217" s="14">
        <v>2</v>
      </c>
      <c r="F217" s="15">
        <f t="shared" ref="F217:F225" si="29">B217*C217*D217*E217</f>
        <v>1250000</v>
      </c>
    </row>
    <row r="218" spans="1:6" x14ac:dyDescent="0.35">
      <c r="A218" t="s">
        <v>96</v>
      </c>
      <c r="B218" s="9">
        <v>2000</v>
      </c>
      <c r="C218">
        <v>5</v>
      </c>
      <c r="D218">
        <v>30</v>
      </c>
      <c r="E218">
        <v>2</v>
      </c>
      <c r="F218" s="9">
        <f t="shared" si="29"/>
        <v>600000</v>
      </c>
    </row>
    <row r="219" spans="1:6" x14ac:dyDescent="0.35">
      <c r="A219" s="14" t="s">
        <v>95</v>
      </c>
      <c r="B219" s="9">
        <v>2000</v>
      </c>
      <c r="C219" s="14">
        <v>20</v>
      </c>
      <c r="D219" s="14">
        <v>5</v>
      </c>
      <c r="E219" s="14">
        <v>2</v>
      </c>
      <c r="F219" s="9">
        <f t="shared" si="29"/>
        <v>400000</v>
      </c>
    </row>
    <row r="220" spans="1:6" x14ac:dyDescent="0.35">
      <c r="A220" s="14" t="s">
        <v>92</v>
      </c>
      <c r="B220" s="15">
        <v>200</v>
      </c>
      <c r="C220" s="14">
        <v>85</v>
      </c>
      <c r="D220" s="14">
        <v>5</v>
      </c>
      <c r="E220" s="14">
        <v>2</v>
      </c>
      <c r="F220" s="9">
        <f t="shared" si="29"/>
        <v>170000</v>
      </c>
    </row>
    <row r="221" spans="1:6" x14ac:dyDescent="0.35">
      <c r="A221" s="14" t="s">
        <v>93</v>
      </c>
      <c r="B221" s="15">
        <v>500000</v>
      </c>
      <c r="C221" s="14">
        <v>1</v>
      </c>
      <c r="D221" s="14">
        <v>1</v>
      </c>
      <c r="E221" s="14">
        <v>1</v>
      </c>
      <c r="F221" s="15">
        <f t="shared" si="29"/>
        <v>500000</v>
      </c>
    </row>
    <row r="222" spans="1:6" x14ac:dyDescent="0.35">
      <c r="A222" s="14" t="s">
        <v>94</v>
      </c>
      <c r="B222" s="15">
        <v>0</v>
      </c>
      <c r="C222" s="14">
        <v>0</v>
      </c>
      <c r="D222" s="14">
        <v>0</v>
      </c>
      <c r="E222" s="14">
        <v>0</v>
      </c>
      <c r="F222" s="15">
        <f t="shared" si="29"/>
        <v>0</v>
      </c>
    </row>
    <row r="223" spans="1:6" x14ac:dyDescent="0.35">
      <c r="A223" s="14" t="s">
        <v>105</v>
      </c>
      <c r="B223" s="15">
        <v>0</v>
      </c>
      <c r="C223" s="14">
        <v>0</v>
      </c>
      <c r="D223" s="14">
        <v>0</v>
      </c>
      <c r="E223" s="14">
        <v>0</v>
      </c>
      <c r="F223" s="15">
        <f t="shared" si="29"/>
        <v>0</v>
      </c>
    </row>
    <row r="224" spans="1:6" x14ac:dyDescent="0.35">
      <c r="A224" s="14" t="s">
        <v>116</v>
      </c>
      <c r="B224" s="15">
        <v>0</v>
      </c>
      <c r="C224" s="14">
        <v>0</v>
      </c>
      <c r="D224" s="14">
        <v>0</v>
      </c>
      <c r="E224" s="14">
        <v>0</v>
      </c>
      <c r="F224" s="15">
        <f t="shared" si="29"/>
        <v>0</v>
      </c>
    </row>
    <row r="225" spans="1:6" x14ac:dyDescent="0.35">
      <c r="A225" s="14" t="s">
        <v>98</v>
      </c>
      <c r="B225" s="15">
        <v>0</v>
      </c>
      <c r="C225" s="14">
        <v>0</v>
      </c>
      <c r="D225" s="14">
        <v>0</v>
      </c>
      <c r="E225" s="14">
        <v>0</v>
      </c>
      <c r="F225" s="15">
        <f t="shared" si="29"/>
        <v>0</v>
      </c>
    </row>
    <row r="226" spans="1:6" x14ac:dyDescent="0.35">
      <c r="A226" s="14"/>
      <c r="B226" s="15"/>
      <c r="C226" s="14"/>
      <c r="D226" s="14"/>
      <c r="E226" s="14"/>
      <c r="F226" s="16">
        <f>SUM(F216:F225)</f>
        <v>3620000</v>
      </c>
    </row>
    <row r="229" spans="1:6" x14ac:dyDescent="0.35">
      <c r="A229" s="14" t="s">
        <v>121</v>
      </c>
      <c r="B229" s="15"/>
      <c r="C229" s="14"/>
      <c r="D229" s="14"/>
      <c r="E229" s="14"/>
      <c r="F229" s="14"/>
    </row>
    <row r="230" spans="1:6" x14ac:dyDescent="0.35">
      <c r="A230" s="14" t="s">
        <v>86</v>
      </c>
      <c r="B230" s="15" t="s">
        <v>87</v>
      </c>
      <c r="C230" s="14" t="s">
        <v>88</v>
      </c>
      <c r="D230" s="14" t="s">
        <v>99</v>
      </c>
      <c r="E230" s="14" t="s">
        <v>100</v>
      </c>
      <c r="F230" s="14" t="s">
        <v>89</v>
      </c>
    </row>
    <row r="231" spans="1:6" x14ac:dyDescent="0.35">
      <c r="A231" s="14" t="s">
        <v>90</v>
      </c>
      <c r="B231" s="15">
        <v>14000</v>
      </c>
      <c r="C231" s="14">
        <v>5</v>
      </c>
      <c r="D231" s="14">
        <v>5</v>
      </c>
      <c r="E231" s="14">
        <v>1</v>
      </c>
      <c r="F231" s="15">
        <f>B231*C231*D231*E231</f>
        <v>350000</v>
      </c>
    </row>
    <row r="232" spans="1:6" x14ac:dyDescent="0.35">
      <c r="A232" s="14" t="s">
        <v>91</v>
      </c>
      <c r="B232" s="15">
        <v>5000</v>
      </c>
      <c r="C232" s="14">
        <v>5</v>
      </c>
      <c r="D232" s="14">
        <v>5</v>
      </c>
      <c r="E232" s="14">
        <v>1</v>
      </c>
      <c r="F232" s="15">
        <f t="shared" ref="F232:F238" si="30">B232*C232*D232*E232</f>
        <v>125000</v>
      </c>
    </row>
    <row r="233" spans="1:6" x14ac:dyDescent="0.35">
      <c r="A233" s="14" t="s">
        <v>92</v>
      </c>
      <c r="B233" s="15">
        <v>200</v>
      </c>
      <c r="C233" s="14">
        <v>85</v>
      </c>
      <c r="D233" s="14">
        <v>5</v>
      </c>
      <c r="E233" s="14">
        <v>1</v>
      </c>
      <c r="F233" s="15">
        <f t="shared" si="30"/>
        <v>85000</v>
      </c>
    </row>
    <row r="234" spans="1:6" x14ac:dyDescent="0.35">
      <c r="A234" s="14" t="s">
        <v>93</v>
      </c>
      <c r="B234" s="15">
        <v>0</v>
      </c>
      <c r="C234" s="14">
        <v>0</v>
      </c>
      <c r="D234" s="14">
        <v>0</v>
      </c>
      <c r="E234" s="14">
        <v>0</v>
      </c>
      <c r="F234" s="15">
        <f t="shared" si="30"/>
        <v>0</v>
      </c>
    </row>
    <row r="235" spans="1:6" x14ac:dyDescent="0.35">
      <c r="A235" s="14" t="s">
        <v>94</v>
      </c>
      <c r="B235" s="15">
        <v>0</v>
      </c>
      <c r="C235" s="14">
        <v>0</v>
      </c>
      <c r="D235" s="14">
        <v>0</v>
      </c>
      <c r="E235" s="14">
        <v>0</v>
      </c>
      <c r="F235" s="15">
        <f t="shared" si="30"/>
        <v>0</v>
      </c>
    </row>
    <row r="236" spans="1:6" x14ac:dyDescent="0.35">
      <c r="A236" s="14" t="s">
        <v>105</v>
      </c>
      <c r="B236" s="15">
        <v>0</v>
      </c>
      <c r="C236" s="14">
        <v>0</v>
      </c>
      <c r="D236" s="14">
        <v>0</v>
      </c>
      <c r="E236" s="14">
        <v>0</v>
      </c>
      <c r="F236" s="15">
        <f t="shared" si="30"/>
        <v>0</v>
      </c>
    </row>
    <row r="237" spans="1:6" x14ac:dyDescent="0.35">
      <c r="A237" s="14" t="s">
        <v>116</v>
      </c>
      <c r="B237" s="15">
        <v>2000000</v>
      </c>
      <c r="C237" s="14">
        <v>1</v>
      </c>
      <c r="D237" s="14">
        <v>1</v>
      </c>
      <c r="E237" s="14">
        <v>1</v>
      </c>
      <c r="F237" s="15">
        <f t="shared" si="30"/>
        <v>2000000</v>
      </c>
    </row>
    <row r="238" spans="1:6" x14ac:dyDescent="0.35">
      <c r="A238" s="14" t="s">
        <v>98</v>
      </c>
      <c r="B238" s="15">
        <v>0</v>
      </c>
      <c r="C238" s="14">
        <v>0</v>
      </c>
      <c r="D238" s="14">
        <v>0</v>
      </c>
      <c r="E238" s="14">
        <v>0</v>
      </c>
      <c r="F238" s="15">
        <f t="shared" si="30"/>
        <v>0</v>
      </c>
    </row>
    <row r="239" spans="1:6" x14ac:dyDescent="0.35">
      <c r="A239" s="14"/>
      <c r="B239" s="15"/>
      <c r="C239" s="14"/>
      <c r="D239" s="14"/>
      <c r="E239" s="14"/>
      <c r="F239" s="16">
        <f>SUM(F231:F238)</f>
        <v>2560000</v>
      </c>
    </row>
    <row r="242" spans="1:6" x14ac:dyDescent="0.35">
      <c r="A242" s="14" t="s">
        <v>122</v>
      </c>
      <c r="B242" s="15"/>
      <c r="C242" s="14"/>
      <c r="D242" s="14"/>
      <c r="E242" s="14"/>
      <c r="F242" s="14"/>
    </row>
    <row r="243" spans="1:6" x14ac:dyDescent="0.35">
      <c r="A243" s="14" t="s">
        <v>86</v>
      </c>
      <c r="B243" s="15" t="s">
        <v>87</v>
      </c>
      <c r="C243" s="14" t="s">
        <v>88</v>
      </c>
      <c r="D243" s="14" t="s">
        <v>99</v>
      </c>
      <c r="E243" s="14" t="s">
        <v>100</v>
      </c>
      <c r="F243" s="14" t="s">
        <v>89</v>
      </c>
    </row>
    <row r="244" spans="1:6" x14ac:dyDescent="0.35">
      <c r="A244" s="14" t="s">
        <v>90</v>
      </c>
      <c r="B244" s="15">
        <v>14000</v>
      </c>
      <c r="C244" s="14">
        <v>15</v>
      </c>
      <c r="D244" s="14">
        <v>5</v>
      </c>
      <c r="E244" s="14">
        <v>3</v>
      </c>
      <c r="F244" s="15">
        <f>B244*C244*D244*E244</f>
        <v>3150000</v>
      </c>
    </row>
    <row r="245" spans="1:6" x14ac:dyDescent="0.35">
      <c r="A245" s="14" t="s">
        <v>91</v>
      </c>
      <c r="B245" s="15">
        <v>0</v>
      </c>
      <c r="C245" s="14">
        <v>0</v>
      </c>
      <c r="D245" s="14">
        <v>0</v>
      </c>
      <c r="E245" s="14">
        <v>0</v>
      </c>
      <c r="F245" s="15">
        <f t="shared" ref="F245:F251" si="31">B245*C245*D245*E245</f>
        <v>0</v>
      </c>
    </row>
    <row r="246" spans="1:6" x14ac:dyDescent="0.35">
      <c r="A246" s="14" t="s">
        <v>92</v>
      </c>
      <c r="B246" s="15">
        <v>200</v>
      </c>
      <c r="C246" s="14">
        <v>85</v>
      </c>
      <c r="D246" s="14">
        <v>5</v>
      </c>
      <c r="E246" s="14">
        <v>3</v>
      </c>
      <c r="F246" s="15">
        <f t="shared" si="31"/>
        <v>255000</v>
      </c>
    </row>
    <row r="247" spans="1:6" x14ac:dyDescent="0.35">
      <c r="A247" s="14" t="s">
        <v>93</v>
      </c>
      <c r="B247" s="15">
        <v>500000</v>
      </c>
      <c r="C247" s="14">
        <v>1</v>
      </c>
      <c r="D247" s="14">
        <v>1</v>
      </c>
      <c r="E247" s="14">
        <v>1</v>
      </c>
      <c r="F247" s="15">
        <f t="shared" si="31"/>
        <v>500000</v>
      </c>
    </row>
    <row r="248" spans="1:6" x14ac:dyDescent="0.35">
      <c r="A248" s="14" t="s">
        <v>94</v>
      </c>
      <c r="B248" s="15">
        <v>28000</v>
      </c>
      <c r="C248" s="14">
        <v>4</v>
      </c>
      <c r="D248" s="14">
        <v>1</v>
      </c>
      <c r="E248" s="14">
        <v>1</v>
      </c>
      <c r="F248" s="15">
        <f t="shared" si="31"/>
        <v>112000</v>
      </c>
    </row>
    <row r="249" spans="1:6" x14ac:dyDescent="0.35">
      <c r="A249" s="14" t="s">
        <v>105</v>
      </c>
      <c r="B249" s="15">
        <v>0</v>
      </c>
      <c r="C249" s="14">
        <v>0</v>
      </c>
      <c r="D249" s="14">
        <v>0</v>
      </c>
      <c r="E249" s="14">
        <v>0</v>
      </c>
      <c r="F249" s="15">
        <f t="shared" si="31"/>
        <v>0</v>
      </c>
    </row>
    <row r="250" spans="1:6" x14ac:dyDescent="0.35">
      <c r="A250" s="14" t="s">
        <v>116</v>
      </c>
      <c r="B250" s="15">
        <v>0</v>
      </c>
      <c r="C250" s="14">
        <v>0</v>
      </c>
      <c r="D250" s="14">
        <v>0</v>
      </c>
      <c r="E250" s="14">
        <v>0</v>
      </c>
      <c r="F250" s="15">
        <f t="shared" si="31"/>
        <v>0</v>
      </c>
    </row>
    <row r="251" spans="1:6" x14ac:dyDescent="0.35">
      <c r="A251" s="14" t="s">
        <v>98</v>
      </c>
      <c r="B251" s="15">
        <v>150000</v>
      </c>
      <c r="C251" s="14">
        <v>1</v>
      </c>
      <c r="D251" s="14">
        <v>1</v>
      </c>
      <c r="E251" s="14">
        <v>3</v>
      </c>
      <c r="F251" s="15">
        <f t="shared" si="31"/>
        <v>450000</v>
      </c>
    </row>
    <row r="252" spans="1:6" x14ac:dyDescent="0.35">
      <c r="A252" s="14"/>
      <c r="B252" s="15"/>
      <c r="C252" s="14"/>
      <c r="D252" s="14"/>
      <c r="E252" s="14"/>
      <c r="F252" s="16">
        <f>SUM(F244:F251)</f>
        <v>4467000</v>
      </c>
    </row>
    <row r="255" spans="1:6" x14ac:dyDescent="0.35">
      <c r="A255" s="14" t="s">
        <v>123</v>
      </c>
      <c r="B255" s="15"/>
      <c r="C255" s="14"/>
      <c r="D255" s="14"/>
      <c r="E255" s="14"/>
      <c r="F255" s="14"/>
    </row>
    <row r="256" spans="1:6" x14ac:dyDescent="0.35">
      <c r="A256" s="14" t="s">
        <v>86</v>
      </c>
      <c r="B256" s="15" t="s">
        <v>87</v>
      </c>
      <c r="C256" s="14" t="s">
        <v>88</v>
      </c>
      <c r="D256" s="14" t="s">
        <v>99</v>
      </c>
      <c r="E256" s="14" t="s">
        <v>100</v>
      </c>
      <c r="F256" s="14" t="s">
        <v>89</v>
      </c>
    </row>
    <row r="257" spans="1:6" x14ac:dyDescent="0.35">
      <c r="A257" s="14" t="s">
        <v>90</v>
      </c>
      <c r="B257" s="15">
        <v>0</v>
      </c>
      <c r="C257" s="14">
        <v>0</v>
      </c>
      <c r="D257" s="14">
        <v>0</v>
      </c>
      <c r="E257" s="14">
        <v>0</v>
      </c>
      <c r="F257" s="15">
        <f>B257*C257*D257*E257</f>
        <v>0</v>
      </c>
    </row>
    <row r="258" spans="1:6" x14ac:dyDescent="0.35">
      <c r="A258" s="14" t="s">
        <v>91</v>
      </c>
      <c r="B258" s="15">
        <v>5000</v>
      </c>
      <c r="C258" s="14">
        <v>35</v>
      </c>
      <c r="D258" s="14">
        <v>5</v>
      </c>
      <c r="E258" s="14">
        <v>3</v>
      </c>
      <c r="F258" s="15">
        <f t="shared" ref="F258:F265" si="32">B258*C258*D258*E258</f>
        <v>2625000</v>
      </c>
    </row>
    <row r="259" spans="1:6" x14ac:dyDescent="0.35">
      <c r="A259" s="14" t="s">
        <v>92</v>
      </c>
      <c r="B259" s="15">
        <v>200</v>
      </c>
      <c r="C259" s="14">
        <v>85</v>
      </c>
      <c r="D259" s="14">
        <v>5</v>
      </c>
      <c r="E259" s="14">
        <v>3</v>
      </c>
      <c r="F259" s="15">
        <f t="shared" si="32"/>
        <v>255000</v>
      </c>
    </row>
    <row r="260" spans="1:6" x14ac:dyDescent="0.35">
      <c r="A260" s="14" t="s">
        <v>93</v>
      </c>
      <c r="B260" s="15">
        <v>0</v>
      </c>
      <c r="C260" s="14">
        <v>0</v>
      </c>
      <c r="D260" s="14">
        <v>0</v>
      </c>
      <c r="E260" s="14">
        <v>0</v>
      </c>
      <c r="F260" s="15">
        <f t="shared" si="32"/>
        <v>0</v>
      </c>
    </row>
    <row r="261" spans="1:6" x14ac:dyDescent="0.35">
      <c r="A261" s="14" t="s">
        <v>124</v>
      </c>
      <c r="B261" s="15">
        <v>1000</v>
      </c>
      <c r="C261" s="14">
        <v>20</v>
      </c>
      <c r="D261" s="14">
        <v>5</v>
      </c>
      <c r="E261" s="14">
        <v>3</v>
      </c>
      <c r="F261" s="15">
        <f t="shared" si="32"/>
        <v>300000</v>
      </c>
    </row>
    <row r="262" spans="1:6" x14ac:dyDescent="0.35">
      <c r="A262" s="14" t="s">
        <v>94</v>
      </c>
      <c r="B262" s="15">
        <v>0</v>
      </c>
      <c r="C262" s="14">
        <v>0</v>
      </c>
      <c r="D262" s="14">
        <v>0</v>
      </c>
      <c r="E262" s="14">
        <v>0</v>
      </c>
      <c r="F262" s="15">
        <f t="shared" si="32"/>
        <v>0</v>
      </c>
    </row>
    <row r="263" spans="1:6" x14ac:dyDescent="0.35">
      <c r="A263" s="14" t="s">
        <v>105</v>
      </c>
      <c r="B263" s="15">
        <v>0</v>
      </c>
      <c r="C263" s="14">
        <v>0</v>
      </c>
      <c r="D263" s="14">
        <v>0</v>
      </c>
      <c r="E263" s="14">
        <v>0</v>
      </c>
      <c r="F263" s="15">
        <f t="shared" si="32"/>
        <v>0</v>
      </c>
    </row>
    <row r="264" spans="1:6" x14ac:dyDescent="0.35">
      <c r="A264" s="14" t="s">
        <v>116</v>
      </c>
      <c r="B264" s="15">
        <v>100000</v>
      </c>
      <c r="C264" s="14">
        <v>1</v>
      </c>
      <c r="D264" s="14">
        <v>1</v>
      </c>
      <c r="E264" s="14">
        <v>1</v>
      </c>
      <c r="F264" s="15">
        <f t="shared" si="32"/>
        <v>100000</v>
      </c>
    </row>
    <row r="265" spans="1:6" x14ac:dyDescent="0.35">
      <c r="A265" s="14" t="s">
        <v>98</v>
      </c>
      <c r="B265" s="15">
        <v>0</v>
      </c>
      <c r="C265" s="14">
        <v>0</v>
      </c>
      <c r="D265" s="14">
        <v>0</v>
      </c>
      <c r="E265" s="14">
        <v>0</v>
      </c>
      <c r="F265" s="15">
        <f t="shared" si="32"/>
        <v>0</v>
      </c>
    </row>
    <row r="266" spans="1:6" x14ac:dyDescent="0.35">
      <c r="A266" s="14"/>
      <c r="B266" s="15"/>
      <c r="C266" s="14"/>
      <c r="D266" s="14"/>
      <c r="E266" s="14"/>
      <c r="F266" s="16">
        <f>SUM(F257:F265)</f>
        <v>3280000</v>
      </c>
    </row>
    <row r="269" spans="1:6" x14ac:dyDescent="0.35">
      <c r="A269" s="14" t="s">
        <v>130</v>
      </c>
      <c r="B269" s="15"/>
      <c r="C269" s="14"/>
      <c r="D269" s="14"/>
      <c r="E269" s="14"/>
      <c r="F269" s="14"/>
    </row>
    <row r="270" spans="1:6" x14ac:dyDescent="0.35">
      <c r="A270" s="14" t="s">
        <v>86</v>
      </c>
      <c r="B270" s="15" t="s">
        <v>87</v>
      </c>
      <c r="C270" s="14" t="s">
        <v>88</v>
      </c>
      <c r="D270" s="14" t="s">
        <v>99</v>
      </c>
      <c r="E270" s="14" t="s">
        <v>100</v>
      </c>
      <c r="F270" s="14" t="s">
        <v>89</v>
      </c>
    </row>
    <row r="271" spans="1:6" x14ac:dyDescent="0.35">
      <c r="A271" s="14" t="s">
        <v>90</v>
      </c>
      <c r="B271" s="15">
        <v>14000</v>
      </c>
      <c r="C271" s="14">
        <v>15</v>
      </c>
      <c r="D271" s="14">
        <v>3</v>
      </c>
      <c r="E271" s="14">
        <v>6</v>
      </c>
      <c r="F271" s="15">
        <f>B271*C271*D271*E271</f>
        <v>3780000</v>
      </c>
    </row>
    <row r="272" spans="1:6" x14ac:dyDescent="0.35">
      <c r="A272" s="14" t="s">
        <v>91</v>
      </c>
      <c r="B272" s="15">
        <v>5000</v>
      </c>
      <c r="C272" s="14">
        <v>15</v>
      </c>
      <c r="D272" s="14">
        <v>1</v>
      </c>
      <c r="E272" s="14">
        <v>6</v>
      </c>
      <c r="F272" s="15">
        <f t="shared" ref="F272:F279" si="33">B272*C272*D272*E272</f>
        <v>450000</v>
      </c>
    </row>
    <row r="273" spans="1:6" x14ac:dyDescent="0.35">
      <c r="A273" s="14" t="s">
        <v>92</v>
      </c>
      <c r="B273" s="15">
        <v>200</v>
      </c>
      <c r="C273" s="14">
        <v>85</v>
      </c>
      <c r="D273" s="14">
        <v>3</v>
      </c>
      <c r="E273" s="14">
        <v>6</v>
      </c>
      <c r="F273" s="15">
        <f t="shared" si="33"/>
        <v>306000</v>
      </c>
    </row>
    <row r="274" spans="1:6" x14ac:dyDescent="0.35">
      <c r="A274" s="14" t="s">
        <v>93</v>
      </c>
      <c r="B274" s="15">
        <v>0</v>
      </c>
      <c r="C274" s="14">
        <v>0</v>
      </c>
      <c r="D274" s="14">
        <v>0</v>
      </c>
      <c r="E274" s="14">
        <v>0</v>
      </c>
      <c r="F274" s="15">
        <f t="shared" si="33"/>
        <v>0</v>
      </c>
    </row>
    <row r="275" spans="1:6" x14ac:dyDescent="0.35">
      <c r="A275" s="14" t="s">
        <v>131</v>
      </c>
      <c r="B275" s="15">
        <v>5000</v>
      </c>
      <c r="C275" s="14">
        <v>0</v>
      </c>
      <c r="D275" s="14">
        <v>0</v>
      </c>
      <c r="E275" s="14">
        <v>0</v>
      </c>
      <c r="F275" s="15">
        <f t="shared" si="33"/>
        <v>0</v>
      </c>
    </row>
    <row r="276" spans="1:6" x14ac:dyDescent="0.35">
      <c r="A276" s="14" t="s">
        <v>94</v>
      </c>
      <c r="B276" s="15">
        <v>0</v>
      </c>
      <c r="C276" s="14">
        <v>0</v>
      </c>
      <c r="D276" s="14">
        <v>0</v>
      </c>
      <c r="E276" s="14">
        <v>0</v>
      </c>
      <c r="F276" s="15">
        <f t="shared" si="33"/>
        <v>0</v>
      </c>
    </row>
    <row r="277" spans="1:6" x14ac:dyDescent="0.35">
      <c r="A277" s="14" t="s">
        <v>105</v>
      </c>
      <c r="B277" s="15">
        <v>0</v>
      </c>
      <c r="C277" s="14">
        <v>0</v>
      </c>
      <c r="D277" s="14">
        <v>0</v>
      </c>
      <c r="E277" s="14">
        <v>0</v>
      </c>
      <c r="F277" s="15">
        <f t="shared" si="33"/>
        <v>0</v>
      </c>
    </row>
    <row r="278" spans="1:6" x14ac:dyDescent="0.35">
      <c r="A278" s="14" t="s">
        <v>116</v>
      </c>
      <c r="B278" s="15">
        <v>0</v>
      </c>
      <c r="C278" s="14">
        <v>0</v>
      </c>
      <c r="D278" s="14">
        <v>0</v>
      </c>
      <c r="E278" s="14">
        <v>0</v>
      </c>
      <c r="F278" s="15">
        <f t="shared" si="33"/>
        <v>0</v>
      </c>
    </row>
    <row r="279" spans="1:6" x14ac:dyDescent="0.35">
      <c r="A279" s="14" t="s">
        <v>98</v>
      </c>
      <c r="B279" s="15">
        <v>0</v>
      </c>
      <c r="C279" s="14">
        <v>0</v>
      </c>
      <c r="D279" s="14">
        <v>0</v>
      </c>
      <c r="E279" s="14">
        <v>0</v>
      </c>
      <c r="F279" s="15">
        <f t="shared" si="33"/>
        <v>0</v>
      </c>
    </row>
    <row r="280" spans="1:6" x14ac:dyDescent="0.35">
      <c r="A280" s="14"/>
      <c r="B280" s="15"/>
      <c r="C280" s="14"/>
      <c r="D280" s="14"/>
      <c r="E280" s="14"/>
      <c r="F280" s="16">
        <f>SUM(F271:F279)</f>
        <v>4536000</v>
      </c>
    </row>
    <row r="298" spans="1:6" x14ac:dyDescent="0.35">
      <c r="A298" s="14" t="s">
        <v>526</v>
      </c>
      <c r="B298" s="15"/>
      <c r="C298" s="14"/>
      <c r="D298" s="14"/>
      <c r="E298" s="14"/>
      <c r="F298" s="14"/>
    </row>
    <row r="299" spans="1:6" x14ac:dyDescent="0.35">
      <c r="A299" s="14" t="s">
        <v>86</v>
      </c>
      <c r="B299" s="15" t="s">
        <v>87</v>
      </c>
      <c r="C299" s="14" t="s">
        <v>88</v>
      </c>
      <c r="D299" s="14" t="s">
        <v>99</v>
      </c>
      <c r="E299" s="14" t="s">
        <v>100</v>
      </c>
      <c r="F299" s="14" t="s">
        <v>89</v>
      </c>
    </row>
    <row r="300" spans="1:6" x14ac:dyDescent="0.35">
      <c r="A300" s="14" t="s">
        <v>90</v>
      </c>
      <c r="B300" s="15">
        <v>0</v>
      </c>
      <c r="C300" s="14">
        <v>0</v>
      </c>
      <c r="D300" s="14">
        <v>0</v>
      </c>
      <c r="E300" s="14">
        <v>0</v>
      </c>
      <c r="F300" s="15">
        <f>B300*C300*D300*E300</f>
        <v>0</v>
      </c>
    </row>
    <row r="301" spans="1:6" x14ac:dyDescent="0.35">
      <c r="A301" s="14" t="s">
        <v>91</v>
      </c>
      <c r="B301" s="15">
        <v>0</v>
      </c>
      <c r="C301" s="14">
        <v>0</v>
      </c>
      <c r="D301" s="14">
        <v>0</v>
      </c>
      <c r="E301" s="14">
        <v>0</v>
      </c>
      <c r="F301" s="15">
        <f t="shared" ref="F301:F309" si="34">B301*C301*D301*E301</f>
        <v>0</v>
      </c>
    </row>
    <row r="302" spans="1:6" x14ac:dyDescent="0.35">
      <c r="A302" t="s">
        <v>96</v>
      </c>
      <c r="B302" s="9">
        <v>0</v>
      </c>
      <c r="C302">
        <v>0</v>
      </c>
      <c r="D302">
        <v>0</v>
      </c>
      <c r="E302">
        <v>0</v>
      </c>
      <c r="F302" s="9">
        <f t="shared" si="34"/>
        <v>0</v>
      </c>
    </row>
    <row r="303" spans="1:6" x14ac:dyDescent="0.35">
      <c r="A303" s="14" t="s">
        <v>95</v>
      </c>
      <c r="B303" s="9">
        <v>2000</v>
      </c>
      <c r="C303" s="14">
        <v>6</v>
      </c>
      <c r="D303" s="14">
        <v>3</v>
      </c>
      <c r="E303" s="14">
        <v>4</v>
      </c>
      <c r="F303" s="9">
        <f t="shared" si="34"/>
        <v>144000</v>
      </c>
    </row>
    <row r="304" spans="1:6" x14ac:dyDescent="0.35">
      <c r="A304" s="14" t="s">
        <v>92</v>
      </c>
      <c r="B304" s="15">
        <v>200</v>
      </c>
      <c r="C304" s="14">
        <v>5</v>
      </c>
      <c r="D304" s="14">
        <v>90</v>
      </c>
      <c r="E304" s="14">
        <v>4</v>
      </c>
      <c r="F304" s="9">
        <f t="shared" si="34"/>
        <v>360000</v>
      </c>
    </row>
    <row r="305" spans="1:6" x14ac:dyDescent="0.35">
      <c r="A305" s="14" t="s">
        <v>93</v>
      </c>
      <c r="B305" s="15">
        <v>100000</v>
      </c>
      <c r="C305" s="14">
        <v>1</v>
      </c>
      <c r="D305" s="14">
        <v>3</v>
      </c>
      <c r="E305" s="14">
        <v>4</v>
      </c>
      <c r="F305" s="15">
        <f t="shared" si="34"/>
        <v>1200000</v>
      </c>
    </row>
    <row r="306" spans="1:6" x14ac:dyDescent="0.35">
      <c r="A306" s="14" t="s">
        <v>94</v>
      </c>
      <c r="B306" s="15">
        <v>0</v>
      </c>
      <c r="C306" s="14">
        <v>0</v>
      </c>
      <c r="D306" s="14">
        <v>0</v>
      </c>
      <c r="E306" s="14">
        <v>0</v>
      </c>
      <c r="F306" s="15">
        <f t="shared" si="34"/>
        <v>0</v>
      </c>
    </row>
    <row r="307" spans="1:6" x14ac:dyDescent="0.35">
      <c r="A307" s="14" t="s">
        <v>105</v>
      </c>
      <c r="B307" s="15">
        <v>0</v>
      </c>
      <c r="C307" s="14">
        <v>0</v>
      </c>
      <c r="D307" s="14">
        <v>0</v>
      </c>
      <c r="E307" s="14">
        <v>0</v>
      </c>
      <c r="F307" s="15">
        <f t="shared" si="34"/>
        <v>0</v>
      </c>
    </row>
    <row r="308" spans="1:6" x14ac:dyDescent="0.35">
      <c r="A308" s="14" t="s">
        <v>116</v>
      </c>
      <c r="B308" s="15">
        <v>0</v>
      </c>
      <c r="C308" s="14">
        <v>0</v>
      </c>
      <c r="D308" s="14">
        <v>0</v>
      </c>
      <c r="E308" s="14">
        <v>0</v>
      </c>
      <c r="F308" s="15">
        <f t="shared" si="34"/>
        <v>0</v>
      </c>
    </row>
    <row r="309" spans="1:6" x14ac:dyDescent="0.35">
      <c r="A309" s="14" t="s">
        <v>98</v>
      </c>
      <c r="B309" s="15">
        <v>0</v>
      </c>
      <c r="C309" s="14">
        <v>0</v>
      </c>
      <c r="D309" s="14">
        <v>0</v>
      </c>
      <c r="E309" s="14">
        <v>0</v>
      </c>
      <c r="F309" s="15">
        <f t="shared" si="34"/>
        <v>0</v>
      </c>
    </row>
    <row r="310" spans="1:6" x14ac:dyDescent="0.35">
      <c r="A310" s="14"/>
      <c r="B310" s="15"/>
      <c r="C310" s="14"/>
      <c r="D310" s="14"/>
      <c r="E310" s="14"/>
      <c r="F310" s="16">
        <f>SUM(F300:F309)</f>
        <v>1704000</v>
      </c>
    </row>
    <row r="313" spans="1:6" x14ac:dyDescent="0.35">
      <c r="A313" s="14" t="s">
        <v>120</v>
      </c>
      <c r="B313" s="15"/>
      <c r="C313" s="14"/>
      <c r="D313" s="14"/>
      <c r="E313" s="14"/>
      <c r="F313" s="14"/>
    </row>
    <row r="314" spans="1:6" x14ac:dyDescent="0.35">
      <c r="A314" s="14" t="s">
        <v>86</v>
      </c>
      <c r="B314" s="15" t="s">
        <v>87</v>
      </c>
      <c r="C314" s="14" t="s">
        <v>88</v>
      </c>
      <c r="D314" s="14" t="s">
        <v>99</v>
      </c>
      <c r="E314" s="14" t="s">
        <v>100</v>
      </c>
      <c r="F314" s="14" t="s">
        <v>89</v>
      </c>
    </row>
    <row r="315" spans="1:6" x14ac:dyDescent="0.35">
      <c r="A315" s="14" t="s">
        <v>90</v>
      </c>
      <c r="B315" s="15">
        <v>14000</v>
      </c>
      <c r="C315" s="14">
        <v>5</v>
      </c>
      <c r="D315" s="14">
        <v>5</v>
      </c>
      <c r="E315" s="14">
        <v>2</v>
      </c>
      <c r="F315" s="15">
        <f>B315*C315*D315*E315</f>
        <v>700000</v>
      </c>
    </row>
    <row r="316" spans="1:6" x14ac:dyDescent="0.35">
      <c r="A316" s="14" t="s">
        <v>91</v>
      </c>
      <c r="B316" s="15">
        <v>5000</v>
      </c>
      <c r="C316" s="14">
        <v>25</v>
      </c>
      <c r="D316" s="14">
        <v>5</v>
      </c>
      <c r="E316" s="14">
        <v>2</v>
      </c>
      <c r="F316" s="15">
        <f t="shared" ref="F316:F324" si="35">B316*C316*D316*E316</f>
        <v>1250000</v>
      </c>
    </row>
    <row r="317" spans="1:6" x14ac:dyDescent="0.35">
      <c r="A317" t="s">
        <v>96</v>
      </c>
      <c r="B317" s="9">
        <v>2000</v>
      </c>
      <c r="C317">
        <v>5</v>
      </c>
      <c r="D317">
        <v>30</v>
      </c>
      <c r="E317">
        <v>2</v>
      </c>
      <c r="F317" s="9">
        <f t="shared" si="35"/>
        <v>600000</v>
      </c>
    </row>
    <row r="318" spans="1:6" x14ac:dyDescent="0.35">
      <c r="A318" s="14" t="s">
        <v>95</v>
      </c>
      <c r="B318" s="9">
        <v>2000</v>
      </c>
      <c r="C318" s="14">
        <v>20</v>
      </c>
      <c r="D318" s="14">
        <v>5</v>
      </c>
      <c r="E318" s="14">
        <v>2</v>
      </c>
      <c r="F318" s="9">
        <f t="shared" si="35"/>
        <v>400000</v>
      </c>
    </row>
    <row r="319" spans="1:6" x14ac:dyDescent="0.35">
      <c r="A319" s="14" t="s">
        <v>92</v>
      </c>
      <c r="B319" s="15">
        <v>200</v>
      </c>
      <c r="C319" s="14">
        <v>85</v>
      </c>
      <c r="D319" s="14">
        <v>5</v>
      </c>
      <c r="E319" s="14">
        <v>2</v>
      </c>
      <c r="F319" s="9">
        <f t="shared" si="35"/>
        <v>170000</v>
      </c>
    </row>
    <row r="320" spans="1:6" x14ac:dyDescent="0.35">
      <c r="A320" s="14" t="s">
        <v>93</v>
      </c>
      <c r="B320" s="15">
        <v>0</v>
      </c>
      <c r="C320" s="14">
        <v>0</v>
      </c>
      <c r="D320" s="14">
        <v>0</v>
      </c>
      <c r="E320" s="14">
        <v>0</v>
      </c>
      <c r="F320" s="15">
        <f t="shared" si="35"/>
        <v>0</v>
      </c>
    </row>
    <row r="321" spans="1:6" x14ac:dyDescent="0.35">
      <c r="A321" s="14" t="s">
        <v>94</v>
      </c>
      <c r="B321" s="15">
        <v>0</v>
      </c>
      <c r="C321" s="14">
        <v>0</v>
      </c>
      <c r="D321" s="14">
        <v>0</v>
      </c>
      <c r="E321" s="14">
        <v>0</v>
      </c>
      <c r="F321" s="15">
        <f t="shared" si="35"/>
        <v>0</v>
      </c>
    </row>
    <row r="322" spans="1:6" x14ac:dyDescent="0.35">
      <c r="A322" s="14" t="s">
        <v>105</v>
      </c>
      <c r="B322" s="15">
        <v>0</v>
      </c>
      <c r="C322" s="14">
        <v>0</v>
      </c>
      <c r="D322" s="14">
        <v>0</v>
      </c>
      <c r="E322" s="14">
        <v>0</v>
      </c>
      <c r="F322" s="15">
        <f t="shared" si="35"/>
        <v>0</v>
      </c>
    </row>
    <row r="323" spans="1:6" x14ac:dyDescent="0.35">
      <c r="A323" s="14" t="s">
        <v>116</v>
      </c>
      <c r="B323" s="15">
        <v>0</v>
      </c>
      <c r="C323" s="14">
        <v>0</v>
      </c>
      <c r="D323" s="14">
        <v>0</v>
      </c>
      <c r="E323" s="14">
        <v>0</v>
      </c>
      <c r="F323" s="15">
        <f t="shared" si="35"/>
        <v>0</v>
      </c>
    </row>
    <row r="324" spans="1:6" x14ac:dyDescent="0.35">
      <c r="A324" s="14" t="s">
        <v>98</v>
      </c>
      <c r="B324" s="15">
        <v>0</v>
      </c>
      <c r="C324" s="14">
        <v>0</v>
      </c>
      <c r="D324" s="14">
        <v>0</v>
      </c>
      <c r="E324" s="14">
        <v>0</v>
      </c>
      <c r="F324" s="15">
        <f t="shared" si="35"/>
        <v>0</v>
      </c>
    </row>
    <row r="325" spans="1:6" x14ac:dyDescent="0.35">
      <c r="A325" s="14"/>
      <c r="B325" s="15"/>
      <c r="C325" s="14"/>
      <c r="D325" s="14"/>
      <c r="E325" s="14"/>
      <c r="F325" s="16">
        <f>SUM(F315:F324)</f>
        <v>3120000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94963-9540-4A47-9B3D-1B748896A122}">
  <dimension ref="A2:AR41"/>
  <sheetViews>
    <sheetView topLeftCell="A23" zoomScale="77" workbookViewId="0">
      <pane xSplit="5" topLeftCell="U1" activePane="topRight" state="frozen"/>
      <selection activeCell="A17" sqref="A17"/>
      <selection pane="topRight" activeCell="A21" sqref="A1:XFD1048576"/>
    </sheetView>
  </sheetViews>
  <sheetFormatPr defaultRowHeight="15.5" x14ac:dyDescent="0.35"/>
  <cols>
    <col min="1" max="1" width="22.33203125" style="2" customWidth="1"/>
    <col min="2" max="2" width="19.9140625" style="2" customWidth="1"/>
    <col min="3" max="3" width="64.08203125" style="2" customWidth="1"/>
    <col min="4" max="4" width="38.4140625" style="2" bestFit="1" customWidth="1"/>
    <col min="5" max="5" width="17.1640625" style="2" bestFit="1" customWidth="1"/>
    <col min="6" max="6" width="8.6640625" style="2"/>
    <col min="7" max="7" width="30.75" style="1" bestFit="1" customWidth="1"/>
    <col min="8" max="20" width="8.6640625" style="2"/>
    <col min="21" max="21" width="17.08203125" style="4" bestFit="1" customWidth="1"/>
    <col min="22" max="25" width="8.6640625" style="2"/>
    <col min="26" max="26" width="12.58203125" style="2" bestFit="1" customWidth="1"/>
  </cols>
  <sheetData>
    <row r="2" spans="1:26" x14ac:dyDescent="0.35">
      <c r="A2" s="169" t="s">
        <v>0</v>
      </c>
      <c r="B2" s="169" t="s">
        <v>1</v>
      </c>
      <c r="C2" s="169" t="s">
        <v>2</v>
      </c>
      <c r="D2" s="169" t="s">
        <v>3</v>
      </c>
      <c r="E2" s="169" t="s">
        <v>4</v>
      </c>
      <c r="F2" s="169" t="s">
        <v>27</v>
      </c>
      <c r="G2" s="169" t="s">
        <v>5</v>
      </c>
      <c r="H2"/>
      <c r="I2" s="171" t="s">
        <v>26</v>
      </c>
      <c r="J2" s="172"/>
      <c r="K2" s="172"/>
      <c r="L2" s="172"/>
      <c r="M2" s="172"/>
      <c r="N2" s="172"/>
      <c r="O2" s="172"/>
      <c r="P2" s="172"/>
      <c r="Q2" s="172"/>
      <c r="R2" s="172"/>
      <c r="S2" s="172"/>
      <c r="T2" s="173"/>
      <c r="U2" s="174" t="s">
        <v>6</v>
      </c>
      <c r="V2" s="176" t="s">
        <v>24</v>
      </c>
      <c r="W2" s="177"/>
      <c r="X2" s="176" t="s">
        <v>7</v>
      </c>
      <c r="Y2" s="177"/>
      <c r="Z2" s="178" t="s">
        <v>8</v>
      </c>
    </row>
    <row r="3" spans="1:26" ht="28" x14ac:dyDescent="0.35">
      <c r="A3" s="170"/>
      <c r="B3" s="170"/>
      <c r="C3" s="170"/>
      <c r="D3" s="170"/>
      <c r="E3" s="170"/>
      <c r="F3" s="170"/>
      <c r="G3" s="170"/>
      <c r="H3" s="3" t="s">
        <v>23</v>
      </c>
      <c r="I3" s="3" t="s">
        <v>9</v>
      </c>
      <c r="J3" s="3" t="s">
        <v>10</v>
      </c>
      <c r="K3" s="3" t="s">
        <v>11</v>
      </c>
      <c r="L3" s="3" t="s">
        <v>12</v>
      </c>
      <c r="M3" s="3" t="s">
        <v>13</v>
      </c>
      <c r="N3" s="3" t="s">
        <v>14</v>
      </c>
      <c r="O3" s="3" t="s">
        <v>15</v>
      </c>
      <c r="P3" s="3" t="s">
        <v>16</v>
      </c>
      <c r="Q3" s="3" t="s">
        <v>17</v>
      </c>
      <c r="R3" s="3" t="s">
        <v>18</v>
      </c>
      <c r="S3" s="3" t="s">
        <v>19</v>
      </c>
      <c r="T3" s="3" t="s">
        <v>20</v>
      </c>
      <c r="U3" s="175"/>
      <c r="V3" s="3" t="s">
        <v>23</v>
      </c>
      <c r="W3" s="3" t="s">
        <v>21</v>
      </c>
      <c r="X3" s="3" t="s">
        <v>22</v>
      </c>
      <c r="Y3" s="3" t="s">
        <v>21</v>
      </c>
      <c r="Z3" s="179"/>
    </row>
    <row r="4" spans="1:26" ht="56" customHeight="1" x14ac:dyDescent="0.35">
      <c r="A4" s="124" t="s">
        <v>28</v>
      </c>
      <c r="B4" s="141" t="s">
        <v>558</v>
      </c>
      <c r="C4" s="1" t="s">
        <v>46</v>
      </c>
      <c r="D4" s="1" t="s">
        <v>47</v>
      </c>
      <c r="E4" s="1" t="s">
        <v>40</v>
      </c>
      <c r="F4" s="125">
        <v>5</v>
      </c>
      <c r="G4" s="125" t="s">
        <v>41</v>
      </c>
      <c r="H4" s="126"/>
      <c r="J4" s="7"/>
      <c r="K4" s="126"/>
      <c r="L4" s="126"/>
      <c r="M4" s="126"/>
      <c r="N4" s="126"/>
      <c r="O4" s="126"/>
      <c r="P4" s="126"/>
      <c r="Q4" s="126"/>
      <c r="R4" s="126"/>
      <c r="S4" s="126"/>
      <c r="T4" s="126"/>
      <c r="U4" s="127">
        <v>250000</v>
      </c>
      <c r="V4" s="126"/>
      <c r="W4" s="126"/>
      <c r="X4" s="126"/>
      <c r="Y4" s="126"/>
      <c r="Z4" s="128"/>
    </row>
    <row r="5" spans="1:26" ht="42" x14ac:dyDescent="0.35">
      <c r="A5" s="122"/>
      <c r="B5" s="139"/>
      <c r="C5" s="1" t="s">
        <v>574</v>
      </c>
      <c r="D5" s="1" t="s">
        <v>510</v>
      </c>
      <c r="E5" s="1" t="s">
        <v>511</v>
      </c>
      <c r="F5" s="125">
        <v>73</v>
      </c>
      <c r="G5" s="1" t="s">
        <v>512</v>
      </c>
      <c r="H5" s="126"/>
      <c r="J5" s="7"/>
      <c r="K5" s="126"/>
      <c r="L5" s="126"/>
      <c r="M5" s="126"/>
      <c r="N5" s="126"/>
      <c r="O5" s="126"/>
      <c r="P5" s="126"/>
      <c r="Q5" s="126"/>
      <c r="R5" s="126"/>
      <c r="S5" s="126"/>
      <c r="T5" s="126"/>
      <c r="U5" s="127">
        <f>'1Y-Budget'!L15</f>
        <v>4843716</v>
      </c>
      <c r="V5" s="126"/>
      <c r="W5" s="126"/>
      <c r="X5" s="126"/>
      <c r="Y5" s="126"/>
      <c r="Z5" s="128"/>
    </row>
    <row r="6" spans="1:26" ht="42" x14ac:dyDescent="0.35">
      <c r="A6" s="122"/>
      <c r="B6" s="139"/>
      <c r="C6" s="1" t="s">
        <v>573</v>
      </c>
      <c r="D6" s="1" t="s">
        <v>36</v>
      </c>
      <c r="E6" s="1" t="s">
        <v>34</v>
      </c>
      <c r="F6" s="125">
        <v>5</v>
      </c>
      <c r="G6" s="1" t="s">
        <v>35</v>
      </c>
      <c r="H6" s="126"/>
      <c r="J6" s="7"/>
      <c r="K6" s="126"/>
      <c r="L6" s="126"/>
      <c r="M6" s="126"/>
      <c r="N6" s="126"/>
      <c r="O6" s="126"/>
      <c r="P6" s="126"/>
      <c r="Q6" s="126"/>
      <c r="R6" s="126"/>
      <c r="S6" s="126"/>
      <c r="T6" s="126"/>
      <c r="U6" s="127">
        <f>'1Y-Budget'!F43</f>
        <v>12900000</v>
      </c>
      <c r="V6" s="126"/>
      <c r="W6" s="126"/>
      <c r="X6" s="126"/>
      <c r="Y6" s="126"/>
      <c r="Z6" s="128"/>
    </row>
    <row r="7" spans="1:26" ht="123" customHeight="1" x14ac:dyDescent="0.35">
      <c r="A7" s="132"/>
      <c r="B7" s="140"/>
      <c r="C7" s="1" t="s">
        <v>559</v>
      </c>
      <c r="D7" s="1" t="s">
        <v>132</v>
      </c>
      <c r="E7" s="1" t="s">
        <v>133</v>
      </c>
      <c r="F7" s="2">
        <v>5</v>
      </c>
      <c r="G7" s="1" t="s">
        <v>134</v>
      </c>
      <c r="J7" s="7"/>
      <c r="K7" s="7"/>
      <c r="L7" s="7"/>
      <c r="M7" s="7"/>
      <c r="O7" s="7"/>
      <c r="P7" s="7"/>
      <c r="Q7" s="7"/>
      <c r="R7" s="7"/>
      <c r="S7" s="7"/>
      <c r="T7" s="7"/>
      <c r="U7" s="4">
        <f>'1Y-Budget'!F13</f>
        <v>20797000</v>
      </c>
      <c r="Z7" s="4"/>
    </row>
    <row r="8" spans="1:26" ht="56" x14ac:dyDescent="0.35">
      <c r="A8" s="132"/>
      <c r="B8" s="142" t="s">
        <v>83</v>
      </c>
      <c r="C8" s="1" t="s">
        <v>560</v>
      </c>
      <c r="D8" s="1" t="s">
        <v>561</v>
      </c>
      <c r="E8" s="5" t="s">
        <v>42</v>
      </c>
      <c r="F8" s="5">
        <v>5</v>
      </c>
      <c r="G8" s="5" t="s">
        <v>43</v>
      </c>
      <c r="H8" s="5"/>
      <c r="J8" s="5"/>
      <c r="K8" s="5"/>
      <c r="L8" s="5"/>
      <c r="M8" s="5"/>
      <c r="N8" s="5"/>
      <c r="O8" s="5"/>
      <c r="P8" s="8"/>
      <c r="Q8" s="8"/>
      <c r="R8" s="8"/>
      <c r="S8" s="5"/>
      <c r="T8" s="5"/>
      <c r="U8" s="18">
        <f>'1Y-Budget'!F70</f>
        <v>1835000</v>
      </c>
      <c r="V8" s="5"/>
      <c r="W8" s="5"/>
      <c r="X8" s="5"/>
      <c r="Y8" s="5"/>
      <c r="Z8" s="5"/>
    </row>
    <row r="9" spans="1:26" ht="42" x14ac:dyDescent="0.35">
      <c r="A9" s="132"/>
      <c r="B9" s="143"/>
      <c r="C9" s="5" t="s">
        <v>562</v>
      </c>
      <c r="D9" s="5" t="s">
        <v>554</v>
      </c>
      <c r="E9" s="5" t="s">
        <v>37</v>
      </c>
      <c r="F9" s="5">
        <v>5</v>
      </c>
      <c r="G9" s="1" t="s">
        <v>45</v>
      </c>
      <c r="H9" s="5"/>
      <c r="I9" s="5"/>
      <c r="J9" s="5"/>
      <c r="K9" s="5"/>
      <c r="L9" s="5"/>
      <c r="M9" s="5"/>
      <c r="N9" s="5"/>
      <c r="O9" s="5"/>
      <c r="P9" s="8"/>
      <c r="Q9" s="8"/>
      <c r="R9" s="8"/>
      <c r="S9" s="5"/>
      <c r="T9" s="5"/>
      <c r="U9" s="18">
        <f>'1Y-Budget'!F84</f>
        <v>4925000</v>
      </c>
      <c r="V9" s="5"/>
      <c r="W9" s="5"/>
      <c r="X9" s="5"/>
      <c r="Y9" s="5"/>
      <c r="Z9" s="5"/>
    </row>
    <row r="10" spans="1:26" ht="28" x14ac:dyDescent="0.35">
      <c r="A10" s="122"/>
      <c r="B10" s="143"/>
      <c r="C10" s="1" t="s">
        <v>70</v>
      </c>
      <c r="D10" s="1" t="s">
        <v>68</v>
      </c>
      <c r="E10" s="1" t="s">
        <v>69</v>
      </c>
      <c r="F10" s="5">
        <v>1</v>
      </c>
      <c r="G10" s="1" t="s">
        <v>518</v>
      </c>
      <c r="H10" s="5"/>
      <c r="I10" s="5"/>
      <c r="J10" s="5"/>
      <c r="K10" s="5"/>
      <c r="L10" s="5"/>
      <c r="M10" s="5"/>
      <c r="N10" s="5"/>
      <c r="O10" s="5"/>
      <c r="P10" s="5"/>
      <c r="Q10" s="5"/>
      <c r="R10" s="5"/>
      <c r="S10" s="5"/>
      <c r="T10" s="5"/>
      <c r="U10" s="11">
        <v>300000</v>
      </c>
      <c r="V10" s="5"/>
      <c r="W10" s="5"/>
      <c r="X10" s="5"/>
      <c r="Y10" s="5"/>
      <c r="Z10" s="5"/>
    </row>
    <row r="11" spans="1:26" ht="56" x14ac:dyDescent="0.35">
      <c r="A11" s="132"/>
      <c r="B11" s="143"/>
      <c r="C11" s="5" t="s">
        <v>563</v>
      </c>
      <c r="D11" s="5" t="s">
        <v>49</v>
      </c>
      <c r="E11" s="1" t="s">
        <v>51</v>
      </c>
      <c r="F11" s="5">
        <v>5</v>
      </c>
      <c r="G11" s="1" t="s">
        <v>50</v>
      </c>
      <c r="H11" s="5"/>
      <c r="I11" s="19"/>
      <c r="J11" s="19"/>
      <c r="K11" s="19"/>
      <c r="L11" s="19"/>
      <c r="M11" s="19"/>
      <c r="N11" s="19"/>
      <c r="O11" s="19"/>
      <c r="P11" s="19"/>
      <c r="Q11" s="19"/>
      <c r="R11" s="19"/>
      <c r="S11" s="19"/>
      <c r="T11" s="19"/>
      <c r="U11" s="18">
        <v>0</v>
      </c>
      <c r="V11" s="5"/>
      <c r="W11" s="5"/>
      <c r="X11" s="5"/>
      <c r="Y11" s="5"/>
      <c r="Z11" s="5"/>
    </row>
    <row r="12" spans="1:26" ht="56" x14ac:dyDescent="0.35">
      <c r="A12" s="132"/>
      <c r="B12" s="144"/>
      <c r="C12" s="5" t="s">
        <v>564</v>
      </c>
      <c r="D12" s="5" t="s">
        <v>126</v>
      </c>
      <c r="E12" s="1" t="s">
        <v>127</v>
      </c>
      <c r="F12" s="5">
        <v>5</v>
      </c>
      <c r="G12" s="1" t="s">
        <v>128</v>
      </c>
      <c r="H12" s="5"/>
      <c r="I12" s="19"/>
      <c r="J12" s="19"/>
      <c r="K12" s="19"/>
      <c r="L12" s="19"/>
      <c r="M12" s="19"/>
      <c r="N12" s="19"/>
      <c r="O12" s="19"/>
      <c r="P12" s="19"/>
      <c r="Q12" s="19"/>
      <c r="R12" s="19"/>
      <c r="S12" s="19"/>
      <c r="T12" s="19"/>
      <c r="U12" s="18">
        <v>0</v>
      </c>
      <c r="V12" s="5"/>
      <c r="W12" s="5"/>
      <c r="X12" s="5"/>
      <c r="Y12" s="5"/>
      <c r="Z12" s="5"/>
    </row>
    <row r="13" spans="1:26" ht="56" x14ac:dyDescent="0.35">
      <c r="A13" s="132"/>
      <c r="B13" s="142" t="s">
        <v>84</v>
      </c>
      <c r="C13" s="1" t="s">
        <v>565</v>
      </c>
      <c r="D13" s="1" t="s">
        <v>566</v>
      </c>
      <c r="E13" s="5" t="s">
        <v>42</v>
      </c>
      <c r="F13" s="5">
        <v>5</v>
      </c>
      <c r="G13" s="5" t="s">
        <v>43</v>
      </c>
      <c r="H13" s="5"/>
      <c r="K13" s="7"/>
      <c r="U13" s="4">
        <f>'1Y-Budget'!F97</f>
        <v>1445000</v>
      </c>
      <c r="Z13" s="6"/>
    </row>
    <row r="14" spans="1:26" ht="42" x14ac:dyDescent="0.35">
      <c r="A14" s="132"/>
      <c r="B14" s="143"/>
      <c r="C14" s="5" t="s">
        <v>567</v>
      </c>
      <c r="D14" s="5" t="s">
        <v>568</v>
      </c>
      <c r="E14" s="5" t="s">
        <v>37</v>
      </c>
      <c r="F14" s="5">
        <v>5</v>
      </c>
      <c r="G14" s="1" t="s">
        <v>45</v>
      </c>
      <c r="H14" s="5"/>
      <c r="K14" s="7"/>
      <c r="L14" s="7"/>
      <c r="M14" s="7"/>
      <c r="U14" s="4">
        <f>'1Y-Budget'!F108</f>
        <v>9000000</v>
      </c>
      <c r="Z14" s="6"/>
    </row>
    <row r="15" spans="1:26" ht="42" x14ac:dyDescent="0.35">
      <c r="A15" s="132"/>
      <c r="B15" s="143"/>
      <c r="C15" s="1" t="s">
        <v>569</v>
      </c>
      <c r="D15" s="1" t="s">
        <v>72</v>
      </c>
      <c r="E15" s="1" t="s">
        <v>73</v>
      </c>
      <c r="F15" s="2">
        <v>5</v>
      </c>
      <c r="G15" s="1" t="s">
        <v>53</v>
      </c>
      <c r="N15" s="7"/>
      <c r="O15" s="7"/>
      <c r="P15" s="7"/>
      <c r="U15" s="4">
        <f>'1Y-Budget'!F122</f>
        <v>4481000</v>
      </c>
      <c r="Z15" s="6"/>
    </row>
    <row r="16" spans="1:26" ht="56" x14ac:dyDescent="0.35">
      <c r="A16" s="132"/>
      <c r="B16" s="143"/>
      <c r="C16" s="1" t="s">
        <v>71</v>
      </c>
      <c r="D16" s="1" t="s">
        <v>54</v>
      </c>
      <c r="E16" s="1" t="s">
        <v>55</v>
      </c>
      <c r="F16" s="2">
        <v>10</v>
      </c>
      <c r="G16" s="1" t="s">
        <v>56</v>
      </c>
      <c r="N16" s="7"/>
      <c r="O16" s="7"/>
      <c r="P16" s="7"/>
      <c r="U16" s="4">
        <f>100000*5</f>
        <v>500000</v>
      </c>
      <c r="Z16" s="6"/>
    </row>
    <row r="17" spans="1:44" ht="56" x14ac:dyDescent="0.35">
      <c r="A17" s="133"/>
      <c r="B17" s="144"/>
      <c r="C17" s="1" t="s">
        <v>129</v>
      </c>
      <c r="D17" s="1" t="s">
        <v>85</v>
      </c>
      <c r="E17" s="1" t="s">
        <v>74</v>
      </c>
      <c r="F17" s="2">
        <v>50</v>
      </c>
      <c r="G17" s="1" t="s">
        <v>79</v>
      </c>
      <c r="N17" s="7"/>
      <c r="O17" s="7"/>
      <c r="P17" s="7"/>
      <c r="U17" s="4">
        <f>'1Y-Budget'!F135</f>
        <v>5425000</v>
      </c>
      <c r="Z17" s="6"/>
    </row>
    <row r="18" spans="1:44" ht="56" x14ac:dyDescent="0.35">
      <c r="A18" s="107"/>
      <c r="B18" s="108"/>
      <c r="C18" s="5" t="s">
        <v>534</v>
      </c>
      <c r="D18" s="5" t="s">
        <v>144</v>
      </c>
      <c r="E18" s="1" t="s">
        <v>127</v>
      </c>
      <c r="G18" s="1" t="s">
        <v>128</v>
      </c>
      <c r="J18" s="134"/>
      <c r="K18" s="134"/>
      <c r="L18" s="134"/>
      <c r="M18" s="134"/>
      <c r="N18" s="134"/>
      <c r="O18" s="134"/>
      <c r="P18" s="134"/>
      <c r="Q18" s="134"/>
      <c r="R18" s="134"/>
      <c r="S18" s="134"/>
      <c r="T18" s="134"/>
      <c r="U18" s="6">
        <v>0</v>
      </c>
      <c r="Z18" s="6"/>
    </row>
    <row r="19" spans="1:44" ht="28" x14ac:dyDescent="0.35">
      <c r="A19" s="107"/>
      <c r="B19" s="108"/>
      <c r="C19" s="1" t="s">
        <v>538</v>
      </c>
      <c r="D19" s="1" t="s">
        <v>510</v>
      </c>
      <c r="E19" s="1" t="s">
        <v>517</v>
      </c>
      <c r="F19" s="2">
        <v>30</v>
      </c>
      <c r="G19" s="1" t="s">
        <v>519</v>
      </c>
      <c r="J19" s="134"/>
      <c r="K19" s="134"/>
      <c r="L19" s="134"/>
      <c r="M19" s="134"/>
      <c r="N19" s="134"/>
      <c r="O19" s="134"/>
      <c r="P19" s="134"/>
      <c r="Q19" s="134"/>
      <c r="R19" s="134"/>
      <c r="S19" s="134"/>
      <c r="T19" s="134"/>
      <c r="U19" s="6">
        <v>0</v>
      </c>
      <c r="Z19" s="6"/>
    </row>
    <row r="20" spans="1:44" s="83" customFormat="1" x14ac:dyDescent="0.35">
      <c r="A20" s="132"/>
      <c r="B20" s="166" t="s">
        <v>528</v>
      </c>
      <c r="C20" s="167"/>
      <c r="D20" s="167"/>
      <c r="E20" s="167"/>
      <c r="F20" s="167"/>
      <c r="G20" s="167"/>
      <c r="H20" s="167"/>
      <c r="I20" s="167"/>
      <c r="J20" s="167"/>
      <c r="K20" s="167"/>
      <c r="L20" s="167"/>
      <c r="M20" s="167"/>
      <c r="N20" s="167"/>
      <c r="O20" s="167"/>
      <c r="P20" s="167"/>
      <c r="Q20" s="167"/>
      <c r="R20" s="167"/>
      <c r="S20" s="167"/>
      <c r="T20" s="168"/>
      <c r="U20" s="97">
        <f>SUM(U4:U19)</f>
        <v>66701716</v>
      </c>
      <c r="V20" s="5"/>
      <c r="W20" s="5"/>
      <c r="X20" s="5"/>
      <c r="Y20" s="5"/>
      <c r="Z20" s="5"/>
      <c r="AA20"/>
      <c r="AB20"/>
      <c r="AC20"/>
      <c r="AD20"/>
      <c r="AE20"/>
      <c r="AF20"/>
      <c r="AG20"/>
      <c r="AH20"/>
      <c r="AI20"/>
      <c r="AJ20"/>
      <c r="AK20"/>
      <c r="AL20"/>
      <c r="AM20"/>
      <c r="AN20"/>
      <c r="AO20"/>
      <c r="AP20"/>
      <c r="AQ20"/>
      <c r="AR20"/>
    </row>
    <row r="21" spans="1:44" s="83" customFormat="1" ht="28" x14ac:dyDescent="0.35">
      <c r="A21" s="149" t="s">
        <v>29</v>
      </c>
      <c r="B21" s="136" t="s">
        <v>575</v>
      </c>
      <c r="C21" s="95"/>
      <c r="D21" s="95"/>
      <c r="E21" s="95"/>
      <c r="F21" s="95"/>
      <c r="G21" s="95"/>
      <c r="H21" s="95"/>
      <c r="I21" s="95"/>
      <c r="J21" s="95"/>
      <c r="K21" s="95"/>
      <c r="L21" s="95"/>
      <c r="M21" s="95"/>
      <c r="N21" s="95"/>
      <c r="O21" s="95"/>
      <c r="P21" s="95"/>
      <c r="Q21" s="95"/>
      <c r="R21" s="95"/>
      <c r="S21" s="95"/>
      <c r="T21" s="96"/>
      <c r="U21" s="97">
        <v>10620000</v>
      </c>
      <c r="V21" s="5"/>
      <c r="W21" s="5"/>
      <c r="X21" s="5"/>
      <c r="Y21" s="5"/>
      <c r="Z21" s="5"/>
      <c r="AA21"/>
      <c r="AB21"/>
      <c r="AC21"/>
      <c r="AD21"/>
      <c r="AE21"/>
      <c r="AF21"/>
      <c r="AG21"/>
      <c r="AH21"/>
      <c r="AI21"/>
      <c r="AJ21"/>
      <c r="AK21"/>
      <c r="AL21"/>
      <c r="AM21"/>
      <c r="AN21"/>
      <c r="AO21"/>
      <c r="AP21"/>
      <c r="AQ21"/>
      <c r="AR21"/>
    </row>
    <row r="22" spans="1:44" ht="84" x14ac:dyDescent="0.35">
      <c r="A22" s="149"/>
      <c r="B22" s="145" t="s">
        <v>145</v>
      </c>
      <c r="C22" s="1" t="s">
        <v>570</v>
      </c>
      <c r="D22" s="1" t="s">
        <v>62</v>
      </c>
      <c r="E22" s="1" t="s">
        <v>30</v>
      </c>
      <c r="F22" s="2">
        <v>5</v>
      </c>
      <c r="G22" s="1" t="s">
        <v>75</v>
      </c>
      <c r="Q22" s="7"/>
      <c r="R22" s="7"/>
      <c r="S22" s="7"/>
      <c r="U22" s="4">
        <f>'1Y-Budget'!F150</f>
        <v>12150000</v>
      </c>
      <c r="Z22" s="4"/>
    </row>
    <row r="23" spans="1:44" ht="70" x14ac:dyDescent="0.35">
      <c r="A23" s="149"/>
      <c r="B23" s="146"/>
      <c r="C23" s="1" t="s">
        <v>571</v>
      </c>
      <c r="D23" s="1" t="s">
        <v>520</v>
      </c>
      <c r="E23" s="1" t="s">
        <v>30</v>
      </c>
      <c r="F23" s="2">
        <v>5</v>
      </c>
      <c r="G23" s="1" t="s">
        <v>521</v>
      </c>
      <c r="U23" s="6">
        <f>'1Y-Budget'!F210</f>
        <v>6905000</v>
      </c>
      <c r="Z23" s="6"/>
    </row>
    <row r="24" spans="1:44" ht="76" customHeight="1" x14ac:dyDescent="0.35">
      <c r="A24" s="149"/>
      <c r="B24" s="146" t="s">
        <v>76</v>
      </c>
      <c r="C24" s="1" t="s">
        <v>555</v>
      </c>
      <c r="D24" s="1" t="s">
        <v>556</v>
      </c>
      <c r="E24" s="1" t="s">
        <v>557</v>
      </c>
      <c r="F24" s="2">
        <v>1</v>
      </c>
      <c r="G24" s="5" t="s">
        <v>535</v>
      </c>
      <c r="U24" s="6">
        <f>'1Y-Budget'!F223</f>
        <v>3035000</v>
      </c>
      <c r="Z24" s="6"/>
    </row>
    <row r="25" spans="1:44" ht="56" customHeight="1" x14ac:dyDescent="0.35">
      <c r="A25" s="149"/>
      <c r="B25" s="146"/>
      <c r="C25" s="1" t="s">
        <v>572</v>
      </c>
      <c r="D25" s="1" t="s">
        <v>65</v>
      </c>
      <c r="E25" s="1" t="s">
        <v>64</v>
      </c>
      <c r="F25" s="1">
        <v>5</v>
      </c>
      <c r="G25" s="1" t="s">
        <v>66</v>
      </c>
      <c r="I25" s="7"/>
      <c r="J25" s="7"/>
      <c r="K25" s="7"/>
      <c r="U25" s="4">
        <f>'1Y-Budget'!F165</f>
        <v>7937000</v>
      </c>
    </row>
    <row r="26" spans="1:44" ht="62" customHeight="1" x14ac:dyDescent="0.35">
      <c r="A26" s="149"/>
      <c r="B26" s="146"/>
      <c r="C26" s="1" t="s">
        <v>553</v>
      </c>
      <c r="D26" s="1" t="s">
        <v>67</v>
      </c>
      <c r="E26" s="1" t="s">
        <v>52</v>
      </c>
      <c r="F26" s="2">
        <v>5</v>
      </c>
      <c r="G26" s="1" t="s">
        <v>77</v>
      </c>
      <c r="I26" s="7"/>
      <c r="J26" s="7"/>
      <c r="K26" s="7"/>
      <c r="L26" s="7"/>
      <c r="M26"/>
      <c r="N26"/>
      <c r="O26"/>
      <c r="P26"/>
      <c r="Q26"/>
      <c r="R26"/>
      <c r="S26"/>
      <c r="T26"/>
      <c r="U26" s="9">
        <f>'1Y-Budget'!F179</f>
        <v>6260000</v>
      </c>
      <c r="V26"/>
      <c r="W26"/>
      <c r="X26"/>
      <c r="Y26"/>
      <c r="Z26"/>
    </row>
    <row r="27" spans="1:44" s="17" customFormat="1" ht="56" x14ac:dyDescent="0.35">
      <c r="A27" s="150"/>
      <c r="B27" s="147"/>
      <c r="C27" s="1" t="s">
        <v>537</v>
      </c>
      <c r="D27" s="1" t="s">
        <v>522</v>
      </c>
      <c r="E27" s="1" t="s">
        <v>523</v>
      </c>
      <c r="F27" s="1">
        <v>4</v>
      </c>
      <c r="G27" s="1" t="s">
        <v>524</v>
      </c>
      <c r="H27" s="8"/>
      <c r="I27" s="8"/>
      <c r="J27" s="8"/>
      <c r="K27" s="12"/>
      <c r="L27" s="2"/>
      <c r="M27" s="2"/>
      <c r="N27" s="2"/>
      <c r="O27" s="2"/>
      <c r="P27" s="2"/>
      <c r="Q27" s="2"/>
      <c r="R27" s="2"/>
      <c r="S27" s="2"/>
      <c r="T27" s="2"/>
      <c r="U27" s="12">
        <f>'1Y-Budget'!F195</f>
        <v>2130000</v>
      </c>
      <c r="V27" s="2"/>
      <c r="W27" s="2"/>
      <c r="X27" s="2"/>
      <c r="Y27" s="2"/>
      <c r="Z27" s="2"/>
      <c r="AA27" s="2"/>
      <c r="AB27" s="2"/>
      <c r="AC27" s="2"/>
      <c r="AD27" s="2"/>
      <c r="AE27" s="2"/>
      <c r="AF27" s="2"/>
      <c r="AG27" s="2"/>
      <c r="AH27" s="2"/>
      <c r="AI27" s="2"/>
      <c r="AJ27" s="2"/>
      <c r="AK27" s="2"/>
      <c r="AL27" s="2"/>
      <c r="AM27" s="2"/>
      <c r="AN27" s="2"/>
      <c r="AO27" s="2"/>
      <c r="AP27" s="2"/>
      <c r="AQ27" s="2"/>
      <c r="AR27" s="2"/>
    </row>
    <row r="28" spans="1:44" s="98" customFormat="1" ht="15.5" customHeight="1" x14ac:dyDescent="0.35">
      <c r="A28" s="154" t="s">
        <v>528</v>
      </c>
      <c r="B28" s="155"/>
      <c r="C28" s="155"/>
      <c r="D28" s="155"/>
      <c r="E28" s="155"/>
      <c r="F28" s="155"/>
      <c r="G28" s="155"/>
      <c r="H28" s="155"/>
      <c r="I28" s="155"/>
      <c r="J28" s="155"/>
      <c r="K28" s="155"/>
      <c r="L28" s="155"/>
      <c r="M28" s="155"/>
      <c r="N28" s="155"/>
      <c r="O28" s="155"/>
      <c r="P28" s="155"/>
      <c r="Q28" s="155"/>
      <c r="R28" s="155"/>
      <c r="S28" s="155"/>
      <c r="T28" s="156"/>
      <c r="U28" s="94">
        <f>SUM(U21:U27)</f>
        <v>49037000</v>
      </c>
      <c r="V28" s="2"/>
      <c r="W28" s="2"/>
      <c r="X28" s="2"/>
      <c r="Y28" s="2"/>
      <c r="Z28" s="2"/>
      <c r="AA28" s="99"/>
      <c r="AB28" s="99"/>
      <c r="AC28" s="99"/>
      <c r="AD28" s="99"/>
      <c r="AE28" s="99"/>
      <c r="AF28" s="99"/>
      <c r="AG28" s="99"/>
      <c r="AH28" s="99"/>
      <c r="AI28" s="99"/>
      <c r="AJ28" s="99"/>
      <c r="AK28" s="99"/>
      <c r="AL28" s="99"/>
      <c r="AM28" s="99"/>
      <c r="AN28" s="99"/>
      <c r="AO28" s="99"/>
      <c r="AP28" s="99"/>
      <c r="AQ28" s="99"/>
      <c r="AR28" s="99"/>
    </row>
    <row r="29" spans="1:44" x14ac:dyDescent="0.35">
      <c r="A29" s="157" t="s">
        <v>530</v>
      </c>
      <c r="B29" s="158"/>
      <c r="C29" s="158"/>
      <c r="D29" s="158"/>
      <c r="E29" s="158"/>
      <c r="F29" s="158"/>
      <c r="G29" s="158"/>
      <c r="H29" s="158"/>
      <c r="I29" s="158"/>
      <c r="J29" s="158"/>
      <c r="K29" s="158"/>
      <c r="L29" s="158"/>
      <c r="M29" s="158"/>
      <c r="N29" s="158"/>
      <c r="O29" s="158"/>
      <c r="P29" s="158"/>
      <c r="Q29" s="158"/>
      <c r="R29" s="158"/>
      <c r="S29" s="158"/>
      <c r="T29" s="159"/>
      <c r="U29" s="93">
        <f>U28+U20</f>
        <v>115738716</v>
      </c>
      <c r="Z29" s="6"/>
    </row>
    <row r="30" spans="1:44" x14ac:dyDescent="0.35">
      <c r="A30" s="160"/>
      <c r="B30" s="163"/>
      <c r="C30" s="1"/>
      <c r="D30" s="1"/>
      <c r="E30" s="1"/>
      <c r="Z30" s="6"/>
    </row>
    <row r="31" spans="1:44" x14ac:dyDescent="0.35">
      <c r="A31" s="161"/>
      <c r="B31" s="164"/>
      <c r="C31" s="1"/>
      <c r="D31" s="1"/>
      <c r="E31" s="1"/>
      <c r="Z31" s="6"/>
    </row>
    <row r="32" spans="1:44" x14ac:dyDescent="0.35">
      <c r="A32" s="161"/>
      <c r="B32" s="164"/>
      <c r="C32" s="1"/>
      <c r="D32" s="1"/>
      <c r="E32" s="1"/>
      <c r="F32" s="1"/>
      <c r="Z32" s="6"/>
    </row>
    <row r="33" spans="1:26" x14ac:dyDescent="0.35">
      <c r="A33" s="161"/>
      <c r="B33" s="164"/>
      <c r="C33" s="1"/>
      <c r="D33" s="1"/>
      <c r="E33" s="1"/>
      <c r="F33" s="1"/>
    </row>
    <row r="34" spans="1:26" x14ac:dyDescent="0.35">
      <c r="A34" s="161"/>
      <c r="B34" s="164"/>
      <c r="C34" s="1"/>
      <c r="D34" s="1"/>
      <c r="E34" s="1"/>
      <c r="F34" s="1"/>
    </row>
    <row r="35" spans="1:26" x14ac:dyDescent="0.35">
      <c r="A35" s="161"/>
      <c r="B35" s="164"/>
      <c r="C35" s="163"/>
      <c r="D35" s="1"/>
      <c r="E35" s="1"/>
      <c r="F35" s="1"/>
    </row>
    <row r="36" spans="1:26" x14ac:dyDescent="0.35">
      <c r="A36" s="161"/>
      <c r="B36" s="165"/>
      <c r="C36" s="165"/>
      <c r="D36" s="1"/>
      <c r="E36" s="1"/>
      <c r="F36" s="1"/>
    </row>
    <row r="37" spans="1:26" x14ac:dyDescent="0.35">
      <c r="A37" s="161"/>
      <c r="B37" s="163"/>
      <c r="C37" s="1"/>
      <c r="D37" s="1"/>
      <c r="E37" s="1"/>
      <c r="F37" s="1"/>
      <c r="Z37" s="6"/>
    </row>
    <row r="38" spans="1:26" x14ac:dyDescent="0.35">
      <c r="A38" s="161"/>
      <c r="B38" s="164"/>
      <c r="C38" s="1"/>
      <c r="D38" s="1"/>
      <c r="E38" s="1"/>
      <c r="F38" s="1"/>
    </row>
    <row r="39" spans="1:26" x14ac:dyDescent="0.35">
      <c r="A39" s="161"/>
      <c r="B39" s="164"/>
      <c r="C39" s="1"/>
      <c r="D39" s="1"/>
      <c r="E39" s="1"/>
      <c r="F39" s="1"/>
    </row>
    <row r="40" spans="1:26" x14ac:dyDescent="0.35">
      <c r="A40" s="161"/>
      <c r="B40" s="164"/>
      <c r="C40" s="1"/>
      <c r="D40" s="1"/>
      <c r="E40" s="1"/>
      <c r="F40" s="1"/>
    </row>
    <row r="41" spans="1:26" x14ac:dyDescent="0.35">
      <c r="A41" s="162"/>
      <c r="B41" s="165"/>
      <c r="D41" s="1"/>
      <c r="E41" s="1"/>
    </row>
  </sheetData>
  <mergeCells count="25">
    <mergeCell ref="Z2:Z3"/>
    <mergeCell ref="A2:A3"/>
    <mergeCell ref="B2:B3"/>
    <mergeCell ref="C2:C3"/>
    <mergeCell ref="D2:D3"/>
    <mergeCell ref="E2:E3"/>
    <mergeCell ref="F2:F3"/>
    <mergeCell ref="G2:G3"/>
    <mergeCell ref="I2:T2"/>
    <mergeCell ref="U2:U3"/>
    <mergeCell ref="V2:W2"/>
    <mergeCell ref="X2:Y2"/>
    <mergeCell ref="B8:B12"/>
    <mergeCell ref="B20:T20"/>
    <mergeCell ref="B13:B17"/>
    <mergeCell ref="B4:B7"/>
    <mergeCell ref="B24:B27"/>
    <mergeCell ref="B22:B23"/>
    <mergeCell ref="A21:A27"/>
    <mergeCell ref="A28:T28"/>
    <mergeCell ref="A29:T29"/>
    <mergeCell ref="A30:A41"/>
    <mergeCell ref="B30:B36"/>
    <mergeCell ref="C35:C36"/>
    <mergeCell ref="B37:B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99267-C0A0-4003-8C57-9572485576CA}">
  <dimension ref="A2:AR40"/>
  <sheetViews>
    <sheetView tabSelected="1" topLeftCell="A2" zoomScale="74" workbookViewId="0">
      <pane xSplit="3" topLeftCell="D1" activePane="topRight" state="frozen"/>
      <selection pane="topRight" activeCell="C7" sqref="C7"/>
    </sheetView>
  </sheetViews>
  <sheetFormatPr defaultRowHeight="15.5" x14ac:dyDescent="0.35"/>
  <cols>
    <col min="1" max="1" width="22.33203125" style="2" customWidth="1"/>
    <col min="2" max="2" width="19.9140625" style="2" customWidth="1"/>
    <col min="3" max="3" width="64.08203125" style="2" customWidth="1"/>
    <col min="4" max="4" width="38.4140625" style="2" bestFit="1" customWidth="1"/>
    <col min="5" max="5" width="17.1640625" style="2" bestFit="1" customWidth="1"/>
    <col min="6" max="6" width="8.6640625" style="2"/>
    <col min="7" max="7" width="30.75" style="1" bestFit="1" customWidth="1"/>
    <col min="8" max="20" width="8.6640625" style="2"/>
    <col min="21" max="21" width="17.08203125" style="4" bestFit="1" customWidth="1"/>
    <col min="22" max="22" width="11.83203125" style="2" bestFit="1" customWidth="1"/>
    <col min="23" max="24" width="12.4140625" style="2" bestFit="1" customWidth="1"/>
    <col min="25" max="25" width="11.5" style="2" bestFit="1" customWidth="1"/>
    <col min="26" max="26" width="12.58203125" style="2" bestFit="1" customWidth="1"/>
  </cols>
  <sheetData>
    <row r="2" spans="1:26" x14ac:dyDescent="0.35">
      <c r="A2" s="169" t="s">
        <v>0</v>
      </c>
      <c r="B2" s="169" t="s">
        <v>1</v>
      </c>
      <c r="C2" s="169" t="s">
        <v>2</v>
      </c>
      <c r="D2" s="169" t="s">
        <v>3</v>
      </c>
      <c r="E2" s="169" t="s">
        <v>4</v>
      </c>
      <c r="F2" s="169" t="s">
        <v>27</v>
      </c>
      <c r="G2" s="169" t="s">
        <v>5</v>
      </c>
      <c r="H2"/>
      <c r="I2" s="171" t="s">
        <v>26</v>
      </c>
      <c r="J2" s="172"/>
      <c r="K2" s="172"/>
      <c r="L2" s="172"/>
      <c r="M2" s="172"/>
      <c r="N2" s="172"/>
      <c r="O2" s="172"/>
      <c r="P2" s="172"/>
      <c r="Q2" s="172"/>
      <c r="R2" s="172"/>
      <c r="S2" s="172"/>
      <c r="T2" s="173"/>
      <c r="U2" s="174" t="s">
        <v>6</v>
      </c>
      <c r="V2" s="176" t="s">
        <v>24</v>
      </c>
      <c r="W2" s="177"/>
      <c r="X2" s="176" t="s">
        <v>7</v>
      </c>
      <c r="Y2" s="177"/>
      <c r="Z2" s="178" t="s">
        <v>8</v>
      </c>
    </row>
    <row r="3" spans="1:26" ht="28" x14ac:dyDescent="0.35">
      <c r="A3" s="170"/>
      <c r="B3" s="170"/>
      <c r="C3" s="170"/>
      <c r="D3" s="170"/>
      <c r="E3" s="170"/>
      <c r="F3" s="170"/>
      <c r="G3" s="170"/>
      <c r="H3" s="3" t="s">
        <v>23</v>
      </c>
      <c r="I3" s="3" t="s">
        <v>9</v>
      </c>
      <c r="J3" s="3" t="s">
        <v>10</v>
      </c>
      <c r="K3" s="3" t="s">
        <v>11</v>
      </c>
      <c r="L3" s="3" t="s">
        <v>12</v>
      </c>
      <c r="M3" s="3" t="s">
        <v>13</v>
      </c>
      <c r="N3" s="3" t="s">
        <v>14</v>
      </c>
      <c r="O3" s="3" t="s">
        <v>15</v>
      </c>
      <c r="P3" s="3" t="s">
        <v>16</v>
      </c>
      <c r="Q3" s="3" t="s">
        <v>17</v>
      </c>
      <c r="R3" s="3" t="s">
        <v>18</v>
      </c>
      <c r="S3" s="3" t="s">
        <v>19</v>
      </c>
      <c r="T3" s="3" t="s">
        <v>20</v>
      </c>
      <c r="U3" s="175"/>
      <c r="V3" s="3" t="s">
        <v>23</v>
      </c>
      <c r="W3" s="3" t="s">
        <v>21</v>
      </c>
      <c r="X3" s="3" t="s">
        <v>22</v>
      </c>
      <c r="Y3" s="3" t="s">
        <v>21</v>
      </c>
      <c r="Z3" s="179"/>
    </row>
    <row r="4" spans="1:26" ht="56" customHeight="1" x14ac:dyDescent="0.35">
      <c r="A4" s="124" t="s">
        <v>28</v>
      </c>
      <c r="B4" s="141" t="s">
        <v>558</v>
      </c>
      <c r="C4" s="1" t="s">
        <v>46</v>
      </c>
      <c r="D4" s="1" t="s">
        <v>47</v>
      </c>
      <c r="E4" s="1" t="s">
        <v>40</v>
      </c>
      <c r="F4" s="125">
        <v>5</v>
      </c>
      <c r="G4" s="125" t="s">
        <v>41</v>
      </c>
      <c r="H4" s="126"/>
      <c r="I4" s="7"/>
      <c r="J4" s="126"/>
      <c r="K4" s="126"/>
      <c r="L4" s="126"/>
      <c r="M4" s="126"/>
      <c r="N4" s="126"/>
      <c r="O4" s="126"/>
      <c r="P4" s="126"/>
      <c r="Q4" s="126"/>
      <c r="R4" s="126"/>
      <c r="S4" s="126"/>
      <c r="T4" s="126"/>
      <c r="U4" s="127">
        <v>250000</v>
      </c>
      <c r="V4" s="137">
        <f>U4</f>
        <v>250000</v>
      </c>
      <c r="W4" s="137">
        <f>V4</f>
        <v>250000</v>
      </c>
      <c r="X4" s="126"/>
      <c r="Y4" s="126"/>
      <c r="Z4" s="128"/>
    </row>
    <row r="5" spans="1:26" ht="42" x14ac:dyDescent="0.35">
      <c r="A5" s="122"/>
      <c r="B5" s="139"/>
      <c r="C5" s="1" t="s">
        <v>574</v>
      </c>
      <c r="D5" s="1" t="s">
        <v>510</v>
      </c>
      <c r="E5" s="1" t="s">
        <v>511</v>
      </c>
      <c r="F5" s="125">
        <v>73</v>
      </c>
      <c r="G5" s="1" t="s">
        <v>512</v>
      </c>
      <c r="H5" s="126"/>
      <c r="J5" s="7"/>
      <c r="K5" s="126"/>
      <c r="L5" s="126"/>
      <c r="M5" s="126"/>
      <c r="N5" s="126"/>
      <c r="O5" s="126"/>
      <c r="P5" s="126"/>
      <c r="Q5" s="126"/>
      <c r="R5" s="126"/>
      <c r="S5" s="126"/>
      <c r="T5" s="126"/>
      <c r="U5" s="127">
        <f>'1Y-Budget'!L15</f>
        <v>4843716</v>
      </c>
      <c r="V5" s="137">
        <f>U5</f>
        <v>4843716</v>
      </c>
      <c r="W5" s="137">
        <f>V5</f>
        <v>4843716</v>
      </c>
      <c r="X5" s="126"/>
      <c r="Y5" s="126"/>
      <c r="Z5" s="128"/>
    </row>
    <row r="6" spans="1:26" ht="42" x14ac:dyDescent="0.35">
      <c r="A6" s="122"/>
      <c r="B6" s="139"/>
      <c r="C6" s="1" t="s">
        <v>577</v>
      </c>
      <c r="D6" s="1" t="s">
        <v>36</v>
      </c>
      <c r="E6" s="1" t="s">
        <v>34</v>
      </c>
      <c r="F6" s="125">
        <v>5</v>
      </c>
      <c r="G6" s="1" t="s">
        <v>35</v>
      </c>
      <c r="H6" s="126"/>
      <c r="J6" s="7"/>
      <c r="K6" s="7"/>
      <c r="L6" s="7"/>
      <c r="M6" s="7"/>
      <c r="N6" s="7"/>
      <c r="O6" s="7"/>
      <c r="P6" s="7"/>
      <c r="Q6" s="7"/>
      <c r="R6" s="7"/>
      <c r="S6" s="7"/>
      <c r="T6" s="7"/>
      <c r="U6" s="127">
        <f>'1Y-Budget'!F43</f>
        <v>12900000</v>
      </c>
      <c r="V6" s="137">
        <f>U6/5</f>
        <v>2580000</v>
      </c>
      <c r="W6" s="137">
        <f>V6*2</f>
        <v>5160000</v>
      </c>
      <c r="X6" s="126"/>
      <c r="Y6" s="126"/>
      <c r="Z6" s="128"/>
    </row>
    <row r="7" spans="1:26" ht="123" customHeight="1" x14ac:dyDescent="0.35">
      <c r="A7" s="132"/>
      <c r="B7" s="140"/>
      <c r="C7" s="1" t="s">
        <v>559</v>
      </c>
      <c r="D7" s="1" t="s">
        <v>132</v>
      </c>
      <c r="E7" s="1" t="s">
        <v>133</v>
      </c>
      <c r="F7" s="2">
        <v>5</v>
      </c>
      <c r="G7" s="1" t="s">
        <v>134</v>
      </c>
      <c r="J7" s="7"/>
      <c r="K7" s="7"/>
      <c r="L7" s="7"/>
      <c r="M7" s="7"/>
      <c r="N7" s="7"/>
      <c r="O7" s="7"/>
      <c r="P7" s="7"/>
      <c r="Q7" s="7"/>
      <c r="R7" s="7"/>
      <c r="S7" s="7"/>
      <c r="T7" s="7"/>
      <c r="U7" s="4">
        <f>'1Y-Budget'!F13</f>
        <v>20797000</v>
      </c>
      <c r="V7" s="137">
        <f>U7/5</f>
        <v>4159400</v>
      </c>
      <c r="W7" s="137">
        <f>V7*2</f>
        <v>8318800</v>
      </c>
      <c r="Z7" s="4"/>
    </row>
    <row r="8" spans="1:26" ht="56" x14ac:dyDescent="0.35">
      <c r="A8" s="132"/>
      <c r="B8" s="142" t="s">
        <v>83</v>
      </c>
      <c r="C8" s="1" t="s">
        <v>560</v>
      </c>
      <c r="D8" s="1" t="s">
        <v>561</v>
      </c>
      <c r="E8" s="5" t="s">
        <v>42</v>
      </c>
      <c r="F8" s="5">
        <v>5</v>
      </c>
      <c r="G8" s="5" t="s">
        <v>43</v>
      </c>
      <c r="H8" s="5"/>
      <c r="J8" s="7"/>
      <c r="K8" s="7"/>
      <c r="L8" s="7"/>
      <c r="M8" s="7"/>
      <c r="N8" s="7"/>
      <c r="O8" s="7"/>
      <c r="P8" s="8"/>
      <c r="Q8" s="8"/>
      <c r="R8" s="8"/>
      <c r="S8" s="8"/>
      <c r="T8" s="8"/>
      <c r="U8" s="18">
        <f>'1Y-Budget'!F70</f>
        <v>1835000</v>
      </c>
      <c r="V8" s="137">
        <f t="shared" ref="V8:V18" si="0">U8/5</f>
        <v>367000</v>
      </c>
      <c r="W8" s="137">
        <f t="shared" ref="W8:W18" si="1">V8*2</f>
        <v>734000</v>
      </c>
      <c r="X8" s="5"/>
      <c r="Y8" s="5"/>
      <c r="Z8" s="5"/>
    </row>
    <row r="9" spans="1:26" ht="42" x14ac:dyDescent="0.35">
      <c r="A9" s="132"/>
      <c r="B9" s="143"/>
      <c r="C9" s="5" t="s">
        <v>562</v>
      </c>
      <c r="D9" s="5" t="s">
        <v>554</v>
      </c>
      <c r="E9" s="5" t="s">
        <v>37</v>
      </c>
      <c r="F9" s="5">
        <v>5</v>
      </c>
      <c r="G9" s="1" t="s">
        <v>45</v>
      </c>
      <c r="H9" s="5"/>
      <c r="I9" s="5"/>
      <c r="J9" s="7"/>
      <c r="K9" s="7"/>
      <c r="L9" s="7"/>
      <c r="M9" s="7"/>
      <c r="N9" s="7"/>
      <c r="O9" s="7"/>
      <c r="P9" s="8"/>
      <c r="Q9" s="8"/>
      <c r="R9" s="8"/>
      <c r="S9" s="8"/>
      <c r="T9" s="8"/>
      <c r="U9" s="18">
        <f>'1Y-Budget'!F84</f>
        <v>4925000</v>
      </c>
      <c r="V9" s="137">
        <f t="shared" si="0"/>
        <v>985000</v>
      </c>
      <c r="W9" s="137">
        <f t="shared" si="1"/>
        <v>1970000</v>
      </c>
      <c r="X9" s="5"/>
      <c r="Y9" s="5"/>
      <c r="Z9" s="5"/>
    </row>
    <row r="10" spans="1:26" ht="28" x14ac:dyDescent="0.35">
      <c r="A10" s="122"/>
      <c r="B10" s="143"/>
      <c r="C10" s="1" t="s">
        <v>578</v>
      </c>
      <c r="D10" s="1" t="s">
        <v>68</v>
      </c>
      <c r="E10" s="1" t="s">
        <v>69</v>
      </c>
      <c r="F10" s="5">
        <v>1</v>
      </c>
      <c r="G10" s="1" t="s">
        <v>518</v>
      </c>
      <c r="H10" s="5"/>
      <c r="I10" s="5"/>
      <c r="J10" s="5"/>
      <c r="K10" s="5"/>
      <c r="L10" s="5"/>
      <c r="M10" s="5"/>
      <c r="N10" s="5"/>
      <c r="O10" s="5"/>
      <c r="P10" s="5"/>
      <c r="Q10" s="5"/>
      <c r="R10" s="8"/>
      <c r="S10" s="8"/>
      <c r="T10" s="8"/>
      <c r="U10" s="11">
        <v>300000</v>
      </c>
      <c r="V10" s="137">
        <v>0</v>
      </c>
      <c r="W10" s="137">
        <f t="shared" si="1"/>
        <v>0</v>
      </c>
      <c r="X10" s="5"/>
      <c r="Y10" s="5"/>
      <c r="Z10" s="5"/>
    </row>
    <row r="11" spans="1:26" ht="56" x14ac:dyDescent="0.35">
      <c r="A11" s="132"/>
      <c r="B11" s="143"/>
      <c r="C11" s="5" t="s">
        <v>563</v>
      </c>
      <c r="D11" s="5" t="s">
        <v>49</v>
      </c>
      <c r="E11" s="1" t="s">
        <v>51</v>
      </c>
      <c r="F11" s="5">
        <v>5</v>
      </c>
      <c r="G11" s="1" t="s">
        <v>50</v>
      </c>
      <c r="H11" s="5"/>
      <c r="I11" s="19"/>
      <c r="J11" s="19"/>
      <c r="K11" s="19"/>
      <c r="L11" s="19"/>
      <c r="M11" s="19"/>
      <c r="N11" s="19"/>
      <c r="O11" s="19"/>
      <c r="P11" s="19"/>
      <c r="Q11" s="19"/>
      <c r="R11" s="19"/>
      <c r="S11" s="19"/>
      <c r="T11" s="19"/>
      <c r="U11" s="18">
        <v>0</v>
      </c>
      <c r="V11" s="137">
        <f t="shared" si="0"/>
        <v>0</v>
      </c>
      <c r="W11" s="137">
        <f t="shared" si="1"/>
        <v>0</v>
      </c>
      <c r="X11" s="5"/>
      <c r="Y11" s="5"/>
      <c r="Z11" s="5"/>
    </row>
    <row r="12" spans="1:26" ht="56" x14ac:dyDescent="0.35">
      <c r="A12" s="132"/>
      <c r="B12" s="144"/>
      <c r="C12" s="5" t="s">
        <v>564</v>
      </c>
      <c r="D12" s="5" t="s">
        <v>126</v>
      </c>
      <c r="E12" s="1" t="s">
        <v>127</v>
      </c>
      <c r="F12" s="5">
        <v>5</v>
      </c>
      <c r="G12" s="1" t="s">
        <v>128</v>
      </c>
      <c r="H12" s="5"/>
      <c r="I12" s="19"/>
      <c r="J12" s="19"/>
      <c r="K12" s="19"/>
      <c r="L12" s="19"/>
      <c r="M12" s="19"/>
      <c r="N12" s="19"/>
      <c r="O12" s="19"/>
      <c r="P12" s="19"/>
      <c r="Q12" s="19"/>
      <c r="R12" s="19"/>
      <c r="S12" s="19"/>
      <c r="T12" s="19"/>
      <c r="U12" s="18">
        <v>0</v>
      </c>
      <c r="V12" s="137">
        <f t="shared" si="0"/>
        <v>0</v>
      </c>
      <c r="W12" s="137">
        <f t="shared" si="1"/>
        <v>0</v>
      </c>
      <c r="X12" s="5"/>
      <c r="Y12" s="5"/>
      <c r="Z12" s="5"/>
    </row>
    <row r="13" spans="1:26" ht="56" x14ac:dyDescent="0.35">
      <c r="A13" s="132"/>
      <c r="B13" s="142" t="s">
        <v>84</v>
      </c>
      <c r="C13" s="1" t="s">
        <v>565</v>
      </c>
      <c r="D13" s="1" t="s">
        <v>566</v>
      </c>
      <c r="E13" s="5" t="s">
        <v>42</v>
      </c>
      <c r="F13" s="5">
        <v>5</v>
      </c>
      <c r="G13" s="5" t="s">
        <v>43</v>
      </c>
      <c r="H13" s="5"/>
      <c r="J13" s="7"/>
      <c r="K13" s="7"/>
      <c r="L13" s="7"/>
      <c r="M13" s="7"/>
      <c r="N13" s="7"/>
      <c r="O13" s="7"/>
      <c r="P13" s="7"/>
      <c r="Q13" s="7"/>
      <c r="R13" s="7"/>
      <c r="S13" s="7"/>
      <c r="T13" s="7"/>
      <c r="U13" s="4">
        <f>'1Y-Budget'!F97</f>
        <v>1445000</v>
      </c>
      <c r="V13" s="137">
        <f t="shared" si="0"/>
        <v>289000</v>
      </c>
      <c r="W13" s="137">
        <f t="shared" si="1"/>
        <v>578000</v>
      </c>
      <c r="Z13" s="6"/>
    </row>
    <row r="14" spans="1:26" ht="42" x14ac:dyDescent="0.35">
      <c r="A14" s="132"/>
      <c r="B14" s="143"/>
      <c r="C14" s="5" t="s">
        <v>567</v>
      </c>
      <c r="D14" s="5" t="s">
        <v>568</v>
      </c>
      <c r="E14" s="5" t="s">
        <v>37</v>
      </c>
      <c r="F14" s="5">
        <v>5</v>
      </c>
      <c r="G14" s="1" t="s">
        <v>45</v>
      </c>
      <c r="H14" s="5"/>
      <c r="J14" s="7"/>
      <c r="K14" s="7"/>
      <c r="L14" s="7"/>
      <c r="M14" s="7"/>
      <c r="N14" s="7"/>
      <c r="O14" s="7"/>
      <c r="P14" s="7"/>
      <c r="Q14" s="7"/>
      <c r="R14" s="7"/>
      <c r="S14" s="7"/>
      <c r="T14" s="7"/>
      <c r="U14" s="4">
        <f>'1Y-Budget'!F108</f>
        <v>9000000</v>
      </c>
      <c r="V14" s="137">
        <f t="shared" si="0"/>
        <v>1800000</v>
      </c>
      <c r="W14" s="137">
        <f t="shared" si="1"/>
        <v>3600000</v>
      </c>
      <c r="Z14" s="6"/>
    </row>
    <row r="15" spans="1:26" ht="42" x14ac:dyDescent="0.35">
      <c r="A15" s="132"/>
      <c r="B15" s="143"/>
      <c r="C15" s="1" t="s">
        <v>569</v>
      </c>
      <c r="D15" s="1" t="s">
        <v>72</v>
      </c>
      <c r="E15" s="1" t="s">
        <v>73</v>
      </c>
      <c r="F15" s="2">
        <v>5</v>
      </c>
      <c r="G15" s="1" t="s">
        <v>53</v>
      </c>
      <c r="J15" s="7"/>
      <c r="K15" s="7"/>
      <c r="L15" s="7"/>
      <c r="M15" s="7"/>
      <c r="N15" s="7"/>
      <c r="O15" s="7"/>
      <c r="P15" s="7"/>
      <c r="Q15" s="7"/>
      <c r="R15" s="7"/>
      <c r="S15" s="7"/>
      <c r="T15" s="7"/>
      <c r="U15" s="4">
        <f>'1Y-Budget'!F122</f>
        <v>4481000</v>
      </c>
      <c r="V15" s="137">
        <f t="shared" si="0"/>
        <v>896200</v>
      </c>
      <c r="W15" s="137">
        <f t="shared" si="1"/>
        <v>1792400</v>
      </c>
      <c r="Z15" s="6"/>
    </row>
    <row r="16" spans="1:26" ht="56" x14ac:dyDescent="0.35">
      <c r="A16" s="132"/>
      <c r="B16" s="143"/>
      <c r="C16" s="1" t="s">
        <v>71</v>
      </c>
      <c r="D16" s="1" t="s">
        <v>54</v>
      </c>
      <c r="E16" s="1" t="s">
        <v>55</v>
      </c>
      <c r="F16" s="2">
        <v>10</v>
      </c>
      <c r="G16" s="1" t="s">
        <v>56</v>
      </c>
      <c r="J16" s="7"/>
      <c r="K16" s="7"/>
      <c r="L16" s="7"/>
      <c r="U16" s="4">
        <f>100000*5</f>
        <v>500000</v>
      </c>
      <c r="V16" s="137">
        <v>0</v>
      </c>
      <c r="W16" s="137">
        <f>U16</f>
        <v>500000</v>
      </c>
      <c r="Z16" s="6"/>
    </row>
    <row r="17" spans="1:44" ht="56" x14ac:dyDescent="0.35">
      <c r="A17" s="133"/>
      <c r="B17" s="144"/>
      <c r="C17" s="1" t="s">
        <v>129</v>
      </c>
      <c r="D17" s="1" t="s">
        <v>85</v>
      </c>
      <c r="E17" s="1" t="s">
        <v>74</v>
      </c>
      <c r="F17" s="2">
        <v>50</v>
      </c>
      <c r="G17" s="1" t="s">
        <v>79</v>
      </c>
      <c r="J17" s="7"/>
      <c r="K17" s="7"/>
      <c r="L17" s="7"/>
      <c r="M17" s="7"/>
      <c r="N17" s="7"/>
      <c r="O17" s="7"/>
      <c r="P17" s="7"/>
      <c r="Q17" s="7"/>
      <c r="R17" s="7"/>
      <c r="S17" s="7"/>
      <c r="T17" s="7"/>
      <c r="U17" s="4">
        <f>'1Y-Budget'!F135</f>
        <v>5425000</v>
      </c>
      <c r="V17" s="137">
        <f t="shared" si="0"/>
        <v>1085000</v>
      </c>
      <c r="W17" s="137">
        <f t="shared" si="1"/>
        <v>2170000</v>
      </c>
      <c r="Z17" s="6"/>
    </row>
    <row r="18" spans="1:44" ht="56" x14ac:dyDescent="0.35">
      <c r="A18" s="107"/>
      <c r="B18" s="108"/>
      <c r="C18" s="5" t="s">
        <v>534</v>
      </c>
      <c r="D18" s="5" t="s">
        <v>144</v>
      </c>
      <c r="E18" s="1" t="s">
        <v>127</v>
      </c>
      <c r="G18" s="1" t="s">
        <v>128</v>
      </c>
      <c r="J18" s="134"/>
      <c r="K18" s="134"/>
      <c r="L18" s="134"/>
      <c r="M18" s="134"/>
      <c r="N18" s="134"/>
      <c r="O18" s="134"/>
      <c r="P18" s="134"/>
      <c r="Q18" s="134"/>
      <c r="R18" s="134"/>
      <c r="S18" s="134"/>
      <c r="T18" s="134"/>
      <c r="U18" s="6">
        <v>0</v>
      </c>
      <c r="V18" s="137">
        <f t="shared" si="0"/>
        <v>0</v>
      </c>
      <c r="W18" s="137">
        <f t="shared" si="1"/>
        <v>0</v>
      </c>
      <c r="Z18" s="6"/>
    </row>
    <row r="19" spans="1:44" s="83" customFormat="1" x14ac:dyDescent="0.35">
      <c r="A19" s="132"/>
      <c r="B19" s="166" t="s">
        <v>528</v>
      </c>
      <c r="C19" s="167"/>
      <c r="D19" s="167"/>
      <c r="E19" s="167"/>
      <c r="F19" s="167"/>
      <c r="G19" s="167"/>
      <c r="H19" s="167"/>
      <c r="I19" s="167"/>
      <c r="J19" s="167"/>
      <c r="K19" s="167"/>
      <c r="L19" s="167"/>
      <c r="M19" s="167"/>
      <c r="N19" s="167"/>
      <c r="O19" s="167"/>
      <c r="P19" s="167"/>
      <c r="Q19" s="167"/>
      <c r="R19" s="167"/>
      <c r="S19" s="167"/>
      <c r="T19" s="168"/>
      <c r="U19" s="97">
        <f>SUM(U4:U18)</f>
        <v>66701716</v>
      </c>
      <c r="V19" s="5"/>
      <c r="W19" s="138">
        <f>SUM(W4:W18)</f>
        <v>29916916</v>
      </c>
      <c r="X19" s="138">
        <f>U19-W19</f>
        <v>36784800</v>
      </c>
      <c r="Y19" s="5"/>
      <c r="Z19" s="5"/>
      <c r="AA19"/>
      <c r="AB19"/>
      <c r="AC19"/>
      <c r="AD19"/>
      <c r="AE19"/>
      <c r="AF19"/>
      <c r="AG19"/>
      <c r="AH19"/>
      <c r="AI19"/>
      <c r="AJ19"/>
      <c r="AK19"/>
      <c r="AL19"/>
      <c r="AM19"/>
      <c r="AN19"/>
      <c r="AO19"/>
      <c r="AP19"/>
      <c r="AQ19"/>
      <c r="AR19"/>
    </row>
    <row r="20" spans="1:44" s="83" customFormat="1" ht="28" x14ac:dyDescent="0.35">
      <c r="A20" s="149" t="s">
        <v>29</v>
      </c>
      <c r="B20" s="136" t="s">
        <v>575</v>
      </c>
      <c r="C20" s="95"/>
      <c r="D20" s="95"/>
      <c r="E20" s="95"/>
      <c r="F20" s="95"/>
      <c r="G20" s="95"/>
      <c r="H20" s="95"/>
      <c r="I20" s="95"/>
      <c r="J20" s="95"/>
      <c r="K20" s="95"/>
      <c r="L20" s="95"/>
      <c r="M20" s="95"/>
      <c r="N20" s="95"/>
      <c r="O20" s="95"/>
      <c r="P20" s="95"/>
      <c r="Q20" s="95"/>
      <c r="R20" s="95"/>
      <c r="S20" s="95"/>
      <c r="T20" s="96"/>
      <c r="U20" s="97">
        <v>10620000</v>
      </c>
      <c r="V20" s="138">
        <f>U20/12</f>
        <v>885000</v>
      </c>
      <c r="W20" s="138">
        <f>V20*3</f>
        <v>2655000</v>
      </c>
      <c r="X20" s="5"/>
      <c r="Y20" s="5"/>
      <c r="Z20" s="5"/>
      <c r="AA20"/>
      <c r="AB20"/>
      <c r="AC20"/>
      <c r="AD20"/>
      <c r="AE20"/>
      <c r="AF20"/>
      <c r="AG20"/>
      <c r="AH20"/>
      <c r="AI20"/>
      <c r="AJ20"/>
      <c r="AK20"/>
      <c r="AL20"/>
      <c r="AM20"/>
      <c r="AN20"/>
      <c r="AO20"/>
      <c r="AP20"/>
      <c r="AQ20"/>
      <c r="AR20"/>
    </row>
    <row r="21" spans="1:44" ht="84" x14ac:dyDescent="0.35">
      <c r="A21" s="149"/>
      <c r="B21" s="145" t="s">
        <v>145</v>
      </c>
      <c r="C21" s="1" t="s">
        <v>570</v>
      </c>
      <c r="D21" s="1" t="s">
        <v>62</v>
      </c>
      <c r="E21" s="1" t="s">
        <v>30</v>
      </c>
      <c r="F21" s="2">
        <v>5</v>
      </c>
      <c r="G21" s="1" t="s">
        <v>75</v>
      </c>
      <c r="J21" s="7"/>
      <c r="K21" s="7"/>
      <c r="L21" s="7"/>
      <c r="M21" s="7"/>
      <c r="N21" s="7"/>
      <c r="O21" s="7"/>
      <c r="P21" s="7"/>
      <c r="Q21" s="7"/>
      <c r="R21" s="7"/>
      <c r="S21" s="7"/>
      <c r="T21" s="7"/>
      <c r="U21" s="4">
        <f>'1Y-Budget'!F150</f>
        <v>12150000</v>
      </c>
      <c r="V21" s="12">
        <f>U21/5</f>
        <v>2430000</v>
      </c>
      <c r="W21" s="12">
        <f>V21*2</f>
        <v>4860000</v>
      </c>
      <c r="Z21" s="4"/>
    </row>
    <row r="22" spans="1:44" ht="70" x14ac:dyDescent="0.35">
      <c r="A22" s="149"/>
      <c r="B22" s="146"/>
      <c r="C22" s="1" t="s">
        <v>571</v>
      </c>
      <c r="D22" s="1" t="s">
        <v>520</v>
      </c>
      <c r="E22" s="1" t="s">
        <v>30</v>
      </c>
      <c r="F22" s="2">
        <v>5</v>
      </c>
      <c r="G22" s="1" t="s">
        <v>521</v>
      </c>
      <c r="J22" s="7"/>
      <c r="K22" s="7"/>
      <c r="L22" s="7"/>
      <c r="M22" s="7"/>
      <c r="N22" s="7"/>
      <c r="O22" s="7"/>
      <c r="P22" s="7"/>
      <c r="Q22" s="7"/>
      <c r="R22" s="7"/>
      <c r="S22" s="7"/>
      <c r="T22" s="7"/>
      <c r="U22" s="6">
        <f>'1Y-Budget'!F210</f>
        <v>6905000</v>
      </c>
      <c r="V22" s="12">
        <f t="shared" ref="V22:V25" si="2">U22/5</f>
        <v>1381000</v>
      </c>
      <c r="W22" s="12">
        <f t="shared" ref="W22:W26" si="3">V22*2</f>
        <v>2762000</v>
      </c>
      <c r="X22" s="12"/>
      <c r="Z22" s="6"/>
    </row>
    <row r="23" spans="1:44" ht="76" customHeight="1" x14ac:dyDescent="0.35">
      <c r="A23" s="149"/>
      <c r="B23" s="146" t="s">
        <v>76</v>
      </c>
      <c r="C23" s="1" t="s">
        <v>555</v>
      </c>
      <c r="D23" s="1" t="s">
        <v>556</v>
      </c>
      <c r="E23" s="1" t="s">
        <v>557</v>
      </c>
      <c r="F23" s="2">
        <v>1</v>
      </c>
      <c r="G23" s="5" t="s">
        <v>535</v>
      </c>
      <c r="J23" s="7"/>
      <c r="K23" s="7"/>
      <c r="L23" s="7"/>
      <c r="M23" s="7"/>
      <c r="N23" s="7"/>
      <c r="O23" s="7"/>
      <c r="P23" s="7"/>
      <c r="Q23" s="7"/>
      <c r="R23" s="7"/>
      <c r="S23" s="7"/>
      <c r="T23" s="7"/>
      <c r="U23" s="6">
        <f>'1Y-Budget'!F223</f>
        <v>3035000</v>
      </c>
      <c r="V23" s="12">
        <f t="shared" si="2"/>
        <v>607000</v>
      </c>
      <c r="W23" s="12">
        <f t="shared" si="3"/>
        <v>1214000</v>
      </c>
      <c r="X23" s="12"/>
      <c r="Z23" s="6"/>
    </row>
    <row r="24" spans="1:44" ht="56" customHeight="1" x14ac:dyDescent="0.35">
      <c r="A24" s="149"/>
      <c r="B24" s="146"/>
      <c r="C24" s="1" t="s">
        <v>572</v>
      </c>
      <c r="D24" s="1" t="s">
        <v>65</v>
      </c>
      <c r="E24" s="1" t="s">
        <v>64</v>
      </c>
      <c r="F24" s="1">
        <v>5</v>
      </c>
      <c r="G24" s="1" t="s">
        <v>66</v>
      </c>
      <c r="I24" s="7"/>
      <c r="J24" s="7"/>
      <c r="K24" s="7"/>
      <c r="L24" s="7"/>
      <c r="M24" s="7"/>
      <c r="N24" s="7"/>
      <c r="O24" s="7"/>
      <c r="P24" s="7"/>
      <c r="Q24" s="7"/>
      <c r="R24" s="7"/>
      <c r="S24" s="7"/>
      <c r="T24" s="7"/>
      <c r="U24" s="4">
        <f>'1Y-Budget'!F165</f>
        <v>7937000</v>
      </c>
      <c r="V24" s="12">
        <f t="shared" si="2"/>
        <v>1587400</v>
      </c>
      <c r="W24" s="12">
        <f t="shared" si="3"/>
        <v>3174800</v>
      </c>
      <c r="X24" s="12"/>
    </row>
    <row r="25" spans="1:44" ht="62" customHeight="1" x14ac:dyDescent="0.35">
      <c r="A25" s="149"/>
      <c r="B25" s="146"/>
      <c r="C25" s="1" t="s">
        <v>553</v>
      </c>
      <c r="D25" s="1" t="s">
        <v>67</v>
      </c>
      <c r="E25" s="1" t="s">
        <v>52</v>
      </c>
      <c r="F25" s="2">
        <v>5</v>
      </c>
      <c r="G25" s="1" t="s">
        <v>77</v>
      </c>
      <c r="I25" s="7"/>
      <c r="J25" s="7"/>
      <c r="K25" s="7"/>
      <c r="L25" s="7"/>
      <c r="M25" s="7"/>
      <c r="N25" s="7"/>
      <c r="O25" s="7"/>
      <c r="P25" s="7"/>
      <c r="Q25" s="7"/>
      <c r="R25" s="7"/>
      <c r="S25" s="7"/>
      <c r="T25" s="7"/>
      <c r="U25" s="9">
        <f>'1Y-Budget'!F179</f>
        <v>6260000</v>
      </c>
      <c r="V25" s="12">
        <f t="shared" si="2"/>
        <v>1252000</v>
      </c>
      <c r="W25" s="12">
        <f t="shared" si="3"/>
        <v>2504000</v>
      </c>
      <c r="X25" s="12"/>
      <c r="Y25"/>
      <c r="Z25"/>
    </row>
    <row r="26" spans="1:44" s="17" customFormat="1" ht="56" x14ac:dyDescent="0.35">
      <c r="A26" s="150"/>
      <c r="B26" s="147"/>
      <c r="C26" s="1" t="s">
        <v>537</v>
      </c>
      <c r="D26" s="1" t="s">
        <v>522</v>
      </c>
      <c r="E26" s="1" t="s">
        <v>523</v>
      </c>
      <c r="F26" s="1">
        <v>4</v>
      </c>
      <c r="G26" s="1" t="s">
        <v>524</v>
      </c>
      <c r="H26" s="2"/>
      <c r="I26" s="2"/>
      <c r="J26" s="2"/>
      <c r="K26" s="7"/>
      <c r="L26" s="7"/>
      <c r="M26" s="7"/>
      <c r="N26" s="7"/>
      <c r="O26" s="7"/>
      <c r="P26" s="7"/>
      <c r="Q26" s="7"/>
      <c r="R26" s="7"/>
      <c r="S26" s="7"/>
      <c r="T26" s="7"/>
      <c r="U26" s="12">
        <f>'1Y-Budget'!F195</f>
        <v>2130000</v>
      </c>
      <c r="V26" s="12">
        <v>0</v>
      </c>
      <c r="W26" s="12">
        <f t="shared" si="3"/>
        <v>0</v>
      </c>
      <c r="X26" s="12"/>
      <c r="Y26" s="12">
        <f>X26*3</f>
        <v>0</v>
      </c>
      <c r="Z26" s="2"/>
      <c r="AA26" s="2"/>
      <c r="AB26" s="2"/>
      <c r="AC26" s="2"/>
      <c r="AD26" s="2"/>
      <c r="AE26" s="2"/>
      <c r="AF26" s="2"/>
      <c r="AG26" s="2"/>
      <c r="AH26" s="2"/>
      <c r="AI26" s="2"/>
      <c r="AJ26" s="2"/>
      <c r="AK26" s="2"/>
      <c r="AL26" s="2"/>
      <c r="AM26" s="2"/>
      <c r="AN26" s="2"/>
      <c r="AO26" s="2"/>
      <c r="AP26" s="2"/>
      <c r="AQ26" s="2"/>
      <c r="AR26" s="2"/>
    </row>
    <row r="27" spans="1:44" s="98" customFormat="1" ht="15.5" customHeight="1" x14ac:dyDescent="0.35">
      <c r="A27" s="154" t="s">
        <v>528</v>
      </c>
      <c r="B27" s="155"/>
      <c r="C27" s="155"/>
      <c r="D27" s="155"/>
      <c r="E27" s="155"/>
      <c r="F27" s="155"/>
      <c r="G27" s="155"/>
      <c r="H27" s="155"/>
      <c r="I27" s="155"/>
      <c r="J27" s="155"/>
      <c r="K27" s="155"/>
      <c r="L27" s="155"/>
      <c r="M27" s="155"/>
      <c r="N27" s="155"/>
      <c r="O27" s="155"/>
      <c r="P27" s="155"/>
      <c r="Q27" s="155"/>
      <c r="R27" s="155"/>
      <c r="S27" s="155"/>
      <c r="T27" s="156"/>
      <c r="U27" s="94">
        <f>SUM(U20:U26)</f>
        <v>49037000</v>
      </c>
      <c r="V27" s="12">
        <f>SUM(V20:V26)</f>
        <v>8142400</v>
      </c>
      <c r="W27" s="12">
        <f>SUM(W20:W26)</f>
        <v>17169800</v>
      </c>
      <c r="X27" s="12">
        <f>U27-W27</f>
        <v>31867200</v>
      </c>
      <c r="Y27" s="2"/>
      <c r="Z27" s="2"/>
      <c r="AA27" s="99"/>
      <c r="AB27" s="99"/>
      <c r="AC27" s="99"/>
      <c r="AD27" s="99"/>
      <c r="AE27" s="99"/>
      <c r="AF27" s="99"/>
      <c r="AG27" s="99"/>
      <c r="AH27" s="99"/>
      <c r="AI27" s="99"/>
      <c r="AJ27" s="99"/>
      <c r="AK27" s="99"/>
      <c r="AL27" s="99"/>
      <c r="AM27" s="99"/>
      <c r="AN27" s="99"/>
      <c r="AO27" s="99"/>
      <c r="AP27" s="99"/>
      <c r="AQ27" s="99"/>
      <c r="AR27" s="99"/>
    </row>
    <row r="28" spans="1:44" x14ac:dyDescent="0.35">
      <c r="A28" s="157" t="s">
        <v>530</v>
      </c>
      <c r="B28" s="158"/>
      <c r="C28" s="158"/>
      <c r="D28" s="158"/>
      <c r="E28" s="158"/>
      <c r="F28" s="158"/>
      <c r="G28" s="158"/>
      <c r="H28" s="158"/>
      <c r="I28" s="158"/>
      <c r="J28" s="158"/>
      <c r="K28" s="158"/>
      <c r="L28" s="158"/>
      <c r="M28" s="158"/>
      <c r="N28" s="158"/>
      <c r="O28" s="158"/>
      <c r="P28" s="158"/>
      <c r="Q28" s="158"/>
      <c r="R28" s="158"/>
      <c r="S28" s="158"/>
      <c r="T28" s="159"/>
      <c r="U28" s="93">
        <f>U27+U19</f>
        <v>115738716</v>
      </c>
      <c r="Z28" s="6"/>
    </row>
    <row r="29" spans="1:44" x14ac:dyDescent="0.35">
      <c r="A29" s="160"/>
      <c r="B29" s="163"/>
      <c r="C29" s="1"/>
      <c r="D29" s="1"/>
      <c r="E29" s="1"/>
      <c r="Z29" s="6"/>
    </row>
    <row r="30" spans="1:44" x14ac:dyDescent="0.35">
      <c r="A30" s="161"/>
      <c r="B30" s="164"/>
      <c r="C30" s="1"/>
      <c r="D30" s="1"/>
      <c r="E30" s="1"/>
      <c r="Z30" s="6"/>
    </row>
    <row r="31" spans="1:44" x14ac:dyDescent="0.35">
      <c r="A31" s="161"/>
      <c r="B31" s="164"/>
      <c r="C31" s="1"/>
      <c r="D31" s="1"/>
      <c r="E31" s="1"/>
      <c r="F31" s="1"/>
      <c r="Z31" s="6"/>
    </row>
    <row r="32" spans="1:44" x14ac:dyDescent="0.35">
      <c r="A32" s="161"/>
      <c r="B32" s="164"/>
      <c r="C32" s="1"/>
      <c r="D32" s="1"/>
      <c r="E32" s="1"/>
      <c r="F32" s="1"/>
    </row>
    <row r="33" spans="1:26" x14ac:dyDescent="0.35">
      <c r="A33" s="161"/>
      <c r="B33" s="164"/>
      <c r="C33" s="1"/>
      <c r="D33" s="1"/>
      <c r="E33" s="1"/>
      <c r="F33" s="1"/>
    </row>
    <row r="34" spans="1:26" x14ac:dyDescent="0.35">
      <c r="A34" s="161"/>
      <c r="B34" s="164"/>
      <c r="C34" s="163"/>
      <c r="D34" s="1"/>
      <c r="E34" s="1"/>
      <c r="F34" s="1"/>
    </row>
    <row r="35" spans="1:26" x14ac:dyDescent="0.35">
      <c r="A35" s="161"/>
      <c r="B35" s="165"/>
      <c r="C35" s="165"/>
      <c r="D35" s="1"/>
      <c r="E35" s="1"/>
      <c r="F35" s="1"/>
    </row>
    <row r="36" spans="1:26" x14ac:dyDescent="0.35">
      <c r="A36" s="161"/>
      <c r="B36" s="163"/>
      <c r="C36" s="1"/>
      <c r="D36" s="1"/>
      <c r="E36" s="1"/>
      <c r="F36" s="1"/>
      <c r="Z36" s="6"/>
    </row>
    <row r="37" spans="1:26" x14ac:dyDescent="0.35">
      <c r="A37" s="161"/>
      <c r="B37" s="164"/>
      <c r="C37" s="1"/>
      <c r="D37" s="1"/>
      <c r="E37" s="1"/>
      <c r="F37" s="1"/>
    </row>
    <row r="38" spans="1:26" x14ac:dyDescent="0.35">
      <c r="A38" s="161"/>
      <c r="B38" s="164"/>
      <c r="C38" s="1"/>
      <c r="D38" s="1"/>
      <c r="E38" s="1"/>
      <c r="F38" s="1"/>
    </row>
    <row r="39" spans="1:26" x14ac:dyDescent="0.35">
      <c r="A39" s="161"/>
      <c r="B39" s="164"/>
      <c r="C39" s="1"/>
      <c r="D39" s="1"/>
      <c r="E39" s="1"/>
      <c r="F39" s="1"/>
    </row>
    <row r="40" spans="1:26" x14ac:dyDescent="0.35">
      <c r="A40" s="162"/>
      <c r="B40" s="165"/>
      <c r="D40" s="1"/>
      <c r="E40" s="1"/>
    </row>
  </sheetData>
  <mergeCells count="25">
    <mergeCell ref="Z2:Z3"/>
    <mergeCell ref="A2:A3"/>
    <mergeCell ref="B2:B3"/>
    <mergeCell ref="C2:C3"/>
    <mergeCell ref="D2:D3"/>
    <mergeCell ref="E2:E3"/>
    <mergeCell ref="F2:F3"/>
    <mergeCell ref="G2:G3"/>
    <mergeCell ref="I2:T2"/>
    <mergeCell ref="U2:U3"/>
    <mergeCell ref="V2:W2"/>
    <mergeCell ref="X2:Y2"/>
    <mergeCell ref="B4:B7"/>
    <mergeCell ref="B8:B12"/>
    <mergeCell ref="B13:B17"/>
    <mergeCell ref="B19:T19"/>
    <mergeCell ref="A20:A26"/>
    <mergeCell ref="B21:B22"/>
    <mergeCell ref="B23:B26"/>
    <mergeCell ref="A27:T27"/>
    <mergeCell ref="A28:T28"/>
    <mergeCell ref="A29:A40"/>
    <mergeCell ref="B29:B35"/>
    <mergeCell ref="C34:C35"/>
    <mergeCell ref="B36:B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0086-C2FF-4B84-A6B6-9433859CAEEB}">
  <dimension ref="A1:L223"/>
  <sheetViews>
    <sheetView topLeftCell="A6" zoomScale="90" workbookViewId="0">
      <selection activeCell="G16" sqref="G16:M23"/>
    </sheetView>
  </sheetViews>
  <sheetFormatPr defaultRowHeight="15.5" x14ac:dyDescent="0.35"/>
  <cols>
    <col min="1" max="1" width="25.25" bestFit="1" customWidth="1"/>
    <col min="2" max="2" width="12.75" style="9" bestFit="1" customWidth="1"/>
    <col min="6" max="6" width="13.9140625" bestFit="1" customWidth="1"/>
    <col min="8" max="8" width="14.9140625" bestFit="1" customWidth="1"/>
    <col min="11" max="11" width="9.25" bestFit="1" customWidth="1"/>
    <col min="12" max="12" width="12.75" bestFit="1" customWidth="1"/>
  </cols>
  <sheetData>
    <row r="1" spans="1:12" x14ac:dyDescent="0.35">
      <c r="A1" t="s">
        <v>101</v>
      </c>
    </row>
    <row r="2" spans="1:12" x14ac:dyDescent="0.35">
      <c r="A2" t="s">
        <v>86</v>
      </c>
      <c r="B2" s="9" t="s">
        <v>87</v>
      </c>
      <c r="C2" t="s">
        <v>88</v>
      </c>
      <c r="D2" t="s">
        <v>99</v>
      </c>
      <c r="E2" t="s">
        <v>100</v>
      </c>
      <c r="F2" t="s">
        <v>89</v>
      </c>
      <c r="H2" s="83" t="s">
        <v>516</v>
      </c>
      <c r="I2" s="83"/>
      <c r="J2" s="83"/>
      <c r="K2" s="83"/>
      <c r="L2" s="83"/>
    </row>
    <row r="3" spans="1:12" x14ac:dyDescent="0.35">
      <c r="A3" t="s">
        <v>90</v>
      </c>
      <c r="B3" s="9">
        <v>14000</v>
      </c>
      <c r="C3">
        <v>10</v>
      </c>
      <c r="D3">
        <v>21</v>
      </c>
      <c r="E3">
        <v>5</v>
      </c>
      <c r="F3" s="9">
        <f>B3*C3*D3*E3</f>
        <v>14700000</v>
      </c>
      <c r="H3" s="83" t="s">
        <v>513</v>
      </c>
      <c r="I3" s="83" t="s">
        <v>193</v>
      </c>
      <c r="J3" s="83" t="s">
        <v>88</v>
      </c>
      <c r="K3" s="83" t="s">
        <v>514</v>
      </c>
      <c r="L3" s="83" t="s">
        <v>25</v>
      </c>
    </row>
    <row r="4" spans="1:12" x14ac:dyDescent="0.35">
      <c r="A4" t="s">
        <v>91</v>
      </c>
      <c r="B4" s="9">
        <v>0</v>
      </c>
      <c r="C4" s="9">
        <v>0</v>
      </c>
      <c r="D4" s="9">
        <v>0</v>
      </c>
      <c r="E4" s="9">
        <v>0</v>
      </c>
      <c r="F4" s="9">
        <f t="shared" ref="F4:F12" si="0">B4*C4*D4*E4</f>
        <v>0</v>
      </c>
      <c r="H4" s="84" t="s">
        <v>442</v>
      </c>
      <c r="I4" s="85" t="s">
        <v>193</v>
      </c>
      <c r="J4" s="85">
        <v>10</v>
      </c>
      <c r="K4" s="85">
        <v>20000</v>
      </c>
      <c r="L4" s="86">
        <f t="shared" ref="L4:L14" si="1">J4*K4</f>
        <v>200000</v>
      </c>
    </row>
    <row r="5" spans="1:12" ht="31" x14ac:dyDescent="0.35">
      <c r="A5" t="s">
        <v>92</v>
      </c>
      <c r="B5" s="9">
        <v>200</v>
      </c>
      <c r="C5">
        <v>85</v>
      </c>
      <c r="D5">
        <v>21</v>
      </c>
      <c r="E5">
        <v>5</v>
      </c>
      <c r="F5" s="9">
        <f t="shared" si="0"/>
        <v>1785000</v>
      </c>
      <c r="H5" s="84" t="s">
        <v>443</v>
      </c>
      <c r="I5" s="85" t="s">
        <v>193</v>
      </c>
      <c r="J5" s="85">
        <v>5</v>
      </c>
      <c r="K5" s="85">
        <v>26000</v>
      </c>
      <c r="L5" s="86">
        <f t="shared" si="1"/>
        <v>130000</v>
      </c>
    </row>
    <row r="6" spans="1:12" x14ac:dyDescent="0.35">
      <c r="A6" t="s">
        <v>93</v>
      </c>
      <c r="B6" s="9">
        <v>0</v>
      </c>
      <c r="C6" s="9">
        <v>0</v>
      </c>
      <c r="D6" s="9">
        <v>0</v>
      </c>
      <c r="E6" s="9">
        <v>0</v>
      </c>
      <c r="F6" s="9">
        <f t="shared" si="0"/>
        <v>0</v>
      </c>
      <c r="H6" s="84" t="s">
        <v>444</v>
      </c>
      <c r="I6" s="85" t="s">
        <v>193</v>
      </c>
      <c r="J6" s="85">
        <v>1</v>
      </c>
      <c r="K6" s="85">
        <v>490000</v>
      </c>
      <c r="L6" s="86">
        <f t="shared" si="1"/>
        <v>490000</v>
      </c>
    </row>
    <row r="7" spans="1:12" x14ac:dyDescent="0.35">
      <c r="A7" t="s">
        <v>94</v>
      </c>
      <c r="B7" s="9">
        <v>28000</v>
      </c>
      <c r="C7">
        <v>2</v>
      </c>
      <c r="D7">
        <v>1</v>
      </c>
      <c r="E7">
        <v>2</v>
      </c>
      <c r="F7" s="9">
        <f t="shared" si="0"/>
        <v>112000</v>
      </c>
      <c r="H7" s="84" t="s">
        <v>445</v>
      </c>
      <c r="I7" s="85" t="s">
        <v>423</v>
      </c>
      <c r="J7" s="85">
        <v>2</v>
      </c>
      <c r="K7" s="87">
        <v>280000</v>
      </c>
      <c r="L7" s="85">
        <f t="shared" si="1"/>
        <v>560000</v>
      </c>
    </row>
    <row r="8" spans="1:12" x14ac:dyDescent="0.35">
      <c r="A8" t="s">
        <v>95</v>
      </c>
      <c r="B8" s="9">
        <v>2500</v>
      </c>
      <c r="C8" s="9">
        <v>10</v>
      </c>
      <c r="D8" s="9">
        <v>21</v>
      </c>
      <c r="E8" s="9">
        <v>5</v>
      </c>
      <c r="F8" s="9">
        <f t="shared" si="0"/>
        <v>2625000</v>
      </c>
      <c r="H8" s="84" t="s">
        <v>447</v>
      </c>
      <c r="I8" s="85" t="s">
        <v>423</v>
      </c>
      <c r="J8" s="85">
        <v>20</v>
      </c>
      <c r="K8" s="85">
        <v>90000</v>
      </c>
      <c r="L8" s="85">
        <f t="shared" si="1"/>
        <v>1800000</v>
      </c>
    </row>
    <row r="9" spans="1:12" x14ac:dyDescent="0.35">
      <c r="A9" t="s">
        <v>96</v>
      </c>
      <c r="B9" s="9">
        <v>0</v>
      </c>
      <c r="C9" s="9">
        <v>0</v>
      </c>
      <c r="D9" s="9">
        <v>0</v>
      </c>
      <c r="E9" s="9">
        <v>0</v>
      </c>
      <c r="F9" s="9">
        <f t="shared" si="0"/>
        <v>0</v>
      </c>
      <c r="H9" s="84" t="s">
        <v>448</v>
      </c>
      <c r="I9" s="85" t="s">
        <v>423</v>
      </c>
      <c r="J9" s="85">
        <v>20</v>
      </c>
      <c r="K9" s="85">
        <v>10000</v>
      </c>
      <c r="L9" s="85">
        <f t="shared" si="1"/>
        <v>200000</v>
      </c>
    </row>
    <row r="10" spans="1:12" ht="46.5" x14ac:dyDescent="0.35">
      <c r="A10" t="s">
        <v>136</v>
      </c>
      <c r="B10" s="9">
        <v>5000</v>
      </c>
      <c r="C10" s="9">
        <v>5</v>
      </c>
      <c r="D10" s="9">
        <v>21</v>
      </c>
      <c r="E10" s="9">
        <v>3</v>
      </c>
      <c r="F10" s="9">
        <f t="shared" si="0"/>
        <v>1575000</v>
      </c>
      <c r="H10" s="84" t="s">
        <v>449</v>
      </c>
      <c r="I10" s="85" t="s">
        <v>423</v>
      </c>
      <c r="J10" s="85">
        <v>10</v>
      </c>
      <c r="K10" s="85">
        <v>50000</v>
      </c>
      <c r="L10" s="85">
        <f t="shared" si="1"/>
        <v>500000</v>
      </c>
    </row>
    <row r="11" spans="1:12" x14ac:dyDescent="0.35">
      <c r="C11" s="9"/>
      <c r="D11" s="9"/>
      <c r="E11" s="9"/>
      <c r="F11" s="9">
        <v>0</v>
      </c>
      <c r="H11" s="84" t="s">
        <v>576</v>
      </c>
      <c r="I11" s="85"/>
      <c r="J11" s="85">
        <v>10</v>
      </c>
      <c r="K11" s="85">
        <v>40000</v>
      </c>
      <c r="L11" s="85">
        <f t="shared" si="1"/>
        <v>400000</v>
      </c>
    </row>
    <row r="12" spans="1:12" x14ac:dyDescent="0.35">
      <c r="A12" t="s">
        <v>97</v>
      </c>
      <c r="B12" s="9">
        <v>0</v>
      </c>
      <c r="C12" s="9">
        <v>0</v>
      </c>
      <c r="D12" s="9">
        <v>0</v>
      </c>
      <c r="E12" s="9">
        <v>0</v>
      </c>
      <c r="F12" s="9">
        <f t="shared" si="0"/>
        <v>0</v>
      </c>
      <c r="H12" s="84" t="s">
        <v>450</v>
      </c>
      <c r="I12" s="85" t="s">
        <v>423</v>
      </c>
      <c r="J12" s="85">
        <v>1</v>
      </c>
      <c r="K12" s="85">
        <v>50000</v>
      </c>
      <c r="L12" s="85">
        <f t="shared" si="1"/>
        <v>50000</v>
      </c>
    </row>
    <row r="13" spans="1:12" ht="31" x14ac:dyDescent="0.35">
      <c r="A13" t="s">
        <v>25</v>
      </c>
      <c r="B13" s="9">
        <v>0</v>
      </c>
      <c r="C13" s="9">
        <v>0</v>
      </c>
      <c r="D13" s="9">
        <v>0</v>
      </c>
      <c r="E13" s="9">
        <v>0</v>
      </c>
      <c r="F13" s="10">
        <f>SUM(F3:F12)</f>
        <v>20797000</v>
      </c>
      <c r="H13" s="88" t="s">
        <v>451</v>
      </c>
      <c r="I13" s="85" t="s">
        <v>423</v>
      </c>
      <c r="J13" s="89">
        <v>2</v>
      </c>
      <c r="K13" s="83">
        <v>131858</v>
      </c>
      <c r="L13" s="89">
        <f t="shared" si="1"/>
        <v>263716</v>
      </c>
    </row>
    <row r="14" spans="1:12" ht="31" x14ac:dyDescent="0.35">
      <c r="H14" s="88" t="s">
        <v>452</v>
      </c>
      <c r="I14" s="89" t="s">
        <v>193</v>
      </c>
      <c r="J14" s="89">
        <v>10</v>
      </c>
      <c r="K14" s="83">
        <v>25000</v>
      </c>
      <c r="L14" s="83">
        <f t="shared" si="1"/>
        <v>250000</v>
      </c>
    </row>
    <row r="15" spans="1:12" x14ac:dyDescent="0.35">
      <c r="L15" s="10">
        <f>SUM(L4:L14)</f>
        <v>4843716</v>
      </c>
    </row>
    <row r="16" spans="1:12" ht="31" x14ac:dyDescent="0.35">
      <c r="H16" s="90" t="s">
        <v>515</v>
      </c>
      <c r="I16" s="83"/>
      <c r="J16" s="83"/>
      <c r="K16" s="83"/>
      <c r="L16" s="83"/>
    </row>
    <row r="17" spans="1:12" x14ac:dyDescent="0.35">
      <c r="A17" t="s">
        <v>102</v>
      </c>
      <c r="H17" s="85" t="s">
        <v>464</v>
      </c>
      <c r="I17" s="85" t="s">
        <v>181</v>
      </c>
      <c r="J17" s="85">
        <v>20</v>
      </c>
      <c r="K17" s="85">
        <v>2000</v>
      </c>
      <c r="L17" s="85">
        <f>J17*K17</f>
        <v>40000</v>
      </c>
    </row>
    <row r="18" spans="1:12" x14ac:dyDescent="0.35">
      <c r="A18" t="s">
        <v>86</v>
      </c>
      <c r="B18" s="9" t="s">
        <v>87</v>
      </c>
      <c r="C18" t="s">
        <v>88</v>
      </c>
      <c r="D18" t="s">
        <v>99</v>
      </c>
      <c r="E18" t="s">
        <v>100</v>
      </c>
      <c r="F18" t="s">
        <v>89</v>
      </c>
      <c r="H18" s="85" t="s">
        <v>465</v>
      </c>
      <c r="I18" s="85" t="s">
        <v>181</v>
      </c>
      <c r="J18" s="85">
        <v>5</v>
      </c>
      <c r="K18" s="85">
        <v>10000</v>
      </c>
      <c r="L18" s="85">
        <f>J18*K18</f>
        <v>50000</v>
      </c>
    </row>
    <row r="19" spans="1:12" x14ac:dyDescent="0.35">
      <c r="A19" t="s">
        <v>90</v>
      </c>
      <c r="B19" s="9">
        <v>14000</v>
      </c>
      <c r="C19">
        <v>20</v>
      </c>
      <c r="D19">
        <v>3</v>
      </c>
      <c r="E19">
        <v>10</v>
      </c>
      <c r="F19" s="9">
        <f>B19*C19*D19*E19</f>
        <v>8400000</v>
      </c>
      <c r="H19" s="85" t="s">
        <v>466</v>
      </c>
      <c r="I19" s="85"/>
      <c r="J19" s="85">
        <v>5</v>
      </c>
      <c r="K19" s="85">
        <v>15000</v>
      </c>
      <c r="L19" s="85">
        <f>J19*K19</f>
        <v>75000</v>
      </c>
    </row>
    <row r="20" spans="1:12" x14ac:dyDescent="0.35">
      <c r="F20" s="9"/>
      <c r="H20" s="85" t="s">
        <v>446</v>
      </c>
      <c r="I20" s="85"/>
      <c r="J20" s="85">
        <v>1</v>
      </c>
      <c r="K20" s="85">
        <v>280000</v>
      </c>
      <c r="L20" s="85">
        <f>K20*J20</f>
        <v>280000</v>
      </c>
    </row>
    <row r="21" spans="1:12" x14ac:dyDescent="0.35">
      <c r="A21" t="s">
        <v>91</v>
      </c>
      <c r="B21" s="9">
        <v>5000</v>
      </c>
      <c r="C21">
        <v>20</v>
      </c>
      <c r="D21">
        <v>3</v>
      </c>
      <c r="E21">
        <v>10</v>
      </c>
      <c r="F21" s="9">
        <f t="shared" ref="F21:F28" si="2">B21*C21*D21*E21</f>
        <v>3000000</v>
      </c>
      <c r="H21" s="85" t="s">
        <v>467</v>
      </c>
      <c r="I21" s="85"/>
      <c r="J21" s="85">
        <v>20</v>
      </c>
      <c r="K21" s="85">
        <v>15000</v>
      </c>
      <c r="L21" s="85">
        <f>J21*K21</f>
        <v>300000</v>
      </c>
    </row>
    <row r="22" spans="1:12" x14ac:dyDescent="0.35">
      <c r="A22" t="s">
        <v>92</v>
      </c>
      <c r="B22" s="9">
        <v>200</v>
      </c>
      <c r="C22">
        <v>85</v>
      </c>
      <c r="D22">
        <v>3</v>
      </c>
      <c r="E22">
        <v>10</v>
      </c>
      <c r="F22" s="9">
        <f t="shared" si="2"/>
        <v>510000</v>
      </c>
      <c r="H22" s="84" t="s">
        <v>527</v>
      </c>
      <c r="I22" s="85" t="s">
        <v>181</v>
      </c>
      <c r="J22" s="85">
        <v>1000</v>
      </c>
      <c r="K22" s="86">
        <v>1000</v>
      </c>
      <c r="L22" s="85">
        <f>J22*K22</f>
        <v>1000000</v>
      </c>
    </row>
    <row r="23" spans="1:12" x14ac:dyDescent="0.35">
      <c r="A23" t="s">
        <v>93</v>
      </c>
      <c r="B23" s="9">
        <v>0</v>
      </c>
      <c r="C23" s="9">
        <v>0</v>
      </c>
      <c r="D23" s="9">
        <v>0</v>
      </c>
      <c r="E23" s="9">
        <v>0</v>
      </c>
      <c r="F23" s="9">
        <f t="shared" si="2"/>
        <v>0</v>
      </c>
      <c r="L23" s="92">
        <f>SUM(L17:L22)</f>
        <v>1745000</v>
      </c>
    </row>
    <row r="24" spans="1:12" x14ac:dyDescent="0.35">
      <c r="A24" t="s">
        <v>94</v>
      </c>
      <c r="B24" s="9">
        <v>28000</v>
      </c>
      <c r="C24">
        <v>3</v>
      </c>
      <c r="D24">
        <v>1</v>
      </c>
      <c r="E24">
        <v>2</v>
      </c>
      <c r="F24" s="9">
        <f t="shared" si="2"/>
        <v>168000</v>
      </c>
    </row>
    <row r="25" spans="1:12" x14ac:dyDescent="0.35">
      <c r="A25" t="s">
        <v>95</v>
      </c>
      <c r="B25" s="9">
        <v>0</v>
      </c>
      <c r="C25" s="9">
        <v>0</v>
      </c>
      <c r="D25" s="9">
        <v>0</v>
      </c>
      <c r="E25" s="9">
        <v>0</v>
      </c>
      <c r="F25" s="9">
        <f t="shared" si="2"/>
        <v>0</v>
      </c>
    </row>
    <row r="26" spans="1:12" x14ac:dyDescent="0.35">
      <c r="A26" t="s">
        <v>96</v>
      </c>
      <c r="B26" s="9">
        <v>0</v>
      </c>
      <c r="C26" s="9">
        <v>0</v>
      </c>
      <c r="D26" s="9">
        <v>0</v>
      </c>
      <c r="E26" s="9">
        <v>0</v>
      </c>
      <c r="F26" s="9">
        <f t="shared" si="2"/>
        <v>0</v>
      </c>
    </row>
    <row r="27" spans="1:12" x14ac:dyDescent="0.35">
      <c r="A27" t="s">
        <v>136</v>
      </c>
      <c r="B27" s="9">
        <v>0</v>
      </c>
      <c r="C27" s="9">
        <v>0</v>
      </c>
      <c r="D27" s="9">
        <v>0</v>
      </c>
      <c r="E27" s="9">
        <v>0</v>
      </c>
      <c r="F27" s="9">
        <f t="shared" si="2"/>
        <v>0</v>
      </c>
    </row>
    <row r="28" spans="1:12" x14ac:dyDescent="0.35">
      <c r="A28" t="s">
        <v>97</v>
      </c>
      <c r="B28" s="9">
        <v>0</v>
      </c>
      <c r="C28" s="9">
        <v>0</v>
      </c>
      <c r="D28" s="9">
        <v>0</v>
      </c>
      <c r="E28" s="9">
        <v>0</v>
      </c>
      <c r="F28" s="9">
        <f t="shared" si="2"/>
        <v>0</v>
      </c>
    </row>
    <row r="29" spans="1:12" x14ac:dyDescent="0.35">
      <c r="A29" t="s">
        <v>98</v>
      </c>
      <c r="B29" s="9">
        <v>0</v>
      </c>
      <c r="C29" s="9">
        <v>0</v>
      </c>
      <c r="D29" s="9">
        <v>0</v>
      </c>
      <c r="E29" s="9">
        <v>0</v>
      </c>
      <c r="F29" s="9">
        <v>0</v>
      </c>
    </row>
    <row r="30" spans="1:12" x14ac:dyDescent="0.35">
      <c r="F30" s="10">
        <f>SUM(F19:F28)</f>
        <v>12078000</v>
      </c>
    </row>
    <row r="32" spans="1:12" x14ac:dyDescent="0.35">
      <c r="A32" t="s">
        <v>103</v>
      </c>
    </row>
    <row r="33" spans="1:6" x14ac:dyDescent="0.35">
      <c r="A33" t="s">
        <v>86</v>
      </c>
      <c r="B33" s="9" t="s">
        <v>87</v>
      </c>
      <c r="C33" t="s">
        <v>88</v>
      </c>
      <c r="D33" t="s">
        <v>99</v>
      </c>
      <c r="E33" t="s">
        <v>100</v>
      </c>
      <c r="F33" t="s">
        <v>89</v>
      </c>
    </row>
    <row r="34" spans="1:6" x14ac:dyDescent="0.35">
      <c r="A34" t="s">
        <v>90</v>
      </c>
      <c r="B34" s="9">
        <v>14000</v>
      </c>
      <c r="C34">
        <v>10</v>
      </c>
      <c r="D34">
        <v>5</v>
      </c>
      <c r="E34">
        <v>10</v>
      </c>
      <c r="F34" s="9">
        <f>B34*C34*D34*E34</f>
        <v>7000000</v>
      </c>
    </row>
    <row r="35" spans="1:6" x14ac:dyDescent="0.35">
      <c r="A35" t="s">
        <v>91</v>
      </c>
      <c r="B35" s="9">
        <v>5000</v>
      </c>
      <c r="C35">
        <v>10</v>
      </c>
      <c r="D35">
        <v>5</v>
      </c>
      <c r="E35">
        <v>10</v>
      </c>
      <c r="F35" s="9">
        <f t="shared" ref="F35:F42" si="3">B35*C35*D35*E35</f>
        <v>2500000</v>
      </c>
    </row>
    <row r="36" spans="1:6" x14ac:dyDescent="0.35">
      <c r="A36" t="s">
        <v>92</v>
      </c>
      <c r="B36" s="9">
        <v>200</v>
      </c>
      <c r="C36">
        <v>85</v>
      </c>
      <c r="D36">
        <v>5</v>
      </c>
      <c r="E36">
        <v>10</v>
      </c>
      <c r="F36" s="9">
        <f t="shared" si="3"/>
        <v>850000</v>
      </c>
    </row>
    <row r="37" spans="1:6" x14ac:dyDescent="0.35">
      <c r="A37" t="s">
        <v>93</v>
      </c>
      <c r="B37" s="9">
        <v>0</v>
      </c>
      <c r="C37" s="9">
        <v>0</v>
      </c>
      <c r="D37" s="9">
        <v>0</v>
      </c>
      <c r="E37" s="9">
        <v>0</v>
      </c>
      <c r="F37" s="9">
        <f t="shared" si="3"/>
        <v>0</v>
      </c>
    </row>
    <row r="38" spans="1:6" x14ac:dyDescent="0.35">
      <c r="A38" t="s">
        <v>94</v>
      </c>
      <c r="B38" s="9">
        <v>0</v>
      </c>
      <c r="C38">
        <v>0</v>
      </c>
      <c r="D38">
        <v>0</v>
      </c>
      <c r="E38">
        <v>0</v>
      </c>
      <c r="F38" s="9">
        <f t="shared" si="3"/>
        <v>0</v>
      </c>
    </row>
    <row r="39" spans="1:6" x14ac:dyDescent="0.35">
      <c r="A39" t="s">
        <v>95</v>
      </c>
      <c r="B39" s="13">
        <v>2500</v>
      </c>
      <c r="C39">
        <v>10</v>
      </c>
      <c r="D39">
        <v>5</v>
      </c>
      <c r="E39">
        <v>10</v>
      </c>
      <c r="F39" s="9">
        <f t="shared" si="3"/>
        <v>1250000</v>
      </c>
    </row>
    <row r="40" spans="1:6" x14ac:dyDescent="0.35">
      <c r="A40" t="s">
        <v>96</v>
      </c>
      <c r="B40" s="9">
        <v>2000</v>
      </c>
      <c r="C40">
        <v>2</v>
      </c>
      <c r="D40">
        <v>30</v>
      </c>
      <c r="E40">
        <v>10</v>
      </c>
      <c r="F40" s="9">
        <f t="shared" si="3"/>
        <v>1200000</v>
      </c>
    </row>
    <row r="41" spans="1:6" x14ac:dyDescent="0.35">
      <c r="A41" t="s">
        <v>97</v>
      </c>
      <c r="B41" s="9">
        <v>10000</v>
      </c>
      <c r="C41">
        <v>1</v>
      </c>
      <c r="D41">
        <v>1</v>
      </c>
      <c r="E41">
        <v>10</v>
      </c>
      <c r="F41" s="9">
        <f t="shared" si="3"/>
        <v>100000</v>
      </c>
    </row>
    <row r="42" spans="1:6" x14ac:dyDescent="0.35">
      <c r="A42" t="s">
        <v>98</v>
      </c>
      <c r="B42" s="9">
        <v>0</v>
      </c>
      <c r="C42">
        <v>0</v>
      </c>
      <c r="D42">
        <v>0</v>
      </c>
      <c r="E42">
        <v>0</v>
      </c>
      <c r="F42" s="9">
        <f t="shared" si="3"/>
        <v>0</v>
      </c>
    </row>
    <row r="43" spans="1:6" x14ac:dyDescent="0.35">
      <c r="F43" s="10">
        <f>SUM(F34:F42)</f>
        <v>12900000</v>
      </c>
    </row>
    <row r="45" spans="1:6" x14ac:dyDescent="0.35">
      <c r="A45" t="s">
        <v>104</v>
      </c>
    </row>
    <row r="46" spans="1:6" x14ac:dyDescent="0.35">
      <c r="A46" t="s">
        <v>86</v>
      </c>
      <c r="B46" s="9" t="s">
        <v>87</v>
      </c>
      <c r="C46" t="s">
        <v>88</v>
      </c>
      <c r="D46" t="s">
        <v>99</v>
      </c>
      <c r="E46" t="s">
        <v>100</v>
      </c>
      <c r="F46" t="s">
        <v>89</v>
      </c>
    </row>
    <row r="47" spans="1:6" x14ac:dyDescent="0.35">
      <c r="A47" t="s">
        <v>90</v>
      </c>
      <c r="B47" s="9">
        <v>14000</v>
      </c>
      <c r="C47">
        <v>10</v>
      </c>
      <c r="D47">
        <v>21</v>
      </c>
      <c r="E47">
        <v>10</v>
      </c>
      <c r="F47" s="9">
        <f>B47*C47*D47*E47</f>
        <v>29400000</v>
      </c>
    </row>
    <row r="48" spans="1:6" x14ac:dyDescent="0.35">
      <c r="A48" t="s">
        <v>91</v>
      </c>
      <c r="B48" s="9">
        <v>0</v>
      </c>
      <c r="C48">
        <v>0</v>
      </c>
      <c r="D48">
        <v>0</v>
      </c>
      <c r="E48">
        <v>0</v>
      </c>
      <c r="F48" s="9">
        <f t="shared" ref="F48:F55" si="4">B48*C48*D48*E48</f>
        <v>0</v>
      </c>
    </row>
    <row r="49" spans="1:6" x14ac:dyDescent="0.35">
      <c r="A49" t="s">
        <v>92</v>
      </c>
      <c r="B49" s="9">
        <v>200</v>
      </c>
      <c r="C49">
        <v>85</v>
      </c>
      <c r="D49">
        <v>21</v>
      </c>
      <c r="E49">
        <v>10</v>
      </c>
      <c r="F49" s="9">
        <f t="shared" si="4"/>
        <v>3570000</v>
      </c>
    </row>
    <row r="50" spans="1:6" x14ac:dyDescent="0.35">
      <c r="A50" t="s">
        <v>93</v>
      </c>
      <c r="B50" s="9">
        <v>500000</v>
      </c>
      <c r="C50" s="9">
        <v>1</v>
      </c>
      <c r="D50" s="9">
        <v>1</v>
      </c>
      <c r="E50" s="9">
        <v>1</v>
      </c>
      <c r="F50" s="9">
        <f t="shared" si="4"/>
        <v>500000</v>
      </c>
    </row>
    <row r="51" spans="1:6" x14ac:dyDescent="0.35">
      <c r="A51" t="s">
        <v>94</v>
      </c>
      <c r="B51" s="9">
        <v>0</v>
      </c>
      <c r="C51">
        <v>0</v>
      </c>
      <c r="D51">
        <v>0</v>
      </c>
      <c r="E51">
        <v>0</v>
      </c>
      <c r="F51" s="9">
        <f t="shared" si="4"/>
        <v>0</v>
      </c>
    </row>
    <row r="52" spans="1:6" x14ac:dyDescent="0.35">
      <c r="A52" t="s">
        <v>95</v>
      </c>
      <c r="B52" s="13">
        <v>2500</v>
      </c>
      <c r="C52">
        <v>10</v>
      </c>
      <c r="D52">
        <v>21</v>
      </c>
      <c r="E52">
        <v>10</v>
      </c>
      <c r="F52" s="9">
        <f t="shared" si="4"/>
        <v>5250000</v>
      </c>
    </row>
    <row r="53" spans="1:6" x14ac:dyDescent="0.35">
      <c r="A53" t="s">
        <v>96</v>
      </c>
      <c r="B53" s="9">
        <v>0</v>
      </c>
      <c r="C53">
        <v>0</v>
      </c>
      <c r="D53">
        <v>0</v>
      </c>
      <c r="E53">
        <v>0</v>
      </c>
      <c r="F53" s="9">
        <f t="shared" si="4"/>
        <v>0</v>
      </c>
    </row>
    <row r="54" spans="1:6" x14ac:dyDescent="0.35">
      <c r="A54" t="s">
        <v>97</v>
      </c>
      <c r="B54" s="9">
        <v>0</v>
      </c>
      <c r="C54">
        <v>0</v>
      </c>
      <c r="D54">
        <v>0</v>
      </c>
      <c r="E54">
        <v>0</v>
      </c>
      <c r="F54" s="9">
        <f t="shared" si="4"/>
        <v>0</v>
      </c>
    </row>
    <row r="55" spans="1:6" x14ac:dyDescent="0.35">
      <c r="A55" t="s">
        <v>98</v>
      </c>
      <c r="B55" s="9">
        <v>0</v>
      </c>
      <c r="C55">
        <v>0</v>
      </c>
      <c r="D55">
        <v>0</v>
      </c>
      <c r="E55">
        <v>0</v>
      </c>
      <c r="F55" s="9">
        <f t="shared" si="4"/>
        <v>0</v>
      </c>
    </row>
    <row r="56" spans="1:6" x14ac:dyDescent="0.35">
      <c r="F56" s="10">
        <f>SUM(F47:F55)</f>
        <v>38720000</v>
      </c>
    </row>
    <row r="59" spans="1:6" x14ac:dyDescent="0.35">
      <c r="A59" t="s">
        <v>106</v>
      </c>
    </row>
    <row r="60" spans="1:6" x14ac:dyDescent="0.35">
      <c r="A60" t="s">
        <v>86</v>
      </c>
      <c r="B60" s="9" t="s">
        <v>87</v>
      </c>
      <c r="C60" t="s">
        <v>88</v>
      </c>
      <c r="D60" t="s">
        <v>99</v>
      </c>
      <c r="E60" t="s">
        <v>100</v>
      </c>
      <c r="F60" t="s">
        <v>89</v>
      </c>
    </row>
    <row r="61" spans="1:6" x14ac:dyDescent="0.35">
      <c r="A61" t="s">
        <v>90</v>
      </c>
      <c r="B61" s="9">
        <v>14000</v>
      </c>
      <c r="C61">
        <v>10</v>
      </c>
      <c r="D61">
        <v>1</v>
      </c>
      <c r="E61">
        <v>5</v>
      </c>
      <c r="F61" s="9">
        <f>B61*C61*D61*E61</f>
        <v>700000</v>
      </c>
    </row>
    <row r="62" spans="1:6" x14ac:dyDescent="0.35">
      <c r="A62" t="s">
        <v>91</v>
      </c>
      <c r="B62" s="9">
        <v>0</v>
      </c>
      <c r="C62">
        <v>0</v>
      </c>
      <c r="D62">
        <v>0</v>
      </c>
      <c r="E62">
        <v>0</v>
      </c>
      <c r="F62" s="9">
        <f t="shared" ref="F62:F63" si="5">B62*C62*D62*E62</f>
        <v>0</v>
      </c>
    </row>
    <row r="63" spans="1:6" x14ac:dyDescent="0.35">
      <c r="A63" t="s">
        <v>92</v>
      </c>
      <c r="B63" s="9">
        <v>200</v>
      </c>
      <c r="C63">
        <v>85</v>
      </c>
      <c r="D63">
        <v>1</v>
      </c>
      <c r="E63">
        <v>5</v>
      </c>
      <c r="F63" s="9">
        <f t="shared" si="5"/>
        <v>85000</v>
      </c>
    </row>
    <row r="64" spans="1:6" x14ac:dyDescent="0.35">
      <c r="A64" t="s">
        <v>93</v>
      </c>
      <c r="B64" s="9">
        <v>0</v>
      </c>
      <c r="C64">
        <v>0</v>
      </c>
      <c r="D64">
        <v>0</v>
      </c>
      <c r="E64">
        <v>0</v>
      </c>
      <c r="F64" s="9">
        <v>0</v>
      </c>
    </row>
    <row r="65" spans="1:6" x14ac:dyDescent="0.35">
      <c r="A65" t="s">
        <v>94</v>
      </c>
      <c r="B65" s="9">
        <v>0</v>
      </c>
      <c r="C65">
        <v>0</v>
      </c>
      <c r="D65">
        <v>0</v>
      </c>
      <c r="E65">
        <v>0</v>
      </c>
      <c r="F65" s="9">
        <f t="shared" ref="F65:F69" si="6">B65*C65*D65*E65</f>
        <v>0</v>
      </c>
    </row>
    <row r="66" spans="1:6" x14ac:dyDescent="0.35">
      <c r="A66" t="s">
        <v>95</v>
      </c>
      <c r="B66" s="9">
        <v>5000</v>
      </c>
      <c r="C66">
        <v>30</v>
      </c>
      <c r="D66">
        <v>1</v>
      </c>
      <c r="E66">
        <v>5</v>
      </c>
      <c r="F66" s="9">
        <f t="shared" si="6"/>
        <v>750000</v>
      </c>
    </row>
    <row r="67" spans="1:6" x14ac:dyDescent="0.35">
      <c r="A67" t="s">
        <v>96</v>
      </c>
      <c r="B67" s="9">
        <v>2000</v>
      </c>
      <c r="C67">
        <v>5</v>
      </c>
      <c r="D67">
        <v>6</v>
      </c>
      <c r="E67">
        <v>5</v>
      </c>
      <c r="F67" s="9">
        <f t="shared" si="6"/>
        <v>300000</v>
      </c>
    </row>
    <row r="68" spans="1:6" x14ac:dyDescent="0.35">
      <c r="A68" t="s">
        <v>105</v>
      </c>
      <c r="B68" s="9">
        <v>0</v>
      </c>
      <c r="C68">
        <v>0</v>
      </c>
      <c r="D68">
        <v>0</v>
      </c>
      <c r="E68">
        <v>0</v>
      </c>
      <c r="F68" s="9">
        <f t="shared" si="6"/>
        <v>0</v>
      </c>
    </row>
    <row r="69" spans="1:6" x14ac:dyDescent="0.35">
      <c r="A69" t="s">
        <v>98</v>
      </c>
      <c r="B69" s="9">
        <v>0</v>
      </c>
      <c r="C69">
        <v>0</v>
      </c>
      <c r="D69">
        <v>0</v>
      </c>
      <c r="E69">
        <v>0</v>
      </c>
      <c r="F69" s="9">
        <f t="shared" si="6"/>
        <v>0</v>
      </c>
    </row>
    <row r="70" spans="1:6" x14ac:dyDescent="0.35">
      <c r="F70" s="10">
        <f>SUM(F61:F69)</f>
        <v>1835000</v>
      </c>
    </row>
    <row r="73" spans="1:6" x14ac:dyDescent="0.35">
      <c r="A73" t="s">
        <v>107</v>
      </c>
    </row>
    <row r="74" spans="1:6" x14ac:dyDescent="0.35">
      <c r="A74" t="s">
        <v>86</v>
      </c>
      <c r="B74" s="9" t="s">
        <v>87</v>
      </c>
      <c r="C74" t="s">
        <v>88</v>
      </c>
      <c r="D74" t="s">
        <v>99</v>
      </c>
      <c r="E74" t="s">
        <v>100</v>
      </c>
      <c r="F74" t="s">
        <v>89</v>
      </c>
    </row>
    <row r="75" spans="1:6" x14ac:dyDescent="0.35">
      <c r="A75" t="s">
        <v>90</v>
      </c>
      <c r="B75" s="9">
        <v>14000</v>
      </c>
      <c r="C75">
        <v>10</v>
      </c>
      <c r="D75">
        <v>5</v>
      </c>
      <c r="E75">
        <v>5</v>
      </c>
      <c r="F75" s="9">
        <f>B75*C75*D75*E75</f>
        <v>3500000</v>
      </c>
    </row>
    <row r="76" spans="1:6" x14ac:dyDescent="0.35">
      <c r="A76" t="s">
        <v>91</v>
      </c>
      <c r="B76" s="9">
        <v>0</v>
      </c>
      <c r="C76">
        <v>0</v>
      </c>
      <c r="D76">
        <v>0</v>
      </c>
      <c r="E76">
        <v>0</v>
      </c>
      <c r="F76" s="9">
        <f t="shared" ref="F76:F78" si="7">B76*C76*D76*E76</f>
        <v>0</v>
      </c>
    </row>
    <row r="77" spans="1:6" x14ac:dyDescent="0.35">
      <c r="A77" t="s">
        <v>92</v>
      </c>
      <c r="B77" s="9">
        <v>200</v>
      </c>
      <c r="C77">
        <v>85</v>
      </c>
      <c r="D77">
        <v>5</v>
      </c>
      <c r="E77">
        <v>5</v>
      </c>
      <c r="F77" s="9">
        <f t="shared" si="7"/>
        <v>425000</v>
      </c>
    </row>
    <row r="78" spans="1:6" x14ac:dyDescent="0.35">
      <c r="A78" t="s">
        <v>93</v>
      </c>
      <c r="B78" s="9">
        <v>200000</v>
      </c>
      <c r="C78">
        <v>1</v>
      </c>
      <c r="D78">
        <v>1</v>
      </c>
      <c r="E78">
        <v>5</v>
      </c>
      <c r="F78" s="9">
        <f t="shared" si="7"/>
        <v>1000000</v>
      </c>
    </row>
    <row r="79" spans="1:6" x14ac:dyDescent="0.35">
      <c r="A79" t="s">
        <v>94</v>
      </c>
      <c r="B79" s="9">
        <v>0</v>
      </c>
      <c r="C79">
        <v>0</v>
      </c>
      <c r="D79">
        <v>0</v>
      </c>
      <c r="E79">
        <v>0</v>
      </c>
      <c r="F79" s="9">
        <f t="shared" ref="F79:F83" si="8">B79*C79*D79*E79</f>
        <v>0</v>
      </c>
    </row>
    <row r="80" spans="1:6" x14ac:dyDescent="0.35">
      <c r="A80" t="s">
        <v>95</v>
      </c>
      <c r="B80" s="9">
        <v>0</v>
      </c>
      <c r="C80">
        <v>0</v>
      </c>
      <c r="D80">
        <v>0</v>
      </c>
      <c r="E80">
        <v>0</v>
      </c>
      <c r="F80" s="9">
        <f t="shared" si="8"/>
        <v>0</v>
      </c>
    </row>
    <row r="81" spans="1:6" x14ac:dyDescent="0.35">
      <c r="A81" t="s">
        <v>96</v>
      </c>
      <c r="B81" s="9">
        <v>0</v>
      </c>
      <c r="C81">
        <v>0</v>
      </c>
      <c r="D81">
        <v>0</v>
      </c>
      <c r="E81">
        <v>0</v>
      </c>
      <c r="F81" s="9">
        <f t="shared" si="8"/>
        <v>0</v>
      </c>
    </row>
    <row r="82" spans="1:6" x14ac:dyDescent="0.35">
      <c r="A82" t="s">
        <v>105</v>
      </c>
      <c r="B82" s="9">
        <v>0</v>
      </c>
      <c r="C82">
        <v>0</v>
      </c>
      <c r="D82">
        <v>0</v>
      </c>
      <c r="E82">
        <v>0</v>
      </c>
      <c r="F82" s="9">
        <f t="shared" si="8"/>
        <v>0</v>
      </c>
    </row>
    <row r="83" spans="1:6" x14ac:dyDescent="0.35">
      <c r="A83" t="s">
        <v>98</v>
      </c>
      <c r="B83" s="9">
        <v>0</v>
      </c>
      <c r="C83">
        <v>0</v>
      </c>
      <c r="D83">
        <v>0</v>
      </c>
      <c r="E83">
        <v>0</v>
      </c>
      <c r="F83" s="9">
        <f t="shared" si="8"/>
        <v>0</v>
      </c>
    </row>
    <row r="84" spans="1:6" x14ac:dyDescent="0.35">
      <c r="F84" s="10">
        <f>SUM(F75:F83)</f>
        <v>4925000</v>
      </c>
    </row>
    <row r="86" spans="1:6" x14ac:dyDescent="0.35">
      <c r="A86" t="s">
        <v>108</v>
      </c>
    </row>
    <row r="87" spans="1:6" x14ac:dyDescent="0.35">
      <c r="A87" t="s">
        <v>86</v>
      </c>
      <c r="B87" s="9" t="s">
        <v>87</v>
      </c>
      <c r="C87" t="s">
        <v>88</v>
      </c>
      <c r="D87" t="s">
        <v>99</v>
      </c>
      <c r="E87" t="s">
        <v>100</v>
      </c>
      <c r="F87" t="s">
        <v>89</v>
      </c>
    </row>
    <row r="88" spans="1:6" x14ac:dyDescent="0.35">
      <c r="A88" t="s">
        <v>90</v>
      </c>
      <c r="B88" s="9">
        <v>14000</v>
      </c>
      <c r="C88">
        <v>10</v>
      </c>
      <c r="D88">
        <v>1</v>
      </c>
      <c r="E88">
        <v>5</v>
      </c>
      <c r="F88" s="9">
        <f>B88*C88*D88*E88</f>
        <v>700000</v>
      </c>
    </row>
    <row r="89" spans="1:6" x14ac:dyDescent="0.35">
      <c r="A89" t="s">
        <v>91</v>
      </c>
      <c r="B89" s="9">
        <v>0</v>
      </c>
      <c r="C89">
        <v>0</v>
      </c>
      <c r="D89">
        <v>0</v>
      </c>
      <c r="E89">
        <v>0</v>
      </c>
      <c r="F89" s="9">
        <f t="shared" ref="F89:F90" si="9">B89*C89*D89*E89</f>
        <v>0</v>
      </c>
    </row>
    <row r="90" spans="1:6" x14ac:dyDescent="0.35">
      <c r="A90" t="s">
        <v>92</v>
      </c>
      <c r="B90" s="9">
        <v>200</v>
      </c>
      <c r="C90">
        <v>85</v>
      </c>
      <c r="D90">
        <v>1</v>
      </c>
      <c r="E90">
        <v>5</v>
      </c>
      <c r="F90" s="9">
        <f t="shared" si="9"/>
        <v>85000</v>
      </c>
    </row>
    <row r="91" spans="1:6" x14ac:dyDescent="0.35">
      <c r="A91" t="s">
        <v>93</v>
      </c>
      <c r="B91" s="9">
        <v>0</v>
      </c>
      <c r="C91">
        <v>0</v>
      </c>
      <c r="D91">
        <v>0</v>
      </c>
      <c r="E91">
        <v>0</v>
      </c>
      <c r="F91" s="9">
        <v>0</v>
      </c>
    </row>
    <row r="92" spans="1:6" x14ac:dyDescent="0.35">
      <c r="A92" t="s">
        <v>94</v>
      </c>
      <c r="B92" s="9">
        <v>0</v>
      </c>
      <c r="C92">
        <v>0</v>
      </c>
      <c r="D92">
        <v>0</v>
      </c>
      <c r="E92">
        <v>0</v>
      </c>
      <c r="F92" s="9">
        <f t="shared" ref="F92:F96" si="10">B92*C92*D92*E92</f>
        <v>0</v>
      </c>
    </row>
    <row r="93" spans="1:6" x14ac:dyDescent="0.35">
      <c r="A93" t="s">
        <v>95</v>
      </c>
      <c r="B93" s="9">
        <v>2000</v>
      </c>
      <c r="C93">
        <v>30</v>
      </c>
      <c r="D93">
        <v>1</v>
      </c>
      <c r="E93">
        <v>5</v>
      </c>
      <c r="F93" s="9">
        <f t="shared" si="10"/>
        <v>300000</v>
      </c>
    </row>
    <row r="94" spans="1:6" x14ac:dyDescent="0.35">
      <c r="A94" t="s">
        <v>96</v>
      </c>
      <c r="B94" s="9">
        <v>2000</v>
      </c>
      <c r="C94">
        <v>5</v>
      </c>
      <c r="D94">
        <v>6</v>
      </c>
      <c r="E94">
        <v>6</v>
      </c>
      <c r="F94" s="9">
        <f t="shared" si="10"/>
        <v>360000</v>
      </c>
    </row>
    <row r="95" spans="1:6" x14ac:dyDescent="0.35">
      <c r="A95" t="s">
        <v>105</v>
      </c>
      <c r="B95" s="9">
        <v>0</v>
      </c>
      <c r="C95">
        <v>0</v>
      </c>
      <c r="D95">
        <v>0</v>
      </c>
      <c r="E95">
        <v>0</v>
      </c>
      <c r="F95" s="9">
        <f t="shared" si="10"/>
        <v>0</v>
      </c>
    </row>
    <row r="96" spans="1:6" x14ac:dyDescent="0.35">
      <c r="A96" t="s">
        <v>98</v>
      </c>
      <c r="B96" s="9">
        <v>0</v>
      </c>
      <c r="C96">
        <v>0</v>
      </c>
      <c r="D96">
        <v>0</v>
      </c>
      <c r="E96">
        <v>0</v>
      </c>
      <c r="F96" s="9">
        <f t="shared" si="10"/>
        <v>0</v>
      </c>
    </row>
    <row r="97" spans="1:6" x14ac:dyDescent="0.35">
      <c r="F97" s="10">
        <f>SUM(F88:F96)</f>
        <v>1445000</v>
      </c>
    </row>
    <row r="99" spans="1:6" x14ac:dyDescent="0.35">
      <c r="A99" t="s">
        <v>110</v>
      </c>
    </row>
    <row r="100" spans="1:6" x14ac:dyDescent="0.35">
      <c r="A100" t="s">
        <v>86</v>
      </c>
      <c r="B100" s="9" t="s">
        <v>87</v>
      </c>
      <c r="C100" t="s">
        <v>88</v>
      </c>
      <c r="D100" t="s">
        <v>99</v>
      </c>
      <c r="E100" t="s">
        <v>100</v>
      </c>
      <c r="F100" t="s">
        <v>89</v>
      </c>
    </row>
    <row r="101" spans="1:6" x14ac:dyDescent="0.35">
      <c r="A101" t="s">
        <v>90</v>
      </c>
      <c r="B101" s="9">
        <v>14000</v>
      </c>
      <c r="C101">
        <v>10</v>
      </c>
      <c r="D101">
        <v>10</v>
      </c>
      <c r="E101">
        <v>5</v>
      </c>
      <c r="F101" s="9">
        <f>B101*C101*D101*E101</f>
        <v>7000000</v>
      </c>
    </row>
    <row r="102" spans="1:6" x14ac:dyDescent="0.35">
      <c r="A102" t="s">
        <v>91</v>
      </c>
      <c r="B102" s="9">
        <v>0</v>
      </c>
      <c r="C102">
        <v>0</v>
      </c>
      <c r="D102">
        <v>0</v>
      </c>
      <c r="E102">
        <v>0</v>
      </c>
      <c r="F102" s="9">
        <f t="shared" ref="F102:F103" si="11">B102*C102*D102*E102</f>
        <v>0</v>
      </c>
    </row>
    <row r="103" spans="1:6" x14ac:dyDescent="0.35">
      <c r="A103" t="s">
        <v>92</v>
      </c>
      <c r="B103" s="9">
        <v>200</v>
      </c>
      <c r="C103">
        <v>85</v>
      </c>
      <c r="D103">
        <v>10</v>
      </c>
      <c r="E103">
        <v>5</v>
      </c>
      <c r="F103" s="9">
        <f t="shared" si="11"/>
        <v>850000</v>
      </c>
    </row>
    <row r="104" spans="1:6" x14ac:dyDescent="0.35">
      <c r="A104" t="s">
        <v>93</v>
      </c>
      <c r="B104" s="9">
        <v>0</v>
      </c>
      <c r="C104">
        <v>0</v>
      </c>
      <c r="D104">
        <v>0</v>
      </c>
      <c r="E104">
        <v>0</v>
      </c>
      <c r="F104" s="9">
        <v>500000</v>
      </c>
    </row>
    <row r="105" spans="1:6" x14ac:dyDescent="0.35">
      <c r="A105" t="s">
        <v>94</v>
      </c>
      <c r="B105" s="9">
        <v>0</v>
      </c>
      <c r="C105">
        <v>0</v>
      </c>
      <c r="D105">
        <v>0</v>
      </c>
      <c r="E105">
        <v>0</v>
      </c>
      <c r="F105" s="9">
        <f t="shared" ref="F105:F106" si="12">B105*C105*D105*E105</f>
        <v>0</v>
      </c>
    </row>
    <row r="106" spans="1:6" x14ac:dyDescent="0.35">
      <c r="A106" t="s">
        <v>105</v>
      </c>
      <c r="B106" s="9">
        <v>100000</v>
      </c>
      <c r="C106">
        <v>1</v>
      </c>
      <c r="D106">
        <v>1</v>
      </c>
      <c r="E106">
        <v>5</v>
      </c>
      <c r="F106" s="9">
        <f t="shared" si="12"/>
        <v>500000</v>
      </c>
    </row>
    <row r="107" spans="1:6" x14ac:dyDescent="0.35">
      <c r="A107" t="s">
        <v>98</v>
      </c>
      <c r="B107" s="9">
        <v>0</v>
      </c>
      <c r="C107">
        <v>0</v>
      </c>
      <c r="D107">
        <v>0</v>
      </c>
      <c r="E107">
        <v>0</v>
      </c>
      <c r="F107" s="9">
        <v>150000</v>
      </c>
    </row>
    <row r="108" spans="1:6" x14ac:dyDescent="0.35">
      <c r="F108" s="10">
        <f>SUM(F101:F107)</f>
        <v>9000000</v>
      </c>
    </row>
    <row r="112" spans="1:6" x14ac:dyDescent="0.35">
      <c r="A112" s="14" t="s">
        <v>111</v>
      </c>
      <c r="B112" s="15"/>
      <c r="C112" s="14"/>
      <c r="D112" s="14"/>
      <c r="E112" s="14"/>
      <c r="F112" s="14"/>
    </row>
    <row r="113" spans="1:6" x14ac:dyDescent="0.35">
      <c r="A113" s="14" t="s">
        <v>86</v>
      </c>
      <c r="B113" s="15" t="s">
        <v>87</v>
      </c>
      <c r="C113" s="14" t="s">
        <v>88</v>
      </c>
      <c r="D113" s="14" t="s">
        <v>99</v>
      </c>
      <c r="E113" s="14" t="s">
        <v>100</v>
      </c>
      <c r="F113" s="14" t="s">
        <v>89</v>
      </c>
    </row>
    <row r="114" spans="1:6" x14ac:dyDescent="0.35">
      <c r="A114" s="14" t="s">
        <v>90</v>
      </c>
      <c r="B114" s="15">
        <v>14000</v>
      </c>
      <c r="C114" s="14">
        <v>10</v>
      </c>
      <c r="D114" s="14">
        <v>5</v>
      </c>
      <c r="E114" s="14">
        <v>5</v>
      </c>
      <c r="F114" s="15">
        <f>B114*C114*D114*E114</f>
        <v>3500000</v>
      </c>
    </row>
    <row r="115" spans="1:6" x14ac:dyDescent="0.35">
      <c r="A115" s="14" t="s">
        <v>91</v>
      </c>
      <c r="B115" s="15">
        <v>0</v>
      </c>
      <c r="C115" s="14">
        <v>0</v>
      </c>
      <c r="D115" s="14">
        <v>0</v>
      </c>
      <c r="E115" s="14">
        <v>0</v>
      </c>
      <c r="F115" s="15">
        <f t="shared" ref="F115:F116" si="13">B115*C115*D115*E115</f>
        <v>0</v>
      </c>
    </row>
    <row r="116" spans="1:6" x14ac:dyDescent="0.35">
      <c r="A116" s="14" t="s">
        <v>92</v>
      </c>
      <c r="B116" s="15">
        <v>200</v>
      </c>
      <c r="C116" s="14">
        <v>85</v>
      </c>
      <c r="D116" s="14">
        <v>5</v>
      </c>
      <c r="E116" s="14">
        <v>5</v>
      </c>
      <c r="F116" s="15">
        <f t="shared" si="13"/>
        <v>425000</v>
      </c>
    </row>
    <row r="117" spans="1:6" x14ac:dyDescent="0.35">
      <c r="A117" s="14" t="s">
        <v>93</v>
      </c>
      <c r="B117" s="15">
        <v>0</v>
      </c>
      <c r="C117" s="14">
        <v>0</v>
      </c>
      <c r="D117" s="14">
        <v>0</v>
      </c>
      <c r="E117" s="14">
        <v>0</v>
      </c>
      <c r="F117" s="15">
        <v>0</v>
      </c>
    </row>
    <row r="118" spans="1:6" x14ac:dyDescent="0.35">
      <c r="A118" s="14" t="s">
        <v>94</v>
      </c>
      <c r="B118" s="15">
        <v>28000</v>
      </c>
      <c r="C118" s="14">
        <v>2</v>
      </c>
      <c r="D118" s="14">
        <v>1</v>
      </c>
      <c r="E118" s="14">
        <v>1</v>
      </c>
      <c r="F118" s="15">
        <f t="shared" ref="F118:F121" si="14">B118*C118*D118*E118</f>
        <v>56000</v>
      </c>
    </row>
    <row r="119" spans="1:6" x14ac:dyDescent="0.35">
      <c r="A119" s="14" t="s">
        <v>105</v>
      </c>
      <c r="B119" s="15">
        <v>0</v>
      </c>
      <c r="C119" s="14">
        <v>0</v>
      </c>
      <c r="D119" s="14">
        <v>0</v>
      </c>
      <c r="E119" s="14">
        <v>0</v>
      </c>
      <c r="F119" s="15">
        <f t="shared" si="14"/>
        <v>0</v>
      </c>
    </row>
    <row r="120" spans="1:6" x14ac:dyDescent="0.35">
      <c r="A120" s="14" t="s">
        <v>116</v>
      </c>
      <c r="B120" s="15">
        <v>500000</v>
      </c>
      <c r="C120" s="14">
        <v>1</v>
      </c>
      <c r="D120" s="14">
        <v>1</v>
      </c>
      <c r="E120" s="14">
        <v>1</v>
      </c>
      <c r="F120" s="15">
        <f t="shared" si="14"/>
        <v>500000</v>
      </c>
    </row>
    <row r="121" spans="1:6" x14ac:dyDescent="0.35">
      <c r="A121" s="14" t="s">
        <v>98</v>
      </c>
      <c r="B121" s="15">
        <v>0</v>
      </c>
      <c r="C121" s="14">
        <v>1</v>
      </c>
      <c r="D121" s="14">
        <v>1</v>
      </c>
      <c r="E121" s="14">
        <v>0</v>
      </c>
      <c r="F121" s="15">
        <f t="shared" si="14"/>
        <v>0</v>
      </c>
    </row>
    <row r="122" spans="1:6" x14ac:dyDescent="0.35">
      <c r="A122" s="14"/>
      <c r="B122" s="15"/>
      <c r="C122" s="14"/>
      <c r="D122" s="14"/>
      <c r="E122" s="14"/>
      <c r="F122" s="16">
        <f>SUM(F114:F121)</f>
        <v>4481000</v>
      </c>
    </row>
    <row r="125" spans="1:6" x14ac:dyDescent="0.35">
      <c r="A125" s="14" t="s">
        <v>112</v>
      </c>
      <c r="B125" s="15"/>
      <c r="C125" s="14"/>
      <c r="D125" s="14"/>
      <c r="E125" s="14"/>
      <c r="F125" s="14"/>
    </row>
    <row r="126" spans="1:6" x14ac:dyDescent="0.35">
      <c r="A126" s="14" t="s">
        <v>86</v>
      </c>
      <c r="B126" s="15" t="s">
        <v>87</v>
      </c>
      <c r="C126" s="14" t="s">
        <v>88</v>
      </c>
      <c r="D126" s="14" t="s">
        <v>99</v>
      </c>
      <c r="E126" s="14" t="s">
        <v>100</v>
      </c>
      <c r="F126" s="14" t="s">
        <v>89</v>
      </c>
    </row>
    <row r="127" spans="1:6" x14ac:dyDescent="0.35">
      <c r="A127" s="14" t="s">
        <v>90</v>
      </c>
      <c r="B127" s="15">
        <v>14000</v>
      </c>
      <c r="C127" s="14">
        <v>10</v>
      </c>
      <c r="D127" s="14">
        <v>5</v>
      </c>
      <c r="E127" s="14">
        <v>5</v>
      </c>
      <c r="F127" s="15">
        <f>B127*C127*D127*E127</f>
        <v>3500000</v>
      </c>
    </row>
    <row r="128" spans="1:6" x14ac:dyDescent="0.35">
      <c r="A128" s="14" t="s">
        <v>91</v>
      </c>
      <c r="B128" s="15">
        <v>0</v>
      </c>
      <c r="C128" s="14">
        <v>0</v>
      </c>
      <c r="D128" s="14">
        <v>0</v>
      </c>
      <c r="E128" s="14">
        <v>0</v>
      </c>
      <c r="F128" s="15">
        <f t="shared" ref="F128:F134" si="15">B128*C128*D128*E128</f>
        <v>0</v>
      </c>
    </row>
    <row r="129" spans="1:6" x14ac:dyDescent="0.35">
      <c r="A129" s="14" t="s">
        <v>92</v>
      </c>
      <c r="B129" s="15">
        <v>200</v>
      </c>
      <c r="C129" s="14">
        <v>85</v>
      </c>
      <c r="D129" s="14">
        <v>5</v>
      </c>
      <c r="E129" s="14">
        <v>5</v>
      </c>
      <c r="F129" s="15">
        <f t="shared" si="15"/>
        <v>425000</v>
      </c>
    </row>
    <row r="130" spans="1:6" x14ac:dyDescent="0.35">
      <c r="A130" s="14" t="s">
        <v>93</v>
      </c>
      <c r="B130" s="15">
        <v>500000</v>
      </c>
      <c r="C130" s="14">
        <v>1</v>
      </c>
      <c r="D130" s="14">
        <v>1</v>
      </c>
      <c r="E130" s="14">
        <v>1</v>
      </c>
      <c r="F130" s="15">
        <f t="shared" si="15"/>
        <v>500000</v>
      </c>
    </row>
    <row r="131" spans="1:6" x14ac:dyDescent="0.35">
      <c r="A131" s="14" t="s">
        <v>94</v>
      </c>
      <c r="B131" s="15">
        <v>0</v>
      </c>
      <c r="C131" s="14">
        <v>0</v>
      </c>
      <c r="D131" s="14">
        <v>0</v>
      </c>
      <c r="E131" s="14">
        <v>0</v>
      </c>
      <c r="F131" s="15">
        <f t="shared" si="15"/>
        <v>0</v>
      </c>
    </row>
    <row r="132" spans="1:6" x14ac:dyDescent="0.35">
      <c r="A132" s="14" t="s">
        <v>105</v>
      </c>
      <c r="B132" s="15">
        <v>0</v>
      </c>
      <c r="C132" s="14">
        <v>0</v>
      </c>
      <c r="D132" s="14">
        <v>0</v>
      </c>
      <c r="E132" s="14">
        <v>0</v>
      </c>
      <c r="F132" s="15">
        <f t="shared" si="15"/>
        <v>0</v>
      </c>
    </row>
    <row r="133" spans="1:6" x14ac:dyDescent="0.35">
      <c r="A133" s="14" t="s">
        <v>116</v>
      </c>
      <c r="B133" s="15">
        <v>200000</v>
      </c>
      <c r="C133" s="14">
        <v>1</v>
      </c>
      <c r="D133" s="14">
        <v>1</v>
      </c>
      <c r="E133" s="14">
        <v>5</v>
      </c>
      <c r="F133" s="15">
        <f t="shared" si="15"/>
        <v>1000000</v>
      </c>
    </row>
    <row r="134" spans="1:6" x14ac:dyDescent="0.35">
      <c r="A134" s="14" t="s">
        <v>98</v>
      </c>
      <c r="B134" s="15">
        <v>0</v>
      </c>
      <c r="C134" s="14">
        <v>0</v>
      </c>
      <c r="D134" s="14">
        <v>0</v>
      </c>
      <c r="E134" s="14">
        <v>0</v>
      </c>
      <c r="F134" s="15">
        <f t="shared" si="15"/>
        <v>0</v>
      </c>
    </row>
    <row r="135" spans="1:6" x14ac:dyDescent="0.35">
      <c r="A135" s="14"/>
      <c r="B135" s="15"/>
      <c r="C135" s="14"/>
      <c r="D135" s="14"/>
      <c r="E135" s="14"/>
      <c r="F135" s="16">
        <f>SUM(F127:F134)</f>
        <v>5425000</v>
      </c>
    </row>
    <row r="138" spans="1:6" x14ac:dyDescent="0.35">
      <c r="A138" s="14" t="s">
        <v>113</v>
      </c>
      <c r="B138" s="15"/>
      <c r="C138" s="14"/>
      <c r="D138" s="14"/>
      <c r="E138" s="14"/>
      <c r="F138" s="14"/>
    </row>
    <row r="139" spans="1:6" x14ac:dyDescent="0.35">
      <c r="A139" s="14" t="s">
        <v>86</v>
      </c>
      <c r="B139" s="15" t="s">
        <v>87</v>
      </c>
      <c r="C139" s="14" t="s">
        <v>88</v>
      </c>
      <c r="D139" s="14" t="s">
        <v>99</v>
      </c>
      <c r="E139" s="14" t="s">
        <v>100</v>
      </c>
      <c r="F139" s="14" t="s">
        <v>89</v>
      </c>
    </row>
    <row r="140" spans="1:6" x14ac:dyDescent="0.35">
      <c r="A140" s="14" t="s">
        <v>90</v>
      </c>
      <c r="B140" s="15">
        <v>14000</v>
      </c>
      <c r="C140" s="14">
        <v>10</v>
      </c>
      <c r="D140" s="14">
        <v>3</v>
      </c>
      <c r="E140" s="14">
        <v>5</v>
      </c>
      <c r="F140" s="15">
        <f>B140*C140*D140*E140</f>
        <v>2100000</v>
      </c>
    </row>
    <row r="141" spans="1:6" x14ac:dyDescent="0.35">
      <c r="A141" s="14" t="s">
        <v>91</v>
      </c>
      <c r="B141" s="15">
        <v>5000</v>
      </c>
      <c r="C141" s="14">
        <v>35</v>
      </c>
      <c r="D141" s="14">
        <v>3</v>
      </c>
      <c r="E141" s="14">
        <v>5</v>
      </c>
      <c r="F141" s="15">
        <f t="shared" ref="F141:F149" si="16">B141*C141*D141*E141</f>
        <v>2625000</v>
      </c>
    </row>
    <row r="142" spans="1:6" x14ac:dyDescent="0.35">
      <c r="A142" t="s">
        <v>96</v>
      </c>
      <c r="B142" s="9">
        <v>2000</v>
      </c>
      <c r="C142">
        <v>5</v>
      </c>
      <c r="D142">
        <v>30</v>
      </c>
      <c r="E142">
        <v>5</v>
      </c>
      <c r="F142" s="9">
        <f t="shared" si="16"/>
        <v>1500000</v>
      </c>
    </row>
    <row r="143" spans="1:6" x14ac:dyDescent="0.35">
      <c r="A143" s="14" t="s">
        <v>95</v>
      </c>
      <c r="B143" s="9">
        <v>5000</v>
      </c>
      <c r="C143" s="14">
        <v>20</v>
      </c>
      <c r="D143" s="14">
        <v>5</v>
      </c>
      <c r="E143" s="14">
        <v>5</v>
      </c>
      <c r="F143" s="9">
        <f t="shared" si="16"/>
        <v>2500000</v>
      </c>
    </row>
    <row r="144" spans="1:6" x14ac:dyDescent="0.35">
      <c r="A144" s="14" t="s">
        <v>92</v>
      </c>
      <c r="B144" s="15">
        <v>200</v>
      </c>
      <c r="C144" s="14">
        <v>85</v>
      </c>
      <c r="D144" s="14">
        <v>5</v>
      </c>
      <c r="E144" s="14">
        <v>5</v>
      </c>
      <c r="F144" s="15">
        <f t="shared" si="16"/>
        <v>425000</v>
      </c>
    </row>
    <row r="145" spans="1:6" x14ac:dyDescent="0.35">
      <c r="A145" s="14" t="s">
        <v>93</v>
      </c>
      <c r="B145" s="15">
        <v>500000</v>
      </c>
      <c r="C145" s="14">
        <v>1</v>
      </c>
      <c r="D145" s="14">
        <v>1</v>
      </c>
      <c r="E145" s="14">
        <v>1</v>
      </c>
      <c r="F145" s="15">
        <f t="shared" si="16"/>
        <v>500000</v>
      </c>
    </row>
    <row r="146" spans="1:6" x14ac:dyDescent="0.35">
      <c r="A146" s="14" t="s">
        <v>94</v>
      </c>
      <c r="B146" s="15">
        <v>0</v>
      </c>
      <c r="C146" s="14">
        <v>0</v>
      </c>
      <c r="D146" s="14">
        <v>0</v>
      </c>
      <c r="E146" s="14">
        <v>0</v>
      </c>
      <c r="F146" s="15">
        <f t="shared" si="16"/>
        <v>0</v>
      </c>
    </row>
    <row r="147" spans="1:6" x14ac:dyDescent="0.35">
      <c r="A147" s="14" t="s">
        <v>105</v>
      </c>
      <c r="B147" s="15">
        <v>0</v>
      </c>
      <c r="C147" s="14">
        <v>0</v>
      </c>
      <c r="D147" s="14">
        <v>0</v>
      </c>
      <c r="E147" s="14">
        <v>0</v>
      </c>
      <c r="F147" s="15">
        <f t="shared" si="16"/>
        <v>0</v>
      </c>
    </row>
    <row r="148" spans="1:6" x14ac:dyDescent="0.35">
      <c r="A148" s="14" t="s">
        <v>116</v>
      </c>
      <c r="B148" s="15">
        <v>500000</v>
      </c>
      <c r="C148" s="14">
        <v>1</v>
      </c>
      <c r="D148" s="14">
        <v>1</v>
      </c>
      <c r="E148" s="14">
        <v>5</v>
      </c>
      <c r="F148" s="15">
        <f t="shared" si="16"/>
        <v>2500000</v>
      </c>
    </row>
    <row r="149" spans="1:6" x14ac:dyDescent="0.35">
      <c r="A149" s="14" t="s">
        <v>98</v>
      </c>
      <c r="B149" s="15">
        <v>0</v>
      </c>
      <c r="C149" s="14">
        <v>0</v>
      </c>
      <c r="D149" s="14">
        <v>0</v>
      </c>
      <c r="E149" s="14">
        <v>0</v>
      </c>
      <c r="F149" s="15">
        <f t="shared" si="16"/>
        <v>0</v>
      </c>
    </row>
    <row r="150" spans="1:6" x14ac:dyDescent="0.35">
      <c r="A150" s="14"/>
      <c r="B150" s="15"/>
      <c r="C150" s="14"/>
      <c r="D150" s="14"/>
      <c r="E150" s="14"/>
      <c r="F150" s="135">
        <f>SUM(F140:F149)</f>
        <v>12150000</v>
      </c>
    </row>
    <row r="153" spans="1:6" x14ac:dyDescent="0.35">
      <c r="A153" s="14" t="s">
        <v>114</v>
      </c>
      <c r="B153" s="15"/>
      <c r="C153" s="14"/>
      <c r="D153" s="14"/>
      <c r="E153" s="14"/>
      <c r="F153" s="14"/>
    </row>
    <row r="154" spans="1:6" x14ac:dyDescent="0.35">
      <c r="A154" s="14" t="s">
        <v>86</v>
      </c>
      <c r="B154" s="15" t="s">
        <v>87</v>
      </c>
      <c r="C154" s="14" t="s">
        <v>88</v>
      </c>
      <c r="D154" s="14" t="s">
        <v>99</v>
      </c>
      <c r="E154" s="14" t="s">
        <v>100</v>
      </c>
      <c r="F154" s="14" t="s">
        <v>89</v>
      </c>
    </row>
    <row r="155" spans="1:6" x14ac:dyDescent="0.35">
      <c r="A155" s="14" t="s">
        <v>90</v>
      </c>
      <c r="B155" s="15">
        <v>14000</v>
      </c>
      <c r="C155" s="14">
        <v>10</v>
      </c>
      <c r="D155" s="14">
        <v>5</v>
      </c>
      <c r="E155" s="14">
        <v>5</v>
      </c>
      <c r="F155" s="15">
        <f>B155*C155*D155*E155</f>
        <v>3500000</v>
      </c>
    </row>
    <row r="156" spans="1:6" x14ac:dyDescent="0.35">
      <c r="A156" s="14" t="s">
        <v>91</v>
      </c>
      <c r="B156" s="15">
        <v>0</v>
      </c>
      <c r="C156" s="14">
        <v>0</v>
      </c>
      <c r="D156" s="14">
        <v>0</v>
      </c>
      <c r="E156" s="14">
        <v>0</v>
      </c>
      <c r="F156" s="15">
        <f t="shared" ref="F156:F164" si="17">B156*C156*D156*E156</f>
        <v>0</v>
      </c>
    </row>
    <row r="157" spans="1:6" x14ac:dyDescent="0.35">
      <c r="A157" t="s">
        <v>96</v>
      </c>
      <c r="B157" s="9">
        <v>2000</v>
      </c>
      <c r="C157">
        <v>5</v>
      </c>
      <c r="D157">
        <v>30</v>
      </c>
      <c r="E157">
        <v>5</v>
      </c>
      <c r="F157" s="9">
        <f t="shared" si="17"/>
        <v>1500000</v>
      </c>
    </row>
    <row r="158" spans="1:6" x14ac:dyDescent="0.35">
      <c r="A158" s="14" t="s">
        <v>95</v>
      </c>
      <c r="B158" s="9">
        <v>2000</v>
      </c>
      <c r="C158" s="14">
        <v>20</v>
      </c>
      <c r="D158" s="14">
        <v>2</v>
      </c>
      <c r="E158" s="14">
        <v>5</v>
      </c>
      <c r="F158" s="9">
        <f t="shared" si="17"/>
        <v>400000</v>
      </c>
    </row>
    <row r="159" spans="1:6" x14ac:dyDescent="0.35">
      <c r="A159" s="14" t="s">
        <v>92</v>
      </c>
      <c r="B159" s="15">
        <v>200</v>
      </c>
      <c r="C159" s="14">
        <v>85</v>
      </c>
      <c r="D159" s="14">
        <v>5</v>
      </c>
      <c r="E159" s="14">
        <v>5</v>
      </c>
      <c r="F159" s="15">
        <f t="shared" si="17"/>
        <v>425000</v>
      </c>
    </row>
    <row r="160" spans="1:6" x14ac:dyDescent="0.35">
      <c r="A160" s="14" t="s">
        <v>93</v>
      </c>
      <c r="B160" s="15">
        <v>500000</v>
      </c>
      <c r="C160" s="14">
        <v>1</v>
      </c>
      <c r="D160" s="14">
        <v>1</v>
      </c>
      <c r="E160" s="14">
        <v>1</v>
      </c>
      <c r="F160" s="15">
        <f t="shared" si="17"/>
        <v>500000</v>
      </c>
    </row>
    <row r="161" spans="1:6" x14ac:dyDescent="0.35">
      <c r="A161" s="14" t="s">
        <v>94</v>
      </c>
      <c r="B161" s="15">
        <v>28000</v>
      </c>
      <c r="C161" s="14">
        <v>4</v>
      </c>
      <c r="D161" s="14">
        <v>1</v>
      </c>
      <c r="E161" s="14">
        <v>1</v>
      </c>
      <c r="F161" s="15">
        <f t="shared" si="17"/>
        <v>112000</v>
      </c>
    </row>
    <row r="162" spans="1:6" x14ac:dyDescent="0.35">
      <c r="A162" s="14" t="s">
        <v>105</v>
      </c>
      <c r="B162" s="15">
        <v>0</v>
      </c>
      <c r="C162" s="14">
        <v>0</v>
      </c>
      <c r="D162" s="14">
        <v>0</v>
      </c>
      <c r="E162" s="14">
        <v>0</v>
      </c>
      <c r="F162" s="15">
        <f t="shared" si="17"/>
        <v>0</v>
      </c>
    </row>
    <row r="163" spans="1:6" x14ac:dyDescent="0.35">
      <c r="A163" s="14" t="s">
        <v>116</v>
      </c>
      <c r="B163" s="15">
        <v>0</v>
      </c>
      <c r="C163" s="14">
        <v>0</v>
      </c>
      <c r="D163" s="14">
        <v>0</v>
      </c>
      <c r="E163" s="14">
        <v>0</v>
      </c>
      <c r="F163" s="15">
        <f t="shared" si="17"/>
        <v>0</v>
      </c>
    </row>
    <row r="164" spans="1:6" x14ac:dyDescent="0.35">
      <c r="A164" s="14" t="s">
        <v>98</v>
      </c>
      <c r="B164" s="15">
        <v>150000</v>
      </c>
      <c r="C164" s="14">
        <v>1</v>
      </c>
      <c r="D164" s="14">
        <v>1</v>
      </c>
      <c r="E164" s="14">
        <v>10</v>
      </c>
      <c r="F164" s="15">
        <f t="shared" si="17"/>
        <v>1500000</v>
      </c>
    </row>
    <row r="165" spans="1:6" x14ac:dyDescent="0.35">
      <c r="A165" s="14"/>
      <c r="B165" s="15"/>
      <c r="C165" s="14"/>
      <c r="D165" s="14"/>
      <c r="E165" s="14"/>
      <c r="F165" s="16">
        <f>SUM(F155:F164)</f>
        <v>7937000</v>
      </c>
    </row>
    <row r="168" spans="1:6" x14ac:dyDescent="0.35">
      <c r="A168" s="14" t="s">
        <v>115</v>
      </c>
      <c r="B168" s="15"/>
      <c r="C168" s="14"/>
      <c r="D168" s="14"/>
      <c r="E168" s="14"/>
      <c r="F168" s="14"/>
    </row>
    <row r="169" spans="1:6" x14ac:dyDescent="0.35">
      <c r="A169" s="14" t="s">
        <v>86</v>
      </c>
      <c r="B169" s="15" t="s">
        <v>87</v>
      </c>
      <c r="C169" s="14" t="s">
        <v>88</v>
      </c>
      <c r="D169" s="14" t="s">
        <v>99</v>
      </c>
      <c r="E169" s="14" t="s">
        <v>100</v>
      </c>
      <c r="F169" s="14" t="s">
        <v>89</v>
      </c>
    </row>
    <row r="170" spans="1:6" x14ac:dyDescent="0.35">
      <c r="A170" s="14" t="s">
        <v>90</v>
      </c>
      <c r="B170" s="15">
        <v>0</v>
      </c>
      <c r="C170" s="14">
        <v>0</v>
      </c>
      <c r="D170" s="14">
        <v>0</v>
      </c>
      <c r="E170" s="14">
        <v>0</v>
      </c>
      <c r="F170" s="15">
        <f>B170*C170*D170*E170</f>
        <v>0</v>
      </c>
    </row>
    <row r="171" spans="1:6" x14ac:dyDescent="0.35">
      <c r="A171" s="14" t="s">
        <v>91</v>
      </c>
      <c r="B171" s="15">
        <v>5000</v>
      </c>
      <c r="C171" s="14">
        <v>35</v>
      </c>
      <c r="D171" s="14">
        <v>5</v>
      </c>
      <c r="E171" s="14">
        <v>6</v>
      </c>
      <c r="F171" s="15">
        <f t="shared" ref="F171:F178" si="18">B171*C171*D171*E171</f>
        <v>5250000</v>
      </c>
    </row>
    <row r="172" spans="1:6" x14ac:dyDescent="0.35">
      <c r="A172" s="14" t="s">
        <v>92</v>
      </c>
      <c r="B172" s="15">
        <v>200</v>
      </c>
      <c r="C172" s="14">
        <v>85</v>
      </c>
      <c r="D172" s="14">
        <v>5</v>
      </c>
      <c r="E172" s="14">
        <v>6</v>
      </c>
      <c r="F172" s="15">
        <f t="shared" si="18"/>
        <v>510000</v>
      </c>
    </row>
    <row r="173" spans="1:6" x14ac:dyDescent="0.35">
      <c r="A173" s="14" t="s">
        <v>93</v>
      </c>
      <c r="B173" s="15">
        <v>0</v>
      </c>
      <c r="C173" s="14">
        <v>0</v>
      </c>
      <c r="D173" s="14">
        <v>0</v>
      </c>
      <c r="E173" s="14">
        <v>0</v>
      </c>
      <c r="F173" s="15">
        <f t="shared" si="18"/>
        <v>0</v>
      </c>
    </row>
    <row r="174" spans="1:6" x14ac:dyDescent="0.35">
      <c r="A174" s="14" t="s">
        <v>124</v>
      </c>
      <c r="B174" s="15">
        <v>2000</v>
      </c>
      <c r="C174" s="14">
        <v>20</v>
      </c>
      <c r="D174" s="14">
        <v>2</v>
      </c>
      <c r="E174" s="14">
        <v>5</v>
      </c>
      <c r="F174" s="15">
        <f t="shared" si="18"/>
        <v>400000</v>
      </c>
    </row>
    <row r="175" spans="1:6" x14ac:dyDescent="0.35">
      <c r="A175" s="14" t="s">
        <v>94</v>
      </c>
      <c r="B175" s="15">
        <v>0</v>
      </c>
      <c r="C175" s="14">
        <v>0</v>
      </c>
      <c r="D175" s="14">
        <v>0</v>
      </c>
      <c r="E175" s="14">
        <v>0</v>
      </c>
      <c r="F175" s="15">
        <f t="shared" si="18"/>
        <v>0</v>
      </c>
    </row>
    <row r="176" spans="1:6" x14ac:dyDescent="0.35">
      <c r="A176" s="14" t="s">
        <v>105</v>
      </c>
      <c r="B176" s="15">
        <v>0</v>
      </c>
      <c r="C176" s="14">
        <v>0</v>
      </c>
      <c r="D176" s="14">
        <v>0</v>
      </c>
      <c r="E176" s="14">
        <v>0</v>
      </c>
      <c r="F176" s="15">
        <f t="shared" si="18"/>
        <v>0</v>
      </c>
    </row>
    <row r="177" spans="1:6" x14ac:dyDescent="0.35">
      <c r="A177" s="14" t="s">
        <v>116</v>
      </c>
      <c r="B177" s="15">
        <v>100000</v>
      </c>
      <c r="C177" s="14">
        <v>1</v>
      </c>
      <c r="D177" s="14">
        <v>1</v>
      </c>
      <c r="E177" s="14">
        <v>1</v>
      </c>
      <c r="F177" s="15">
        <f t="shared" si="18"/>
        <v>100000</v>
      </c>
    </row>
    <row r="178" spans="1:6" x14ac:dyDescent="0.35">
      <c r="A178" s="14" t="s">
        <v>98</v>
      </c>
      <c r="B178" s="15">
        <v>0</v>
      </c>
      <c r="C178" s="14">
        <v>0</v>
      </c>
      <c r="D178" s="14">
        <v>0</v>
      </c>
      <c r="E178" s="14">
        <v>0</v>
      </c>
      <c r="F178" s="15">
        <f t="shared" si="18"/>
        <v>0</v>
      </c>
    </row>
    <row r="179" spans="1:6" x14ac:dyDescent="0.35">
      <c r="A179" s="14"/>
      <c r="B179" s="15"/>
      <c r="C179" s="14"/>
      <c r="D179" s="14"/>
      <c r="E179" s="14"/>
      <c r="F179" s="16">
        <f>SUM(F170:F178)</f>
        <v>6260000</v>
      </c>
    </row>
    <row r="180" spans="1:6" x14ac:dyDescent="0.35">
      <c r="A180" s="14"/>
      <c r="B180" s="15"/>
      <c r="C180" s="14"/>
      <c r="D180" s="14"/>
      <c r="E180" s="14"/>
      <c r="F180" s="16"/>
    </row>
    <row r="183" spans="1:6" x14ac:dyDescent="0.35">
      <c r="A183" s="14" t="s">
        <v>118</v>
      </c>
      <c r="B183" s="15"/>
      <c r="C183" s="14"/>
      <c r="D183" s="14"/>
      <c r="E183" s="14"/>
      <c r="F183" s="14"/>
    </row>
    <row r="184" spans="1:6" x14ac:dyDescent="0.35">
      <c r="A184" s="14" t="s">
        <v>86</v>
      </c>
      <c r="B184" s="15" t="s">
        <v>87</v>
      </c>
      <c r="C184" s="14" t="s">
        <v>88</v>
      </c>
      <c r="D184" s="14" t="s">
        <v>99</v>
      </c>
      <c r="E184" s="14" t="s">
        <v>100</v>
      </c>
      <c r="F184" s="14" t="s">
        <v>89</v>
      </c>
    </row>
    <row r="185" spans="1:6" x14ac:dyDescent="0.35">
      <c r="A185" s="14" t="s">
        <v>90</v>
      </c>
      <c r="B185" s="15">
        <v>0</v>
      </c>
      <c r="C185" s="14">
        <v>0</v>
      </c>
      <c r="D185" s="14">
        <v>0</v>
      </c>
      <c r="E185" s="14">
        <v>0</v>
      </c>
      <c r="F185" s="15">
        <f>B185*C185*D185*E185</f>
        <v>0</v>
      </c>
    </row>
    <row r="186" spans="1:6" x14ac:dyDescent="0.35">
      <c r="A186" s="14" t="s">
        <v>91</v>
      </c>
      <c r="B186" s="15">
        <v>0</v>
      </c>
      <c r="C186" s="14">
        <v>0</v>
      </c>
      <c r="D186" s="14">
        <v>0</v>
      </c>
      <c r="E186" s="14">
        <v>0</v>
      </c>
      <c r="F186" s="15">
        <f t="shared" ref="F186:F194" si="19">B186*C186*D186*E186</f>
        <v>0</v>
      </c>
    </row>
    <row r="187" spans="1:6" x14ac:dyDescent="0.35">
      <c r="A187" t="s">
        <v>96</v>
      </c>
      <c r="B187" s="9">
        <v>0</v>
      </c>
      <c r="C187">
        <v>0</v>
      </c>
      <c r="D187">
        <v>0</v>
      </c>
      <c r="E187">
        <v>0</v>
      </c>
      <c r="F187" s="9">
        <f t="shared" si="19"/>
        <v>0</v>
      </c>
    </row>
    <row r="188" spans="1:6" x14ac:dyDescent="0.35">
      <c r="A188" s="14" t="s">
        <v>95</v>
      </c>
      <c r="B188" s="9">
        <v>2000</v>
      </c>
      <c r="C188" s="14">
        <v>6</v>
      </c>
      <c r="D188" s="14">
        <v>3</v>
      </c>
      <c r="E188" s="14">
        <v>5</v>
      </c>
      <c r="F188" s="9">
        <f t="shared" si="19"/>
        <v>180000</v>
      </c>
    </row>
    <row r="189" spans="1:6" x14ac:dyDescent="0.35">
      <c r="A189" s="14" t="s">
        <v>92</v>
      </c>
      <c r="B189" s="15">
        <v>200</v>
      </c>
      <c r="C189" s="14">
        <v>5</v>
      </c>
      <c r="D189" s="14">
        <v>90</v>
      </c>
      <c r="E189" s="14">
        <v>5</v>
      </c>
      <c r="F189" s="9">
        <f t="shared" si="19"/>
        <v>450000</v>
      </c>
    </row>
    <row r="190" spans="1:6" x14ac:dyDescent="0.35">
      <c r="A190" s="14" t="s">
        <v>93</v>
      </c>
      <c r="B190" s="15">
        <v>100000</v>
      </c>
      <c r="C190" s="14">
        <v>1</v>
      </c>
      <c r="D190" s="14">
        <v>3</v>
      </c>
      <c r="E190" s="14">
        <v>5</v>
      </c>
      <c r="F190" s="15">
        <f t="shared" si="19"/>
        <v>1500000</v>
      </c>
    </row>
    <row r="191" spans="1:6" x14ac:dyDescent="0.35">
      <c r="A191" s="14" t="s">
        <v>94</v>
      </c>
      <c r="B191" s="15">
        <v>0</v>
      </c>
      <c r="C191" s="14">
        <v>0</v>
      </c>
      <c r="D191" s="14">
        <v>0</v>
      </c>
      <c r="E191" s="14">
        <v>0</v>
      </c>
      <c r="F191" s="15">
        <f t="shared" si="19"/>
        <v>0</v>
      </c>
    </row>
    <row r="192" spans="1:6" x14ac:dyDescent="0.35">
      <c r="A192" s="14" t="s">
        <v>105</v>
      </c>
      <c r="B192" s="15">
        <v>0</v>
      </c>
      <c r="C192" s="14">
        <v>0</v>
      </c>
      <c r="D192" s="14">
        <v>0</v>
      </c>
      <c r="E192" s="14">
        <v>0</v>
      </c>
      <c r="F192" s="15">
        <f t="shared" si="19"/>
        <v>0</v>
      </c>
    </row>
    <row r="193" spans="1:6" x14ac:dyDescent="0.35">
      <c r="A193" s="14" t="s">
        <v>116</v>
      </c>
      <c r="B193" s="15">
        <v>0</v>
      </c>
      <c r="C193" s="14">
        <v>0</v>
      </c>
      <c r="D193" s="14">
        <v>0</v>
      </c>
      <c r="E193" s="14">
        <v>0</v>
      </c>
      <c r="F193" s="15">
        <f t="shared" si="19"/>
        <v>0</v>
      </c>
    </row>
    <row r="194" spans="1:6" x14ac:dyDescent="0.35">
      <c r="A194" s="14" t="s">
        <v>98</v>
      </c>
      <c r="B194" s="15">
        <v>0</v>
      </c>
      <c r="C194" s="14">
        <v>0</v>
      </c>
      <c r="D194" s="14">
        <v>0</v>
      </c>
      <c r="E194" s="14">
        <v>0</v>
      </c>
      <c r="F194" s="15">
        <f t="shared" si="19"/>
        <v>0</v>
      </c>
    </row>
    <row r="195" spans="1:6" x14ac:dyDescent="0.35">
      <c r="A195" s="14"/>
      <c r="B195" s="15"/>
      <c r="C195" s="14"/>
      <c r="D195" s="14"/>
      <c r="E195" s="14"/>
      <c r="F195" s="16">
        <f>SUM(F185:F194)</f>
        <v>2130000</v>
      </c>
    </row>
    <row r="198" spans="1:6" x14ac:dyDescent="0.35">
      <c r="A198" s="14" t="s">
        <v>525</v>
      </c>
      <c r="B198" s="15"/>
      <c r="C198" s="14"/>
      <c r="D198" s="14"/>
      <c r="E198" s="14"/>
      <c r="F198" s="14"/>
    </row>
    <row r="199" spans="1:6" x14ac:dyDescent="0.35">
      <c r="A199" s="14" t="s">
        <v>86</v>
      </c>
      <c r="B199" s="15" t="s">
        <v>87</v>
      </c>
      <c r="C199" s="14" t="s">
        <v>88</v>
      </c>
      <c r="D199" s="14" t="s">
        <v>99</v>
      </c>
      <c r="E199" s="14" t="s">
        <v>100</v>
      </c>
      <c r="F199" s="14" t="s">
        <v>89</v>
      </c>
    </row>
    <row r="200" spans="1:6" x14ac:dyDescent="0.35">
      <c r="A200" s="14" t="s">
        <v>90</v>
      </c>
      <c r="B200" s="15">
        <v>14000</v>
      </c>
      <c r="C200" s="14">
        <v>10</v>
      </c>
      <c r="D200" s="14">
        <v>3</v>
      </c>
      <c r="E200" s="14">
        <v>5</v>
      </c>
      <c r="F200" s="15">
        <f t="shared" ref="F200:F209" si="20">B200*C200*D200*E200</f>
        <v>2100000</v>
      </c>
    </row>
    <row r="201" spans="1:6" x14ac:dyDescent="0.35">
      <c r="A201" s="14" t="s">
        <v>91</v>
      </c>
      <c r="B201" s="15">
        <v>5000</v>
      </c>
      <c r="C201" s="14">
        <v>25</v>
      </c>
      <c r="D201" s="14">
        <v>3</v>
      </c>
      <c r="E201" s="14">
        <v>5</v>
      </c>
      <c r="F201" s="15">
        <f t="shared" si="20"/>
        <v>1875000</v>
      </c>
    </row>
    <row r="202" spans="1:6" x14ac:dyDescent="0.35">
      <c r="A202" t="s">
        <v>96</v>
      </c>
      <c r="B202" s="9">
        <v>2000</v>
      </c>
      <c r="C202">
        <v>10</v>
      </c>
      <c r="D202">
        <v>18</v>
      </c>
      <c r="E202">
        <v>5</v>
      </c>
      <c r="F202" s="9">
        <f t="shared" si="20"/>
        <v>1800000</v>
      </c>
    </row>
    <row r="203" spans="1:6" x14ac:dyDescent="0.35">
      <c r="A203" s="14" t="s">
        <v>95</v>
      </c>
      <c r="B203" s="9">
        <v>5000</v>
      </c>
      <c r="C203" s="14">
        <v>5</v>
      </c>
      <c r="D203" s="14">
        <v>3</v>
      </c>
      <c r="E203" s="14">
        <v>5</v>
      </c>
      <c r="F203" s="9">
        <f t="shared" si="20"/>
        <v>375000</v>
      </c>
    </row>
    <row r="204" spans="1:6" x14ac:dyDescent="0.35">
      <c r="A204" s="14" t="s">
        <v>92</v>
      </c>
      <c r="B204" s="15">
        <v>200</v>
      </c>
      <c r="C204" s="14">
        <v>85</v>
      </c>
      <c r="D204" s="14">
        <v>3</v>
      </c>
      <c r="E204" s="14">
        <v>5</v>
      </c>
      <c r="F204" s="9">
        <f t="shared" si="20"/>
        <v>255000</v>
      </c>
    </row>
    <row r="205" spans="1:6" x14ac:dyDescent="0.35">
      <c r="A205" s="14" t="s">
        <v>93</v>
      </c>
      <c r="B205" s="15">
        <v>500000</v>
      </c>
      <c r="C205" s="14">
        <v>1</v>
      </c>
      <c r="D205" s="14">
        <v>1</v>
      </c>
      <c r="E205" s="14">
        <v>1</v>
      </c>
      <c r="F205" s="15">
        <f t="shared" si="20"/>
        <v>500000</v>
      </c>
    </row>
    <row r="206" spans="1:6" x14ac:dyDescent="0.35">
      <c r="A206" s="14" t="s">
        <v>94</v>
      </c>
      <c r="B206" s="15">
        <v>0</v>
      </c>
      <c r="C206" s="14">
        <v>0</v>
      </c>
      <c r="D206" s="14">
        <v>0</v>
      </c>
      <c r="E206" s="14">
        <v>0</v>
      </c>
      <c r="F206" s="15">
        <f t="shared" si="20"/>
        <v>0</v>
      </c>
    </row>
    <row r="207" spans="1:6" x14ac:dyDescent="0.35">
      <c r="A207" s="14" t="s">
        <v>105</v>
      </c>
      <c r="B207" s="15">
        <v>0</v>
      </c>
      <c r="C207" s="14">
        <v>0</v>
      </c>
      <c r="D207" s="14">
        <v>0</v>
      </c>
      <c r="E207" s="14">
        <v>0</v>
      </c>
      <c r="F207" s="15">
        <f t="shared" si="20"/>
        <v>0</v>
      </c>
    </row>
    <row r="208" spans="1:6" x14ac:dyDescent="0.35">
      <c r="A208" s="14" t="s">
        <v>116</v>
      </c>
      <c r="B208" s="15">
        <v>0</v>
      </c>
      <c r="C208" s="14">
        <v>0</v>
      </c>
      <c r="D208" s="14">
        <v>0</v>
      </c>
      <c r="E208" s="14">
        <v>0</v>
      </c>
      <c r="F208" s="15">
        <f t="shared" si="20"/>
        <v>0</v>
      </c>
    </row>
    <row r="209" spans="1:6" x14ac:dyDescent="0.35">
      <c r="A209" s="14" t="s">
        <v>98</v>
      </c>
      <c r="B209" s="15">
        <v>0</v>
      </c>
      <c r="C209" s="14">
        <v>0</v>
      </c>
      <c r="D209" s="14">
        <v>0</v>
      </c>
      <c r="E209" s="14">
        <v>0</v>
      </c>
      <c r="F209" s="15">
        <f t="shared" si="20"/>
        <v>0</v>
      </c>
    </row>
    <row r="210" spans="1:6" x14ac:dyDescent="0.35">
      <c r="A210" s="14"/>
      <c r="B210" s="15"/>
      <c r="C210" s="14"/>
      <c r="D210" s="14"/>
      <c r="E210" s="14"/>
      <c r="F210" s="16">
        <f>SUM(F200:F209)</f>
        <v>6905000</v>
      </c>
    </row>
    <row r="213" spans="1:6" x14ac:dyDescent="0.35">
      <c r="A213" t="s">
        <v>114</v>
      </c>
    </row>
    <row r="214" spans="1:6" x14ac:dyDescent="0.35">
      <c r="A214" t="s">
        <v>86</v>
      </c>
      <c r="B214" s="9" t="s">
        <v>87</v>
      </c>
      <c r="C214" t="s">
        <v>88</v>
      </c>
      <c r="D214" t="s">
        <v>99</v>
      </c>
      <c r="E214" t="s">
        <v>100</v>
      </c>
      <c r="F214" t="s">
        <v>89</v>
      </c>
    </row>
    <row r="215" spans="1:6" x14ac:dyDescent="0.35">
      <c r="A215" t="s">
        <v>90</v>
      </c>
      <c r="B215" s="9">
        <v>14000</v>
      </c>
      <c r="C215">
        <v>10</v>
      </c>
      <c r="D215">
        <v>5</v>
      </c>
      <c r="E215">
        <v>1</v>
      </c>
      <c r="F215" s="9">
        <f>B215*C215*D215*E215</f>
        <v>700000</v>
      </c>
    </row>
    <row r="216" spans="1:6" x14ac:dyDescent="0.35">
      <c r="A216" t="s">
        <v>91</v>
      </c>
      <c r="B216" s="9">
        <v>5000</v>
      </c>
      <c r="C216">
        <v>10</v>
      </c>
      <c r="D216">
        <v>5</v>
      </c>
      <c r="E216">
        <v>1</v>
      </c>
      <c r="F216" s="9">
        <f>B216*C216*D216*E216</f>
        <v>250000</v>
      </c>
    </row>
    <row r="217" spans="1:6" x14ac:dyDescent="0.35">
      <c r="A217" t="s">
        <v>92</v>
      </c>
      <c r="B217" s="9">
        <v>200</v>
      </c>
      <c r="C217">
        <v>85</v>
      </c>
      <c r="D217">
        <v>5</v>
      </c>
      <c r="E217">
        <v>1</v>
      </c>
      <c r="F217" s="9">
        <f>B217*C217*D217*E217</f>
        <v>85000</v>
      </c>
    </row>
    <row r="218" spans="1:6" x14ac:dyDescent="0.35">
      <c r="A218" t="s">
        <v>93</v>
      </c>
      <c r="B218" s="9">
        <v>0</v>
      </c>
      <c r="C218">
        <v>0</v>
      </c>
      <c r="D218">
        <v>0</v>
      </c>
      <c r="E218">
        <v>0</v>
      </c>
      <c r="F218" s="9">
        <v>0</v>
      </c>
    </row>
    <row r="219" spans="1:6" x14ac:dyDescent="0.35">
      <c r="A219" t="s">
        <v>94</v>
      </c>
      <c r="B219" s="9">
        <v>0</v>
      </c>
      <c r="C219">
        <v>0</v>
      </c>
      <c r="D219">
        <v>0</v>
      </c>
      <c r="E219">
        <v>0</v>
      </c>
      <c r="F219" s="9">
        <f>B219*C219*D219*E219</f>
        <v>0</v>
      </c>
    </row>
    <row r="220" spans="1:6" x14ac:dyDescent="0.35">
      <c r="A220" s="14" t="s">
        <v>116</v>
      </c>
      <c r="B220" s="15">
        <v>2000000</v>
      </c>
      <c r="C220" s="14">
        <v>1</v>
      </c>
      <c r="D220" s="14">
        <v>1</v>
      </c>
      <c r="E220" s="14">
        <v>1</v>
      </c>
      <c r="F220" s="15">
        <f t="shared" ref="F220" si="21">B220*C220*D220*E220</f>
        <v>2000000</v>
      </c>
    </row>
    <row r="221" spans="1:6" x14ac:dyDescent="0.35">
      <c r="A221" t="s">
        <v>105</v>
      </c>
      <c r="B221" s="9">
        <v>0</v>
      </c>
      <c r="C221">
        <v>0</v>
      </c>
      <c r="D221">
        <v>0</v>
      </c>
      <c r="E221">
        <v>0</v>
      </c>
      <c r="F221" s="9">
        <f>B221*C221*D221*E221</f>
        <v>0</v>
      </c>
    </row>
    <row r="222" spans="1:6" x14ac:dyDescent="0.35">
      <c r="A222" t="s">
        <v>98</v>
      </c>
      <c r="B222" s="9">
        <v>0</v>
      </c>
      <c r="C222">
        <v>0</v>
      </c>
      <c r="D222">
        <v>0</v>
      </c>
      <c r="E222">
        <v>0</v>
      </c>
      <c r="F222" s="9">
        <v>0</v>
      </c>
    </row>
    <row r="223" spans="1:6" x14ac:dyDescent="0.35">
      <c r="F223" s="10">
        <f>SUM(F215:F222)</f>
        <v>3035000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E644C-C912-4B23-88F4-1FA02B58B7FE}">
  <dimension ref="A2:U419"/>
  <sheetViews>
    <sheetView topLeftCell="A344" workbookViewId="0">
      <selection activeCell="E356" sqref="E356"/>
    </sheetView>
  </sheetViews>
  <sheetFormatPr defaultRowHeight="15.5" x14ac:dyDescent="0.35"/>
  <cols>
    <col min="1" max="1" width="13.75" customWidth="1"/>
    <col min="2" max="2" width="27.4140625" customWidth="1"/>
    <col min="3" max="3" width="7.25" customWidth="1"/>
    <col min="4" max="4" width="6.08203125" customWidth="1"/>
    <col min="5" max="5" width="15.25" customWidth="1"/>
    <col min="6" max="6" width="17.83203125" customWidth="1"/>
    <col min="7" max="7" width="9.1640625" customWidth="1"/>
    <col min="8" max="8" width="17.5" customWidth="1"/>
    <col min="9" max="9" width="10.6640625" customWidth="1"/>
    <col min="20" max="20" width="8.83203125" customWidth="1"/>
    <col min="21" max="21" width="14.75" customWidth="1"/>
  </cols>
  <sheetData>
    <row r="2" spans="1:21" ht="29" x14ac:dyDescent="0.35">
      <c r="A2" s="20"/>
      <c r="B2" s="21" t="s">
        <v>146</v>
      </c>
      <c r="C2" s="21" t="s">
        <v>147</v>
      </c>
      <c r="D2" s="22" t="s">
        <v>88</v>
      </c>
      <c r="E2" s="21" t="s">
        <v>148</v>
      </c>
      <c r="F2" s="21" t="s">
        <v>149</v>
      </c>
      <c r="G2" s="21" t="s">
        <v>150</v>
      </c>
      <c r="H2" s="21" t="s">
        <v>151</v>
      </c>
      <c r="I2" s="21" t="s">
        <v>152</v>
      </c>
      <c r="J2" s="22" t="s">
        <v>153</v>
      </c>
      <c r="K2" s="22" t="s">
        <v>154</v>
      </c>
      <c r="L2" s="22" t="s">
        <v>155</v>
      </c>
      <c r="M2" s="22" t="s">
        <v>156</v>
      </c>
      <c r="N2" s="182" t="s">
        <v>157</v>
      </c>
      <c r="O2" s="183"/>
      <c r="P2" s="183"/>
      <c r="Q2" s="183"/>
      <c r="R2" s="183"/>
      <c r="S2" s="183"/>
      <c r="T2" s="183"/>
      <c r="U2" s="184"/>
    </row>
    <row r="3" spans="1:21" x14ac:dyDescent="0.35">
      <c r="A3" s="20"/>
      <c r="B3" s="21"/>
      <c r="C3" s="21"/>
      <c r="D3" s="22"/>
      <c r="E3" s="21"/>
      <c r="F3" s="21"/>
      <c r="G3" s="21"/>
      <c r="H3" s="21"/>
      <c r="I3" s="21"/>
      <c r="J3" s="22"/>
      <c r="K3" s="22"/>
      <c r="L3" s="22"/>
      <c r="M3" s="22"/>
      <c r="N3" s="185" t="s">
        <v>158</v>
      </c>
      <c r="O3" s="186"/>
      <c r="P3" s="185" t="s">
        <v>159</v>
      </c>
      <c r="Q3" s="186"/>
      <c r="R3" s="185" t="s">
        <v>160</v>
      </c>
      <c r="S3" s="186"/>
      <c r="T3" s="185" t="s">
        <v>161</v>
      </c>
      <c r="U3" s="186"/>
    </row>
    <row r="4" spans="1:21" x14ac:dyDescent="0.35">
      <c r="A4" s="20"/>
      <c r="B4" s="21"/>
      <c r="C4" s="21"/>
      <c r="D4" s="22"/>
      <c r="E4" s="21"/>
      <c r="F4" s="21"/>
      <c r="G4" s="21"/>
      <c r="H4" s="21"/>
      <c r="I4" s="21"/>
      <c r="J4" s="22"/>
      <c r="K4" s="22"/>
      <c r="L4" s="22"/>
      <c r="M4" s="22"/>
      <c r="N4" t="s">
        <v>88</v>
      </c>
      <c r="O4" s="23" t="s">
        <v>162</v>
      </c>
      <c r="P4" t="s">
        <v>88</v>
      </c>
      <c r="Q4" s="24" t="s">
        <v>162</v>
      </c>
      <c r="R4" t="s">
        <v>88</v>
      </c>
      <c r="S4" s="24" t="s">
        <v>162</v>
      </c>
      <c r="T4" t="s">
        <v>88</v>
      </c>
      <c r="U4" s="24" t="s">
        <v>162</v>
      </c>
    </row>
    <row r="5" spans="1:21" x14ac:dyDescent="0.35">
      <c r="A5" s="25" t="s">
        <v>163</v>
      </c>
      <c r="B5" s="26"/>
      <c r="C5" s="26"/>
      <c r="D5" s="24"/>
      <c r="E5" s="27"/>
      <c r="F5" s="27"/>
      <c r="G5" s="24"/>
      <c r="H5" s="24"/>
      <c r="I5" s="24"/>
      <c r="J5" s="24"/>
      <c r="K5" s="24"/>
      <c r="L5" s="24"/>
      <c r="M5" s="24"/>
      <c r="N5" s="24"/>
      <c r="O5" s="24"/>
      <c r="P5" s="24"/>
      <c r="Q5" s="24"/>
      <c r="R5" s="24"/>
      <c r="S5" s="24"/>
      <c r="T5" s="24"/>
      <c r="U5" s="24"/>
    </row>
    <row r="6" spans="1:21" x14ac:dyDescent="0.35">
      <c r="A6" s="24">
        <v>1</v>
      </c>
      <c r="B6" s="24" t="s">
        <v>164</v>
      </c>
      <c r="C6" s="24"/>
      <c r="D6" s="24">
        <v>1</v>
      </c>
      <c r="E6" s="27">
        <v>10000</v>
      </c>
      <c r="F6" s="27">
        <f>D6*E6</f>
        <v>10000</v>
      </c>
      <c r="G6" s="24" t="s">
        <v>165</v>
      </c>
      <c r="H6" s="24" t="s">
        <v>166</v>
      </c>
      <c r="I6" s="24" t="s">
        <v>23</v>
      </c>
      <c r="J6" s="24"/>
      <c r="K6" s="24"/>
      <c r="L6" s="24"/>
      <c r="M6" s="28" t="s">
        <v>167</v>
      </c>
      <c r="N6" s="24"/>
      <c r="O6" s="24"/>
      <c r="P6" s="24"/>
      <c r="Q6" s="24"/>
      <c r="R6" s="24"/>
      <c r="S6" s="24"/>
      <c r="T6" s="24">
        <v>1</v>
      </c>
      <c r="U6" s="29">
        <f>D6*E6</f>
        <v>10000</v>
      </c>
    </row>
    <row r="7" spans="1:21" x14ac:dyDescent="0.35">
      <c r="A7" s="24">
        <v>2</v>
      </c>
      <c r="B7" s="24" t="s">
        <v>168</v>
      </c>
      <c r="C7" s="24"/>
      <c r="D7" s="24">
        <v>1</v>
      </c>
      <c r="E7" s="27">
        <v>10000</v>
      </c>
      <c r="F7" s="27">
        <f t="shared" ref="F7:F95" si="0">D7*E7</f>
        <v>10000</v>
      </c>
      <c r="G7" s="24" t="s">
        <v>165</v>
      </c>
      <c r="H7" s="24" t="s">
        <v>166</v>
      </c>
      <c r="I7" s="24" t="s">
        <v>23</v>
      </c>
      <c r="J7" s="24"/>
      <c r="K7" s="24"/>
      <c r="L7" s="24"/>
      <c r="M7" s="28" t="s">
        <v>167</v>
      </c>
      <c r="N7" s="24"/>
      <c r="O7" s="24"/>
      <c r="P7" s="24"/>
      <c r="Q7" s="24"/>
      <c r="R7" s="24"/>
      <c r="S7" s="24"/>
      <c r="T7" s="24">
        <v>1</v>
      </c>
      <c r="U7" s="29">
        <f t="shared" ref="U7:U95" si="1">D7*E7</f>
        <v>10000</v>
      </c>
    </row>
    <row r="8" spans="1:21" x14ac:dyDescent="0.35">
      <c r="A8" s="24">
        <v>3</v>
      </c>
      <c r="B8" s="24" t="s">
        <v>169</v>
      </c>
      <c r="C8" s="24"/>
      <c r="D8" s="24">
        <v>1</v>
      </c>
      <c r="E8" s="27">
        <v>50000</v>
      </c>
      <c r="F8" s="27">
        <f t="shared" si="0"/>
        <v>50000</v>
      </c>
      <c r="G8" s="24" t="s">
        <v>165</v>
      </c>
      <c r="H8" s="24" t="s">
        <v>166</v>
      </c>
      <c r="I8" s="24" t="s">
        <v>23</v>
      </c>
      <c r="J8" s="24"/>
      <c r="K8" s="24"/>
      <c r="L8" s="24"/>
      <c r="M8" s="28" t="s">
        <v>167</v>
      </c>
      <c r="N8" s="24"/>
      <c r="O8" s="24"/>
      <c r="P8" s="24"/>
      <c r="Q8" s="24"/>
      <c r="R8" s="24"/>
      <c r="S8" s="24"/>
      <c r="T8" s="24">
        <v>1</v>
      </c>
      <c r="U8" s="29">
        <f t="shared" si="1"/>
        <v>50000</v>
      </c>
    </row>
    <row r="9" spans="1:21" x14ac:dyDescent="0.35">
      <c r="A9" s="24">
        <v>4</v>
      </c>
      <c r="B9" s="24" t="s">
        <v>170</v>
      </c>
      <c r="C9" s="24"/>
      <c r="D9" s="24">
        <v>1</v>
      </c>
      <c r="E9" s="27">
        <v>10000</v>
      </c>
      <c r="F9" s="27">
        <f>D9*E9</f>
        <v>10000</v>
      </c>
      <c r="G9" s="24" t="s">
        <v>165</v>
      </c>
      <c r="H9" s="24" t="s">
        <v>166</v>
      </c>
      <c r="I9" s="24" t="s">
        <v>23</v>
      </c>
      <c r="J9" s="24"/>
      <c r="K9" s="24"/>
      <c r="L9" s="24"/>
      <c r="M9" s="28"/>
      <c r="N9" s="24"/>
      <c r="O9" s="24"/>
      <c r="P9" s="24"/>
      <c r="Q9" s="24"/>
      <c r="R9" s="24"/>
      <c r="S9" s="24"/>
      <c r="T9" s="24"/>
      <c r="U9" s="29"/>
    </row>
    <row r="10" spans="1:21" x14ac:dyDescent="0.35">
      <c r="A10" s="30">
        <v>5</v>
      </c>
      <c r="B10" s="30" t="s">
        <v>171</v>
      </c>
      <c r="C10" s="30"/>
      <c r="D10" s="30">
        <v>1</v>
      </c>
      <c r="E10" s="31"/>
      <c r="F10" s="31"/>
      <c r="G10" s="30" t="s">
        <v>165</v>
      </c>
      <c r="H10" s="30" t="s">
        <v>166</v>
      </c>
      <c r="I10" s="30" t="s">
        <v>23</v>
      </c>
      <c r="J10" s="30"/>
      <c r="K10" s="30"/>
      <c r="L10" s="30"/>
      <c r="M10" s="32" t="s">
        <v>167</v>
      </c>
      <c r="N10" s="24"/>
      <c r="O10" s="24"/>
      <c r="P10" s="24"/>
      <c r="Q10" s="24"/>
      <c r="R10" s="24"/>
      <c r="S10" s="24"/>
      <c r="T10" s="24"/>
      <c r="U10" s="29"/>
    </row>
    <row r="11" spans="1:21" x14ac:dyDescent="0.35">
      <c r="A11" s="24"/>
      <c r="B11" s="24"/>
      <c r="C11" s="24"/>
      <c r="D11" s="24"/>
      <c r="E11" s="27"/>
      <c r="F11" s="27"/>
      <c r="G11" s="24"/>
      <c r="H11" s="24"/>
      <c r="I11" s="24"/>
      <c r="J11" s="24"/>
      <c r="K11" s="24"/>
      <c r="L11" s="24"/>
      <c r="M11" s="28"/>
      <c r="N11" s="24"/>
      <c r="O11" s="24"/>
      <c r="P11" s="24"/>
      <c r="Q11" s="24"/>
      <c r="R11" s="24"/>
      <c r="S11" s="24"/>
      <c r="T11" s="24"/>
      <c r="U11" s="29"/>
    </row>
    <row r="12" spans="1:21" x14ac:dyDescent="0.35">
      <c r="A12" s="24"/>
      <c r="B12" s="24"/>
      <c r="C12" s="24"/>
      <c r="D12" s="24"/>
      <c r="E12" s="27"/>
      <c r="F12" s="27"/>
      <c r="G12" s="24"/>
      <c r="H12" s="24"/>
      <c r="I12" s="24"/>
      <c r="J12" s="24"/>
      <c r="K12" s="24"/>
      <c r="L12" s="24"/>
      <c r="M12" s="28"/>
      <c r="N12" s="24"/>
      <c r="O12" s="24"/>
      <c r="P12" s="24"/>
      <c r="Q12" s="24"/>
      <c r="R12" s="24"/>
      <c r="S12" s="24"/>
      <c r="T12" s="24"/>
      <c r="U12" s="29"/>
    </row>
    <row r="13" spans="1:21" x14ac:dyDescent="0.35">
      <c r="A13" s="25" t="s">
        <v>172</v>
      </c>
      <c r="B13" s="25"/>
      <c r="C13" s="25"/>
      <c r="D13" s="24"/>
      <c r="E13" s="27"/>
      <c r="F13" s="27"/>
      <c r="G13" s="24"/>
      <c r="H13" s="24"/>
      <c r="I13" s="24"/>
      <c r="J13" s="24"/>
      <c r="K13" s="24"/>
      <c r="L13" s="24"/>
      <c r="M13" s="24"/>
      <c r="N13" s="24"/>
      <c r="O13" s="24"/>
      <c r="P13" s="24"/>
      <c r="Q13" s="24"/>
      <c r="R13" s="24"/>
      <c r="S13" s="24"/>
      <c r="T13" s="24"/>
      <c r="U13" s="29">
        <f t="shared" si="1"/>
        <v>0</v>
      </c>
    </row>
    <row r="14" spans="1:21" ht="62" x14ac:dyDescent="0.35">
      <c r="A14" s="24">
        <v>2</v>
      </c>
      <c r="B14" s="33" t="s">
        <v>173</v>
      </c>
      <c r="C14" s="24" t="s">
        <v>174</v>
      </c>
      <c r="D14" s="24">
        <v>50</v>
      </c>
      <c r="E14" s="27">
        <v>72000</v>
      </c>
      <c r="F14" s="27">
        <f t="shared" si="0"/>
        <v>3600000</v>
      </c>
      <c r="G14" s="24"/>
      <c r="H14" s="24" t="s">
        <v>166</v>
      </c>
      <c r="I14" s="24" t="s">
        <v>23</v>
      </c>
      <c r="J14" s="24"/>
      <c r="K14" s="24"/>
      <c r="L14" s="24"/>
      <c r="M14" s="28" t="s">
        <v>167</v>
      </c>
      <c r="N14" s="24"/>
      <c r="O14" s="24"/>
      <c r="P14" s="24"/>
      <c r="Q14" s="24"/>
      <c r="R14" s="24"/>
      <c r="S14" s="24"/>
      <c r="T14" s="24">
        <v>120</v>
      </c>
      <c r="U14" s="29">
        <f t="shared" si="1"/>
        <v>3600000</v>
      </c>
    </row>
    <row r="15" spans="1:21" ht="31" x14ac:dyDescent="0.35">
      <c r="A15" s="24">
        <v>4</v>
      </c>
      <c r="B15" s="33" t="s">
        <v>175</v>
      </c>
      <c r="C15" s="24" t="s">
        <v>176</v>
      </c>
      <c r="D15" s="24">
        <v>20</v>
      </c>
      <c r="E15" s="27">
        <v>3600</v>
      </c>
      <c r="F15" s="27">
        <f>D15*E15</f>
        <v>72000</v>
      </c>
      <c r="G15" s="24"/>
      <c r="H15" s="24" t="s">
        <v>177</v>
      </c>
      <c r="I15" s="24" t="s">
        <v>23</v>
      </c>
      <c r="J15" s="24"/>
      <c r="K15" s="24"/>
      <c r="L15" s="24"/>
      <c r="M15" s="24"/>
      <c r="N15" s="24"/>
      <c r="O15" s="24"/>
      <c r="P15" s="24"/>
      <c r="Q15" s="24"/>
      <c r="R15" s="24"/>
      <c r="S15" s="24"/>
      <c r="T15" s="24">
        <v>20</v>
      </c>
      <c r="U15" s="29">
        <f>D15*E15</f>
        <v>72000</v>
      </c>
    </row>
    <row r="16" spans="1:21" x14ac:dyDescent="0.35">
      <c r="A16" s="24">
        <v>5</v>
      </c>
      <c r="B16" s="33" t="s">
        <v>178</v>
      </c>
      <c r="C16" s="24" t="s">
        <v>179</v>
      </c>
      <c r="D16" s="24">
        <v>10</v>
      </c>
      <c r="E16" s="27">
        <v>600</v>
      </c>
      <c r="F16" s="27">
        <f t="shared" ref="F16:F19" si="2">D16*E16</f>
        <v>6000</v>
      </c>
      <c r="G16" s="24"/>
      <c r="H16" s="24" t="s">
        <v>177</v>
      </c>
      <c r="I16" s="24" t="s">
        <v>23</v>
      </c>
      <c r="J16" s="24"/>
      <c r="K16" s="24"/>
      <c r="L16" s="24"/>
      <c r="M16" s="24"/>
      <c r="N16" s="24"/>
      <c r="O16" s="24"/>
      <c r="P16" s="24"/>
      <c r="Q16" s="24"/>
      <c r="R16" s="24"/>
      <c r="S16" s="24"/>
      <c r="T16" s="24">
        <v>10</v>
      </c>
      <c r="U16" s="29">
        <f t="shared" ref="U16:U19" si="3">D16*E16</f>
        <v>6000</v>
      </c>
    </row>
    <row r="17" spans="1:21" x14ac:dyDescent="0.35">
      <c r="A17" s="24">
        <v>6</v>
      </c>
      <c r="B17" s="33" t="s">
        <v>180</v>
      </c>
      <c r="C17" s="24" t="s">
        <v>181</v>
      </c>
      <c r="D17" s="24">
        <v>3</v>
      </c>
      <c r="E17" s="27">
        <v>30000</v>
      </c>
      <c r="F17" s="27">
        <f t="shared" si="2"/>
        <v>90000</v>
      </c>
      <c r="G17" s="24"/>
      <c r="H17" s="24" t="s">
        <v>177</v>
      </c>
      <c r="I17" s="24" t="s">
        <v>23</v>
      </c>
      <c r="J17" s="24"/>
      <c r="K17" s="24"/>
      <c r="L17" s="24"/>
      <c r="M17" s="24"/>
      <c r="N17" s="24"/>
      <c r="O17" s="24"/>
      <c r="P17" s="24"/>
      <c r="Q17" s="24"/>
      <c r="R17" s="24"/>
      <c r="S17" s="24"/>
      <c r="T17" s="24">
        <v>3</v>
      </c>
      <c r="U17" s="29">
        <f t="shared" si="3"/>
        <v>90000</v>
      </c>
    </row>
    <row r="18" spans="1:21" x14ac:dyDescent="0.35">
      <c r="A18" s="24">
        <v>7</v>
      </c>
      <c r="B18" s="33" t="s">
        <v>182</v>
      </c>
      <c r="C18" s="24" t="s">
        <v>183</v>
      </c>
      <c r="D18" s="24">
        <v>4</v>
      </c>
      <c r="E18" s="27">
        <v>3600</v>
      </c>
      <c r="F18" s="27">
        <f t="shared" si="2"/>
        <v>14400</v>
      </c>
      <c r="G18" s="24"/>
      <c r="H18" s="24" t="s">
        <v>177</v>
      </c>
      <c r="I18" s="24" t="s">
        <v>23</v>
      </c>
      <c r="J18" s="24"/>
      <c r="K18" s="24"/>
      <c r="L18" s="24"/>
      <c r="M18" s="24"/>
      <c r="N18" s="24"/>
      <c r="O18" s="24"/>
      <c r="P18" s="24"/>
      <c r="Q18" s="24"/>
      <c r="R18" s="24"/>
      <c r="S18" s="24"/>
      <c r="T18" s="24">
        <v>4</v>
      </c>
      <c r="U18" s="29">
        <f t="shared" si="3"/>
        <v>14400</v>
      </c>
    </row>
    <row r="19" spans="1:21" x14ac:dyDescent="0.35">
      <c r="A19" s="24">
        <v>8</v>
      </c>
      <c r="B19" s="33" t="s">
        <v>184</v>
      </c>
      <c r="C19" s="24" t="s">
        <v>185</v>
      </c>
      <c r="D19" s="24">
        <v>10</v>
      </c>
      <c r="E19" s="27">
        <v>2600</v>
      </c>
      <c r="F19" s="27">
        <f t="shared" si="2"/>
        <v>26000</v>
      </c>
      <c r="G19" s="24"/>
      <c r="H19" s="24" t="s">
        <v>177</v>
      </c>
      <c r="I19" s="24" t="s">
        <v>23</v>
      </c>
      <c r="J19" s="24"/>
      <c r="K19" s="24"/>
      <c r="L19" s="24"/>
      <c r="M19" s="24"/>
      <c r="N19" s="24"/>
      <c r="O19" s="24"/>
      <c r="P19" s="24"/>
      <c r="Q19" s="24"/>
      <c r="R19" s="24"/>
      <c r="S19" s="24"/>
      <c r="T19" s="24">
        <v>4</v>
      </c>
      <c r="U19" s="29">
        <f t="shared" si="3"/>
        <v>26000</v>
      </c>
    </row>
    <row r="20" spans="1:21" x14ac:dyDescent="0.35">
      <c r="A20" s="24">
        <v>9</v>
      </c>
      <c r="B20" s="33" t="s">
        <v>186</v>
      </c>
      <c r="C20" s="24" t="s">
        <v>187</v>
      </c>
      <c r="D20" s="24">
        <v>30</v>
      </c>
      <c r="E20" s="27">
        <v>1600</v>
      </c>
      <c r="F20" s="27">
        <f t="shared" si="0"/>
        <v>48000</v>
      </c>
      <c r="G20" s="24"/>
      <c r="H20" s="24" t="s">
        <v>177</v>
      </c>
      <c r="I20" s="24" t="s">
        <v>23</v>
      </c>
      <c r="J20" s="24"/>
      <c r="K20" s="24"/>
      <c r="L20" s="24"/>
      <c r="M20" s="24"/>
      <c r="N20" s="24"/>
      <c r="O20" s="24"/>
      <c r="P20" s="24"/>
      <c r="Q20" s="24"/>
      <c r="R20" s="24"/>
      <c r="S20" s="24"/>
      <c r="T20" s="24">
        <v>30</v>
      </c>
      <c r="U20" s="29">
        <f t="shared" si="1"/>
        <v>48000</v>
      </c>
    </row>
    <row r="21" spans="1:21" x14ac:dyDescent="0.35">
      <c r="A21" s="24">
        <v>10</v>
      </c>
      <c r="B21" s="33" t="s">
        <v>188</v>
      </c>
      <c r="C21" s="24" t="s">
        <v>187</v>
      </c>
      <c r="D21" s="24">
        <v>30</v>
      </c>
      <c r="E21" s="27">
        <v>1500</v>
      </c>
      <c r="F21" s="27">
        <f t="shared" si="0"/>
        <v>45000</v>
      </c>
      <c r="G21" s="24"/>
      <c r="H21" s="24" t="s">
        <v>177</v>
      </c>
      <c r="I21" s="24" t="s">
        <v>23</v>
      </c>
      <c r="J21" s="24"/>
      <c r="K21" s="24"/>
      <c r="L21" s="24"/>
      <c r="M21" s="24"/>
      <c r="N21" s="24"/>
      <c r="O21" s="24"/>
      <c r="P21" s="24"/>
      <c r="Q21" s="24"/>
      <c r="R21" s="24"/>
      <c r="S21" s="24"/>
      <c r="T21" s="24">
        <v>30</v>
      </c>
      <c r="U21" s="29">
        <f t="shared" si="1"/>
        <v>45000</v>
      </c>
    </row>
    <row r="22" spans="1:21" x14ac:dyDescent="0.35">
      <c r="A22" s="24">
        <v>11</v>
      </c>
      <c r="B22" s="33" t="s">
        <v>189</v>
      </c>
      <c r="C22" s="24" t="s">
        <v>187</v>
      </c>
      <c r="D22" s="24">
        <v>30</v>
      </c>
      <c r="E22" s="27">
        <v>1600</v>
      </c>
      <c r="F22" s="27">
        <f t="shared" si="0"/>
        <v>48000</v>
      </c>
      <c r="G22" s="24"/>
      <c r="H22" s="24" t="s">
        <v>177</v>
      </c>
      <c r="I22" s="24" t="s">
        <v>23</v>
      </c>
      <c r="J22" s="24"/>
      <c r="K22" s="24"/>
      <c r="L22" s="24"/>
      <c r="M22" s="24"/>
      <c r="N22" s="24"/>
      <c r="O22" s="24"/>
      <c r="P22" s="24"/>
      <c r="Q22" s="24"/>
      <c r="R22" s="24"/>
      <c r="S22" s="24"/>
      <c r="T22" s="24">
        <v>30</v>
      </c>
      <c r="U22" s="29">
        <f t="shared" si="1"/>
        <v>48000</v>
      </c>
    </row>
    <row r="23" spans="1:21" x14ac:dyDescent="0.35">
      <c r="A23" s="24">
        <v>12</v>
      </c>
      <c r="B23" s="33" t="s">
        <v>190</v>
      </c>
      <c r="C23" s="24" t="s">
        <v>187</v>
      </c>
      <c r="D23" s="24">
        <v>4</v>
      </c>
      <c r="E23" s="27">
        <v>8500</v>
      </c>
      <c r="F23" s="27">
        <f t="shared" si="0"/>
        <v>34000</v>
      </c>
      <c r="G23" s="24"/>
      <c r="H23" s="24" t="s">
        <v>177</v>
      </c>
      <c r="I23" s="24" t="s">
        <v>23</v>
      </c>
      <c r="J23" s="24"/>
      <c r="K23" s="24"/>
      <c r="L23" s="24"/>
      <c r="M23" s="24"/>
      <c r="N23" s="24"/>
      <c r="O23" s="24"/>
      <c r="P23" s="24"/>
      <c r="Q23" s="24"/>
      <c r="R23" s="24"/>
      <c r="S23" s="24"/>
      <c r="T23" s="24">
        <v>4</v>
      </c>
      <c r="U23" s="29">
        <f t="shared" si="1"/>
        <v>34000</v>
      </c>
    </row>
    <row r="24" spans="1:21" x14ac:dyDescent="0.35">
      <c r="A24" s="24">
        <v>13</v>
      </c>
      <c r="B24" s="33" t="s">
        <v>191</v>
      </c>
      <c r="C24" s="24" t="s">
        <v>187</v>
      </c>
      <c r="D24" s="24">
        <v>4</v>
      </c>
      <c r="E24" s="27">
        <v>5000</v>
      </c>
      <c r="F24" s="27">
        <f t="shared" si="0"/>
        <v>20000</v>
      </c>
      <c r="G24" s="24"/>
      <c r="H24" s="24" t="s">
        <v>177</v>
      </c>
      <c r="I24" s="24" t="s">
        <v>23</v>
      </c>
      <c r="J24" s="24"/>
      <c r="K24" s="24"/>
      <c r="L24" s="24"/>
      <c r="M24" s="24"/>
      <c r="N24" s="24"/>
      <c r="O24" s="24"/>
      <c r="P24" s="24"/>
      <c r="Q24" s="24"/>
      <c r="R24" s="24"/>
      <c r="S24" s="24"/>
      <c r="T24" s="24">
        <v>4</v>
      </c>
      <c r="U24" s="29">
        <f t="shared" si="1"/>
        <v>20000</v>
      </c>
    </row>
    <row r="25" spans="1:21" x14ac:dyDescent="0.35">
      <c r="A25" s="24">
        <v>14</v>
      </c>
      <c r="B25" s="33" t="s">
        <v>192</v>
      </c>
      <c r="C25" s="24" t="s">
        <v>193</v>
      </c>
      <c r="D25" s="24">
        <v>10</v>
      </c>
      <c r="E25" s="27">
        <v>9200</v>
      </c>
      <c r="F25" s="27">
        <f t="shared" si="0"/>
        <v>92000</v>
      </c>
      <c r="G25" s="24"/>
      <c r="H25" s="24" t="s">
        <v>177</v>
      </c>
      <c r="I25" s="24" t="s">
        <v>23</v>
      </c>
      <c r="J25" s="24"/>
      <c r="K25" s="24"/>
      <c r="L25" s="24"/>
      <c r="M25" s="24"/>
      <c r="N25" s="24"/>
      <c r="O25" s="24"/>
      <c r="P25" s="24"/>
      <c r="Q25" s="24"/>
      <c r="R25" s="24"/>
      <c r="S25" s="24"/>
      <c r="T25" s="24">
        <v>10</v>
      </c>
      <c r="U25" s="29">
        <f t="shared" si="1"/>
        <v>92000</v>
      </c>
    </row>
    <row r="26" spans="1:21" x14ac:dyDescent="0.35">
      <c r="A26" s="24">
        <v>15</v>
      </c>
      <c r="B26" s="33" t="s">
        <v>194</v>
      </c>
      <c r="C26" s="24" t="s">
        <v>195</v>
      </c>
      <c r="D26" s="24">
        <v>20</v>
      </c>
      <c r="E26" s="27"/>
      <c r="F26" s="27"/>
      <c r="G26" s="24"/>
      <c r="H26" s="24"/>
      <c r="I26" s="24"/>
      <c r="J26" s="24"/>
      <c r="K26" s="24"/>
      <c r="L26" s="24"/>
      <c r="M26" s="24"/>
      <c r="N26" s="24"/>
      <c r="O26" s="24"/>
      <c r="P26" s="24"/>
      <c r="Q26" s="24"/>
      <c r="R26" s="24"/>
      <c r="S26" s="24"/>
      <c r="T26" s="24"/>
      <c r="U26" s="29"/>
    </row>
    <row r="27" spans="1:21" x14ac:dyDescent="0.35">
      <c r="A27" s="24">
        <v>16</v>
      </c>
      <c r="B27" s="33" t="s">
        <v>196</v>
      </c>
      <c r="C27" s="24" t="s">
        <v>197</v>
      </c>
      <c r="D27" s="24">
        <v>20</v>
      </c>
      <c r="E27" s="27"/>
      <c r="F27" s="27"/>
      <c r="G27" s="24"/>
      <c r="H27" s="24"/>
      <c r="I27" s="24"/>
      <c r="J27" s="24"/>
      <c r="K27" s="24"/>
      <c r="L27" s="24"/>
      <c r="M27" s="24"/>
      <c r="N27" s="24"/>
      <c r="O27" s="24"/>
      <c r="P27" s="24"/>
      <c r="Q27" s="24"/>
      <c r="R27" s="24"/>
      <c r="S27" s="24"/>
      <c r="T27" s="24"/>
      <c r="U27" s="29"/>
    </row>
    <row r="28" spans="1:21" x14ac:dyDescent="0.35">
      <c r="A28" s="24">
        <v>17</v>
      </c>
      <c r="B28" s="33" t="s">
        <v>198</v>
      </c>
      <c r="C28" s="24" t="s">
        <v>199</v>
      </c>
      <c r="D28" s="24">
        <v>10</v>
      </c>
      <c r="E28" s="27"/>
      <c r="F28" s="27"/>
      <c r="G28" s="24"/>
      <c r="H28" s="24"/>
      <c r="I28" s="24"/>
      <c r="J28" s="24"/>
      <c r="K28" s="24"/>
      <c r="L28" s="24"/>
      <c r="M28" s="24"/>
      <c r="N28" s="24"/>
      <c r="O28" s="24"/>
      <c r="P28" s="24"/>
      <c r="Q28" s="24"/>
      <c r="R28" s="24"/>
      <c r="S28" s="24"/>
      <c r="T28" s="24"/>
      <c r="U28" s="29"/>
    </row>
    <row r="29" spans="1:21" x14ac:dyDescent="0.35">
      <c r="A29" s="24">
        <v>18</v>
      </c>
      <c r="B29" s="33" t="s">
        <v>200</v>
      </c>
      <c r="C29" s="24" t="s">
        <v>201</v>
      </c>
      <c r="D29" s="24">
        <v>20</v>
      </c>
      <c r="E29" s="27"/>
      <c r="F29" s="27"/>
      <c r="G29" s="24"/>
      <c r="H29" s="24"/>
      <c r="I29" s="24"/>
      <c r="J29" s="24"/>
      <c r="K29" s="24"/>
      <c r="L29" s="24"/>
      <c r="M29" s="24"/>
      <c r="N29" s="24"/>
      <c r="O29" s="24"/>
      <c r="P29" s="24"/>
      <c r="Q29" s="24"/>
      <c r="R29" s="24"/>
      <c r="S29" s="24"/>
      <c r="T29" s="24"/>
      <c r="U29" s="29"/>
    </row>
    <row r="30" spans="1:21" x14ac:dyDescent="0.35">
      <c r="A30" s="24">
        <v>19</v>
      </c>
      <c r="B30" s="33" t="s">
        <v>202</v>
      </c>
      <c r="C30" s="24" t="s">
        <v>203</v>
      </c>
      <c r="D30" s="24">
        <v>20</v>
      </c>
      <c r="E30" s="27"/>
      <c r="F30" s="27"/>
      <c r="G30" s="24"/>
      <c r="H30" s="24"/>
      <c r="I30" s="24"/>
      <c r="J30" s="24"/>
      <c r="K30" s="24"/>
      <c r="L30" s="24"/>
      <c r="M30" s="24"/>
      <c r="N30" s="24"/>
      <c r="O30" s="24"/>
      <c r="P30" s="24"/>
      <c r="Q30" s="24"/>
      <c r="R30" s="24"/>
      <c r="S30" s="24"/>
      <c r="T30" s="24"/>
      <c r="U30" s="29"/>
    </row>
    <row r="31" spans="1:21" x14ac:dyDescent="0.35">
      <c r="A31" s="24">
        <v>20</v>
      </c>
      <c r="B31" s="33" t="s">
        <v>204</v>
      </c>
      <c r="C31" s="24" t="s">
        <v>205</v>
      </c>
      <c r="D31" s="24">
        <v>10</v>
      </c>
      <c r="E31" s="27"/>
      <c r="F31" s="27"/>
      <c r="G31" s="24"/>
      <c r="H31" s="24"/>
      <c r="I31" s="24"/>
      <c r="J31" s="24"/>
      <c r="K31" s="24"/>
      <c r="L31" s="24"/>
      <c r="M31" s="24"/>
      <c r="N31" s="24"/>
      <c r="O31" s="24"/>
      <c r="P31" s="24"/>
      <c r="Q31" s="24"/>
      <c r="R31" s="24"/>
      <c r="S31" s="24"/>
      <c r="T31" s="24"/>
      <c r="U31" s="29"/>
    </row>
    <row r="32" spans="1:21" x14ac:dyDescent="0.35">
      <c r="A32" s="24">
        <v>21</v>
      </c>
      <c r="B32" s="33" t="s">
        <v>206</v>
      </c>
      <c r="C32" s="24" t="s">
        <v>207</v>
      </c>
      <c r="D32" s="24">
        <v>10</v>
      </c>
      <c r="E32" s="27"/>
      <c r="F32" s="27"/>
      <c r="G32" s="24"/>
      <c r="H32" s="24"/>
      <c r="I32" s="24"/>
      <c r="J32" s="24"/>
      <c r="K32" s="24"/>
      <c r="L32" s="24"/>
      <c r="M32" s="24"/>
      <c r="N32" s="24"/>
      <c r="O32" s="24"/>
      <c r="P32" s="24"/>
      <c r="Q32" s="24"/>
      <c r="R32" s="24"/>
      <c r="S32" s="24"/>
      <c r="T32" s="24"/>
      <c r="U32" s="29"/>
    </row>
    <row r="33" spans="1:21" x14ac:dyDescent="0.35">
      <c r="A33" s="24">
        <v>22</v>
      </c>
      <c r="B33" s="33" t="s">
        <v>208</v>
      </c>
      <c r="C33" s="24" t="s">
        <v>195</v>
      </c>
      <c r="D33" s="24">
        <v>10</v>
      </c>
      <c r="E33" s="27"/>
      <c r="F33" s="27"/>
      <c r="G33" s="24"/>
      <c r="H33" s="24"/>
      <c r="I33" s="24"/>
      <c r="J33" s="24"/>
      <c r="K33" s="24"/>
      <c r="L33" s="24"/>
      <c r="M33" s="24"/>
      <c r="N33" s="24"/>
      <c r="O33" s="24"/>
      <c r="P33" s="24"/>
      <c r="Q33" s="24"/>
      <c r="R33" s="24"/>
      <c r="S33" s="24"/>
      <c r="T33" s="24"/>
      <c r="U33" s="29"/>
    </row>
    <row r="34" spans="1:21" x14ac:dyDescent="0.35">
      <c r="A34" s="24">
        <v>23</v>
      </c>
      <c r="B34" s="33" t="s">
        <v>209</v>
      </c>
      <c r="C34" s="24" t="s">
        <v>185</v>
      </c>
      <c r="D34" s="24">
        <v>30</v>
      </c>
      <c r="E34" s="27"/>
      <c r="F34" s="27"/>
      <c r="G34" s="24"/>
      <c r="H34" s="24"/>
      <c r="I34" s="24"/>
      <c r="J34" s="24"/>
      <c r="K34" s="24"/>
      <c r="L34" s="24"/>
      <c r="M34" s="24"/>
      <c r="N34" s="24"/>
      <c r="O34" s="24"/>
      <c r="P34" s="24"/>
      <c r="Q34" s="24"/>
      <c r="R34" s="24"/>
      <c r="S34" s="24"/>
      <c r="T34" s="24"/>
      <c r="U34" s="29"/>
    </row>
    <row r="35" spans="1:21" x14ac:dyDescent="0.35">
      <c r="A35" s="24">
        <v>24</v>
      </c>
      <c r="B35" s="33" t="s">
        <v>210</v>
      </c>
      <c r="C35" s="24" t="s">
        <v>174</v>
      </c>
      <c r="D35" s="24">
        <v>10</v>
      </c>
      <c r="E35" s="27"/>
      <c r="F35" s="27"/>
      <c r="G35" s="24"/>
      <c r="H35" s="24"/>
      <c r="I35" s="24"/>
      <c r="J35" s="24"/>
      <c r="K35" s="24"/>
      <c r="L35" s="24"/>
      <c r="M35" s="24"/>
      <c r="N35" s="24"/>
      <c r="O35" s="24"/>
      <c r="P35" s="24"/>
      <c r="Q35" s="24"/>
      <c r="R35" s="24"/>
      <c r="S35" s="24"/>
      <c r="T35" s="24"/>
      <c r="U35" s="29"/>
    </row>
    <row r="36" spans="1:21" x14ac:dyDescent="0.35">
      <c r="A36" s="24">
        <v>25</v>
      </c>
      <c r="B36" s="33" t="s">
        <v>211</v>
      </c>
      <c r="C36" s="24" t="s">
        <v>212</v>
      </c>
      <c r="D36" s="24">
        <v>10</v>
      </c>
      <c r="E36" s="27"/>
      <c r="F36" s="27"/>
      <c r="G36" s="24"/>
      <c r="H36" s="24"/>
      <c r="I36" s="24"/>
      <c r="J36" s="24"/>
      <c r="K36" s="24"/>
      <c r="L36" s="24"/>
      <c r="M36" s="24"/>
      <c r="N36" s="24"/>
      <c r="O36" s="24"/>
      <c r="P36" s="24"/>
      <c r="Q36" s="24"/>
      <c r="R36" s="24"/>
      <c r="S36" s="24"/>
      <c r="T36" s="24"/>
      <c r="U36" s="29"/>
    </row>
    <row r="37" spans="1:21" x14ac:dyDescent="0.35">
      <c r="A37" s="24"/>
      <c r="B37" s="33"/>
      <c r="C37" s="24"/>
      <c r="D37" s="24"/>
      <c r="E37" s="27"/>
      <c r="F37" s="27"/>
      <c r="G37" s="24"/>
      <c r="H37" s="24"/>
      <c r="I37" s="24"/>
      <c r="J37" s="24"/>
      <c r="K37" s="24"/>
      <c r="L37" s="24"/>
      <c r="M37" s="24"/>
      <c r="N37" s="24"/>
      <c r="O37" s="24"/>
      <c r="P37" s="24"/>
      <c r="Q37" s="24"/>
      <c r="R37" s="24"/>
      <c r="S37" s="24"/>
      <c r="T37" s="24"/>
      <c r="U37" s="29"/>
    </row>
    <row r="38" spans="1:21" x14ac:dyDescent="0.35">
      <c r="A38" s="24"/>
      <c r="B38" s="24"/>
      <c r="C38" s="24"/>
      <c r="D38" s="24"/>
      <c r="E38" s="27"/>
      <c r="F38" s="27"/>
      <c r="G38" s="24"/>
      <c r="H38" s="24"/>
      <c r="I38" s="24"/>
      <c r="J38" s="24"/>
      <c r="K38" s="24"/>
      <c r="L38" s="24"/>
      <c r="M38" s="24"/>
      <c r="N38" s="24"/>
      <c r="O38" s="24"/>
      <c r="P38" s="24"/>
      <c r="Q38" s="24"/>
      <c r="R38" s="24"/>
      <c r="S38" s="24"/>
      <c r="T38" s="24"/>
      <c r="U38" s="29">
        <f t="shared" si="1"/>
        <v>0</v>
      </c>
    </row>
    <row r="39" spans="1:21" x14ac:dyDescent="0.35">
      <c r="A39" s="25" t="s">
        <v>213</v>
      </c>
      <c r="B39" s="25"/>
      <c r="C39" s="25"/>
      <c r="D39" s="24"/>
      <c r="E39" s="27"/>
      <c r="F39" s="27"/>
      <c r="G39" s="24"/>
      <c r="H39" s="24"/>
      <c r="I39" s="24"/>
      <c r="J39" s="24"/>
      <c r="K39" s="24"/>
      <c r="L39" s="24"/>
      <c r="M39" s="24"/>
      <c r="N39" s="24"/>
      <c r="O39" s="24"/>
      <c r="P39" s="24"/>
      <c r="Q39" s="24"/>
      <c r="R39" s="24"/>
      <c r="S39" s="24"/>
      <c r="T39" s="24"/>
      <c r="U39" s="29">
        <f t="shared" si="1"/>
        <v>0</v>
      </c>
    </row>
    <row r="40" spans="1:21" x14ac:dyDescent="0.35">
      <c r="A40" s="24">
        <v>1</v>
      </c>
      <c r="B40" s="24" t="s">
        <v>214</v>
      </c>
      <c r="C40" s="24" t="s">
        <v>215</v>
      </c>
      <c r="D40" s="24">
        <v>2</v>
      </c>
      <c r="E40" s="27">
        <v>25000</v>
      </c>
      <c r="F40" s="27">
        <f t="shared" si="0"/>
        <v>50000</v>
      </c>
      <c r="G40" s="24" t="s">
        <v>165</v>
      </c>
      <c r="H40" s="24" t="s">
        <v>177</v>
      </c>
      <c r="I40" s="24" t="s">
        <v>23</v>
      </c>
      <c r="J40" s="24"/>
      <c r="K40" s="24"/>
      <c r="L40" s="24"/>
      <c r="M40" s="28" t="s">
        <v>167</v>
      </c>
      <c r="N40" s="24"/>
      <c r="O40" s="24"/>
      <c r="P40" s="24"/>
      <c r="Q40" s="24"/>
      <c r="R40" s="24"/>
      <c r="S40" s="24"/>
      <c r="T40" s="34">
        <v>2</v>
      </c>
      <c r="U40" s="29">
        <f t="shared" si="1"/>
        <v>50000</v>
      </c>
    </row>
    <row r="41" spans="1:21" x14ac:dyDescent="0.35">
      <c r="A41" s="24">
        <v>2</v>
      </c>
      <c r="B41" s="33" t="s">
        <v>216</v>
      </c>
      <c r="C41" s="33" t="s">
        <v>215</v>
      </c>
      <c r="D41" s="24">
        <v>6</v>
      </c>
      <c r="E41" s="27">
        <v>20000</v>
      </c>
      <c r="F41" s="27">
        <f t="shared" si="0"/>
        <v>120000</v>
      </c>
      <c r="G41" s="24" t="s">
        <v>165</v>
      </c>
      <c r="H41" s="24" t="s">
        <v>177</v>
      </c>
      <c r="I41" s="24" t="s">
        <v>23</v>
      </c>
      <c r="J41" s="24"/>
      <c r="K41" s="24"/>
      <c r="L41" s="24"/>
      <c r="M41" s="28" t="s">
        <v>167</v>
      </c>
      <c r="N41" s="24"/>
      <c r="O41" s="24"/>
      <c r="P41" s="24"/>
      <c r="Q41" s="24"/>
      <c r="R41" s="24"/>
      <c r="S41" s="24"/>
      <c r="T41" s="34">
        <v>6</v>
      </c>
      <c r="U41" s="29">
        <f t="shared" si="1"/>
        <v>120000</v>
      </c>
    </row>
    <row r="42" spans="1:21" x14ac:dyDescent="0.35">
      <c r="A42" s="24">
        <v>3</v>
      </c>
      <c r="B42" s="24" t="s">
        <v>217</v>
      </c>
      <c r="C42" s="24" t="s">
        <v>215</v>
      </c>
      <c r="D42" s="24">
        <v>20</v>
      </c>
      <c r="E42" s="27">
        <v>480</v>
      </c>
      <c r="F42" s="27">
        <f t="shared" si="0"/>
        <v>9600</v>
      </c>
      <c r="G42" s="24"/>
      <c r="H42" s="24" t="s">
        <v>177</v>
      </c>
      <c r="I42" s="24" t="s">
        <v>23</v>
      </c>
      <c r="J42" s="24"/>
      <c r="K42" s="24"/>
      <c r="L42" s="24"/>
      <c r="M42" s="24"/>
      <c r="N42" s="24"/>
      <c r="O42" s="24"/>
      <c r="P42" s="24"/>
      <c r="Q42" s="24"/>
      <c r="R42" s="24"/>
      <c r="S42" s="24"/>
      <c r="T42" s="34">
        <v>20</v>
      </c>
      <c r="U42" s="29">
        <f t="shared" si="1"/>
        <v>9600</v>
      </c>
    </row>
    <row r="43" spans="1:21" x14ac:dyDescent="0.35">
      <c r="A43" s="24">
        <v>5</v>
      </c>
      <c r="B43" s="24" t="s">
        <v>218</v>
      </c>
      <c r="C43" s="24" t="s">
        <v>219</v>
      </c>
      <c r="D43" s="24">
        <v>20</v>
      </c>
      <c r="E43" s="27">
        <v>1600</v>
      </c>
      <c r="F43" s="27">
        <f t="shared" si="0"/>
        <v>32000</v>
      </c>
      <c r="G43" s="24"/>
      <c r="H43" s="24" t="s">
        <v>177</v>
      </c>
      <c r="I43" s="24" t="s">
        <v>23</v>
      </c>
      <c r="J43" s="24"/>
      <c r="K43" s="24"/>
      <c r="L43" s="24"/>
      <c r="M43" s="24"/>
      <c r="N43" s="24"/>
      <c r="O43" s="24"/>
      <c r="P43" s="24"/>
      <c r="Q43" s="24"/>
      <c r="R43" s="24"/>
      <c r="S43" s="24"/>
      <c r="T43" s="34">
        <v>20</v>
      </c>
      <c r="U43" s="29">
        <f t="shared" si="1"/>
        <v>32000</v>
      </c>
    </row>
    <row r="44" spans="1:21" x14ac:dyDescent="0.35">
      <c r="A44" s="35">
        <v>6</v>
      </c>
      <c r="B44" s="35" t="s">
        <v>220</v>
      </c>
      <c r="C44" s="35" t="s">
        <v>181</v>
      </c>
      <c r="D44" s="24"/>
      <c r="E44" s="27"/>
      <c r="F44" s="27">
        <f t="shared" si="0"/>
        <v>0</v>
      </c>
      <c r="G44" s="24"/>
      <c r="H44" s="24"/>
      <c r="I44" s="24"/>
      <c r="J44" s="24"/>
      <c r="K44" s="24"/>
      <c r="L44" s="24"/>
      <c r="M44" s="24"/>
      <c r="N44" s="24"/>
      <c r="O44" s="24"/>
      <c r="P44" s="24"/>
      <c r="Q44" s="24"/>
      <c r="R44" s="24"/>
      <c r="S44" s="24"/>
      <c r="T44" s="36"/>
      <c r="U44" s="29">
        <f t="shared" si="1"/>
        <v>0</v>
      </c>
    </row>
    <row r="45" spans="1:21" x14ac:dyDescent="0.35">
      <c r="A45" s="24"/>
      <c r="B45" s="24" t="s">
        <v>221</v>
      </c>
      <c r="C45" s="24" t="s">
        <v>193</v>
      </c>
      <c r="D45" s="24">
        <v>5</v>
      </c>
      <c r="E45" s="27"/>
      <c r="F45" s="27">
        <v>0</v>
      </c>
      <c r="G45" s="24"/>
      <c r="H45" s="24"/>
      <c r="I45" s="24"/>
      <c r="J45" s="24"/>
      <c r="K45" s="24"/>
      <c r="L45" s="24"/>
      <c r="M45" s="24"/>
      <c r="N45" s="24"/>
      <c r="O45" s="24"/>
      <c r="P45" s="24"/>
      <c r="Q45" s="24"/>
      <c r="R45" s="24"/>
      <c r="S45" s="24"/>
      <c r="T45" s="36"/>
      <c r="U45" s="29"/>
    </row>
    <row r="46" spans="1:21" x14ac:dyDescent="0.35">
      <c r="A46" s="35"/>
      <c r="B46" s="37" t="s">
        <v>222</v>
      </c>
      <c r="C46" s="35" t="s">
        <v>193</v>
      </c>
      <c r="D46" s="35">
        <v>10</v>
      </c>
      <c r="E46" s="35"/>
      <c r="F46" s="38">
        <f t="shared" ref="F46" si="4">D46*E46</f>
        <v>0</v>
      </c>
      <c r="G46" s="35"/>
      <c r="H46" s="35"/>
      <c r="I46" s="35"/>
      <c r="J46" s="35"/>
      <c r="K46" s="35"/>
      <c r="L46" s="35"/>
      <c r="M46" s="35"/>
      <c r="N46" s="35"/>
      <c r="O46" s="35"/>
      <c r="P46" s="35"/>
      <c r="Q46" s="35"/>
      <c r="R46" s="35"/>
      <c r="S46" s="35"/>
      <c r="T46" s="35"/>
      <c r="U46" s="39"/>
    </row>
    <row r="47" spans="1:21" x14ac:dyDescent="0.35">
      <c r="A47" s="24"/>
      <c r="B47" s="24"/>
      <c r="C47" s="24"/>
      <c r="D47" s="24"/>
      <c r="E47" s="27"/>
      <c r="F47" s="27">
        <f t="shared" si="0"/>
        <v>0</v>
      </c>
      <c r="G47" s="24"/>
      <c r="H47" s="24"/>
      <c r="I47" s="24"/>
      <c r="J47" s="24"/>
      <c r="K47" s="24"/>
      <c r="L47" s="24"/>
      <c r="M47" s="24"/>
      <c r="N47" s="24"/>
      <c r="O47" s="24"/>
      <c r="P47" s="24"/>
      <c r="Q47" s="24"/>
      <c r="R47" s="24"/>
      <c r="S47" s="24"/>
      <c r="T47" s="24"/>
      <c r="U47" s="29">
        <f t="shared" si="1"/>
        <v>0</v>
      </c>
    </row>
    <row r="48" spans="1:21" x14ac:dyDescent="0.35">
      <c r="A48" s="24"/>
      <c r="B48" s="24"/>
      <c r="C48" s="24"/>
      <c r="D48" s="24"/>
      <c r="E48" s="27"/>
      <c r="F48" s="27">
        <f t="shared" si="0"/>
        <v>0</v>
      </c>
      <c r="G48" s="24"/>
      <c r="H48" s="24"/>
      <c r="I48" s="24"/>
      <c r="J48" s="24"/>
      <c r="K48" s="24"/>
      <c r="L48" s="24"/>
      <c r="M48" s="24"/>
      <c r="N48" s="24"/>
      <c r="O48" s="24"/>
      <c r="P48" s="24"/>
      <c r="Q48" s="24"/>
      <c r="R48" s="24"/>
      <c r="S48" s="24"/>
      <c r="T48" s="24"/>
      <c r="U48" s="29">
        <f t="shared" si="1"/>
        <v>0</v>
      </c>
    </row>
    <row r="49" spans="1:21" x14ac:dyDescent="0.35">
      <c r="A49" s="24"/>
      <c r="B49" s="24"/>
      <c r="C49" s="24"/>
      <c r="D49" s="24"/>
      <c r="E49" s="27"/>
      <c r="F49" s="27">
        <f t="shared" si="0"/>
        <v>0</v>
      </c>
      <c r="G49" s="24"/>
      <c r="H49" s="24"/>
      <c r="I49" s="24"/>
      <c r="J49" s="24"/>
      <c r="K49" s="24"/>
      <c r="L49" s="24"/>
      <c r="M49" s="24"/>
      <c r="N49" s="24"/>
      <c r="O49" s="24"/>
      <c r="P49" s="24"/>
      <c r="Q49" s="24"/>
      <c r="R49" s="24"/>
      <c r="S49" s="24"/>
      <c r="T49" s="24"/>
      <c r="U49" s="29">
        <f t="shared" si="1"/>
        <v>0</v>
      </c>
    </row>
    <row r="50" spans="1:21" x14ac:dyDescent="0.35">
      <c r="A50" s="24"/>
      <c r="B50" s="24"/>
      <c r="C50" s="24"/>
      <c r="D50" s="24"/>
      <c r="E50" s="27"/>
      <c r="F50" s="27">
        <f t="shared" si="0"/>
        <v>0</v>
      </c>
      <c r="G50" s="24"/>
      <c r="H50" s="24"/>
      <c r="I50" s="24"/>
      <c r="J50" s="24"/>
      <c r="K50" s="24"/>
      <c r="L50" s="24"/>
      <c r="M50" s="24"/>
      <c r="N50" s="24"/>
      <c r="O50" s="24"/>
      <c r="P50" s="24"/>
      <c r="Q50" s="24"/>
      <c r="R50" s="24"/>
      <c r="S50" s="24"/>
      <c r="T50" s="24"/>
      <c r="U50" s="29">
        <f t="shared" si="1"/>
        <v>0</v>
      </c>
    </row>
    <row r="51" spans="1:21" x14ac:dyDescent="0.35">
      <c r="A51" s="24"/>
      <c r="B51" s="24"/>
      <c r="C51" s="24"/>
      <c r="D51" s="24"/>
      <c r="E51" s="27"/>
      <c r="F51" s="27">
        <f t="shared" si="0"/>
        <v>0</v>
      </c>
      <c r="G51" s="24"/>
      <c r="H51" s="24"/>
      <c r="I51" s="24"/>
      <c r="J51" s="24"/>
      <c r="K51" s="24"/>
      <c r="L51" s="24"/>
      <c r="M51" s="24"/>
      <c r="N51" s="24"/>
      <c r="O51" s="24"/>
      <c r="P51" s="24"/>
      <c r="Q51" s="24"/>
      <c r="R51" s="24"/>
      <c r="S51" s="24"/>
      <c r="T51" s="24"/>
      <c r="U51" s="29">
        <f t="shared" si="1"/>
        <v>0</v>
      </c>
    </row>
    <row r="52" spans="1:21" x14ac:dyDescent="0.35">
      <c r="A52" s="24"/>
      <c r="B52" s="24"/>
      <c r="C52" s="24"/>
      <c r="D52" s="24"/>
      <c r="E52" s="27"/>
      <c r="F52" s="27">
        <f t="shared" si="0"/>
        <v>0</v>
      </c>
      <c r="G52" s="24"/>
      <c r="H52" s="24"/>
      <c r="I52" s="24"/>
      <c r="J52" s="24"/>
      <c r="K52" s="24"/>
      <c r="L52" s="24"/>
      <c r="M52" s="24"/>
      <c r="N52" s="24"/>
      <c r="O52" s="24"/>
      <c r="P52" s="24"/>
      <c r="Q52" s="24"/>
      <c r="R52" s="24"/>
      <c r="S52" s="24"/>
      <c r="T52" s="24"/>
      <c r="U52" s="29">
        <f t="shared" si="1"/>
        <v>0</v>
      </c>
    </row>
    <row r="53" spans="1:21" x14ac:dyDescent="0.35">
      <c r="A53" s="24"/>
      <c r="B53" s="24"/>
      <c r="C53" s="24"/>
      <c r="D53" s="24"/>
      <c r="E53" s="27"/>
      <c r="F53" s="27">
        <f t="shared" si="0"/>
        <v>0</v>
      </c>
      <c r="G53" s="24"/>
      <c r="H53" s="24"/>
      <c r="I53" s="24"/>
      <c r="J53" s="24"/>
      <c r="K53" s="24"/>
      <c r="L53" s="24"/>
      <c r="M53" s="24"/>
      <c r="N53" s="24"/>
      <c r="O53" s="24"/>
      <c r="P53" s="24"/>
      <c r="Q53" s="24"/>
      <c r="R53" s="24"/>
      <c r="S53" s="24"/>
      <c r="T53" s="24"/>
      <c r="U53" s="29">
        <f t="shared" si="1"/>
        <v>0</v>
      </c>
    </row>
    <row r="54" spans="1:21" x14ac:dyDescent="0.35">
      <c r="A54" s="24"/>
      <c r="B54" s="24"/>
      <c r="C54" s="24"/>
      <c r="D54" s="24"/>
      <c r="E54" s="27"/>
      <c r="F54" s="27">
        <f t="shared" si="0"/>
        <v>0</v>
      </c>
      <c r="G54" s="24"/>
      <c r="H54" s="24"/>
      <c r="I54" s="24"/>
      <c r="J54" s="24"/>
      <c r="K54" s="24"/>
      <c r="L54" s="24"/>
      <c r="M54" s="24"/>
      <c r="N54" s="24"/>
      <c r="O54" s="24"/>
      <c r="P54" s="24"/>
      <c r="Q54" s="24"/>
      <c r="R54" s="24"/>
      <c r="S54" s="24"/>
      <c r="T54" s="24"/>
      <c r="U54" s="29">
        <f t="shared" si="1"/>
        <v>0</v>
      </c>
    </row>
    <row r="55" spans="1:21" x14ac:dyDescent="0.35">
      <c r="A55" s="25" t="s">
        <v>223</v>
      </c>
      <c r="B55" s="25"/>
      <c r="C55" s="25"/>
      <c r="D55" s="24"/>
      <c r="E55" s="27"/>
      <c r="F55" s="27">
        <f t="shared" si="0"/>
        <v>0</v>
      </c>
      <c r="G55" s="24"/>
      <c r="H55" s="24"/>
      <c r="I55" s="24"/>
      <c r="J55" s="24"/>
      <c r="K55" s="24"/>
      <c r="L55" s="24"/>
      <c r="M55" s="24"/>
      <c r="N55" s="24"/>
      <c r="O55" s="24"/>
      <c r="P55" s="24"/>
      <c r="Q55" s="24"/>
      <c r="R55" s="24"/>
      <c r="S55" s="24"/>
      <c r="T55" s="24"/>
      <c r="U55" s="29">
        <f t="shared" si="1"/>
        <v>0</v>
      </c>
    </row>
    <row r="56" spans="1:21" x14ac:dyDescent="0.35">
      <c r="A56" s="24"/>
      <c r="B56" s="24"/>
      <c r="C56" s="24"/>
      <c r="D56" s="24"/>
      <c r="E56" s="27"/>
      <c r="F56" s="27"/>
      <c r="G56" s="24"/>
      <c r="H56" s="24"/>
      <c r="I56" s="24"/>
      <c r="J56" s="24"/>
      <c r="K56" s="24"/>
      <c r="L56" s="24"/>
      <c r="M56" s="24"/>
      <c r="N56" s="24"/>
      <c r="O56" s="24"/>
      <c r="P56" s="24"/>
      <c r="Q56" s="24"/>
      <c r="R56" s="24"/>
      <c r="S56" s="24"/>
      <c r="T56" s="36"/>
      <c r="U56" s="29">
        <f t="shared" si="1"/>
        <v>0</v>
      </c>
    </row>
    <row r="57" spans="1:21" x14ac:dyDescent="0.35">
      <c r="A57" s="24"/>
      <c r="B57" s="24"/>
      <c r="C57" s="24"/>
      <c r="D57" s="24"/>
      <c r="E57" s="27"/>
      <c r="F57" s="27">
        <f t="shared" si="0"/>
        <v>0</v>
      </c>
      <c r="G57" s="24"/>
      <c r="H57" s="24"/>
      <c r="I57" s="24"/>
      <c r="J57" s="24"/>
      <c r="K57" s="24"/>
      <c r="L57" s="24"/>
      <c r="M57" s="24"/>
      <c r="N57" s="24"/>
      <c r="O57" s="24"/>
      <c r="P57" s="24"/>
      <c r="Q57" s="24"/>
      <c r="R57" s="24"/>
      <c r="S57" s="24"/>
      <c r="T57" s="36"/>
      <c r="U57" s="29">
        <f t="shared" si="1"/>
        <v>0</v>
      </c>
    </row>
    <row r="58" spans="1:21" x14ac:dyDescent="0.35">
      <c r="A58" s="24"/>
      <c r="B58" s="24"/>
      <c r="C58" s="24"/>
      <c r="D58" s="24"/>
      <c r="E58" s="27"/>
      <c r="F58" s="27">
        <f t="shared" si="0"/>
        <v>0</v>
      </c>
      <c r="G58" s="24"/>
      <c r="H58" s="24"/>
      <c r="I58" s="24"/>
      <c r="J58" s="24"/>
      <c r="K58" s="24"/>
      <c r="L58" s="24"/>
      <c r="M58" s="24"/>
      <c r="N58" s="24"/>
      <c r="O58" s="24"/>
      <c r="P58" s="24"/>
      <c r="Q58" s="24"/>
      <c r="R58" s="24"/>
      <c r="S58" s="24"/>
      <c r="T58" s="36"/>
      <c r="U58" s="29">
        <f t="shared" si="1"/>
        <v>0</v>
      </c>
    </row>
    <row r="59" spans="1:21" x14ac:dyDescent="0.35">
      <c r="A59" s="24"/>
      <c r="B59" s="24"/>
      <c r="C59" s="24"/>
      <c r="D59" s="24"/>
      <c r="E59" s="27"/>
      <c r="F59" s="27">
        <f t="shared" si="0"/>
        <v>0</v>
      </c>
      <c r="G59" s="24"/>
      <c r="H59" s="24"/>
      <c r="I59" s="24"/>
      <c r="J59" s="24"/>
      <c r="K59" s="24"/>
      <c r="L59" s="24"/>
      <c r="M59" s="24"/>
      <c r="N59" s="24"/>
      <c r="O59" s="24"/>
      <c r="P59" s="24"/>
      <c r="Q59" s="24"/>
      <c r="R59" s="24"/>
      <c r="S59" s="24"/>
      <c r="T59" s="36"/>
      <c r="U59" s="29">
        <f t="shared" si="1"/>
        <v>0</v>
      </c>
    </row>
    <row r="60" spans="1:21" x14ac:dyDescent="0.35">
      <c r="A60" s="24"/>
      <c r="B60" s="24"/>
      <c r="C60" s="24"/>
      <c r="D60" s="24"/>
      <c r="E60" s="27"/>
      <c r="F60" s="27">
        <f t="shared" si="0"/>
        <v>0</v>
      </c>
      <c r="G60" s="24"/>
      <c r="H60" s="24"/>
      <c r="I60" s="24"/>
      <c r="J60" s="24"/>
      <c r="K60" s="24"/>
      <c r="L60" s="24"/>
      <c r="M60" s="24"/>
      <c r="N60" s="24"/>
      <c r="O60" s="24"/>
      <c r="P60" s="24"/>
      <c r="Q60" s="24"/>
      <c r="R60" s="24"/>
      <c r="S60" s="24"/>
      <c r="T60" s="36"/>
      <c r="U60" s="29">
        <f t="shared" si="1"/>
        <v>0</v>
      </c>
    </row>
    <row r="61" spans="1:21" x14ac:dyDescent="0.35">
      <c r="A61" s="24"/>
      <c r="B61" s="24"/>
      <c r="C61" s="24"/>
      <c r="D61" s="24"/>
      <c r="E61" s="27"/>
      <c r="F61" s="27">
        <f t="shared" si="0"/>
        <v>0</v>
      </c>
      <c r="G61" s="24"/>
      <c r="H61" s="24"/>
      <c r="I61" s="24"/>
      <c r="J61" s="24"/>
      <c r="K61" s="24"/>
      <c r="L61" s="24"/>
      <c r="M61" s="24"/>
      <c r="N61" s="24"/>
      <c r="O61" s="24"/>
      <c r="P61" s="24"/>
      <c r="Q61" s="24"/>
      <c r="R61" s="24"/>
      <c r="S61" s="24"/>
      <c r="T61" s="24"/>
      <c r="U61" s="29">
        <f t="shared" si="1"/>
        <v>0</v>
      </c>
    </row>
    <row r="62" spans="1:21" x14ac:dyDescent="0.35">
      <c r="A62" s="24"/>
      <c r="B62" s="24"/>
      <c r="C62" s="24"/>
      <c r="D62" s="24"/>
      <c r="E62" s="27"/>
      <c r="F62" s="27">
        <f t="shared" si="0"/>
        <v>0</v>
      </c>
      <c r="G62" s="24"/>
      <c r="H62" s="24"/>
      <c r="I62" s="24"/>
      <c r="J62" s="24"/>
      <c r="K62" s="24"/>
      <c r="L62" s="24"/>
      <c r="M62" s="24"/>
      <c r="N62" s="24"/>
      <c r="O62" s="24"/>
      <c r="P62" s="24"/>
      <c r="Q62" s="24"/>
      <c r="R62" s="24"/>
      <c r="S62" s="24"/>
      <c r="T62" s="24"/>
      <c r="U62" s="29">
        <f t="shared" si="1"/>
        <v>0</v>
      </c>
    </row>
    <row r="63" spans="1:21" x14ac:dyDescent="0.35">
      <c r="A63" s="24"/>
      <c r="B63" s="24"/>
      <c r="C63" s="24"/>
      <c r="D63" s="24"/>
      <c r="E63" s="27"/>
      <c r="F63" s="27">
        <f t="shared" si="0"/>
        <v>0</v>
      </c>
      <c r="G63" s="24"/>
      <c r="H63" s="24"/>
      <c r="I63" s="24"/>
      <c r="J63" s="24"/>
      <c r="K63" s="24"/>
      <c r="L63" s="24"/>
      <c r="M63" s="24"/>
      <c r="N63" s="24"/>
      <c r="O63" s="24"/>
      <c r="P63" s="24"/>
      <c r="Q63" s="24"/>
      <c r="R63" s="24"/>
      <c r="S63" s="24"/>
      <c r="T63" s="24"/>
      <c r="U63" s="29">
        <f t="shared" si="1"/>
        <v>0</v>
      </c>
    </row>
    <row r="64" spans="1:21" x14ac:dyDescent="0.35">
      <c r="A64" s="24"/>
      <c r="B64" s="24"/>
      <c r="C64" s="24"/>
      <c r="D64" s="24"/>
      <c r="E64" s="27"/>
      <c r="F64" s="27">
        <f t="shared" si="0"/>
        <v>0</v>
      </c>
      <c r="G64" s="24"/>
      <c r="H64" s="24"/>
      <c r="I64" s="24"/>
      <c r="J64" s="24"/>
      <c r="K64" s="24"/>
      <c r="L64" s="24"/>
      <c r="M64" s="24"/>
      <c r="N64" s="24"/>
      <c r="O64" s="24"/>
      <c r="P64" s="24"/>
      <c r="Q64" s="24"/>
      <c r="R64" s="24"/>
      <c r="S64" s="24"/>
      <c r="T64" s="24"/>
      <c r="U64" s="29">
        <f t="shared" si="1"/>
        <v>0</v>
      </c>
    </row>
    <row r="65" spans="1:21" x14ac:dyDescent="0.35">
      <c r="A65" s="25" t="s">
        <v>224</v>
      </c>
      <c r="B65" s="25"/>
      <c r="C65" s="25"/>
      <c r="D65" s="24"/>
      <c r="E65" s="27"/>
      <c r="F65" s="27">
        <f t="shared" si="0"/>
        <v>0</v>
      </c>
      <c r="G65" s="24"/>
      <c r="H65" s="24"/>
      <c r="I65" s="24"/>
      <c r="J65" s="24"/>
      <c r="K65" s="24"/>
      <c r="L65" s="24"/>
      <c r="M65" s="24"/>
      <c r="N65" s="24"/>
      <c r="O65" s="24"/>
      <c r="P65" s="24"/>
      <c r="Q65" s="24"/>
      <c r="R65" s="24"/>
      <c r="S65" s="24"/>
      <c r="T65" s="24"/>
      <c r="U65" s="29">
        <f t="shared" si="1"/>
        <v>0</v>
      </c>
    </row>
    <row r="66" spans="1:21" ht="31" x14ac:dyDescent="0.35">
      <c r="A66" s="24">
        <v>1</v>
      </c>
      <c r="B66" s="40" t="s">
        <v>225</v>
      </c>
      <c r="C66" s="40" t="s">
        <v>226</v>
      </c>
      <c r="D66" s="41"/>
      <c r="E66" s="42">
        <v>200</v>
      </c>
      <c r="F66" s="42">
        <f t="shared" si="0"/>
        <v>0</v>
      </c>
      <c r="G66" s="24" t="s">
        <v>165</v>
      </c>
      <c r="H66" s="24" t="s">
        <v>177</v>
      </c>
      <c r="I66" s="24" t="s">
        <v>23</v>
      </c>
      <c r="J66" s="24"/>
      <c r="K66" s="24"/>
      <c r="L66" s="24"/>
      <c r="M66" s="28" t="s">
        <v>167</v>
      </c>
      <c r="N66" s="24"/>
      <c r="O66" s="24"/>
      <c r="P66" s="24"/>
      <c r="Q66" s="24"/>
      <c r="R66" s="24"/>
      <c r="S66" s="24"/>
      <c r="T66" s="24">
        <v>3000</v>
      </c>
      <c r="U66" s="29">
        <f t="shared" si="1"/>
        <v>0</v>
      </c>
    </row>
    <row r="67" spans="1:21" x14ac:dyDescent="0.35">
      <c r="A67" s="24">
        <v>2</v>
      </c>
      <c r="B67" s="41" t="s">
        <v>227</v>
      </c>
      <c r="C67" s="41" t="s">
        <v>181</v>
      </c>
      <c r="D67" s="41"/>
      <c r="E67" s="42"/>
      <c r="F67" s="42">
        <f t="shared" si="0"/>
        <v>0</v>
      </c>
      <c r="G67" s="24" t="s">
        <v>165</v>
      </c>
      <c r="H67" s="24" t="s">
        <v>177</v>
      </c>
      <c r="I67" s="24" t="s">
        <v>23</v>
      </c>
      <c r="J67" s="24"/>
      <c r="K67" s="24"/>
      <c r="L67" s="24"/>
      <c r="M67" s="24"/>
      <c r="N67" s="24"/>
      <c r="O67" s="24"/>
      <c r="P67" s="24"/>
      <c r="Q67" s="24"/>
      <c r="R67" s="24"/>
      <c r="S67" s="24"/>
      <c r="T67" s="24"/>
      <c r="U67" s="29">
        <f t="shared" si="1"/>
        <v>0</v>
      </c>
    </row>
    <row r="68" spans="1:21" x14ac:dyDescent="0.35">
      <c r="A68" s="35">
        <v>3</v>
      </c>
      <c r="B68" s="35" t="s">
        <v>228</v>
      </c>
      <c r="C68" s="35" t="s">
        <v>226</v>
      </c>
      <c r="D68" s="35">
        <v>53720</v>
      </c>
      <c r="E68" s="38">
        <v>200</v>
      </c>
      <c r="F68" s="38">
        <f t="shared" si="0"/>
        <v>10744000</v>
      </c>
      <c r="G68" s="24" t="s">
        <v>165</v>
      </c>
      <c r="H68" s="24" t="s">
        <v>177</v>
      </c>
      <c r="I68" s="24" t="s">
        <v>23</v>
      </c>
      <c r="J68" s="24"/>
      <c r="K68" s="24"/>
      <c r="L68" s="24"/>
      <c r="M68" s="24"/>
      <c r="N68" s="24"/>
      <c r="O68" s="24"/>
      <c r="P68" s="24"/>
      <c r="Q68" s="24"/>
      <c r="R68" s="24"/>
      <c r="S68" s="24"/>
      <c r="T68" s="24">
        <v>53720</v>
      </c>
      <c r="U68" s="29">
        <f t="shared" si="1"/>
        <v>10744000</v>
      </c>
    </row>
    <row r="69" spans="1:21" x14ac:dyDescent="0.35">
      <c r="A69" s="35">
        <v>4</v>
      </c>
      <c r="B69" s="35" t="s">
        <v>229</v>
      </c>
      <c r="C69" s="35" t="s">
        <v>230</v>
      </c>
      <c r="D69" s="35">
        <v>1</v>
      </c>
      <c r="E69" s="38">
        <v>3500000</v>
      </c>
      <c r="F69" s="38">
        <f t="shared" si="0"/>
        <v>3500000</v>
      </c>
      <c r="G69" s="24" t="s">
        <v>165</v>
      </c>
      <c r="H69" s="24" t="s">
        <v>177</v>
      </c>
      <c r="I69" s="24" t="s">
        <v>23</v>
      </c>
      <c r="J69" s="24"/>
      <c r="K69" s="24"/>
      <c r="L69" s="24"/>
      <c r="M69" s="24"/>
      <c r="N69" s="24"/>
      <c r="O69" s="24"/>
      <c r="P69" s="24"/>
      <c r="Q69" s="24"/>
      <c r="R69" s="24"/>
      <c r="S69" s="24"/>
      <c r="T69">
        <v>1</v>
      </c>
      <c r="U69" s="29">
        <f t="shared" si="1"/>
        <v>3500000</v>
      </c>
    </row>
    <row r="70" spans="1:21" x14ac:dyDescent="0.35">
      <c r="A70" s="24"/>
      <c r="B70" s="24"/>
      <c r="C70" s="24"/>
      <c r="D70" s="24"/>
      <c r="E70" s="27"/>
      <c r="F70" s="27">
        <f t="shared" si="0"/>
        <v>0</v>
      </c>
      <c r="G70" s="24"/>
      <c r="H70" s="24"/>
      <c r="I70" s="24"/>
      <c r="J70" s="24"/>
      <c r="K70" s="24"/>
      <c r="L70" s="24"/>
      <c r="M70" s="24"/>
      <c r="N70" s="24"/>
      <c r="O70" s="24"/>
      <c r="P70" s="24"/>
      <c r="Q70" s="24"/>
      <c r="R70" s="24"/>
      <c r="S70" s="24"/>
      <c r="T70" s="24"/>
      <c r="U70" s="29">
        <f t="shared" si="1"/>
        <v>0</v>
      </c>
    </row>
    <row r="71" spans="1:21" x14ac:dyDescent="0.35">
      <c r="A71" s="24"/>
      <c r="B71" s="24"/>
      <c r="C71" s="24"/>
      <c r="D71" s="24"/>
      <c r="E71" s="27"/>
      <c r="F71" s="27">
        <f t="shared" si="0"/>
        <v>0</v>
      </c>
      <c r="G71" s="24"/>
      <c r="H71" s="24"/>
      <c r="I71" s="24"/>
      <c r="J71" s="24"/>
      <c r="K71" s="24"/>
      <c r="L71" s="24"/>
      <c r="M71" s="24"/>
      <c r="N71" s="24"/>
      <c r="O71" s="24"/>
      <c r="P71" s="24"/>
      <c r="Q71" s="24"/>
      <c r="R71" s="24"/>
      <c r="S71" s="24"/>
      <c r="T71" s="24"/>
      <c r="U71" s="29">
        <f t="shared" si="1"/>
        <v>0</v>
      </c>
    </row>
    <row r="72" spans="1:21" x14ac:dyDescent="0.35">
      <c r="A72" s="24"/>
      <c r="B72" s="24"/>
      <c r="C72" s="24"/>
      <c r="D72" s="24"/>
      <c r="E72" s="27"/>
      <c r="F72" s="27">
        <f t="shared" si="0"/>
        <v>0</v>
      </c>
      <c r="G72" s="24"/>
      <c r="H72" s="24"/>
      <c r="I72" s="24"/>
      <c r="J72" s="24"/>
      <c r="K72" s="24"/>
      <c r="L72" s="24"/>
      <c r="M72" s="24"/>
      <c r="N72" s="24"/>
      <c r="O72" s="24"/>
      <c r="P72" s="24"/>
      <c r="Q72" s="24"/>
      <c r="R72" s="24"/>
      <c r="S72" s="24"/>
      <c r="T72" s="24"/>
      <c r="U72" s="29">
        <f t="shared" si="1"/>
        <v>0</v>
      </c>
    </row>
    <row r="73" spans="1:21" x14ac:dyDescent="0.35">
      <c r="A73" s="24"/>
      <c r="B73" s="24"/>
      <c r="C73" s="24"/>
      <c r="D73" s="24"/>
      <c r="E73" s="27"/>
      <c r="F73" s="27">
        <f t="shared" si="0"/>
        <v>0</v>
      </c>
      <c r="G73" s="24"/>
      <c r="H73" s="24"/>
      <c r="I73" s="24"/>
      <c r="J73" s="24"/>
      <c r="K73" s="24"/>
      <c r="L73" s="24"/>
      <c r="M73" s="24"/>
      <c r="N73" s="24"/>
      <c r="O73" s="24"/>
      <c r="P73" s="24"/>
      <c r="Q73" s="24"/>
      <c r="R73" s="24"/>
      <c r="S73" s="24"/>
      <c r="T73" s="24"/>
      <c r="U73" s="29">
        <f t="shared" si="1"/>
        <v>0</v>
      </c>
    </row>
    <row r="74" spans="1:21" x14ac:dyDescent="0.35">
      <c r="A74" s="24"/>
      <c r="B74" s="24"/>
      <c r="C74" s="24"/>
      <c r="D74" s="24"/>
      <c r="E74" s="27"/>
      <c r="F74" s="27">
        <f t="shared" si="0"/>
        <v>0</v>
      </c>
      <c r="G74" s="24"/>
      <c r="H74" s="24"/>
      <c r="I74" s="24"/>
      <c r="J74" s="24"/>
      <c r="K74" s="24"/>
      <c r="L74" s="24"/>
      <c r="M74" s="24"/>
      <c r="N74" s="24"/>
      <c r="O74" s="24"/>
      <c r="P74" s="24"/>
      <c r="Q74" s="24"/>
      <c r="R74" s="24"/>
      <c r="S74" s="24"/>
      <c r="T74" s="24"/>
      <c r="U74" s="29">
        <f t="shared" si="1"/>
        <v>0</v>
      </c>
    </row>
    <row r="75" spans="1:21" x14ac:dyDescent="0.35">
      <c r="A75" s="25" t="s">
        <v>231</v>
      </c>
      <c r="B75" s="25"/>
      <c r="C75" s="25"/>
      <c r="D75" s="24"/>
      <c r="E75" s="27"/>
      <c r="F75" s="27">
        <f t="shared" si="0"/>
        <v>0</v>
      </c>
      <c r="G75" s="24"/>
      <c r="H75" s="24"/>
      <c r="I75" s="24"/>
      <c r="J75" s="24"/>
      <c r="K75" s="24"/>
      <c r="L75" s="24"/>
      <c r="M75" s="24"/>
      <c r="N75" s="24"/>
      <c r="O75" s="24"/>
      <c r="P75" s="24"/>
      <c r="Q75" s="24"/>
      <c r="R75" s="24"/>
      <c r="S75" s="24"/>
      <c r="T75" s="24"/>
      <c r="U75" s="29">
        <f t="shared" si="1"/>
        <v>0</v>
      </c>
    </row>
    <row r="76" spans="1:21" x14ac:dyDescent="0.35">
      <c r="A76" s="24"/>
      <c r="B76" s="24"/>
      <c r="C76" s="24"/>
      <c r="D76" s="24"/>
      <c r="E76" s="27"/>
      <c r="F76" s="27">
        <f t="shared" si="0"/>
        <v>0</v>
      </c>
      <c r="G76" s="24"/>
      <c r="H76" s="24"/>
      <c r="I76" s="24"/>
      <c r="J76" s="24"/>
      <c r="K76" s="24"/>
      <c r="L76" s="24"/>
      <c r="M76" s="24"/>
      <c r="N76" s="24"/>
      <c r="O76" s="24"/>
      <c r="P76" s="24"/>
      <c r="Q76" s="24"/>
      <c r="R76" s="24"/>
      <c r="S76" s="24"/>
      <c r="T76" s="24"/>
      <c r="U76" s="29">
        <f t="shared" si="1"/>
        <v>0</v>
      </c>
    </row>
    <row r="77" spans="1:21" x14ac:dyDescent="0.35">
      <c r="A77" s="25" t="s">
        <v>232</v>
      </c>
      <c r="B77" s="25"/>
      <c r="C77" s="25"/>
      <c r="D77" s="24"/>
      <c r="E77" s="27"/>
      <c r="F77" s="27">
        <f t="shared" si="0"/>
        <v>0</v>
      </c>
      <c r="J77" s="24"/>
      <c r="K77" s="24"/>
      <c r="L77" s="24"/>
      <c r="M77" s="24"/>
      <c r="N77" s="24"/>
      <c r="O77" s="24"/>
      <c r="P77" s="24"/>
      <c r="Q77" s="24"/>
      <c r="R77" s="24"/>
      <c r="S77" s="24"/>
      <c r="T77" s="24"/>
      <c r="U77" s="29">
        <f t="shared" si="1"/>
        <v>0</v>
      </c>
    </row>
    <row r="78" spans="1:21" ht="15" customHeight="1" x14ac:dyDescent="0.35">
      <c r="A78" s="43">
        <v>3</v>
      </c>
      <c r="B78" s="44" t="s">
        <v>233</v>
      </c>
      <c r="C78" s="43" t="s">
        <v>215</v>
      </c>
      <c r="D78" s="43">
        <v>10</v>
      </c>
      <c r="E78" s="45">
        <v>1400</v>
      </c>
      <c r="F78" s="45">
        <f t="shared" si="0"/>
        <v>14000</v>
      </c>
      <c r="G78" s="43" t="s">
        <v>165</v>
      </c>
      <c r="H78" s="43" t="s">
        <v>177</v>
      </c>
      <c r="I78" s="43" t="s">
        <v>23</v>
      </c>
      <c r="J78" s="43"/>
      <c r="K78" s="43"/>
      <c r="L78" s="43"/>
      <c r="M78" s="24"/>
      <c r="N78" s="24"/>
      <c r="O78" s="24"/>
      <c r="P78" s="24"/>
      <c r="Q78" s="24"/>
      <c r="R78" s="24"/>
      <c r="S78" s="24"/>
      <c r="T78" s="24">
        <v>10</v>
      </c>
      <c r="U78" s="29">
        <f t="shared" si="1"/>
        <v>14000</v>
      </c>
    </row>
    <row r="79" spans="1:21" x14ac:dyDescent="0.35">
      <c r="A79" s="43">
        <v>4</v>
      </c>
      <c r="B79" s="44" t="s">
        <v>234</v>
      </c>
      <c r="C79" s="43" t="s">
        <v>215</v>
      </c>
      <c r="D79" s="43">
        <v>10</v>
      </c>
      <c r="E79" s="45">
        <v>1500</v>
      </c>
      <c r="F79" s="45">
        <f t="shared" si="0"/>
        <v>15000</v>
      </c>
      <c r="G79" s="43" t="s">
        <v>165</v>
      </c>
      <c r="H79" s="43" t="s">
        <v>177</v>
      </c>
      <c r="I79" s="43" t="s">
        <v>23</v>
      </c>
      <c r="J79" s="43"/>
      <c r="K79" s="43"/>
      <c r="L79" s="43"/>
      <c r="M79" s="24"/>
      <c r="N79" s="24"/>
      <c r="O79" s="24"/>
      <c r="P79" s="24"/>
      <c r="Q79" s="24"/>
      <c r="R79" s="24"/>
      <c r="S79" s="24"/>
      <c r="T79" s="24">
        <v>10</v>
      </c>
      <c r="U79" s="29">
        <f t="shared" si="1"/>
        <v>15000</v>
      </c>
    </row>
    <row r="80" spans="1:21" x14ac:dyDescent="0.35">
      <c r="A80" s="43">
        <v>5</v>
      </c>
      <c r="B80" s="44" t="s">
        <v>235</v>
      </c>
      <c r="C80" s="43" t="s">
        <v>215</v>
      </c>
      <c r="D80" s="43">
        <v>15</v>
      </c>
      <c r="E80" s="45">
        <v>1600</v>
      </c>
      <c r="F80" s="45">
        <f t="shared" si="0"/>
        <v>24000</v>
      </c>
      <c r="G80" s="43" t="s">
        <v>165</v>
      </c>
      <c r="H80" s="43" t="s">
        <v>177</v>
      </c>
      <c r="I80" s="43" t="s">
        <v>23</v>
      </c>
      <c r="J80" s="43"/>
      <c r="K80" s="43"/>
      <c r="L80" s="43"/>
      <c r="M80" s="24"/>
      <c r="N80" s="24"/>
      <c r="O80" s="24"/>
      <c r="P80" s="24"/>
      <c r="Q80" s="24"/>
      <c r="R80" s="24"/>
      <c r="S80" s="24"/>
      <c r="T80" s="24">
        <v>15</v>
      </c>
      <c r="U80" s="29">
        <f t="shared" si="1"/>
        <v>24000</v>
      </c>
    </row>
    <row r="81" spans="1:21" x14ac:dyDescent="0.35">
      <c r="A81" s="43">
        <v>6</v>
      </c>
      <c r="B81" s="44" t="s">
        <v>236</v>
      </c>
      <c r="C81" s="43" t="s">
        <v>215</v>
      </c>
      <c r="D81" s="43">
        <v>15</v>
      </c>
      <c r="E81" s="45">
        <v>1850</v>
      </c>
      <c r="F81" s="45">
        <f t="shared" si="0"/>
        <v>27750</v>
      </c>
      <c r="G81" s="43" t="s">
        <v>165</v>
      </c>
      <c r="H81" s="43" t="s">
        <v>177</v>
      </c>
      <c r="I81" s="43" t="s">
        <v>23</v>
      </c>
      <c r="J81" s="43"/>
      <c r="K81" s="43"/>
      <c r="L81" s="43"/>
      <c r="M81" s="24"/>
      <c r="N81" s="24"/>
      <c r="O81" s="24"/>
      <c r="P81" s="24"/>
      <c r="Q81" s="24"/>
      <c r="R81" s="24"/>
      <c r="S81" s="24"/>
      <c r="T81" s="24">
        <v>15</v>
      </c>
      <c r="U81" s="29">
        <f t="shared" si="1"/>
        <v>27750</v>
      </c>
    </row>
    <row r="82" spans="1:21" x14ac:dyDescent="0.35">
      <c r="A82" s="43">
        <v>7</v>
      </c>
      <c r="B82" s="44" t="s">
        <v>237</v>
      </c>
      <c r="C82" s="43" t="s">
        <v>215</v>
      </c>
      <c r="D82" s="43">
        <v>15</v>
      </c>
      <c r="E82" s="45">
        <v>2100</v>
      </c>
      <c r="F82" s="45">
        <f t="shared" si="0"/>
        <v>31500</v>
      </c>
      <c r="G82" s="43" t="s">
        <v>165</v>
      </c>
      <c r="H82" s="43" t="s">
        <v>177</v>
      </c>
      <c r="I82" s="43" t="s">
        <v>23</v>
      </c>
      <c r="J82" s="43"/>
      <c r="K82" s="43"/>
      <c r="L82" s="43"/>
      <c r="M82" s="24"/>
      <c r="N82" s="24"/>
      <c r="O82" s="24"/>
      <c r="P82" s="24"/>
      <c r="Q82" s="24"/>
      <c r="R82" s="24"/>
      <c r="S82" s="24"/>
      <c r="T82" s="24">
        <v>15</v>
      </c>
      <c r="U82" s="29">
        <f t="shared" si="1"/>
        <v>31500</v>
      </c>
    </row>
    <row r="83" spans="1:21" x14ac:dyDescent="0.35">
      <c r="A83" s="43">
        <v>8</v>
      </c>
      <c r="B83" s="44" t="s">
        <v>238</v>
      </c>
      <c r="C83" s="43" t="s">
        <v>215</v>
      </c>
      <c r="D83" s="43">
        <v>20</v>
      </c>
      <c r="E83" s="45">
        <v>2400</v>
      </c>
      <c r="F83" s="45">
        <f t="shared" si="0"/>
        <v>48000</v>
      </c>
      <c r="G83" s="43" t="s">
        <v>165</v>
      </c>
      <c r="H83" s="43" t="s">
        <v>177</v>
      </c>
      <c r="I83" s="43" t="s">
        <v>23</v>
      </c>
      <c r="J83" s="43"/>
      <c r="K83" s="43"/>
      <c r="L83" s="43"/>
      <c r="M83" s="24"/>
      <c r="N83" s="24"/>
      <c r="O83" s="24"/>
      <c r="P83" s="24"/>
      <c r="Q83" s="24"/>
      <c r="R83" s="24"/>
      <c r="S83" s="24"/>
      <c r="T83" s="24">
        <v>20</v>
      </c>
      <c r="U83" s="29">
        <f t="shared" si="1"/>
        <v>48000</v>
      </c>
    </row>
    <row r="84" spans="1:21" x14ac:dyDescent="0.35">
      <c r="A84" s="43">
        <v>9</v>
      </c>
      <c r="B84" s="44" t="s">
        <v>239</v>
      </c>
      <c r="C84" s="43" t="s">
        <v>215</v>
      </c>
      <c r="D84" s="43">
        <v>10</v>
      </c>
      <c r="E84" s="45">
        <v>1380</v>
      </c>
      <c r="F84" s="45">
        <f t="shared" si="0"/>
        <v>13800</v>
      </c>
      <c r="G84" s="43" t="s">
        <v>165</v>
      </c>
      <c r="H84" s="43" t="s">
        <v>177</v>
      </c>
      <c r="I84" s="43" t="s">
        <v>23</v>
      </c>
      <c r="J84" s="43"/>
      <c r="K84" s="43"/>
      <c r="L84" s="43"/>
      <c r="M84" s="24"/>
      <c r="N84" s="24"/>
      <c r="O84" s="24"/>
      <c r="P84" s="24"/>
      <c r="Q84" s="24"/>
      <c r="R84" s="24"/>
      <c r="S84" s="24"/>
      <c r="T84" s="24">
        <v>10</v>
      </c>
      <c r="U84" s="29">
        <f t="shared" si="1"/>
        <v>13800</v>
      </c>
    </row>
    <row r="85" spans="1:21" x14ac:dyDescent="0.35">
      <c r="A85" s="43">
        <v>10</v>
      </c>
      <c r="B85" s="44" t="s">
        <v>240</v>
      </c>
      <c r="C85" s="43" t="s">
        <v>215</v>
      </c>
      <c r="D85" s="43">
        <v>15</v>
      </c>
      <c r="E85" s="45">
        <v>1480</v>
      </c>
      <c r="F85" s="45">
        <f t="shared" si="0"/>
        <v>22200</v>
      </c>
      <c r="G85" s="43" t="s">
        <v>165</v>
      </c>
      <c r="H85" s="43" t="s">
        <v>177</v>
      </c>
      <c r="I85" s="43" t="s">
        <v>23</v>
      </c>
      <c r="J85" s="43"/>
      <c r="K85" s="43"/>
      <c r="L85" s="43"/>
      <c r="M85" s="24"/>
      <c r="N85" s="24"/>
      <c r="O85" s="24"/>
      <c r="P85" s="24"/>
      <c r="Q85" s="24"/>
      <c r="R85" s="24"/>
      <c r="S85" s="24"/>
      <c r="T85" s="24">
        <v>15</v>
      </c>
      <c r="U85" s="29">
        <f t="shared" si="1"/>
        <v>22200</v>
      </c>
    </row>
    <row r="86" spans="1:21" x14ac:dyDescent="0.35">
      <c r="A86" s="43">
        <v>11</v>
      </c>
      <c r="B86" s="44" t="s">
        <v>241</v>
      </c>
      <c r="C86" s="43" t="s">
        <v>215</v>
      </c>
      <c r="D86" s="43">
        <v>15</v>
      </c>
      <c r="E86" s="45">
        <v>1590</v>
      </c>
      <c r="F86" s="45">
        <f t="shared" si="0"/>
        <v>23850</v>
      </c>
      <c r="G86" s="43" t="s">
        <v>165</v>
      </c>
      <c r="H86" s="43" t="s">
        <v>177</v>
      </c>
      <c r="I86" s="43" t="s">
        <v>23</v>
      </c>
      <c r="J86" s="43"/>
      <c r="K86" s="43"/>
      <c r="L86" s="43"/>
      <c r="M86" s="24"/>
      <c r="N86" s="24"/>
      <c r="O86" s="24"/>
      <c r="P86" s="24"/>
      <c r="Q86" s="24"/>
      <c r="R86" s="24"/>
      <c r="S86" s="24"/>
      <c r="T86" s="24">
        <v>15</v>
      </c>
      <c r="U86" s="29">
        <f t="shared" si="1"/>
        <v>23850</v>
      </c>
    </row>
    <row r="87" spans="1:21" x14ac:dyDescent="0.35">
      <c r="A87" s="43">
        <v>12</v>
      </c>
      <c r="B87" s="44" t="s">
        <v>242</v>
      </c>
      <c r="C87" s="43" t="s">
        <v>215</v>
      </c>
      <c r="D87" s="43">
        <v>10</v>
      </c>
      <c r="E87" s="45">
        <v>1700</v>
      </c>
      <c r="F87" s="45">
        <f t="shared" si="0"/>
        <v>17000</v>
      </c>
      <c r="G87" s="43" t="s">
        <v>165</v>
      </c>
      <c r="H87" s="43" t="s">
        <v>177</v>
      </c>
      <c r="I87" s="43" t="s">
        <v>23</v>
      </c>
      <c r="J87" s="43"/>
      <c r="K87" s="43"/>
      <c r="L87" s="43"/>
      <c r="M87" s="24"/>
      <c r="N87" s="24"/>
      <c r="O87" s="24"/>
      <c r="P87" s="24"/>
      <c r="Q87" s="24"/>
      <c r="R87" s="24"/>
      <c r="S87" s="24"/>
      <c r="T87" s="24">
        <v>10</v>
      </c>
      <c r="U87" s="29">
        <f t="shared" si="1"/>
        <v>17000</v>
      </c>
    </row>
    <row r="88" spans="1:21" x14ac:dyDescent="0.35">
      <c r="A88" s="43">
        <v>13</v>
      </c>
      <c r="B88" s="44" t="s">
        <v>243</v>
      </c>
      <c r="C88" s="43" t="s">
        <v>215</v>
      </c>
      <c r="D88" s="43">
        <v>10</v>
      </c>
      <c r="E88" s="45">
        <v>2400</v>
      </c>
      <c r="F88" s="45">
        <f t="shared" si="0"/>
        <v>24000</v>
      </c>
      <c r="G88" s="43" t="s">
        <v>165</v>
      </c>
      <c r="H88" s="43" t="s">
        <v>177</v>
      </c>
      <c r="I88" s="43" t="s">
        <v>23</v>
      </c>
      <c r="J88" s="43"/>
      <c r="K88" s="43"/>
      <c r="L88" s="43"/>
      <c r="M88" s="24"/>
      <c r="N88" s="24"/>
      <c r="O88" s="24"/>
      <c r="P88" s="24"/>
      <c r="Q88" s="24"/>
      <c r="R88" s="24"/>
      <c r="S88" s="24"/>
      <c r="T88" s="24">
        <v>10</v>
      </c>
      <c r="U88" s="29">
        <f t="shared" si="1"/>
        <v>24000</v>
      </c>
    </row>
    <row r="89" spans="1:21" x14ac:dyDescent="0.35">
      <c r="A89" s="41"/>
      <c r="B89" s="41"/>
      <c r="C89" s="41"/>
      <c r="D89" s="41"/>
      <c r="E89" s="42"/>
      <c r="F89" s="42"/>
      <c r="G89" s="41"/>
      <c r="H89" s="41"/>
      <c r="I89" s="41"/>
      <c r="J89" s="24"/>
      <c r="K89" s="24"/>
      <c r="L89" s="24"/>
      <c r="M89" s="24"/>
      <c r="N89" s="24"/>
      <c r="O89" s="24"/>
      <c r="P89" s="24"/>
      <c r="Q89" s="24"/>
      <c r="R89" s="24"/>
      <c r="S89" s="24"/>
      <c r="T89" s="36"/>
      <c r="U89" s="29"/>
    </row>
    <row r="90" spans="1:21" x14ac:dyDescent="0.35">
      <c r="A90" s="24"/>
      <c r="B90" s="24"/>
      <c r="C90" s="24"/>
      <c r="D90" s="24"/>
      <c r="E90" s="27"/>
      <c r="F90" s="27"/>
      <c r="G90" s="24"/>
      <c r="H90" s="24"/>
      <c r="I90" s="24"/>
      <c r="J90" s="24"/>
      <c r="K90" s="24"/>
      <c r="L90" s="24"/>
      <c r="M90" s="24"/>
      <c r="N90" s="24"/>
      <c r="O90" s="24"/>
      <c r="P90" s="24"/>
      <c r="Q90" s="24"/>
      <c r="R90" s="24"/>
      <c r="S90" s="24"/>
      <c r="T90" s="36"/>
      <c r="U90" s="29"/>
    </row>
    <row r="91" spans="1:21" x14ac:dyDescent="0.35">
      <c r="A91" s="24"/>
      <c r="B91" s="24"/>
      <c r="C91" s="24"/>
      <c r="D91" s="24"/>
      <c r="E91" s="27"/>
      <c r="F91" s="27"/>
      <c r="G91" s="24"/>
      <c r="H91" s="24"/>
      <c r="I91" s="24"/>
      <c r="J91" s="24"/>
      <c r="K91" s="24"/>
      <c r="L91" s="24"/>
      <c r="M91" s="24"/>
      <c r="N91" s="24"/>
      <c r="O91" s="24"/>
      <c r="P91" s="24"/>
      <c r="Q91" s="24"/>
      <c r="R91" s="24"/>
      <c r="S91" s="24"/>
      <c r="T91" s="36"/>
      <c r="U91" s="29"/>
    </row>
    <row r="92" spans="1:21" x14ac:dyDescent="0.35">
      <c r="A92" s="24"/>
      <c r="B92" s="24"/>
      <c r="C92" s="24"/>
      <c r="D92" s="24"/>
      <c r="E92" s="27"/>
      <c r="F92" s="27">
        <f t="shared" si="0"/>
        <v>0</v>
      </c>
      <c r="G92" s="24"/>
      <c r="H92" s="24"/>
      <c r="I92" s="24"/>
      <c r="J92" s="24"/>
      <c r="K92" s="24"/>
      <c r="L92" s="24"/>
      <c r="M92" s="24"/>
      <c r="N92" s="24"/>
      <c r="O92" s="24"/>
      <c r="P92" s="24"/>
      <c r="Q92" s="24"/>
      <c r="R92" s="24"/>
      <c r="S92" s="24"/>
      <c r="T92" s="36"/>
      <c r="U92" s="29">
        <f t="shared" si="1"/>
        <v>0</v>
      </c>
    </row>
    <row r="93" spans="1:21" x14ac:dyDescent="0.35">
      <c r="A93" s="24"/>
      <c r="B93" s="24"/>
      <c r="C93" s="24"/>
      <c r="D93" s="24"/>
      <c r="E93" s="27"/>
      <c r="F93" s="27">
        <f t="shared" si="0"/>
        <v>0</v>
      </c>
      <c r="G93" s="24"/>
      <c r="H93" s="24"/>
      <c r="I93" s="24"/>
      <c r="J93" s="24"/>
      <c r="K93" s="24"/>
      <c r="L93" s="24"/>
      <c r="M93" s="24"/>
      <c r="N93" s="24"/>
      <c r="O93" s="24"/>
      <c r="P93" s="24"/>
      <c r="Q93" s="24"/>
      <c r="R93" s="24"/>
      <c r="S93" s="24"/>
      <c r="T93" s="36"/>
      <c r="U93" s="29">
        <f t="shared" si="1"/>
        <v>0</v>
      </c>
    </row>
    <row r="94" spans="1:21" x14ac:dyDescent="0.35">
      <c r="A94" s="24"/>
      <c r="B94" s="24"/>
      <c r="C94" s="24"/>
      <c r="D94" s="24"/>
      <c r="E94" s="27"/>
      <c r="F94" s="27">
        <f t="shared" si="0"/>
        <v>0</v>
      </c>
      <c r="G94" s="24"/>
      <c r="H94" s="24"/>
      <c r="I94" s="24"/>
      <c r="J94" s="24"/>
      <c r="K94" s="24"/>
      <c r="L94" s="24"/>
      <c r="M94" s="24"/>
      <c r="N94" s="24"/>
      <c r="O94" s="24"/>
      <c r="P94" s="24"/>
      <c r="Q94" s="24"/>
      <c r="R94" s="24"/>
      <c r="S94" s="24"/>
      <c r="T94" s="36"/>
      <c r="U94" s="29">
        <f t="shared" si="1"/>
        <v>0</v>
      </c>
    </row>
    <row r="95" spans="1:21" x14ac:dyDescent="0.35">
      <c r="A95" s="180" t="s">
        <v>244</v>
      </c>
      <c r="B95" s="181"/>
      <c r="C95" s="46"/>
      <c r="D95" s="24"/>
      <c r="E95" s="27"/>
      <c r="F95" s="27">
        <f t="shared" si="0"/>
        <v>0</v>
      </c>
      <c r="G95" s="24"/>
      <c r="H95" s="24"/>
      <c r="I95" s="24"/>
      <c r="J95" s="24"/>
      <c r="K95" s="24"/>
      <c r="L95" s="24"/>
      <c r="M95" s="24"/>
      <c r="N95" s="24"/>
      <c r="O95" s="24"/>
      <c r="P95" s="24"/>
      <c r="Q95" s="24"/>
      <c r="R95" s="24"/>
      <c r="S95" s="24"/>
      <c r="T95" s="36"/>
      <c r="U95" s="29">
        <f t="shared" si="1"/>
        <v>0</v>
      </c>
    </row>
    <row r="96" spans="1:21" x14ac:dyDescent="0.35">
      <c r="A96" s="24">
        <v>1</v>
      </c>
      <c r="B96" s="33" t="s">
        <v>245</v>
      </c>
      <c r="C96" s="24" t="s">
        <v>246</v>
      </c>
      <c r="D96" s="24">
        <v>700</v>
      </c>
      <c r="E96" s="27">
        <v>50</v>
      </c>
      <c r="F96" s="27">
        <f t="shared" ref="F96:F218" si="5">D96*E96</f>
        <v>35000</v>
      </c>
      <c r="G96" s="24" t="s">
        <v>165</v>
      </c>
      <c r="H96" s="24" t="s">
        <v>177</v>
      </c>
      <c r="I96" s="24" t="s">
        <v>23</v>
      </c>
      <c r="J96" s="24"/>
      <c r="K96" s="24"/>
      <c r="L96" s="24"/>
      <c r="M96" s="24"/>
      <c r="N96" s="24"/>
      <c r="O96" s="24"/>
      <c r="P96" s="24"/>
      <c r="Q96" s="24"/>
      <c r="R96" s="24"/>
      <c r="S96" s="24"/>
      <c r="T96" s="24">
        <v>1000</v>
      </c>
      <c r="U96" s="29">
        <f t="shared" ref="U96:U128" si="6">D96*E96</f>
        <v>35000</v>
      </c>
    </row>
    <row r="97" spans="1:21" x14ac:dyDescent="0.35">
      <c r="A97" s="24">
        <v>2</v>
      </c>
      <c r="B97" s="24" t="s">
        <v>247</v>
      </c>
      <c r="C97" s="24" t="s">
        <v>246</v>
      </c>
      <c r="D97" s="24">
        <v>700</v>
      </c>
      <c r="E97" s="27">
        <v>55</v>
      </c>
      <c r="F97" s="27">
        <f t="shared" si="5"/>
        <v>38500</v>
      </c>
      <c r="G97" s="24" t="s">
        <v>165</v>
      </c>
      <c r="H97" s="24" t="s">
        <v>177</v>
      </c>
      <c r="I97" s="24" t="s">
        <v>23</v>
      </c>
      <c r="J97" s="24"/>
      <c r="K97" s="24"/>
      <c r="L97" s="24"/>
      <c r="M97" s="24"/>
      <c r="N97" s="24"/>
      <c r="O97" s="24"/>
      <c r="P97" s="24"/>
      <c r="Q97" s="24"/>
      <c r="R97" s="24"/>
      <c r="S97" s="24"/>
      <c r="T97" s="24">
        <v>1000</v>
      </c>
      <c r="U97" s="29">
        <f t="shared" si="6"/>
        <v>38500</v>
      </c>
    </row>
    <row r="98" spans="1:21" x14ac:dyDescent="0.35">
      <c r="A98" s="24">
        <v>3</v>
      </c>
      <c r="B98" s="24" t="s">
        <v>248</v>
      </c>
      <c r="C98" s="24" t="s">
        <v>246</v>
      </c>
      <c r="D98" s="24">
        <v>700</v>
      </c>
      <c r="E98" s="27">
        <v>60</v>
      </c>
      <c r="F98" s="27">
        <f t="shared" si="5"/>
        <v>42000</v>
      </c>
      <c r="G98" s="24" t="s">
        <v>165</v>
      </c>
      <c r="H98" s="24" t="s">
        <v>177</v>
      </c>
      <c r="I98" s="24" t="s">
        <v>23</v>
      </c>
      <c r="J98" s="24"/>
      <c r="K98" s="24"/>
      <c r="L98" s="24"/>
      <c r="M98" s="24"/>
      <c r="N98" s="24"/>
      <c r="O98" s="24"/>
      <c r="P98" s="24"/>
      <c r="Q98" s="24"/>
      <c r="R98" s="24"/>
      <c r="S98" s="24"/>
      <c r="T98" s="24">
        <v>1000</v>
      </c>
      <c r="U98" s="29">
        <f t="shared" si="6"/>
        <v>42000</v>
      </c>
    </row>
    <row r="99" spans="1:21" x14ac:dyDescent="0.35">
      <c r="A99" s="24">
        <v>4</v>
      </c>
      <c r="B99" s="24" t="s">
        <v>249</v>
      </c>
      <c r="C99" s="24" t="s">
        <v>246</v>
      </c>
      <c r="D99" s="24">
        <v>400</v>
      </c>
      <c r="E99" s="27">
        <v>70</v>
      </c>
      <c r="F99" s="27">
        <f t="shared" si="5"/>
        <v>28000</v>
      </c>
      <c r="G99" s="24" t="s">
        <v>165</v>
      </c>
      <c r="H99" s="24" t="s">
        <v>177</v>
      </c>
      <c r="I99" s="24" t="s">
        <v>23</v>
      </c>
      <c r="J99" s="24"/>
      <c r="K99" s="24"/>
      <c r="L99" s="24"/>
      <c r="M99" s="24"/>
      <c r="N99" s="24"/>
      <c r="O99" s="24"/>
      <c r="P99" s="24"/>
      <c r="Q99" s="24"/>
      <c r="R99" s="24"/>
      <c r="S99" s="24"/>
      <c r="T99" s="24">
        <v>500</v>
      </c>
      <c r="U99" s="29">
        <f t="shared" si="6"/>
        <v>28000</v>
      </c>
    </row>
    <row r="100" spans="1:21" x14ac:dyDescent="0.35">
      <c r="A100" s="24">
        <v>5</v>
      </c>
      <c r="B100" s="33" t="s">
        <v>250</v>
      </c>
      <c r="C100" s="24" t="s">
        <v>212</v>
      </c>
      <c r="D100" s="24">
        <v>4</v>
      </c>
      <c r="E100" s="27">
        <v>6500</v>
      </c>
      <c r="F100" s="27">
        <f t="shared" si="5"/>
        <v>26000</v>
      </c>
      <c r="G100" s="24" t="s">
        <v>165</v>
      </c>
      <c r="H100" s="24" t="s">
        <v>177</v>
      </c>
      <c r="I100" s="24" t="s">
        <v>23</v>
      </c>
      <c r="J100" s="24"/>
      <c r="K100" s="24"/>
      <c r="L100" s="24"/>
      <c r="M100" s="24"/>
      <c r="N100" s="24"/>
      <c r="O100" s="24"/>
      <c r="P100" s="24"/>
      <c r="Q100" s="24"/>
      <c r="R100" s="24"/>
      <c r="S100" s="24"/>
      <c r="T100" s="24">
        <v>6</v>
      </c>
      <c r="U100" s="29">
        <f t="shared" si="6"/>
        <v>26000</v>
      </c>
    </row>
    <row r="101" spans="1:21" x14ac:dyDescent="0.35">
      <c r="A101" s="24">
        <v>6</v>
      </c>
      <c r="B101" s="33" t="s">
        <v>251</v>
      </c>
      <c r="C101" s="24" t="s">
        <v>176</v>
      </c>
      <c r="D101" s="24">
        <v>2</v>
      </c>
      <c r="E101" s="27">
        <v>35000</v>
      </c>
      <c r="F101" s="27">
        <f t="shared" si="5"/>
        <v>70000</v>
      </c>
      <c r="G101" s="24" t="s">
        <v>165</v>
      </c>
      <c r="H101" s="24" t="s">
        <v>177</v>
      </c>
      <c r="I101" s="24" t="s">
        <v>23</v>
      </c>
      <c r="J101" s="24"/>
      <c r="K101" s="24"/>
      <c r="L101" s="24"/>
      <c r="M101" s="24"/>
      <c r="N101" s="24"/>
      <c r="O101" s="24"/>
      <c r="P101" s="24"/>
      <c r="Q101" s="24"/>
      <c r="R101" s="24"/>
      <c r="S101" s="24"/>
      <c r="T101" s="24">
        <v>3</v>
      </c>
      <c r="U101" s="29">
        <f t="shared" si="6"/>
        <v>70000</v>
      </c>
    </row>
    <row r="102" spans="1:21" x14ac:dyDescent="0.35">
      <c r="A102" s="24">
        <v>7</v>
      </c>
      <c r="B102" s="33" t="s">
        <v>252</v>
      </c>
      <c r="C102" s="24" t="s">
        <v>212</v>
      </c>
      <c r="D102" s="24">
        <v>15</v>
      </c>
      <c r="E102" s="27">
        <v>2400</v>
      </c>
      <c r="F102" s="27">
        <f t="shared" si="5"/>
        <v>36000</v>
      </c>
      <c r="G102" s="24" t="s">
        <v>165</v>
      </c>
      <c r="H102" s="24" t="s">
        <v>177</v>
      </c>
      <c r="I102" s="24" t="s">
        <v>23</v>
      </c>
      <c r="J102" s="24"/>
      <c r="K102" s="24"/>
      <c r="L102" s="24"/>
      <c r="M102" s="24"/>
      <c r="N102" s="24"/>
      <c r="O102" s="24"/>
      <c r="P102" s="24"/>
      <c r="Q102" s="24"/>
      <c r="R102" s="24"/>
      <c r="S102" s="24"/>
      <c r="T102" s="24">
        <v>20</v>
      </c>
      <c r="U102" s="29">
        <f t="shared" si="6"/>
        <v>36000</v>
      </c>
    </row>
    <row r="103" spans="1:21" x14ac:dyDescent="0.35">
      <c r="A103" s="24">
        <v>8</v>
      </c>
      <c r="B103" s="33" t="s">
        <v>253</v>
      </c>
      <c r="C103" s="24" t="s">
        <v>212</v>
      </c>
      <c r="D103" s="24">
        <v>15</v>
      </c>
      <c r="E103" s="27">
        <v>2800</v>
      </c>
      <c r="F103" s="27">
        <f t="shared" si="5"/>
        <v>42000</v>
      </c>
      <c r="G103" s="24" t="s">
        <v>165</v>
      </c>
      <c r="H103" s="24" t="s">
        <v>177</v>
      </c>
      <c r="I103" s="24" t="s">
        <v>23</v>
      </c>
      <c r="J103" s="24"/>
      <c r="K103" s="24"/>
      <c r="L103" s="24"/>
      <c r="M103" s="24"/>
      <c r="N103" s="24"/>
      <c r="O103" s="24"/>
      <c r="P103" s="24"/>
      <c r="Q103" s="24"/>
      <c r="R103" s="24"/>
      <c r="S103" s="24"/>
      <c r="T103" s="24">
        <v>20</v>
      </c>
      <c r="U103" s="29">
        <f t="shared" si="6"/>
        <v>42000</v>
      </c>
    </row>
    <row r="104" spans="1:21" x14ac:dyDescent="0.35">
      <c r="A104" s="24">
        <v>9</v>
      </c>
      <c r="B104" s="33" t="s">
        <v>254</v>
      </c>
      <c r="C104" s="24" t="s">
        <v>176</v>
      </c>
      <c r="D104" s="24">
        <v>2</v>
      </c>
      <c r="E104" s="27">
        <v>15800</v>
      </c>
      <c r="F104" s="27">
        <f t="shared" si="5"/>
        <v>31600</v>
      </c>
      <c r="G104" s="24" t="s">
        <v>165</v>
      </c>
      <c r="H104" s="24" t="s">
        <v>177</v>
      </c>
      <c r="I104" s="24" t="s">
        <v>23</v>
      </c>
      <c r="J104" s="24"/>
      <c r="K104" s="24"/>
      <c r="L104" s="24"/>
      <c r="M104" s="24"/>
      <c r="N104" s="24"/>
      <c r="O104" s="24"/>
      <c r="P104" s="24"/>
      <c r="Q104" s="24"/>
      <c r="R104" s="24"/>
      <c r="S104" s="24"/>
      <c r="T104" s="24">
        <v>3</v>
      </c>
      <c r="U104" s="29">
        <f t="shared" si="6"/>
        <v>31600</v>
      </c>
    </row>
    <row r="105" spans="1:21" x14ac:dyDescent="0.35">
      <c r="A105" s="24">
        <v>10</v>
      </c>
      <c r="B105" s="33" t="s">
        <v>255</v>
      </c>
      <c r="C105" s="24" t="s">
        <v>176</v>
      </c>
      <c r="D105" s="24">
        <v>2</v>
      </c>
      <c r="E105" s="27">
        <v>14800</v>
      </c>
      <c r="F105" s="27">
        <f t="shared" si="5"/>
        <v>29600</v>
      </c>
      <c r="G105" s="24" t="s">
        <v>165</v>
      </c>
      <c r="H105" s="24" t="s">
        <v>177</v>
      </c>
      <c r="I105" s="24" t="s">
        <v>23</v>
      </c>
      <c r="J105" s="24"/>
      <c r="K105" s="24"/>
      <c r="L105" s="24"/>
      <c r="M105" s="24"/>
      <c r="N105" s="24"/>
      <c r="O105" s="24"/>
      <c r="P105" s="24"/>
      <c r="Q105" s="24"/>
      <c r="R105" s="24"/>
      <c r="S105" s="24"/>
      <c r="T105" s="24">
        <v>3</v>
      </c>
      <c r="U105" s="29">
        <f t="shared" si="6"/>
        <v>29600</v>
      </c>
    </row>
    <row r="106" spans="1:21" x14ac:dyDescent="0.35">
      <c r="A106" s="24">
        <v>11</v>
      </c>
      <c r="B106" s="47" t="s">
        <v>256</v>
      </c>
      <c r="C106" s="24" t="s">
        <v>176</v>
      </c>
      <c r="D106" s="24">
        <v>2</v>
      </c>
      <c r="E106" s="27">
        <v>15800</v>
      </c>
      <c r="F106" s="27">
        <f t="shared" si="5"/>
        <v>31600</v>
      </c>
      <c r="G106" s="24" t="s">
        <v>165</v>
      </c>
      <c r="H106" s="24" t="s">
        <v>177</v>
      </c>
      <c r="I106" s="24" t="s">
        <v>23</v>
      </c>
      <c r="J106" s="24"/>
      <c r="K106" s="24"/>
      <c r="L106" s="24"/>
      <c r="M106" s="24"/>
      <c r="N106" s="24"/>
      <c r="O106" s="24"/>
      <c r="P106" s="24"/>
      <c r="Q106" s="24"/>
      <c r="R106" s="24"/>
      <c r="S106" s="24"/>
      <c r="T106" s="24">
        <v>3</v>
      </c>
      <c r="U106" s="29">
        <f t="shared" si="6"/>
        <v>31600</v>
      </c>
    </row>
    <row r="107" spans="1:21" ht="60.75" customHeight="1" x14ac:dyDescent="0.35">
      <c r="A107" s="24">
        <v>12</v>
      </c>
      <c r="B107" s="33" t="s">
        <v>257</v>
      </c>
      <c r="C107" s="48" t="s">
        <v>181</v>
      </c>
      <c r="D107" s="49">
        <v>2</v>
      </c>
      <c r="E107" s="27">
        <v>78000</v>
      </c>
      <c r="F107" s="27">
        <f>D107*E107</f>
        <v>156000</v>
      </c>
      <c r="G107" s="24" t="s">
        <v>165</v>
      </c>
      <c r="H107" s="24" t="s">
        <v>177</v>
      </c>
      <c r="I107" s="24" t="s">
        <v>23</v>
      </c>
      <c r="J107" s="24"/>
      <c r="K107" s="24"/>
      <c r="L107" s="24"/>
      <c r="M107" s="24"/>
      <c r="N107" s="24"/>
      <c r="O107" s="24"/>
      <c r="P107" s="24"/>
      <c r="Q107" s="24"/>
      <c r="R107" s="24"/>
      <c r="S107" s="24"/>
      <c r="T107" s="49">
        <v>4</v>
      </c>
      <c r="U107" s="29">
        <f>D107*E107</f>
        <v>156000</v>
      </c>
    </row>
    <row r="108" spans="1:21" ht="31" x14ac:dyDescent="0.35">
      <c r="A108" s="24">
        <v>13</v>
      </c>
      <c r="B108" s="33" t="s">
        <v>258</v>
      </c>
      <c r="C108" s="50" t="s">
        <v>259</v>
      </c>
      <c r="D108" s="50">
        <v>3</v>
      </c>
      <c r="E108" s="27">
        <v>38000</v>
      </c>
      <c r="F108" s="27">
        <f>D108*E108</f>
        <v>114000</v>
      </c>
      <c r="G108" s="24" t="s">
        <v>165</v>
      </c>
      <c r="H108" s="24" t="s">
        <v>177</v>
      </c>
      <c r="I108" s="24" t="s">
        <v>23</v>
      </c>
      <c r="J108" s="24"/>
      <c r="K108" s="24"/>
      <c r="L108" s="24"/>
      <c r="M108" s="24"/>
      <c r="N108" s="24"/>
      <c r="O108" s="24"/>
      <c r="P108" s="24"/>
      <c r="Q108" s="24"/>
      <c r="R108" s="24"/>
      <c r="S108" s="24"/>
      <c r="T108" s="50"/>
      <c r="U108" s="29">
        <f t="shared" ref="U108:U109" si="7">D108*E108</f>
        <v>114000</v>
      </c>
    </row>
    <row r="109" spans="1:21" x14ac:dyDescent="0.35">
      <c r="A109" s="24">
        <v>15</v>
      </c>
      <c r="B109" s="33" t="s">
        <v>260</v>
      </c>
      <c r="C109" s="50" t="s">
        <v>187</v>
      </c>
      <c r="D109" s="50">
        <v>2</v>
      </c>
      <c r="E109" s="27">
        <v>24000</v>
      </c>
      <c r="F109" s="27">
        <f>D109*E109</f>
        <v>48000</v>
      </c>
      <c r="G109" s="24" t="s">
        <v>165</v>
      </c>
      <c r="H109" s="24" t="s">
        <v>177</v>
      </c>
      <c r="I109" s="24" t="s">
        <v>23</v>
      </c>
      <c r="J109" s="24"/>
      <c r="K109" s="24"/>
      <c r="L109" s="24"/>
      <c r="M109" s="24"/>
      <c r="N109" s="24"/>
      <c r="O109" s="24"/>
      <c r="P109" s="24"/>
      <c r="Q109" s="24"/>
      <c r="R109" s="24"/>
      <c r="S109" s="24"/>
      <c r="T109" s="50"/>
      <c r="U109" s="29">
        <f t="shared" si="7"/>
        <v>48000</v>
      </c>
    </row>
    <row r="110" spans="1:21" x14ac:dyDescent="0.35">
      <c r="A110" s="24">
        <v>16</v>
      </c>
      <c r="B110" s="51" t="s">
        <v>261</v>
      </c>
      <c r="C110" s="24" t="s">
        <v>262</v>
      </c>
      <c r="D110" s="24">
        <v>3</v>
      </c>
      <c r="E110" s="27">
        <v>6200</v>
      </c>
      <c r="F110" s="27">
        <f>D110*E110</f>
        <v>18600</v>
      </c>
      <c r="G110" s="24" t="s">
        <v>165</v>
      </c>
      <c r="H110" s="24" t="s">
        <v>177</v>
      </c>
      <c r="I110" s="24" t="s">
        <v>23</v>
      </c>
      <c r="J110" s="24"/>
      <c r="K110" s="24"/>
      <c r="L110" s="24"/>
      <c r="M110" s="24"/>
      <c r="N110" s="24"/>
      <c r="O110" s="24"/>
      <c r="P110" s="24"/>
      <c r="Q110" s="24"/>
      <c r="R110" s="24"/>
      <c r="S110" s="24"/>
      <c r="T110" s="24">
        <v>5</v>
      </c>
      <c r="U110" s="29">
        <f>D110*E110</f>
        <v>18600</v>
      </c>
    </row>
    <row r="111" spans="1:21" x14ac:dyDescent="0.35">
      <c r="A111" s="24"/>
      <c r="B111" s="33"/>
      <c r="C111" s="50"/>
      <c r="D111" s="50"/>
      <c r="E111" s="27"/>
      <c r="F111" s="27"/>
      <c r="G111" s="24"/>
      <c r="H111" s="24"/>
      <c r="I111" s="24"/>
      <c r="J111" s="24"/>
      <c r="K111" s="24"/>
      <c r="L111" s="24"/>
      <c r="M111" s="24"/>
      <c r="N111" s="24"/>
      <c r="O111" s="24"/>
      <c r="P111" s="24"/>
      <c r="Q111" s="24"/>
      <c r="R111" s="24"/>
      <c r="S111" s="24"/>
      <c r="T111" s="36"/>
      <c r="U111" s="29"/>
    </row>
    <row r="112" spans="1:21" x14ac:dyDescent="0.35">
      <c r="A112" s="24"/>
      <c r="B112" s="33"/>
      <c r="C112" s="50"/>
      <c r="D112" s="50"/>
      <c r="E112" s="27"/>
      <c r="F112" s="27"/>
      <c r="G112" s="24"/>
      <c r="H112" s="24"/>
      <c r="I112" s="24"/>
      <c r="J112" s="24"/>
      <c r="K112" s="24"/>
      <c r="L112" s="24"/>
      <c r="M112" s="24"/>
      <c r="N112" s="24"/>
      <c r="O112" s="24"/>
      <c r="P112" s="24"/>
      <c r="Q112" s="24"/>
      <c r="R112" s="24"/>
      <c r="S112" s="24"/>
      <c r="T112" s="36"/>
      <c r="U112" s="29"/>
    </row>
    <row r="113" spans="1:21" x14ac:dyDescent="0.35">
      <c r="A113" s="24"/>
      <c r="B113" s="33"/>
      <c r="C113" s="50"/>
      <c r="D113" s="50"/>
      <c r="E113" s="27"/>
      <c r="F113" s="27"/>
      <c r="G113" s="24"/>
      <c r="H113" s="24"/>
      <c r="I113" s="24"/>
      <c r="J113" s="24"/>
      <c r="K113" s="24"/>
      <c r="L113" s="24"/>
      <c r="M113" s="24"/>
      <c r="N113" s="24"/>
      <c r="O113" s="24"/>
      <c r="P113" s="24"/>
      <c r="Q113" s="24"/>
      <c r="R113" s="24"/>
      <c r="S113" s="24"/>
      <c r="T113" s="36"/>
      <c r="U113" s="29"/>
    </row>
    <row r="114" spans="1:21" x14ac:dyDescent="0.35">
      <c r="A114" s="24"/>
      <c r="B114" s="33"/>
      <c r="C114" s="50"/>
      <c r="D114" s="50"/>
      <c r="E114" s="27"/>
      <c r="F114" s="27"/>
      <c r="G114" s="24"/>
      <c r="H114" s="24"/>
      <c r="I114" s="24"/>
      <c r="J114" s="24"/>
      <c r="K114" s="24"/>
      <c r="L114" s="24"/>
      <c r="M114" s="24"/>
      <c r="N114" s="24"/>
      <c r="O114" s="24"/>
      <c r="P114" s="24"/>
      <c r="Q114" s="24"/>
      <c r="R114" s="24"/>
      <c r="S114" s="24"/>
      <c r="T114" s="36"/>
      <c r="U114" s="29"/>
    </row>
    <row r="115" spans="1:21" x14ac:dyDescent="0.35">
      <c r="A115" s="24"/>
      <c r="B115" s="33"/>
      <c r="C115" s="50"/>
      <c r="D115" s="50"/>
      <c r="E115" s="27"/>
      <c r="F115" s="27"/>
      <c r="G115" s="24"/>
      <c r="H115" s="24"/>
      <c r="I115" s="24"/>
      <c r="J115" s="24"/>
      <c r="K115" s="24"/>
      <c r="L115" s="24"/>
      <c r="M115" s="24"/>
      <c r="N115" s="24"/>
      <c r="O115" s="24"/>
      <c r="P115" s="24"/>
      <c r="Q115" s="24"/>
      <c r="R115" s="24"/>
      <c r="S115" s="24"/>
      <c r="T115" s="36"/>
      <c r="U115" s="29"/>
    </row>
    <row r="116" spans="1:21" x14ac:dyDescent="0.35">
      <c r="A116" s="24"/>
      <c r="B116" s="33"/>
      <c r="C116" s="50"/>
      <c r="D116" s="50"/>
      <c r="E116" s="27"/>
      <c r="F116" s="27"/>
      <c r="G116" s="24"/>
      <c r="H116" s="24"/>
      <c r="I116" s="24"/>
      <c r="J116" s="24"/>
      <c r="K116" s="24"/>
      <c r="L116" s="24"/>
      <c r="M116" s="24"/>
      <c r="N116" s="24"/>
      <c r="O116" s="24"/>
      <c r="P116" s="24"/>
      <c r="Q116" s="24"/>
      <c r="R116" s="24"/>
      <c r="S116" s="24"/>
      <c r="T116" s="36"/>
      <c r="U116" s="29"/>
    </row>
    <row r="117" spans="1:21" x14ac:dyDescent="0.35">
      <c r="A117" s="24"/>
      <c r="B117" s="33"/>
      <c r="C117" s="24"/>
      <c r="D117" s="24"/>
      <c r="E117" s="27"/>
      <c r="F117" s="27"/>
      <c r="G117" s="24"/>
      <c r="H117" s="24"/>
      <c r="I117" s="24"/>
      <c r="J117" s="24"/>
      <c r="K117" s="24"/>
      <c r="L117" s="24"/>
      <c r="M117" s="24"/>
      <c r="N117" s="24"/>
      <c r="O117" s="24"/>
      <c r="P117" s="24"/>
      <c r="Q117" s="24"/>
      <c r="R117" s="24"/>
      <c r="S117" s="24"/>
      <c r="T117" s="36"/>
      <c r="U117" s="29"/>
    </row>
    <row r="118" spans="1:21" x14ac:dyDescent="0.35">
      <c r="A118" s="24"/>
      <c r="B118" s="33"/>
      <c r="C118" s="24"/>
      <c r="D118" s="24"/>
      <c r="E118" s="27"/>
      <c r="F118" s="27"/>
      <c r="G118" s="24"/>
      <c r="H118" s="24"/>
      <c r="I118" s="24"/>
      <c r="J118" s="24"/>
      <c r="K118" s="24"/>
      <c r="L118" s="24"/>
      <c r="M118" s="24"/>
      <c r="N118" s="24"/>
      <c r="O118" s="24"/>
      <c r="P118" s="24"/>
      <c r="Q118" s="24"/>
      <c r="R118" s="24"/>
      <c r="S118" s="24"/>
      <c r="T118" s="36"/>
      <c r="U118" s="29"/>
    </row>
    <row r="119" spans="1:21" x14ac:dyDescent="0.35">
      <c r="A119" s="24"/>
      <c r="B119" s="24"/>
      <c r="C119" s="24"/>
      <c r="D119" s="24"/>
      <c r="E119" s="27"/>
      <c r="F119" s="27"/>
      <c r="G119" s="24"/>
      <c r="H119" s="24"/>
      <c r="I119" s="24"/>
      <c r="J119" s="24"/>
      <c r="K119" s="24"/>
      <c r="L119" s="24"/>
      <c r="M119" s="24"/>
      <c r="N119" s="24"/>
      <c r="O119" s="24"/>
      <c r="P119" s="24"/>
      <c r="Q119" s="24"/>
      <c r="R119" s="24"/>
      <c r="S119" s="24"/>
      <c r="T119" s="36"/>
      <c r="U119" s="29"/>
    </row>
    <row r="120" spans="1:21" x14ac:dyDescent="0.35">
      <c r="A120" s="24" t="s">
        <v>263</v>
      </c>
      <c r="B120" s="24"/>
      <c r="C120" s="24"/>
      <c r="D120" s="24"/>
      <c r="E120" s="27"/>
      <c r="F120" s="27">
        <f>C119*E120</f>
        <v>0</v>
      </c>
      <c r="G120" s="24"/>
      <c r="H120" s="24"/>
      <c r="I120" s="24"/>
      <c r="J120" s="24"/>
      <c r="K120" s="24"/>
      <c r="L120" s="24"/>
      <c r="M120" s="24"/>
      <c r="N120" s="24"/>
      <c r="O120" s="24"/>
      <c r="P120" s="24"/>
      <c r="Q120" s="24"/>
      <c r="R120" s="24"/>
      <c r="S120" s="24"/>
      <c r="T120" s="36"/>
      <c r="U120" s="29">
        <f>C119*E120</f>
        <v>0</v>
      </c>
    </row>
    <row r="121" spans="1:21" x14ac:dyDescent="0.35">
      <c r="A121" s="24">
        <v>1</v>
      </c>
      <c r="B121" s="33" t="s">
        <v>264</v>
      </c>
      <c r="C121" s="24" t="s">
        <v>265</v>
      </c>
      <c r="D121" s="24">
        <v>4</v>
      </c>
      <c r="E121" s="27">
        <v>18900</v>
      </c>
      <c r="F121" s="27">
        <f>D121*E121</f>
        <v>75600</v>
      </c>
      <c r="G121" s="24" t="s">
        <v>165</v>
      </c>
      <c r="H121" s="24" t="s">
        <v>177</v>
      </c>
      <c r="I121" s="24" t="s">
        <v>23</v>
      </c>
      <c r="J121" s="24"/>
      <c r="K121" s="24"/>
      <c r="L121" s="24"/>
      <c r="M121" s="24"/>
      <c r="N121" s="24"/>
      <c r="O121" s="24"/>
      <c r="P121" s="24"/>
      <c r="Q121" s="24"/>
      <c r="R121" s="24"/>
      <c r="S121" s="24"/>
      <c r="T121" s="24">
        <v>2</v>
      </c>
      <c r="U121" s="29">
        <f>C120*E121</f>
        <v>0</v>
      </c>
    </row>
    <row r="122" spans="1:21" x14ac:dyDescent="0.35">
      <c r="A122" s="24">
        <v>2</v>
      </c>
      <c r="B122" s="24" t="s">
        <v>266</v>
      </c>
      <c r="C122" s="24"/>
      <c r="D122" s="24">
        <v>2</v>
      </c>
      <c r="E122" s="27">
        <v>6500</v>
      </c>
      <c r="F122" s="27">
        <f t="shared" ref="F122:F142" si="8">D122*E122</f>
        <v>13000</v>
      </c>
      <c r="G122" s="24" t="s">
        <v>165</v>
      </c>
      <c r="H122" s="24" t="s">
        <v>177</v>
      </c>
      <c r="I122" s="24" t="s">
        <v>23</v>
      </c>
      <c r="J122" s="24"/>
      <c r="K122" s="24"/>
      <c r="L122" s="24"/>
      <c r="M122" s="24"/>
      <c r="N122" s="24"/>
      <c r="O122" s="24"/>
      <c r="P122" s="24"/>
      <c r="Q122" s="24"/>
      <c r="R122" s="24"/>
      <c r="S122" s="24"/>
      <c r="T122" s="24">
        <v>2</v>
      </c>
      <c r="U122" s="29" t="e">
        <f>C121*E122</f>
        <v>#VALUE!</v>
      </c>
    </row>
    <row r="123" spans="1:21" x14ac:dyDescent="0.35">
      <c r="A123" s="24">
        <v>5</v>
      </c>
      <c r="B123" s="24" t="s">
        <v>267</v>
      </c>
      <c r="C123" s="24"/>
      <c r="D123" s="24">
        <v>2</v>
      </c>
      <c r="E123" s="27">
        <v>54600</v>
      </c>
      <c r="F123" s="27">
        <f t="shared" si="8"/>
        <v>109200</v>
      </c>
      <c r="G123" s="24" t="s">
        <v>165</v>
      </c>
      <c r="H123" s="24" t="s">
        <v>177</v>
      </c>
      <c r="I123" s="24" t="s">
        <v>23</v>
      </c>
      <c r="J123" s="24"/>
      <c r="K123" s="24"/>
      <c r="L123" s="24"/>
      <c r="M123" s="24"/>
      <c r="N123" s="24"/>
      <c r="O123" s="24"/>
      <c r="P123" s="24"/>
      <c r="Q123" s="24"/>
      <c r="R123" s="24"/>
      <c r="S123" s="24"/>
      <c r="T123" s="24">
        <v>2</v>
      </c>
      <c r="U123" s="29"/>
    </row>
    <row r="124" spans="1:21" x14ac:dyDescent="0.35">
      <c r="A124" s="24">
        <v>6</v>
      </c>
      <c r="B124" s="24" t="s">
        <v>268</v>
      </c>
      <c r="C124" s="24"/>
      <c r="D124" s="24">
        <v>2</v>
      </c>
      <c r="E124" s="27">
        <v>6500</v>
      </c>
      <c r="F124" s="27">
        <f t="shared" si="8"/>
        <v>13000</v>
      </c>
      <c r="G124" s="24" t="s">
        <v>165</v>
      </c>
      <c r="H124" s="24" t="s">
        <v>177</v>
      </c>
      <c r="I124" s="24" t="s">
        <v>23</v>
      </c>
      <c r="J124" s="24"/>
      <c r="K124" s="24"/>
      <c r="L124" s="24"/>
      <c r="M124" s="24"/>
      <c r="N124" s="24"/>
      <c r="O124" s="24"/>
      <c r="P124" s="24"/>
      <c r="Q124" s="24"/>
      <c r="R124" s="24"/>
      <c r="S124" s="24"/>
      <c r="T124" s="24">
        <v>2</v>
      </c>
      <c r="U124" s="29"/>
    </row>
    <row r="125" spans="1:21" x14ac:dyDescent="0.35">
      <c r="A125" s="24">
        <v>7</v>
      </c>
      <c r="B125" s="24" t="s">
        <v>269</v>
      </c>
      <c r="C125" s="24"/>
      <c r="D125" s="24">
        <v>2</v>
      </c>
      <c r="E125" s="27">
        <v>38800</v>
      </c>
      <c r="F125" s="27">
        <f t="shared" si="8"/>
        <v>77600</v>
      </c>
      <c r="G125" s="24" t="s">
        <v>165</v>
      </c>
      <c r="H125" s="24" t="s">
        <v>177</v>
      </c>
      <c r="I125" s="24" t="s">
        <v>23</v>
      </c>
      <c r="J125" s="24"/>
      <c r="K125" s="24"/>
      <c r="L125" s="24"/>
      <c r="M125" s="24"/>
      <c r="N125" s="24"/>
      <c r="O125" s="24"/>
      <c r="P125" s="24"/>
      <c r="Q125" s="24"/>
      <c r="R125" s="24"/>
      <c r="S125" s="24"/>
      <c r="T125" s="24">
        <v>2</v>
      </c>
      <c r="U125" s="29"/>
    </row>
    <row r="126" spans="1:21" x14ac:dyDescent="0.35">
      <c r="A126" s="24">
        <v>8</v>
      </c>
      <c r="B126" s="24" t="s">
        <v>270</v>
      </c>
      <c r="C126" s="24"/>
      <c r="D126" s="24">
        <v>2</v>
      </c>
      <c r="E126" s="27">
        <v>28600</v>
      </c>
      <c r="F126" s="27">
        <f t="shared" si="8"/>
        <v>57200</v>
      </c>
      <c r="G126" s="24" t="s">
        <v>165</v>
      </c>
      <c r="H126" s="24" t="s">
        <v>177</v>
      </c>
      <c r="I126" s="24" t="s">
        <v>23</v>
      </c>
      <c r="J126" s="24"/>
      <c r="K126" s="24"/>
      <c r="L126" s="24"/>
      <c r="M126" s="24"/>
      <c r="N126" s="24"/>
      <c r="O126" s="24"/>
      <c r="P126" s="24"/>
      <c r="Q126" s="24"/>
      <c r="R126" s="24"/>
      <c r="S126" s="24"/>
      <c r="T126" s="24">
        <v>2</v>
      </c>
      <c r="U126" s="29">
        <f>C122*E126</f>
        <v>0</v>
      </c>
    </row>
    <row r="127" spans="1:21" ht="19.5" customHeight="1" x14ac:dyDescent="0.35">
      <c r="A127" s="24">
        <v>9</v>
      </c>
      <c r="B127" s="24" t="s">
        <v>271</v>
      </c>
      <c r="C127" s="24"/>
      <c r="D127" s="24">
        <v>2</v>
      </c>
      <c r="E127" s="27">
        <v>5800</v>
      </c>
      <c r="F127" s="27">
        <f t="shared" si="8"/>
        <v>11600</v>
      </c>
      <c r="G127" s="24" t="s">
        <v>165</v>
      </c>
      <c r="H127" s="24" t="s">
        <v>177</v>
      </c>
      <c r="I127" s="24" t="s">
        <v>23</v>
      </c>
      <c r="J127" s="24"/>
      <c r="K127" s="24"/>
      <c r="L127" s="24"/>
      <c r="M127" s="24"/>
      <c r="N127" s="24"/>
      <c r="O127" s="24"/>
      <c r="P127" s="24"/>
      <c r="Q127" s="24"/>
      <c r="R127" s="24"/>
      <c r="S127" s="24"/>
      <c r="T127" s="24">
        <v>2</v>
      </c>
      <c r="U127" s="29">
        <f t="shared" si="6"/>
        <v>11600</v>
      </c>
    </row>
    <row r="128" spans="1:21" x14ac:dyDescent="0.35">
      <c r="A128" s="24">
        <v>10</v>
      </c>
      <c r="B128" s="51" t="s">
        <v>272</v>
      </c>
      <c r="C128" s="24" t="s">
        <v>273</v>
      </c>
      <c r="D128" s="24">
        <v>5</v>
      </c>
      <c r="E128" s="27">
        <v>65500</v>
      </c>
      <c r="F128" s="27">
        <f t="shared" si="8"/>
        <v>327500</v>
      </c>
      <c r="G128" s="24" t="s">
        <v>165</v>
      </c>
      <c r="H128" s="24" t="s">
        <v>177</v>
      </c>
      <c r="I128" s="24" t="s">
        <v>23</v>
      </c>
      <c r="J128" s="24"/>
      <c r="K128" s="24"/>
      <c r="L128" s="24"/>
      <c r="M128" s="24"/>
      <c r="N128" s="24"/>
      <c r="O128" s="24"/>
      <c r="P128" s="24"/>
      <c r="Q128" s="24"/>
      <c r="R128" s="24"/>
      <c r="S128" s="24"/>
      <c r="T128" s="24">
        <v>5</v>
      </c>
      <c r="U128" s="29">
        <f t="shared" si="6"/>
        <v>327500</v>
      </c>
    </row>
    <row r="129" spans="1:21" x14ac:dyDescent="0.35">
      <c r="A129" s="24">
        <v>11</v>
      </c>
      <c r="B129" s="51" t="s">
        <v>274</v>
      </c>
      <c r="C129" s="24" t="s">
        <v>273</v>
      </c>
      <c r="D129" s="24">
        <v>5</v>
      </c>
      <c r="E129" s="27">
        <v>6500</v>
      </c>
      <c r="F129" s="27">
        <f t="shared" si="8"/>
        <v>32500</v>
      </c>
      <c r="G129" s="24" t="s">
        <v>165</v>
      </c>
      <c r="H129" s="24" t="s">
        <v>177</v>
      </c>
      <c r="I129" s="24" t="s">
        <v>23</v>
      </c>
      <c r="J129" s="24"/>
      <c r="K129" s="24"/>
      <c r="L129" s="24"/>
      <c r="M129" s="24"/>
      <c r="N129" s="24"/>
      <c r="O129" s="24"/>
      <c r="P129" s="24"/>
      <c r="Q129" s="24"/>
      <c r="R129" s="24"/>
      <c r="S129" s="24"/>
      <c r="T129" s="24">
        <v>5</v>
      </c>
      <c r="U129" s="29"/>
    </row>
    <row r="130" spans="1:21" x14ac:dyDescent="0.35">
      <c r="A130" s="24">
        <v>12</v>
      </c>
      <c r="B130" s="51" t="s">
        <v>275</v>
      </c>
      <c r="C130" s="24" t="s">
        <v>273</v>
      </c>
      <c r="D130" s="24">
        <v>5</v>
      </c>
      <c r="E130" s="27">
        <v>4800</v>
      </c>
      <c r="F130" s="27">
        <f t="shared" si="8"/>
        <v>24000</v>
      </c>
      <c r="G130" s="24" t="s">
        <v>165</v>
      </c>
      <c r="H130" s="24" t="s">
        <v>177</v>
      </c>
      <c r="I130" s="24" t="s">
        <v>23</v>
      </c>
      <c r="J130" s="24"/>
      <c r="K130" s="24"/>
      <c r="L130" s="24"/>
      <c r="M130" s="24"/>
      <c r="N130" s="24"/>
      <c r="O130" s="24"/>
      <c r="P130" s="24"/>
      <c r="Q130" s="24"/>
      <c r="R130" s="24"/>
      <c r="S130" s="24"/>
      <c r="T130" s="24">
        <v>5</v>
      </c>
      <c r="U130" s="29"/>
    </row>
    <row r="131" spans="1:21" x14ac:dyDescent="0.35">
      <c r="A131" s="24">
        <v>13</v>
      </c>
      <c r="B131" s="33" t="s">
        <v>276</v>
      </c>
      <c r="C131" s="24" t="s">
        <v>265</v>
      </c>
      <c r="D131" s="24">
        <v>2</v>
      </c>
      <c r="E131" s="27">
        <v>24800</v>
      </c>
      <c r="F131" s="27">
        <f t="shared" si="8"/>
        <v>49600</v>
      </c>
      <c r="G131" s="24" t="s">
        <v>165</v>
      </c>
      <c r="H131" s="24" t="s">
        <v>177</v>
      </c>
      <c r="I131" s="24" t="s">
        <v>23</v>
      </c>
      <c r="J131" s="24"/>
      <c r="K131" s="24"/>
      <c r="L131" s="24"/>
      <c r="M131" s="24"/>
      <c r="N131" s="24"/>
      <c r="O131" s="24"/>
      <c r="P131" s="24"/>
      <c r="Q131" s="24"/>
      <c r="R131" s="24"/>
      <c r="S131" s="24"/>
      <c r="T131" s="24">
        <v>2</v>
      </c>
      <c r="U131" s="29"/>
    </row>
    <row r="132" spans="1:21" x14ac:dyDescent="0.35">
      <c r="A132" s="24">
        <v>14</v>
      </c>
      <c r="B132" s="33" t="s">
        <v>277</v>
      </c>
      <c r="C132" s="24" t="s">
        <v>265</v>
      </c>
      <c r="D132" s="24">
        <v>2</v>
      </c>
      <c r="E132" s="52">
        <v>26800</v>
      </c>
      <c r="F132" s="27">
        <f t="shared" si="8"/>
        <v>53600</v>
      </c>
      <c r="G132" s="24" t="s">
        <v>165</v>
      </c>
      <c r="H132" s="24" t="s">
        <v>177</v>
      </c>
      <c r="I132" s="24" t="s">
        <v>23</v>
      </c>
      <c r="J132" s="24"/>
      <c r="K132" s="24"/>
      <c r="L132" s="24"/>
      <c r="M132" s="24"/>
      <c r="N132" s="24"/>
      <c r="O132" s="24"/>
      <c r="P132" s="24"/>
      <c r="Q132" s="24"/>
      <c r="R132" s="24"/>
      <c r="S132" s="24"/>
      <c r="T132" s="24">
        <v>2</v>
      </c>
      <c r="U132" s="29"/>
    </row>
    <row r="133" spans="1:21" x14ac:dyDescent="0.35">
      <c r="A133" s="24">
        <v>15</v>
      </c>
      <c r="B133" s="33" t="s">
        <v>278</v>
      </c>
      <c r="C133" s="24" t="s">
        <v>265</v>
      </c>
      <c r="D133" s="24">
        <v>2</v>
      </c>
      <c r="E133" s="27">
        <v>26800</v>
      </c>
      <c r="F133" s="27">
        <f t="shared" si="8"/>
        <v>53600</v>
      </c>
      <c r="G133" s="24" t="s">
        <v>165</v>
      </c>
      <c r="H133" s="24" t="s">
        <v>177</v>
      </c>
      <c r="I133" s="24" t="s">
        <v>23</v>
      </c>
      <c r="J133" s="24"/>
      <c r="K133" s="24"/>
      <c r="L133" s="24"/>
      <c r="M133" s="24"/>
      <c r="N133" s="24"/>
      <c r="O133" s="24"/>
      <c r="P133" s="24"/>
      <c r="Q133" s="24"/>
      <c r="R133" s="24"/>
      <c r="S133" s="24"/>
      <c r="T133" s="24">
        <v>2</v>
      </c>
      <c r="U133" s="29"/>
    </row>
    <row r="134" spans="1:21" x14ac:dyDescent="0.35">
      <c r="A134" s="24">
        <v>16</v>
      </c>
      <c r="B134" s="51" t="s">
        <v>279</v>
      </c>
      <c r="C134" s="24" t="s">
        <v>273</v>
      </c>
      <c r="D134" s="24">
        <v>5</v>
      </c>
      <c r="E134" s="27">
        <v>3500</v>
      </c>
      <c r="F134" s="27">
        <f t="shared" si="8"/>
        <v>17500</v>
      </c>
      <c r="G134" s="24" t="s">
        <v>165</v>
      </c>
      <c r="H134" s="24" t="s">
        <v>177</v>
      </c>
      <c r="I134" s="24" t="s">
        <v>23</v>
      </c>
      <c r="J134" s="24"/>
      <c r="K134" s="24"/>
      <c r="L134" s="24"/>
      <c r="M134" s="24"/>
      <c r="N134" s="24"/>
      <c r="O134" s="24"/>
      <c r="P134" s="24"/>
      <c r="Q134" s="24"/>
      <c r="R134" s="24"/>
      <c r="S134" s="24"/>
      <c r="T134" s="24">
        <v>20</v>
      </c>
      <c r="U134" s="29"/>
    </row>
    <row r="135" spans="1:21" x14ac:dyDescent="0.35">
      <c r="A135" s="24">
        <v>17</v>
      </c>
      <c r="B135" s="51" t="s">
        <v>280</v>
      </c>
      <c r="C135" s="24" t="s">
        <v>273</v>
      </c>
      <c r="D135" s="24">
        <v>5</v>
      </c>
      <c r="E135" s="27">
        <v>4500</v>
      </c>
      <c r="F135" s="27">
        <f t="shared" si="8"/>
        <v>22500</v>
      </c>
      <c r="G135" s="24" t="s">
        <v>165</v>
      </c>
      <c r="H135" s="24" t="s">
        <v>177</v>
      </c>
      <c r="I135" s="24" t="s">
        <v>23</v>
      </c>
      <c r="J135" s="24"/>
      <c r="K135" s="24"/>
      <c r="L135" s="24"/>
      <c r="M135" s="24"/>
      <c r="N135" s="24"/>
      <c r="O135" s="24"/>
      <c r="P135" s="24"/>
      <c r="Q135" s="24"/>
      <c r="R135" s="24"/>
      <c r="S135" s="24"/>
      <c r="T135" s="24">
        <v>20</v>
      </c>
      <c r="U135" s="29"/>
    </row>
    <row r="136" spans="1:21" x14ac:dyDescent="0.35">
      <c r="A136" s="24">
        <v>18</v>
      </c>
      <c r="B136" s="51" t="s">
        <v>281</v>
      </c>
      <c r="C136" s="24" t="s">
        <v>273</v>
      </c>
      <c r="D136" s="24">
        <v>5</v>
      </c>
      <c r="E136" s="27">
        <v>4500</v>
      </c>
      <c r="F136" s="27">
        <f t="shared" si="8"/>
        <v>22500</v>
      </c>
      <c r="G136" s="24" t="s">
        <v>165</v>
      </c>
      <c r="H136" s="24" t="s">
        <v>177</v>
      </c>
      <c r="I136" s="24" t="s">
        <v>23</v>
      </c>
      <c r="J136" s="24"/>
      <c r="K136" s="24"/>
      <c r="L136" s="24"/>
      <c r="M136" s="24"/>
      <c r="N136" s="24"/>
      <c r="O136" s="24"/>
      <c r="P136" s="24"/>
      <c r="Q136" s="24"/>
      <c r="R136" s="24"/>
      <c r="S136" s="24"/>
      <c r="T136" s="24">
        <v>20</v>
      </c>
      <c r="U136" s="29"/>
    </row>
    <row r="137" spans="1:21" x14ac:dyDescent="0.35">
      <c r="A137" s="24">
        <v>19</v>
      </c>
      <c r="B137" s="51" t="s">
        <v>282</v>
      </c>
      <c r="C137" s="24" t="s">
        <v>273</v>
      </c>
      <c r="D137" s="24">
        <v>10</v>
      </c>
      <c r="E137" s="27">
        <v>18200</v>
      </c>
      <c r="F137" s="27">
        <f t="shared" si="8"/>
        <v>182000</v>
      </c>
      <c r="G137" s="24" t="s">
        <v>165</v>
      </c>
      <c r="H137" s="24" t="s">
        <v>177</v>
      </c>
      <c r="I137" s="24" t="s">
        <v>23</v>
      </c>
      <c r="J137" s="24"/>
      <c r="K137" s="24"/>
      <c r="L137" s="24"/>
      <c r="M137" s="24"/>
      <c r="N137" s="24"/>
      <c r="O137" s="24"/>
      <c r="P137" s="24"/>
      <c r="Q137" s="24"/>
      <c r="R137" s="24"/>
      <c r="S137" s="24"/>
      <c r="T137" s="24"/>
      <c r="U137" s="29"/>
    </row>
    <row r="138" spans="1:21" x14ac:dyDescent="0.35">
      <c r="A138" s="24">
        <v>20</v>
      </c>
      <c r="B138" s="51" t="s">
        <v>283</v>
      </c>
      <c r="C138" s="24" t="s">
        <v>284</v>
      </c>
      <c r="D138" s="24">
        <v>2</v>
      </c>
      <c r="E138" s="27">
        <v>150</v>
      </c>
      <c r="F138" s="27">
        <f t="shared" si="8"/>
        <v>300</v>
      </c>
      <c r="G138" s="24" t="s">
        <v>165</v>
      </c>
      <c r="H138" s="24" t="s">
        <v>177</v>
      </c>
      <c r="I138" s="24" t="s">
        <v>23</v>
      </c>
      <c r="J138" s="24"/>
      <c r="K138" s="24"/>
      <c r="L138" s="24"/>
      <c r="M138" s="24"/>
      <c r="N138" s="24"/>
      <c r="O138" s="24"/>
      <c r="P138" s="24"/>
      <c r="Q138" s="24"/>
      <c r="R138" s="24"/>
      <c r="S138" s="24"/>
      <c r="T138" s="24"/>
      <c r="U138" s="29"/>
    </row>
    <row r="139" spans="1:21" ht="46.5" x14ac:dyDescent="0.35">
      <c r="A139" s="24">
        <v>21</v>
      </c>
      <c r="B139" s="51" t="s">
        <v>285</v>
      </c>
      <c r="C139" s="24" t="s">
        <v>286</v>
      </c>
      <c r="D139" s="24">
        <v>2</v>
      </c>
      <c r="E139" s="27">
        <v>48000</v>
      </c>
      <c r="F139" s="27">
        <f t="shared" si="8"/>
        <v>96000</v>
      </c>
      <c r="G139" s="24" t="s">
        <v>165</v>
      </c>
      <c r="H139" s="24" t="s">
        <v>177</v>
      </c>
      <c r="I139" s="24" t="s">
        <v>23</v>
      </c>
      <c r="J139" s="24"/>
      <c r="K139" s="24"/>
      <c r="L139" s="24"/>
      <c r="M139" s="24"/>
      <c r="N139" s="24"/>
      <c r="O139" s="24"/>
      <c r="P139" s="24"/>
      <c r="Q139" s="24"/>
      <c r="R139" s="24"/>
      <c r="S139" s="24"/>
      <c r="T139" s="24"/>
      <c r="U139" s="29"/>
    </row>
    <row r="140" spans="1:21" x14ac:dyDescent="0.35">
      <c r="A140" s="24">
        <v>22</v>
      </c>
      <c r="B140" s="51" t="s">
        <v>287</v>
      </c>
      <c r="C140" s="24" t="s">
        <v>273</v>
      </c>
      <c r="D140" s="24">
        <v>2</v>
      </c>
      <c r="E140" s="27">
        <v>50580</v>
      </c>
      <c r="F140" s="27">
        <f t="shared" si="8"/>
        <v>101160</v>
      </c>
      <c r="G140" s="24" t="s">
        <v>165</v>
      </c>
      <c r="H140" s="24" t="s">
        <v>177</v>
      </c>
      <c r="I140" s="24" t="s">
        <v>23</v>
      </c>
      <c r="J140" s="24"/>
      <c r="K140" s="24"/>
      <c r="L140" s="24"/>
      <c r="M140" s="24"/>
      <c r="N140" s="24"/>
      <c r="O140" s="24"/>
      <c r="P140" s="24"/>
      <c r="Q140" s="24"/>
      <c r="R140" s="24"/>
      <c r="S140" s="24"/>
      <c r="T140" s="24"/>
      <c r="U140" s="29"/>
    </row>
    <row r="141" spans="1:21" x14ac:dyDescent="0.35">
      <c r="A141" s="24">
        <v>23</v>
      </c>
      <c r="B141" s="51" t="s">
        <v>288</v>
      </c>
      <c r="C141" s="24" t="s">
        <v>265</v>
      </c>
      <c r="D141" s="24">
        <v>2</v>
      </c>
      <c r="E141" s="27">
        <v>22200</v>
      </c>
      <c r="F141" s="27">
        <f t="shared" si="8"/>
        <v>44400</v>
      </c>
      <c r="G141" s="24" t="s">
        <v>165</v>
      </c>
      <c r="H141" s="24" t="s">
        <v>177</v>
      </c>
      <c r="I141" s="24" t="s">
        <v>23</v>
      </c>
      <c r="J141" s="24"/>
      <c r="K141" s="24"/>
      <c r="L141" s="24"/>
      <c r="M141" s="24"/>
      <c r="N141" s="24"/>
      <c r="O141" s="24"/>
      <c r="P141" s="24"/>
      <c r="Q141" s="24"/>
      <c r="R141" s="24"/>
      <c r="S141" s="24"/>
      <c r="T141" s="24"/>
      <c r="U141" s="29"/>
    </row>
    <row r="142" spans="1:21" x14ac:dyDescent="0.35">
      <c r="A142" s="24">
        <v>24</v>
      </c>
      <c r="B142" s="51" t="s">
        <v>289</v>
      </c>
      <c r="C142" s="24"/>
      <c r="D142" s="24">
        <v>2</v>
      </c>
      <c r="E142" s="27">
        <v>9000</v>
      </c>
      <c r="F142" s="27">
        <f t="shared" si="8"/>
        <v>18000</v>
      </c>
      <c r="G142" s="24" t="s">
        <v>165</v>
      </c>
      <c r="H142" s="24" t="s">
        <v>177</v>
      </c>
      <c r="I142" s="24" t="s">
        <v>23</v>
      </c>
      <c r="J142" s="24"/>
      <c r="K142" s="24"/>
      <c r="L142" s="24"/>
      <c r="M142" s="24"/>
      <c r="N142" s="24"/>
      <c r="O142" s="24"/>
      <c r="P142" s="24"/>
      <c r="Q142" s="24"/>
      <c r="R142" s="24"/>
      <c r="S142" s="24"/>
      <c r="T142" s="24"/>
      <c r="U142" s="29"/>
    </row>
    <row r="143" spans="1:21" x14ac:dyDescent="0.35">
      <c r="A143" s="24">
        <v>26</v>
      </c>
      <c r="B143" s="33" t="s">
        <v>290</v>
      </c>
      <c r="C143" s="24" t="s">
        <v>273</v>
      </c>
      <c r="D143" s="24">
        <v>3</v>
      </c>
      <c r="E143" s="27">
        <v>71500</v>
      </c>
      <c r="F143" s="27">
        <f t="shared" si="5"/>
        <v>214500</v>
      </c>
      <c r="G143" s="24" t="s">
        <v>165</v>
      </c>
      <c r="H143" s="24" t="s">
        <v>177</v>
      </c>
      <c r="I143" s="24" t="s">
        <v>23</v>
      </c>
      <c r="J143" s="24"/>
      <c r="K143" s="24"/>
      <c r="L143" s="24"/>
      <c r="M143" s="24"/>
      <c r="N143" s="24"/>
      <c r="O143" s="24"/>
      <c r="P143" s="24"/>
      <c r="Q143" s="24"/>
      <c r="R143" s="24"/>
      <c r="S143" s="24"/>
      <c r="T143" s="24">
        <v>3</v>
      </c>
      <c r="U143" s="29"/>
    </row>
    <row r="144" spans="1:21" x14ac:dyDescent="0.35">
      <c r="A144" s="24">
        <v>27</v>
      </c>
      <c r="B144" s="51" t="s">
        <v>291</v>
      </c>
      <c r="C144" s="24" t="s">
        <v>226</v>
      </c>
      <c r="D144" s="24">
        <v>3</v>
      </c>
      <c r="E144" s="27">
        <v>26000</v>
      </c>
      <c r="F144" s="27">
        <f t="shared" si="5"/>
        <v>78000</v>
      </c>
      <c r="G144" s="24" t="s">
        <v>165</v>
      </c>
      <c r="H144" s="24" t="s">
        <v>177</v>
      </c>
      <c r="I144" s="24" t="s">
        <v>23</v>
      </c>
      <c r="J144" s="24"/>
      <c r="K144" s="24"/>
      <c r="L144" s="24"/>
      <c r="M144" s="24"/>
      <c r="N144" s="24"/>
      <c r="O144" s="24"/>
      <c r="P144" s="24"/>
      <c r="Q144" s="24"/>
      <c r="R144" s="24"/>
      <c r="S144" s="24"/>
      <c r="T144" s="24">
        <v>3</v>
      </c>
      <c r="U144" s="29"/>
    </row>
    <row r="145" spans="1:21" x14ac:dyDescent="0.35">
      <c r="A145" s="24">
        <v>28</v>
      </c>
      <c r="B145" s="51" t="s">
        <v>292</v>
      </c>
      <c r="C145" s="24" t="s">
        <v>273</v>
      </c>
      <c r="D145" s="24">
        <v>3</v>
      </c>
      <c r="E145" s="27">
        <v>62200</v>
      </c>
      <c r="F145" s="27">
        <f t="shared" si="5"/>
        <v>186600</v>
      </c>
      <c r="G145" s="24" t="s">
        <v>165</v>
      </c>
      <c r="H145" s="24" t="s">
        <v>177</v>
      </c>
      <c r="I145" s="24" t="s">
        <v>23</v>
      </c>
      <c r="J145" s="24"/>
      <c r="K145" s="24"/>
      <c r="L145" s="24"/>
      <c r="M145" s="24"/>
      <c r="N145" s="24"/>
      <c r="O145" s="24"/>
      <c r="P145" s="24"/>
      <c r="Q145" s="24"/>
      <c r="R145" s="24"/>
      <c r="S145" s="24"/>
      <c r="T145" s="24">
        <v>3</v>
      </c>
      <c r="U145" s="29"/>
    </row>
    <row r="146" spans="1:21" x14ac:dyDescent="0.35">
      <c r="A146" s="24">
        <v>29</v>
      </c>
      <c r="B146" s="51" t="s">
        <v>293</v>
      </c>
      <c r="C146" s="24" t="s">
        <v>273</v>
      </c>
      <c r="D146" s="24">
        <v>4</v>
      </c>
      <c r="E146" s="27">
        <v>16500</v>
      </c>
      <c r="F146" s="27">
        <f t="shared" si="5"/>
        <v>66000</v>
      </c>
      <c r="G146" s="24" t="s">
        <v>165</v>
      </c>
      <c r="H146" s="24" t="s">
        <v>177</v>
      </c>
      <c r="I146" s="24" t="s">
        <v>23</v>
      </c>
      <c r="J146" s="24"/>
      <c r="K146" s="24"/>
      <c r="L146" s="24"/>
      <c r="M146" s="24"/>
      <c r="N146" s="24"/>
      <c r="O146" s="24"/>
      <c r="P146" s="24"/>
      <c r="Q146" s="24"/>
      <c r="R146" s="24"/>
      <c r="S146" s="24"/>
      <c r="T146" s="24">
        <v>5</v>
      </c>
      <c r="U146" s="29"/>
    </row>
    <row r="147" spans="1:21" x14ac:dyDescent="0.35">
      <c r="A147" s="24">
        <v>31</v>
      </c>
      <c r="B147" s="51" t="s">
        <v>294</v>
      </c>
      <c r="C147" s="24" t="s">
        <v>273</v>
      </c>
      <c r="D147" s="24">
        <v>12</v>
      </c>
      <c r="E147" s="27">
        <v>65000</v>
      </c>
      <c r="F147" s="27">
        <f t="shared" si="5"/>
        <v>780000</v>
      </c>
      <c r="G147" s="24" t="s">
        <v>165</v>
      </c>
      <c r="H147" s="24" t="s">
        <v>177</v>
      </c>
      <c r="I147" s="24" t="s">
        <v>23</v>
      </c>
      <c r="J147" s="24"/>
      <c r="K147" s="24"/>
      <c r="L147" s="24"/>
      <c r="M147" s="24"/>
      <c r="N147" s="24"/>
      <c r="O147" s="24"/>
      <c r="P147" s="24"/>
      <c r="Q147" s="24"/>
      <c r="R147" s="24"/>
      <c r="S147" s="24"/>
      <c r="T147" s="24">
        <v>10</v>
      </c>
      <c r="U147" s="29"/>
    </row>
    <row r="148" spans="1:21" x14ac:dyDescent="0.35">
      <c r="A148" s="24">
        <v>32</v>
      </c>
      <c r="B148" s="51" t="s">
        <v>295</v>
      </c>
      <c r="C148" s="24" t="s">
        <v>296</v>
      </c>
      <c r="D148" s="24">
        <v>3</v>
      </c>
      <c r="E148" s="27">
        <v>43800</v>
      </c>
      <c r="F148" s="27">
        <f t="shared" si="5"/>
        <v>131400</v>
      </c>
      <c r="G148" s="24" t="s">
        <v>165</v>
      </c>
      <c r="H148" s="24" t="s">
        <v>177</v>
      </c>
      <c r="I148" s="24" t="s">
        <v>23</v>
      </c>
      <c r="J148" s="24"/>
      <c r="K148" s="24"/>
      <c r="L148" s="24"/>
      <c r="M148" s="24"/>
      <c r="N148" s="24"/>
      <c r="O148" s="24"/>
      <c r="P148" s="24"/>
      <c r="Q148" s="24"/>
      <c r="R148" s="24"/>
      <c r="S148" s="24"/>
      <c r="T148" s="24">
        <v>3</v>
      </c>
      <c r="U148" s="29"/>
    </row>
    <row r="149" spans="1:21" x14ac:dyDescent="0.35">
      <c r="A149" s="24"/>
      <c r="B149" s="53" t="s">
        <v>297</v>
      </c>
      <c r="D149" s="24">
        <v>3</v>
      </c>
      <c r="E149" s="27">
        <v>2000000</v>
      </c>
      <c r="F149" s="27">
        <f t="shared" si="5"/>
        <v>6000000</v>
      </c>
      <c r="G149" s="24" t="s">
        <v>165</v>
      </c>
      <c r="H149" s="24" t="s">
        <v>177</v>
      </c>
      <c r="I149" s="24" t="s">
        <v>23</v>
      </c>
      <c r="J149" s="24"/>
      <c r="K149" s="24"/>
      <c r="L149" s="24"/>
      <c r="M149" s="24"/>
      <c r="N149" s="24"/>
      <c r="O149" s="24"/>
      <c r="P149" s="24"/>
      <c r="Q149" s="24"/>
      <c r="R149" s="24"/>
      <c r="S149" s="24"/>
      <c r="U149" s="29"/>
    </row>
    <row r="150" spans="1:21" x14ac:dyDescent="0.35">
      <c r="A150" s="24"/>
      <c r="B150" s="51" t="s">
        <v>298</v>
      </c>
      <c r="C150" s="24" t="s">
        <v>299</v>
      </c>
      <c r="D150" s="24">
        <v>5</v>
      </c>
      <c r="E150" s="27">
        <v>2500</v>
      </c>
      <c r="F150" s="27">
        <f t="shared" si="5"/>
        <v>12500</v>
      </c>
      <c r="G150" s="24" t="s">
        <v>165</v>
      </c>
      <c r="H150" s="24" t="s">
        <v>177</v>
      </c>
      <c r="I150" s="24" t="s">
        <v>23</v>
      </c>
      <c r="J150" s="24"/>
      <c r="K150" s="24"/>
      <c r="L150" s="24"/>
      <c r="M150" s="24"/>
      <c r="N150" s="24"/>
      <c r="O150" s="24"/>
      <c r="P150" s="24"/>
      <c r="Q150" s="24"/>
      <c r="R150" s="24"/>
      <c r="S150" s="24"/>
      <c r="T150" s="24">
        <v>5</v>
      </c>
      <c r="U150" s="29"/>
    </row>
    <row r="151" spans="1:21" x14ac:dyDescent="0.35">
      <c r="A151" s="24"/>
      <c r="B151" s="51" t="s">
        <v>300</v>
      </c>
      <c r="C151" s="24" t="s">
        <v>299</v>
      </c>
      <c r="D151" s="24">
        <v>5</v>
      </c>
      <c r="E151" s="27">
        <v>1500</v>
      </c>
      <c r="F151" s="27">
        <f t="shared" si="5"/>
        <v>7500</v>
      </c>
      <c r="G151" s="24" t="s">
        <v>165</v>
      </c>
      <c r="H151" s="24" t="s">
        <v>177</v>
      </c>
      <c r="I151" s="24" t="s">
        <v>23</v>
      </c>
      <c r="J151" s="24"/>
      <c r="K151" s="24"/>
      <c r="L151" s="24"/>
      <c r="M151" s="24"/>
      <c r="N151" s="24"/>
      <c r="O151" s="24"/>
      <c r="P151" s="24"/>
      <c r="Q151" s="24"/>
      <c r="R151" s="24"/>
      <c r="S151" s="24"/>
      <c r="T151" s="24">
        <v>5</v>
      </c>
      <c r="U151" s="29"/>
    </row>
    <row r="152" spans="1:21" x14ac:dyDescent="0.35">
      <c r="A152" s="24"/>
      <c r="B152" s="51" t="s">
        <v>301</v>
      </c>
      <c r="C152" s="24" t="s">
        <v>299</v>
      </c>
      <c r="D152" s="24">
        <v>5</v>
      </c>
      <c r="E152" s="27">
        <v>1100</v>
      </c>
      <c r="F152" s="27">
        <f t="shared" si="5"/>
        <v>5500</v>
      </c>
      <c r="G152" s="24" t="s">
        <v>165</v>
      </c>
      <c r="H152" s="24" t="s">
        <v>177</v>
      </c>
      <c r="I152" s="24" t="s">
        <v>23</v>
      </c>
      <c r="J152" s="24"/>
      <c r="K152" s="24"/>
      <c r="L152" s="24"/>
      <c r="M152" s="24"/>
      <c r="N152" s="24"/>
      <c r="O152" s="24"/>
      <c r="P152" s="24"/>
      <c r="Q152" s="24"/>
      <c r="R152" s="24"/>
      <c r="S152" s="24"/>
      <c r="T152" s="24">
        <v>5</v>
      </c>
      <c r="U152" s="29"/>
    </row>
    <row r="153" spans="1:21" ht="31" x14ac:dyDescent="0.35">
      <c r="A153" s="24"/>
      <c r="B153" s="51" t="s">
        <v>302</v>
      </c>
      <c r="C153" s="24"/>
      <c r="D153" s="24">
        <v>2</v>
      </c>
      <c r="E153" s="27">
        <v>33250</v>
      </c>
      <c r="F153" s="27">
        <f t="shared" si="5"/>
        <v>66500</v>
      </c>
      <c r="G153" s="24" t="s">
        <v>165</v>
      </c>
      <c r="H153" s="24" t="s">
        <v>177</v>
      </c>
      <c r="I153" s="24" t="s">
        <v>23</v>
      </c>
      <c r="J153" s="24"/>
      <c r="K153" s="24"/>
      <c r="L153" s="24"/>
      <c r="M153" s="24"/>
      <c r="N153" s="24"/>
      <c r="O153" s="24"/>
      <c r="P153" s="24"/>
      <c r="Q153" s="24"/>
      <c r="R153" s="24"/>
      <c r="S153" s="24"/>
      <c r="T153" s="24"/>
      <c r="U153" s="29"/>
    </row>
    <row r="154" spans="1:21" x14ac:dyDescent="0.35">
      <c r="A154" s="24"/>
      <c r="B154" s="51" t="s">
        <v>303</v>
      </c>
      <c r="C154" s="24" t="s">
        <v>299</v>
      </c>
      <c r="D154" s="24">
        <v>1</v>
      </c>
      <c r="E154" s="27">
        <v>107100</v>
      </c>
      <c r="F154" s="27">
        <f t="shared" si="5"/>
        <v>107100</v>
      </c>
      <c r="G154" s="24" t="s">
        <v>165</v>
      </c>
      <c r="H154" s="24" t="s">
        <v>177</v>
      </c>
      <c r="I154" s="24" t="s">
        <v>23</v>
      </c>
      <c r="J154" s="24"/>
      <c r="K154" s="24"/>
      <c r="L154" s="24"/>
      <c r="M154" s="24"/>
      <c r="N154" s="24"/>
      <c r="O154" s="24"/>
      <c r="P154" s="24"/>
      <c r="Q154" s="24"/>
      <c r="R154" s="24"/>
      <c r="S154" s="24"/>
      <c r="T154" s="24">
        <v>2</v>
      </c>
      <c r="U154" s="29"/>
    </row>
    <row r="155" spans="1:21" x14ac:dyDescent="0.35">
      <c r="A155" s="24"/>
      <c r="B155" s="51" t="s">
        <v>304</v>
      </c>
      <c r="C155" s="24"/>
      <c r="D155" s="24">
        <v>2</v>
      </c>
      <c r="E155" s="27">
        <v>44050</v>
      </c>
      <c r="F155" s="27">
        <f t="shared" si="5"/>
        <v>88100</v>
      </c>
      <c r="G155" s="24"/>
      <c r="H155" s="24"/>
      <c r="I155" s="24"/>
      <c r="J155" s="24"/>
      <c r="K155" s="24"/>
      <c r="L155" s="24"/>
      <c r="M155" s="24"/>
      <c r="N155" s="24"/>
      <c r="O155" s="24"/>
      <c r="P155" s="24"/>
      <c r="Q155" s="24"/>
      <c r="R155" s="24"/>
      <c r="S155" s="24"/>
      <c r="T155" s="24"/>
      <c r="U155" s="29"/>
    </row>
    <row r="156" spans="1:21" x14ac:dyDescent="0.35">
      <c r="A156" s="24"/>
      <c r="B156" s="51" t="s">
        <v>305</v>
      </c>
      <c r="C156" s="24" t="s">
        <v>306</v>
      </c>
      <c r="D156" s="24">
        <v>3</v>
      </c>
      <c r="E156" s="27">
        <v>18000</v>
      </c>
      <c r="F156" s="27">
        <f t="shared" si="5"/>
        <v>54000</v>
      </c>
      <c r="G156" s="24" t="s">
        <v>165</v>
      </c>
      <c r="H156" s="24" t="s">
        <v>177</v>
      </c>
      <c r="I156" s="24" t="s">
        <v>23</v>
      </c>
      <c r="J156" s="24"/>
      <c r="K156" s="24"/>
      <c r="L156" s="24"/>
      <c r="M156" s="24"/>
      <c r="N156" s="24"/>
      <c r="O156" s="24"/>
      <c r="P156" s="24"/>
      <c r="Q156" s="24"/>
      <c r="R156" s="24"/>
      <c r="S156" s="24"/>
      <c r="T156" s="24">
        <v>2</v>
      </c>
      <c r="U156" s="29"/>
    </row>
    <row r="157" spans="1:21" ht="31" x14ac:dyDescent="0.35">
      <c r="A157" s="24"/>
      <c r="B157" s="51" t="s">
        <v>307</v>
      </c>
      <c r="C157" s="24" t="s">
        <v>306</v>
      </c>
      <c r="D157" s="24">
        <v>3</v>
      </c>
      <c r="E157" s="27">
        <v>78600</v>
      </c>
      <c r="F157" s="27">
        <f t="shared" si="5"/>
        <v>235800</v>
      </c>
      <c r="G157" s="24" t="s">
        <v>165</v>
      </c>
      <c r="H157" s="24" t="s">
        <v>177</v>
      </c>
      <c r="I157" s="24" t="s">
        <v>23</v>
      </c>
      <c r="J157" s="24"/>
      <c r="K157" s="24"/>
      <c r="L157" s="24"/>
      <c r="M157" s="24"/>
      <c r="N157" s="24"/>
      <c r="O157" s="24"/>
      <c r="P157" s="24"/>
      <c r="Q157" s="24"/>
      <c r="R157" s="24"/>
      <c r="S157" s="24"/>
      <c r="T157" s="24">
        <v>2</v>
      </c>
      <c r="U157" s="29"/>
    </row>
    <row r="158" spans="1:21" x14ac:dyDescent="0.35">
      <c r="A158" s="24"/>
      <c r="B158" s="51" t="s">
        <v>308</v>
      </c>
      <c r="C158" s="24" t="s">
        <v>309</v>
      </c>
      <c r="D158" s="24">
        <v>2</v>
      </c>
      <c r="E158" s="27">
        <v>12000</v>
      </c>
      <c r="F158" s="27">
        <f t="shared" si="5"/>
        <v>24000</v>
      </c>
      <c r="G158" s="24"/>
      <c r="H158" s="24"/>
      <c r="I158" s="24"/>
      <c r="J158" s="24"/>
      <c r="K158" s="24"/>
      <c r="L158" s="24"/>
      <c r="M158" s="24"/>
      <c r="N158" s="24"/>
      <c r="O158" s="24"/>
      <c r="P158" s="24"/>
      <c r="Q158" s="24"/>
      <c r="R158" s="24"/>
      <c r="S158" s="24"/>
      <c r="T158" s="24"/>
      <c r="U158" s="29"/>
    </row>
    <row r="159" spans="1:21" x14ac:dyDescent="0.35">
      <c r="A159" s="24"/>
      <c r="B159" s="51" t="s">
        <v>310</v>
      </c>
      <c r="C159" s="24" t="s">
        <v>311</v>
      </c>
      <c r="D159" s="24">
        <v>150</v>
      </c>
      <c r="E159" s="27">
        <v>1700</v>
      </c>
      <c r="F159" s="27">
        <f t="shared" si="5"/>
        <v>255000</v>
      </c>
      <c r="G159" s="24" t="s">
        <v>165</v>
      </c>
      <c r="H159" s="24" t="s">
        <v>177</v>
      </c>
      <c r="I159" s="24" t="s">
        <v>23</v>
      </c>
      <c r="J159" s="24"/>
      <c r="K159" s="24"/>
      <c r="L159" s="24"/>
      <c r="M159" s="24"/>
      <c r="N159" s="24"/>
      <c r="O159" s="24"/>
      <c r="P159" s="24"/>
      <c r="Q159" s="24"/>
      <c r="R159" s="24"/>
      <c r="S159" s="24"/>
      <c r="T159" s="24">
        <v>2</v>
      </c>
      <c r="U159" s="29"/>
    </row>
    <row r="160" spans="1:21" x14ac:dyDescent="0.35">
      <c r="A160" s="24"/>
      <c r="B160" s="51" t="s">
        <v>312</v>
      </c>
      <c r="C160" s="24" t="s">
        <v>306</v>
      </c>
      <c r="D160" s="24">
        <v>2</v>
      </c>
      <c r="E160" s="27">
        <v>55000</v>
      </c>
      <c r="F160" s="27">
        <f t="shared" si="5"/>
        <v>110000</v>
      </c>
      <c r="G160" s="24" t="s">
        <v>165</v>
      </c>
      <c r="H160" s="24" t="s">
        <v>177</v>
      </c>
      <c r="I160" s="24" t="s">
        <v>23</v>
      </c>
      <c r="J160" s="24"/>
      <c r="K160" s="24"/>
      <c r="L160" s="24"/>
      <c r="M160" s="24"/>
      <c r="N160" s="24"/>
      <c r="O160" s="24"/>
      <c r="P160" s="24"/>
      <c r="Q160" s="24"/>
      <c r="R160" s="24"/>
      <c r="S160" s="24"/>
      <c r="T160" s="24">
        <v>2</v>
      </c>
      <c r="U160" s="29"/>
    </row>
    <row r="161" spans="1:21" x14ac:dyDescent="0.35">
      <c r="A161" s="24"/>
      <c r="B161" s="51" t="s">
        <v>313</v>
      </c>
      <c r="C161" s="24" t="s">
        <v>314</v>
      </c>
      <c r="D161" s="24">
        <v>1</v>
      </c>
      <c r="E161" s="27">
        <v>50000</v>
      </c>
      <c r="F161" s="27">
        <f t="shared" si="5"/>
        <v>50000</v>
      </c>
      <c r="G161" s="24" t="s">
        <v>165</v>
      </c>
      <c r="H161" s="24" t="s">
        <v>177</v>
      </c>
      <c r="I161" s="24" t="s">
        <v>23</v>
      </c>
      <c r="J161" s="24"/>
      <c r="K161" s="24"/>
      <c r="L161" s="24"/>
      <c r="M161" s="24"/>
      <c r="N161" s="24"/>
      <c r="O161" s="24"/>
      <c r="P161" s="24"/>
      <c r="Q161" s="24"/>
      <c r="R161" s="24"/>
      <c r="S161" s="24"/>
      <c r="T161" s="24"/>
      <c r="U161" s="29"/>
    </row>
    <row r="162" spans="1:21" x14ac:dyDescent="0.35">
      <c r="A162" s="24"/>
      <c r="B162" s="51" t="s">
        <v>315</v>
      </c>
      <c r="C162" s="24" t="s">
        <v>306</v>
      </c>
      <c r="D162" s="24">
        <v>3</v>
      </c>
      <c r="E162" s="27">
        <v>35000</v>
      </c>
      <c r="F162" s="27">
        <f t="shared" si="5"/>
        <v>105000</v>
      </c>
      <c r="G162" s="24" t="s">
        <v>165</v>
      </c>
      <c r="H162" s="24" t="s">
        <v>177</v>
      </c>
      <c r="I162" s="24" t="s">
        <v>23</v>
      </c>
      <c r="J162" s="24"/>
      <c r="K162" s="24"/>
      <c r="L162" s="24"/>
      <c r="M162" s="24"/>
      <c r="N162" s="24"/>
      <c r="O162" s="24"/>
      <c r="P162" s="24"/>
      <c r="Q162" s="24"/>
      <c r="R162" s="24"/>
      <c r="S162" s="24"/>
      <c r="T162" s="24"/>
      <c r="U162" s="29"/>
    </row>
    <row r="163" spans="1:21" x14ac:dyDescent="0.35">
      <c r="A163" s="24"/>
      <c r="B163" s="51" t="s">
        <v>316</v>
      </c>
      <c r="C163" s="24" t="s">
        <v>306</v>
      </c>
      <c r="D163" s="24">
        <v>2</v>
      </c>
      <c r="E163" s="27">
        <v>90000</v>
      </c>
      <c r="F163" s="27">
        <f t="shared" si="5"/>
        <v>180000</v>
      </c>
      <c r="G163" s="24" t="s">
        <v>165</v>
      </c>
      <c r="H163" s="24" t="s">
        <v>177</v>
      </c>
      <c r="I163" s="24" t="s">
        <v>23</v>
      </c>
      <c r="J163" s="24"/>
      <c r="K163" s="24"/>
      <c r="L163" s="24"/>
      <c r="M163" s="24"/>
      <c r="N163" s="24"/>
      <c r="O163" s="24"/>
      <c r="P163" s="24"/>
      <c r="Q163" s="24"/>
      <c r="R163" s="24"/>
      <c r="S163" s="24"/>
      <c r="T163" s="24"/>
      <c r="U163" s="29"/>
    </row>
    <row r="164" spans="1:21" x14ac:dyDescent="0.35">
      <c r="A164" s="24"/>
      <c r="B164" s="33" t="s">
        <v>317</v>
      </c>
      <c r="C164" s="24" t="s">
        <v>318</v>
      </c>
      <c r="D164" s="24">
        <v>3</v>
      </c>
      <c r="E164" s="27">
        <v>600</v>
      </c>
      <c r="F164" s="27">
        <f t="shared" si="5"/>
        <v>1800</v>
      </c>
      <c r="G164" s="24" t="s">
        <v>165</v>
      </c>
      <c r="H164" s="24" t="s">
        <v>177</v>
      </c>
      <c r="I164" s="24" t="s">
        <v>23</v>
      </c>
      <c r="J164" s="24"/>
      <c r="K164" s="24"/>
      <c r="L164" s="24"/>
      <c r="M164" s="24"/>
      <c r="N164" s="24"/>
      <c r="O164" s="24"/>
      <c r="P164" s="24"/>
      <c r="Q164" s="24"/>
      <c r="R164" s="24"/>
      <c r="S164" s="24"/>
      <c r="T164" s="24"/>
      <c r="U164" s="29"/>
    </row>
    <row r="165" spans="1:21" ht="31" x14ac:dyDescent="0.35">
      <c r="A165" s="24"/>
      <c r="B165" s="33" t="s">
        <v>319</v>
      </c>
      <c r="C165" s="24"/>
      <c r="D165" s="24">
        <v>2</v>
      </c>
      <c r="E165" s="27">
        <v>47600</v>
      </c>
      <c r="F165" s="27">
        <f t="shared" si="5"/>
        <v>95200</v>
      </c>
      <c r="G165" s="24" t="s">
        <v>165</v>
      </c>
      <c r="H165" s="24" t="s">
        <v>177</v>
      </c>
      <c r="I165" s="24" t="s">
        <v>23</v>
      </c>
      <c r="J165" s="24"/>
      <c r="K165" s="24"/>
      <c r="L165" s="24"/>
      <c r="M165" s="24"/>
      <c r="N165" s="24"/>
      <c r="O165" s="24"/>
      <c r="P165" s="24"/>
      <c r="Q165" s="24"/>
      <c r="R165" s="24"/>
      <c r="S165" s="24"/>
      <c r="T165" s="24"/>
      <c r="U165" s="29"/>
    </row>
    <row r="166" spans="1:21" ht="31" x14ac:dyDescent="0.35">
      <c r="A166" s="24"/>
      <c r="B166" s="33" t="s">
        <v>320</v>
      </c>
      <c r="C166" s="24" t="s">
        <v>273</v>
      </c>
      <c r="D166" s="24">
        <v>1</v>
      </c>
      <c r="E166" s="27">
        <v>59500</v>
      </c>
      <c r="F166" s="27">
        <f t="shared" si="5"/>
        <v>59500</v>
      </c>
      <c r="G166" s="24" t="s">
        <v>165</v>
      </c>
      <c r="H166" s="24" t="s">
        <v>177</v>
      </c>
      <c r="I166" s="24" t="s">
        <v>23</v>
      </c>
      <c r="J166" s="24"/>
      <c r="K166" s="24"/>
      <c r="L166" s="24"/>
      <c r="M166" s="24"/>
      <c r="N166" s="24"/>
      <c r="O166" s="24"/>
      <c r="P166" s="24"/>
      <c r="Q166" s="24"/>
      <c r="R166" s="24"/>
      <c r="S166" s="24"/>
      <c r="T166" s="24"/>
      <c r="U166" s="29"/>
    </row>
    <row r="167" spans="1:21" x14ac:dyDescent="0.35">
      <c r="A167" s="24"/>
      <c r="B167" s="33" t="s">
        <v>321</v>
      </c>
      <c r="C167" s="24" t="s">
        <v>273</v>
      </c>
      <c r="D167" s="24">
        <v>3</v>
      </c>
      <c r="E167" s="27">
        <v>8000</v>
      </c>
      <c r="F167" s="27">
        <f t="shared" si="5"/>
        <v>24000</v>
      </c>
      <c r="G167" s="24" t="s">
        <v>165</v>
      </c>
      <c r="H167" s="24" t="s">
        <v>177</v>
      </c>
      <c r="I167" s="24" t="s">
        <v>23</v>
      </c>
      <c r="J167" s="24"/>
      <c r="K167" s="24"/>
      <c r="L167" s="24"/>
      <c r="M167" s="24"/>
      <c r="N167" s="24"/>
      <c r="O167" s="24"/>
      <c r="P167" s="24"/>
      <c r="Q167" s="24"/>
      <c r="R167" s="24"/>
      <c r="S167" s="24"/>
      <c r="T167" s="24"/>
      <c r="U167" s="29"/>
    </row>
    <row r="168" spans="1:21" x14ac:dyDescent="0.35">
      <c r="A168" s="24"/>
      <c r="B168" s="33" t="s">
        <v>322</v>
      </c>
      <c r="C168" s="24" t="s">
        <v>306</v>
      </c>
      <c r="D168" s="24">
        <v>3</v>
      </c>
      <c r="E168" s="27">
        <v>77150</v>
      </c>
      <c r="F168" s="27">
        <f t="shared" si="5"/>
        <v>231450</v>
      </c>
      <c r="G168" s="24" t="s">
        <v>165</v>
      </c>
      <c r="H168" s="24" t="s">
        <v>177</v>
      </c>
      <c r="I168" s="24" t="s">
        <v>23</v>
      </c>
      <c r="J168" s="24"/>
      <c r="K168" s="24"/>
      <c r="L168" s="24"/>
      <c r="M168" s="24"/>
      <c r="N168" s="24"/>
      <c r="O168" s="24"/>
      <c r="P168" s="24"/>
      <c r="Q168" s="24"/>
      <c r="R168" s="24"/>
      <c r="S168" s="24"/>
      <c r="T168" s="24"/>
      <c r="U168" s="29"/>
    </row>
    <row r="169" spans="1:21" x14ac:dyDescent="0.35">
      <c r="A169" s="24"/>
      <c r="B169" s="33" t="s">
        <v>323</v>
      </c>
      <c r="C169" s="24" t="s">
        <v>284</v>
      </c>
      <c r="D169" s="24">
        <v>3</v>
      </c>
      <c r="E169" s="27">
        <v>36720</v>
      </c>
      <c r="F169" s="27">
        <f t="shared" si="5"/>
        <v>110160</v>
      </c>
      <c r="G169" s="24" t="s">
        <v>165</v>
      </c>
      <c r="H169" s="24" t="s">
        <v>177</v>
      </c>
      <c r="I169" s="24" t="s">
        <v>23</v>
      </c>
      <c r="J169" s="24"/>
      <c r="K169" s="24"/>
      <c r="L169" s="24"/>
      <c r="M169" s="24"/>
      <c r="N169" s="24"/>
      <c r="O169" s="24"/>
      <c r="P169" s="24"/>
      <c r="Q169" s="24"/>
      <c r="R169" s="24"/>
      <c r="S169" s="24"/>
      <c r="T169" s="24"/>
      <c r="U169" s="29"/>
    </row>
    <row r="170" spans="1:21" x14ac:dyDescent="0.35">
      <c r="A170" s="24"/>
      <c r="B170" s="51" t="s">
        <v>324</v>
      </c>
      <c r="C170" s="24" t="s">
        <v>284</v>
      </c>
      <c r="D170" s="24">
        <v>3</v>
      </c>
      <c r="E170" s="27"/>
      <c r="F170" s="27"/>
      <c r="G170" s="24" t="s">
        <v>165</v>
      </c>
      <c r="H170" s="24" t="s">
        <v>177</v>
      </c>
      <c r="I170" s="24" t="s">
        <v>23</v>
      </c>
      <c r="J170" s="24"/>
      <c r="K170" s="24"/>
      <c r="L170" s="24"/>
      <c r="M170" s="24"/>
      <c r="N170" s="24"/>
      <c r="O170" s="24"/>
      <c r="P170" s="24"/>
      <c r="Q170" s="24"/>
      <c r="R170" s="24"/>
      <c r="S170" s="24"/>
      <c r="T170" s="24"/>
      <c r="U170" s="29"/>
    </row>
    <row r="171" spans="1:21" x14ac:dyDescent="0.35">
      <c r="A171" s="24"/>
      <c r="B171" s="51" t="s">
        <v>325</v>
      </c>
      <c r="C171" s="24" t="s">
        <v>326</v>
      </c>
      <c r="D171" s="24">
        <v>2</v>
      </c>
      <c r="E171" s="27">
        <v>23800</v>
      </c>
      <c r="F171" s="27">
        <f t="shared" si="5"/>
        <v>47600</v>
      </c>
      <c r="G171" s="24" t="s">
        <v>165</v>
      </c>
      <c r="H171" s="24" t="s">
        <v>177</v>
      </c>
      <c r="I171" s="24" t="s">
        <v>23</v>
      </c>
      <c r="J171" s="24"/>
      <c r="K171" s="24"/>
      <c r="L171" s="24"/>
      <c r="M171" s="24"/>
      <c r="N171" s="24"/>
      <c r="O171" s="24"/>
      <c r="P171" s="24"/>
      <c r="Q171" s="24"/>
      <c r="R171" s="24"/>
      <c r="S171" s="24"/>
      <c r="T171" s="24">
        <v>1</v>
      </c>
      <c r="U171" s="29"/>
    </row>
    <row r="172" spans="1:21" x14ac:dyDescent="0.35">
      <c r="A172" s="24"/>
      <c r="B172" s="51" t="s">
        <v>327</v>
      </c>
      <c r="C172" s="24" t="s">
        <v>299</v>
      </c>
      <c r="D172" s="24">
        <v>3</v>
      </c>
      <c r="E172" s="27">
        <v>2500</v>
      </c>
      <c r="F172" s="27">
        <f t="shared" si="5"/>
        <v>7500</v>
      </c>
      <c r="G172" s="24" t="s">
        <v>165</v>
      </c>
      <c r="H172" s="24" t="s">
        <v>177</v>
      </c>
      <c r="I172" s="24" t="s">
        <v>23</v>
      </c>
      <c r="J172" s="24"/>
      <c r="K172" s="24"/>
      <c r="L172" s="24"/>
      <c r="M172" s="24"/>
      <c r="N172" s="24"/>
      <c r="O172" s="24"/>
      <c r="P172" s="24"/>
      <c r="Q172" s="24"/>
      <c r="R172" s="24"/>
      <c r="S172" s="24"/>
      <c r="T172" s="24">
        <v>1</v>
      </c>
      <c r="U172" s="29"/>
    </row>
    <row r="173" spans="1:21" ht="31" x14ac:dyDescent="0.35">
      <c r="A173" s="24"/>
      <c r="B173" s="51" t="s">
        <v>328</v>
      </c>
      <c r="C173" s="24" t="s">
        <v>284</v>
      </c>
      <c r="D173" s="24">
        <v>2</v>
      </c>
      <c r="E173" s="27">
        <v>48000</v>
      </c>
      <c r="F173" s="27">
        <f t="shared" si="5"/>
        <v>96000</v>
      </c>
      <c r="G173" s="24" t="s">
        <v>165</v>
      </c>
      <c r="H173" s="24" t="s">
        <v>177</v>
      </c>
      <c r="I173" s="24" t="s">
        <v>23</v>
      </c>
      <c r="J173" s="24"/>
      <c r="K173" s="24"/>
      <c r="L173" s="24"/>
      <c r="M173" s="24"/>
      <c r="N173" s="24"/>
      <c r="O173" s="24"/>
      <c r="P173" s="24"/>
      <c r="Q173" s="24"/>
      <c r="R173" s="24"/>
      <c r="S173" s="24"/>
      <c r="T173" s="24"/>
      <c r="U173" s="29"/>
    </row>
    <row r="174" spans="1:21" ht="31" x14ac:dyDescent="0.35">
      <c r="A174" s="24"/>
      <c r="B174" s="51" t="s">
        <v>329</v>
      </c>
      <c r="C174" s="24" t="s">
        <v>284</v>
      </c>
      <c r="D174" s="24">
        <v>2</v>
      </c>
      <c r="E174" s="27">
        <v>25000</v>
      </c>
      <c r="F174" s="27">
        <f t="shared" si="5"/>
        <v>50000</v>
      </c>
      <c r="G174" s="24" t="s">
        <v>165</v>
      </c>
      <c r="H174" s="24" t="s">
        <v>177</v>
      </c>
      <c r="I174" s="24" t="s">
        <v>23</v>
      </c>
      <c r="J174" s="24"/>
      <c r="K174" s="24"/>
      <c r="L174" s="24"/>
      <c r="M174" s="24"/>
      <c r="N174" s="24"/>
      <c r="O174" s="24"/>
      <c r="P174" s="24"/>
      <c r="Q174" s="24"/>
      <c r="R174" s="24"/>
      <c r="S174" s="24"/>
      <c r="T174" s="24"/>
      <c r="U174" s="29"/>
    </row>
    <row r="175" spans="1:21" x14ac:dyDescent="0.35">
      <c r="A175" s="24"/>
      <c r="B175" s="54" t="s">
        <v>330</v>
      </c>
      <c r="C175" s="24" t="s">
        <v>273</v>
      </c>
      <c r="D175" s="24">
        <v>3</v>
      </c>
      <c r="E175" s="27">
        <v>8400</v>
      </c>
      <c r="F175" s="27">
        <f t="shared" si="5"/>
        <v>25200</v>
      </c>
      <c r="G175" s="24" t="s">
        <v>165</v>
      </c>
      <c r="H175" s="24" t="s">
        <v>177</v>
      </c>
      <c r="I175" s="24" t="s">
        <v>23</v>
      </c>
      <c r="J175" s="24"/>
      <c r="K175" s="24"/>
      <c r="L175" s="24"/>
      <c r="M175" s="24"/>
      <c r="N175" s="24"/>
      <c r="O175" s="24"/>
      <c r="P175" s="24"/>
      <c r="Q175" s="24"/>
      <c r="R175" s="24"/>
      <c r="S175" s="24"/>
      <c r="T175" s="24"/>
      <c r="U175" s="29"/>
    </row>
    <row r="176" spans="1:21" x14ac:dyDescent="0.35">
      <c r="A176" s="24"/>
      <c r="B176" s="51" t="s">
        <v>331</v>
      </c>
      <c r="C176" s="24" t="s">
        <v>286</v>
      </c>
      <c r="D176" s="24">
        <v>2</v>
      </c>
      <c r="E176" s="27">
        <v>24000</v>
      </c>
      <c r="F176" s="27">
        <f t="shared" si="5"/>
        <v>48000</v>
      </c>
      <c r="G176" s="24" t="s">
        <v>165</v>
      </c>
      <c r="H176" s="24" t="s">
        <v>177</v>
      </c>
      <c r="I176" s="24" t="s">
        <v>23</v>
      </c>
      <c r="J176" s="24"/>
      <c r="K176" s="24"/>
      <c r="L176" s="24"/>
      <c r="M176" s="24"/>
      <c r="N176" s="24"/>
      <c r="O176" s="24"/>
      <c r="P176" s="24"/>
      <c r="Q176" s="24"/>
      <c r="R176" s="24"/>
      <c r="S176" s="24"/>
      <c r="T176" s="24"/>
      <c r="U176" s="29"/>
    </row>
    <row r="177" spans="1:21" x14ac:dyDescent="0.35">
      <c r="A177" s="24"/>
      <c r="B177" s="51" t="s">
        <v>332</v>
      </c>
      <c r="C177" s="24" t="s">
        <v>286</v>
      </c>
      <c r="D177" s="24">
        <v>2</v>
      </c>
      <c r="E177" s="27">
        <v>37000</v>
      </c>
      <c r="F177" s="27">
        <f t="shared" si="5"/>
        <v>74000</v>
      </c>
      <c r="G177" s="24" t="s">
        <v>165</v>
      </c>
      <c r="H177" s="24" t="s">
        <v>177</v>
      </c>
      <c r="I177" s="24" t="s">
        <v>23</v>
      </c>
      <c r="J177" s="24"/>
      <c r="K177" s="24"/>
      <c r="L177" s="24"/>
      <c r="M177" s="24"/>
      <c r="N177" s="24"/>
      <c r="O177" s="24"/>
      <c r="P177" s="24"/>
      <c r="Q177" s="24"/>
      <c r="R177" s="24"/>
      <c r="S177" s="24"/>
      <c r="T177" s="24"/>
      <c r="U177" s="29"/>
    </row>
    <row r="178" spans="1:21" x14ac:dyDescent="0.35">
      <c r="A178" s="24"/>
      <c r="B178" s="51" t="s">
        <v>333</v>
      </c>
      <c r="C178" s="24" t="s">
        <v>286</v>
      </c>
      <c r="D178" s="24">
        <v>2</v>
      </c>
      <c r="E178" s="27">
        <v>15000</v>
      </c>
      <c r="F178" s="27">
        <f t="shared" si="5"/>
        <v>30000</v>
      </c>
      <c r="G178" s="24" t="s">
        <v>165</v>
      </c>
      <c r="H178" s="24" t="s">
        <v>177</v>
      </c>
      <c r="I178" s="24" t="s">
        <v>23</v>
      </c>
      <c r="J178" s="24"/>
      <c r="K178" s="24"/>
      <c r="L178" s="24"/>
      <c r="M178" s="24"/>
      <c r="N178" s="24"/>
      <c r="O178" s="24"/>
      <c r="P178" s="24"/>
      <c r="Q178" s="24"/>
      <c r="R178" s="24"/>
      <c r="S178" s="24"/>
      <c r="T178" s="24"/>
      <c r="U178" s="29"/>
    </row>
    <row r="179" spans="1:21" x14ac:dyDescent="0.35">
      <c r="A179" s="24"/>
      <c r="B179" s="51" t="s">
        <v>334</v>
      </c>
      <c r="C179" s="24" t="s">
        <v>273</v>
      </c>
      <c r="D179" s="24">
        <v>2</v>
      </c>
      <c r="E179" s="27">
        <v>22950</v>
      </c>
      <c r="F179" s="27">
        <f t="shared" si="5"/>
        <v>45900</v>
      </c>
      <c r="G179" s="24" t="s">
        <v>165</v>
      </c>
      <c r="H179" s="24" t="s">
        <v>177</v>
      </c>
      <c r="I179" s="24" t="s">
        <v>23</v>
      </c>
      <c r="J179" s="24"/>
      <c r="K179" s="24"/>
      <c r="L179" s="24"/>
      <c r="M179" s="24"/>
      <c r="N179" s="24"/>
      <c r="O179" s="24"/>
      <c r="P179" s="24"/>
      <c r="Q179" s="24"/>
      <c r="R179" s="24"/>
      <c r="S179" s="24"/>
      <c r="T179" s="24"/>
      <c r="U179" s="29"/>
    </row>
    <row r="180" spans="1:21" x14ac:dyDescent="0.35">
      <c r="A180" s="24"/>
      <c r="B180" s="51" t="s">
        <v>335</v>
      </c>
      <c r="C180" s="24" t="s">
        <v>273</v>
      </c>
      <c r="D180" s="24">
        <v>2</v>
      </c>
      <c r="E180" s="27">
        <v>4590</v>
      </c>
      <c r="F180" s="27">
        <f t="shared" si="5"/>
        <v>9180</v>
      </c>
      <c r="G180" s="24" t="s">
        <v>165</v>
      </c>
      <c r="H180" s="24" t="s">
        <v>177</v>
      </c>
      <c r="I180" s="24" t="s">
        <v>23</v>
      </c>
      <c r="J180" s="24"/>
      <c r="K180" s="24"/>
      <c r="L180" s="24"/>
      <c r="M180" s="24"/>
      <c r="N180" s="24"/>
      <c r="O180" s="24"/>
      <c r="P180" s="24"/>
      <c r="Q180" s="24"/>
      <c r="R180" s="24"/>
      <c r="S180" s="24"/>
      <c r="T180" s="24"/>
      <c r="U180" s="29"/>
    </row>
    <row r="181" spans="1:21" x14ac:dyDescent="0.35">
      <c r="A181" s="24"/>
      <c r="B181" s="51" t="s">
        <v>336</v>
      </c>
      <c r="C181" s="24" t="s">
        <v>273</v>
      </c>
      <c r="D181" s="24">
        <v>3</v>
      </c>
      <c r="E181" s="27">
        <v>2500</v>
      </c>
      <c r="F181" s="27">
        <f t="shared" si="5"/>
        <v>7500</v>
      </c>
      <c r="G181" s="24" t="s">
        <v>165</v>
      </c>
      <c r="H181" s="24" t="s">
        <v>177</v>
      </c>
      <c r="I181" s="24" t="s">
        <v>23</v>
      </c>
      <c r="J181" s="24"/>
      <c r="K181" s="24"/>
      <c r="L181" s="24"/>
      <c r="M181" s="24"/>
      <c r="N181" s="24"/>
      <c r="O181" s="24"/>
      <c r="P181" s="24"/>
      <c r="Q181" s="24"/>
      <c r="R181" s="24"/>
      <c r="S181" s="24"/>
      <c r="T181" s="24"/>
      <c r="U181" s="29"/>
    </row>
    <row r="182" spans="1:21" x14ac:dyDescent="0.35">
      <c r="A182" s="24"/>
      <c r="B182" s="51" t="s">
        <v>337</v>
      </c>
      <c r="C182" s="24" t="s">
        <v>273</v>
      </c>
      <c r="D182" s="24">
        <v>2</v>
      </c>
      <c r="E182" s="27">
        <v>17850</v>
      </c>
      <c r="F182" s="27">
        <f t="shared" si="5"/>
        <v>35700</v>
      </c>
      <c r="G182" s="24" t="s">
        <v>165</v>
      </c>
      <c r="H182" s="24" t="s">
        <v>177</v>
      </c>
      <c r="I182" s="24" t="s">
        <v>23</v>
      </c>
      <c r="J182" s="24"/>
      <c r="K182" s="24"/>
      <c r="L182" s="24"/>
      <c r="M182" s="24"/>
      <c r="N182" s="24"/>
      <c r="O182" s="24"/>
      <c r="P182" s="24"/>
      <c r="Q182" s="24"/>
      <c r="R182" s="24"/>
      <c r="S182" s="24"/>
      <c r="T182" s="24"/>
      <c r="U182" s="29"/>
    </row>
    <row r="183" spans="1:21" x14ac:dyDescent="0.35">
      <c r="A183" s="24"/>
      <c r="B183" s="51" t="s">
        <v>338</v>
      </c>
      <c r="C183" s="24" t="s">
        <v>273</v>
      </c>
      <c r="D183" s="24">
        <v>2</v>
      </c>
      <c r="E183" s="27">
        <v>22950</v>
      </c>
      <c r="F183" s="27">
        <f t="shared" si="5"/>
        <v>45900</v>
      </c>
      <c r="G183" s="24" t="s">
        <v>165</v>
      </c>
      <c r="H183" s="24" t="s">
        <v>177</v>
      </c>
      <c r="I183" s="24" t="s">
        <v>23</v>
      </c>
      <c r="J183" s="24"/>
      <c r="K183" s="24"/>
      <c r="L183" s="24"/>
      <c r="M183" s="24"/>
      <c r="N183" s="24"/>
      <c r="O183" s="24"/>
      <c r="P183" s="24"/>
      <c r="Q183" s="24"/>
      <c r="R183" s="24"/>
      <c r="S183" s="24"/>
      <c r="T183" s="24"/>
      <c r="U183" s="29"/>
    </row>
    <row r="184" spans="1:21" x14ac:dyDescent="0.35">
      <c r="A184" s="24"/>
      <c r="B184" s="51" t="s">
        <v>339</v>
      </c>
      <c r="C184" s="24" t="s">
        <v>273</v>
      </c>
      <c r="D184" s="24">
        <v>2</v>
      </c>
      <c r="E184" s="27">
        <v>15000</v>
      </c>
      <c r="F184" s="27">
        <f t="shared" si="5"/>
        <v>30000</v>
      </c>
      <c r="G184" s="24" t="s">
        <v>165</v>
      </c>
      <c r="H184" s="24" t="s">
        <v>177</v>
      </c>
      <c r="I184" s="24" t="s">
        <v>23</v>
      </c>
      <c r="J184" s="24"/>
      <c r="K184" s="24"/>
      <c r="L184" s="24"/>
      <c r="M184" s="24"/>
      <c r="N184" s="24"/>
      <c r="O184" s="24"/>
      <c r="P184" s="24"/>
      <c r="Q184" s="24"/>
      <c r="R184" s="24"/>
      <c r="S184" s="24"/>
      <c r="T184" s="24"/>
      <c r="U184" s="29"/>
    </row>
    <row r="185" spans="1:21" x14ac:dyDescent="0.35">
      <c r="A185" s="24"/>
      <c r="B185" s="51" t="s">
        <v>340</v>
      </c>
      <c r="C185" s="24" t="s">
        <v>299</v>
      </c>
      <c r="D185" s="24">
        <v>2</v>
      </c>
      <c r="E185" s="27">
        <v>22000</v>
      </c>
      <c r="F185" s="27">
        <f t="shared" si="5"/>
        <v>44000</v>
      </c>
      <c r="G185" s="24" t="s">
        <v>165</v>
      </c>
      <c r="H185" s="24" t="s">
        <v>177</v>
      </c>
      <c r="I185" s="24" t="s">
        <v>23</v>
      </c>
      <c r="J185" s="24"/>
      <c r="K185" s="24"/>
      <c r="L185" s="24"/>
      <c r="M185" s="24"/>
      <c r="N185" s="24"/>
      <c r="O185" s="24"/>
      <c r="P185" s="24"/>
      <c r="Q185" s="24"/>
      <c r="R185" s="24"/>
      <c r="S185" s="24"/>
      <c r="T185" s="24"/>
      <c r="U185" s="29"/>
    </row>
    <row r="186" spans="1:21" x14ac:dyDescent="0.35">
      <c r="A186" s="24"/>
      <c r="B186" s="51" t="s">
        <v>341</v>
      </c>
      <c r="C186" s="24" t="s">
        <v>299</v>
      </c>
      <c r="D186" s="24">
        <v>2</v>
      </c>
      <c r="E186" s="27">
        <v>6409</v>
      </c>
      <c r="F186" s="27">
        <f t="shared" si="5"/>
        <v>12818</v>
      </c>
      <c r="G186" s="24" t="s">
        <v>165</v>
      </c>
      <c r="H186" s="24" t="s">
        <v>177</v>
      </c>
      <c r="I186" s="24" t="s">
        <v>23</v>
      </c>
      <c r="J186" s="24"/>
      <c r="K186" s="24"/>
      <c r="L186" s="24"/>
      <c r="M186" s="24"/>
      <c r="N186" s="24"/>
      <c r="O186" s="24"/>
      <c r="P186" s="24"/>
      <c r="Q186" s="24"/>
      <c r="R186" s="24"/>
      <c r="S186" s="24"/>
      <c r="T186" s="24"/>
      <c r="U186" s="29"/>
    </row>
    <row r="187" spans="1:21" x14ac:dyDescent="0.35">
      <c r="A187" s="24"/>
      <c r="B187" s="51" t="s">
        <v>342</v>
      </c>
      <c r="C187" s="24" t="s">
        <v>284</v>
      </c>
      <c r="D187" s="24">
        <v>2</v>
      </c>
      <c r="E187" s="27">
        <v>31280</v>
      </c>
      <c r="F187" s="27">
        <f t="shared" si="5"/>
        <v>62560</v>
      </c>
      <c r="G187" s="24" t="s">
        <v>165</v>
      </c>
      <c r="H187" s="24" t="s">
        <v>177</v>
      </c>
      <c r="I187" s="24" t="s">
        <v>23</v>
      </c>
      <c r="J187" s="24"/>
      <c r="K187" s="24"/>
      <c r="L187" s="24"/>
      <c r="M187" s="24"/>
      <c r="N187" s="24"/>
      <c r="O187" s="24"/>
      <c r="P187" s="24"/>
      <c r="Q187" s="24"/>
      <c r="R187" s="24"/>
      <c r="S187" s="24"/>
      <c r="T187" s="24"/>
      <c r="U187" s="29"/>
    </row>
    <row r="188" spans="1:21" ht="31" x14ac:dyDescent="0.35">
      <c r="A188" s="24"/>
      <c r="B188" s="51" t="s">
        <v>343</v>
      </c>
      <c r="C188" s="24" t="s">
        <v>299</v>
      </c>
      <c r="D188" s="24">
        <v>2</v>
      </c>
      <c r="E188" s="27">
        <v>22763</v>
      </c>
      <c r="F188" s="27">
        <f t="shared" si="5"/>
        <v>45526</v>
      </c>
      <c r="G188" s="24" t="s">
        <v>165</v>
      </c>
      <c r="H188" s="24" t="s">
        <v>177</v>
      </c>
      <c r="I188" s="24" t="s">
        <v>23</v>
      </c>
      <c r="J188" s="24"/>
      <c r="K188" s="24"/>
      <c r="L188" s="24"/>
      <c r="M188" s="24"/>
      <c r="N188" s="24"/>
      <c r="O188" s="24"/>
      <c r="P188" s="24"/>
      <c r="Q188" s="24"/>
      <c r="R188" s="24"/>
      <c r="S188" s="24"/>
      <c r="T188" s="24"/>
      <c r="U188" s="29"/>
    </row>
    <row r="189" spans="1:21" ht="31" x14ac:dyDescent="0.35">
      <c r="A189" s="24"/>
      <c r="B189" s="51" t="s">
        <v>344</v>
      </c>
      <c r="C189" s="24" t="s">
        <v>309</v>
      </c>
      <c r="D189" s="24">
        <v>2</v>
      </c>
      <c r="E189" s="27">
        <v>44586</v>
      </c>
      <c r="F189" s="27">
        <f t="shared" si="5"/>
        <v>89172</v>
      </c>
      <c r="G189" s="24" t="s">
        <v>165</v>
      </c>
      <c r="H189" s="24" t="s">
        <v>177</v>
      </c>
      <c r="I189" s="24" t="s">
        <v>23</v>
      </c>
      <c r="J189" s="24"/>
      <c r="K189" s="24"/>
      <c r="L189" s="24"/>
      <c r="M189" s="24"/>
      <c r="N189" s="24"/>
      <c r="O189" s="24"/>
      <c r="P189" s="24"/>
      <c r="Q189" s="24"/>
      <c r="R189" s="24"/>
      <c r="S189" s="24"/>
      <c r="T189" s="24"/>
      <c r="U189" s="29"/>
    </row>
    <row r="190" spans="1:21" x14ac:dyDescent="0.35">
      <c r="A190" s="24"/>
      <c r="B190" s="51" t="s">
        <v>345</v>
      </c>
      <c r="C190" s="24" t="s">
        <v>299</v>
      </c>
      <c r="D190" s="24">
        <v>1</v>
      </c>
      <c r="E190" s="27">
        <v>137683</v>
      </c>
      <c r="F190" s="27">
        <f t="shared" si="5"/>
        <v>137683</v>
      </c>
      <c r="G190" s="24" t="s">
        <v>165</v>
      </c>
      <c r="H190" s="24" t="s">
        <v>177</v>
      </c>
      <c r="I190" s="24" t="s">
        <v>23</v>
      </c>
      <c r="J190" s="24"/>
      <c r="K190" s="24"/>
      <c r="L190" s="24"/>
      <c r="M190" s="24"/>
      <c r="N190" s="24"/>
      <c r="O190" s="24"/>
      <c r="P190" s="24"/>
      <c r="Q190" s="24"/>
      <c r="R190" s="24"/>
      <c r="S190" s="24"/>
      <c r="T190" s="24"/>
      <c r="U190" s="29"/>
    </row>
    <row r="191" spans="1:21" x14ac:dyDescent="0.35">
      <c r="A191" s="24"/>
      <c r="B191" s="51" t="s">
        <v>346</v>
      </c>
      <c r="C191" s="24" t="s">
        <v>299</v>
      </c>
      <c r="D191" s="24">
        <v>1</v>
      </c>
      <c r="E191" s="27">
        <v>33315</v>
      </c>
      <c r="F191" s="27">
        <f t="shared" si="5"/>
        <v>33315</v>
      </c>
      <c r="G191" s="24" t="s">
        <v>165</v>
      </c>
      <c r="H191" s="24" t="s">
        <v>177</v>
      </c>
      <c r="I191" s="24" t="s">
        <v>23</v>
      </c>
      <c r="J191" s="24"/>
      <c r="K191" s="24"/>
      <c r="L191" s="24"/>
      <c r="M191" s="24"/>
      <c r="N191" s="24"/>
      <c r="O191" s="24"/>
      <c r="P191" s="24"/>
      <c r="Q191" s="24"/>
      <c r="R191" s="24"/>
      <c r="S191" s="24"/>
      <c r="T191" s="24"/>
      <c r="U191" s="29"/>
    </row>
    <row r="192" spans="1:21" x14ac:dyDescent="0.35">
      <c r="A192" s="24"/>
      <c r="B192" s="51" t="s">
        <v>347</v>
      </c>
      <c r="C192" s="24" t="s">
        <v>299</v>
      </c>
      <c r="D192" s="24">
        <v>1</v>
      </c>
      <c r="E192" s="27">
        <v>172601</v>
      </c>
      <c r="F192" s="27">
        <f t="shared" si="5"/>
        <v>172601</v>
      </c>
      <c r="G192" s="24" t="s">
        <v>165</v>
      </c>
      <c r="H192" s="24" t="s">
        <v>177</v>
      </c>
      <c r="I192" s="24" t="s">
        <v>23</v>
      </c>
      <c r="J192" s="24"/>
      <c r="K192" s="24"/>
      <c r="L192" s="24"/>
      <c r="M192" s="24"/>
      <c r="N192" s="24"/>
      <c r="O192" s="24"/>
      <c r="P192" s="24"/>
      <c r="Q192" s="24"/>
      <c r="R192" s="24"/>
      <c r="S192" s="24"/>
      <c r="T192" s="24"/>
      <c r="U192" s="29"/>
    </row>
    <row r="193" spans="1:21" x14ac:dyDescent="0.35">
      <c r="A193" s="24"/>
      <c r="B193" s="51" t="s">
        <v>348</v>
      </c>
      <c r="C193" s="24" t="s">
        <v>286</v>
      </c>
      <c r="D193" s="24">
        <v>2</v>
      </c>
      <c r="E193" s="27">
        <v>34500</v>
      </c>
      <c r="F193" s="27">
        <f t="shared" si="5"/>
        <v>69000</v>
      </c>
      <c r="G193" s="24" t="s">
        <v>165</v>
      </c>
      <c r="H193" s="24" t="s">
        <v>177</v>
      </c>
      <c r="I193" s="24" t="s">
        <v>23</v>
      </c>
      <c r="J193" s="24"/>
      <c r="K193" s="24"/>
      <c r="L193" s="24"/>
      <c r="M193" s="24"/>
      <c r="N193" s="24"/>
      <c r="O193" s="24"/>
      <c r="P193" s="24"/>
      <c r="Q193" s="24"/>
      <c r="R193" s="24"/>
      <c r="S193" s="24"/>
      <c r="T193" s="24"/>
      <c r="U193" s="29"/>
    </row>
    <row r="194" spans="1:21" ht="31" x14ac:dyDescent="0.35">
      <c r="A194" s="24"/>
      <c r="B194" s="51" t="s">
        <v>349</v>
      </c>
      <c r="C194" s="24" t="s">
        <v>286</v>
      </c>
      <c r="D194" s="24">
        <v>1</v>
      </c>
      <c r="E194" s="27">
        <v>119952</v>
      </c>
      <c r="F194" s="27">
        <f t="shared" si="5"/>
        <v>119952</v>
      </c>
      <c r="G194" s="24" t="s">
        <v>165</v>
      </c>
      <c r="H194" s="24" t="s">
        <v>177</v>
      </c>
      <c r="I194" s="24" t="s">
        <v>23</v>
      </c>
      <c r="J194" s="24"/>
      <c r="K194" s="24"/>
      <c r="L194" s="24"/>
      <c r="M194" s="24"/>
      <c r="N194" s="24"/>
      <c r="O194" s="24"/>
      <c r="P194" s="24"/>
      <c r="Q194" s="24"/>
      <c r="R194" s="24"/>
      <c r="S194" s="24"/>
      <c r="T194" s="24"/>
      <c r="U194" s="29"/>
    </row>
    <row r="195" spans="1:21" x14ac:dyDescent="0.35">
      <c r="A195" s="24"/>
      <c r="B195" s="51" t="s">
        <v>350</v>
      </c>
      <c r="C195" s="24" t="s">
        <v>273</v>
      </c>
      <c r="D195" s="24">
        <v>2</v>
      </c>
      <c r="E195" s="27">
        <v>2500</v>
      </c>
      <c r="F195" s="27">
        <f t="shared" si="5"/>
        <v>5000</v>
      </c>
      <c r="G195" s="24" t="s">
        <v>165</v>
      </c>
      <c r="H195" s="24" t="s">
        <v>177</v>
      </c>
      <c r="I195" s="24" t="s">
        <v>23</v>
      </c>
      <c r="J195" s="24"/>
      <c r="K195" s="24"/>
      <c r="L195" s="24"/>
      <c r="M195" s="24"/>
      <c r="N195" s="24"/>
      <c r="O195" s="24"/>
      <c r="P195" s="24"/>
      <c r="Q195" s="24"/>
      <c r="R195" s="24"/>
      <c r="S195" s="24"/>
      <c r="T195" s="24"/>
      <c r="U195" s="29"/>
    </row>
    <row r="196" spans="1:21" x14ac:dyDescent="0.35">
      <c r="A196" s="24"/>
      <c r="B196" s="51"/>
      <c r="C196" s="24"/>
      <c r="D196" s="24"/>
      <c r="E196" s="27"/>
      <c r="F196" s="27"/>
      <c r="G196" s="24"/>
      <c r="H196" s="24"/>
      <c r="I196" s="24"/>
      <c r="J196" s="24"/>
      <c r="K196" s="24"/>
      <c r="L196" s="24"/>
      <c r="M196" s="24"/>
      <c r="N196" s="24"/>
      <c r="O196" s="24"/>
      <c r="P196" s="24"/>
      <c r="Q196" s="24"/>
      <c r="R196" s="24"/>
      <c r="S196" s="24"/>
      <c r="T196" s="24"/>
      <c r="U196" s="29"/>
    </row>
    <row r="197" spans="1:21" x14ac:dyDescent="0.35">
      <c r="A197" s="24"/>
      <c r="B197" s="51"/>
      <c r="C197" s="24"/>
      <c r="D197" s="24"/>
      <c r="E197" s="27"/>
      <c r="F197" s="27"/>
      <c r="G197" s="24"/>
      <c r="H197" s="24"/>
      <c r="I197" s="24"/>
      <c r="J197" s="24"/>
      <c r="K197" s="24"/>
      <c r="L197" s="24"/>
      <c r="M197" s="24"/>
      <c r="N197" s="24"/>
      <c r="O197" s="24"/>
      <c r="P197" s="24"/>
      <c r="Q197" s="24"/>
      <c r="R197" s="24"/>
      <c r="S197" s="24"/>
      <c r="T197" s="24"/>
      <c r="U197" s="29"/>
    </row>
    <row r="198" spans="1:21" x14ac:dyDescent="0.35">
      <c r="A198" s="24"/>
      <c r="B198" s="51"/>
      <c r="C198" s="24"/>
      <c r="D198" s="24"/>
      <c r="E198" s="27"/>
      <c r="F198" s="27"/>
      <c r="G198" s="24"/>
      <c r="H198" s="24"/>
      <c r="I198" s="24"/>
      <c r="J198" s="24"/>
      <c r="K198" s="24"/>
      <c r="L198" s="24"/>
      <c r="M198" s="24"/>
      <c r="N198" s="24"/>
      <c r="O198" s="24"/>
      <c r="P198" s="24"/>
      <c r="Q198" s="24"/>
      <c r="R198" s="24"/>
      <c r="S198" s="24"/>
      <c r="T198" s="24"/>
      <c r="U198" s="29"/>
    </row>
    <row r="199" spans="1:21" x14ac:dyDescent="0.35">
      <c r="A199" s="25" t="s">
        <v>351</v>
      </c>
      <c r="B199" s="51"/>
      <c r="C199" s="25"/>
      <c r="D199" s="24"/>
      <c r="E199" s="27"/>
      <c r="F199" s="27">
        <f t="shared" si="5"/>
        <v>0</v>
      </c>
      <c r="G199" s="24"/>
      <c r="H199" s="24"/>
      <c r="I199" s="24"/>
      <c r="J199" s="24"/>
      <c r="K199" s="24"/>
      <c r="L199" s="24"/>
      <c r="M199" s="24"/>
      <c r="N199" s="24"/>
      <c r="O199" s="24"/>
      <c r="P199" s="24"/>
      <c r="Q199" s="24"/>
      <c r="R199" s="24"/>
      <c r="S199" s="24"/>
      <c r="T199" s="24"/>
      <c r="U199" s="29">
        <f t="shared" ref="U199:U238" si="9">D199*E199</f>
        <v>0</v>
      </c>
    </row>
    <row r="200" spans="1:21" x14ac:dyDescent="0.35">
      <c r="A200" s="24"/>
      <c r="B200" s="47" t="s">
        <v>352</v>
      </c>
      <c r="C200" s="24"/>
      <c r="D200" s="24"/>
      <c r="E200" s="27"/>
      <c r="F200" s="27">
        <f t="shared" si="5"/>
        <v>0</v>
      </c>
      <c r="G200" s="24"/>
      <c r="H200" s="24"/>
      <c r="I200" s="24"/>
      <c r="J200" s="24"/>
      <c r="K200" s="24"/>
      <c r="L200" s="24"/>
      <c r="M200" s="24"/>
      <c r="N200" s="24"/>
      <c r="O200" s="24"/>
      <c r="P200" s="24"/>
      <c r="Q200" s="24"/>
      <c r="R200" s="24"/>
      <c r="S200" s="24"/>
      <c r="T200" s="36"/>
      <c r="U200" s="29">
        <f t="shared" si="9"/>
        <v>0</v>
      </c>
    </row>
    <row r="201" spans="1:21" x14ac:dyDescent="0.35">
      <c r="A201" s="24"/>
      <c r="C201" s="33"/>
      <c r="G201" s="24"/>
      <c r="H201" s="24"/>
      <c r="I201" s="24"/>
      <c r="J201" s="24"/>
      <c r="K201" s="24"/>
      <c r="L201" s="24"/>
      <c r="M201" s="24"/>
      <c r="N201" s="24"/>
      <c r="O201" s="24"/>
      <c r="P201" s="24"/>
      <c r="Q201" s="24"/>
      <c r="R201" s="24"/>
      <c r="S201" s="24"/>
      <c r="T201" s="34"/>
      <c r="U201" s="29">
        <f t="shared" si="9"/>
        <v>0</v>
      </c>
    </row>
    <row r="202" spans="1:21" x14ac:dyDescent="0.35">
      <c r="A202" s="24"/>
      <c r="B202" s="33" t="s">
        <v>353</v>
      </c>
      <c r="C202" s="33" t="s">
        <v>215</v>
      </c>
      <c r="D202" s="33">
        <v>1</v>
      </c>
      <c r="E202" s="55">
        <v>170000</v>
      </c>
      <c r="F202" s="56">
        <f>D202*E202</f>
        <v>170000</v>
      </c>
      <c r="G202" s="24" t="s">
        <v>165</v>
      </c>
      <c r="H202" s="24" t="s">
        <v>177</v>
      </c>
      <c r="I202" s="24" t="s">
        <v>23</v>
      </c>
      <c r="J202" s="24"/>
      <c r="K202" s="24"/>
      <c r="L202" s="24"/>
      <c r="M202" s="24"/>
      <c r="N202" s="24"/>
      <c r="O202" s="24"/>
      <c r="P202" s="24"/>
      <c r="Q202" s="24"/>
      <c r="R202" s="24"/>
      <c r="S202" s="24"/>
      <c r="T202" s="33">
        <v>1</v>
      </c>
      <c r="U202" s="29">
        <f t="shared" si="9"/>
        <v>170000</v>
      </c>
    </row>
    <row r="203" spans="1:21" x14ac:dyDescent="0.35">
      <c r="A203" s="24"/>
      <c r="B203" s="33" t="s">
        <v>354</v>
      </c>
      <c r="C203" s="33" t="s">
        <v>215</v>
      </c>
      <c r="D203" s="33">
        <v>2</v>
      </c>
      <c r="E203" s="55">
        <v>1800000</v>
      </c>
      <c r="F203" s="56">
        <f>D203*E203</f>
        <v>3600000</v>
      </c>
      <c r="G203" s="24" t="s">
        <v>165</v>
      </c>
      <c r="H203" s="24" t="s">
        <v>177</v>
      </c>
      <c r="I203" s="24" t="s">
        <v>23</v>
      </c>
      <c r="J203" s="24"/>
      <c r="K203" s="24"/>
      <c r="L203" s="24"/>
      <c r="M203" s="24"/>
      <c r="N203" s="24"/>
      <c r="O203" s="24"/>
      <c r="P203" s="24"/>
      <c r="Q203" s="24"/>
      <c r="R203" s="24"/>
      <c r="S203" s="24"/>
      <c r="T203" s="33">
        <v>2</v>
      </c>
      <c r="U203" s="29">
        <f t="shared" si="9"/>
        <v>3600000</v>
      </c>
    </row>
    <row r="204" spans="1:21" x14ac:dyDescent="0.35">
      <c r="A204" s="24"/>
      <c r="B204" s="33" t="s">
        <v>355</v>
      </c>
      <c r="C204" s="33" t="s">
        <v>215</v>
      </c>
      <c r="D204" s="33">
        <v>1</v>
      </c>
      <c r="E204" s="55">
        <v>250000</v>
      </c>
      <c r="F204" s="56">
        <f>D204*E204</f>
        <v>250000</v>
      </c>
      <c r="G204" s="24" t="s">
        <v>165</v>
      </c>
      <c r="H204" s="24" t="s">
        <v>177</v>
      </c>
      <c r="I204" s="24" t="s">
        <v>23</v>
      </c>
      <c r="J204" s="24"/>
      <c r="K204" s="24"/>
      <c r="L204" s="24"/>
      <c r="M204" s="24"/>
      <c r="N204" s="24"/>
      <c r="O204" s="24"/>
      <c r="P204" s="24"/>
      <c r="Q204" s="24"/>
      <c r="R204" s="24"/>
      <c r="S204" s="24"/>
      <c r="T204" s="33">
        <v>1</v>
      </c>
      <c r="U204" s="29">
        <f t="shared" si="9"/>
        <v>250000</v>
      </c>
    </row>
    <row r="205" spans="1:21" ht="93" x14ac:dyDescent="0.35">
      <c r="A205" s="24"/>
      <c r="B205" s="33" t="s">
        <v>356</v>
      </c>
      <c r="C205" s="47" t="s">
        <v>215</v>
      </c>
      <c r="D205" s="47">
        <v>1</v>
      </c>
      <c r="E205" s="56">
        <v>650000</v>
      </c>
      <c r="F205" s="56">
        <f t="shared" si="5"/>
        <v>650000</v>
      </c>
      <c r="G205" s="24" t="s">
        <v>165</v>
      </c>
      <c r="H205" s="24" t="s">
        <v>177</v>
      </c>
      <c r="I205" s="24" t="s">
        <v>23</v>
      </c>
      <c r="J205" s="24"/>
      <c r="K205" s="24"/>
      <c r="L205" s="24"/>
      <c r="M205" s="24"/>
      <c r="N205" s="24"/>
      <c r="O205" s="24"/>
      <c r="P205" s="24"/>
      <c r="Q205" s="24"/>
      <c r="R205" s="24"/>
      <c r="S205" s="24"/>
      <c r="T205" s="47">
        <v>1</v>
      </c>
      <c r="U205" s="29">
        <f t="shared" si="9"/>
        <v>650000</v>
      </c>
    </row>
    <row r="206" spans="1:21" ht="46.5" x14ac:dyDescent="0.35">
      <c r="A206" s="24"/>
      <c r="B206" s="50" t="s">
        <v>357</v>
      </c>
      <c r="C206" s="24" t="s">
        <v>215</v>
      </c>
      <c r="D206" s="24">
        <v>1</v>
      </c>
      <c r="E206" s="27">
        <v>4417595</v>
      </c>
      <c r="F206" s="27">
        <f t="shared" si="5"/>
        <v>4417595</v>
      </c>
      <c r="G206" s="24" t="s">
        <v>165</v>
      </c>
      <c r="H206" s="24" t="s">
        <v>358</v>
      </c>
      <c r="I206" s="24" t="s">
        <v>23</v>
      </c>
      <c r="J206" s="24"/>
      <c r="K206" s="24"/>
      <c r="L206" s="24"/>
      <c r="M206" s="24"/>
      <c r="N206" s="24"/>
      <c r="O206" s="24"/>
      <c r="P206" s="24"/>
      <c r="Q206" s="24"/>
      <c r="R206" s="24"/>
      <c r="S206" s="24"/>
      <c r="T206" s="24">
        <v>1</v>
      </c>
      <c r="U206" s="29">
        <f t="shared" si="9"/>
        <v>4417595</v>
      </c>
    </row>
    <row r="207" spans="1:21" x14ac:dyDescent="0.35">
      <c r="A207" s="24"/>
      <c r="B207" s="24" t="s">
        <v>359</v>
      </c>
      <c r="C207" s="24" t="s">
        <v>215</v>
      </c>
      <c r="D207" s="24">
        <v>1</v>
      </c>
      <c r="E207" s="27">
        <v>8920670</v>
      </c>
      <c r="F207" s="27">
        <f t="shared" si="5"/>
        <v>8920670</v>
      </c>
      <c r="G207" s="24" t="s">
        <v>165</v>
      </c>
      <c r="H207" s="24" t="s">
        <v>358</v>
      </c>
      <c r="I207" s="24" t="s">
        <v>23</v>
      </c>
      <c r="J207" s="24"/>
      <c r="K207" s="24"/>
      <c r="L207" s="24"/>
      <c r="M207" s="24"/>
      <c r="N207" s="24"/>
      <c r="O207" s="24"/>
      <c r="P207" s="24"/>
      <c r="Q207" s="24"/>
      <c r="R207" s="24"/>
      <c r="S207" s="24"/>
      <c r="T207" s="24">
        <v>1</v>
      </c>
      <c r="U207" s="29">
        <f t="shared" si="9"/>
        <v>8920670</v>
      </c>
    </row>
    <row r="208" spans="1:21" x14ac:dyDescent="0.35">
      <c r="A208" s="24"/>
      <c r="B208" s="24" t="s">
        <v>360</v>
      </c>
      <c r="C208" s="24" t="s">
        <v>215</v>
      </c>
      <c r="D208" s="24">
        <v>3</v>
      </c>
      <c r="E208" s="27">
        <v>25000</v>
      </c>
      <c r="F208" s="27">
        <f t="shared" si="5"/>
        <v>75000</v>
      </c>
      <c r="G208" s="24" t="s">
        <v>165</v>
      </c>
      <c r="H208" s="24" t="s">
        <v>177</v>
      </c>
      <c r="I208" s="24" t="s">
        <v>23</v>
      </c>
      <c r="J208" s="24"/>
      <c r="K208" s="24"/>
      <c r="L208" s="24"/>
      <c r="M208" s="24"/>
      <c r="N208" s="24"/>
      <c r="O208" s="24"/>
      <c r="P208" s="24"/>
      <c r="Q208" s="24"/>
      <c r="R208" s="24"/>
      <c r="S208" s="24"/>
      <c r="T208" s="24">
        <v>3</v>
      </c>
      <c r="U208" s="29">
        <f t="shared" si="9"/>
        <v>75000</v>
      </c>
    </row>
    <row r="209" spans="1:21" x14ac:dyDescent="0.35">
      <c r="A209" s="24"/>
      <c r="B209" s="24" t="s">
        <v>361</v>
      </c>
      <c r="C209" s="24" t="s">
        <v>215</v>
      </c>
      <c r="D209" s="24">
        <v>2</v>
      </c>
      <c r="E209" s="27">
        <v>3900000</v>
      </c>
      <c r="F209" s="27">
        <f t="shared" si="5"/>
        <v>7800000</v>
      </c>
      <c r="G209" s="24" t="s">
        <v>165</v>
      </c>
      <c r="H209" s="24" t="s">
        <v>362</v>
      </c>
      <c r="I209" s="24" t="s">
        <v>23</v>
      </c>
      <c r="J209" s="24"/>
      <c r="K209" s="24"/>
      <c r="L209" s="24"/>
      <c r="M209" s="24"/>
      <c r="N209" s="24"/>
      <c r="O209" s="24"/>
      <c r="P209" s="24"/>
      <c r="Q209" s="24"/>
      <c r="R209" s="24"/>
      <c r="S209" s="24"/>
      <c r="T209" s="24">
        <v>2</v>
      </c>
      <c r="U209" s="29">
        <f t="shared" si="9"/>
        <v>7800000</v>
      </c>
    </row>
    <row r="210" spans="1:21" ht="62" x14ac:dyDescent="0.35">
      <c r="A210" s="24"/>
      <c r="B210" s="33" t="s">
        <v>363</v>
      </c>
      <c r="C210" s="24" t="s">
        <v>215</v>
      </c>
      <c r="D210" s="24">
        <v>1</v>
      </c>
      <c r="E210" s="55">
        <v>419830</v>
      </c>
      <c r="F210" s="27">
        <f t="shared" si="5"/>
        <v>419830</v>
      </c>
      <c r="G210" s="24" t="s">
        <v>165</v>
      </c>
      <c r="H210" s="24" t="s">
        <v>177</v>
      </c>
      <c r="I210" s="24" t="s">
        <v>23</v>
      </c>
      <c r="J210" s="24"/>
      <c r="K210" s="24"/>
      <c r="L210" s="24"/>
      <c r="M210" s="24"/>
      <c r="N210" s="24"/>
      <c r="O210" s="24"/>
      <c r="P210" s="24"/>
      <c r="Q210" s="24"/>
      <c r="R210" s="24"/>
      <c r="S210" s="24"/>
      <c r="T210" s="24">
        <v>1</v>
      </c>
      <c r="U210" s="29">
        <f t="shared" si="9"/>
        <v>419830</v>
      </c>
    </row>
    <row r="211" spans="1:21" x14ac:dyDescent="0.35">
      <c r="A211" s="24"/>
      <c r="B211" s="24" t="s">
        <v>364</v>
      </c>
      <c r="C211" s="24" t="s">
        <v>215</v>
      </c>
      <c r="D211" s="24">
        <v>2</v>
      </c>
      <c r="E211" s="27">
        <v>55000</v>
      </c>
      <c r="F211" s="27">
        <f t="shared" si="5"/>
        <v>110000</v>
      </c>
      <c r="G211" s="24" t="s">
        <v>165</v>
      </c>
      <c r="H211" s="24" t="s">
        <v>177</v>
      </c>
      <c r="I211" s="24" t="s">
        <v>23</v>
      </c>
      <c r="J211" s="24"/>
      <c r="K211" s="24"/>
      <c r="L211" s="24"/>
      <c r="M211" s="24"/>
      <c r="N211" s="24"/>
      <c r="O211" s="24"/>
      <c r="P211" s="24"/>
      <c r="Q211" s="24"/>
      <c r="R211" s="24"/>
      <c r="S211" s="24"/>
      <c r="T211" s="24">
        <v>2</v>
      </c>
      <c r="U211" s="29">
        <f t="shared" si="9"/>
        <v>110000</v>
      </c>
    </row>
    <row r="212" spans="1:21" x14ac:dyDescent="0.35">
      <c r="A212" s="24"/>
      <c r="B212" s="24" t="s">
        <v>365</v>
      </c>
      <c r="C212" s="24" t="s">
        <v>215</v>
      </c>
      <c r="D212" s="24">
        <v>2</v>
      </c>
      <c r="E212" s="27">
        <v>55000</v>
      </c>
      <c r="F212" s="27">
        <f t="shared" si="5"/>
        <v>110000</v>
      </c>
      <c r="G212" s="24" t="s">
        <v>165</v>
      </c>
      <c r="H212" s="24" t="s">
        <v>177</v>
      </c>
      <c r="I212" s="24" t="s">
        <v>23</v>
      </c>
      <c r="J212" s="24"/>
      <c r="K212" s="24"/>
      <c r="L212" s="24"/>
      <c r="M212" s="24"/>
      <c r="N212" s="24"/>
      <c r="O212" s="24"/>
      <c r="P212" s="24"/>
      <c r="Q212" s="24"/>
      <c r="R212" s="24"/>
      <c r="S212" s="24"/>
      <c r="T212" s="24">
        <v>2</v>
      </c>
      <c r="U212" s="29">
        <f t="shared" si="9"/>
        <v>110000</v>
      </c>
    </row>
    <row r="213" spans="1:21" x14ac:dyDescent="0.35">
      <c r="A213" s="24"/>
      <c r="B213" s="24" t="s">
        <v>366</v>
      </c>
      <c r="C213" s="24" t="s">
        <v>215</v>
      </c>
      <c r="D213" s="24">
        <v>2</v>
      </c>
      <c r="E213" s="27">
        <v>55000</v>
      </c>
      <c r="F213" s="27">
        <f t="shared" si="5"/>
        <v>110000</v>
      </c>
      <c r="G213" s="24" t="s">
        <v>165</v>
      </c>
      <c r="H213" s="24" t="s">
        <v>177</v>
      </c>
      <c r="I213" s="24" t="s">
        <v>23</v>
      </c>
      <c r="J213" s="24"/>
      <c r="K213" s="24"/>
      <c r="L213" s="24"/>
      <c r="M213" s="24"/>
      <c r="N213" s="24"/>
      <c r="O213" s="24"/>
      <c r="P213" s="24"/>
      <c r="Q213" s="24"/>
      <c r="R213" s="24"/>
      <c r="S213" s="24"/>
      <c r="T213" s="24">
        <v>2</v>
      </c>
      <c r="U213" s="29">
        <f t="shared" si="9"/>
        <v>110000</v>
      </c>
    </row>
    <row r="214" spans="1:21" x14ac:dyDescent="0.35">
      <c r="A214" s="24"/>
      <c r="B214" s="24" t="s">
        <v>367</v>
      </c>
      <c r="C214" s="24" t="s">
        <v>215</v>
      </c>
      <c r="D214" s="24">
        <v>2</v>
      </c>
      <c r="E214" s="27">
        <v>55000</v>
      </c>
      <c r="F214" s="27">
        <f t="shared" si="5"/>
        <v>110000</v>
      </c>
      <c r="G214" s="24" t="s">
        <v>165</v>
      </c>
      <c r="H214" s="24" t="s">
        <v>177</v>
      </c>
      <c r="I214" s="24" t="s">
        <v>23</v>
      </c>
      <c r="J214" s="24"/>
      <c r="K214" s="24"/>
      <c r="L214" s="24"/>
      <c r="M214" s="24"/>
      <c r="N214" s="24"/>
      <c r="O214" s="24"/>
      <c r="P214" s="24"/>
      <c r="Q214" s="24"/>
      <c r="R214" s="24"/>
      <c r="S214" s="24"/>
      <c r="T214" s="24">
        <v>2</v>
      </c>
      <c r="U214" s="29">
        <f t="shared" si="9"/>
        <v>110000</v>
      </c>
    </row>
    <row r="215" spans="1:21" ht="31" x14ac:dyDescent="0.35">
      <c r="A215" s="24"/>
      <c r="B215" s="50" t="s">
        <v>368</v>
      </c>
      <c r="C215" s="24" t="s">
        <v>215</v>
      </c>
      <c r="D215" s="24">
        <v>2</v>
      </c>
      <c r="E215" s="27">
        <v>178000</v>
      </c>
      <c r="F215" s="27">
        <f t="shared" si="5"/>
        <v>356000</v>
      </c>
      <c r="G215" s="24" t="s">
        <v>165</v>
      </c>
      <c r="H215" s="24" t="s">
        <v>177</v>
      </c>
      <c r="I215" s="24" t="s">
        <v>23</v>
      </c>
      <c r="J215" s="24"/>
      <c r="K215" s="24"/>
      <c r="L215" s="24"/>
      <c r="M215" s="24"/>
      <c r="N215" s="24"/>
      <c r="O215" s="24"/>
      <c r="P215" s="24"/>
      <c r="Q215" s="24"/>
      <c r="R215" s="24"/>
      <c r="S215" s="24"/>
      <c r="T215" s="24">
        <v>2</v>
      </c>
      <c r="U215" s="29">
        <f t="shared" si="9"/>
        <v>356000</v>
      </c>
    </row>
    <row r="216" spans="1:21" ht="31" x14ac:dyDescent="0.35">
      <c r="A216" s="24"/>
      <c r="B216" s="50" t="s">
        <v>369</v>
      </c>
      <c r="C216" s="24" t="s">
        <v>215</v>
      </c>
      <c r="D216" s="24">
        <v>2</v>
      </c>
      <c r="E216" s="27">
        <v>178000</v>
      </c>
      <c r="F216" s="27">
        <f t="shared" si="5"/>
        <v>356000</v>
      </c>
      <c r="G216" s="24" t="s">
        <v>165</v>
      </c>
      <c r="H216" s="24" t="s">
        <v>177</v>
      </c>
      <c r="I216" s="24" t="s">
        <v>23</v>
      </c>
      <c r="J216" s="24"/>
      <c r="K216" s="24"/>
      <c r="L216" s="24"/>
      <c r="M216" s="24"/>
      <c r="N216" s="24"/>
      <c r="O216" s="24"/>
      <c r="P216" s="24"/>
      <c r="Q216" s="24"/>
      <c r="R216" s="24"/>
      <c r="S216" s="24"/>
      <c r="T216" s="24">
        <v>2</v>
      </c>
      <c r="U216" s="29">
        <f t="shared" si="9"/>
        <v>356000</v>
      </c>
    </row>
    <row r="217" spans="1:21" x14ac:dyDescent="0.35">
      <c r="A217" s="24"/>
      <c r="B217" s="33" t="s">
        <v>370</v>
      </c>
      <c r="C217" s="24" t="s">
        <v>181</v>
      </c>
      <c r="D217" s="24">
        <v>1</v>
      </c>
      <c r="E217" s="55">
        <v>4900000</v>
      </c>
      <c r="F217" s="27">
        <f t="shared" si="5"/>
        <v>4900000</v>
      </c>
      <c r="G217" s="24" t="s">
        <v>165</v>
      </c>
      <c r="H217" s="24" t="s">
        <v>362</v>
      </c>
      <c r="I217" s="24" t="s">
        <v>23</v>
      </c>
      <c r="J217" s="24"/>
      <c r="K217" s="24"/>
      <c r="L217" s="24"/>
      <c r="M217" s="24"/>
      <c r="N217" s="24"/>
      <c r="O217" s="24"/>
      <c r="P217" s="24"/>
      <c r="Q217" s="24"/>
      <c r="R217" s="24"/>
      <c r="S217" s="24"/>
      <c r="T217" s="24">
        <v>1</v>
      </c>
      <c r="U217" s="29">
        <f t="shared" si="9"/>
        <v>4900000</v>
      </c>
    </row>
    <row r="218" spans="1:21" x14ac:dyDescent="0.35">
      <c r="A218" s="24"/>
      <c r="B218" s="33" t="s">
        <v>371</v>
      </c>
      <c r="C218" s="24" t="s">
        <v>215</v>
      </c>
      <c r="D218" s="24">
        <v>1</v>
      </c>
      <c r="E218" s="55">
        <v>965126</v>
      </c>
      <c r="F218" s="27">
        <f t="shared" si="5"/>
        <v>965126</v>
      </c>
      <c r="G218" s="24" t="s">
        <v>165</v>
      </c>
      <c r="H218" s="24" t="s">
        <v>177</v>
      </c>
      <c r="I218" s="24" t="s">
        <v>23</v>
      </c>
      <c r="J218" s="24"/>
      <c r="K218" s="24"/>
      <c r="L218" s="24"/>
      <c r="M218" s="24"/>
      <c r="N218" s="24"/>
      <c r="O218" s="24"/>
      <c r="P218" s="24"/>
      <c r="Q218" s="24"/>
      <c r="R218" s="24"/>
      <c r="S218" s="24"/>
      <c r="T218" s="24">
        <v>1</v>
      </c>
      <c r="U218" s="29">
        <f t="shared" si="9"/>
        <v>965126</v>
      </c>
    </row>
    <row r="219" spans="1:21" ht="62" x14ac:dyDescent="0.35">
      <c r="A219" s="24"/>
      <c r="B219" s="57" t="s">
        <v>372</v>
      </c>
      <c r="C219" s="24" t="s">
        <v>215</v>
      </c>
      <c r="D219" s="24">
        <v>5</v>
      </c>
      <c r="E219" s="27">
        <v>300000</v>
      </c>
      <c r="F219" s="27">
        <f>D219*E219</f>
        <v>1500000</v>
      </c>
      <c r="G219" s="24" t="s">
        <v>165</v>
      </c>
      <c r="H219" s="24" t="s">
        <v>177</v>
      </c>
      <c r="I219" s="24" t="s">
        <v>23</v>
      </c>
      <c r="J219" s="24"/>
      <c r="K219" s="24"/>
      <c r="L219" s="24"/>
      <c r="M219" s="24"/>
      <c r="N219" s="24"/>
      <c r="O219" s="24"/>
      <c r="P219" s="24"/>
      <c r="Q219" s="24"/>
      <c r="R219" s="24"/>
      <c r="S219" s="24"/>
      <c r="T219" s="24">
        <v>5</v>
      </c>
      <c r="U219" s="29">
        <f t="shared" si="9"/>
        <v>1500000</v>
      </c>
    </row>
    <row r="220" spans="1:21" ht="46.5" x14ac:dyDescent="0.35">
      <c r="A220" s="24"/>
      <c r="B220" s="57" t="s">
        <v>373</v>
      </c>
      <c r="C220" s="24"/>
      <c r="D220" s="24"/>
      <c r="E220" s="27"/>
      <c r="F220" s="27"/>
      <c r="G220" s="24"/>
      <c r="H220" s="24"/>
      <c r="I220" s="24"/>
      <c r="J220" s="24"/>
      <c r="K220" s="24"/>
      <c r="L220" s="24"/>
      <c r="M220" s="24"/>
      <c r="N220" s="24"/>
      <c r="O220" s="24"/>
      <c r="P220" s="24"/>
      <c r="Q220" s="24"/>
      <c r="R220" s="24"/>
      <c r="S220" s="24"/>
      <c r="T220" s="24"/>
      <c r="U220" s="29"/>
    </row>
    <row r="221" spans="1:21" x14ac:dyDescent="0.35">
      <c r="A221" s="24"/>
      <c r="B221" s="33" t="s">
        <v>374</v>
      </c>
      <c r="C221" s="47" t="s">
        <v>215</v>
      </c>
      <c r="D221" s="33">
        <v>1</v>
      </c>
      <c r="E221" s="27"/>
      <c r="F221" s="27">
        <f t="shared" ref="F221:F255" si="10">D221*E221</f>
        <v>0</v>
      </c>
      <c r="G221" s="24" t="s">
        <v>165</v>
      </c>
      <c r="H221" s="24" t="s">
        <v>177</v>
      </c>
      <c r="I221" s="24" t="s">
        <v>23</v>
      </c>
      <c r="J221" s="24"/>
      <c r="K221" s="24"/>
      <c r="L221" s="24"/>
      <c r="M221" s="24"/>
      <c r="N221" s="24"/>
      <c r="O221" s="24"/>
      <c r="P221" s="24"/>
      <c r="Q221" s="24"/>
      <c r="R221" s="24"/>
      <c r="S221" s="24"/>
      <c r="T221" s="33">
        <v>1</v>
      </c>
      <c r="U221" s="29">
        <f t="shared" si="9"/>
        <v>0</v>
      </c>
    </row>
    <row r="222" spans="1:21" x14ac:dyDescent="0.35">
      <c r="A222" s="24"/>
      <c r="B222" s="58" t="s">
        <v>375</v>
      </c>
      <c r="C222" s="47" t="s">
        <v>376</v>
      </c>
      <c r="D222" s="59">
        <v>1</v>
      </c>
      <c r="E222" s="60">
        <v>152000</v>
      </c>
      <c r="F222" s="27">
        <f t="shared" si="10"/>
        <v>152000</v>
      </c>
      <c r="G222" s="24" t="s">
        <v>165</v>
      </c>
      <c r="H222" s="24" t="s">
        <v>177</v>
      </c>
      <c r="I222" s="24" t="s">
        <v>23</v>
      </c>
      <c r="J222" s="24"/>
      <c r="K222" s="24"/>
      <c r="L222" s="24"/>
      <c r="M222" s="24"/>
      <c r="N222" s="24"/>
      <c r="O222" s="24"/>
      <c r="P222" s="24"/>
      <c r="Q222" s="24"/>
      <c r="R222" s="24"/>
      <c r="S222" s="24"/>
      <c r="T222" s="59">
        <v>1</v>
      </c>
      <c r="U222" s="29">
        <f t="shared" si="9"/>
        <v>152000</v>
      </c>
    </row>
    <row r="223" spans="1:21" x14ac:dyDescent="0.35">
      <c r="A223" s="24"/>
      <c r="B223" s="58" t="s">
        <v>377</v>
      </c>
      <c r="C223" s="47"/>
      <c r="D223" s="59">
        <v>1</v>
      </c>
      <c r="E223" s="60">
        <v>50157</v>
      </c>
      <c r="F223" s="27">
        <f t="shared" si="10"/>
        <v>50157</v>
      </c>
      <c r="G223" s="24" t="s">
        <v>165</v>
      </c>
      <c r="H223" s="24" t="s">
        <v>177</v>
      </c>
      <c r="I223" s="24" t="s">
        <v>23</v>
      </c>
      <c r="J223" s="24"/>
      <c r="K223" s="24"/>
      <c r="L223" s="24"/>
      <c r="M223" s="24"/>
      <c r="N223" s="24"/>
      <c r="O223" s="24"/>
      <c r="P223" s="24"/>
      <c r="Q223" s="24"/>
      <c r="R223" s="24"/>
      <c r="S223" s="24"/>
      <c r="T223" s="59">
        <v>1</v>
      </c>
      <c r="U223" s="29">
        <f t="shared" si="9"/>
        <v>50157</v>
      </c>
    </row>
    <row r="224" spans="1:21" x14ac:dyDescent="0.35">
      <c r="A224" s="24"/>
      <c r="B224" s="58" t="s">
        <v>378</v>
      </c>
      <c r="C224" s="47"/>
      <c r="D224" s="59">
        <v>1</v>
      </c>
      <c r="E224" s="60"/>
      <c r="F224" s="27"/>
      <c r="G224" s="24"/>
      <c r="H224" s="24"/>
      <c r="I224" s="24"/>
      <c r="J224" s="24"/>
      <c r="K224" s="24"/>
      <c r="L224" s="24"/>
      <c r="M224" s="24"/>
      <c r="N224" s="24"/>
      <c r="O224" s="24"/>
      <c r="P224" s="24"/>
      <c r="Q224" s="24"/>
      <c r="R224" s="24"/>
      <c r="S224" s="24"/>
      <c r="T224" s="59"/>
      <c r="U224" s="29"/>
    </row>
    <row r="225" spans="1:21" ht="31" x14ac:dyDescent="0.35">
      <c r="A225" s="24"/>
      <c r="B225" s="58" t="s">
        <v>379</v>
      </c>
      <c r="C225" s="47"/>
      <c r="D225" s="59">
        <v>1</v>
      </c>
      <c r="E225" s="60">
        <v>280000</v>
      </c>
      <c r="F225" s="27">
        <f t="shared" si="10"/>
        <v>280000</v>
      </c>
      <c r="G225" s="24" t="s">
        <v>165</v>
      </c>
      <c r="H225" s="24" t="s">
        <v>177</v>
      </c>
      <c r="I225" s="24" t="s">
        <v>23</v>
      </c>
      <c r="J225" s="24"/>
      <c r="K225" s="24"/>
      <c r="L225" s="24"/>
      <c r="M225" s="24"/>
      <c r="N225" s="24"/>
      <c r="O225" s="24"/>
      <c r="P225" s="24"/>
      <c r="Q225" s="24"/>
      <c r="R225" s="24"/>
      <c r="S225" s="24"/>
      <c r="T225" s="59">
        <v>1</v>
      </c>
      <c r="U225" s="29">
        <f t="shared" si="9"/>
        <v>280000</v>
      </c>
    </row>
    <row r="226" spans="1:21" x14ac:dyDescent="0.35">
      <c r="A226" s="24"/>
      <c r="B226" s="58" t="s">
        <v>380</v>
      </c>
      <c r="C226" s="47"/>
      <c r="D226" s="59">
        <v>15</v>
      </c>
      <c r="E226" s="60">
        <v>75000</v>
      </c>
      <c r="F226" s="27">
        <f t="shared" si="10"/>
        <v>1125000</v>
      </c>
      <c r="G226" s="24" t="s">
        <v>165</v>
      </c>
      <c r="H226" s="24" t="s">
        <v>177</v>
      </c>
      <c r="I226" s="24" t="s">
        <v>23</v>
      </c>
      <c r="J226" s="24"/>
      <c r="K226" s="24"/>
      <c r="L226" s="24"/>
      <c r="M226" s="24"/>
      <c r="N226" s="24"/>
      <c r="O226" s="24"/>
      <c r="P226" s="24"/>
      <c r="Q226" s="24"/>
      <c r="R226" s="24"/>
      <c r="S226" s="24"/>
      <c r="T226" s="59">
        <v>15</v>
      </c>
      <c r="U226" s="29">
        <f t="shared" si="9"/>
        <v>1125000</v>
      </c>
    </row>
    <row r="227" spans="1:21" x14ac:dyDescent="0.35">
      <c r="A227" s="24"/>
      <c r="B227" s="58" t="s">
        <v>381</v>
      </c>
      <c r="C227" s="47"/>
      <c r="D227" s="59">
        <v>2</v>
      </c>
      <c r="E227" s="60">
        <v>45000</v>
      </c>
      <c r="F227" s="27">
        <f t="shared" si="10"/>
        <v>90000</v>
      </c>
      <c r="G227" s="24" t="s">
        <v>165</v>
      </c>
      <c r="H227" s="24" t="s">
        <v>177</v>
      </c>
      <c r="I227" s="24" t="s">
        <v>23</v>
      </c>
      <c r="J227" s="24"/>
      <c r="K227" s="24"/>
      <c r="L227" s="24"/>
      <c r="M227" s="24"/>
      <c r="N227" s="24"/>
      <c r="O227" s="24"/>
      <c r="P227" s="24"/>
      <c r="Q227" s="24"/>
      <c r="R227" s="24"/>
      <c r="S227" s="24"/>
      <c r="T227" s="59">
        <v>1</v>
      </c>
      <c r="U227" s="29">
        <f t="shared" si="9"/>
        <v>90000</v>
      </c>
    </row>
    <row r="228" spans="1:21" x14ac:dyDescent="0.35">
      <c r="A228" s="24"/>
      <c r="B228" s="58" t="s">
        <v>382</v>
      </c>
      <c r="C228" s="47"/>
      <c r="D228" s="59">
        <v>5</v>
      </c>
      <c r="E228" s="60">
        <v>50000</v>
      </c>
      <c r="F228" s="27">
        <f t="shared" si="10"/>
        <v>250000</v>
      </c>
      <c r="G228" s="24" t="s">
        <v>165</v>
      </c>
      <c r="H228" s="24" t="s">
        <v>177</v>
      </c>
      <c r="I228" s="24" t="s">
        <v>23</v>
      </c>
      <c r="J228" s="24"/>
      <c r="K228" s="24"/>
      <c r="L228" s="24"/>
      <c r="M228" s="24"/>
      <c r="N228" s="24"/>
      <c r="O228" s="24"/>
      <c r="P228" s="24"/>
      <c r="Q228" s="24"/>
      <c r="R228" s="24"/>
      <c r="S228" s="24"/>
      <c r="T228" s="59">
        <v>5</v>
      </c>
      <c r="U228" s="29">
        <f t="shared" si="9"/>
        <v>250000</v>
      </c>
    </row>
    <row r="229" spans="1:21" x14ac:dyDescent="0.35">
      <c r="A229" s="24"/>
      <c r="B229" s="58" t="s">
        <v>383</v>
      </c>
      <c r="C229" s="47"/>
      <c r="D229" s="59">
        <v>1</v>
      </c>
      <c r="E229" s="60">
        <v>1800000</v>
      </c>
      <c r="F229" s="27">
        <f t="shared" si="10"/>
        <v>1800000</v>
      </c>
      <c r="G229" s="24" t="s">
        <v>165</v>
      </c>
      <c r="H229" s="24" t="s">
        <v>177</v>
      </c>
      <c r="I229" s="24" t="s">
        <v>23</v>
      </c>
      <c r="J229" s="24"/>
      <c r="K229" s="24"/>
      <c r="L229" s="24"/>
      <c r="M229" s="24"/>
      <c r="N229" s="24"/>
      <c r="O229" s="24"/>
      <c r="P229" s="24"/>
      <c r="Q229" s="24"/>
      <c r="R229" s="24"/>
      <c r="S229" s="24"/>
      <c r="T229" s="59">
        <v>1</v>
      </c>
      <c r="U229" s="29">
        <f t="shared" si="9"/>
        <v>1800000</v>
      </c>
    </row>
    <row r="230" spans="1:21" x14ac:dyDescent="0.35">
      <c r="A230" s="24"/>
      <c r="B230" s="58" t="s">
        <v>384</v>
      </c>
      <c r="C230" s="47"/>
      <c r="D230" s="59">
        <v>7</v>
      </c>
      <c r="E230" s="60">
        <v>14000</v>
      </c>
      <c r="F230" s="27">
        <f t="shared" si="10"/>
        <v>98000</v>
      </c>
      <c r="G230" s="24" t="s">
        <v>165</v>
      </c>
      <c r="H230" s="24" t="s">
        <v>177</v>
      </c>
      <c r="I230" s="24" t="s">
        <v>23</v>
      </c>
      <c r="J230" s="24"/>
      <c r="K230" s="24"/>
      <c r="L230" s="24"/>
      <c r="M230" s="24"/>
      <c r="N230" s="24"/>
      <c r="O230" s="24"/>
      <c r="P230" s="24"/>
      <c r="Q230" s="24"/>
      <c r="R230" s="24"/>
      <c r="S230" s="24"/>
      <c r="T230" s="59">
        <v>7</v>
      </c>
      <c r="U230" s="29">
        <f t="shared" si="9"/>
        <v>98000</v>
      </c>
    </row>
    <row r="231" spans="1:21" x14ac:dyDescent="0.35">
      <c r="A231" s="24"/>
      <c r="B231" s="58" t="s">
        <v>385</v>
      </c>
      <c r="C231" s="47"/>
      <c r="D231" s="59">
        <v>3</v>
      </c>
      <c r="E231" s="60">
        <v>323700</v>
      </c>
      <c r="F231" s="27">
        <f t="shared" si="10"/>
        <v>971100</v>
      </c>
      <c r="G231" s="24" t="s">
        <v>165</v>
      </c>
      <c r="H231" s="24" t="s">
        <v>177</v>
      </c>
      <c r="I231" s="24" t="s">
        <v>23</v>
      </c>
      <c r="J231" s="24"/>
      <c r="K231" s="24"/>
      <c r="L231" s="24"/>
      <c r="M231" s="24"/>
      <c r="N231" s="24"/>
      <c r="O231" s="24"/>
      <c r="P231" s="24"/>
      <c r="Q231" s="24"/>
      <c r="R231" s="24"/>
      <c r="S231" s="24"/>
      <c r="T231" s="59">
        <v>3</v>
      </c>
      <c r="U231" s="29">
        <f t="shared" si="9"/>
        <v>971100</v>
      </c>
    </row>
    <row r="232" spans="1:21" x14ac:dyDescent="0.35">
      <c r="A232" s="24"/>
      <c r="B232" s="58" t="s">
        <v>386</v>
      </c>
      <c r="C232" s="47"/>
      <c r="D232" s="59">
        <v>1</v>
      </c>
      <c r="E232" s="60"/>
      <c r="F232" s="27"/>
      <c r="G232" s="24"/>
      <c r="H232" s="24"/>
      <c r="I232" s="24"/>
      <c r="J232" s="24"/>
      <c r="K232" s="24"/>
      <c r="L232" s="24"/>
      <c r="M232" s="24"/>
      <c r="N232" s="24"/>
      <c r="O232" s="24"/>
      <c r="P232" s="24"/>
      <c r="Q232" s="24"/>
      <c r="R232" s="24"/>
      <c r="S232" s="24"/>
      <c r="T232" s="59"/>
      <c r="U232" s="29"/>
    </row>
    <row r="233" spans="1:21" x14ac:dyDescent="0.35">
      <c r="A233" s="24"/>
      <c r="B233" s="58" t="s">
        <v>387</v>
      </c>
      <c r="C233" s="47"/>
      <c r="D233" s="59">
        <v>1</v>
      </c>
      <c r="E233" s="60">
        <v>3000000</v>
      </c>
      <c r="F233" s="27">
        <f t="shared" si="10"/>
        <v>3000000</v>
      </c>
      <c r="G233" s="24" t="s">
        <v>165</v>
      </c>
      <c r="H233" s="24" t="s">
        <v>177</v>
      </c>
      <c r="I233" s="24" t="s">
        <v>23</v>
      </c>
      <c r="J233" s="24"/>
      <c r="K233" s="24"/>
      <c r="L233" s="24"/>
      <c r="M233" s="24"/>
      <c r="N233" s="24"/>
      <c r="O233" s="24"/>
      <c r="P233" s="24"/>
      <c r="Q233" s="24"/>
      <c r="R233" s="24"/>
      <c r="S233" s="24"/>
      <c r="T233" s="59"/>
      <c r="U233" s="29">
        <f t="shared" si="9"/>
        <v>3000000</v>
      </c>
    </row>
    <row r="234" spans="1:21" x14ac:dyDescent="0.35">
      <c r="A234" s="24"/>
      <c r="B234" s="33" t="s">
        <v>388</v>
      </c>
      <c r="C234" s="47" t="s">
        <v>193</v>
      </c>
      <c r="D234" s="33">
        <v>1</v>
      </c>
      <c r="E234" s="56"/>
      <c r="F234" s="27"/>
      <c r="G234" s="24"/>
      <c r="H234" s="24"/>
      <c r="I234" s="24"/>
      <c r="J234" s="24"/>
      <c r="K234" s="24"/>
      <c r="L234" s="24"/>
      <c r="M234" s="24"/>
      <c r="N234" s="24"/>
      <c r="O234" s="24"/>
      <c r="P234" s="24"/>
      <c r="Q234" s="24"/>
      <c r="R234" s="24"/>
      <c r="S234" s="24"/>
      <c r="T234" s="36"/>
      <c r="U234" s="29">
        <f t="shared" si="9"/>
        <v>0</v>
      </c>
    </row>
    <row r="235" spans="1:21" x14ac:dyDescent="0.35">
      <c r="A235" s="24"/>
      <c r="B235" s="33" t="s">
        <v>389</v>
      </c>
      <c r="C235" s="47"/>
      <c r="D235" s="33"/>
      <c r="E235" s="56"/>
      <c r="F235" s="27"/>
      <c r="G235" s="24"/>
      <c r="H235" s="24"/>
      <c r="I235" s="24"/>
      <c r="J235" s="24"/>
      <c r="K235" s="24"/>
      <c r="L235" s="24"/>
      <c r="M235" s="24"/>
      <c r="N235" s="24"/>
      <c r="O235" s="24"/>
      <c r="P235" s="24"/>
      <c r="Q235" s="24"/>
      <c r="R235" s="24"/>
      <c r="S235" s="24"/>
      <c r="T235" s="36"/>
      <c r="U235" s="29"/>
    </row>
    <row r="236" spans="1:21" x14ac:dyDescent="0.35">
      <c r="A236" s="24"/>
      <c r="B236" s="33" t="s">
        <v>390</v>
      </c>
      <c r="C236" s="47" t="s">
        <v>193</v>
      </c>
      <c r="D236" s="33">
        <v>1</v>
      </c>
      <c r="E236" s="27"/>
      <c r="F236" s="27">
        <f t="shared" si="10"/>
        <v>0</v>
      </c>
      <c r="G236" s="24"/>
      <c r="H236" s="24"/>
      <c r="I236" s="24"/>
      <c r="J236" s="24"/>
      <c r="K236" s="24"/>
      <c r="L236" s="24"/>
      <c r="M236" s="24"/>
      <c r="N236" s="24"/>
      <c r="O236" s="24"/>
      <c r="P236" s="24"/>
      <c r="Q236" s="24"/>
      <c r="R236" s="24"/>
      <c r="S236" s="24"/>
      <c r="T236" s="36"/>
      <c r="U236" s="29">
        <f t="shared" si="9"/>
        <v>0</v>
      </c>
    </row>
    <row r="237" spans="1:21" ht="31" x14ac:dyDescent="0.35">
      <c r="A237" s="24"/>
      <c r="B237" s="33" t="s">
        <v>391</v>
      </c>
      <c r="C237" s="47" t="s">
        <v>181</v>
      </c>
      <c r="D237" s="33">
        <v>1</v>
      </c>
      <c r="E237" s="27"/>
      <c r="F237" s="27">
        <f t="shared" si="10"/>
        <v>0</v>
      </c>
      <c r="G237" s="24"/>
      <c r="H237" s="24"/>
      <c r="I237" s="24"/>
      <c r="J237" s="24"/>
      <c r="K237" s="24"/>
      <c r="L237" s="24"/>
      <c r="M237" s="24"/>
      <c r="N237" s="24"/>
      <c r="O237" s="24"/>
      <c r="P237" s="24"/>
      <c r="Q237" s="24"/>
      <c r="R237" s="24"/>
      <c r="S237" s="24"/>
      <c r="T237" s="36"/>
      <c r="U237" s="29">
        <f t="shared" si="9"/>
        <v>0</v>
      </c>
    </row>
    <row r="238" spans="1:21" ht="31" x14ac:dyDescent="0.35">
      <c r="A238" s="24"/>
      <c r="B238" s="33" t="s">
        <v>392</v>
      </c>
      <c r="C238" s="47" t="s">
        <v>181</v>
      </c>
      <c r="D238" s="33">
        <v>1</v>
      </c>
      <c r="E238" s="27" t="s">
        <v>393</v>
      </c>
      <c r="F238" s="27"/>
      <c r="G238" s="24"/>
      <c r="H238" s="24"/>
      <c r="I238" s="24"/>
      <c r="J238" s="24"/>
      <c r="K238" s="24"/>
      <c r="L238" s="24"/>
      <c r="M238" s="24"/>
      <c r="N238" s="24"/>
      <c r="O238" s="24"/>
      <c r="P238" s="24"/>
      <c r="Q238" s="24"/>
      <c r="R238" s="24"/>
      <c r="S238" s="24"/>
      <c r="T238" s="36"/>
      <c r="U238" s="29" t="e">
        <f t="shared" si="9"/>
        <v>#VALUE!</v>
      </c>
    </row>
    <row r="239" spans="1:21" x14ac:dyDescent="0.35">
      <c r="A239" s="24"/>
      <c r="B239" s="33" t="s">
        <v>394</v>
      </c>
      <c r="C239" s="47" t="s">
        <v>215</v>
      </c>
      <c r="D239" s="33">
        <v>1</v>
      </c>
      <c r="E239" s="27">
        <v>84000000</v>
      </c>
      <c r="F239" s="27">
        <f t="shared" si="10"/>
        <v>84000000</v>
      </c>
      <c r="G239" s="24" t="s">
        <v>165</v>
      </c>
      <c r="H239" s="24" t="s">
        <v>362</v>
      </c>
      <c r="I239" s="24" t="s">
        <v>23</v>
      </c>
      <c r="J239" s="24"/>
      <c r="K239" s="24"/>
      <c r="L239" s="24"/>
      <c r="M239" s="24"/>
      <c r="N239" s="24"/>
      <c r="O239" s="24"/>
      <c r="P239" s="24"/>
      <c r="Q239" s="24"/>
      <c r="R239" s="24"/>
      <c r="S239" s="24"/>
      <c r="T239" s="36"/>
      <c r="U239" s="29">
        <f>D219*E219</f>
        <v>1500000</v>
      </c>
    </row>
    <row r="240" spans="1:21" x14ac:dyDescent="0.35">
      <c r="A240" s="47"/>
      <c r="B240" s="33" t="s">
        <v>353</v>
      </c>
      <c r="C240" s="47" t="s">
        <v>193</v>
      </c>
      <c r="D240" s="33">
        <v>1</v>
      </c>
      <c r="E240" s="56">
        <v>170000</v>
      </c>
      <c r="F240" s="56">
        <f t="shared" si="10"/>
        <v>170000</v>
      </c>
      <c r="G240" s="47" t="s">
        <v>165</v>
      </c>
      <c r="H240" s="47" t="s">
        <v>177</v>
      </c>
      <c r="I240" s="47" t="s">
        <v>23</v>
      </c>
      <c r="J240" s="47"/>
      <c r="K240" s="61"/>
      <c r="L240" s="47"/>
      <c r="M240" s="47"/>
      <c r="N240" s="47"/>
      <c r="O240" s="47"/>
      <c r="P240" s="47"/>
      <c r="Q240" s="47"/>
      <c r="R240" s="47"/>
      <c r="S240" s="47"/>
      <c r="T240" s="61"/>
      <c r="U240" s="62">
        <f>D221*E221</f>
        <v>0</v>
      </c>
    </row>
    <row r="241" spans="1:21" x14ac:dyDescent="0.35">
      <c r="A241" s="47"/>
      <c r="B241" s="33" t="s">
        <v>395</v>
      </c>
      <c r="C241" s="47" t="s">
        <v>193</v>
      </c>
      <c r="D241" s="33">
        <v>1</v>
      </c>
      <c r="E241" s="56"/>
      <c r="F241" s="56">
        <f t="shared" si="10"/>
        <v>0</v>
      </c>
      <c r="G241" s="47"/>
      <c r="H241" s="47"/>
      <c r="I241" s="47"/>
      <c r="J241" s="47"/>
      <c r="K241" s="61"/>
      <c r="L241" s="47"/>
      <c r="M241" s="47"/>
      <c r="N241" s="47"/>
      <c r="O241" s="47"/>
      <c r="P241" s="47"/>
      <c r="Q241" s="47"/>
      <c r="R241" s="47"/>
      <c r="S241" s="47"/>
      <c r="T241" s="61"/>
      <c r="U241" s="62"/>
    </row>
    <row r="242" spans="1:21" x14ac:dyDescent="0.35">
      <c r="A242" s="47"/>
      <c r="B242" s="47" t="s">
        <v>396</v>
      </c>
      <c r="C242" s="47" t="s">
        <v>193</v>
      </c>
      <c r="D242" s="47">
        <v>1</v>
      </c>
      <c r="E242" s="47">
        <v>80000</v>
      </c>
      <c r="F242" s="56">
        <f t="shared" si="10"/>
        <v>80000</v>
      </c>
      <c r="G242" s="47"/>
      <c r="H242" s="47"/>
      <c r="I242" s="47"/>
      <c r="J242" s="47"/>
      <c r="K242" s="61"/>
      <c r="L242" s="47"/>
      <c r="M242" s="47"/>
      <c r="N242" s="47"/>
      <c r="O242" s="47"/>
      <c r="P242" s="47"/>
      <c r="Q242" s="47"/>
      <c r="R242" s="47"/>
      <c r="S242" s="47"/>
      <c r="T242" s="61"/>
      <c r="U242" s="62">
        <f>D239*E239</f>
        <v>84000000</v>
      </c>
    </row>
    <row r="243" spans="1:21" x14ac:dyDescent="0.35">
      <c r="A243" s="47"/>
      <c r="B243" s="47" t="s">
        <v>355</v>
      </c>
      <c r="C243" s="47" t="s">
        <v>193</v>
      </c>
      <c r="D243" s="47">
        <v>1</v>
      </c>
      <c r="E243" s="47">
        <v>250000</v>
      </c>
      <c r="F243" s="56">
        <f t="shared" si="10"/>
        <v>250000</v>
      </c>
      <c r="G243" s="47"/>
      <c r="H243" s="47"/>
      <c r="I243" s="47"/>
      <c r="J243" s="47"/>
      <c r="K243" s="61"/>
      <c r="L243" s="47"/>
      <c r="M243" s="47"/>
      <c r="N243" s="47"/>
      <c r="O243" s="47"/>
      <c r="P243" s="47"/>
      <c r="Q243" s="47"/>
      <c r="R243" s="47"/>
      <c r="S243" s="47"/>
      <c r="T243" s="61"/>
      <c r="U243" s="62"/>
    </row>
    <row r="244" spans="1:21" x14ac:dyDescent="0.35">
      <c r="A244" s="24"/>
      <c r="B244" s="51" t="s">
        <v>397</v>
      </c>
      <c r="C244" s="24"/>
      <c r="D244" s="24"/>
      <c r="E244" s="27"/>
      <c r="F244" s="27"/>
      <c r="G244" s="24"/>
      <c r="H244" s="24"/>
      <c r="I244" s="24"/>
      <c r="J244" s="24"/>
      <c r="K244" s="24"/>
      <c r="L244" s="24"/>
      <c r="M244" s="24"/>
      <c r="N244" s="24"/>
      <c r="O244" s="24"/>
      <c r="P244" s="24"/>
      <c r="Q244" s="24"/>
      <c r="R244" s="24"/>
      <c r="S244" s="24"/>
      <c r="T244" s="24"/>
      <c r="U244" s="29"/>
    </row>
    <row r="245" spans="1:21" x14ac:dyDescent="0.35">
      <c r="A245" s="63"/>
      <c r="B245" s="64" t="s">
        <v>398</v>
      </c>
      <c r="C245" s="47" t="s">
        <v>193</v>
      </c>
      <c r="D245" s="47">
        <v>1</v>
      </c>
      <c r="E245" s="47"/>
      <c r="F245" s="56">
        <f t="shared" si="10"/>
        <v>0</v>
      </c>
      <c r="G245" s="47"/>
      <c r="H245" s="47"/>
      <c r="I245" s="47"/>
      <c r="J245" s="47"/>
      <c r="K245" s="47"/>
      <c r="L245" s="47"/>
      <c r="M245" s="47"/>
      <c r="N245" s="47"/>
      <c r="O245" s="47"/>
      <c r="P245" s="47"/>
      <c r="Q245" s="47"/>
      <c r="R245" s="47"/>
      <c r="S245" s="47"/>
      <c r="T245" s="47"/>
      <c r="U245" s="62"/>
    </row>
    <row r="246" spans="1:21" x14ac:dyDescent="0.35">
      <c r="A246" s="25" t="s">
        <v>399</v>
      </c>
      <c r="B246" s="24"/>
      <c r="C246" s="33"/>
      <c r="D246" s="24"/>
      <c r="E246" s="27"/>
      <c r="F246" s="27">
        <f t="shared" si="10"/>
        <v>0</v>
      </c>
      <c r="G246" s="24"/>
      <c r="H246" s="24"/>
      <c r="I246" s="24"/>
      <c r="J246" s="24"/>
      <c r="K246" s="24"/>
      <c r="L246" s="24"/>
      <c r="M246" s="24"/>
      <c r="N246" s="24"/>
      <c r="O246" s="24"/>
      <c r="P246" s="24"/>
      <c r="Q246" s="24"/>
      <c r="R246" s="24"/>
      <c r="S246" s="24"/>
      <c r="T246" s="36"/>
      <c r="U246" s="29" t="e">
        <f>#REF!*#REF!</f>
        <v>#REF!</v>
      </c>
    </row>
    <row r="247" spans="1:21" x14ac:dyDescent="0.35">
      <c r="A247" s="24"/>
      <c r="B247" s="33" t="s">
        <v>400</v>
      </c>
      <c r="C247" s="24"/>
      <c r="D247" s="24"/>
      <c r="E247" s="27"/>
      <c r="F247" s="27">
        <f t="shared" si="10"/>
        <v>0</v>
      </c>
      <c r="G247" s="24"/>
      <c r="H247" s="24"/>
      <c r="I247" s="24"/>
      <c r="J247" s="24"/>
      <c r="K247" s="24"/>
      <c r="L247" s="24"/>
      <c r="M247" s="36"/>
      <c r="N247" s="24"/>
      <c r="O247" s="24"/>
      <c r="P247" s="24"/>
      <c r="Q247" s="24"/>
      <c r="R247" s="24"/>
      <c r="S247" s="24"/>
      <c r="T247" s="36"/>
      <c r="U247" s="29">
        <f t="shared" ref="U247:U251" si="11">D246*E246</f>
        <v>0</v>
      </c>
    </row>
    <row r="248" spans="1:21" x14ac:dyDescent="0.35">
      <c r="A248" s="24"/>
      <c r="B248" s="24" t="s">
        <v>401</v>
      </c>
      <c r="C248" s="24"/>
      <c r="D248" s="24"/>
      <c r="E248" s="27"/>
      <c r="F248" s="27">
        <f t="shared" si="10"/>
        <v>0</v>
      </c>
      <c r="G248" s="24"/>
      <c r="H248" s="24"/>
      <c r="I248" s="24"/>
      <c r="J248" s="24"/>
      <c r="K248" s="24"/>
      <c r="L248" s="24"/>
      <c r="M248" s="36"/>
      <c r="N248" s="24"/>
      <c r="O248" s="24"/>
      <c r="P248" s="24"/>
      <c r="Q248" s="24"/>
      <c r="R248" s="24"/>
      <c r="S248" s="24"/>
      <c r="T248" s="36"/>
      <c r="U248" s="29">
        <f t="shared" si="11"/>
        <v>0</v>
      </c>
    </row>
    <row r="249" spans="1:21" x14ac:dyDescent="0.35">
      <c r="A249" s="24"/>
      <c r="B249" s="24" t="s">
        <v>402</v>
      </c>
      <c r="C249" s="24"/>
      <c r="D249" s="24"/>
      <c r="E249" s="27"/>
      <c r="F249" s="27">
        <f t="shared" si="10"/>
        <v>0</v>
      </c>
      <c r="G249" s="24"/>
      <c r="H249" s="24"/>
      <c r="I249" s="24"/>
      <c r="J249" s="24"/>
      <c r="K249" s="24"/>
      <c r="L249" s="24"/>
      <c r="M249" s="24"/>
      <c r="N249" s="24"/>
      <c r="O249" s="24"/>
      <c r="P249" s="24"/>
      <c r="Q249" s="24"/>
      <c r="R249" s="24"/>
      <c r="S249" s="24"/>
      <c r="T249" s="36"/>
      <c r="U249" s="29">
        <f t="shared" si="11"/>
        <v>0</v>
      </c>
    </row>
    <row r="250" spans="1:21" x14ac:dyDescent="0.35">
      <c r="A250" s="24"/>
      <c r="B250" s="33" t="s">
        <v>403</v>
      </c>
      <c r="C250" s="24" t="s">
        <v>404</v>
      </c>
      <c r="D250" s="24">
        <v>30</v>
      </c>
      <c r="E250" s="27">
        <v>750</v>
      </c>
      <c r="F250" s="27">
        <f t="shared" si="10"/>
        <v>22500</v>
      </c>
      <c r="G250" s="24"/>
      <c r="H250" s="24"/>
      <c r="I250" s="24"/>
      <c r="J250" s="24"/>
      <c r="K250" s="24"/>
      <c r="L250" s="24"/>
      <c r="M250" s="24"/>
      <c r="N250" s="24"/>
      <c r="O250" s="24"/>
      <c r="P250" s="24"/>
      <c r="Q250" s="24"/>
      <c r="R250" s="24"/>
      <c r="S250" s="24"/>
      <c r="T250" s="36"/>
      <c r="U250" s="29">
        <f t="shared" si="11"/>
        <v>0</v>
      </c>
    </row>
    <row r="251" spans="1:21" x14ac:dyDescent="0.35">
      <c r="A251" s="24"/>
      <c r="B251" s="24"/>
      <c r="C251" s="25"/>
      <c r="D251" s="24"/>
      <c r="E251" s="27"/>
      <c r="F251" s="27">
        <f t="shared" si="10"/>
        <v>0</v>
      </c>
      <c r="G251" s="24"/>
      <c r="H251" s="24"/>
      <c r="I251" s="24"/>
      <c r="J251" s="24"/>
      <c r="K251" s="24"/>
      <c r="L251" s="24"/>
      <c r="M251" s="24"/>
      <c r="N251" s="24"/>
      <c r="O251" s="24"/>
      <c r="P251" s="24"/>
      <c r="Q251" s="24"/>
      <c r="R251" s="24"/>
      <c r="S251" s="24"/>
      <c r="T251" s="24"/>
      <c r="U251" s="29">
        <f t="shared" si="11"/>
        <v>22500</v>
      </c>
    </row>
    <row r="252" spans="1:21" x14ac:dyDescent="0.35">
      <c r="A252" s="24"/>
      <c r="B252" s="24"/>
      <c r="C252" s="24"/>
      <c r="D252" s="24"/>
      <c r="E252" s="27"/>
      <c r="F252" s="27">
        <f t="shared" si="10"/>
        <v>0</v>
      </c>
      <c r="G252" s="24"/>
      <c r="H252" s="24"/>
      <c r="I252" s="24"/>
      <c r="J252" s="24"/>
      <c r="K252" s="24"/>
      <c r="L252" s="24"/>
      <c r="M252" s="24"/>
      <c r="N252" s="24"/>
      <c r="O252" s="24"/>
      <c r="P252" s="24"/>
      <c r="Q252" s="24"/>
      <c r="R252" s="24"/>
      <c r="S252" s="24"/>
      <c r="T252" s="36"/>
      <c r="U252" s="29"/>
    </row>
    <row r="253" spans="1:21" x14ac:dyDescent="0.35">
      <c r="A253" s="24"/>
      <c r="B253" s="24"/>
      <c r="C253" s="24"/>
      <c r="D253" s="24"/>
      <c r="E253" s="27"/>
      <c r="F253" s="27">
        <f t="shared" si="10"/>
        <v>0</v>
      </c>
      <c r="G253" s="24"/>
      <c r="H253" s="24"/>
      <c r="I253" s="24"/>
      <c r="J253" s="24"/>
      <c r="K253" s="24"/>
      <c r="L253" s="24"/>
      <c r="M253" s="24"/>
      <c r="N253" s="24"/>
      <c r="O253" s="24"/>
      <c r="P253" s="24"/>
      <c r="Q253" s="24"/>
      <c r="R253" s="24"/>
      <c r="S253" s="24"/>
      <c r="T253" s="36"/>
      <c r="U253" s="29">
        <f t="shared" ref="U253:U255" si="12">D252*E252</f>
        <v>0</v>
      </c>
    </row>
    <row r="254" spans="1:21" x14ac:dyDescent="0.35">
      <c r="A254" s="24"/>
      <c r="B254" s="33"/>
      <c r="C254" s="24"/>
      <c r="D254" s="33"/>
      <c r="E254" s="47"/>
      <c r="F254" s="27">
        <f t="shared" si="10"/>
        <v>0</v>
      </c>
      <c r="G254" s="24"/>
      <c r="H254" s="24"/>
      <c r="I254" s="24"/>
      <c r="J254" s="24"/>
      <c r="K254" s="24"/>
      <c r="L254" s="24"/>
      <c r="M254" s="24"/>
      <c r="N254" s="24"/>
      <c r="O254" s="24"/>
      <c r="P254" s="24"/>
      <c r="Q254" s="24"/>
      <c r="R254" s="24"/>
      <c r="S254" s="24"/>
      <c r="T254" s="24"/>
      <c r="U254" s="29">
        <f t="shared" si="12"/>
        <v>0</v>
      </c>
    </row>
    <row r="255" spans="1:21" x14ac:dyDescent="0.35">
      <c r="A255" s="24" t="s">
        <v>405</v>
      </c>
      <c r="B255" s="33"/>
      <c r="C255" s="47"/>
      <c r="D255" s="33"/>
      <c r="E255" s="47"/>
      <c r="F255" s="27">
        <f t="shared" si="10"/>
        <v>0</v>
      </c>
      <c r="G255" s="24"/>
      <c r="H255" s="24"/>
      <c r="I255" s="24"/>
      <c r="J255" s="24"/>
      <c r="K255" s="24"/>
      <c r="L255" s="24"/>
      <c r="M255" s="24"/>
      <c r="N255" s="24"/>
      <c r="O255" s="24"/>
      <c r="P255" s="24"/>
      <c r="Q255" s="24"/>
      <c r="R255" s="24"/>
      <c r="S255" s="24"/>
      <c r="T255" s="24"/>
      <c r="U255" s="29">
        <f t="shared" si="12"/>
        <v>0</v>
      </c>
    </row>
    <row r="256" spans="1:21" x14ac:dyDescent="0.35">
      <c r="A256" s="24">
        <v>1</v>
      </c>
      <c r="B256" s="33" t="s">
        <v>406</v>
      </c>
      <c r="C256" s="24"/>
      <c r="D256" s="33">
        <v>40</v>
      </c>
      <c r="E256" s="47">
        <v>32000</v>
      </c>
      <c r="F256" s="55">
        <f>D256*E256</f>
        <v>1280000</v>
      </c>
      <c r="G256" s="24" t="s">
        <v>165</v>
      </c>
      <c r="H256" s="24" t="s">
        <v>177</v>
      </c>
      <c r="I256" s="24" t="s">
        <v>23</v>
      </c>
      <c r="J256" s="24"/>
      <c r="K256" s="24"/>
      <c r="L256" s="24"/>
      <c r="M256" s="24"/>
      <c r="N256" s="24"/>
      <c r="O256" s="24"/>
      <c r="P256" s="24"/>
      <c r="Q256" s="24"/>
      <c r="R256" s="24"/>
      <c r="S256" s="24"/>
      <c r="T256" s="33">
        <v>40</v>
      </c>
      <c r="U256" s="29">
        <f>D256*E256</f>
        <v>1280000</v>
      </c>
    </row>
    <row r="257" spans="1:21" x14ac:dyDescent="0.35">
      <c r="A257" s="24">
        <v>2</v>
      </c>
      <c r="B257" s="33" t="s">
        <v>407</v>
      </c>
      <c r="C257" s="47"/>
      <c r="D257" s="33">
        <v>14</v>
      </c>
      <c r="E257" s="47">
        <v>12000</v>
      </c>
      <c r="F257" s="55">
        <f>D257*E257</f>
        <v>168000</v>
      </c>
      <c r="G257" s="24" t="s">
        <v>165</v>
      </c>
      <c r="H257" s="24" t="s">
        <v>177</v>
      </c>
      <c r="I257" s="24" t="s">
        <v>23</v>
      </c>
      <c r="J257" s="24"/>
      <c r="K257" s="24"/>
      <c r="L257" s="24"/>
      <c r="M257" s="24"/>
      <c r="N257" s="24"/>
      <c r="O257" s="24"/>
      <c r="P257" s="24"/>
      <c r="Q257" s="24"/>
      <c r="R257" s="24"/>
      <c r="S257" s="24"/>
      <c r="T257" s="33">
        <v>14</v>
      </c>
      <c r="U257" s="29">
        <f>D257*E257</f>
        <v>168000</v>
      </c>
    </row>
    <row r="258" spans="1:21" x14ac:dyDescent="0.35">
      <c r="A258" s="24">
        <v>3</v>
      </c>
      <c r="B258" s="33" t="s">
        <v>408</v>
      </c>
      <c r="C258" s="47" t="s">
        <v>215</v>
      </c>
      <c r="D258" s="33">
        <v>70</v>
      </c>
      <c r="E258" s="27">
        <v>24000</v>
      </c>
      <c r="F258" s="27">
        <f>D258*E258</f>
        <v>1680000</v>
      </c>
      <c r="G258" s="24" t="s">
        <v>165</v>
      </c>
      <c r="H258" s="24" t="s">
        <v>177</v>
      </c>
      <c r="I258" s="24" t="s">
        <v>23</v>
      </c>
      <c r="J258" s="24"/>
      <c r="K258" s="24"/>
      <c r="L258" s="24"/>
      <c r="M258" s="24"/>
      <c r="N258" s="24"/>
      <c r="O258" s="24"/>
      <c r="P258" s="24"/>
      <c r="Q258" s="24"/>
      <c r="R258" s="24"/>
      <c r="S258" s="24"/>
      <c r="T258" s="33">
        <v>70</v>
      </c>
      <c r="U258" s="29">
        <f>D258*E258</f>
        <v>1680000</v>
      </c>
    </row>
    <row r="259" spans="1:21" x14ac:dyDescent="0.35">
      <c r="A259" s="24">
        <v>4</v>
      </c>
      <c r="B259" s="33" t="s">
        <v>409</v>
      </c>
      <c r="C259" s="47" t="s">
        <v>215</v>
      </c>
      <c r="D259" s="33">
        <v>100</v>
      </c>
      <c r="E259" s="27">
        <v>1800</v>
      </c>
      <c r="F259" s="27">
        <f>D259*E259</f>
        <v>180000</v>
      </c>
      <c r="G259" s="24" t="s">
        <v>165</v>
      </c>
      <c r="H259" s="24" t="s">
        <v>177</v>
      </c>
      <c r="I259" s="24" t="s">
        <v>23</v>
      </c>
      <c r="J259" s="24"/>
      <c r="K259" s="24"/>
      <c r="L259" s="24"/>
      <c r="M259" s="24"/>
      <c r="N259" s="24"/>
      <c r="O259" s="24"/>
      <c r="P259" s="24"/>
      <c r="Q259" s="24"/>
      <c r="R259" s="24"/>
      <c r="S259" s="24"/>
      <c r="T259" s="33">
        <v>100</v>
      </c>
      <c r="U259" s="29">
        <f>D259*E259</f>
        <v>180000</v>
      </c>
    </row>
    <row r="260" spans="1:21" x14ac:dyDescent="0.35">
      <c r="A260" s="24">
        <v>5</v>
      </c>
      <c r="B260" s="33" t="s">
        <v>410</v>
      </c>
      <c r="C260" s="47" t="s">
        <v>215</v>
      </c>
      <c r="D260" s="33">
        <v>5</v>
      </c>
      <c r="E260" s="27">
        <v>20000</v>
      </c>
      <c r="F260" s="27">
        <f>D260*E260</f>
        <v>100000</v>
      </c>
      <c r="G260" s="24" t="s">
        <v>165</v>
      </c>
      <c r="H260" s="24" t="s">
        <v>177</v>
      </c>
      <c r="I260" s="24" t="s">
        <v>23</v>
      </c>
      <c r="J260" s="24"/>
      <c r="K260" s="24"/>
      <c r="L260" s="24"/>
      <c r="M260" s="24"/>
      <c r="N260" s="24"/>
      <c r="O260" s="24"/>
      <c r="P260" s="24"/>
      <c r="Q260" s="24"/>
      <c r="R260" s="24"/>
      <c r="S260" s="24"/>
      <c r="T260" s="33">
        <v>5</v>
      </c>
      <c r="U260" s="29">
        <f>D260*E260</f>
        <v>100000</v>
      </c>
    </row>
    <row r="261" spans="1:21" x14ac:dyDescent="0.35">
      <c r="A261" s="24"/>
      <c r="B261" s="65"/>
      <c r="C261" s="47"/>
      <c r="D261" s="47"/>
      <c r="E261" s="27"/>
      <c r="F261" s="27">
        <f t="shared" ref="F261:F290" si="13">D261*E261</f>
        <v>0</v>
      </c>
      <c r="G261" s="24"/>
      <c r="H261" s="24"/>
      <c r="I261" s="24"/>
      <c r="J261" s="24"/>
      <c r="K261" s="24"/>
      <c r="L261" s="24"/>
      <c r="M261" s="24"/>
      <c r="N261" s="24"/>
      <c r="O261" s="24"/>
      <c r="P261" s="24"/>
      <c r="Q261" s="24"/>
      <c r="R261" s="24"/>
      <c r="S261" s="24"/>
      <c r="T261" s="24"/>
      <c r="U261" s="29"/>
    </row>
    <row r="262" spans="1:21" x14ac:dyDescent="0.35">
      <c r="A262" s="24"/>
      <c r="B262" s="47"/>
      <c r="C262" s="47"/>
      <c r="D262" s="47"/>
      <c r="E262" s="27"/>
      <c r="F262" s="27">
        <f t="shared" si="13"/>
        <v>0</v>
      </c>
      <c r="G262" s="24"/>
      <c r="H262" s="24"/>
      <c r="I262" s="24"/>
      <c r="J262" s="24"/>
      <c r="K262" s="24"/>
      <c r="L262" s="24"/>
      <c r="M262" s="24"/>
      <c r="N262" s="24"/>
      <c r="O262" s="24"/>
      <c r="P262" s="24"/>
      <c r="Q262" s="24"/>
      <c r="R262" s="24"/>
      <c r="S262" s="24"/>
      <c r="T262" s="24"/>
      <c r="U262" s="29">
        <f t="shared" ref="U262:U300" si="14">D262*E262</f>
        <v>0</v>
      </c>
    </row>
    <row r="263" spans="1:21" x14ac:dyDescent="0.35">
      <c r="A263" s="24"/>
      <c r="B263" s="47"/>
      <c r="C263" s="47"/>
      <c r="D263" s="47"/>
      <c r="E263" s="27"/>
      <c r="F263" s="27">
        <f t="shared" si="13"/>
        <v>0</v>
      </c>
      <c r="G263" s="24"/>
      <c r="H263" s="24"/>
      <c r="I263" s="24"/>
      <c r="J263" s="24"/>
      <c r="K263" s="24"/>
      <c r="L263" s="24"/>
      <c r="M263" s="24"/>
      <c r="N263" s="24"/>
      <c r="O263" s="24"/>
      <c r="P263" s="24"/>
      <c r="Q263" s="24"/>
      <c r="R263" s="24"/>
      <c r="S263" s="24"/>
      <c r="T263" s="24"/>
      <c r="U263" s="29">
        <f t="shared" si="14"/>
        <v>0</v>
      </c>
    </row>
    <row r="264" spans="1:21" x14ac:dyDescent="0.35">
      <c r="A264" s="24" t="s">
        <v>411</v>
      </c>
      <c r="B264" s="47"/>
      <c r="C264" s="47"/>
      <c r="D264" s="47"/>
      <c r="E264" s="27"/>
      <c r="F264" s="27">
        <f t="shared" si="13"/>
        <v>0</v>
      </c>
      <c r="G264" s="24"/>
      <c r="H264" s="24"/>
      <c r="I264" s="24"/>
      <c r="J264" s="24"/>
      <c r="K264" s="24"/>
      <c r="L264" s="24"/>
      <c r="M264" s="24"/>
      <c r="N264" s="24"/>
      <c r="O264" s="24"/>
      <c r="P264" s="24"/>
      <c r="Q264" s="24"/>
      <c r="R264" s="24"/>
      <c r="S264" s="24"/>
      <c r="T264" s="24"/>
      <c r="U264" s="29">
        <f t="shared" si="14"/>
        <v>0</v>
      </c>
    </row>
    <row r="265" spans="1:21" x14ac:dyDescent="0.35">
      <c r="A265" s="24"/>
      <c r="B265" s="33"/>
      <c r="C265" s="47"/>
      <c r="D265" s="47"/>
      <c r="E265" s="27"/>
      <c r="F265" s="27">
        <f t="shared" si="13"/>
        <v>0</v>
      </c>
      <c r="G265" s="24"/>
      <c r="H265" s="24"/>
      <c r="I265" s="24"/>
      <c r="J265" s="24"/>
      <c r="K265" s="24"/>
      <c r="L265" s="24"/>
      <c r="M265" s="24"/>
      <c r="N265" s="24"/>
      <c r="O265" s="24"/>
      <c r="P265" s="24"/>
      <c r="Q265" s="24"/>
      <c r="R265" s="24"/>
      <c r="S265" s="24"/>
      <c r="T265" s="24"/>
      <c r="U265" s="29">
        <f t="shared" si="14"/>
        <v>0</v>
      </c>
    </row>
    <row r="266" spans="1:21" x14ac:dyDescent="0.35">
      <c r="A266" s="24">
        <v>1</v>
      </c>
      <c r="B266" s="33" t="s">
        <v>412</v>
      </c>
      <c r="C266" s="47" t="s">
        <v>413</v>
      </c>
      <c r="D266" s="47">
        <v>120</v>
      </c>
      <c r="E266" s="27">
        <v>4000</v>
      </c>
      <c r="F266" s="27">
        <f t="shared" si="13"/>
        <v>480000</v>
      </c>
      <c r="G266" s="24"/>
      <c r="H266" s="24"/>
      <c r="I266" s="24"/>
      <c r="J266" s="24"/>
      <c r="K266" s="24"/>
      <c r="L266" s="24"/>
      <c r="M266" s="24"/>
      <c r="N266" s="24"/>
      <c r="O266" s="24"/>
      <c r="P266" s="24"/>
      <c r="Q266" s="24"/>
      <c r="R266" s="24"/>
      <c r="S266" s="24"/>
      <c r="T266" s="24"/>
      <c r="U266" s="29">
        <f t="shared" si="14"/>
        <v>480000</v>
      </c>
    </row>
    <row r="267" spans="1:21" x14ac:dyDescent="0.35">
      <c r="A267" s="24"/>
      <c r="B267" s="47"/>
      <c r="C267" s="47"/>
      <c r="D267" s="47"/>
      <c r="E267" s="27"/>
      <c r="F267" s="27">
        <f t="shared" si="13"/>
        <v>0</v>
      </c>
      <c r="G267" s="24"/>
      <c r="H267" s="24"/>
      <c r="I267" s="24"/>
      <c r="J267" s="24"/>
      <c r="K267" s="24"/>
      <c r="L267" s="24"/>
      <c r="M267" s="24"/>
      <c r="N267" s="24"/>
      <c r="O267" s="24"/>
      <c r="P267" s="24"/>
      <c r="Q267" s="24"/>
      <c r="R267" s="24"/>
      <c r="S267" s="24"/>
      <c r="T267" s="24"/>
      <c r="U267" s="29">
        <f t="shared" si="14"/>
        <v>0</v>
      </c>
    </row>
    <row r="268" spans="1:21" x14ac:dyDescent="0.35">
      <c r="A268" s="24"/>
      <c r="B268" s="24"/>
      <c r="C268" s="24"/>
      <c r="D268" s="24"/>
      <c r="E268" s="27"/>
      <c r="F268" s="27">
        <f t="shared" si="13"/>
        <v>0</v>
      </c>
      <c r="G268" s="24"/>
      <c r="H268" s="24"/>
      <c r="I268" s="24"/>
      <c r="J268" s="24"/>
      <c r="K268" s="24"/>
      <c r="L268" s="24"/>
      <c r="M268" s="24"/>
      <c r="N268" s="24"/>
      <c r="O268" s="24"/>
      <c r="P268" s="24"/>
      <c r="Q268" s="24"/>
      <c r="R268" s="24"/>
      <c r="S268" s="24"/>
      <c r="T268" s="36"/>
      <c r="U268" s="29">
        <f t="shared" si="14"/>
        <v>0</v>
      </c>
    </row>
    <row r="269" spans="1:21" x14ac:dyDescent="0.35">
      <c r="A269" s="24"/>
      <c r="B269" s="24"/>
      <c r="C269" s="24"/>
      <c r="D269" s="24"/>
      <c r="E269" s="27"/>
      <c r="F269" s="27">
        <f t="shared" si="13"/>
        <v>0</v>
      </c>
      <c r="G269" s="24"/>
      <c r="H269" s="24"/>
      <c r="I269" s="24"/>
      <c r="J269" s="24"/>
      <c r="K269" s="24"/>
      <c r="L269" s="24"/>
      <c r="M269" s="24"/>
      <c r="N269" s="24"/>
      <c r="O269" s="24"/>
      <c r="P269" s="24"/>
      <c r="Q269" s="24"/>
      <c r="R269" s="24"/>
      <c r="S269" s="24"/>
      <c r="T269" s="36"/>
      <c r="U269" s="29">
        <f t="shared" si="14"/>
        <v>0</v>
      </c>
    </row>
    <row r="270" spans="1:21" x14ac:dyDescent="0.35">
      <c r="A270" s="24"/>
      <c r="B270" s="24"/>
      <c r="C270" s="24"/>
      <c r="D270" s="24"/>
      <c r="E270" s="27"/>
      <c r="F270" s="27">
        <f t="shared" si="13"/>
        <v>0</v>
      </c>
      <c r="G270" s="24"/>
      <c r="H270" s="24"/>
      <c r="I270" s="24"/>
      <c r="J270" s="24"/>
      <c r="K270" s="24"/>
      <c r="L270" s="24"/>
      <c r="M270" s="24"/>
      <c r="N270" s="24"/>
      <c r="O270" s="24"/>
      <c r="P270" s="24"/>
      <c r="Q270" s="24"/>
      <c r="R270" s="24"/>
      <c r="S270" s="24"/>
      <c r="T270" s="24"/>
      <c r="U270" s="29">
        <f t="shared" si="14"/>
        <v>0</v>
      </c>
    </row>
    <row r="271" spans="1:21" x14ac:dyDescent="0.35">
      <c r="A271" s="24"/>
      <c r="B271" s="24"/>
      <c r="C271" s="24"/>
      <c r="D271" s="24"/>
      <c r="E271" s="27"/>
      <c r="F271" s="27">
        <f t="shared" si="13"/>
        <v>0</v>
      </c>
      <c r="G271" s="24"/>
      <c r="H271" s="24"/>
      <c r="I271" s="24"/>
      <c r="J271" s="24"/>
      <c r="K271" s="24"/>
      <c r="L271" s="24"/>
      <c r="M271" s="24"/>
      <c r="N271" s="24"/>
      <c r="O271" s="24"/>
      <c r="P271" s="24"/>
      <c r="Q271" s="24"/>
      <c r="R271" s="24"/>
      <c r="S271" s="24"/>
      <c r="T271" s="24"/>
      <c r="U271" s="29">
        <f t="shared" si="14"/>
        <v>0</v>
      </c>
    </row>
    <row r="272" spans="1:21" x14ac:dyDescent="0.35">
      <c r="A272" s="24" t="s">
        <v>414</v>
      </c>
      <c r="B272" s="24"/>
      <c r="C272" s="24"/>
      <c r="D272" s="24"/>
      <c r="E272" s="27"/>
      <c r="F272" s="27">
        <f t="shared" si="13"/>
        <v>0</v>
      </c>
      <c r="G272" s="24"/>
      <c r="H272" s="24"/>
      <c r="I272" s="24"/>
      <c r="J272" s="24"/>
      <c r="K272" s="24"/>
      <c r="L272" s="24"/>
      <c r="M272" s="24"/>
      <c r="N272" s="24"/>
      <c r="O272" s="24"/>
      <c r="P272" s="24"/>
      <c r="Q272" s="24"/>
      <c r="R272" s="24"/>
      <c r="S272" s="24"/>
      <c r="T272" s="24"/>
      <c r="U272" s="29">
        <f t="shared" si="14"/>
        <v>0</v>
      </c>
    </row>
    <row r="273" spans="1:21" x14ac:dyDescent="0.35">
      <c r="A273" s="24">
        <v>1</v>
      </c>
      <c r="B273" s="24" t="s">
        <v>415</v>
      </c>
      <c r="C273" s="24" t="s">
        <v>219</v>
      </c>
      <c r="D273" s="24">
        <v>1</v>
      </c>
      <c r="E273" s="27">
        <v>2500000</v>
      </c>
      <c r="F273" s="27">
        <f t="shared" si="13"/>
        <v>2500000</v>
      </c>
      <c r="G273" s="24"/>
      <c r="H273" s="24"/>
      <c r="I273" s="24"/>
      <c r="J273" s="24"/>
      <c r="K273" s="24"/>
      <c r="L273" s="24"/>
      <c r="M273" s="24"/>
      <c r="N273" s="24"/>
      <c r="O273" s="24"/>
      <c r="P273" s="24"/>
      <c r="Q273" s="24"/>
      <c r="R273" s="24"/>
      <c r="S273" s="24"/>
      <c r="T273" s="24"/>
      <c r="U273" s="29">
        <f t="shared" si="14"/>
        <v>2500000</v>
      </c>
    </row>
    <row r="274" spans="1:21" x14ac:dyDescent="0.35">
      <c r="A274" s="24">
        <v>2</v>
      </c>
      <c r="B274" s="35" t="s">
        <v>416</v>
      </c>
      <c r="C274" s="35" t="s">
        <v>417</v>
      </c>
      <c r="D274" s="35">
        <v>1</v>
      </c>
      <c r="E274" s="38">
        <v>9187000</v>
      </c>
      <c r="F274" s="38">
        <f t="shared" si="13"/>
        <v>9187000</v>
      </c>
      <c r="G274" s="35"/>
      <c r="H274" s="35"/>
      <c r="I274" s="35"/>
      <c r="J274" s="35"/>
      <c r="K274" s="35"/>
      <c r="L274" s="35"/>
      <c r="M274" s="35"/>
      <c r="N274" s="35"/>
      <c r="O274" s="35"/>
      <c r="P274" s="35"/>
      <c r="Q274" s="35"/>
      <c r="R274" s="35"/>
      <c r="S274" s="35"/>
      <c r="T274" s="35">
        <v>1</v>
      </c>
      <c r="U274" s="39">
        <f t="shared" si="14"/>
        <v>9187000</v>
      </c>
    </row>
    <row r="275" spans="1:21" x14ac:dyDescent="0.35">
      <c r="A275" s="24">
        <v>3</v>
      </c>
      <c r="B275" s="24" t="s">
        <v>416</v>
      </c>
      <c r="C275" s="24" t="s">
        <v>417</v>
      </c>
      <c r="D275" s="24">
        <v>1</v>
      </c>
      <c r="E275" s="27">
        <v>4925000</v>
      </c>
      <c r="F275" s="27">
        <f t="shared" si="13"/>
        <v>4925000</v>
      </c>
      <c r="G275" s="24"/>
      <c r="H275" s="24"/>
      <c r="I275" s="24"/>
      <c r="J275" s="24"/>
      <c r="K275" s="24"/>
      <c r="L275" s="24"/>
      <c r="M275" s="24"/>
      <c r="N275" s="24"/>
      <c r="O275" s="24"/>
      <c r="P275" s="24"/>
      <c r="Q275" s="24"/>
      <c r="R275" s="24"/>
      <c r="S275" s="24"/>
      <c r="T275" s="24"/>
      <c r="U275" s="29">
        <f t="shared" si="14"/>
        <v>4925000</v>
      </c>
    </row>
    <row r="276" spans="1:21" x14ac:dyDescent="0.35">
      <c r="A276" s="24"/>
      <c r="B276" s="24"/>
      <c r="C276" s="24"/>
      <c r="D276" s="24"/>
      <c r="E276" s="27"/>
      <c r="F276" s="27">
        <f t="shared" si="13"/>
        <v>0</v>
      </c>
      <c r="G276" s="24"/>
      <c r="H276" s="24"/>
      <c r="I276" s="24"/>
      <c r="J276" s="24"/>
      <c r="K276" s="24"/>
      <c r="L276" s="24"/>
      <c r="M276" s="24"/>
      <c r="N276" s="24"/>
      <c r="O276" s="24"/>
      <c r="P276" s="24"/>
      <c r="Q276" s="24"/>
      <c r="R276" s="24"/>
      <c r="S276" s="24"/>
      <c r="T276" s="24"/>
      <c r="U276" s="29">
        <f t="shared" si="14"/>
        <v>0</v>
      </c>
    </row>
    <row r="277" spans="1:21" x14ac:dyDescent="0.35">
      <c r="A277" s="24"/>
      <c r="B277" s="24"/>
      <c r="C277" s="24"/>
      <c r="D277" s="24"/>
      <c r="E277" s="27"/>
      <c r="F277" s="27">
        <f t="shared" si="13"/>
        <v>0</v>
      </c>
      <c r="G277" s="24"/>
      <c r="H277" s="24"/>
      <c r="I277" s="24"/>
      <c r="J277" s="24"/>
      <c r="K277" s="24"/>
      <c r="L277" s="24"/>
      <c r="M277" s="24"/>
      <c r="N277" s="24"/>
      <c r="O277" s="24"/>
      <c r="P277" s="24"/>
      <c r="Q277" s="24"/>
      <c r="R277" s="24"/>
      <c r="S277" s="24"/>
      <c r="T277" s="24"/>
      <c r="U277" s="29">
        <f t="shared" si="14"/>
        <v>0</v>
      </c>
    </row>
    <row r="278" spans="1:21" x14ac:dyDescent="0.35">
      <c r="A278" s="24"/>
      <c r="B278" s="24"/>
      <c r="C278" s="24"/>
      <c r="D278" s="24"/>
      <c r="E278" s="27"/>
      <c r="F278" s="27">
        <f t="shared" si="13"/>
        <v>0</v>
      </c>
      <c r="G278" s="24"/>
      <c r="H278" s="24"/>
      <c r="I278" s="24"/>
      <c r="J278" s="24"/>
      <c r="K278" s="24"/>
      <c r="L278" s="24"/>
      <c r="M278" s="24"/>
      <c r="N278" s="24"/>
      <c r="O278" s="24"/>
      <c r="P278" s="24"/>
      <c r="Q278" s="24"/>
      <c r="R278" s="24"/>
      <c r="S278" s="24"/>
      <c r="T278" s="24"/>
      <c r="U278" s="29">
        <f t="shared" si="14"/>
        <v>0</v>
      </c>
    </row>
    <row r="279" spans="1:21" x14ac:dyDescent="0.35">
      <c r="A279" s="24"/>
      <c r="B279" s="24"/>
      <c r="C279" s="24"/>
      <c r="D279" s="24"/>
      <c r="E279" s="27"/>
      <c r="F279" s="27">
        <f t="shared" si="13"/>
        <v>0</v>
      </c>
      <c r="G279" s="24"/>
      <c r="H279" s="24"/>
      <c r="I279" s="24"/>
      <c r="J279" s="24"/>
      <c r="K279" s="24"/>
      <c r="L279" s="24"/>
      <c r="M279" s="24"/>
      <c r="N279" s="24"/>
      <c r="O279" s="24"/>
      <c r="P279" s="24"/>
      <c r="Q279" s="24"/>
      <c r="R279" s="24"/>
      <c r="S279" s="24"/>
      <c r="T279" s="24"/>
      <c r="U279" s="29">
        <f t="shared" si="14"/>
        <v>0</v>
      </c>
    </row>
    <row r="280" spans="1:21" x14ac:dyDescent="0.35">
      <c r="A280" s="24"/>
      <c r="B280" s="24"/>
      <c r="C280" s="24"/>
      <c r="D280" s="24"/>
      <c r="E280" s="27"/>
      <c r="F280" s="27">
        <f t="shared" si="13"/>
        <v>0</v>
      </c>
      <c r="G280" s="24"/>
      <c r="H280" s="24"/>
      <c r="I280" s="24"/>
      <c r="J280" s="24"/>
      <c r="K280" s="24"/>
      <c r="L280" s="24"/>
      <c r="M280" s="24"/>
      <c r="N280" s="24"/>
      <c r="O280" s="24"/>
      <c r="P280" s="24"/>
      <c r="Q280" s="24"/>
      <c r="R280" s="24"/>
      <c r="S280" s="24"/>
      <c r="T280" s="24"/>
      <c r="U280" s="29">
        <f t="shared" si="14"/>
        <v>0</v>
      </c>
    </row>
    <row r="281" spans="1:21" x14ac:dyDescent="0.35">
      <c r="A281" s="24"/>
      <c r="B281" s="24"/>
      <c r="C281" s="24"/>
      <c r="D281" s="24"/>
      <c r="E281" s="27"/>
      <c r="F281" s="27">
        <f t="shared" si="13"/>
        <v>0</v>
      </c>
      <c r="G281" s="24"/>
      <c r="H281" s="24"/>
      <c r="I281" s="24"/>
      <c r="J281" s="24"/>
      <c r="K281" s="24"/>
      <c r="L281" s="24"/>
      <c r="M281" s="24"/>
      <c r="N281" s="24"/>
      <c r="O281" s="24"/>
      <c r="P281" s="24"/>
      <c r="Q281" s="24"/>
      <c r="R281" s="24"/>
      <c r="S281" s="24"/>
      <c r="T281" s="24"/>
      <c r="U281" s="29">
        <f t="shared" si="14"/>
        <v>0</v>
      </c>
    </row>
    <row r="282" spans="1:21" x14ac:dyDescent="0.35">
      <c r="A282" s="24" t="s">
        <v>418</v>
      </c>
      <c r="B282" s="24"/>
      <c r="C282" s="24"/>
      <c r="D282" s="24"/>
      <c r="E282" s="27"/>
      <c r="F282" s="27">
        <f t="shared" si="13"/>
        <v>0</v>
      </c>
      <c r="G282" s="24"/>
      <c r="H282" s="24"/>
      <c r="I282" s="24"/>
      <c r="J282" s="24"/>
      <c r="K282" s="24"/>
      <c r="L282" s="24"/>
      <c r="M282" s="24"/>
      <c r="N282" s="24"/>
      <c r="O282" s="24"/>
      <c r="P282" s="24"/>
      <c r="Q282" s="24"/>
      <c r="R282" s="24"/>
      <c r="S282" s="24"/>
      <c r="T282" s="24"/>
      <c r="U282" s="29">
        <f t="shared" si="14"/>
        <v>0</v>
      </c>
    </row>
    <row r="283" spans="1:21" x14ac:dyDescent="0.35">
      <c r="A283" s="66">
        <v>1</v>
      </c>
      <c r="B283" s="66" t="s">
        <v>94</v>
      </c>
      <c r="C283" s="66" t="s">
        <v>419</v>
      </c>
      <c r="D283" s="66">
        <v>1</v>
      </c>
      <c r="E283" s="67">
        <v>3500000</v>
      </c>
      <c r="F283" s="67">
        <f t="shared" si="13"/>
        <v>3500000</v>
      </c>
      <c r="G283" s="24"/>
      <c r="H283" s="24"/>
      <c r="I283" s="24"/>
      <c r="J283" s="24"/>
      <c r="K283" s="24"/>
      <c r="L283" s="24"/>
      <c r="M283" s="24"/>
      <c r="N283" s="24"/>
      <c r="O283" s="24"/>
      <c r="P283" s="24"/>
      <c r="Q283" s="24"/>
      <c r="R283" s="24"/>
      <c r="S283" s="24"/>
      <c r="T283" s="24">
        <v>1</v>
      </c>
      <c r="U283" s="29">
        <f t="shared" si="14"/>
        <v>3500000</v>
      </c>
    </row>
    <row r="284" spans="1:21" s="68" customFormat="1" x14ac:dyDescent="0.35">
      <c r="A284" s="35">
        <v>2</v>
      </c>
      <c r="B284" s="35" t="s">
        <v>94</v>
      </c>
      <c r="C284" s="35" t="s">
        <v>420</v>
      </c>
      <c r="D284" s="35">
        <v>1</v>
      </c>
      <c r="E284" s="38">
        <v>308000</v>
      </c>
      <c r="F284" s="38">
        <f t="shared" si="13"/>
        <v>308000</v>
      </c>
      <c r="G284" s="35"/>
      <c r="H284" s="35"/>
      <c r="I284" s="35"/>
      <c r="J284" s="35"/>
      <c r="K284" s="35"/>
      <c r="L284" s="35"/>
      <c r="M284" s="35"/>
      <c r="N284" s="35"/>
      <c r="O284" s="35"/>
      <c r="P284" s="35"/>
      <c r="Q284" s="35"/>
      <c r="R284" s="35"/>
      <c r="S284" s="35"/>
      <c r="T284" s="35">
        <v>1</v>
      </c>
      <c r="U284" s="39">
        <f t="shared" si="14"/>
        <v>308000</v>
      </c>
    </row>
    <row r="285" spans="1:21" x14ac:dyDescent="0.35">
      <c r="A285" s="24">
        <v>3</v>
      </c>
      <c r="B285" s="24" t="s">
        <v>94</v>
      </c>
      <c r="C285" s="24" t="s">
        <v>419</v>
      </c>
      <c r="D285" s="24">
        <v>1</v>
      </c>
      <c r="E285" s="27">
        <v>1280000</v>
      </c>
      <c r="F285" s="27">
        <f t="shared" si="13"/>
        <v>1280000</v>
      </c>
      <c r="G285" s="24"/>
      <c r="H285" s="24"/>
      <c r="I285" s="24"/>
      <c r="J285" s="24"/>
      <c r="K285" s="24"/>
      <c r="L285" s="24"/>
      <c r="M285" s="24"/>
      <c r="N285" s="24"/>
      <c r="O285" s="24"/>
      <c r="P285" s="24"/>
      <c r="Q285" s="24"/>
      <c r="R285" s="24"/>
      <c r="S285" s="24"/>
      <c r="T285" s="24"/>
      <c r="U285" s="29">
        <f t="shared" si="14"/>
        <v>1280000</v>
      </c>
    </row>
    <row r="286" spans="1:21" x14ac:dyDescent="0.35">
      <c r="A286" s="24"/>
      <c r="B286" s="24"/>
      <c r="C286" s="24"/>
      <c r="D286" s="24"/>
      <c r="E286" s="27"/>
      <c r="F286" s="27">
        <f t="shared" si="13"/>
        <v>0</v>
      </c>
      <c r="G286" s="24"/>
      <c r="H286" s="24"/>
      <c r="I286" s="24"/>
      <c r="J286" s="24"/>
      <c r="K286" s="24"/>
      <c r="L286" s="24"/>
      <c r="M286" s="24"/>
      <c r="N286" s="24"/>
      <c r="O286" s="24"/>
      <c r="P286" s="24"/>
      <c r="Q286" s="24"/>
      <c r="R286" s="24"/>
      <c r="S286" s="24"/>
      <c r="T286" s="24"/>
      <c r="U286" s="29">
        <f t="shared" si="14"/>
        <v>0</v>
      </c>
    </row>
    <row r="287" spans="1:21" x14ac:dyDescent="0.35">
      <c r="A287" s="24"/>
      <c r="B287" s="24"/>
      <c r="C287" s="24"/>
      <c r="D287" s="24"/>
      <c r="E287" s="27"/>
      <c r="F287" s="27">
        <f t="shared" si="13"/>
        <v>0</v>
      </c>
      <c r="G287" s="24"/>
      <c r="H287" s="24"/>
      <c r="I287" s="24"/>
      <c r="J287" s="24"/>
      <c r="K287" s="24"/>
      <c r="L287" s="24"/>
      <c r="M287" s="24"/>
      <c r="N287" s="24"/>
      <c r="O287" s="24"/>
      <c r="P287" s="24"/>
      <c r="Q287" s="24"/>
      <c r="R287" s="24"/>
      <c r="S287" s="24"/>
      <c r="T287" s="24"/>
      <c r="U287" s="29">
        <f t="shared" si="14"/>
        <v>0</v>
      </c>
    </row>
    <row r="288" spans="1:21" x14ac:dyDescent="0.35">
      <c r="A288" s="24"/>
      <c r="B288" s="24"/>
      <c r="C288" s="24"/>
      <c r="D288" s="24"/>
      <c r="E288" s="27"/>
      <c r="F288" s="27">
        <f t="shared" si="13"/>
        <v>0</v>
      </c>
      <c r="G288" s="24"/>
      <c r="H288" s="24"/>
      <c r="I288" s="24"/>
      <c r="J288" s="24"/>
      <c r="K288" s="24"/>
      <c r="L288" s="24"/>
      <c r="M288" s="24"/>
      <c r="N288" s="24"/>
      <c r="O288" s="24"/>
      <c r="P288" s="24"/>
      <c r="Q288" s="24"/>
      <c r="R288" s="24"/>
      <c r="S288" s="24"/>
      <c r="T288" s="24"/>
      <c r="U288" s="29">
        <f t="shared" si="14"/>
        <v>0</v>
      </c>
    </row>
    <row r="289" spans="1:21" x14ac:dyDescent="0.35">
      <c r="A289" s="24" t="s">
        <v>421</v>
      </c>
      <c r="B289" s="24"/>
      <c r="C289" s="24"/>
      <c r="D289" s="24"/>
      <c r="E289" s="27"/>
      <c r="F289" s="27">
        <f t="shared" si="13"/>
        <v>0</v>
      </c>
      <c r="G289" s="24"/>
      <c r="H289" s="24"/>
      <c r="I289" s="24"/>
      <c r="J289" s="24"/>
      <c r="K289" s="24"/>
      <c r="L289" s="24"/>
      <c r="M289" s="24"/>
      <c r="N289" s="24"/>
      <c r="O289" s="24"/>
      <c r="P289" s="24"/>
      <c r="Q289" s="24"/>
      <c r="R289" s="24"/>
      <c r="S289" s="24"/>
      <c r="T289" s="24"/>
      <c r="U289" s="29">
        <f t="shared" si="14"/>
        <v>0</v>
      </c>
    </row>
    <row r="290" spans="1:21" x14ac:dyDescent="0.35">
      <c r="A290" s="24"/>
      <c r="B290" s="24" t="s">
        <v>422</v>
      </c>
      <c r="C290" s="24" t="s">
        <v>423</v>
      </c>
      <c r="D290" s="24">
        <v>1</v>
      </c>
      <c r="E290" s="27">
        <v>80000</v>
      </c>
      <c r="F290" s="27">
        <f t="shared" si="13"/>
        <v>80000</v>
      </c>
      <c r="G290" s="24"/>
      <c r="H290" s="24"/>
      <c r="I290" s="24"/>
      <c r="J290" s="24"/>
      <c r="K290" s="24"/>
      <c r="L290" s="24"/>
      <c r="M290" s="24"/>
      <c r="N290" s="24"/>
      <c r="O290" s="24"/>
      <c r="P290" s="24"/>
      <c r="Q290" s="24"/>
      <c r="R290" s="24"/>
      <c r="S290" s="24"/>
      <c r="T290" s="24"/>
      <c r="U290" s="29">
        <f t="shared" si="14"/>
        <v>80000</v>
      </c>
    </row>
    <row r="291" spans="1:21" s="68" customFormat="1" x14ac:dyDescent="0.35">
      <c r="A291" s="24"/>
      <c r="B291" s="24"/>
      <c r="C291" s="24"/>
      <c r="D291" s="24"/>
      <c r="E291" s="27"/>
      <c r="F291" s="27"/>
      <c r="G291" s="24"/>
      <c r="H291" s="24"/>
      <c r="I291" s="24"/>
      <c r="J291" s="24"/>
      <c r="K291" s="24"/>
      <c r="L291" s="24"/>
      <c r="M291" s="24"/>
      <c r="N291" s="24"/>
      <c r="O291" s="24"/>
      <c r="P291" s="24"/>
      <c r="Q291" s="24"/>
      <c r="R291" s="24"/>
      <c r="S291" s="24"/>
      <c r="T291" s="24"/>
      <c r="U291" s="29">
        <f t="shared" si="14"/>
        <v>0</v>
      </c>
    </row>
    <row r="292" spans="1:21" x14ac:dyDescent="0.35">
      <c r="A292" s="24"/>
      <c r="B292" s="24"/>
      <c r="C292" s="24"/>
      <c r="D292" s="24"/>
      <c r="E292" s="27"/>
      <c r="F292" s="27"/>
      <c r="G292" s="24"/>
      <c r="H292" s="24"/>
      <c r="I292" s="24"/>
      <c r="J292" s="24"/>
      <c r="K292" s="24"/>
      <c r="L292" s="24"/>
      <c r="M292" s="24"/>
      <c r="N292" s="24"/>
      <c r="O292" s="24"/>
      <c r="P292" s="24"/>
      <c r="Q292" s="24"/>
      <c r="R292" s="24"/>
      <c r="S292" s="24"/>
      <c r="T292" s="24"/>
      <c r="U292" s="29">
        <f t="shared" si="14"/>
        <v>0</v>
      </c>
    </row>
    <row r="293" spans="1:21" x14ac:dyDescent="0.35">
      <c r="A293" s="24"/>
      <c r="B293" s="24"/>
      <c r="C293" s="24"/>
      <c r="D293" s="24"/>
      <c r="E293" s="27"/>
      <c r="F293" s="27"/>
      <c r="G293" s="24"/>
      <c r="H293" s="24"/>
      <c r="I293" s="24"/>
      <c r="J293" s="24"/>
      <c r="K293" s="24"/>
      <c r="L293" s="24"/>
      <c r="M293" s="24"/>
      <c r="N293" s="24"/>
      <c r="O293" s="24"/>
      <c r="P293" s="24"/>
      <c r="Q293" s="24"/>
      <c r="R293" s="24"/>
      <c r="S293" s="24"/>
      <c r="T293" s="24"/>
      <c r="U293" s="29">
        <f t="shared" si="14"/>
        <v>0</v>
      </c>
    </row>
    <row r="294" spans="1:21" x14ac:dyDescent="0.35">
      <c r="A294" s="180" t="s">
        <v>424</v>
      </c>
      <c r="B294" s="181"/>
      <c r="C294" s="24"/>
      <c r="D294" s="24"/>
      <c r="E294" s="27"/>
      <c r="F294" s="27"/>
      <c r="G294" s="24"/>
      <c r="H294" s="24"/>
      <c r="I294" s="24"/>
      <c r="J294" s="24"/>
      <c r="K294" s="24"/>
      <c r="L294" s="24"/>
      <c r="M294" s="24"/>
      <c r="N294" s="24"/>
      <c r="O294" s="24"/>
      <c r="P294" s="24"/>
      <c r="Q294" s="24"/>
      <c r="R294" s="24"/>
      <c r="S294" s="24"/>
      <c r="T294" s="24"/>
      <c r="U294" s="29">
        <f t="shared" si="14"/>
        <v>0</v>
      </c>
    </row>
    <row r="295" spans="1:21" x14ac:dyDescent="0.35">
      <c r="A295" s="24">
        <v>1</v>
      </c>
      <c r="B295" s="24" t="s">
        <v>425</v>
      </c>
      <c r="C295" s="24"/>
      <c r="D295" s="47">
        <v>1</v>
      </c>
      <c r="E295" s="55">
        <v>1920000</v>
      </c>
      <c r="F295" s="27">
        <f>D295*E295:E295</f>
        <v>1920000</v>
      </c>
      <c r="G295" s="24"/>
      <c r="H295" s="24"/>
      <c r="I295" s="24"/>
      <c r="J295" s="24"/>
      <c r="K295" s="24"/>
      <c r="L295" s="24"/>
      <c r="M295" s="24"/>
      <c r="N295" s="24"/>
      <c r="O295" s="24"/>
      <c r="P295" s="24"/>
      <c r="Q295" s="24"/>
      <c r="R295" s="24"/>
      <c r="S295" s="24"/>
      <c r="T295" s="47">
        <v>1</v>
      </c>
      <c r="U295" s="29">
        <f t="shared" si="14"/>
        <v>1920000</v>
      </c>
    </row>
    <row r="296" spans="1:21" x14ac:dyDescent="0.35">
      <c r="A296" s="24">
        <v>2</v>
      </c>
      <c r="B296" s="33" t="s">
        <v>426</v>
      </c>
      <c r="C296" s="24"/>
      <c r="D296" s="47">
        <v>1</v>
      </c>
      <c r="E296" s="55">
        <v>75000</v>
      </c>
      <c r="F296" s="27">
        <f t="shared" ref="F296:F298" si="15">D296*E295:E296</f>
        <v>75000</v>
      </c>
      <c r="G296" s="24"/>
      <c r="H296" s="24" t="s">
        <v>177</v>
      </c>
      <c r="I296" s="24"/>
      <c r="J296" s="24"/>
      <c r="K296" s="24"/>
      <c r="L296" s="24"/>
      <c r="M296" s="24"/>
      <c r="N296" s="24"/>
      <c r="O296" s="24"/>
      <c r="P296" s="24"/>
      <c r="Q296" s="24"/>
      <c r="R296" s="24"/>
      <c r="S296" s="24"/>
      <c r="T296" s="47">
        <v>1</v>
      </c>
      <c r="U296" s="29">
        <f t="shared" si="14"/>
        <v>75000</v>
      </c>
    </row>
    <row r="297" spans="1:21" s="68" customFormat="1" x14ac:dyDescent="0.35">
      <c r="A297" s="24">
        <v>3</v>
      </c>
      <c r="B297" s="33" t="s">
        <v>427</v>
      </c>
      <c r="C297" s="24"/>
      <c r="D297" s="47">
        <v>1</v>
      </c>
      <c r="E297" s="55">
        <v>1000000</v>
      </c>
      <c r="F297" s="27">
        <f t="shared" si="15"/>
        <v>1000000</v>
      </c>
      <c r="G297" s="24"/>
      <c r="H297" s="24" t="s">
        <v>177</v>
      </c>
      <c r="I297" s="24"/>
      <c r="J297" s="24"/>
      <c r="K297" s="24"/>
      <c r="L297" s="24"/>
      <c r="M297" s="24"/>
      <c r="N297" s="24"/>
      <c r="O297" s="24"/>
      <c r="P297" s="24"/>
      <c r="Q297" s="24"/>
      <c r="R297" s="24"/>
      <c r="S297" s="24"/>
      <c r="T297" s="47">
        <v>1</v>
      </c>
      <c r="U297" s="29">
        <f t="shared" si="14"/>
        <v>1000000</v>
      </c>
    </row>
    <row r="298" spans="1:21" ht="31" x14ac:dyDescent="0.35">
      <c r="A298" s="24">
        <v>4</v>
      </c>
      <c r="B298" s="33" t="s">
        <v>428</v>
      </c>
      <c r="C298" s="24"/>
      <c r="D298" s="47">
        <v>1</v>
      </c>
      <c r="E298" s="55">
        <v>750000</v>
      </c>
      <c r="F298" s="27">
        <f t="shared" si="15"/>
        <v>750000</v>
      </c>
      <c r="G298" s="24"/>
      <c r="H298" s="24" t="s">
        <v>177</v>
      </c>
      <c r="I298" s="24"/>
      <c r="J298" s="24"/>
      <c r="K298" s="24"/>
      <c r="L298" s="24"/>
      <c r="M298" s="24"/>
      <c r="N298" s="24"/>
      <c r="O298" s="24"/>
      <c r="P298" s="24"/>
      <c r="Q298" s="24"/>
      <c r="R298" s="24"/>
      <c r="S298" s="24"/>
      <c r="T298" s="47">
        <v>1</v>
      </c>
      <c r="U298" s="29">
        <f t="shared" si="14"/>
        <v>750000</v>
      </c>
    </row>
    <row r="299" spans="1:21" ht="31" x14ac:dyDescent="0.35">
      <c r="A299" s="24">
        <v>5</v>
      </c>
      <c r="B299" s="33" t="s">
        <v>429</v>
      </c>
      <c r="C299" s="24" t="s">
        <v>181</v>
      </c>
      <c r="D299" s="24">
        <v>1</v>
      </c>
      <c r="E299" s="69">
        <v>2200000</v>
      </c>
      <c r="F299" s="27">
        <f>D299*E299</f>
        <v>2200000</v>
      </c>
      <c r="G299" s="24"/>
      <c r="H299" s="24"/>
      <c r="I299" s="24"/>
      <c r="J299" s="24"/>
      <c r="K299" s="24"/>
      <c r="L299" s="24"/>
      <c r="M299" s="24"/>
      <c r="N299" s="24"/>
      <c r="O299" s="24"/>
      <c r="P299" s="24"/>
      <c r="Q299" s="24"/>
      <c r="R299" s="24"/>
      <c r="S299" s="24"/>
      <c r="T299" s="24">
        <v>1</v>
      </c>
      <c r="U299" s="29">
        <f t="shared" si="14"/>
        <v>2200000</v>
      </c>
    </row>
    <row r="300" spans="1:21" x14ac:dyDescent="0.35">
      <c r="A300" s="24">
        <v>6</v>
      </c>
      <c r="B300" s="70" t="s">
        <v>430</v>
      </c>
      <c r="C300" s="24"/>
      <c r="D300" s="24">
        <v>24</v>
      </c>
      <c r="E300" s="69">
        <v>600000</v>
      </c>
      <c r="F300" s="27">
        <f>D300*E300</f>
        <v>14400000</v>
      </c>
      <c r="G300" s="24"/>
      <c r="H300" s="24"/>
      <c r="I300" s="24"/>
      <c r="J300" s="24"/>
      <c r="K300" s="24"/>
      <c r="L300" s="24"/>
      <c r="M300" s="24"/>
      <c r="N300" s="24"/>
      <c r="O300" s="24"/>
      <c r="P300" s="24"/>
      <c r="Q300" s="24"/>
      <c r="R300" s="24"/>
      <c r="S300" s="24"/>
      <c r="T300" s="24">
        <v>24</v>
      </c>
      <c r="U300" s="29">
        <f t="shared" si="14"/>
        <v>14400000</v>
      </c>
    </row>
    <row r="301" spans="1:21" x14ac:dyDescent="0.35">
      <c r="A301" s="24">
        <v>7</v>
      </c>
      <c r="B301" s="24" t="s">
        <v>431</v>
      </c>
      <c r="C301" s="24"/>
      <c r="D301" s="24"/>
      <c r="E301" s="24"/>
      <c r="F301" s="27">
        <f t="shared" ref="F301:F328" si="16">D301*E301</f>
        <v>0</v>
      </c>
      <c r="G301" s="27"/>
      <c r="H301" s="24"/>
      <c r="I301" s="24"/>
      <c r="J301" s="24"/>
      <c r="K301" s="24"/>
      <c r="L301" s="24"/>
      <c r="M301" s="24"/>
      <c r="N301" s="24"/>
      <c r="O301" s="24"/>
      <c r="P301" s="24"/>
      <c r="Q301" s="24"/>
      <c r="R301" s="24"/>
      <c r="S301" s="24"/>
      <c r="T301" s="24"/>
      <c r="U301" s="29">
        <f>D324*E324</f>
        <v>0</v>
      </c>
    </row>
    <row r="302" spans="1:21" ht="46.5" x14ac:dyDescent="0.35">
      <c r="A302" s="24">
        <v>8</v>
      </c>
      <c r="B302" s="50" t="s">
        <v>432</v>
      </c>
      <c r="C302" s="24" t="s">
        <v>219</v>
      </c>
      <c r="D302" s="24"/>
      <c r="E302" s="24"/>
      <c r="F302" s="27">
        <f t="shared" si="16"/>
        <v>0</v>
      </c>
      <c r="G302" s="24"/>
      <c r="H302" s="24"/>
      <c r="I302" s="24"/>
      <c r="J302" s="24"/>
      <c r="K302" s="24"/>
      <c r="L302" s="24"/>
      <c r="M302" s="24"/>
      <c r="N302" s="24"/>
      <c r="O302" s="24"/>
      <c r="P302" s="24"/>
      <c r="Q302" s="24"/>
      <c r="R302" s="24"/>
      <c r="S302" s="24"/>
      <c r="T302" s="24"/>
      <c r="U302" s="29">
        <f>D331*E331</f>
        <v>560000</v>
      </c>
    </row>
    <row r="303" spans="1:21" ht="31" x14ac:dyDescent="0.35">
      <c r="A303" s="24">
        <v>9</v>
      </c>
      <c r="B303" s="33" t="s">
        <v>433</v>
      </c>
      <c r="C303" s="24"/>
      <c r="D303" s="24"/>
      <c r="E303" s="24"/>
      <c r="F303" s="27">
        <f t="shared" si="16"/>
        <v>0</v>
      </c>
      <c r="G303" s="24"/>
      <c r="H303" s="24"/>
      <c r="I303" s="24"/>
      <c r="J303" s="24"/>
      <c r="K303" s="24"/>
      <c r="L303" s="24"/>
      <c r="M303" s="24"/>
      <c r="N303" s="24"/>
      <c r="O303" s="24"/>
      <c r="P303" s="24"/>
      <c r="Q303" s="24"/>
      <c r="R303" s="24"/>
      <c r="S303" s="24"/>
      <c r="T303" s="24"/>
      <c r="U303" s="29">
        <f>D332*E332</f>
        <v>240000</v>
      </c>
    </row>
    <row r="304" spans="1:21" x14ac:dyDescent="0.35">
      <c r="A304" s="24">
        <v>10</v>
      </c>
      <c r="B304" s="33" t="s">
        <v>434</v>
      </c>
      <c r="C304" s="24" t="s">
        <v>181</v>
      </c>
      <c r="D304" s="24">
        <v>1</v>
      </c>
      <c r="E304" s="27">
        <v>1500000</v>
      </c>
      <c r="F304" s="27">
        <f t="shared" si="16"/>
        <v>1500000</v>
      </c>
      <c r="G304" s="24"/>
      <c r="H304" s="24"/>
      <c r="I304" s="24"/>
      <c r="J304" s="24"/>
      <c r="K304" s="24"/>
      <c r="L304" s="24"/>
      <c r="M304" s="24"/>
      <c r="N304" s="24"/>
      <c r="O304" s="24"/>
      <c r="P304" s="24"/>
      <c r="Q304" s="24"/>
      <c r="R304" s="24"/>
      <c r="S304" s="24"/>
      <c r="T304" s="24">
        <v>1</v>
      </c>
      <c r="U304" s="29">
        <f>D304*E304</f>
        <v>1500000</v>
      </c>
    </row>
    <row r="305" spans="1:21" x14ac:dyDescent="0.35">
      <c r="A305" s="35"/>
      <c r="B305" s="71"/>
      <c r="C305" s="35"/>
      <c r="D305" s="35"/>
      <c r="E305" s="38"/>
      <c r="F305" s="27">
        <f t="shared" si="16"/>
        <v>0</v>
      </c>
      <c r="G305" s="35"/>
      <c r="H305" s="35"/>
      <c r="I305" s="35"/>
      <c r="J305" s="35"/>
      <c r="K305" s="35"/>
      <c r="L305" s="35"/>
      <c r="M305" s="35"/>
      <c r="N305" s="35"/>
      <c r="O305" s="35"/>
      <c r="P305" s="35"/>
      <c r="Q305" s="35"/>
      <c r="R305" s="35"/>
      <c r="S305" s="35"/>
      <c r="T305" s="35"/>
      <c r="U305" s="39"/>
    </row>
    <row r="306" spans="1:21" x14ac:dyDescent="0.35">
      <c r="A306" s="35"/>
      <c r="B306" s="71"/>
      <c r="C306" s="35"/>
      <c r="D306" s="35"/>
      <c r="E306" s="38"/>
      <c r="F306" s="27">
        <f t="shared" si="16"/>
        <v>0</v>
      </c>
      <c r="G306" s="35"/>
      <c r="H306" s="35"/>
      <c r="I306" s="35"/>
      <c r="J306" s="35"/>
      <c r="K306" s="35"/>
      <c r="L306" s="35"/>
      <c r="M306" s="35"/>
      <c r="N306" s="35"/>
      <c r="O306" s="35"/>
      <c r="P306" s="35"/>
      <c r="Q306" s="35"/>
      <c r="R306" s="35"/>
      <c r="S306" s="35"/>
      <c r="T306" s="35"/>
      <c r="U306" s="39"/>
    </row>
    <row r="307" spans="1:21" x14ac:dyDescent="0.35">
      <c r="A307" s="35"/>
      <c r="B307" s="71"/>
      <c r="C307" s="35"/>
      <c r="D307" s="35"/>
      <c r="E307" s="38"/>
      <c r="F307" s="27">
        <f t="shared" si="16"/>
        <v>0</v>
      </c>
      <c r="G307" s="35"/>
      <c r="H307" s="35"/>
      <c r="I307" s="35"/>
      <c r="J307" s="35"/>
      <c r="K307" s="35"/>
      <c r="L307" s="35"/>
      <c r="M307" s="35"/>
      <c r="N307" s="35"/>
      <c r="O307" s="35"/>
      <c r="P307" s="35"/>
      <c r="Q307" s="35"/>
      <c r="R307" s="35"/>
      <c r="S307" s="35"/>
      <c r="T307" s="35"/>
      <c r="U307" s="39"/>
    </row>
    <row r="308" spans="1:21" x14ac:dyDescent="0.35">
      <c r="A308" s="35"/>
      <c r="B308" s="71"/>
      <c r="C308" s="35"/>
      <c r="D308" s="35"/>
      <c r="E308" s="38"/>
      <c r="F308" s="27">
        <f t="shared" si="16"/>
        <v>0</v>
      </c>
      <c r="G308" s="35"/>
      <c r="H308" s="35"/>
      <c r="I308" s="35"/>
      <c r="J308" s="35"/>
      <c r="K308" s="35"/>
      <c r="L308" s="35"/>
      <c r="M308" s="35"/>
      <c r="N308" s="35"/>
      <c r="O308" s="35"/>
      <c r="P308" s="35"/>
      <c r="Q308" s="35"/>
      <c r="R308" s="35"/>
      <c r="S308" s="35"/>
      <c r="T308" s="35"/>
      <c r="U308" s="39"/>
    </row>
    <row r="309" spans="1:21" x14ac:dyDescent="0.35">
      <c r="A309" s="35"/>
      <c r="B309" s="71"/>
      <c r="C309" s="35"/>
      <c r="D309" s="35"/>
      <c r="E309" s="38"/>
      <c r="F309" s="27">
        <f t="shared" si="16"/>
        <v>0</v>
      </c>
      <c r="G309" s="35"/>
      <c r="H309" s="35"/>
      <c r="I309" s="35"/>
      <c r="J309" s="35"/>
      <c r="K309" s="35"/>
      <c r="L309" s="35"/>
      <c r="M309" s="35"/>
      <c r="N309" s="35"/>
      <c r="O309" s="35"/>
      <c r="P309" s="35"/>
      <c r="Q309" s="35"/>
      <c r="R309" s="35"/>
      <c r="S309" s="35"/>
      <c r="T309" s="35"/>
      <c r="U309" s="39"/>
    </row>
    <row r="310" spans="1:21" x14ac:dyDescent="0.35">
      <c r="A310" s="35"/>
      <c r="B310" s="71"/>
      <c r="C310" s="35"/>
      <c r="D310" s="35"/>
      <c r="E310" s="38"/>
      <c r="F310" s="27">
        <f t="shared" si="16"/>
        <v>0</v>
      </c>
      <c r="G310" s="35"/>
      <c r="H310" s="35"/>
      <c r="I310" s="35"/>
      <c r="J310" s="35"/>
      <c r="K310" s="35"/>
      <c r="L310" s="35"/>
      <c r="M310" s="35"/>
      <c r="N310" s="35"/>
      <c r="O310" s="35"/>
      <c r="P310" s="35"/>
      <c r="Q310" s="35"/>
      <c r="R310" s="35"/>
      <c r="S310" s="35"/>
      <c r="T310" s="35"/>
      <c r="U310" s="39"/>
    </row>
    <row r="311" spans="1:21" x14ac:dyDescent="0.35">
      <c r="A311" s="35"/>
      <c r="B311" s="71"/>
      <c r="C311" s="35"/>
      <c r="D311" s="35"/>
      <c r="E311" s="38"/>
      <c r="F311" s="27">
        <f t="shared" si="16"/>
        <v>0</v>
      </c>
      <c r="G311" s="35"/>
      <c r="H311" s="35"/>
      <c r="I311" s="35"/>
      <c r="J311" s="35"/>
      <c r="K311" s="35"/>
      <c r="L311" s="35"/>
      <c r="M311" s="35"/>
      <c r="N311" s="35"/>
      <c r="O311" s="35"/>
      <c r="P311" s="35"/>
      <c r="Q311" s="35"/>
      <c r="R311" s="35"/>
      <c r="S311" s="35"/>
      <c r="T311" s="35"/>
      <c r="U311" s="39"/>
    </row>
    <row r="312" spans="1:21" x14ac:dyDescent="0.35">
      <c r="A312" s="35"/>
      <c r="B312" s="71"/>
      <c r="C312" s="35"/>
      <c r="D312" s="35"/>
      <c r="E312" s="38"/>
      <c r="F312" s="27">
        <f t="shared" si="16"/>
        <v>0</v>
      </c>
      <c r="G312" s="35"/>
      <c r="H312" s="35"/>
      <c r="I312" s="35"/>
      <c r="J312" s="35"/>
      <c r="K312" s="35"/>
      <c r="L312" s="35"/>
      <c r="M312" s="35"/>
      <c r="N312" s="35"/>
      <c r="O312" s="35"/>
      <c r="P312" s="35"/>
      <c r="Q312" s="35"/>
      <c r="R312" s="35"/>
      <c r="S312" s="35"/>
      <c r="T312" s="35"/>
      <c r="U312" s="39"/>
    </row>
    <row r="313" spans="1:21" x14ac:dyDescent="0.35">
      <c r="A313" s="35"/>
      <c r="B313" s="71"/>
      <c r="C313" s="35"/>
      <c r="D313" s="35"/>
      <c r="E313" s="38"/>
      <c r="F313" s="27">
        <f t="shared" si="16"/>
        <v>0</v>
      </c>
      <c r="G313" s="35"/>
      <c r="H313" s="35"/>
      <c r="I313" s="35"/>
      <c r="J313" s="35"/>
      <c r="K313" s="35"/>
      <c r="L313" s="35"/>
      <c r="M313" s="35"/>
      <c r="N313" s="35"/>
      <c r="O313" s="35"/>
      <c r="P313" s="35"/>
      <c r="Q313" s="35"/>
      <c r="R313" s="35"/>
      <c r="S313" s="35"/>
      <c r="T313" s="35"/>
      <c r="U313" s="39"/>
    </row>
    <row r="314" spans="1:21" x14ac:dyDescent="0.35">
      <c r="A314" s="35"/>
      <c r="B314" s="71"/>
      <c r="C314" s="35"/>
      <c r="D314" s="35"/>
      <c r="E314" s="38"/>
      <c r="F314" s="27">
        <f t="shared" si="16"/>
        <v>0</v>
      </c>
      <c r="G314" s="35"/>
      <c r="H314" s="35"/>
      <c r="I314" s="35"/>
      <c r="J314" s="35"/>
      <c r="K314" s="35"/>
      <c r="L314" s="35"/>
      <c r="M314" s="35"/>
      <c r="N314" s="35"/>
      <c r="O314" s="35"/>
      <c r="P314" s="35"/>
      <c r="Q314" s="35"/>
      <c r="R314" s="35"/>
      <c r="S314" s="35"/>
      <c r="T314" s="35"/>
      <c r="U314" s="39"/>
    </row>
    <row r="315" spans="1:21" x14ac:dyDescent="0.35">
      <c r="A315" s="35"/>
      <c r="B315" s="71"/>
      <c r="C315" s="35"/>
      <c r="D315" s="35"/>
      <c r="E315" s="38"/>
      <c r="F315" s="27">
        <f t="shared" si="16"/>
        <v>0</v>
      </c>
      <c r="G315" s="35"/>
      <c r="H315" s="35"/>
      <c r="I315" s="35"/>
      <c r="J315" s="35"/>
      <c r="K315" s="35"/>
      <c r="L315" s="35"/>
      <c r="M315" s="35"/>
      <c r="N315" s="35"/>
      <c r="O315" s="35"/>
      <c r="P315" s="35"/>
      <c r="Q315" s="35"/>
      <c r="R315" s="35"/>
      <c r="S315" s="35"/>
      <c r="T315" s="35"/>
      <c r="U315" s="39"/>
    </row>
    <row r="316" spans="1:21" ht="31" x14ac:dyDescent="0.35">
      <c r="A316" s="35"/>
      <c r="B316" s="71" t="s">
        <v>435</v>
      </c>
      <c r="C316" s="35" t="s">
        <v>193</v>
      </c>
      <c r="D316" s="35">
        <v>1</v>
      </c>
      <c r="E316" s="38"/>
      <c r="F316" s="27">
        <f t="shared" si="16"/>
        <v>0</v>
      </c>
      <c r="G316" s="35"/>
      <c r="H316" s="35"/>
      <c r="I316" s="35"/>
      <c r="J316" s="35"/>
      <c r="K316" s="35"/>
      <c r="L316" s="35"/>
      <c r="M316" s="35"/>
      <c r="N316" s="35"/>
      <c r="O316" s="35"/>
      <c r="P316" s="35"/>
      <c r="Q316" s="35"/>
      <c r="R316" s="35"/>
      <c r="S316" s="35"/>
      <c r="T316" s="35"/>
      <c r="U316" s="39"/>
    </row>
    <row r="317" spans="1:21" x14ac:dyDescent="0.35">
      <c r="A317" s="35"/>
      <c r="B317" s="71" t="s">
        <v>436</v>
      </c>
      <c r="C317" s="35" t="s">
        <v>193</v>
      </c>
      <c r="D317" s="35">
        <v>1</v>
      </c>
      <c r="E317" s="38"/>
      <c r="F317" s="27">
        <f t="shared" si="16"/>
        <v>0</v>
      </c>
      <c r="G317" s="35"/>
      <c r="H317" s="35"/>
      <c r="I317" s="35"/>
      <c r="J317" s="35"/>
      <c r="K317" s="35"/>
      <c r="L317" s="35"/>
      <c r="M317" s="35"/>
      <c r="N317" s="35"/>
      <c r="O317" s="35"/>
      <c r="P317" s="35"/>
      <c r="Q317" s="35"/>
      <c r="R317" s="35"/>
      <c r="S317" s="35"/>
      <c r="T317" s="35"/>
      <c r="U317" s="39"/>
    </row>
    <row r="318" spans="1:21" ht="31" x14ac:dyDescent="0.35">
      <c r="A318" s="35"/>
      <c r="B318" s="71" t="s">
        <v>437</v>
      </c>
      <c r="C318" s="35" t="s">
        <v>193</v>
      </c>
      <c r="D318" s="35">
        <v>1</v>
      </c>
      <c r="E318" s="38"/>
      <c r="F318" s="27">
        <f t="shared" si="16"/>
        <v>0</v>
      </c>
      <c r="G318" s="35"/>
      <c r="H318" s="35"/>
      <c r="I318" s="35"/>
      <c r="J318" s="35"/>
      <c r="K318" s="35"/>
      <c r="L318" s="35"/>
      <c r="M318" s="35"/>
      <c r="N318" s="35"/>
      <c r="O318" s="35"/>
      <c r="P318" s="35"/>
      <c r="Q318" s="35"/>
      <c r="R318" s="35"/>
      <c r="S318" s="35"/>
      <c r="T318" s="35"/>
      <c r="U318" s="39"/>
    </row>
    <row r="319" spans="1:21" x14ac:dyDescent="0.35">
      <c r="A319" s="35"/>
      <c r="B319" s="71" t="s">
        <v>438</v>
      </c>
      <c r="C319" s="35" t="s">
        <v>193</v>
      </c>
      <c r="D319" s="35">
        <v>3</v>
      </c>
      <c r="E319" s="38"/>
      <c r="F319" s="27">
        <f t="shared" si="16"/>
        <v>0</v>
      </c>
      <c r="G319" s="35"/>
      <c r="H319" s="35"/>
      <c r="I319" s="35"/>
      <c r="J319" s="35"/>
      <c r="K319" s="35"/>
      <c r="L319" s="35"/>
      <c r="M319" s="35"/>
      <c r="N319" s="35"/>
      <c r="O319" s="35"/>
      <c r="P319" s="35"/>
      <c r="Q319" s="35"/>
      <c r="R319" s="35"/>
      <c r="S319" s="35"/>
      <c r="T319" s="35"/>
      <c r="U319" s="39"/>
    </row>
    <row r="320" spans="1:21" x14ac:dyDescent="0.35">
      <c r="A320" s="35"/>
      <c r="B320" s="71"/>
      <c r="C320" s="35"/>
      <c r="D320" s="35"/>
      <c r="E320" s="38"/>
      <c r="F320" s="27">
        <f t="shared" si="16"/>
        <v>0</v>
      </c>
      <c r="G320" s="35"/>
      <c r="H320" s="35"/>
      <c r="I320" s="35"/>
      <c r="J320" s="35"/>
      <c r="K320" s="35"/>
      <c r="L320" s="35"/>
      <c r="M320" s="35"/>
      <c r="N320" s="35"/>
      <c r="O320" s="35"/>
      <c r="P320" s="35"/>
      <c r="Q320" s="35"/>
      <c r="R320" s="35"/>
      <c r="S320" s="35"/>
      <c r="T320" s="35"/>
      <c r="U320" s="39"/>
    </row>
    <row r="321" spans="1:21" x14ac:dyDescent="0.35">
      <c r="A321" s="35"/>
      <c r="B321" s="71"/>
      <c r="C321" s="35"/>
      <c r="D321" s="35"/>
      <c r="E321" s="38"/>
      <c r="F321" s="27">
        <f t="shared" si="16"/>
        <v>0</v>
      </c>
      <c r="G321" s="35"/>
      <c r="H321" s="35"/>
      <c r="I321" s="35"/>
      <c r="J321" s="35"/>
      <c r="K321" s="35"/>
      <c r="L321" s="35"/>
      <c r="M321" s="35"/>
      <c r="N321" s="35"/>
      <c r="O321" s="35"/>
      <c r="P321" s="35"/>
      <c r="Q321" s="35"/>
      <c r="R321" s="35"/>
      <c r="S321" s="35"/>
      <c r="T321" s="35"/>
      <c r="U321" s="39"/>
    </row>
    <row r="322" spans="1:21" x14ac:dyDescent="0.35">
      <c r="A322" s="35"/>
      <c r="B322" s="71" t="s">
        <v>439</v>
      </c>
      <c r="C322" s="35" t="s">
        <v>193</v>
      </c>
      <c r="D322" s="35">
        <v>2</v>
      </c>
      <c r="E322" s="38"/>
      <c r="F322" s="27">
        <f t="shared" si="16"/>
        <v>0</v>
      </c>
      <c r="G322" s="35"/>
      <c r="H322" s="35"/>
      <c r="I322" s="35"/>
      <c r="J322" s="35"/>
      <c r="K322" s="35"/>
      <c r="L322" s="35"/>
      <c r="M322" s="35"/>
      <c r="N322" s="35"/>
      <c r="O322" s="35"/>
      <c r="P322" s="35"/>
      <c r="Q322" s="35"/>
      <c r="R322" s="35"/>
      <c r="S322" s="35"/>
      <c r="T322" s="35"/>
      <c r="U322" s="39"/>
    </row>
    <row r="323" spans="1:21" x14ac:dyDescent="0.35">
      <c r="A323" s="24"/>
      <c r="B323" s="50"/>
      <c r="C323" s="24"/>
      <c r="D323" s="24"/>
      <c r="E323" s="24"/>
      <c r="F323" s="27">
        <f t="shared" si="16"/>
        <v>0</v>
      </c>
      <c r="G323" s="24"/>
      <c r="H323" s="24"/>
      <c r="I323" s="24"/>
      <c r="J323" s="24"/>
      <c r="K323" s="24"/>
      <c r="L323" s="24"/>
      <c r="M323" s="24"/>
      <c r="N323" s="24"/>
      <c r="O323" s="24"/>
      <c r="P323" s="24"/>
      <c r="Q323" s="24"/>
      <c r="R323" s="24"/>
      <c r="S323" s="24"/>
      <c r="T323" s="24"/>
      <c r="U323" s="29">
        <f t="shared" ref="U323:U332" si="17">D323*E323</f>
        <v>0</v>
      </c>
    </row>
    <row r="324" spans="1:21" x14ac:dyDescent="0.35">
      <c r="A324" s="25" t="s">
        <v>440</v>
      </c>
      <c r="B324" s="72"/>
      <c r="C324" s="24"/>
      <c r="D324" s="24"/>
      <c r="E324" s="24"/>
      <c r="F324" s="27">
        <f t="shared" si="16"/>
        <v>0</v>
      </c>
      <c r="G324" s="24"/>
      <c r="H324" s="24"/>
      <c r="I324" s="24"/>
      <c r="J324" s="24"/>
      <c r="K324" s="24"/>
      <c r="L324" s="24"/>
      <c r="M324" s="24"/>
      <c r="N324" s="24"/>
      <c r="O324" s="24"/>
      <c r="P324" s="24"/>
      <c r="Q324" s="24"/>
      <c r="R324" s="24"/>
      <c r="S324" s="24"/>
      <c r="T324" s="24"/>
      <c r="U324" s="29">
        <f t="shared" si="17"/>
        <v>0</v>
      </c>
    </row>
    <row r="325" spans="1:21" x14ac:dyDescent="0.35">
      <c r="A325" s="73"/>
      <c r="B325" s="37" t="s">
        <v>441</v>
      </c>
      <c r="C325" s="35" t="s">
        <v>193</v>
      </c>
      <c r="D325" s="35">
        <v>4</v>
      </c>
      <c r="E325" s="35"/>
      <c r="F325" s="38">
        <f t="shared" si="16"/>
        <v>0</v>
      </c>
      <c r="G325" s="35"/>
      <c r="H325" s="35"/>
      <c r="I325" s="35"/>
      <c r="J325" s="35"/>
      <c r="K325" s="35"/>
      <c r="L325" s="35"/>
      <c r="M325" s="35"/>
      <c r="N325" s="35"/>
      <c r="O325" s="35"/>
      <c r="P325" s="35"/>
      <c r="Q325" s="35"/>
      <c r="R325" s="35"/>
      <c r="S325" s="35"/>
      <c r="T325" s="35"/>
      <c r="U325" s="39"/>
    </row>
    <row r="326" spans="1:21" x14ac:dyDescent="0.35">
      <c r="A326" s="35"/>
      <c r="B326" s="37" t="s">
        <v>442</v>
      </c>
      <c r="C326" s="35" t="s">
        <v>193</v>
      </c>
      <c r="D326" s="35">
        <v>10</v>
      </c>
      <c r="E326" s="35"/>
      <c r="F326" s="38">
        <f t="shared" si="16"/>
        <v>0</v>
      </c>
      <c r="G326" s="35"/>
      <c r="H326" s="35"/>
      <c r="I326" s="35"/>
      <c r="J326" s="35"/>
      <c r="K326" s="35"/>
      <c r="L326" s="35"/>
      <c r="M326" s="35"/>
      <c r="N326" s="35"/>
      <c r="O326" s="35"/>
      <c r="P326" s="35"/>
      <c r="Q326" s="35"/>
      <c r="R326" s="35"/>
      <c r="S326" s="35"/>
      <c r="T326" s="35"/>
      <c r="U326" s="39"/>
    </row>
    <row r="327" spans="1:21" x14ac:dyDescent="0.35">
      <c r="A327" s="35"/>
      <c r="B327" s="37" t="s">
        <v>443</v>
      </c>
      <c r="C327" s="35" t="s">
        <v>193</v>
      </c>
      <c r="D327" s="35">
        <v>5</v>
      </c>
      <c r="E327" s="35">
        <v>26000</v>
      </c>
      <c r="F327" s="38">
        <f t="shared" si="16"/>
        <v>130000</v>
      </c>
      <c r="G327" s="35"/>
      <c r="H327" s="35"/>
      <c r="I327" s="35"/>
      <c r="J327" s="35"/>
      <c r="K327" s="35"/>
      <c r="L327" s="35"/>
      <c r="M327" s="35"/>
      <c r="N327" s="35"/>
      <c r="O327" s="35"/>
      <c r="P327" s="35"/>
      <c r="Q327" s="35"/>
      <c r="R327" s="35"/>
      <c r="S327" s="35"/>
      <c r="T327" s="35"/>
      <c r="U327" s="39"/>
    </row>
    <row r="328" spans="1:21" x14ac:dyDescent="0.35">
      <c r="A328" s="73"/>
      <c r="B328" s="37" t="s">
        <v>444</v>
      </c>
      <c r="C328" s="35" t="s">
        <v>193</v>
      </c>
      <c r="D328" s="35">
        <v>2</v>
      </c>
      <c r="E328" s="35">
        <v>490000</v>
      </c>
      <c r="F328" s="38">
        <f t="shared" si="16"/>
        <v>980000</v>
      </c>
      <c r="G328" s="35"/>
      <c r="H328" s="35"/>
      <c r="I328" s="35"/>
      <c r="J328" s="35"/>
      <c r="K328" s="35"/>
      <c r="L328" s="35"/>
      <c r="M328" s="35"/>
      <c r="N328" s="35"/>
      <c r="O328" s="35"/>
      <c r="P328" s="35"/>
      <c r="Q328" s="35"/>
      <c r="R328" s="35"/>
      <c r="S328" s="35"/>
      <c r="T328" s="35"/>
      <c r="U328" s="39"/>
    </row>
    <row r="329" spans="1:21" x14ac:dyDescent="0.35">
      <c r="A329" s="73"/>
      <c r="B329" s="37"/>
      <c r="C329" s="35"/>
      <c r="D329" s="35"/>
      <c r="E329" s="35"/>
      <c r="F329" s="38"/>
      <c r="G329" s="35"/>
      <c r="H329" s="35"/>
      <c r="I329" s="35"/>
      <c r="J329" s="35"/>
      <c r="K329" s="35"/>
      <c r="L329" s="35"/>
      <c r="M329" s="35"/>
      <c r="N329" s="35"/>
      <c r="O329" s="35"/>
      <c r="P329" s="35"/>
      <c r="Q329" s="35"/>
      <c r="R329" s="35"/>
      <c r="S329" s="35"/>
      <c r="T329" s="35"/>
      <c r="U329" s="39"/>
    </row>
    <row r="330" spans="1:21" x14ac:dyDescent="0.35">
      <c r="A330" s="73"/>
      <c r="B330" s="37"/>
      <c r="C330" s="35"/>
      <c r="D330" s="35"/>
      <c r="E330" s="35"/>
      <c r="F330" s="38"/>
      <c r="G330" s="35"/>
      <c r="H330" s="35"/>
      <c r="I330" s="35"/>
      <c r="J330" s="35"/>
      <c r="K330" s="35"/>
      <c r="L330" s="35"/>
      <c r="M330" s="35"/>
      <c r="N330" s="35"/>
      <c r="O330" s="35"/>
      <c r="P330" s="35"/>
      <c r="Q330" s="35"/>
      <c r="R330" s="35"/>
      <c r="S330" s="35"/>
      <c r="T330" s="35"/>
      <c r="U330" s="39"/>
    </row>
    <row r="331" spans="1:21" x14ac:dyDescent="0.35">
      <c r="A331" s="35">
        <v>1</v>
      </c>
      <c r="B331" s="37" t="s">
        <v>445</v>
      </c>
      <c r="C331" s="35" t="s">
        <v>423</v>
      </c>
      <c r="D331" s="35">
        <v>2</v>
      </c>
      <c r="E331" s="74">
        <v>280000</v>
      </c>
      <c r="F331" s="35">
        <f>D331*E331</f>
        <v>560000</v>
      </c>
      <c r="G331" s="35" t="s">
        <v>165</v>
      </c>
      <c r="H331" s="35" t="s">
        <v>177</v>
      </c>
      <c r="I331" s="35" t="s">
        <v>23</v>
      </c>
      <c r="J331" s="35"/>
      <c r="K331" s="35"/>
      <c r="L331" s="35"/>
      <c r="M331" s="35"/>
      <c r="N331" s="35"/>
      <c r="O331" s="35"/>
      <c r="P331" s="35"/>
      <c r="Q331" s="35"/>
      <c r="R331" s="35"/>
      <c r="S331" s="35"/>
      <c r="T331" s="35">
        <v>2</v>
      </c>
      <c r="U331" s="39">
        <f t="shared" si="17"/>
        <v>560000</v>
      </c>
    </row>
    <row r="332" spans="1:21" x14ac:dyDescent="0.35">
      <c r="A332" s="35">
        <v>2</v>
      </c>
      <c r="B332" s="37" t="s">
        <v>446</v>
      </c>
      <c r="C332" s="35" t="s">
        <v>423</v>
      </c>
      <c r="D332" s="35">
        <v>1</v>
      </c>
      <c r="E332" s="35">
        <v>240000</v>
      </c>
      <c r="F332" s="35">
        <f t="shared" ref="F332:F336" si="18">D332*E332</f>
        <v>240000</v>
      </c>
      <c r="G332" s="35" t="s">
        <v>165</v>
      </c>
      <c r="H332" s="35" t="s">
        <v>177</v>
      </c>
      <c r="I332" s="35" t="s">
        <v>23</v>
      </c>
      <c r="J332" s="35"/>
      <c r="K332" s="35"/>
      <c r="L332" s="35"/>
      <c r="M332" s="35"/>
      <c r="N332" s="35"/>
      <c r="O332" s="35"/>
      <c r="P332" s="35"/>
      <c r="Q332" s="35"/>
      <c r="R332" s="35"/>
      <c r="S332" s="35"/>
      <c r="T332" s="35">
        <v>1</v>
      </c>
      <c r="U332" s="39">
        <f t="shared" si="17"/>
        <v>240000</v>
      </c>
    </row>
    <row r="333" spans="1:21" x14ac:dyDescent="0.35">
      <c r="A333" s="35">
        <v>3</v>
      </c>
      <c r="B333" s="37" t="s">
        <v>447</v>
      </c>
      <c r="C333" s="35" t="s">
        <v>423</v>
      </c>
      <c r="D333" s="35">
        <v>20</v>
      </c>
      <c r="E333" s="35">
        <v>90000</v>
      </c>
      <c r="F333" s="35">
        <f t="shared" si="18"/>
        <v>1800000</v>
      </c>
      <c r="G333" s="35" t="s">
        <v>165</v>
      </c>
      <c r="H333" s="35" t="s">
        <v>177</v>
      </c>
      <c r="I333" s="35" t="s">
        <v>23</v>
      </c>
      <c r="J333" s="35"/>
      <c r="K333" s="35"/>
      <c r="L333" s="35"/>
      <c r="M333" s="35"/>
      <c r="N333" s="35"/>
      <c r="O333" s="35"/>
      <c r="P333" s="35"/>
      <c r="Q333" s="35"/>
      <c r="R333" s="35"/>
      <c r="S333" s="35"/>
      <c r="T333" s="35"/>
      <c r="U333" s="39">
        <f>D339*E339</f>
        <v>960000</v>
      </c>
    </row>
    <row r="334" spans="1:21" x14ac:dyDescent="0.35">
      <c r="A334" s="35">
        <v>4</v>
      </c>
      <c r="B334" s="37" t="s">
        <v>448</v>
      </c>
      <c r="C334" s="35" t="s">
        <v>423</v>
      </c>
      <c r="D334" s="35">
        <v>20</v>
      </c>
      <c r="E334" s="35"/>
      <c r="F334" s="35">
        <f t="shared" si="18"/>
        <v>0</v>
      </c>
      <c r="G334" s="35" t="s">
        <v>165</v>
      </c>
      <c r="H334" s="35" t="s">
        <v>177</v>
      </c>
      <c r="I334" s="35" t="s">
        <v>23</v>
      </c>
      <c r="J334" s="35"/>
      <c r="K334" s="35"/>
      <c r="L334" s="35"/>
      <c r="M334" s="35"/>
      <c r="N334" s="35"/>
      <c r="O334" s="35"/>
      <c r="P334" s="35"/>
      <c r="Q334" s="35"/>
      <c r="R334" s="35"/>
      <c r="S334" s="35"/>
      <c r="T334" s="35"/>
      <c r="U334" s="39">
        <f>D351*E351</f>
        <v>0</v>
      </c>
    </row>
    <row r="335" spans="1:21" x14ac:dyDescent="0.35">
      <c r="A335" s="35">
        <v>5</v>
      </c>
      <c r="B335" s="37" t="s">
        <v>449</v>
      </c>
      <c r="C335" s="35" t="s">
        <v>423</v>
      </c>
      <c r="D335" s="35">
        <v>10</v>
      </c>
      <c r="E335" s="35"/>
      <c r="F335" s="35">
        <f t="shared" si="18"/>
        <v>0</v>
      </c>
      <c r="G335" s="35" t="s">
        <v>165</v>
      </c>
      <c r="H335" s="35" t="s">
        <v>177</v>
      </c>
      <c r="I335" s="35" t="s">
        <v>23</v>
      </c>
      <c r="J335" s="35"/>
      <c r="K335" s="35"/>
      <c r="L335" s="35"/>
      <c r="M335" s="35"/>
      <c r="N335" s="35"/>
      <c r="O335" s="35"/>
      <c r="P335" s="35"/>
      <c r="Q335" s="35"/>
      <c r="R335" s="35"/>
      <c r="S335" s="35"/>
      <c r="T335" s="35"/>
      <c r="U335" s="39">
        <f>D352*E352</f>
        <v>0</v>
      </c>
    </row>
    <row r="336" spans="1:21" x14ac:dyDescent="0.35">
      <c r="A336" s="35">
        <v>6</v>
      </c>
      <c r="B336" s="37" t="s">
        <v>450</v>
      </c>
      <c r="C336" s="35" t="s">
        <v>423</v>
      </c>
      <c r="D336" s="35">
        <v>2</v>
      </c>
      <c r="E336" s="35"/>
      <c r="F336" s="35">
        <f t="shared" si="18"/>
        <v>0</v>
      </c>
      <c r="G336" s="35" t="s">
        <v>165</v>
      </c>
      <c r="H336" s="35" t="s">
        <v>177</v>
      </c>
      <c r="I336" s="35" t="s">
        <v>23</v>
      </c>
      <c r="J336" s="35"/>
      <c r="K336" s="35"/>
      <c r="L336" s="35"/>
      <c r="M336" s="35"/>
      <c r="N336" s="35"/>
      <c r="O336" s="35"/>
      <c r="P336" s="35"/>
      <c r="Q336" s="35"/>
      <c r="R336" s="35"/>
      <c r="S336" s="35"/>
      <c r="T336" s="35"/>
      <c r="U336" s="39" t="e">
        <f>#REF!*#REF!</f>
        <v>#REF!</v>
      </c>
    </row>
    <row r="337" spans="1:21" x14ac:dyDescent="0.35">
      <c r="A337" s="35">
        <v>7</v>
      </c>
      <c r="B337" s="37" t="s">
        <v>451</v>
      </c>
      <c r="C337" s="35" t="s">
        <v>193</v>
      </c>
      <c r="D337" s="35">
        <v>2</v>
      </c>
      <c r="E337" s="35"/>
      <c r="F337" s="35">
        <f>D337*E337</f>
        <v>0</v>
      </c>
      <c r="G337" s="35" t="s">
        <v>165</v>
      </c>
      <c r="H337" s="35" t="s">
        <v>177</v>
      </c>
      <c r="I337" s="35" t="s">
        <v>23</v>
      </c>
      <c r="J337" s="35"/>
      <c r="K337" s="35"/>
      <c r="L337" s="35"/>
      <c r="M337" s="35"/>
      <c r="N337" s="35"/>
      <c r="O337" s="35"/>
      <c r="P337" s="35"/>
      <c r="Q337" s="35"/>
      <c r="R337" s="35"/>
      <c r="S337" s="35"/>
      <c r="T337" s="35"/>
      <c r="U337" s="39">
        <f>D385*E385</f>
        <v>0</v>
      </c>
    </row>
    <row r="338" spans="1:21" x14ac:dyDescent="0.35">
      <c r="A338" s="75">
        <v>8</v>
      </c>
      <c r="B338" s="76" t="s">
        <v>452</v>
      </c>
      <c r="C338" s="75" t="s">
        <v>453</v>
      </c>
      <c r="D338" s="75">
        <v>10</v>
      </c>
    </row>
    <row r="339" spans="1:21" x14ac:dyDescent="0.35">
      <c r="A339" s="47">
        <v>9</v>
      </c>
      <c r="B339" s="30" t="s">
        <v>454</v>
      </c>
      <c r="C339" s="30" t="s">
        <v>423</v>
      </c>
      <c r="D339" s="30">
        <v>4</v>
      </c>
      <c r="E339" s="30">
        <v>240000</v>
      </c>
      <c r="F339" s="31">
        <f>D339*E339</f>
        <v>960000</v>
      </c>
      <c r="G339" s="30" t="s">
        <v>165</v>
      </c>
      <c r="H339" s="30" t="s">
        <v>177</v>
      </c>
      <c r="I339" s="30" t="s">
        <v>23</v>
      </c>
      <c r="J339" s="24"/>
      <c r="K339" s="24"/>
      <c r="L339" s="24"/>
      <c r="M339" s="24"/>
      <c r="N339" s="24"/>
      <c r="O339" s="24"/>
      <c r="P339" s="24"/>
      <c r="Q339" s="24"/>
      <c r="R339" s="24"/>
      <c r="S339" s="24"/>
      <c r="T339" s="24"/>
      <c r="U339" s="29">
        <f>D386*E386</f>
        <v>0</v>
      </c>
    </row>
    <row r="340" spans="1:21" x14ac:dyDescent="0.35">
      <c r="A340" s="47">
        <v>10</v>
      </c>
      <c r="B340" s="30" t="s">
        <v>445</v>
      </c>
      <c r="C340" s="30" t="s">
        <v>423</v>
      </c>
      <c r="D340" s="30">
        <v>6</v>
      </c>
      <c r="E340" s="30">
        <v>280000</v>
      </c>
      <c r="F340" s="30">
        <f>D340*E340</f>
        <v>1680000</v>
      </c>
      <c r="G340" s="30" t="s">
        <v>165</v>
      </c>
      <c r="H340" s="30" t="s">
        <v>177</v>
      </c>
      <c r="I340" s="30" t="s">
        <v>23</v>
      </c>
      <c r="J340" s="24"/>
      <c r="K340" s="24"/>
      <c r="L340" s="24"/>
      <c r="M340" s="24"/>
      <c r="N340" s="24"/>
      <c r="O340" s="24"/>
      <c r="P340" s="24"/>
      <c r="Q340" s="24"/>
      <c r="R340" s="24"/>
      <c r="S340" s="24"/>
      <c r="T340" s="24"/>
      <c r="U340" s="29"/>
    </row>
    <row r="341" spans="1:21" x14ac:dyDescent="0.35">
      <c r="A341" s="47">
        <v>11</v>
      </c>
      <c r="B341" s="30" t="s">
        <v>455</v>
      </c>
      <c r="C341" s="30" t="s">
        <v>423</v>
      </c>
      <c r="D341" s="30">
        <v>6</v>
      </c>
      <c r="E341" s="47">
        <v>90000</v>
      </c>
      <c r="F341" s="30">
        <f t="shared" ref="F341:F375" si="19">D341*E341</f>
        <v>540000</v>
      </c>
      <c r="G341" s="47"/>
      <c r="H341" s="47"/>
      <c r="I341" s="47"/>
      <c r="J341" s="24"/>
      <c r="K341" s="24"/>
      <c r="L341" s="24"/>
      <c r="M341" s="24"/>
      <c r="N341" s="24"/>
      <c r="O341" s="24"/>
      <c r="P341" s="24"/>
      <c r="Q341" s="24"/>
      <c r="R341" s="24"/>
      <c r="S341" s="24"/>
      <c r="T341" s="24"/>
      <c r="U341" s="29"/>
    </row>
    <row r="342" spans="1:21" x14ac:dyDescent="0.35">
      <c r="A342" s="47">
        <v>12</v>
      </c>
      <c r="B342" s="30" t="s">
        <v>456</v>
      </c>
      <c r="C342" s="30" t="s">
        <v>457</v>
      </c>
      <c r="D342" s="30">
        <v>3</v>
      </c>
      <c r="E342" s="47">
        <v>26000</v>
      </c>
      <c r="F342" s="30">
        <f t="shared" si="19"/>
        <v>78000</v>
      </c>
      <c r="G342" s="47"/>
      <c r="H342" s="47"/>
      <c r="I342" s="47"/>
      <c r="J342" s="24"/>
      <c r="K342" s="24"/>
      <c r="L342" s="24"/>
      <c r="M342" s="24"/>
      <c r="N342" s="24"/>
      <c r="O342" s="24"/>
      <c r="P342" s="24"/>
      <c r="Q342" s="24"/>
      <c r="R342" s="24"/>
      <c r="S342" s="24"/>
      <c r="T342" s="24"/>
      <c r="U342" s="29"/>
    </row>
    <row r="343" spans="1:21" x14ac:dyDescent="0.35">
      <c r="A343" s="47">
        <v>13</v>
      </c>
      <c r="B343" s="30" t="s">
        <v>458</v>
      </c>
      <c r="C343" s="47"/>
      <c r="D343" s="47"/>
      <c r="E343" s="47"/>
      <c r="F343" s="30">
        <f t="shared" si="19"/>
        <v>0</v>
      </c>
      <c r="G343" s="47"/>
      <c r="H343" s="47"/>
      <c r="I343" s="47"/>
      <c r="J343" s="24"/>
      <c r="K343" s="24"/>
      <c r="L343" s="24"/>
      <c r="M343" s="24"/>
      <c r="N343" s="24"/>
      <c r="O343" s="24"/>
      <c r="P343" s="24"/>
      <c r="Q343" s="24"/>
      <c r="R343" s="24"/>
      <c r="S343" s="24"/>
      <c r="T343" s="24"/>
      <c r="U343" s="29"/>
    </row>
    <row r="344" spans="1:21" ht="31" x14ac:dyDescent="0.35">
      <c r="A344" s="47">
        <v>14</v>
      </c>
      <c r="B344" s="77" t="s">
        <v>459</v>
      </c>
      <c r="C344" s="47" t="s">
        <v>423</v>
      </c>
      <c r="D344" s="47">
        <v>1</v>
      </c>
      <c r="E344" s="47"/>
      <c r="F344" s="30">
        <f t="shared" si="19"/>
        <v>0</v>
      </c>
      <c r="G344" s="47"/>
      <c r="H344" s="47"/>
      <c r="I344" s="47"/>
      <c r="J344" s="24"/>
      <c r="K344" s="24"/>
      <c r="L344" s="24"/>
      <c r="M344" s="24"/>
      <c r="N344" s="24"/>
      <c r="O344" s="24"/>
      <c r="P344" s="24"/>
      <c r="Q344" s="24"/>
      <c r="R344" s="24"/>
      <c r="S344" s="24"/>
      <c r="T344" s="24"/>
      <c r="U344" s="29"/>
    </row>
    <row r="345" spans="1:21" x14ac:dyDescent="0.35">
      <c r="A345" s="47">
        <v>15</v>
      </c>
      <c r="B345" s="30" t="s">
        <v>460</v>
      </c>
      <c r="C345" s="47" t="s">
        <v>423</v>
      </c>
      <c r="D345" s="47">
        <v>1</v>
      </c>
      <c r="E345" s="56">
        <v>480000</v>
      </c>
      <c r="F345" s="30">
        <f t="shared" si="19"/>
        <v>480000</v>
      </c>
      <c r="G345" s="47"/>
      <c r="H345" s="47"/>
      <c r="I345" s="47"/>
      <c r="J345" s="24"/>
      <c r="K345" s="24"/>
      <c r="L345" s="24"/>
      <c r="M345" s="24"/>
      <c r="N345" s="24"/>
      <c r="O345" s="24"/>
      <c r="P345" s="24"/>
      <c r="Q345" s="24"/>
      <c r="R345" s="24"/>
      <c r="S345" s="24"/>
      <c r="T345" s="24"/>
      <c r="U345" s="29"/>
    </row>
    <row r="346" spans="1:21" s="65" customFormat="1" x14ac:dyDescent="0.35">
      <c r="A346" s="78">
        <v>16</v>
      </c>
      <c r="B346" s="47" t="s">
        <v>461</v>
      </c>
      <c r="C346" s="47" t="s">
        <v>423</v>
      </c>
      <c r="D346" s="47">
        <v>1</v>
      </c>
      <c r="E346" s="56">
        <v>490000</v>
      </c>
      <c r="F346" s="47">
        <f t="shared" si="19"/>
        <v>490000</v>
      </c>
      <c r="G346" s="47"/>
      <c r="H346" s="47"/>
      <c r="I346" s="47"/>
      <c r="J346" s="47"/>
      <c r="K346" s="47"/>
      <c r="L346" s="47"/>
      <c r="M346" s="47"/>
      <c r="N346" s="47"/>
      <c r="O346" s="47"/>
      <c r="P346" s="47"/>
      <c r="Q346" s="47"/>
      <c r="R346" s="47"/>
      <c r="S346" s="47"/>
      <c r="T346" s="47"/>
      <c r="U346" s="62"/>
    </row>
    <row r="347" spans="1:21" s="65" customFormat="1" x14ac:dyDescent="0.35">
      <c r="A347" s="78"/>
      <c r="B347" s="47" t="s">
        <v>445</v>
      </c>
      <c r="C347" s="47" t="s">
        <v>423</v>
      </c>
      <c r="D347" s="47">
        <v>8</v>
      </c>
      <c r="E347" s="56">
        <v>280000</v>
      </c>
      <c r="F347" s="47">
        <f t="shared" si="19"/>
        <v>2240000</v>
      </c>
      <c r="G347" s="47"/>
      <c r="H347" s="47"/>
      <c r="I347" s="47"/>
      <c r="J347" s="47"/>
      <c r="K347" s="47"/>
      <c r="L347" s="47"/>
      <c r="M347" s="47"/>
      <c r="N347" s="47"/>
      <c r="O347" s="47"/>
      <c r="P347" s="47"/>
      <c r="Q347" s="47"/>
      <c r="R347" s="47"/>
      <c r="S347" s="47"/>
      <c r="T347" s="47"/>
      <c r="U347" s="62"/>
    </row>
    <row r="348" spans="1:21" s="65" customFormat="1" x14ac:dyDescent="0.35">
      <c r="A348" s="78"/>
      <c r="B348" s="47" t="s">
        <v>454</v>
      </c>
      <c r="C348" s="47" t="s">
        <v>423</v>
      </c>
      <c r="D348" s="47">
        <v>2</v>
      </c>
      <c r="E348" s="79">
        <v>240000</v>
      </c>
      <c r="F348" s="47">
        <f t="shared" si="19"/>
        <v>480000</v>
      </c>
      <c r="G348" s="47"/>
      <c r="H348" s="47"/>
      <c r="I348" s="47"/>
      <c r="J348" s="47"/>
      <c r="K348" s="47"/>
      <c r="L348" s="47"/>
      <c r="M348" s="47"/>
      <c r="N348" s="47"/>
      <c r="O348" s="47"/>
      <c r="P348" s="47"/>
      <c r="Q348" s="47"/>
      <c r="R348" s="47"/>
      <c r="S348" s="47"/>
      <c r="T348" s="47"/>
      <c r="U348" s="62"/>
    </row>
    <row r="349" spans="1:21" s="65" customFormat="1" x14ac:dyDescent="0.35">
      <c r="A349" s="78"/>
      <c r="B349" s="47" t="s">
        <v>462</v>
      </c>
      <c r="C349" s="47" t="s">
        <v>423</v>
      </c>
      <c r="D349" s="47">
        <v>1</v>
      </c>
      <c r="E349" s="47"/>
      <c r="F349" s="47">
        <f t="shared" si="19"/>
        <v>0</v>
      </c>
      <c r="G349" s="47"/>
      <c r="H349" s="47"/>
      <c r="I349" s="47"/>
      <c r="J349" s="47"/>
      <c r="K349" s="47"/>
      <c r="L349" s="47"/>
      <c r="M349" s="47"/>
      <c r="N349" s="47"/>
      <c r="O349" s="47"/>
      <c r="P349" s="47"/>
      <c r="Q349" s="47"/>
      <c r="R349" s="47"/>
      <c r="S349" s="47"/>
      <c r="T349" s="47"/>
      <c r="U349" s="62"/>
    </row>
    <row r="350" spans="1:21" s="65" customFormat="1" x14ac:dyDescent="0.35">
      <c r="A350" s="78"/>
      <c r="B350" s="47"/>
      <c r="C350" s="47"/>
      <c r="D350" s="47"/>
      <c r="E350" s="47"/>
      <c r="F350" s="47"/>
      <c r="G350" s="47"/>
      <c r="H350" s="47"/>
      <c r="I350" s="47"/>
      <c r="J350" s="47"/>
      <c r="K350" s="47"/>
      <c r="L350" s="47"/>
      <c r="M350" s="47"/>
      <c r="N350" s="47"/>
      <c r="O350" s="47"/>
      <c r="P350" s="47"/>
      <c r="Q350" s="47"/>
      <c r="R350" s="47"/>
      <c r="S350" s="47"/>
      <c r="T350" s="47"/>
      <c r="U350" s="62"/>
    </row>
    <row r="351" spans="1:21" x14ac:dyDescent="0.35">
      <c r="A351" s="47"/>
      <c r="B351" s="47"/>
      <c r="C351" s="47"/>
      <c r="D351" s="47"/>
      <c r="E351" s="47"/>
      <c r="F351" s="47">
        <f t="shared" si="19"/>
        <v>0</v>
      </c>
      <c r="G351" s="47"/>
      <c r="H351" s="47"/>
      <c r="I351" s="47"/>
      <c r="J351" s="24"/>
      <c r="K351" s="24"/>
      <c r="L351" s="24"/>
      <c r="M351" s="24"/>
      <c r="N351" s="24"/>
      <c r="O351" s="24"/>
      <c r="P351" s="24"/>
      <c r="Q351" s="24"/>
      <c r="R351" s="24"/>
      <c r="S351" s="24"/>
      <c r="T351" s="24"/>
      <c r="U351" s="29">
        <f t="shared" ref="U351:U356" si="20">D418*E418</f>
        <v>0</v>
      </c>
    </row>
    <row r="352" spans="1:21" x14ac:dyDescent="0.35">
      <c r="A352" s="47" t="s">
        <v>463</v>
      </c>
      <c r="B352" s="47"/>
      <c r="C352" s="47"/>
      <c r="D352" s="47"/>
      <c r="E352" s="47"/>
      <c r="F352" s="47">
        <f t="shared" si="19"/>
        <v>0</v>
      </c>
      <c r="G352" s="47"/>
      <c r="H352" s="47"/>
      <c r="I352" s="47"/>
      <c r="J352" s="24"/>
      <c r="K352" s="24"/>
      <c r="L352" s="24"/>
      <c r="M352" s="24"/>
      <c r="N352" s="24"/>
      <c r="O352" s="24"/>
      <c r="P352" s="24"/>
      <c r="Q352" s="24"/>
      <c r="R352" s="24"/>
      <c r="S352" s="24"/>
      <c r="T352" s="24"/>
      <c r="U352" s="29">
        <f t="shared" si="20"/>
        <v>0</v>
      </c>
    </row>
    <row r="353" spans="1:21" x14ac:dyDescent="0.35">
      <c r="A353" s="35">
        <v>1</v>
      </c>
      <c r="B353" s="35" t="s">
        <v>464</v>
      </c>
      <c r="C353" s="35"/>
      <c r="D353" s="35"/>
      <c r="E353" s="35"/>
      <c r="F353" s="35">
        <f t="shared" si="19"/>
        <v>0</v>
      </c>
      <c r="G353" s="35"/>
      <c r="H353" s="35"/>
      <c r="I353" s="35"/>
      <c r="J353" s="24"/>
      <c r="K353" s="24"/>
      <c r="L353" s="24"/>
      <c r="M353" s="24"/>
      <c r="N353" s="24"/>
      <c r="O353" s="24"/>
      <c r="P353" s="24"/>
      <c r="Q353" s="24"/>
      <c r="R353" s="24"/>
      <c r="S353" s="24"/>
      <c r="T353" s="24"/>
      <c r="U353" s="29">
        <f t="shared" si="20"/>
        <v>0</v>
      </c>
    </row>
    <row r="354" spans="1:21" x14ac:dyDescent="0.35">
      <c r="A354" s="35">
        <v>2</v>
      </c>
      <c r="B354" s="35" t="s">
        <v>465</v>
      </c>
      <c r="C354" s="35"/>
      <c r="D354" s="35"/>
      <c r="E354" s="35"/>
      <c r="F354" s="35">
        <f t="shared" si="19"/>
        <v>0</v>
      </c>
      <c r="G354" s="35"/>
      <c r="H354" s="35"/>
      <c r="I354" s="35"/>
      <c r="J354" s="24"/>
      <c r="K354" s="24"/>
      <c r="L354" s="24"/>
      <c r="M354" s="24"/>
      <c r="N354" s="24"/>
      <c r="O354" s="24"/>
      <c r="P354" s="24"/>
      <c r="Q354" s="24"/>
      <c r="R354" s="24"/>
      <c r="S354" s="24"/>
      <c r="T354" s="24"/>
      <c r="U354" s="29">
        <f t="shared" si="20"/>
        <v>0</v>
      </c>
    </row>
    <row r="355" spans="1:21" x14ac:dyDescent="0.35">
      <c r="A355" s="35">
        <v>3</v>
      </c>
      <c r="B355" s="35" t="s">
        <v>466</v>
      </c>
      <c r="C355" s="35"/>
      <c r="D355" s="35"/>
      <c r="E355" s="35"/>
      <c r="F355" s="35">
        <f t="shared" si="19"/>
        <v>0</v>
      </c>
      <c r="G355" s="35"/>
      <c r="H355" s="35"/>
      <c r="I355" s="35"/>
      <c r="J355" s="24"/>
      <c r="K355" s="24"/>
      <c r="L355" s="24"/>
      <c r="M355" s="24"/>
      <c r="N355" s="24"/>
      <c r="O355" s="24"/>
      <c r="P355" s="24"/>
      <c r="Q355" s="24"/>
      <c r="R355" s="24"/>
      <c r="S355" s="24"/>
      <c r="T355" s="24"/>
      <c r="U355" s="29">
        <f t="shared" si="20"/>
        <v>0</v>
      </c>
    </row>
    <row r="356" spans="1:21" x14ac:dyDescent="0.35">
      <c r="A356" s="35">
        <v>4</v>
      </c>
      <c r="B356" s="35" t="s">
        <v>467</v>
      </c>
      <c r="C356" s="35"/>
      <c r="D356" s="35"/>
      <c r="E356" s="35"/>
      <c r="F356" s="35">
        <f t="shared" si="19"/>
        <v>0</v>
      </c>
      <c r="G356" s="35"/>
      <c r="H356" s="35"/>
      <c r="I356" s="35"/>
      <c r="J356" s="24"/>
      <c r="K356" s="24"/>
      <c r="L356" s="24"/>
      <c r="M356" s="24"/>
      <c r="N356" s="24"/>
      <c r="O356" s="24"/>
      <c r="P356" s="24"/>
      <c r="Q356" s="24"/>
      <c r="R356" s="24"/>
      <c r="S356" s="24"/>
      <c r="T356" s="24"/>
      <c r="U356" s="29">
        <f t="shared" si="20"/>
        <v>0</v>
      </c>
    </row>
    <row r="357" spans="1:21" ht="46.5" x14ac:dyDescent="0.35">
      <c r="A357" s="35">
        <v>5</v>
      </c>
      <c r="B357" s="37" t="s">
        <v>468</v>
      </c>
      <c r="C357" s="35" t="s">
        <v>469</v>
      </c>
      <c r="D357" s="35">
        <v>1</v>
      </c>
      <c r="E357" s="38">
        <v>8430000</v>
      </c>
      <c r="F357" s="35">
        <f t="shared" si="19"/>
        <v>8430000</v>
      </c>
      <c r="G357" s="35"/>
      <c r="H357" s="35"/>
      <c r="I357" s="35"/>
      <c r="J357" s="24"/>
      <c r="K357" s="24"/>
      <c r="L357" s="24"/>
      <c r="M357" s="24"/>
      <c r="N357" s="24"/>
      <c r="O357" s="24"/>
      <c r="P357" s="24"/>
      <c r="Q357" s="24"/>
      <c r="R357" s="24"/>
      <c r="S357" s="24"/>
      <c r="T357" s="24">
        <v>1</v>
      </c>
      <c r="U357" s="29">
        <f>D357*E357</f>
        <v>8430000</v>
      </c>
    </row>
    <row r="358" spans="1:21" s="81" customFormat="1" x14ac:dyDescent="0.35">
      <c r="A358" s="30">
        <v>6</v>
      </c>
      <c r="B358" s="77" t="s">
        <v>470</v>
      </c>
      <c r="C358" s="30" t="s">
        <v>423</v>
      </c>
      <c r="D358" s="30">
        <v>40</v>
      </c>
      <c r="E358" s="31">
        <v>1000</v>
      </c>
      <c r="F358" s="30">
        <f t="shared" si="19"/>
        <v>40000</v>
      </c>
      <c r="G358" s="30"/>
      <c r="H358" s="30"/>
      <c r="I358" s="30"/>
      <c r="J358" s="30"/>
      <c r="K358" s="30"/>
      <c r="L358" s="30"/>
      <c r="M358" s="30"/>
      <c r="N358" s="30"/>
      <c r="O358" s="30"/>
      <c r="P358" s="30"/>
      <c r="Q358" s="30"/>
      <c r="R358" s="30"/>
      <c r="S358" s="30"/>
      <c r="T358" s="30"/>
      <c r="U358" s="80"/>
    </row>
    <row r="359" spans="1:21" s="81" customFormat="1" x14ac:dyDescent="0.35">
      <c r="A359" s="30">
        <v>7</v>
      </c>
      <c r="B359" s="77" t="s">
        <v>471</v>
      </c>
      <c r="C359" s="30" t="s">
        <v>262</v>
      </c>
      <c r="D359" s="30">
        <v>4</v>
      </c>
      <c r="E359" s="31">
        <v>2500</v>
      </c>
      <c r="F359" s="30">
        <f t="shared" si="19"/>
        <v>10000</v>
      </c>
      <c r="G359" s="30"/>
      <c r="H359" s="30"/>
      <c r="I359" s="30"/>
      <c r="J359" s="30"/>
      <c r="K359" s="30"/>
      <c r="L359" s="30"/>
      <c r="M359" s="30"/>
      <c r="N359" s="30"/>
      <c r="O359" s="30"/>
      <c r="P359" s="30"/>
      <c r="Q359" s="30"/>
      <c r="R359" s="30"/>
      <c r="S359" s="30"/>
      <c r="T359" s="30"/>
      <c r="U359" s="80"/>
    </row>
    <row r="360" spans="1:21" s="81" customFormat="1" x14ac:dyDescent="0.35">
      <c r="A360" s="30">
        <v>8</v>
      </c>
      <c r="B360" s="77" t="s">
        <v>472</v>
      </c>
      <c r="C360" s="30" t="s">
        <v>262</v>
      </c>
      <c r="D360" s="30">
        <v>4</v>
      </c>
      <c r="E360" s="31">
        <v>1400</v>
      </c>
      <c r="F360" s="30">
        <f t="shared" si="19"/>
        <v>5600</v>
      </c>
      <c r="G360" s="30"/>
      <c r="H360" s="30"/>
      <c r="I360" s="30"/>
      <c r="J360" s="30"/>
      <c r="K360" s="30"/>
      <c r="L360" s="30"/>
      <c r="M360" s="30"/>
      <c r="N360" s="30"/>
      <c r="O360" s="30"/>
      <c r="P360" s="30"/>
      <c r="Q360" s="30"/>
      <c r="R360" s="30"/>
      <c r="S360" s="30"/>
      <c r="T360" s="30"/>
      <c r="U360" s="80"/>
    </row>
    <row r="361" spans="1:21" s="81" customFormat="1" x14ac:dyDescent="0.35">
      <c r="A361" s="30">
        <v>9</v>
      </c>
      <c r="B361" s="77" t="s">
        <v>473</v>
      </c>
      <c r="C361" s="30" t="s">
        <v>474</v>
      </c>
      <c r="D361" s="30">
        <v>5</v>
      </c>
      <c r="E361" s="31">
        <v>12000</v>
      </c>
      <c r="F361" s="30">
        <f t="shared" si="19"/>
        <v>60000</v>
      </c>
      <c r="G361" s="30"/>
      <c r="H361" s="30"/>
      <c r="I361" s="30"/>
      <c r="J361" s="30"/>
      <c r="K361" s="30"/>
      <c r="L361" s="30"/>
      <c r="M361" s="30"/>
      <c r="N361" s="30"/>
      <c r="O361" s="30"/>
      <c r="P361" s="30"/>
      <c r="Q361" s="30"/>
      <c r="R361" s="30"/>
      <c r="S361" s="30"/>
      <c r="T361" s="30"/>
      <c r="U361" s="80"/>
    </row>
    <row r="362" spans="1:21" s="81" customFormat="1" x14ac:dyDescent="0.35">
      <c r="A362" s="30">
        <v>10</v>
      </c>
      <c r="B362" s="77" t="s">
        <v>475</v>
      </c>
      <c r="C362" s="30" t="s">
        <v>262</v>
      </c>
      <c r="D362" s="30">
        <v>5</v>
      </c>
      <c r="E362" s="31">
        <v>1200</v>
      </c>
      <c r="F362" s="30">
        <f t="shared" si="19"/>
        <v>6000</v>
      </c>
      <c r="G362" s="30"/>
      <c r="H362" s="30"/>
      <c r="I362" s="30"/>
      <c r="J362" s="30"/>
      <c r="K362" s="30"/>
      <c r="L362" s="30"/>
      <c r="M362" s="30"/>
      <c r="N362" s="30"/>
      <c r="O362" s="30"/>
      <c r="P362" s="30"/>
      <c r="Q362" s="30"/>
      <c r="R362" s="30"/>
      <c r="S362" s="30"/>
      <c r="T362" s="30"/>
      <c r="U362" s="80"/>
    </row>
    <row r="363" spans="1:21" s="81" customFormat="1" x14ac:dyDescent="0.35">
      <c r="A363" s="30">
        <v>11</v>
      </c>
      <c r="B363" s="77" t="s">
        <v>476</v>
      </c>
      <c r="C363" s="30" t="s">
        <v>477</v>
      </c>
      <c r="D363" s="30">
        <v>12</v>
      </c>
      <c r="E363" s="31">
        <v>80</v>
      </c>
      <c r="F363" s="30">
        <f t="shared" si="19"/>
        <v>960</v>
      </c>
      <c r="G363" s="30"/>
      <c r="H363" s="30"/>
      <c r="I363" s="30"/>
      <c r="J363" s="30"/>
      <c r="K363" s="30"/>
      <c r="L363" s="30"/>
      <c r="M363" s="30"/>
      <c r="N363" s="30"/>
      <c r="O363" s="30"/>
      <c r="P363" s="30"/>
      <c r="Q363" s="30"/>
      <c r="R363" s="30"/>
      <c r="S363" s="30"/>
      <c r="T363" s="30"/>
      <c r="U363" s="80"/>
    </row>
    <row r="364" spans="1:21" s="81" customFormat="1" x14ac:dyDescent="0.35">
      <c r="A364" s="30">
        <v>12</v>
      </c>
      <c r="B364" s="77" t="s">
        <v>478</v>
      </c>
      <c r="C364" s="30" t="s">
        <v>477</v>
      </c>
      <c r="D364" s="30">
        <v>10</v>
      </c>
      <c r="E364" s="31">
        <v>380</v>
      </c>
      <c r="F364" s="30">
        <f t="shared" si="19"/>
        <v>3800</v>
      </c>
      <c r="G364" s="30"/>
      <c r="H364" s="30"/>
      <c r="I364" s="30"/>
      <c r="J364" s="30"/>
      <c r="K364" s="30"/>
      <c r="L364" s="30"/>
      <c r="M364" s="30"/>
      <c r="N364" s="30"/>
      <c r="O364" s="30"/>
      <c r="P364" s="30"/>
      <c r="Q364" s="30"/>
      <c r="R364" s="30"/>
      <c r="S364" s="30"/>
      <c r="T364" s="30"/>
      <c r="U364" s="80"/>
    </row>
    <row r="365" spans="1:21" s="81" customFormat="1" x14ac:dyDescent="0.35">
      <c r="A365" s="30">
        <v>13</v>
      </c>
      <c r="B365" s="77" t="s">
        <v>479</v>
      </c>
      <c r="C365" s="30" t="s">
        <v>477</v>
      </c>
      <c r="D365" s="30">
        <v>30</v>
      </c>
      <c r="E365" s="31">
        <v>380</v>
      </c>
      <c r="F365" s="30">
        <f t="shared" si="19"/>
        <v>11400</v>
      </c>
      <c r="G365" s="30"/>
      <c r="H365" s="30"/>
      <c r="I365" s="30"/>
      <c r="J365" s="30"/>
      <c r="K365" s="30"/>
      <c r="L365" s="30"/>
      <c r="M365" s="30"/>
      <c r="N365" s="30"/>
      <c r="O365" s="30"/>
      <c r="P365" s="30"/>
      <c r="Q365" s="30"/>
      <c r="R365" s="30"/>
      <c r="S365" s="30"/>
      <c r="T365" s="30"/>
      <c r="U365" s="80"/>
    </row>
    <row r="366" spans="1:21" s="81" customFormat="1" x14ac:dyDescent="0.35">
      <c r="A366" s="30">
        <v>14</v>
      </c>
      <c r="B366" s="77" t="s">
        <v>480</v>
      </c>
      <c r="C366" s="30" t="s">
        <v>477</v>
      </c>
      <c r="D366" s="30">
        <v>30</v>
      </c>
      <c r="E366" s="31">
        <v>95</v>
      </c>
      <c r="F366" s="30">
        <f t="shared" si="19"/>
        <v>2850</v>
      </c>
      <c r="G366" s="30"/>
      <c r="H366" s="30"/>
      <c r="I366" s="30"/>
      <c r="J366" s="30"/>
      <c r="K366" s="30"/>
      <c r="L366" s="30"/>
      <c r="M366" s="30"/>
      <c r="N366" s="30"/>
      <c r="O366" s="30"/>
      <c r="P366" s="30"/>
      <c r="Q366" s="30"/>
      <c r="R366" s="30"/>
      <c r="S366" s="30"/>
      <c r="T366" s="30"/>
      <c r="U366" s="80"/>
    </row>
    <row r="367" spans="1:21" s="81" customFormat="1" x14ac:dyDescent="0.35">
      <c r="A367" s="30">
        <v>15</v>
      </c>
      <c r="B367" s="77" t="s">
        <v>481</v>
      </c>
      <c r="C367" s="30" t="s">
        <v>477</v>
      </c>
      <c r="D367" s="30">
        <v>20</v>
      </c>
      <c r="E367" s="31">
        <v>120</v>
      </c>
      <c r="F367" s="30">
        <f t="shared" si="19"/>
        <v>2400</v>
      </c>
      <c r="G367" s="30"/>
      <c r="H367" s="30"/>
      <c r="I367" s="30"/>
      <c r="J367" s="30"/>
      <c r="K367" s="30"/>
      <c r="L367" s="30"/>
      <c r="M367" s="30"/>
      <c r="N367" s="30"/>
      <c r="O367" s="30"/>
      <c r="P367" s="30"/>
      <c r="Q367" s="30"/>
      <c r="R367" s="30"/>
      <c r="S367" s="30"/>
      <c r="T367" s="30"/>
      <c r="U367" s="80"/>
    </row>
    <row r="368" spans="1:21" s="81" customFormat="1" x14ac:dyDescent="0.35">
      <c r="A368" s="30">
        <v>16</v>
      </c>
      <c r="B368" s="77" t="s">
        <v>482</v>
      </c>
      <c r="C368" s="30" t="s">
        <v>477</v>
      </c>
      <c r="D368" s="30">
        <v>20</v>
      </c>
      <c r="E368" s="31">
        <v>970</v>
      </c>
      <c r="F368" s="30">
        <f t="shared" si="19"/>
        <v>19400</v>
      </c>
      <c r="G368" s="30"/>
      <c r="H368" s="30"/>
      <c r="I368" s="30"/>
      <c r="J368" s="30"/>
      <c r="K368" s="30"/>
      <c r="L368" s="30"/>
      <c r="M368" s="30"/>
      <c r="N368" s="30"/>
      <c r="O368" s="30"/>
      <c r="P368" s="30"/>
      <c r="Q368" s="30"/>
      <c r="R368" s="30"/>
      <c r="S368" s="30"/>
      <c r="T368" s="30"/>
      <c r="U368" s="80"/>
    </row>
    <row r="369" spans="1:21" s="81" customFormat="1" x14ac:dyDescent="0.35">
      <c r="A369" s="30">
        <v>17</v>
      </c>
      <c r="B369" s="77" t="s">
        <v>483</v>
      </c>
      <c r="C369" s="30" t="s">
        <v>477</v>
      </c>
      <c r="D369" s="30">
        <v>10</v>
      </c>
      <c r="E369" s="31">
        <v>490</v>
      </c>
      <c r="F369" s="30">
        <f t="shared" si="19"/>
        <v>4900</v>
      </c>
      <c r="G369" s="30"/>
      <c r="H369" s="30"/>
      <c r="I369" s="30"/>
      <c r="J369" s="30"/>
      <c r="K369" s="30"/>
      <c r="L369" s="30"/>
      <c r="M369" s="30"/>
      <c r="N369" s="30"/>
      <c r="O369" s="30"/>
      <c r="P369" s="30"/>
      <c r="Q369" s="30"/>
      <c r="R369" s="30"/>
      <c r="S369" s="30"/>
      <c r="T369" s="30"/>
      <c r="U369" s="80"/>
    </row>
    <row r="370" spans="1:21" s="81" customFormat="1" x14ac:dyDescent="0.35">
      <c r="A370" s="30">
        <v>18</v>
      </c>
      <c r="B370" s="77" t="s">
        <v>484</v>
      </c>
      <c r="C370" s="30" t="s">
        <v>262</v>
      </c>
      <c r="D370" s="30">
        <v>10</v>
      </c>
      <c r="E370" s="31">
        <v>240</v>
      </c>
      <c r="F370" s="30">
        <f t="shared" si="19"/>
        <v>2400</v>
      </c>
      <c r="G370" s="30"/>
      <c r="H370" s="30"/>
      <c r="I370" s="30"/>
      <c r="J370" s="30"/>
      <c r="K370" s="30"/>
      <c r="L370" s="30"/>
      <c r="M370" s="30"/>
      <c r="N370" s="30"/>
      <c r="O370" s="30"/>
      <c r="P370" s="30"/>
      <c r="Q370" s="30"/>
      <c r="R370" s="30"/>
      <c r="S370" s="30"/>
      <c r="T370" s="30"/>
      <c r="U370" s="80"/>
    </row>
    <row r="371" spans="1:21" s="81" customFormat="1" x14ac:dyDescent="0.35">
      <c r="A371" s="30">
        <v>19</v>
      </c>
      <c r="B371" s="77" t="s">
        <v>485</v>
      </c>
      <c r="C371" s="30" t="s">
        <v>262</v>
      </c>
      <c r="D371" s="30">
        <v>10</v>
      </c>
      <c r="E371" s="31">
        <v>120</v>
      </c>
      <c r="F371" s="30">
        <f t="shared" si="19"/>
        <v>1200</v>
      </c>
      <c r="G371" s="30"/>
      <c r="H371" s="30"/>
      <c r="I371" s="30"/>
      <c r="J371" s="30"/>
      <c r="K371" s="30"/>
      <c r="L371" s="30"/>
      <c r="M371" s="30"/>
      <c r="N371" s="30"/>
      <c r="O371" s="30"/>
      <c r="P371" s="30"/>
      <c r="Q371" s="30"/>
      <c r="R371" s="30"/>
      <c r="S371" s="30"/>
      <c r="T371" s="30"/>
      <c r="U371" s="80"/>
    </row>
    <row r="372" spans="1:21" s="81" customFormat="1" x14ac:dyDescent="0.35">
      <c r="A372" s="30">
        <v>20</v>
      </c>
      <c r="B372" s="77" t="s">
        <v>486</v>
      </c>
      <c r="C372" s="30" t="s">
        <v>477</v>
      </c>
      <c r="D372" s="30">
        <v>4</v>
      </c>
      <c r="E372" s="31">
        <v>980</v>
      </c>
      <c r="F372" s="30">
        <f t="shared" si="19"/>
        <v>3920</v>
      </c>
      <c r="G372" s="30"/>
      <c r="H372" s="30"/>
      <c r="I372" s="30"/>
      <c r="J372" s="30"/>
      <c r="K372" s="30"/>
      <c r="L372" s="30"/>
      <c r="M372" s="30"/>
      <c r="N372" s="30"/>
      <c r="O372" s="30"/>
      <c r="P372" s="30"/>
      <c r="Q372" s="30"/>
      <c r="R372" s="30"/>
      <c r="S372" s="30"/>
      <c r="T372" s="30"/>
      <c r="U372" s="80"/>
    </row>
    <row r="373" spans="1:21" s="81" customFormat="1" x14ac:dyDescent="0.35">
      <c r="A373" s="30">
        <v>21</v>
      </c>
      <c r="B373" s="77" t="s">
        <v>487</v>
      </c>
      <c r="C373" s="30" t="s">
        <v>477</v>
      </c>
      <c r="D373" s="30">
        <v>500</v>
      </c>
      <c r="E373" s="31">
        <v>480</v>
      </c>
      <c r="F373" s="30">
        <f t="shared" si="19"/>
        <v>240000</v>
      </c>
      <c r="G373" s="30"/>
      <c r="H373" s="30"/>
      <c r="I373" s="30"/>
      <c r="J373" s="30"/>
      <c r="K373" s="30"/>
      <c r="L373" s="30"/>
      <c r="M373" s="30"/>
      <c r="N373" s="30"/>
      <c r="O373" s="30"/>
      <c r="P373" s="30"/>
      <c r="Q373" s="30"/>
      <c r="R373" s="30"/>
      <c r="S373" s="30"/>
      <c r="T373" s="30"/>
      <c r="U373" s="80"/>
    </row>
    <row r="374" spans="1:21" s="81" customFormat="1" x14ac:dyDescent="0.35">
      <c r="A374" s="30">
        <v>22</v>
      </c>
      <c r="B374" s="30" t="s">
        <v>488</v>
      </c>
      <c r="C374" s="30" t="s">
        <v>477</v>
      </c>
      <c r="D374" s="30">
        <v>2</v>
      </c>
      <c r="E374" s="31">
        <v>12800</v>
      </c>
      <c r="F374" s="30">
        <f t="shared" si="19"/>
        <v>25600</v>
      </c>
      <c r="G374" s="30"/>
      <c r="H374" s="30"/>
      <c r="I374" s="30"/>
      <c r="J374" s="30"/>
      <c r="K374" s="30"/>
      <c r="L374" s="30"/>
      <c r="M374" s="30"/>
      <c r="N374" s="30"/>
      <c r="O374" s="30"/>
      <c r="P374" s="30"/>
      <c r="Q374" s="30"/>
      <c r="R374" s="30"/>
      <c r="S374" s="30"/>
      <c r="T374" s="30"/>
      <c r="U374" s="80"/>
    </row>
    <row r="375" spans="1:21" s="81" customFormat="1" x14ac:dyDescent="0.35">
      <c r="A375" s="30">
        <v>23</v>
      </c>
      <c r="B375" s="30" t="s">
        <v>489</v>
      </c>
      <c r="C375" s="30" t="s">
        <v>477</v>
      </c>
      <c r="D375" s="30">
        <v>1</v>
      </c>
      <c r="E375" s="30">
        <v>24000</v>
      </c>
      <c r="F375" s="30">
        <f t="shared" si="19"/>
        <v>24000</v>
      </c>
      <c r="G375" s="30"/>
      <c r="H375" s="30"/>
      <c r="I375" s="30"/>
      <c r="J375" s="30"/>
      <c r="K375" s="30"/>
      <c r="L375" s="30"/>
      <c r="M375" s="30"/>
      <c r="N375" s="30"/>
      <c r="O375" s="30"/>
      <c r="P375" s="30"/>
      <c r="Q375" s="30"/>
      <c r="R375" s="30"/>
      <c r="S375" s="30"/>
      <c r="T375" s="30"/>
      <c r="U375" s="80">
        <f>D425*E425</f>
        <v>0</v>
      </c>
    </row>
    <row r="376" spans="1:21" x14ac:dyDescent="0.35">
      <c r="A376" s="47" t="s">
        <v>490</v>
      </c>
      <c r="B376" s="47"/>
      <c r="C376" s="47"/>
      <c r="D376" s="47"/>
      <c r="E376" s="47"/>
      <c r="F376" s="47"/>
      <c r="G376" s="47"/>
      <c r="H376" s="47"/>
      <c r="I376" s="47"/>
      <c r="J376" s="24"/>
      <c r="K376" s="24"/>
      <c r="L376" s="24"/>
      <c r="M376" s="24"/>
      <c r="N376" s="24"/>
      <c r="O376" s="24"/>
      <c r="P376" s="24"/>
      <c r="Q376" s="24"/>
      <c r="R376" s="24"/>
      <c r="S376" s="24"/>
      <c r="T376" s="24"/>
      <c r="U376" s="29">
        <f>D426*E426</f>
        <v>0</v>
      </c>
    </row>
    <row r="377" spans="1:21" ht="46.5" x14ac:dyDescent="0.35">
      <c r="A377" s="35">
        <v>1</v>
      </c>
      <c r="B377" s="37" t="s">
        <v>491</v>
      </c>
      <c r="C377" s="35" t="s">
        <v>181</v>
      </c>
      <c r="D377" s="35">
        <v>1</v>
      </c>
      <c r="E377" s="74">
        <v>17000000</v>
      </c>
      <c r="F377" s="35">
        <f>D377*E377</f>
        <v>17000000</v>
      </c>
      <c r="G377" s="47"/>
      <c r="H377" s="47"/>
      <c r="I377" s="47"/>
      <c r="J377" s="24"/>
      <c r="K377" s="24"/>
      <c r="L377" s="24"/>
      <c r="M377" s="24"/>
      <c r="N377" s="24"/>
      <c r="O377" s="24"/>
      <c r="P377" s="24"/>
      <c r="Q377" s="24"/>
      <c r="R377" s="24"/>
      <c r="S377" s="24"/>
      <c r="T377" s="24"/>
      <c r="U377" s="29"/>
    </row>
    <row r="378" spans="1:21" ht="46.5" x14ac:dyDescent="0.35">
      <c r="A378" s="35">
        <v>2</v>
      </c>
      <c r="B378" s="37" t="s">
        <v>492</v>
      </c>
      <c r="C378" s="35" t="s">
        <v>181</v>
      </c>
      <c r="D378" s="35">
        <v>1</v>
      </c>
      <c r="E378" s="35"/>
      <c r="F378" s="35">
        <f t="shared" ref="F378:F418" si="21">D378*E378</f>
        <v>0</v>
      </c>
      <c r="G378" s="47"/>
      <c r="H378" s="47"/>
      <c r="I378" s="47"/>
      <c r="J378" s="24"/>
      <c r="K378" s="24"/>
      <c r="L378" s="24"/>
      <c r="M378" s="24"/>
      <c r="N378" s="24"/>
      <c r="O378" s="24"/>
      <c r="P378" s="24"/>
      <c r="Q378" s="24"/>
      <c r="R378" s="24"/>
      <c r="S378" s="24"/>
      <c r="T378" s="24"/>
      <c r="U378" s="29"/>
    </row>
    <row r="379" spans="1:21" x14ac:dyDescent="0.35">
      <c r="A379" s="47">
        <v>3</v>
      </c>
      <c r="B379" s="47"/>
      <c r="C379" s="47"/>
      <c r="D379" s="47"/>
      <c r="E379" s="47"/>
      <c r="F379" s="47">
        <f t="shared" si="21"/>
        <v>0</v>
      </c>
      <c r="G379" s="47"/>
      <c r="H379" s="47"/>
      <c r="I379" s="47"/>
      <c r="J379" s="24"/>
      <c r="K379" s="24"/>
      <c r="L379" s="24"/>
      <c r="M379" s="24"/>
      <c r="N379" s="24"/>
      <c r="O379" s="24"/>
      <c r="P379" s="24"/>
      <c r="Q379" s="24"/>
      <c r="R379" s="24"/>
      <c r="S379" s="24"/>
      <c r="T379" s="24"/>
      <c r="U379" s="29"/>
    </row>
    <row r="380" spans="1:21" x14ac:dyDescent="0.35">
      <c r="A380" s="47"/>
      <c r="B380" s="47"/>
      <c r="C380" s="47"/>
      <c r="D380" s="47"/>
      <c r="E380" s="47"/>
      <c r="F380" s="47">
        <f t="shared" si="21"/>
        <v>0</v>
      </c>
      <c r="G380" s="47"/>
      <c r="H380" s="47"/>
      <c r="I380" s="47"/>
      <c r="J380" s="24"/>
      <c r="K380" s="24"/>
      <c r="L380" s="24"/>
      <c r="M380" s="24"/>
      <c r="N380" s="24"/>
      <c r="O380" s="24"/>
      <c r="P380" s="24"/>
      <c r="Q380" s="24"/>
      <c r="R380" s="24"/>
      <c r="S380" s="24"/>
      <c r="T380" s="24"/>
      <c r="U380" s="29"/>
    </row>
    <row r="381" spans="1:21" x14ac:dyDescent="0.35">
      <c r="A381" s="47"/>
      <c r="B381" s="47"/>
      <c r="C381" s="47"/>
      <c r="D381" s="47"/>
      <c r="E381" s="47"/>
      <c r="F381" s="47">
        <f t="shared" si="21"/>
        <v>0</v>
      </c>
      <c r="G381" s="47"/>
      <c r="H381" s="47"/>
      <c r="I381" s="47"/>
      <c r="J381" s="24"/>
      <c r="K381" s="24"/>
      <c r="L381" s="24"/>
      <c r="M381" s="24"/>
      <c r="N381" s="24"/>
      <c r="O381" s="24"/>
      <c r="P381" s="24"/>
      <c r="Q381" s="24"/>
      <c r="R381" s="24"/>
      <c r="S381" s="24"/>
      <c r="T381" s="24"/>
      <c r="U381" s="29"/>
    </row>
    <row r="382" spans="1:21" x14ac:dyDescent="0.35">
      <c r="A382" s="47"/>
      <c r="B382" s="47"/>
      <c r="C382" s="47"/>
      <c r="D382" s="47"/>
      <c r="E382" s="47"/>
      <c r="F382" s="47">
        <f t="shared" si="21"/>
        <v>0</v>
      </c>
      <c r="G382" s="47"/>
      <c r="H382" s="47"/>
      <c r="I382" s="47"/>
      <c r="J382" s="24"/>
      <c r="K382" s="24"/>
      <c r="L382" s="24"/>
      <c r="M382" s="24"/>
      <c r="N382" s="24"/>
      <c r="O382" s="24"/>
      <c r="P382" s="24"/>
      <c r="Q382" s="24"/>
      <c r="R382" s="24"/>
      <c r="S382" s="24"/>
      <c r="T382" s="24"/>
      <c r="U382" s="29"/>
    </row>
    <row r="383" spans="1:21" x14ac:dyDescent="0.35">
      <c r="A383" s="47"/>
      <c r="B383" s="47"/>
      <c r="C383" s="47"/>
      <c r="D383" s="47"/>
      <c r="E383" s="47"/>
      <c r="F383" s="47">
        <f t="shared" si="21"/>
        <v>0</v>
      </c>
      <c r="G383" s="47"/>
      <c r="H383" s="47"/>
      <c r="I383" s="47"/>
      <c r="J383" s="24"/>
      <c r="K383" s="24"/>
      <c r="L383" s="24"/>
      <c r="M383" s="24"/>
      <c r="N383" s="24"/>
      <c r="O383" s="24"/>
      <c r="P383" s="24"/>
      <c r="Q383" s="24"/>
      <c r="R383" s="24"/>
      <c r="S383" s="24"/>
      <c r="T383" s="24"/>
      <c r="U383" s="29"/>
    </row>
    <row r="384" spans="1:21" x14ac:dyDescent="0.35">
      <c r="A384" s="47" t="s">
        <v>493</v>
      </c>
      <c r="B384" s="47"/>
      <c r="C384" s="47"/>
      <c r="D384" s="47"/>
      <c r="E384" s="47"/>
      <c r="F384" s="47">
        <f t="shared" si="21"/>
        <v>0</v>
      </c>
      <c r="G384" s="47"/>
      <c r="H384" s="47"/>
      <c r="I384" s="47"/>
      <c r="J384" s="24"/>
      <c r="K384" s="24"/>
      <c r="L384" s="24"/>
      <c r="M384" s="24"/>
      <c r="N384" s="24"/>
      <c r="O384" s="24"/>
      <c r="P384" s="24"/>
      <c r="Q384" s="24"/>
      <c r="R384" s="24"/>
      <c r="S384" s="24"/>
      <c r="T384" s="24"/>
      <c r="U384" s="29"/>
    </row>
    <row r="385" spans="1:21" s="68" customFormat="1" x14ac:dyDescent="0.35">
      <c r="A385" s="35">
        <v>1</v>
      </c>
      <c r="B385" s="35" t="s">
        <v>494</v>
      </c>
      <c r="C385" s="35" t="s">
        <v>193</v>
      </c>
      <c r="D385" s="35">
        <v>10</v>
      </c>
      <c r="E385" s="35"/>
      <c r="F385" s="35">
        <f t="shared" si="21"/>
        <v>0</v>
      </c>
      <c r="G385" s="35"/>
      <c r="H385" s="35"/>
      <c r="I385" s="35"/>
      <c r="J385" s="35"/>
      <c r="K385" s="35"/>
      <c r="L385" s="35"/>
      <c r="M385" s="35"/>
      <c r="N385" s="35"/>
      <c r="O385" s="35"/>
      <c r="P385" s="35"/>
      <c r="Q385" s="35"/>
      <c r="R385" s="35"/>
      <c r="S385" s="35"/>
      <c r="T385" s="35"/>
      <c r="U385" s="39">
        <f>D420*E420</f>
        <v>0</v>
      </c>
    </row>
    <row r="386" spans="1:21" x14ac:dyDescent="0.35">
      <c r="A386" s="47"/>
      <c r="B386" s="47"/>
      <c r="C386" s="47"/>
      <c r="D386" s="47"/>
      <c r="E386" s="47"/>
      <c r="F386" s="47">
        <f t="shared" si="21"/>
        <v>0</v>
      </c>
      <c r="G386" s="47"/>
      <c r="H386" s="47"/>
      <c r="I386" s="47"/>
      <c r="J386" s="24"/>
      <c r="K386" s="24"/>
      <c r="L386" s="24"/>
      <c r="M386" s="24"/>
      <c r="N386" s="24"/>
      <c r="O386" s="24"/>
      <c r="P386" s="24"/>
      <c r="Q386" s="24"/>
      <c r="R386" s="24"/>
      <c r="S386" s="24"/>
      <c r="T386" s="24"/>
      <c r="U386" s="29">
        <f>D421*E421</f>
        <v>0</v>
      </c>
    </row>
    <row r="387" spans="1:21" x14ac:dyDescent="0.35">
      <c r="A387" s="47"/>
      <c r="B387" s="47"/>
      <c r="C387" s="47"/>
      <c r="D387" s="47"/>
      <c r="E387" s="47"/>
      <c r="F387" s="47">
        <f t="shared" si="21"/>
        <v>0</v>
      </c>
      <c r="G387" s="47"/>
      <c r="H387" s="47"/>
      <c r="I387" s="47"/>
      <c r="J387" s="24"/>
      <c r="K387" s="24"/>
      <c r="L387" s="24"/>
      <c r="M387" s="24"/>
      <c r="N387" s="24"/>
      <c r="O387" s="24"/>
      <c r="P387" s="24"/>
      <c r="Q387" s="24"/>
      <c r="R387" s="24"/>
      <c r="S387" s="24"/>
      <c r="T387" s="24"/>
      <c r="U387" s="29"/>
    </row>
    <row r="388" spans="1:21" x14ac:dyDescent="0.35">
      <c r="A388" s="63" t="s">
        <v>495</v>
      </c>
      <c r="B388" s="47"/>
      <c r="C388" s="47"/>
      <c r="D388" s="47"/>
      <c r="E388" s="47"/>
      <c r="F388" s="47">
        <f t="shared" si="21"/>
        <v>0</v>
      </c>
      <c r="G388" s="47"/>
      <c r="H388" s="47"/>
      <c r="I388" s="47"/>
      <c r="J388" s="24"/>
      <c r="K388" s="24"/>
      <c r="L388" s="24"/>
      <c r="M388" s="24"/>
      <c r="N388" s="24"/>
      <c r="O388" s="24"/>
      <c r="P388" s="24"/>
      <c r="Q388" s="24"/>
      <c r="R388" s="24"/>
      <c r="S388" s="24"/>
      <c r="T388" s="24"/>
      <c r="U388" s="29"/>
    </row>
    <row r="389" spans="1:21" s="68" customFormat="1" x14ac:dyDescent="0.35">
      <c r="A389" s="35">
        <v>1</v>
      </c>
      <c r="B389" s="35" t="s">
        <v>496</v>
      </c>
      <c r="C389" s="35" t="s">
        <v>469</v>
      </c>
      <c r="D389" s="35">
        <v>1</v>
      </c>
      <c r="E389" s="35">
        <v>1200000</v>
      </c>
      <c r="F389" s="35">
        <f t="shared" si="21"/>
        <v>1200000</v>
      </c>
      <c r="G389" s="35"/>
      <c r="H389" s="35"/>
      <c r="I389" s="35"/>
      <c r="J389" s="35"/>
      <c r="K389" s="35"/>
      <c r="L389" s="35"/>
      <c r="M389" s="35"/>
      <c r="N389" s="35"/>
      <c r="O389" s="35"/>
      <c r="P389" s="35"/>
      <c r="Q389" s="35"/>
      <c r="R389" s="35"/>
      <c r="S389" s="35"/>
      <c r="T389" s="35"/>
      <c r="U389" s="39"/>
    </row>
    <row r="390" spans="1:21" s="65" customFormat="1" x14ac:dyDescent="0.35">
      <c r="A390" s="47"/>
      <c r="B390" s="47"/>
      <c r="C390" s="47"/>
      <c r="D390" s="47"/>
      <c r="E390" s="47"/>
      <c r="F390" s="47"/>
      <c r="G390" s="47"/>
      <c r="H390" s="47"/>
      <c r="I390" s="47"/>
      <c r="J390" s="47"/>
      <c r="K390" s="47"/>
      <c r="L390" s="47"/>
      <c r="M390" s="47"/>
      <c r="N390" s="47"/>
      <c r="O390" s="47"/>
      <c r="P390" s="47"/>
      <c r="Q390" s="47"/>
      <c r="R390" s="47"/>
      <c r="S390" s="47"/>
      <c r="T390" s="47"/>
      <c r="U390" s="62"/>
    </row>
    <row r="391" spans="1:21" s="65" customFormat="1" x14ac:dyDescent="0.35">
      <c r="A391" s="47"/>
      <c r="B391" s="47"/>
      <c r="C391" s="47"/>
      <c r="D391" s="47"/>
      <c r="E391" s="47"/>
      <c r="F391" s="47"/>
      <c r="G391" s="47"/>
      <c r="H391" s="47"/>
      <c r="I391" s="47"/>
      <c r="J391" s="47"/>
      <c r="K391" s="47"/>
      <c r="L391" s="47"/>
      <c r="M391" s="47"/>
      <c r="N391" s="47"/>
      <c r="O391" s="47"/>
      <c r="P391" s="47"/>
      <c r="Q391" s="47"/>
      <c r="R391" s="47"/>
      <c r="S391" s="47"/>
      <c r="T391" s="47"/>
      <c r="U391" s="62"/>
    </row>
    <row r="392" spans="1:21" s="65" customFormat="1" x14ac:dyDescent="0.35">
      <c r="A392" s="47"/>
      <c r="B392" s="47"/>
      <c r="C392" s="47"/>
      <c r="D392" s="47"/>
      <c r="E392" s="47"/>
      <c r="F392" s="47"/>
      <c r="G392" s="47"/>
      <c r="H392" s="47"/>
      <c r="I392" s="47"/>
      <c r="J392" s="47"/>
      <c r="K392" s="47"/>
      <c r="L392" s="47"/>
      <c r="M392" s="47"/>
      <c r="N392" s="47"/>
      <c r="O392" s="47"/>
      <c r="P392" s="47"/>
      <c r="Q392" s="47"/>
      <c r="R392" s="47"/>
      <c r="S392" s="47"/>
      <c r="T392" s="47"/>
      <c r="U392" s="62"/>
    </row>
    <row r="393" spans="1:21" s="65" customFormat="1" x14ac:dyDescent="0.35">
      <c r="A393" s="47"/>
      <c r="B393" s="47"/>
      <c r="C393" s="47"/>
      <c r="D393" s="47"/>
      <c r="E393" s="47"/>
      <c r="F393" s="47"/>
      <c r="G393" s="47"/>
      <c r="H393" s="47"/>
      <c r="I393" s="47"/>
      <c r="J393" s="47"/>
      <c r="K393" s="47"/>
      <c r="L393" s="47"/>
      <c r="M393" s="47"/>
      <c r="N393" s="47"/>
      <c r="O393" s="47"/>
      <c r="P393" s="47"/>
      <c r="Q393" s="47"/>
      <c r="R393" s="47"/>
      <c r="S393" s="47"/>
      <c r="T393" s="47"/>
      <c r="U393" s="62"/>
    </row>
    <row r="394" spans="1:21" s="65" customFormat="1" x14ac:dyDescent="0.35">
      <c r="A394" s="47"/>
      <c r="B394" s="47"/>
      <c r="C394" s="47"/>
      <c r="D394" s="47"/>
      <c r="E394" s="47"/>
      <c r="F394" s="47"/>
      <c r="G394" s="47"/>
      <c r="H394" s="47"/>
      <c r="I394" s="47"/>
      <c r="J394" s="47"/>
      <c r="K394" s="47"/>
      <c r="L394" s="47"/>
      <c r="M394" s="47"/>
      <c r="N394" s="47"/>
      <c r="O394" s="47"/>
      <c r="P394" s="47"/>
      <c r="Q394" s="47"/>
      <c r="R394" s="47"/>
      <c r="S394" s="47"/>
      <c r="T394" s="47"/>
      <c r="U394" s="62"/>
    </row>
    <row r="395" spans="1:21" s="65" customFormat="1" x14ac:dyDescent="0.35">
      <c r="A395" s="63" t="s">
        <v>497</v>
      </c>
      <c r="B395" s="63"/>
      <c r="C395" s="47"/>
      <c r="D395" s="47"/>
      <c r="E395" s="47"/>
      <c r="F395" s="47"/>
      <c r="G395" s="47"/>
      <c r="H395" s="47"/>
      <c r="I395" s="47"/>
      <c r="J395" s="47"/>
      <c r="K395" s="47"/>
      <c r="L395" s="47"/>
      <c r="M395" s="47"/>
      <c r="N395" s="47"/>
      <c r="O395" s="47"/>
      <c r="P395" s="47"/>
      <c r="Q395" s="47"/>
      <c r="R395" s="47"/>
      <c r="S395" s="47"/>
      <c r="T395" s="47"/>
      <c r="U395" s="62"/>
    </row>
    <row r="396" spans="1:21" s="81" customFormat="1" x14ac:dyDescent="0.35">
      <c r="A396" s="30">
        <v>1</v>
      </c>
      <c r="B396" s="30" t="s">
        <v>498</v>
      </c>
      <c r="C396" s="30" t="s">
        <v>423</v>
      </c>
      <c r="D396" s="30">
        <v>10</v>
      </c>
      <c r="E396" s="30"/>
      <c r="F396" s="30"/>
      <c r="G396" s="30"/>
      <c r="H396" s="30"/>
      <c r="I396" s="30"/>
      <c r="J396" s="30"/>
      <c r="K396" s="30"/>
      <c r="L396" s="30"/>
      <c r="M396" s="30"/>
      <c r="N396" s="30"/>
      <c r="O396" s="30"/>
      <c r="P396" s="30"/>
      <c r="Q396" s="30"/>
      <c r="R396" s="30"/>
      <c r="S396" s="30"/>
      <c r="T396" s="30"/>
      <c r="U396" s="80"/>
    </row>
    <row r="397" spans="1:21" x14ac:dyDescent="0.35">
      <c r="A397" s="47"/>
      <c r="B397" s="47"/>
      <c r="C397" s="47"/>
      <c r="D397" s="47"/>
      <c r="E397" s="47"/>
      <c r="F397" s="47">
        <f t="shared" si="21"/>
        <v>0</v>
      </c>
      <c r="G397" s="47"/>
      <c r="H397" s="47"/>
      <c r="I397" s="47"/>
      <c r="J397" s="24"/>
      <c r="K397" s="24"/>
      <c r="L397" s="24"/>
      <c r="M397" s="24"/>
      <c r="N397" s="24"/>
      <c r="O397" s="24"/>
      <c r="P397" s="24"/>
      <c r="Q397" s="24"/>
      <c r="R397" s="24"/>
      <c r="S397" s="24"/>
      <c r="T397" s="24"/>
      <c r="U397" s="29"/>
    </row>
    <row r="398" spans="1:21" x14ac:dyDescent="0.35">
      <c r="A398" s="47"/>
      <c r="B398" s="47"/>
      <c r="C398" s="47"/>
      <c r="D398" s="47"/>
      <c r="E398" s="47"/>
      <c r="F398" s="47">
        <f t="shared" si="21"/>
        <v>0</v>
      </c>
      <c r="G398" s="47"/>
      <c r="H398" s="47"/>
      <c r="I398" s="47"/>
      <c r="J398" s="24"/>
      <c r="K398" s="24"/>
      <c r="L398" s="24"/>
      <c r="M398" s="24"/>
      <c r="N398" s="24"/>
      <c r="O398" s="24"/>
      <c r="P398" s="24"/>
      <c r="Q398" s="24"/>
      <c r="R398" s="24"/>
      <c r="S398" s="24"/>
      <c r="T398" s="24"/>
      <c r="U398" s="29"/>
    </row>
    <row r="399" spans="1:21" x14ac:dyDescent="0.35">
      <c r="A399" s="47"/>
      <c r="B399" s="47"/>
      <c r="C399" s="47"/>
      <c r="D399" s="47"/>
      <c r="E399" s="47"/>
      <c r="F399" s="47">
        <f t="shared" si="21"/>
        <v>0</v>
      </c>
      <c r="G399" s="47"/>
      <c r="H399" s="47"/>
      <c r="I399" s="47"/>
      <c r="J399" s="24"/>
      <c r="K399" s="24"/>
      <c r="L399" s="24"/>
      <c r="M399" s="24"/>
      <c r="N399" s="24"/>
      <c r="O399" s="24"/>
      <c r="P399" s="24"/>
      <c r="Q399" s="24"/>
      <c r="R399" s="24"/>
      <c r="S399" s="24"/>
      <c r="T399" s="24"/>
      <c r="U399" s="29"/>
    </row>
    <row r="400" spans="1:21" x14ac:dyDescent="0.35">
      <c r="A400" s="63" t="s">
        <v>499</v>
      </c>
      <c r="B400" s="47"/>
      <c r="C400" s="47"/>
      <c r="D400" s="47"/>
      <c r="E400" s="47"/>
      <c r="F400" s="47">
        <f t="shared" si="21"/>
        <v>0</v>
      </c>
      <c r="G400" s="47"/>
      <c r="H400" s="47"/>
      <c r="I400" s="47"/>
      <c r="J400" s="24"/>
      <c r="K400" s="24"/>
      <c r="L400" s="24"/>
      <c r="M400" s="24"/>
      <c r="N400" s="24"/>
      <c r="O400" s="24"/>
      <c r="P400" s="24"/>
      <c r="Q400" s="24"/>
      <c r="R400" s="24"/>
      <c r="S400" s="24"/>
      <c r="T400" s="24"/>
      <c r="U400" s="29"/>
    </row>
    <row r="401" spans="1:21" s="81" customFormat="1" ht="13.5" customHeight="1" x14ac:dyDescent="0.35">
      <c r="A401" s="30">
        <v>1</v>
      </c>
      <c r="B401" s="30" t="s">
        <v>500</v>
      </c>
      <c r="C401" s="30" t="s">
        <v>423</v>
      </c>
      <c r="D401" s="30">
        <v>3</v>
      </c>
      <c r="E401" s="30">
        <v>36000</v>
      </c>
      <c r="F401" s="30">
        <f t="shared" si="21"/>
        <v>108000</v>
      </c>
      <c r="G401" s="30"/>
      <c r="H401" s="30"/>
      <c r="I401" s="30"/>
      <c r="J401" s="30"/>
      <c r="K401" s="30"/>
      <c r="L401" s="30"/>
      <c r="M401" s="30"/>
      <c r="N401" s="30"/>
      <c r="O401" s="30"/>
      <c r="P401" s="30"/>
      <c r="Q401" s="30"/>
      <c r="R401" s="30"/>
      <c r="S401" s="30"/>
      <c r="T401" s="30"/>
      <c r="U401" s="80"/>
    </row>
    <row r="402" spans="1:21" s="81" customFormat="1" x14ac:dyDescent="0.35">
      <c r="A402" s="30">
        <v>2</v>
      </c>
      <c r="B402" s="30" t="s">
        <v>501</v>
      </c>
      <c r="C402" s="30" t="s">
        <v>423</v>
      </c>
      <c r="D402" s="30">
        <v>2</v>
      </c>
      <c r="E402" s="30">
        <v>64000</v>
      </c>
      <c r="F402" s="30">
        <f t="shared" si="21"/>
        <v>128000</v>
      </c>
      <c r="G402" s="30"/>
      <c r="H402" s="30"/>
      <c r="I402" s="30"/>
      <c r="J402" s="30"/>
      <c r="K402" s="30"/>
      <c r="L402" s="30"/>
      <c r="M402" s="30"/>
      <c r="N402" s="30"/>
      <c r="O402" s="30"/>
      <c r="P402" s="30"/>
      <c r="Q402" s="30"/>
      <c r="R402" s="30"/>
      <c r="S402" s="30"/>
      <c r="T402" s="30"/>
      <c r="U402" s="80"/>
    </row>
    <row r="403" spans="1:21" s="65" customFormat="1" x14ac:dyDescent="0.35">
      <c r="A403" s="47"/>
      <c r="B403" s="47"/>
      <c r="C403" s="47"/>
      <c r="D403" s="47"/>
      <c r="E403" s="47"/>
      <c r="F403" s="47"/>
      <c r="G403" s="47"/>
      <c r="H403" s="47"/>
      <c r="I403" s="47"/>
      <c r="J403" s="47"/>
      <c r="K403" s="47"/>
      <c r="L403" s="47"/>
      <c r="M403" s="47"/>
      <c r="N403" s="47"/>
      <c r="O403" s="47"/>
      <c r="P403" s="47"/>
      <c r="Q403" s="47"/>
      <c r="R403" s="47"/>
      <c r="S403" s="47"/>
      <c r="T403" s="47"/>
      <c r="U403" s="62"/>
    </row>
    <row r="404" spans="1:21" s="65" customFormat="1" x14ac:dyDescent="0.35">
      <c r="A404" s="47" t="s">
        <v>502</v>
      </c>
      <c r="B404" s="47"/>
      <c r="C404" s="47"/>
      <c r="D404" s="47"/>
      <c r="E404" s="47"/>
      <c r="F404" s="47"/>
      <c r="G404" s="47"/>
      <c r="H404" s="47"/>
      <c r="I404" s="47"/>
      <c r="J404" s="47"/>
      <c r="K404" s="47"/>
      <c r="L404" s="47"/>
      <c r="M404" s="47"/>
      <c r="N404" s="47"/>
      <c r="O404" s="47"/>
      <c r="P404" s="47"/>
      <c r="Q404" s="47"/>
      <c r="R404" s="47"/>
      <c r="S404" s="47"/>
      <c r="T404" s="47"/>
      <c r="U404" s="62"/>
    </row>
    <row r="405" spans="1:21" s="65" customFormat="1" ht="31" x14ac:dyDescent="0.35">
      <c r="A405" s="35">
        <v>1</v>
      </c>
      <c r="B405" s="37" t="s">
        <v>503</v>
      </c>
      <c r="C405" s="35" t="s">
        <v>193</v>
      </c>
      <c r="D405" s="35">
        <v>5</v>
      </c>
      <c r="E405" s="35"/>
      <c r="F405" s="38">
        <f t="shared" ref="F405:F410" si="22">D405*E405</f>
        <v>0</v>
      </c>
      <c r="G405" s="35"/>
      <c r="H405" s="35"/>
      <c r="I405" s="35"/>
      <c r="J405" s="35"/>
      <c r="K405" s="35"/>
      <c r="L405" s="35"/>
      <c r="M405" s="35"/>
      <c r="N405" s="35"/>
      <c r="O405" s="35"/>
      <c r="P405" s="35"/>
      <c r="Q405" s="35"/>
      <c r="R405" s="35"/>
      <c r="S405" s="35"/>
      <c r="T405" s="35"/>
      <c r="U405" s="39"/>
    </row>
    <row r="406" spans="1:21" s="65" customFormat="1" ht="46.5" x14ac:dyDescent="0.35">
      <c r="A406" s="47">
        <v>2</v>
      </c>
      <c r="B406" s="64" t="s">
        <v>504</v>
      </c>
      <c r="C406" s="47" t="s">
        <v>193</v>
      </c>
      <c r="D406" s="47">
        <v>1</v>
      </c>
      <c r="E406" s="47">
        <v>318000</v>
      </c>
      <c r="F406" s="56">
        <f t="shared" si="22"/>
        <v>318000</v>
      </c>
      <c r="G406" s="47"/>
      <c r="H406" s="47"/>
      <c r="I406" s="47"/>
      <c r="J406" s="47"/>
      <c r="K406" s="47"/>
      <c r="L406" s="47"/>
      <c r="M406" s="47"/>
      <c r="N406" s="47"/>
      <c r="O406" s="47"/>
      <c r="P406" s="47"/>
      <c r="Q406" s="47"/>
      <c r="R406" s="47"/>
      <c r="S406" s="47"/>
      <c r="T406" s="47"/>
      <c r="U406" s="62"/>
    </row>
    <row r="407" spans="1:21" s="65" customFormat="1" x14ac:dyDescent="0.35">
      <c r="A407" s="47">
        <v>3</v>
      </c>
      <c r="B407" s="47" t="s">
        <v>505</v>
      </c>
      <c r="C407" s="47" t="s">
        <v>193</v>
      </c>
      <c r="D407" s="47">
        <v>1</v>
      </c>
      <c r="E407" s="47">
        <v>157113</v>
      </c>
      <c r="F407" s="56">
        <f t="shared" si="22"/>
        <v>157113</v>
      </c>
      <c r="G407" s="47"/>
      <c r="H407" s="47"/>
      <c r="I407" s="47"/>
      <c r="J407" s="47"/>
      <c r="K407" s="47"/>
      <c r="L407" s="47"/>
      <c r="M407" s="47"/>
      <c r="N407" s="47"/>
      <c r="O407" s="47"/>
      <c r="P407" s="47"/>
      <c r="Q407" s="47"/>
      <c r="R407" s="47"/>
      <c r="S407" s="47"/>
      <c r="T407" s="47"/>
      <c r="U407" s="62"/>
    </row>
    <row r="408" spans="1:21" s="65" customFormat="1" x14ac:dyDescent="0.35">
      <c r="A408" s="47">
        <v>4</v>
      </c>
      <c r="B408" s="47" t="s">
        <v>506</v>
      </c>
      <c r="C408" s="47" t="s">
        <v>193</v>
      </c>
      <c r="D408" s="47">
        <v>1</v>
      </c>
      <c r="E408" s="47">
        <v>13250</v>
      </c>
      <c r="F408" s="56">
        <f t="shared" si="22"/>
        <v>13250</v>
      </c>
      <c r="G408" s="47"/>
      <c r="H408" s="47"/>
      <c r="I408" s="47"/>
      <c r="J408" s="47"/>
      <c r="K408" s="47"/>
      <c r="L408" s="47"/>
      <c r="M408" s="47"/>
      <c r="N408" s="47"/>
      <c r="O408" s="47"/>
      <c r="P408" s="47"/>
      <c r="Q408" s="47"/>
      <c r="R408" s="47"/>
      <c r="S408" s="47"/>
      <c r="T408" s="47"/>
      <c r="U408" s="62"/>
    </row>
    <row r="409" spans="1:21" s="65" customFormat="1" ht="31" x14ac:dyDescent="0.35">
      <c r="A409" s="47">
        <v>5</v>
      </c>
      <c r="B409" s="64" t="s">
        <v>507</v>
      </c>
      <c r="C409" s="47" t="s">
        <v>193</v>
      </c>
      <c r="D409" s="47">
        <v>1</v>
      </c>
      <c r="E409" s="47">
        <v>397500</v>
      </c>
      <c r="F409" s="47">
        <f t="shared" si="22"/>
        <v>397500</v>
      </c>
      <c r="G409" s="47"/>
      <c r="H409" s="47"/>
      <c r="I409" s="47"/>
      <c r="J409" s="47"/>
      <c r="K409" s="47"/>
      <c r="L409" s="47"/>
      <c r="M409" s="47"/>
      <c r="N409" s="47"/>
      <c r="O409" s="47"/>
      <c r="P409" s="47"/>
      <c r="Q409" s="47"/>
      <c r="R409" s="47"/>
      <c r="S409" s="47"/>
      <c r="T409" s="47"/>
      <c r="U409" s="62"/>
    </row>
    <row r="410" spans="1:21" s="65" customFormat="1" x14ac:dyDescent="0.35">
      <c r="A410" s="47">
        <v>6</v>
      </c>
      <c r="B410" s="47" t="s">
        <v>508</v>
      </c>
      <c r="C410" s="47" t="s">
        <v>193</v>
      </c>
      <c r="D410" s="47">
        <v>1</v>
      </c>
      <c r="E410" s="47">
        <v>260000</v>
      </c>
      <c r="F410" s="47">
        <f t="shared" si="22"/>
        <v>260000</v>
      </c>
      <c r="G410" s="47"/>
      <c r="H410" s="47"/>
      <c r="I410" s="47"/>
      <c r="J410" s="47"/>
      <c r="K410" s="47"/>
      <c r="L410" s="47"/>
      <c r="M410" s="47"/>
      <c r="N410" s="47"/>
      <c r="O410" s="47"/>
      <c r="P410" s="47"/>
      <c r="Q410" s="47"/>
      <c r="R410" s="47"/>
      <c r="S410" s="47"/>
      <c r="T410" s="47"/>
      <c r="U410" s="62"/>
    </row>
    <row r="411" spans="1:21" s="65" customFormat="1" x14ac:dyDescent="0.35">
      <c r="A411" s="47"/>
      <c r="B411" s="47"/>
      <c r="C411" s="47"/>
      <c r="D411" s="47"/>
      <c r="E411" s="47"/>
      <c r="F411" s="47"/>
      <c r="G411" s="47"/>
      <c r="H411" s="47"/>
      <c r="I411" s="47"/>
      <c r="J411" s="47"/>
      <c r="K411" s="47"/>
      <c r="L411" s="47"/>
      <c r="M411" s="47"/>
      <c r="N411" s="47"/>
      <c r="O411" s="47"/>
      <c r="P411" s="47"/>
      <c r="Q411" s="47"/>
      <c r="R411" s="47"/>
      <c r="S411" s="47"/>
      <c r="T411" s="47"/>
      <c r="U411" s="62"/>
    </row>
    <row r="412" spans="1:21" s="65" customFormat="1" x14ac:dyDescent="0.35">
      <c r="A412" s="47"/>
      <c r="B412" s="47"/>
      <c r="C412" s="47"/>
      <c r="D412" s="47"/>
      <c r="E412" s="47"/>
      <c r="F412" s="47"/>
      <c r="G412" s="47"/>
      <c r="H412" s="47"/>
      <c r="I412" s="47"/>
      <c r="J412" s="47"/>
      <c r="K412" s="47"/>
      <c r="L412" s="47"/>
      <c r="M412" s="47"/>
      <c r="N412" s="47"/>
      <c r="O412" s="47"/>
      <c r="P412" s="47"/>
      <c r="Q412" s="47"/>
      <c r="R412" s="47"/>
      <c r="S412" s="47"/>
      <c r="T412" s="47"/>
      <c r="U412" s="62"/>
    </row>
    <row r="413" spans="1:21" s="65" customFormat="1" x14ac:dyDescent="0.35">
      <c r="A413" s="47"/>
      <c r="B413" s="47"/>
      <c r="C413" s="47"/>
      <c r="D413" s="47"/>
      <c r="E413" s="47"/>
      <c r="F413" s="47"/>
      <c r="G413" s="47"/>
      <c r="H413" s="47"/>
      <c r="I413" s="47"/>
      <c r="J413" s="47"/>
      <c r="K413" s="47"/>
      <c r="L413" s="47"/>
      <c r="M413" s="47"/>
      <c r="N413" s="47"/>
      <c r="O413" s="47"/>
      <c r="P413" s="47"/>
      <c r="Q413" s="47"/>
      <c r="R413" s="47"/>
      <c r="S413" s="47"/>
      <c r="T413" s="47"/>
      <c r="U413" s="62"/>
    </row>
    <row r="414" spans="1:21" s="65" customFormat="1" x14ac:dyDescent="0.35">
      <c r="A414" s="47"/>
      <c r="B414" s="47"/>
      <c r="C414" s="47"/>
      <c r="D414" s="47"/>
      <c r="E414" s="47"/>
      <c r="F414" s="47"/>
      <c r="G414" s="47"/>
      <c r="H414" s="47"/>
      <c r="I414" s="47"/>
      <c r="J414" s="47"/>
      <c r="K414" s="47"/>
      <c r="L414" s="47"/>
      <c r="M414" s="47"/>
      <c r="N414" s="47"/>
      <c r="O414" s="47"/>
      <c r="P414" s="47"/>
      <c r="Q414" s="47"/>
      <c r="R414" s="47"/>
      <c r="S414" s="47"/>
      <c r="T414" s="47"/>
      <c r="U414" s="62"/>
    </row>
    <row r="415" spans="1:21" s="65" customFormat="1" x14ac:dyDescent="0.35">
      <c r="A415" s="47"/>
      <c r="B415" s="47"/>
      <c r="C415" s="47"/>
      <c r="D415" s="47"/>
      <c r="E415" s="47"/>
      <c r="F415" s="47"/>
      <c r="G415" s="47"/>
      <c r="H415" s="47"/>
      <c r="I415" s="47"/>
      <c r="J415" s="47"/>
      <c r="K415" s="47"/>
      <c r="L415" s="47"/>
      <c r="M415" s="47"/>
      <c r="N415" s="47"/>
      <c r="O415" s="47"/>
      <c r="P415" s="47"/>
      <c r="Q415" s="47"/>
      <c r="R415" s="47"/>
      <c r="S415" s="47"/>
      <c r="T415" s="47"/>
      <c r="U415" s="62"/>
    </row>
    <row r="416" spans="1:21" s="65" customFormat="1" x14ac:dyDescent="0.35">
      <c r="A416" s="47"/>
      <c r="B416" s="47"/>
      <c r="C416" s="47"/>
      <c r="D416" s="47"/>
      <c r="E416" s="47"/>
      <c r="F416" s="47"/>
      <c r="G416" s="47"/>
      <c r="H416" s="47"/>
      <c r="I416" s="47"/>
      <c r="J416" s="47"/>
      <c r="K416" s="47"/>
      <c r="L416" s="47"/>
      <c r="M416" s="47"/>
      <c r="N416" s="47"/>
      <c r="O416" s="47"/>
      <c r="P416" s="47"/>
      <c r="Q416" s="47"/>
      <c r="R416" s="47"/>
      <c r="S416" s="47"/>
      <c r="T416" s="47"/>
      <c r="U416" s="62"/>
    </row>
    <row r="417" spans="1:21" s="65" customFormat="1" x14ac:dyDescent="0.35">
      <c r="A417" s="47"/>
      <c r="B417" s="47"/>
      <c r="C417" s="47"/>
      <c r="D417" s="47"/>
      <c r="E417" s="47"/>
      <c r="F417" s="47"/>
      <c r="G417" s="47"/>
      <c r="H417" s="47"/>
      <c r="I417" s="47"/>
      <c r="J417" s="47"/>
      <c r="K417" s="47"/>
      <c r="L417" s="47"/>
      <c r="M417" s="47"/>
      <c r="N417" s="47"/>
      <c r="O417" s="47"/>
      <c r="P417" s="47"/>
      <c r="Q417" s="47"/>
      <c r="R417" s="47"/>
      <c r="S417" s="47"/>
      <c r="T417" s="47"/>
      <c r="U417" s="62"/>
    </row>
    <row r="418" spans="1:21" x14ac:dyDescent="0.35">
      <c r="A418" s="47"/>
      <c r="B418" s="47"/>
      <c r="C418" s="47"/>
      <c r="D418" s="47"/>
      <c r="E418" s="47"/>
      <c r="F418" s="47">
        <f t="shared" si="21"/>
        <v>0</v>
      </c>
      <c r="G418" s="47"/>
      <c r="H418" s="47"/>
      <c r="I418" s="47"/>
      <c r="J418" s="24"/>
      <c r="K418" s="24"/>
      <c r="L418" s="24"/>
      <c r="M418" s="24"/>
      <c r="N418" s="24"/>
      <c r="O418" s="24"/>
      <c r="P418" s="24"/>
      <c r="Q418" s="24"/>
      <c r="R418" s="24"/>
      <c r="S418" s="24"/>
      <c r="T418" s="24"/>
      <c r="U418" s="29">
        <f>D422*E422</f>
        <v>0</v>
      </c>
    </row>
    <row r="419" spans="1:21" x14ac:dyDescent="0.35">
      <c r="A419" s="65"/>
      <c r="B419" s="65"/>
      <c r="C419" s="65"/>
      <c r="D419" s="65"/>
      <c r="E419" s="65"/>
      <c r="F419" s="82">
        <f>SUM(F6:F418)</f>
        <v>245471348</v>
      </c>
      <c r="G419" s="65"/>
      <c r="H419" s="65"/>
      <c r="I419" s="65"/>
    </row>
  </sheetData>
  <mergeCells count="7">
    <mergeCell ref="A294:B294"/>
    <mergeCell ref="N2:U2"/>
    <mergeCell ref="N3:O3"/>
    <mergeCell ref="P3:Q3"/>
    <mergeCell ref="R3:S3"/>
    <mergeCell ref="T3:U3"/>
    <mergeCell ref="A95:B9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Revised 3mwp</vt:lpstr>
      <vt:lpstr>3 M-Budget</vt:lpstr>
      <vt:lpstr>Revised 1ywp</vt:lpstr>
      <vt:lpstr>Itemized 1ywp</vt:lpstr>
      <vt:lpstr>1Y-Budget</vt:lpstr>
      <vt:lpstr>ksric 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KIPRE</cp:lastModifiedBy>
  <dcterms:created xsi:type="dcterms:W3CDTF">2022-08-23T06:32:15Z</dcterms:created>
  <dcterms:modified xsi:type="dcterms:W3CDTF">2024-08-01T06:45:11Z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2024-07-22T12:30:10Z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e086c75d-ed44-4165-8450-6fed41cbeacb</vt:lpwstr>
  </property>
  <property fmtid="{D5CDD505-2E9C-101B-9397-08002B2CF9AE}" pid="7" name="MSIP_Label_defa4170-0d19-0005-0004-bc88714345d2_ActionId">
    <vt:lpwstr>d5ed78ba-64f0-421e-904a-6cb8b4dca48a</vt:lpwstr>
  </property>
  <property fmtid="{D5CDD505-2E9C-101B-9397-08002B2CF9AE}" pid="8" name="MSIP_Label_defa4170-0d19-0005-0004-bc88714345d2_ContentBits">
    <vt:lpwstr>0</vt:lpwstr>
  </property>
</Properties>
</file>