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13_ncr:1_{AC395D0D-0921-4768-8307-0CA4545726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" i="1" l="1"/>
  <c r="E98" i="1"/>
  <c r="E97" i="1"/>
  <c r="E93" i="1"/>
  <c r="E92" i="1"/>
  <c r="E91" i="1"/>
  <c r="E90" i="1"/>
  <c r="E89" i="1"/>
  <c r="E88" i="1"/>
  <c r="E87" i="1"/>
  <c r="E86" i="1"/>
  <c r="E85" i="1"/>
  <c r="E81" i="1"/>
  <c r="E77" i="1"/>
  <c r="E76" i="1"/>
  <c r="E75" i="1"/>
  <c r="E74" i="1"/>
  <c r="E78" i="1" s="1"/>
  <c r="E69" i="1"/>
  <c r="E68" i="1"/>
  <c r="E63" i="1"/>
  <c r="E62" i="1"/>
  <c r="E61" i="1"/>
  <c r="E60" i="1"/>
  <c r="E59" i="1"/>
  <c r="E64" i="1" s="1"/>
  <c r="E53" i="1"/>
  <c r="E52" i="1"/>
  <c r="E51" i="1"/>
  <c r="E50" i="1"/>
  <c r="E49" i="1"/>
  <c r="E48" i="1"/>
  <c r="E47" i="1"/>
  <c r="E46" i="1"/>
  <c r="E45" i="1"/>
  <c r="E44" i="1"/>
  <c r="E43" i="1"/>
  <c r="E42" i="1"/>
  <c r="E55" i="1" s="1"/>
  <c r="E41" i="1"/>
  <c r="E40" i="1"/>
  <c r="E39" i="1"/>
  <c r="E34" i="1"/>
  <c r="E32" i="1"/>
  <c r="E36" i="1" s="1"/>
  <c r="E26" i="1"/>
  <c r="E25" i="1"/>
  <c r="E24" i="1"/>
  <c r="E23" i="1"/>
  <c r="E22" i="1"/>
  <c r="E21" i="1"/>
  <c r="E20" i="1"/>
  <c r="E15" i="1"/>
  <c r="E14" i="1"/>
  <c r="E13" i="1"/>
  <c r="E12" i="1"/>
  <c r="E11" i="1"/>
  <c r="E17" i="1" s="1"/>
  <c r="E28" i="1" l="1"/>
  <c r="E94" i="1"/>
  <c r="E70" i="1"/>
  <c r="E101" i="1"/>
</calcChain>
</file>

<file path=xl/sharedStrings.xml><?xml version="1.0" encoding="utf-8"?>
<sst xmlns="http://schemas.openxmlformats.org/spreadsheetml/2006/main" count="138" uniqueCount="84">
  <si>
    <t>PROCUREMENT PLAN TEMPLATE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</si>
  <si>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</si>
  <si>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</si>
  <si>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</si>
  <si>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</si>
  <si>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</si>
  <si>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</si>
  <si>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</si>
  <si>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</si>
  <si>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</si>
  <si>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</si>
  <si>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</si>
  <si>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</si>
  <si>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</si>
  <si>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</si>
  <si>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</si>
  <si>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</si>
  <si>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1.ADVERTISEMENT</t>
  </si>
  <si>
    <t>2.Cartridges and Toners</t>
  </si>
  <si>
    <t xml:space="preserve">HP LESER JET PRO M254nw CF280A Cartridge </t>
  </si>
  <si>
    <t>K-SRIC</t>
  </si>
  <si>
    <t>HP LESER JET PRO M254nw CF541A -C (Cyan)</t>
  </si>
  <si>
    <t>HP LESER JET PRO M254nw CF542A -Y (Yellow)</t>
  </si>
  <si>
    <t>HP LESER JET PRO M254nw CF543A - M (Magenta)</t>
  </si>
  <si>
    <t>HP LESER JET PRO M254nw CF540A -K (Black)</t>
  </si>
  <si>
    <t>12. Stationery</t>
  </si>
  <si>
    <t xml:space="preserve">Highlighters </t>
  </si>
  <si>
    <t>Ballpoint pens</t>
  </si>
  <si>
    <t>Sticky notes</t>
  </si>
  <si>
    <t>Envelopes (large &amp; small)</t>
  </si>
  <si>
    <t xml:space="preserve">paper clipes </t>
  </si>
  <si>
    <t xml:space="preserve">Printing papers </t>
  </si>
  <si>
    <t>Permanent marker</t>
  </si>
  <si>
    <t>Subtotal</t>
  </si>
  <si>
    <t>7. Electricals, Equipment and repair</t>
  </si>
  <si>
    <t xml:space="preserve">Microwave -30Ltrs </t>
  </si>
  <si>
    <t xml:space="preserve">Ice maker </t>
  </si>
  <si>
    <t>Modification of locking mechanism for the venoms storage fridge.</t>
  </si>
  <si>
    <t>10.Janitorials</t>
  </si>
  <si>
    <t>Liquid soap/detergent Teepol (20L)</t>
  </si>
  <si>
    <t>Protex soap</t>
  </si>
  <si>
    <t>Vaseline (100g)</t>
  </si>
  <si>
    <t>Hard Brush</t>
  </si>
  <si>
    <t>Soft broom</t>
  </si>
  <si>
    <t>JIK</t>
  </si>
  <si>
    <t>Harpic</t>
  </si>
  <si>
    <t>Vim (tins, 400g)</t>
  </si>
  <si>
    <t>Doom spray (cans)</t>
  </si>
  <si>
    <t>Industrial gloves (pairs)</t>
  </si>
  <si>
    <t>Mop buckets</t>
  </si>
  <si>
    <t>Mop heads</t>
  </si>
  <si>
    <t>Supa brite, Large</t>
  </si>
  <si>
    <t>Steel wool, 750g</t>
  </si>
  <si>
    <t>Horse pipes</t>
  </si>
  <si>
    <t>14.Cage maintenence</t>
  </si>
  <si>
    <t>Mice cages - SMALL</t>
  </si>
  <si>
    <t>Mice cages -MEDIUM</t>
  </si>
  <si>
    <t>Mice cages - LARGE</t>
  </si>
  <si>
    <t>Mice racks</t>
  </si>
  <si>
    <t>Mice water bottles</t>
  </si>
  <si>
    <t>16.Tools and Equipments new</t>
  </si>
  <si>
    <t>Ear Tag Applicator</t>
  </si>
  <si>
    <t xml:space="preserve">Ear tags </t>
  </si>
  <si>
    <t>19.. Staff Uniforms and protective clothing</t>
  </si>
  <si>
    <t>Provisions of standard face masks for venom handling and processing. (10 boxes).</t>
  </si>
  <si>
    <t xml:space="preserve">Staff Overalls </t>
  </si>
  <si>
    <t>Safari boots</t>
  </si>
  <si>
    <t>Safety goggles for visitors. (10 of each)</t>
  </si>
  <si>
    <t>22. Food for Primates</t>
  </si>
  <si>
    <t>Mineral salts for camels (magadi soda) -50kg</t>
  </si>
  <si>
    <t>23. Medical and Surgical supplies</t>
  </si>
  <si>
    <t>30% Oxytetracycline (100ml vials)</t>
  </si>
  <si>
    <t>L.A PenStrep (100ml vials)</t>
  </si>
  <si>
    <t xml:space="preserve">Alamycin Stray </t>
  </si>
  <si>
    <t>Dexamethasone (100ml vials)</t>
  </si>
  <si>
    <t>Ivermectin 1% (100 ml vials)</t>
  </si>
  <si>
    <t>Albendazole 10% (1L)</t>
  </si>
  <si>
    <t>Piperazine (100g)</t>
  </si>
  <si>
    <t>Rift Valley Fever vaccine (100 ml vials)</t>
  </si>
  <si>
    <t>Blanthax vaccine (100ml vials)</t>
  </si>
  <si>
    <t>29. Library Books/ Journals/ Publications</t>
  </si>
  <si>
    <t>Manuscript publications</t>
  </si>
  <si>
    <t>Snakebite management guidelines</t>
  </si>
  <si>
    <t>Policy briefs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</si>
</sst>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2222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/>
    <xf numFmtId="0" fontId="2" fillId="0" borderId="6" xfId="0" applyFont="1" applyBorder="1" applyAlignment="1">
      <alignment horizontal="left" vertical="top"/>
    </xf>
    <xf numFmtId="0" fontId="3" fillId="0" borderId="6" xfId="0" applyFont="1" applyBorder="1"/>
    <xf numFmtId="43" fontId="3" fillId="0" borderId="6" xfId="1" applyFont="1" applyBorder="1"/>
    <xf numFmtId="0" fontId="3" fillId="0" borderId="6" xfId="0" applyFont="1" applyBorder="1" applyAlignment="1">
      <alignment wrapText="1"/>
    </xf>
    <xf numFmtId="43" fontId="2" fillId="0" borderId="6" xfId="1" applyFont="1" applyBorder="1"/>
    <xf numFmtId="0" fontId="3" fillId="2" borderId="6" xfId="0" applyFont="1" applyFill="1" applyBorder="1"/>
    <xf numFmtId="43" fontId="3" fillId="2" borderId="6" xfId="1" applyFont="1" applyFill="1" applyBorder="1"/>
    <xf numFmtId="0" fontId="3" fillId="2" borderId="6" xfId="0" applyFont="1" applyFill="1" applyBorder="1" applyAlignment="1">
      <alignment wrapText="1"/>
    </xf>
    <xf numFmtId="0" fontId="4" fillId="2" borderId="7" xfId="0" applyFont="1" applyFill="1" applyBorder="1" applyAlignment="1">
      <alignment vertical="top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4" fillId="0" borderId="7" xfId="0" applyFont="1" applyBorder="1" applyAlignment="1">
      <alignment vertical="top"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02"/>
  <sheetViews>
    <sheetView tabSelected="1" topLeftCell="A94" workbookViewId="0">
      <selection activeCell="D101" sqref="D101"/>
    </sheetView>
  </sheetViews>
  <sheetFormatPr defaultColWidth="9" defaultRowHeight="14" x14ac:dyDescent="0.3"/>
  <cols>
    <col min="1" max="1" width="9" style="2"/>
    <col min="2" max="2" width="31.54296875" style="2" customWidth="1"/>
    <col min="3" max="3" width="15.6328125" style="2" customWidth="1"/>
    <col min="4" max="4" width="12.6328125" style="2" customWidth="1"/>
    <col min="5" max="5" width="13.90625" style="2" customWidth="1"/>
    <col min="6" max="6" width="9" style="2"/>
    <col min="7" max="7" width="11.6328125" style="2" customWidth="1"/>
    <col min="8" max="8" width="10" style="2" customWidth="1"/>
    <col min="9" max="16384" width="9" style="2"/>
  </cols>
  <sheetData>
    <row r="2" spans="1:16" x14ac:dyDescent="0.3">
      <c r="A2" s="1" t="s">
        <v>0</v>
      </c>
      <c r="B2" s="1"/>
      <c r="C2" s="1"/>
      <c r="D2" s="1"/>
    </row>
    <row r="3" spans="1:16" ht="42" x14ac:dyDescent="0.3">
      <c r="A3" s="3"/>
      <c r="B3" s="4" t="s">
        <v>1</v>
      </c>
      <c r="C3" s="5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27" t="s">
        <v>12</v>
      </c>
      <c r="N3" s="28"/>
      <c r="O3" s="28"/>
      <c r="P3" s="29"/>
    </row>
    <row r="4" spans="1:16" x14ac:dyDescent="0.3">
      <c r="A4" s="3"/>
      <c r="B4" s="4"/>
      <c r="C4" s="5"/>
      <c r="D4" s="4"/>
      <c r="E4" s="4"/>
      <c r="F4" s="4"/>
      <c r="G4" s="4"/>
      <c r="H4" s="4"/>
      <c r="I4" s="5"/>
      <c r="J4" s="5"/>
      <c r="K4" s="5"/>
      <c r="L4" s="5"/>
      <c r="M4" s="6" t="s">
        <v>13</v>
      </c>
      <c r="N4" s="7" t="s">
        <v>14</v>
      </c>
      <c r="O4" s="7" t="s">
        <v>15</v>
      </c>
      <c r="P4" s="8" t="s">
        <v>16</v>
      </c>
    </row>
    <row r="5" spans="1:16" x14ac:dyDescent="0.3">
      <c r="A5" s="9" t="s">
        <v>17</v>
      </c>
      <c r="B5" s="10"/>
      <c r="C5" s="11"/>
      <c r="D5" s="12"/>
      <c r="E5" s="1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x14ac:dyDescent="0.3">
      <c r="A6" s="11">
        <v>1</v>
      </c>
      <c r="B6" s="11"/>
      <c r="C6" s="11"/>
      <c r="D6" s="12"/>
      <c r="E6" s="12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x14ac:dyDescent="0.3">
      <c r="A7" s="11">
        <v>2</v>
      </c>
      <c r="B7" s="11"/>
      <c r="C7" s="11"/>
      <c r="D7" s="12"/>
      <c r="E7" s="12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x14ac:dyDescent="0.3">
      <c r="A8" s="11">
        <v>3</v>
      </c>
      <c r="B8" s="11"/>
      <c r="C8" s="11"/>
      <c r="D8" s="12"/>
      <c r="E8" s="12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x14ac:dyDescent="0.3">
      <c r="A9" s="11">
        <v>4</v>
      </c>
      <c r="B9" s="11"/>
      <c r="C9" s="11"/>
      <c r="D9" s="12"/>
      <c r="E9" s="12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x14ac:dyDescent="0.3">
      <c r="A10" s="9" t="s">
        <v>18</v>
      </c>
      <c r="B10" s="9"/>
      <c r="C10" s="11"/>
      <c r="D10" s="12"/>
      <c r="E10" s="1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28" x14ac:dyDescent="0.3">
      <c r="A11" s="11">
        <v>1</v>
      </c>
      <c r="B11" s="13" t="s">
        <v>19</v>
      </c>
      <c r="C11" s="11">
        <v>4</v>
      </c>
      <c r="D11" s="12">
        <v>17000</v>
      </c>
      <c r="E11" s="12">
        <f>SUM(C11*D11)</f>
        <v>68000</v>
      </c>
      <c r="F11" s="11" t="s">
        <v>20</v>
      </c>
      <c r="G11" s="11"/>
      <c r="H11" s="11"/>
      <c r="I11" s="11"/>
      <c r="J11" s="11"/>
      <c r="K11" s="11"/>
      <c r="L11" s="11"/>
      <c r="M11" s="11">
        <v>1</v>
      </c>
      <c r="N11" s="11">
        <v>1</v>
      </c>
      <c r="O11" s="11">
        <v>1</v>
      </c>
      <c r="P11" s="11">
        <v>1</v>
      </c>
    </row>
    <row r="12" spans="1:16" ht="28" x14ac:dyDescent="0.3">
      <c r="A12" s="11">
        <v>2</v>
      </c>
      <c r="B12" s="13" t="s">
        <v>21</v>
      </c>
      <c r="C12" s="11">
        <v>4</v>
      </c>
      <c r="D12" s="12">
        <v>17000</v>
      </c>
      <c r="E12" s="12">
        <f>SUM(C12*D12)</f>
        <v>68000</v>
      </c>
      <c r="F12" s="11" t="s">
        <v>20</v>
      </c>
      <c r="G12" s="11"/>
      <c r="H12" s="11"/>
      <c r="I12" s="11"/>
      <c r="J12" s="11"/>
      <c r="K12" s="11"/>
      <c r="L12" s="11"/>
      <c r="M12" s="11">
        <v>1</v>
      </c>
      <c r="N12" s="11">
        <v>1</v>
      </c>
      <c r="O12" s="11">
        <v>1</v>
      </c>
      <c r="P12" s="11">
        <v>1</v>
      </c>
    </row>
    <row r="13" spans="1:16" ht="28" x14ac:dyDescent="0.3">
      <c r="A13" s="11">
        <v>3</v>
      </c>
      <c r="B13" s="13" t="s">
        <v>22</v>
      </c>
      <c r="C13" s="11">
        <v>4</v>
      </c>
      <c r="D13" s="12">
        <v>17000</v>
      </c>
      <c r="E13" s="12">
        <f>SUM(C13*D13)</f>
        <v>68000</v>
      </c>
      <c r="F13" s="11" t="s">
        <v>20</v>
      </c>
      <c r="G13" s="11"/>
      <c r="H13" s="11"/>
      <c r="I13" s="11"/>
      <c r="J13" s="11"/>
      <c r="K13" s="11"/>
      <c r="L13" s="11"/>
      <c r="M13" s="11">
        <v>1</v>
      </c>
      <c r="N13" s="11">
        <v>1</v>
      </c>
      <c r="O13" s="11">
        <v>1</v>
      </c>
      <c r="P13" s="11">
        <v>1</v>
      </c>
    </row>
    <row r="14" spans="1:16" ht="28" x14ac:dyDescent="0.3">
      <c r="A14" s="11">
        <v>4</v>
      </c>
      <c r="B14" s="13" t="s">
        <v>23</v>
      </c>
      <c r="C14" s="11">
        <v>4</v>
      </c>
      <c r="D14" s="12">
        <v>17000</v>
      </c>
      <c r="E14" s="12">
        <f>SUM(C14*D14)</f>
        <v>68000</v>
      </c>
      <c r="F14" s="11" t="s">
        <v>20</v>
      </c>
      <c r="G14" s="11"/>
      <c r="H14" s="11"/>
      <c r="I14" s="11"/>
      <c r="J14" s="11"/>
      <c r="K14" s="11"/>
      <c r="L14" s="11"/>
      <c r="M14" s="11">
        <v>1</v>
      </c>
      <c r="N14" s="11">
        <v>1</v>
      </c>
      <c r="O14" s="11">
        <v>1</v>
      </c>
      <c r="P14" s="11">
        <v>1</v>
      </c>
    </row>
    <row r="15" spans="1:16" ht="28" x14ac:dyDescent="0.3">
      <c r="A15" s="11">
        <v>5</v>
      </c>
      <c r="B15" s="13" t="s">
        <v>24</v>
      </c>
      <c r="C15" s="11">
        <v>4</v>
      </c>
      <c r="D15" s="12">
        <v>17000</v>
      </c>
      <c r="E15" s="12">
        <f>SUM(C15*D15)</f>
        <v>68000</v>
      </c>
      <c r="F15" s="11" t="s">
        <v>20</v>
      </c>
      <c r="G15" s="11"/>
      <c r="H15" s="11"/>
      <c r="I15" s="11"/>
      <c r="J15" s="11"/>
      <c r="K15" s="11"/>
      <c r="L15" s="11"/>
      <c r="M15" s="11">
        <v>1</v>
      </c>
      <c r="N15" s="11">
        <v>1</v>
      </c>
      <c r="O15" s="11">
        <v>1</v>
      </c>
      <c r="P15" s="11">
        <v>1</v>
      </c>
    </row>
    <row r="16" spans="1:16" x14ac:dyDescent="0.3">
      <c r="A16" s="9"/>
      <c r="B16" s="9"/>
      <c r="C16" s="11"/>
      <c r="D16" s="12"/>
      <c r="E16" s="12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x14ac:dyDescent="0.3">
      <c r="A17" s="9"/>
      <c r="B17" s="9"/>
      <c r="C17" s="11"/>
      <c r="D17" s="12"/>
      <c r="E17" s="14">
        <f>SUM(E11:E15)</f>
        <v>340000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x14ac:dyDescent="0.3">
      <c r="A18" s="11"/>
      <c r="B18" s="11"/>
      <c r="C18" s="11"/>
      <c r="D18" s="12"/>
      <c r="E18" s="12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x14ac:dyDescent="0.3">
      <c r="A19" s="9" t="s">
        <v>25</v>
      </c>
      <c r="B19" s="9"/>
      <c r="C19" s="11"/>
      <c r="D19" s="12"/>
      <c r="E19" s="12"/>
      <c r="F19" s="11"/>
      <c r="G19" s="11"/>
      <c r="H19" s="11"/>
      <c r="I19" s="11"/>
      <c r="J19" s="11"/>
      <c r="K19" s="11"/>
      <c r="L19" s="11"/>
      <c r="M19" s="11">
        <v>20</v>
      </c>
      <c r="N19" s="11">
        <v>10</v>
      </c>
      <c r="O19" s="11">
        <v>10</v>
      </c>
      <c r="P19" s="11">
        <v>10</v>
      </c>
    </row>
    <row r="20" spans="1:16" x14ac:dyDescent="0.3">
      <c r="A20" s="11">
        <v>1</v>
      </c>
      <c r="B20" s="15" t="s">
        <v>26</v>
      </c>
      <c r="C20" s="15">
        <v>50</v>
      </c>
      <c r="D20" s="16">
        <v>30</v>
      </c>
      <c r="E20" s="16">
        <f t="shared" ref="E20:E26" si="0">SUM(C20*D20)</f>
        <v>1500</v>
      </c>
      <c r="F20" s="15" t="s">
        <v>20</v>
      </c>
      <c r="G20" s="11"/>
      <c r="H20" s="11"/>
      <c r="I20" s="11"/>
      <c r="J20" s="11"/>
      <c r="K20" s="11"/>
      <c r="L20" s="11"/>
      <c r="M20" s="11">
        <v>20</v>
      </c>
      <c r="N20" s="11">
        <v>10</v>
      </c>
      <c r="O20" s="11">
        <v>10</v>
      </c>
      <c r="P20" s="11">
        <v>10</v>
      </c>
    </row>
    <row r="21" spans="1:16" x14ac:dyDescent="0.3">
      <c r="A21" s="11">
        <v>2</v>
      </c>
      <c r="B21" s="15" t="s">
        <v>27</v>
      </c>
      <c r="C21" s="15">
        <v>50</v>
      </c>
      <c r="D21" s="16">
        <v>120</v>
      </c>
      <c r="E21" s="16">
        <f t="shared" si="0"/>
        <v>6000</v>
      </c>
      <c r="F21" s="15" t="s">
        <v>20</v>
      </c>
      <c r="G21" s="11"/>
      <c r="H21" s="11"/>
      <c r="I21" s="11"/>
      <c r="J21" s="11"/>
      <c r="K21" s="11"/>
      <c r="L21" s="11"/>
      <c r="M21" s="11">
        <v>20</v>
      </c>
      <c r="N21" s="11">
        <v>10</v>
      </c>
      <c r="O21" s="11">
        <v>10</v>
      </c>
      <c r="P21" s="11">
        <v>10</v>
      </c>
    </row>
    <row r="22" spans="1:16" x14ac:dyDescent="0.3">
      <c r="A22" s="11">
        <v>3</v>
      </c>
      <c r="B22" s="15" t="s">
        <v>28</v>
      </c>
      <c r="C22" s="15">
        <v>50</v>
      </c>
      <c r="D22" s="16">
        <v>80</v>
      </c>
      <c r="E22" s="16">
        <f t="shared" si="0"/>
        <v>4000</v>
      </c>
      <c r="F22" s="15" t="s">
        <v>20</v>
      </c>
      <c r="G22" s="11"/>
      <c r="H22" s="11"/>
      <c r="I22" s="11"/>
      <c r="J22" s="11"/>
      <c r="K22" s="11"/>
      <c r="L22" s="11"/>
      <c r="M22" s="11">
        <v>50</v>
      </c>
      <c r="N22" s="11">
        <v>50</v>
      </c>
      <c r="O22" s="11">
        <v>50</v>
      </c>
      <c r="P22" s="11">
        <v>50</v>
      </c>
    </row>
    <row r="23" spans="1:16" x14ac:dyDescent="0.3">
      <c r="A23" s="11">
        <v>4</v>
      </c>
      <c r="B23" s="17" t="s">
        <v>29</v>
      </c>
      <c r="C23" s="15">
        <v>200</v>
      </c>
      <c r="D23" s="16">
        <v>30</v>
      </c>
      <c r="E23" s="16">
        <f t="shared" si="0"/>
        <v>6000</v>
      </c>
      <c r="F23" s="15" t="s">
        <v>20</v>
      </c>
      <c r="G23" s="11"/>
      <c r="H23" s="11"/>
      <c r="I23" s="11"/>
      <c r="J23" s="11"/>
      <c r="K23" s="11"/>
      <c r="L23" s="11"/>
      <c r="M23" s="11">
        <v>20</v>
      </c>
      <c r="N23" s="11">
        <v>10</v>
      </c>
      <c r="O23" s="11">
        <v>10</v>
      </c>
      <c r="P23" s="11">
        <v>10</v>
      </c>
    </row>
    <row r="24" spans="1:16" x14ac:dyDescent="0.3">
      <c r="A24" s="11">
        <v>5</v>
      </c>
      <c r="B24" s="15" t="s">
        <v>30</v>
      </c>
      <c r="C24" s="15">
        <v>100</v>
      </c>
      <c r="D24" s="16">
        <v>120</v>
      </c>
      <c r="E24" s="16">
        <f t="shared" si="0"/>
        <v>12000</v>
      </c>
      <c r="F24" s="15" t="s">
        <v>20</v>
      </c>
      <c r="G24" s="11"/>
      <c r="H24" s="11"/>
      <c r="I24" s="11"/>
      <c r="J24" s="11"/>
      <c r="K24" s="11"/>
      <c r="L24" s="11"/>
      <c r="M24" s="11">
        <v>30</v>
      </c>
      <c r="N24" s="11">
        <v>20</v>
      </c>
      <c r="O24" s="11">
        <v>30</v>
      </c>
      <c r="P24" s="11">
        <v>20</v>
      </c>
    </row>
    <row r="25" spans="1:16" x14ac:dyDescent="0.3">
      <c r="A25" s="11">
        <v>6</v>
      </c>
      <c r="B25" s="11" t="s">
        <v>31</v>
      </c>
      <c r="C25" s="11">
        <v>40</v>
      </c>
      <c r="D25" s="12">
        <v>1000</v>
      </c>
      <c r="E25" s="12">
        <f t="shared" si="0"/>
        <v>40000</v>
      </c>
      <c r="F25" s="11" t="s">
        <v>20</v>
      </c>
      <c r="G25" s="11"/>
      <c r="H25" s="11"/>
      <c r="I25" s="11"/>
      <c r="J25" s="11"/>
      <c r="K25" s="11"/>
      <c r="L25" s="11"/>
      <c r="M25" s="11">
        <v>10</v>
      </c>
      <c r="N25" s="11">
        <v>10</v>
      </c>
      <c r="O25" s="11">
        <v>10</v>
      </c>
      <c r="P25" s="11">
        <v>10</v>
      </c>
    </row>
    <row r="26" spans="1:16" x14ac:dyDescent="0.3">
      <c r="A26" s="11">
        <v>7</v>
      </c>
      <c r="B26" s="11" t="s">
        <v>32</v>
      </c>
      <c r="C26" s="11">
        <v>30</v>
      </c>
      <c r="D26" s="12">
        <v>450</v>
      </c>
      <c r="E26" s="12">
        <f t="shared" si="0"/>
        <v>13500</v>
      </c>
      <c r="F26" s="11" t="s">
        <v>20</v>
      </c>
      <c r="G26" s="11"/>
      <c r="H26" s="11"/>
      <c r="I26" s="11"/>
      <c r="J26" s="11"/>
      <c r="K26" s="11"/>
      <c r="L26" s="11"/>
      <c r="M26" s="11">
        <v>30</v>
      </c>
      <c r="N26" s="11"/>
      <c r="O26" s="11"/>
      <c r="P26" s="11"/>
    </row>
    <row r="27" spans="1:16" x14ac:dyDescent="0.3">
      <c r="A27" s="11"/>
      <c r="B27" s="11"/>
      <c r="C27" s="11"/>
      <c r="D27" s="12"/>
      <c r="E27" s="12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x14ac:dyDescent="0.3">
      <c r="A28" s="11"/>
      <c r="B28" s="9" t="s">
        <v>33</v>
      </c>
      <c r="C28" s="11"/>
      <c r="D28" s="12"/>
      <c r="E28" s="14">
        <f>SUM(E20:E26)</f>
        <v>83000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x14ac:dyDescent="0.3">
      <c r="A29" s="11"/>
      <c r="B29" s="11"/>
      <c r="C29" s="11"/>
      <c r="D29" s="12"/>
      <c r="E29" s="12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x14ac:dyDescent="0.3">
      <c r="A30" s="11"/>
      <c r="B30" s="11"/>
      <c r="C30" s="11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x14ac:dyDescent="0.3">
      <c r="A31" s="9" t="s">
        <v>34</v>
      </c>
      <c r="B31" s="9"/>
      <c r="C31" s="11"/>
      <c r="D31" s="12"/>
      <c r="E31" s="12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x14ac:dyDescent="0.3">
      <c r="A32" s="11">
        <v>1</v>
      </c>
      <c r="B32" s="11" t="s">
        <v>35</v>
      </c>
      <c r="C32" s="11">
        <v>1</v>
      </c>
      <c r="D32" s="12">
        <v>31000</v>
      </c>
      <c r="E32" s="12">
        <f>C32*D32</f>
        <v>31000</v>
      </c>
      <c r="F32" s="11" t="s">
        <v>20</v>
      </c>
      <c r="G32" s="11"/>
      <c r="H32" s="11"/>
      <c r="I32" s="11"/>
      <c r="J32" s="11"/>
      <c r="K32" s="11"/>
      <c r="L32" s="11"/>
      <c r="M32" s="11">
        <v>1</v>
      </c>
      <c r="N32" s="11"/>
      <c r="O32" s="9"/>
      <c r="P32" s="11"/>
    </row>
    <row r="33" spans="1:16" x14ac:dyDescent="0.3">
      <c r="A33" s="11">
        <v>2</v>
      </c>
      <c r="B33" s="11" t="s">
        <v>36</v>
      </c>
      <c r="C33" s="11">
        <v>1</v>
      </c>
      <c r="D33" s="12">
        <v>150000</v>
      </c>
      <c r="E33" s="12">
        <v>150000</v>
      </c>
      <c r="F33" s="11" t="s">
        <v>20</v>
      </c>
      <c r="G33" s="11"/>
      <c r="H33" s="11"/>
      <c r="I33" s="11"/>
      <c r="J33" s="11"/>
      <c r="K33" s="11"/>
      <c r="L33" s="11"/>
      <c r="M33" s="11">
        <v>1</v>
      </c>
      <c r="N33" s="11"/>
      <c r="O33" s="9"/>
      <c r="P33" s="11"/>
    </row>
    <row r="34" spans="1:16" ht="28" x14ac:dyDescent="0.3">
      <c r="A34" s="11">
        <v>3</v>
      </c>
      <c r="B34" s="17" t="s">
        <v>37</v>
      </c>
      <c r="C34" s="15">
        <v>3</v>
      </c>
      <c r="D34" s="16">
        <v>5000</v>
      </c>
      <c r="E34" s="16">
        <f>SUM(C34*D34)</f>
        <v>15000</v>
      </c>
      <c r="F34" s="15" t="s">
        <v>20</v>
      </c>
      <c r="G34" s="11"/>
      <c r="H34" s="11"/>
      <c r="I34" s="11"/>
      <c r="J34" s="11"/>
      <c r="K34" s="11"/>
      <c r="L34" s="11"/>
      <c r="M34" s="11">
        <v>3</v>
      </c>
      <c r="N34" s="11"/>
      <c r="O34" s="9"/>
      <c r="P34" s="11"/>
    </row>
    <row r="35" spans="1:16" x14ac:dyDescent="0.3">
      <c r="A35" s="11"/>
      <c r="B35" s="17"/>
      <c r="C35" s="15"/>
      <c r="D35" s="16"/>
      <c r="E35" s="16"/>
      <c r="F35" s="15"/>
      <c r="G35" s="11"/>
      <c r="H35" s="11"/>
      <c r="I35" s="11"/>
      <c r="J35" s="11"/>
      <c r="K35" s="11"/>
      <c r="L35" s="11"/>
      <c r="M35" s="11"/>
      <c r="N35" s="11"/>
      <c r="O35" s="9"/>
      <c r="P35" s="11"/>
    </row>
    <row r="36" spans="1:16" x14ac:dyDescent="0.3">
      <c r="A36" s="11"/>
      <c r="B36" s="11"/>
      <c r="C36" s="11"/>
      <c r="D36" s="12"/>
      <c r="E36" s="14">
        <f>SUM(E32:E34)</f>
        <v>196000</v>
      </c>
      <c r="F36" s="11"/>
      <c r="G36" s="11"/>
      <c r="H36" s="11"/>
      <c r="I36" s="11"/>
      <c r="J36" s="11"/>
      <c r="K36" s="11"/>
      <c r="L36" s="11"/>
      <c r="M36" s="11"/>
      <c r="N36" s="11"/>
      <c r="O36" s="9"/>
      <c r="P36" s="11"/>
    </row>
    <row r="37" spans="1:16" x14ac:dyDescent="0.3">
      <c r="A37" s="11"/>
      <c r="B37" s="11"/>
      <c r="C37" s="11"/>
      <c r="D37" s="12"/>
      <c r="E37" s="12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s="1" customFormat="1" x14ac:dyDescent="0.3">
      <c r="A38" s="9" t="s">
        <v>38</v>
      </c>
      <c r="B38" s="9"/>
      <c r="C38" s="9"/>
      <c r="D38" s="14"/>
      <c r="E38" s="14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3">
      <c r="A39" s="11">
        <v>1</v>
      </c>
      <c r="B39" s="15" t="s">
        <v>39</v>
      </c>
      <c r="C39" s="15">
        <v>20</v>
      </c>
      <c r="D39" s="16">
        <v>3210</v>
      </c>
      <c r="E39" s="16">
        <f>C39*D39</f>
        <v>64200</v>
      </c>
      <c r="F39" s="15" t="s">
        <v>20</v>
      </c>
      <c r="G39" s="11"/>
      <c r="H39" s="11"/>
      <c r="I39" s="11"/>
      <c r="J39" s="11"/>
      <c r="K39" s="11"/>
      <c r="L39" s="11"/>
      <c r="M39" s="11">
        <v>5</v>
      </c>
      <c r="N39" s="11">
        <v>5</v>
      </c>
      <c r="O39" s="11">
        <v>5</v>
      </c>
      <c r="P39" s="11">
        <v>5</v>
      </c>
    </row>
    <row r="40" spans="1:16" x14ac:dyDescent="0.3">
      <c r="A40" s="11">
        <v>2</v>
      </c>
      <c r="B40" s="15" t="s">
        <v>40</v>
      </c>
      <c r="C40" s="15">
        <v>160</v>
      </c>
      <c r="D40" s="16">
        <v>215</v>
      </c>
      <c r="E40" s="16">
        <f t="shared" ref="E40:E53" si="1">C40*D40</f>
        <v>34400</v>
      </c>
      <c r="F40" s="15" t="s">
        <v>20</v>
      </c>
      <c r="G40" s="11"/>
      <c r="H40" s="11"/>
      <c r="I40" s="11"/>
      <c r="J40" s="11"/>
      <c r="K40" s="11"/>
      <c r="L40" s="11"/>
      <c r="M40" s="11">
        <v>40</v>
      </c>
      <c r="N40" s="11">
        <v>40</v>
      </c>
      <c r="O40" s="11">
        <v>40</v>
      </c>
      <c r="P40" s="11">
        <v>40</v>
      </c>
    </row>
    <row r="41" spans="1:16" x14ac:dyDescent="0.3">
      <c r="A41" s="11">
        <v>3</v>
      </c>
      <c r="B41" s="15" t="s">
        <v>41</v>
      </c>
      <c r="C41" s="15">
        <v>160</v>
      </c>
      <c r="D41" s="16">
        <v>275</v>
      </c>
      <c r="E41" s="16">
        <f t="shared" si="1"/>
        <v>44000</v>
      </c>
      <c r="F41" s="15" t="s">
        <v>20</v>
      </c>
      <c r="G41" s="11"/>
      <c r="H41" s="11"/>
      <c r="I41" s="11"/>
      <c r="J41" s="11"/>
      <c r="K41" s="11"/>
      <c r="L41" s="11"/>
      <c r="M41" s="11">
        <v>40</v>
      </c>
      <c r="N41" s="11">
        <v>40</v>
      </c>
      <c r="O41" s="11">
        <v>40</v>
      </c>
      <c r="P41" s="11">
        <v>40</v>
      </c>
    </row>
    <row r="42" spans="1:16" x14ac:dyDescent="0.3">
      <c r="A42" s="11">
        <v>4</v>
      </c>
      <c r="B42" s="15" t="s">
        <v>42</v>
      </c>
      <c r="C42" s="15">
        <v>10</v>
      </c>
      <c r="D42" s="16">
        <v>400</v>
      </c>
      <c r="E42" s="16">
        <f t="shared" si="1"/>
        <v>4000</v>
      </c>
      <c r="F42" s="15" t="s">
        <v>20</v>
      </c>
      <c r="G42" s="11"/>
      <c r="H42" s="11"/>
      <c r="I42" s="11"/>
      <c r="J42" s="11"/>
      <c r="K42" s="11"/>
      <c r="L42" s="11"/>
      <c r="M42" s="11">
        <v>10</v>
      </c>
      <c r="N42" s="11">
        <v>0</v>
      </c>
      <c r="O42" s="11">
        <v>0</v>
      </c>
      <c r="P42" s="11">
        <v>0</v>
      </c>
    </row>
    <row r="43" spans="1:16" ht="14.5" thickBot="1" x14ac:dyDescent="0.35">
      <c r="A43" s="11">
        <v>5</v>
      </c>
      <c r="B43" s="15" t="s">
        <v>43</v>
      </c>
      <c r="C43" s="15">
        <v>10</v>
      </c>
      <c r="D43" s="16">
        <v>350</v>
      </c>
      <c r="E43" s="16">
        <f t="shared" si="1"/>
        <v>3500</v>
      </c>
      <c r="F43" s="15" t="s">
        <v>20</v>
      </c>
      <c r="G43" s="11"/>
      <c r="H43" s="11"/>
      <c r="I43" s="11"/>
      <c r="J43" s="11"/>
      <c r="K43" s="11"/>
      <c r="L43" s="11"/>
      <c r="M43" s="11">
        <v>10</v>
      </c>
      <c r="N43" s="11">
        <v>0</v>
      </c>
      <c r="O43" s="11">
        <v>0</v>
      </c>
      <c r="P43" s="11">
        <v>0</v>
      </c>
    </row>
    <row r="44" spans="1:16" ht="16" thickBot="1" x14ac:dyDescent="0.35">
      <c r="A44" s="11">
        <v>6</v>
      </c>
      <c r="B44" s="18" t="s">
        <v>44</v>
      </c>
      <c r="C44" s="15">
        <v>5</v>
      </c>
      <c r="D44" s="16">
        <v>2800</v>
      </c>
      <c r="E44" s="16">
        <f t="shared" si="1"/>
        <v>14000</v>
      </c>
      <c r="F44" s="15" t="s">
        <v>20</v>
      </c>
      <c r="G44" s="11"/>
      <c r="H44" s="11"/>
      <c r="I44" s="11"/>
      <c r="J44" s="11"/>
      <c r="K44" s="11"/>
      <c r="L44" s="11"/>
      <c r="M44" s="11">
        <v>5</v>
      </c>
      <c r="N44" s="11">
        <v>0</v>
      </c>
      <c r="O44" s="11">
        <v>0</v>
      </c>
      <c r="P44" s="11">
        <v>0</v>
      </c>
    </row>
    <row r="45" spans="1:16" x14ac:dyDescent="0.3">
      <c r="A45" s="11">
        <v>7</v>
      </c>
      <c r="B45" s="15" t="s">
        <v>45</v>
      </c>
      <c r="C45" s="15">
        <v>10</v>
      </c>
      <c r="D45" s="16">
        <v>450</v>
      </c>
      <c r="E45" s="16">
        <f t="shared" si="1"/>
        <v>4500</v>
      </c>
      <c r="F45" s="15" t="s">
        <v>20</v>
      </c>
      <c r="G45" s="11"/>
      <c r="H45" s="11"/>
      <c r="I45" s="11"/>
      <c r="J45" s="11"/>
      <c r="K45" s="11"/>
      <c r="L45" s="11"/>
      <c r="M45" s="11">
        <v>5</v>
      </c>
      <c r="N45" s="11">
        <v>0</v>
      </c>
      <c r="O45" s="11">
        <v>5</v>
      </c>
      <c r="P45" s="11">
        <v>0</v>
      </c>
    </row>
    <row r="46" spans="1:16" x14ac:dyDescent="0.3">
      <c r="A46" s="11">
        <v>8</v>
      </c>
      <c r="B46" s="15" t="s">
        <v>46</v>
      </c>
      <c r="C46" s="15">
        <v>10</v>
      </c>
      <c r="D46" s="16">
        <v>120</v>
      </c>
      <c r="E46" s="16">
        <f t="shared" si="1"/>
        <v>1200</v>
      </c>
      <c r="F46" s="15" t="s">
        <v>20</v>
      </c>
      <c r="G46" s="11"/>
      <c r="H46" s="11"/>
      <c r="I46" s="11"/>
      <c r="J46" s="11"/>
      <c r="K46" s="11"/>
      <c r="L46" s="11"/>
      <c r="M46" s="11">
        <v>5</v>
      </c>
      <c r="N46" s="11">
        <v>0</v>
      </c>
      <c r="O46" s="11">
        <v>5</v>
      </c>
      <c r="P46" s="11">
        <v>0</v>
      </c>
    </row>
    <row r="47" spans="1:16" x14ac:dyDescent="0.3">
      <c r="A47" s="11">
        <v>9</v>
      </c>
      <c r="B47" s="15" t="s">
        <v>47</v>
      </c>
      <c r="C47" s="15">
        <v>10</v>
      </c>
      <c r="D47" s="16">
        <v>1110</v>
      </c>
      <c r="E47" s="16">
        <f t="shared" si="1"/>
        <v>11100</v>
      </c>
      <c r="F47" s="15" t="s">
        <v>20</v>
      </c>
      <c r="G47" s="11"/>
      <c r="H47" s="11"/>
      <c r="I47" s="11"/>
      <c r="J47" s="11"/>
      <c r="K47" s="11"/>
      <c r="L47" s="11"/>
      <c r="M47" s="11">
        <v>5</v>
      </c>
      <c r="N47" s="11">
        <v>0</v>
      </c>
      <c r="O47" s="11">
        <v>5</v>
      </c>
      <c r="P47" s="11">
        <v>0</v>
      </c>
    </row>
    <row r="48" spans="1:16" x14ac:dyDescent="0.3">
      <c r="A48" s="11">
        <v>10</v>
      </c>
      <c r="B48" s="15" t="s">
        <v>48</v>
      </c>
      <c r="C48" s="15">
        <v>40</v>
      </c>
      <c r="D48" s="16">
        <v>650</v>
      </c>
      <c r="E48" s="16">
        <f t="shared" si="1"/>
        <v>26000</v>
      </c>
      <c r="F48" s="15" t="s">
        <v>20</v>
      </c>
      <c r="G48" s="11"/>
      <c r="H48" s="11"/>
      <c r="I48" s="11"/>
      <c r="J48" s="11"/>
      <c r="K48" s="11"/>
      <c r="L48" s="11"/>
      <c r="M48" s="11">
        <v>40</v>
      </c>
      <c r="N48" s="11">
        <v>0</v>
      </c>
      <c r="O48" s="11">
        <v>0</v>
      </c>
      <c r="P48" s="11">
        <v>0</v>
      </c>
    </row>
    <row r="49" spans="1:16" x14ac:dyDescent="0.3">
      <c r="A49" s="11">
        <v>11</v>
      </c>
      <c r="B49" s="15" t="s">
        <v>49</v>
      </c>
      <c r="C49" s="15">
        <v>10</v>
      </c>
      <c r="D49" s="16">
        <v>800</v>
      </c>
      <c r="E49" s="16">
        <f t="shared" si="1"/>
        <v>8000</v>
      </c>
      <c r="F49" s="15" t="s">
        <v>20</v>
      </c>
      <c r="G49" s="11"/>
      <c r="H49" s="11"/>
      <c r="I49" s="11"/>
      <c r="J49" s="11"/>
      <c r="K49" s="11"/>
      <c r="L49" s="11"/>
      <c r="M49" s="11">
        <v>10</v>
      </c>
      <c r="N49" s="11">
        <v>0</v>
      </c>
      <c r="O49" s="11">
        <v>0</v>
      </c>
      <c r="P49" s="11">
        <v>0</v>
      </c>
    </row>
    <row r="50" spans="1:16" x14ac:dyDescent="0.3">
      <c r="A50" s="11">
        <v>12</v>
      </c>
      <c r="B50" s="15" t="s">
        <v>50</v>
      </c>
      <c r="C50" s="15">
        <v>10</v>
      </c>
      <c r="D50" s="16">
        <v>480</v>
      </c>
      <c r="E50" s="16">
        <f t="shared" si="1"/>
        <v>4800</v>
      </c>
      <c r="F50" s="15" t="s">
        <v>20</v>
      </c>
      <c r="G50" s="11"/>
      <c r="H50" s="11"/>
      <c r="I50" s="11"/>
      <c r="J50" s="11"/>
      <c r="K50" s="11"/>
      <c r="L50" s="11"/>
      <c r="M50" s="11">
        <v>10</v>
      </c>
      <c r="N50" s="11">
        <v>0</v>
      </c>
      <c r="O50" s="11">
        <v>0</v>
      </c>
      <c r="P50" s="11">
        <v>0</v>
      </c>
    </row>
    <row r="51" spans="1:16" x14ac:dyDescent="0.3">
      <c r="A51" s="11">
        <v>13</v>
      </c>
      <c r="B51" s="15" t="s">
        <v>51</v>
      </c>
      <c r="C51" s="15">
        <v>10</v>
      </c>
      <c r="D51" s="16">
        <v>520</v>
      </c>
      <c r="E51" s="16">
        <f t="shared" si="1"/>
        <v>5200</v>
      </c>
      <c r="F51" s="15" t="s">
        <v>20</v>
      </c>
      <c r="G51" s="11"/>
      <c r="H51" s="11"/>
      <c r="I51" s="11"/>
      <c r="J51" s="11"/>
      <c r="K51" s="11"/>
      <c r="L51" s="11"/>
      <c r="M51" s="11">
        <v>10</v>
      </c>
      <c r="N51" s="11">
        <v>0</v>
      </c>
      <c r="O51" s="11">
        <v>0</v>
      </c>
      <c r="P51" s="11">
        <v>0</v>
      </c>
    </row>
    <row r="52" spans="1:16" x14ac:dyDescent="0.3">
      <c r="A52" s="11">
        <v>14</v>
      </c>
      <c r="B52" s="15" t="s">
        <v>52</v>
      </c>
      <c r="C52" s="15">
        <v>10</v>
      </c>
      <c r="D52" s="16">
        <v>1250</v>
      </c>
      <c r="E52" s="16">
        <f t="shared" si="1"/>
        <v>12500</v>
      </c>
      <c r="F52" s="15" t="s">
        <v>20</v>
      </c>
      <c r="G52" s="11"/>
      <c r="H52" s="11"/>
      <c r="I52" s="11"/>
      <c r="J52" s="11"/>
      <c r="K52" s="11"/>
      <c r="L52" s="11"/>
      <c r="M52" s="11">
        <v>10</v>
      </c>
      <c r="N52" s="11">
        <v>0</v>
      </c>
      <c r="O52" s="11">
        <v>0</v>
      </c>
      <c r="P52" s="11">
        <v>0</v>
      </c>
    </row>
    <row r="53" spans="1:16" x14ac:dyDescent="0.3">
      <c r="A53" s="11">
        <v>15</v>
      </c>
      <c r="B53" s="15" t="s">
        <v>53</v>
      </c>
      <c r="C53" s="15">
        <v>5</v>
      </c>
      <c r="D53" s="16">
        <v>6500</v>
      </c>
      <c r="E53" s="16">
        <f t="shared" si="1"/>
        <v>32500</v>
      </c>
      <c r="F53" s="15" t="s">
        <v>20</v>
      </c>
      <c r="G53" s="11"/>
      <c r="H53" s="11"/>
      <c r="I53" s="11"/>
      <c r="J53" s="11"/>
      <c r="K53" s="11"/>
      <c r="L53" s="11"/>
      <c r="M53" s="11">
        <v>5</v>
      </c>
      <c r="N53" s="11">
        <v>0</v>
      </c>
      <c r="O53" s="11">
        <v>0</v>
      </c>
      <c r="P53" s="11">
        <v>0</v>
      </c>
    </row>
    <row r="54" spans="1:16" x14ac:dyDescent="0.3">
      <c r="A54" s="9"/>
      <c r="B54" s="15"/>
      <c r="C54" s="15"/>
      <c r="D54" s="16"/>
      <c r="E54" s="16"/>
      <c r="F54" s="15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x14ac:dyDescent="0.3">
      <c r="A55" s="9"/>
      <c r="B55" s="9" t="s">
        <v>33</v>
      </c>
      <c r="C55" s="11"/>
      <c r="D55" s="12"/>
      <c r="E55" s="14">
        <f>SUM(E39:E53)</f>
        <v>269900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x14ac:dyDescent="0.3">
      <c r="A56" s="9"/>
      <c r="B56" s="11"/>
      <c r="C56" s="11"/>
      <c r="D56" s="12"/>
      <c r="E56" s="12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x14ac:dyDescent="0.3">
      <c r="A57" s="11"/>
      <c r="B57" s="11"/>
      <c r="C57" s="11"/>
      <c r="D57" s="12"/>
      <c r="E57" s="12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x14ac:dyDescent="0.3">
      <c r="A58" s="9" t="s">
        <v>54</v>
      </c>
      <c r="B58" s="9"/>
      <c r="C58" s="11"/>
      <c r="D58" s="12"/>
      <c r="E58" s="12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x14ac:dyDescent="0.3">
      <c r="A59" s="11">
        <v>1</v>
      </c>
      <c r="B59" s="11" t="s">
        <v>55</v>
      </c>
      <c r="C59" s="11">
        <v>30</v>
      </c>
      <c r="D59" s="12">
        <v>25000</v>
      </c>
      <c r="E59" s="12">
        <f>SUM(C59*D59)</f>
        <v>750000</v>
      </c>
      <c r="F59" s="11" t="s">
        <v>20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x14ac:dyDescent="0.3">
      <c r="A60" s="11">
        <v>2</v>
      </c>
      <c r="B60" s="11" t="s">
        <v>56</v>
      </c>
      <c r="C60" s="11">
        <v>25</v>
      </c>
      <c r="D60" s="12">
        <v>25000</v>
      </c>
      <c r="E60" s="12">
        <f>SUM(C60*D60)</f>
        <v>625000</v>
      </c>
      <c r="F60" s="11" t="s">
        <v>20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x14ac:dyDescent="0.3">
      <c r="A61" s="9">
        <v>3</v>
      </c>
      <c r="B61" s="11" t="s">
        <v>57</v>
      </c>
      <c r="C61" s="11">
        <v>20</v>
      </c>
      <c r="D61" s="12">
        <v>25000</v>
      </c>
      <c r="E61" s="12">
        <f>SUM(C61*D61)</f>
        <v>500000</v>
      </c>
      <c r="F61" s="11" t="s">
        <v>20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x14ac:dyDescent="0.3">
      <c r="A62" s="9">
        <v>4</v>
      </c>
      <c r="B62" s="11" t="s">
        <v>58</v>
      </c>
      <c r="C62" s="11">
        <v>5</v>
      </c>
      <c r="D62" s="12">
        <v>20000</v>
      </c>
      <c r="E62" s="12">
        <f>SUM(C62*D62)</f>
        <v>100000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x14ac:dyDescent="0.3">
      <c r="A63" s="9">
        <v>5</v>
      </c>
      <c r="B63" s="11" t="s">
        <v>59</v>
      </c>
      <c r="C63" s="11">
        <v>100</v>
      </c>
      <c r="D63" s="12">
        <v>800</v>
      </c>
      <c r="E63" s="12">
        <f>SUM(C63*D63)</f>
        <v>80000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x14ac:dyDescent="0.3">
      <c r="A64" s="9"/>
      <c r="B64" s="9" t="s">
        <v>33</v>
      </c>
      <c r="C64" s="9"/>
      <c r="D64" s="12"/>
      <c r="E64" s="14">
        <f>SUM(E59:E63)</f>
        <v>2055000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x14ac:dyDescent="0.3">
      <c r="A65" s="9"/>
      <c r="B65" s="9"/>
      <c r="C65" s="9"/>
      <c r="D65" s="12"/>
      <c r="E65" s="12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x14ac:dyDescent="0.3">
      <c r="A66" s="9"/>
      <c r="B66" s="9"/>
      <c r="C66" s="9"/>
      <c r="D66" s="12"/>
      <c r="E66" s="12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 x14ac:dyDescent="0.3">
      <c r="A67" s="9" t="s">
        <v>60</v>
      </c>
      <c r="B67" s="9"/>
      <c r="C67" s="9"/>
      <c r="D67" s="12"/>
      <c r="E67" s="12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 ht="15.5" x14ac:dyDescent="0.35">
      <c r="A68" s="11">
        <v>6</v>
      </c>
      <c r="B68" s="19" t="s">
        <v>61</v>
      </c>
      <c r="C68" s="11">
        <v>1</v>
      </c>
      <c r="D68" s="12">
        <v>6000</v>
      </c>
      <c r="E68" s="12">
        <f>SUM(C68*D68)</f>
        <v>6000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 ht="15.5" x14ac:dyDescent="0.35">
      <c r="A69" s="11">
        <v>7</v>
      </c>
      <c r="B69" s="20" t="s">
        <v>62</v>
      </c>
      <c r="C69" s="11">
        <v>120</v>
      </c>
      <c r="D69" s="12">
        <v>100</v>
      </c>
      <c r="E69" s="12">
        <f>SUM(C69*D69)</f>
        <v>12000</v>
      </c>
      <c r="F69" s="11" t="s">
        <v>20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5" x14ac:dyDescent="0.3">
      <c r="A70" s="11"/>
      <c r="B70" s="21" t="s">
        <v>33</v>
      </c>
      <c r="C70" s="11"/>
      <c r="D70" s="12"/>
      <c r="E70" s="14">
        <f>SUM(E68:E69)</f>
        <v>18000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x14ac:dyDescent="0.3">
      <c r="A71" s="11"/>
      <c r="B71" s="11"/>
      <c r="C71" s="11"/>
      <c r="D71" s="12"/>
      <c r="E71" s="12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x14ac:dyDescent="0.3">
      <c r="A72" s="9"/>
      <c r="B72" s="9"/>
      <c r="C72" s="9"/>
      <c r="D72" s="14"/>
      <c r="E72" s="12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x14ac:dyDescent="0.3">
      <c r="A73" s="9" t="s">
        <v>63</v>
      </c>
      <c r="B73" s="9"/>
      <c r="C73" s="9"/>
      <c r="D73" s="14"/>
      <c r="E73" s="12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46.5" x14ac:dyDescent="0.35">
      <c r="A74" s="11"/>
      <c r="B74" s="22" t="s">
        <v>64</v>
      </c>
      <c r="C74" s="11">
        <v>20</v>
      </c>
      <c r="D74" s="12">
        <v>600</v>
      </c>
      <c r="E74" s="12">
        <f>SUM(C74*D74)</f>
        <v>12000</v>
      </c>
      <c r="F74" s="11" t="s">
        <v>20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5.5" x14ac:dyDescent="0.35">
      <c r="A75" s="11">
        <v>2</v>
      </c>
      <c r="B75" s="22" t="s">
        <v>65</v>
      </c>
      <c r="C75" s="11">
        <v>10</v>
      </c>
      <c r="D75" s="12">
        <v>4000</v>
      </c>
      <c r="E75" s="12">
        <f t="shared" ref="E75:E77" si="2">SUM(C75*D75)</f>
        <v>40000</v>
      </c>
      <c r="F75" s="11" t="s">
        <v>20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5.5" x14ac:dyDescent="0.35">
      <c r="A76" s="11">
        <v>3</v>
      </c>
      <c r="B76" s="22" t="s">
        <v>66</v>
      </c>
      <c r="C76" s="11">
        <v>6</v>
      </c>
      <c r="D76" s="12">
        <v>4000</v>
      </c>
      <c r="E76" s="12">
        <f t="shared" si="2"/>
        <v>24000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1:16" ht="31" x14ac:dyDescent="0.35">
      <c r="A77" s="11">
        <v>4</v>
      </c>
      <c r="B77" s="22" t="s">
        <v>67</v>
      </c>
      <c r="C77" s="11">
        <v>10</v>
      </c>
      <c r="D77" s="12">
        <v>1400</v>
      </c>
      <c r="E77" s="12">
        <f t="shared" si="2"/>
        <v>14000</v>
      </c>
      <c r="F77" s="11" t="s">
        <v>20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spans="1:16" x14ac:dyDescent="0.3">
      <c r="A78" s="9"/>
      <c r="B78" s="9" t="s">
        <v>33</v>
      </c>
      <c r="C78" s="11"/>
      <c r="D78" s="12"/>
      <c r="E78" s="14">
        <f>SUM(E74:E77)</f>
        <v>90000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spans="1:16" x14ac:dyDescent="0.3">
      <c r="A79" s="9"/>
      <c r="B79" s="9"/>
      <c r="C79" s="11"/>
      <c r="D79" s="12"/>
      <c r="E79" s="12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1:16" ht="14.5" thickBot="1" x14ac:dyDescent="0.35">
      <c r="A80" s="9" t="s">
        <v>68</v>
      </c>
      <c r="B80" s="9"/>
      <c r="C80" s="11"/>
      <c r="D80" s="12"/>
      <c r="E80" s="12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1:16" ht="31.5" thickBot="1" x14ac:dyDescent="0.4">
      <c r="A81" s="9">
        <v>3</v>
      </c>
      <c r="B81" s="23" t="s">
        <v>69</v>
      </c>
      <c r="C81" s="24">
        <v>12</v>
      </c>
      <c r="D81" s="12">
        <v>2800</v>
      </c>
      <c r="E81" s="12">
        <f>SUM(C81*D81)</f>
        <v>33600</v>
      </c>
      <c r="F81" s="11" t="s">
        <v>20</v>
      </c>
      <c r="G81" s="11"/>
      <c r="H81" s="11"/>
      <c r="I81" s="11"/>
      <c r="J81" s="11"/>
      <c r="K81" s="11"/>
      <c r="L81" s="11"/>
      <c r="M81" s="11">
        <v>3</v>
      </c>
      <c r="N81" s="11">
        <v>3</v>
      </c>
      <c r="O81" s="11">
        <v>3</v>
      </c>
      <c r="P81" s="11">
        <v>3</v>
      </c>
    </row>
    <row r="82" spans="1:16" ht="15.5" x14ac:dyDescent="0.35">
      <c r="A82" s="9"/>
      <c r="B82" s="25" t="s">
        <v>33</v>
      </c>
      <c r="C82" s="24"/>
      <c r="D82" s="12"/>
      <c r="E82" s="14">
        <v>33600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x14ac:dyDescent="0.3">
      <c r="A83" s="9"/>
      <c r="B83" s="9"/>
      <c r="C83" s="9"/>
      <c r="D83" s="12"/>
      <c r="E83" s="12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x14ac:dyDescent="0.3">
      <c r="A84" s="9" t="s">
        <v>70</v>
      </c>
      <c r="B84" s="9"/>
      <c r="C84" s="9"/>
      <c r="D84" s="12"/>
      <c r="E84" s="12"/>
      <c r="F84" s="11" t="s">
        <v>20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ht="31" x14ac:dyDescent="0.35">
      <c r="A85" s="11">
        <v>1</v>
      </c>
      <c r="B85" s="20" t="s">
        <v>71</v>
      </c>
      <c r="C85" s="20">
        <v>12</v>
      </c>
      <c r="D85" s="12">
        <v>1800</v>
      </c>
      <c r="E85" s="12">
        <f>C85*D85</f>
        <v>21600</v>
      </c>
      <c r="F85" s="11" t="s">
        <v>20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spans="1:16" ht="15.5" x14ac:dyDescent="0.35">
      <c r="A86" s="11">
        <v>2</v>
      </c>
      <c r="B86" s="19" t="s">
        <v>72</v>
      </c>
      <c r="C86" s="20">
        <v>12</v>
      </c>
      <c r="D86" s="12">
        <v>1600</v>
      </c>
      <c r="E86" s="12">
        <f t="shared" ref="E86:E93" si="3">C86*D86</f>
        <v>19200</v>
      </c>
      <c r="F86" s="11" t="s">
        <v>20</v>
      </c>
      <c r="G86" s="11"/>
      <c r="H86" s="11"/>
      <c r="I86" s="11"/>
      <c r="J86" s="11"/>
      <c r="K86" s="11"/>
      <c r="L86" s="11"/>
      <c r="M86" s="11">
        <v>3</v>
      </c>
      <c r="N86" s="11">
        <v>3</v>
      </c>
      <c r="O86" s="11">
        <v>3</v>
      </c>
      <c r="P86" s="11">
        <v>3</v>
      </c>
    </row>
    <row r="87" spans="1:16" ht="15.5" x14ac:dyDescent="0.35">
      <c r="A87" s="11">
        <v>3</v>
      </c>
      <c r="B87" s="19" t="s">
        <v>73</v>
      </c>
      <c r="C87" s="11">
        <v>12</v>
      </c>
      <c r="D87" s="12">
        <v>1600</v>
      </c>
      <c r="E87" s="12">
        <f t="shared" si="3"/>
        <v>19200</v>
      </c>
      <c r="F87" s="11" t="s">
        <v>20</v>
      </c>
      <c r="G87" s="11"/>
      <c r="H87" s="11"/>
      <c r="I87" s="11"/>
      <c r="J87" s="11"/>
      <c r="K87" s="11"/>
      <c r="L87" s="11"/>
      <c r="M87" s="11">
        <v>3</v>
      </c>
      <c r="N87" s="11">
        <v>3</v>
      </c>
      <c r="O87" s="11">
        <v>3</v>
      </c>
      <c r="P87" s="11">
        <v>3</v>
      </c>
    </row>
    <row r="88" spans="1:16" ht="15.5" x14ac:dyDescent="0.35">
      <c r="A88" s="11">
        <v>4</v>
      </c>
      <c r="B88" s="19" t="s">
        <v>74</v>
      </c>
      <c r="C88" s="20">
        <v>16</v>
      </c>
      <c r="D88" s="12">
        <v>1200</v>
      </c>
      <c r="E88" s="12">
        <f t="shared" si="3"/>
        <v>19200</v>
      </c>
      <c r="F88" s="11" t="s">
        <v>20</v>
      </c>
      <c r="G88" s="11"/>
      <c r="H88" s="11"/>
      <c r="I88" s="11"/>
      <c r="J88" s="11"/>
      <c r="K88" s="11"/>
      <c r="L88" s="11"/>
      <c r="M88" s="11">
        <v>3</v>
      </c>
      <c r="N88" s="11">
        <v>3</v>
      </c>
      <c r="O88" s="11">
        <v>3</v>
      </c>
      <c r="P88" s="11">
        <v>3</v>
      </c>
    </row>
    <row r="89" spans="1:16" ht="15.5" x14ac:dyDescent="0.35">
      <c r="A89" s="11">
        <v>5</v>
      </c>
      <c r="B89" s="19" t="s">
        <v>75</v>
      </c>
      <c r="C89" s="20">
        <v>16</v>
      </c>
      <c r="D89" s="12">
        <v>1100</v>
      </c>
      <c r="E89" s="12">
        <f t="shared" si="3"/>
        <v>17600</v>
      </c>
      <c r="F89" s="11" t="s">
        <v>20</v>
      </c>
      <c r="G89" s="11"/>
      <c r="H89" s="11"/>
      <c r="I89" s="11"/>
      <c r="J89" s="11"/>
      <c r="K89" s="11"/>
      <c r="L89" s="11"/>
      <c r="M89" s="11">
        <v>4</v>
      </c>
      <c r="N89" s="11">
        <v>4</v>
      </c>
      <c r="O89" s="11">
        <v>4</v>
      </c>
      <c r="P89" s="11">
        <v>4</v>
      </c>
    </row>
    <row r="90" spans="1:16" ht="15.5" x14ac:dyDescent="0.35">
      <c r="A90" s="11">
        <v>6</v>
      </c>
      <c r="B90" s="19" t="s">
        <v>76</v>
      </c>
      <c r="C90" s="19">
        <v>8</v>
      </c>
      <c r="D90" s="12">
        <v>3800</v>
      </c>
      <c r="E90" s="12">
        <f t="shared" si="3"/>
        <v>30400</v>
      </c>
      <c r="F90" s="11" t="s">
        <v>20</v>
      </c>
      <c r="G90" s="11"/>
      <c r="H90" s="11"/>
      <c r="I90" s="11"/>
      <c r="J90" s="11"/>
      <c r="K90" s="11"/>
      <c r="L90" s="11"/>
      <c r="M90" s="11">
        <v>4</v>
      </c>
      <c r="N90" s="11">
        <v>4</v>
      </c>
      <c r="O90" s="11">
        <v>4</v>
      </c>
      <c r="P90" s="11">
        <v>4</v>
      </c>
    </row>
    <row r="91" spans="1:16" ht="15.5" x14ac:dyDescent="0.35">
      <c r="A91" s="11">
        <v>7</v>
      </c>
      <c r="B91" s="19" t="s">
        <v>77</v>
      </c>
      <c r="C91" s="26">
        <v>20</v>
      </c>
      <c r="D91" s="12">
        <v>2400</v>
      </c>
      <c r="E91" s="12">
        <f t="shared" si="3"/>
        <v>48000</v>
      </c>
      <c r="F91" s="11" t="s">
        <v>20</v>
      </c>
      <c r="G91" s="11"/>
      <c r="H91" s="11"/>
      <c r="I91" s="11"/>
      <c r="J91" s="11"/>
      <c r="K91" s="11"/>
      <c r="L91" s="11"/>
      <c r="M91" s="11">
        <v>2</v>
      </c>
      <c r="N91" s="11">
        <v>2</v>
      </c>
      <c r="O91" s="11">
        <v>2</v>
      </c>
      <c r="P91" s="11">
        <v>2</v>
      </c>
    </row>
    <row r="92" spans="1:16" ht="15.5" x14ac:dyDescent="0.35">
      <c r="A92" s="11">
        <v>8</v>
      </c>
      <c r="B92" s="19" t="s">
        <v>78</v>
      </c>
      <c r="C92" s="19">
        <v>1</v>
      </c>
      <c r="D92" s="12">
        <v>7000</v>
      </c>
      <c r="E92" s="12">
        <f t="shared" si="3"/>
        <v>7000</v>
      </c>
      <c r="F92" s="11" t="s">
        <v>20</v>
      </c>
      <c r="G92" s="11"/>
      <c r="H92" s="11"/>
      <c r="I92" s="11"/>
      <c r="J92" s="11"/>
      <c r="K92" s="11"/>
      <c r="L92" s="11"/>
      <c r="M92" s="11">
        <v>5</v>
      </c>
      <c r="N92" s="11">
        <v>5</v>
      </c>
      <c r="O92" s="11">
        <v>5</v>
      </c>
      <c r="P92" s="11">
        <v>5</v>
      </c>
    </row>
    <row r="93" spans="1:16" ht="15.5" x14ac:dyDescent="0.35">
      <c r="A93" s="11">
        <v>9</v>
      </c>
      <c r="B93" s="19" t="s">
        <v>79</v>
      </c>
      <c r="C93" s="19">
        <v>1</v>
      </c>
      <c r="D93" s="12">
        <v>12000</v>
      </c>
      <c r="E93" s="12">
        <f t="shared" si="3"/>
        <v>12000</v>
      </c>
      <c r="F93" s="11" t="s">
        <v>20</v>
      </c>
      <c r="G93" s="11"/>
      <c r="H93" s="11"/>
      <c r="I93" s="11"/>
      <c r="J93" s="11"/>
      <c r="K93" s="11"/>
      <c r="L93" s="11"/>
      <c r="M93" s="11">
        <v>1</v>
      </c>
      <c r="N93" s="11">
        <v>0</v>
      </c>
      <c r="O93" s="11">
        <v>0</v>
      </c>
      <c r="P93" s="11">
        <v>0</v>
      </c>
    </row>
    <row r="94" spans="1:16" x14ac:dyDescent="0.3">
      <c r="A94" s="9"/>
      <c r="B94" s="9" t="s">
        <v>33</v>
      </c>
      <c r="C94" s="11"/>
      <c r="D94" s="12"/>
      <c r="E94" s="14">
        <f>SUM(E85:E93)</f>
        <v>194200</v>
      </c>
      <c r="F94" s="11"/>
      <c r="G94" s="11"/>
      <c r="H94" s="11"/>
      <c r="I94" s="11"/>
      <c r="J94" s="11"/>
      <c r="K94" s="11"/>
      <c r="L94" s="11"/>
      <c r="M94" s="11">
        <v>1</v>
      </c>
      <c r="N94" s="11">
        <v>0</v>
      </c>
      <c r="O94" s="11">
        <v>0</v>
      </c>
      <c r="P94" s="11">
        <v>0</v>
      </c>
    </row>
    <row r="95" spans="1:16" x14ac:dyDescent="0.3">
      <c r="A95" s="9"/>
      <c r="B95" s="9"/>
      <c r="C95" s="11"/>
      <c r="D95" s="12"/>
      <c r="E95" s="12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spans="1:16" x14ac:dyDescent="0.3">
      <c r="A96" s="9" t="s">
        <v>80</v>
      </c>
      <c r="B96" s="9"/>
      <c r="C96" s="11"/>
      <c r="D96" s="12"/>
      <c r="E96" s="12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 spans="1:16" x14ac:dyDescent="0.3">
      <c r="A97" s="11">
        <v>1</v>
      </c>
      <c r="B97" s="11" t="s">
        <v>81</v>
      </c>
      <c r="C97" s="11">
        <v>4</v>
      </c>
      <c r="D97" s="12">
        <v>500000</v>
      </c>
      <c r="E97" s="12">
        <f>C97*D97</f>
        <v>2000000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</v>
      </c>
    </row>
    <row r="98" spans="1:16" x14ac:dyDescent="0.3">
      <c r="A98" s="11">
        <v>2</v>
      </c>
      <c r="B98" s="11" t="s">
        <v>82</v>
      </c>
      <c r="C98" s="11">
        <v>1</v>
      </c>
      <c r="D98" s="12">
        <v>500000</v>
      </c>
      <c r="E98" s="12">
        <f t="shared" ref="E98:E99" si="4">C98*D98</f>
        <v>500000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1</v>
      </c>
    </row>
    <row r="99" spans="1:16" x14ac:dyDescent="0.3">
      <c r="A99" s="11">
        <v>3</v>
      </c>
      <c r="B99" s="11" t="s">
        <v>83</v>
      </c>
      <c r="C99" s="11">
        <v>1</v>
      </c>
      <c r="D99" s="12">
        <v>500000</v>
      </c>
      <c r="E99" s="12">
        <f t="shared" si="4"/>
        <v>500000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1</v>
      </c>
    </row>
    <row r="100" spans="1:16" x14ac:dyDescent="0.3">
      <c r="A100" s="11"/>
      <c r="B100" s="11"/>
      <c r="C100" s="11"/>
      <c r="D100" s="12"/>
      <c r="E100" s="12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 spans="1:16" x14ac:dyDescent="0.3">
      <c r="A101" s="11"/>
      <c r="B101" s="9" t="s">
        <v>33</v>
      </c>
      <c r="C101" s="11"/>
      <c r="D101" s="12"/>
      <c r="E101" s="14">
        <f>SUM(E97:E99)</f>
        <v>3000000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spans="1:16" x14ac:dyDescent="0.3">
      <c r="A102" s="11"/>
      <c r="B102" s="11"/>
      <c r="C102" s="11"/>
      <c r="D102" s="12"/>
      <c r="E102" s="12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</sheetData>
  <mergeCells count="1">
    <mergeCell ref="M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KIPRE</cp:lastModifiedBy>
  <dcterms:created xsi:type="dcterms:W3CDTF">2024-08-07T13:52:12Z</dcterms:created>
  <dcterms:modified xsi:type="dcterms:W3CDTF">2024-08-08T03:47:02Z</dcterms:modified>
</cp:coreProperties>
</file>