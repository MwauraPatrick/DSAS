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KIPRE\Desktop\"/>
    </mc:Choice>
  </mc:AlternateContent>
  <xr:revisionPtr revIDLastSave="0" documentId="8_{D28C81D5-6335-44B0-B2AF-88EEB33FC1E9}" xr6:coauthVersionLast="47" xr6:coauthVersionMax="47" xr10:uidLastSave="{00000000-0000-0000-0000-000000000000}"/>
  <bookViews>
    <workbookView xWindow="-110" yWindow="-110" windowWidth="19420" windowHeight="10300" tabRatio="549" xr2:uid="{00000000-000D-0000-FFFF-FFFF00000000}"/>
  </bookViews>
  <sheets>
    <sheet name="3 month procurement plan k-sri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1" i="2" l="1"/>
  <c r="F101" i="2"/>
  <c r="F88" i="2"/>
  <c r="U87" i="2" l="1"/>
  <c r="E136" i="2" l="1"/>
  <c r="E131" i="2"/>
  <c r="F96" i="2"/>
  <c r="U86" i="2"/>
  <c r="F86" i="2"/>
  <c r="F53" i="2"/>
  <c r="F42" i="2"/>
  <c r="F44" i="2"/>
  <c r="F52" i="2"/>
  <c r="U65" i="2" l="1"/>
  <c r="F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34" i="2"/>
  <c r="U29" i="2"/>
  <c r="F27" i="2"/>
  <c r="F26" i="2"/>
  <c r="U19" i="2"/>
  <c r="U13" i="2"/>
  <c r="U6" i="2"/>
  <c r="U7" i="2"/>
  <c r="U8" i="2"/>
  <c r="U9" i="2"/>
  <c r="U10" i="2"/>
  <c r="U11" i="2"/>
  <c r="U12" i="2"/>
  <c r="U5" i="2"/>
  <c r="F6" i="2"/>
  <c r="F7" i="2"/>
  <c r="F8" i="2"/>
  <c r="F9" i="2"/>
  <c r="F10" i="2"/>
  <c r="F11" i="2"/>
  <c r="F12" i="2"/>
  <c r="F13" i="2"/>
  <c r="F5" i="2"/>
  <c r="F37" i="2"/>
  <c r="F38" i="2"/>
  <c r="F39" i="2"/>
  <c r="F40" i="2"/>
  <c r="F41" i="2"/>
  <c r="F43" i="2"/>
  <c r="F46" i="2"/>
  <c r="F47" i="2"/>
  <c r="F48" i="2"/>
  <c r="F49" i="2"/>
  <c r="F50" i="2"/>
  <c r="F45" i="2" s="1"/>
  <c r="F51" i="2"/>
  <c r="F54" i="2"/>
  <c r="F55" i="2"/>
  <c r="F56" i="2"/>
  <c r="F57" i="2"/>
  <c r="F58" i="2"/>
  <c r="F35" i="2"/>
  <c r="F36" i="2"/>
  <c r="F61" i="2" l="1"/>
  <c r="F16" i="2"/>
  <c r="F89" i="2" l="1"/>
  <c r="U80" i="2"/>
  <c r="U81" i="2"/>
  <c r="F80" i="2"/>
  <c r="F81" i="2"/>
  <c r="U25" i="2"/>
  <c r="U26" i="2"/>
  <c r="U27" i="2"/>
  <c r="U28" i="2"/>
  <c r="U30" i="2"/>
  <c r="U31" i="2"/>
  <c r="U24" i="2"/>
  <c r="F31" i="2"/>
  <c r="F75" i="2"/>
  <c r="F83" i="2" l="1"/>
  <c r="F74" i="2" l="1"/>
  <c r="U74" i="2"/>
  <c r="U73" i="2"/>
  <c r="U72" i="2"/>
  <c r="U71" i="2"/>
  <c r="F71" i="2"/>
  <c r="F72" i="2"/>
  <c r="F73" i="2"/>
  <c r="U70" i="2"/>
  <c r="F70" i="2"/>
  <c r="F69" i="2"/>
  <c r="F98" i="2" l="1"/>
  <c r="F78" i="2" l="1"/>
  <c r="F67" i="2"/>
  <c r="F22" i="2"/>
  <c r="U69" i="2" l="1"/>
  <c r="U75" i="2"/>
  <c r="U76" i="2"/>
</calcChain>
</file>

<file path=xl/sharedStrings.xml><?xml version="1.0" encoding="utf-8"?>
<sst xmlns="http://schemas.openxmlformats.org/spreadsheetml/2006/main" count="382" uniqueCount="123">
  <si>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</si>
  <si>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</si>
  <si>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</si>
  <si>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</si>
  <si>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</si>
  <si>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</si>
  <si>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</si>
  <si>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</si>
  <si>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</si>
  <si>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</si>
  <si>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QUARTER REQUIRED</t>
  </si>
  <si>
    <t>OPEN</t>
  </si>
  <si>
    <t>GOK</t>
  </si>
  <si>
    <t>KSRIC</t>
  </si>
  <si>
    <t>√</t>
  </si>
  <si>
    <t>RFQ</t>
  </si>
  <si>
    <t>UNIT</t>
  </si>
  <si>
    <t>pc</t>
  </si>
  <si>
    <t>no</t>
  </si>
  <si>
    <t>Eppendorf tubes (1.5ml)</t>
  </si>
  <si>
    <t>pkt</t>
  </si>
  <si>
    <t>box</t>
  </si>
  <si>
    <t>Tips( 200ul) yellow</t>
  </si>
  <si>
    <t>Tips (1000ul)blue</t>
  </si>
  <si>
    <t>nos</t>
  </si>
  <si>
    <t>litres</t>
  </si>
  <si>
    <t>pcs</t>
  </si>
  <si>
    <t>DNA extraction kit</t>
  </si>
  <si>
    <t>cotton wool</t>
  </si>
  <si>
    <t>surgical spirit</t>
  </si>
  <si>
    <t>Bio hazards bags</t>
  </si>
  <si>
    <t>tickets</t>
  </si>
  <si>
    <t>Filtered Tips( 10ul)</t>
  </si>
  <si>
    <t>Filtered Tips( 200ul)</t>
  </si>
  <si>
    <t>Filtered Tips(1000ul)</t>
  </si>
  <si>
    <t>50ml Falcon Tubes</t>
  </si>
  <si>
    <t>Serological pipettes 5ml</t>
  </si>
  <si>
    <t>Serological pipettes 10ml</t>
  </si>
  <si>
    <t>Serological pipettes 25ml</t>
  </si>
  <si>
    <t>several</t>
  </si>
  <si>
    <t>lots</t>
  </si>
  <si>
    <t>Bottle</t>
  </si>
  <si>
    <t>Snake beddings/old newspapers</t>
  </si>
  <si>
    <t>Kg</t>
  </si>
  <si>
    <t>PAX</t>
  </si>
  <si>
    <t xml:space="preserve">SUMMARY OF PROCUREMENT PLAN </t>
  </si>
  <si>
    <t>11.Animal Feeds(Snakes &amp; Rodents)</t>
  </si>
  <si>
    <t>12.Training,Workshops and Conferences</t>
  </si>
  <si>
    <t>13.Air Ticket Expenses</t>
  </si>
  <si>
    <t>16.Stationery and Printing</t>
  </si>
  <si>
    <t>Snake Enrichment Devices/Materials</t>
  </si>
  <si>
    <t>Vehicle Maintenance and Fuel</t>
  </si>
  <si>
    <t>Laboratory Chemicals, Reagents and kits</t>
  </si>
  <si>
    <t>Animal Feeds(Snakes &amp; Rodents)</t>
  </si>
  <si>
    <t>Training,Workshops and Conferences</t>
  </si>
  <si>
    <t>Air Ticket Expenses</t>
  </si>
  <si>
    <t>Stationery and Printing</t>
  </si>
  <si>
    <t>AMOUNT</t>
  </si>
  <si>
    <t>TOTAL</t>
  </si>
  <si>
    <t>pax</t>
  </si>
  <si>
    <t>SPECIAL GROUP CATEGORIES</t>
  </si>
  <si>
    <t>Total Allocation to  the reserved Category</t>
  </si>
  <si>
    <t>Total Procurement</t>
  </si>
  <si>
    <t xml:space="preserve"> </t>
  </si>
  <si>
    <t xml:space="preserve">Reserved Percentage </t>
  </si>
  <si>
    <t>Conference for 10 pax 5 days in 2 counties</t>
  </si>
  <si>
    <t>Conference  for 5 pax 5 days in 1 county</t>
  </si>
  <si>
    <t>Conference  for 15 pax 1 day in 6 counties</t>
  </si>
  <si>
    <t>Conference for 20 pax 10days in 1 county</t>
  </si>
  <si>
    <t>Vehicle Maintainance</t>
  </si>
  <si>
    <t>Air Tickets</t>
  </si>
  <si>
    <t>Printing materials for 6 counties</t>
  </si>
  <si>
    <t xml:space="preserve">SEVERAL </t>
  </si>
  <si>
    <t>Primer design</t>
  </si>
  <si>
    <t>DNA miniprep kit</t>
  </si>
  <si>
    <t>Cryovials</t>
  </si>
  <si>
    <t>Cryoboxes</t>
  </si>
  <si>
    <t>Histopaque</t>
  </si>
  <si>
    <t>RPMI-1640</t>
  </si>
  <si>
    <t>PBS (10x)</t>
  </si>
  <si>
    <t>Lysis buffer</t>
  </si>
  <si>
    <t>Hepes</t>
  </si>
  <si>
    <t>FBS</t>
  </si>
  <si>
    <t>L-glutamin</t>
  </si>
  <si>
    <t>Penicilin-streptomycin</t>
  </si>
  <si>
    <t>Hanks Balanced Solution</t>
  </si>
  <si>
    <t>Dimethyl Sulfoxate</t>
  </si>
  <si>
    <t>2ml ordinary syringe</t>
  </si>
  <si>
    <t>Vacutainer tubes EDTA (10ml)</t>
  </si>
  <si>
    <t>Vacutainer tubes clot activator (10ml)</t>
  </si>
  <si>
    <t>Vacutainer tube holder</t>
  </si>
  <si>
    <t>Vacutainer needles</t>
  </si>
  <si>
    <t>Gauge  21 ordinary needles</t>
  </si>
  <si>
    <t>Fuel</t>
  </si>
  <si>
    <t>Snake capture fuel</t>
  </si>
  <si>
    <t>litrs</t>
  </si>
  <si>
    <t>Camel immunization fuel cost</t>
  </si>
  <si>
    <t>Mice cubes 50 KG</t>
  </si>
  <si>
    <t>KG</t>
  </si>
  <si>
    <t>Ksric</t>
  </si>
  <si>
    <t>media expenses</t>
  </si>
  <si>
    <t>Data collection material .printing of questionares for 3 counties in english,kiswahili and native language( kitui,turkana and siaya</t>
  </si>
  <si>
    <t xml:space="preserve"> SNAKE BITE RESEARCH ANTI VENOM PRODUCTION PROCUREMENT PLAN 2023-2024 quarter 4 april -june2024</t>
  </si>
  <si>
    <t>publicity for launch of ASA LAUNCH</t>
  </si>
  <si>
    <t>Entertainment</t>
  </si>
  <si>
    <t>severral</t>
  </si>
  <si>
    <t>Conference for 20 pax 5 days in 2 counties</t>
  </si>
  <si>
    <t>Conference for 10 pax 4days in 3 counties</t>
  </si>
  <si>
    <t>Conference for 5 pax  4 days in 1 county</t>
  </si>
  <si>
    <t>Conference 25 pax5 days in 1 counties</t>
  </si>
  <si>
    <t>Training materials</t>
  </si>
  <si>
    <t>severals</t>
  </si>
  <si>
    <t>Medical and veterinary consumables</t>
  </si>
  <si>
    <t>1.Medical and Veterinary Supplies Consumables</t>
  </si>
  <si>
    <t>2.Snake Enrichment Devices/Materials</t>
  </si>
  <si>
    <t>3. Vehicle Maintenance and Fuel</t>
  </si>
  <si>
    <t>4.Laboratory Chemicals, Reagents and kits</t>
  </si>
  <si>
    <t>Catering services</t>
  </si>
  <si>
    <t>Catering Services</t>
  </si>
  <si>
    <t>Publicity and advocacy expenses</t>
  </si>
  <si>
    <t>Publicity and advoocacy expenses</t>
  </si>
  <si>
    <t>17.Publicity and advocacy expenses</t>
  </si>
  <si>
    <t>21.Catering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</si>
</sst>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Wingdings"/>
      <charset val="2"/>
    </font>
    <font>
      <sz val="12"/>
      <color theme="1"/>
      <name val="Times New Roman"/>
      <family val="1"/>
    </font>
    <font>
      <sz val="11"/>
      <color theme="1"/>
      <name val="Agency FB"/>
      <family val="2"/>
    </font>
    <font>
      <b/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0" fontId="1" fillId="0" borderId="1" xfId="0" applyFont="1" applyBorder="1"/>
    <xf numFmtId="43" fontId="0" fillId="0" borderId="1" xfId="1" applyFont="1" applyBorder="1"/>
    <xf numFmtId="0" fontId="3" fillId="0" borderId="1" xfId="0" applyFont="1" applyBorder="1"/>
    <xf numFmtId="164" fontId="0" fillId="0" borderId="1" xfId="0" applyNumberFormat="1" applyBorder="1"/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0" fillId="2" borderId="0" xfId="0" applyFill="1"/>
    <xf numFmtId="0" fontId="4" fillId="0" borderId="1" xfId="0" applyFont="1" applyBorder="1" applyAlignment="1">
      <alignment vertical="center" wrapText="1"/>
    </xf>
    <xf numFmtId="43" fontId="0" fillId="2" borderId="1" xfId="1" applyFont="1" applyFill="1" applyBorder="1"/>
    <xf numFmtId="0" fontId="0" fillId="0" borderId="1" xfId="0" applyBorder="1" applyAlignment="1">
      <alignment wrapText="1"/>
    </xf>
    <xf numFmtId="0" fontId="6" fillId="0" borderId="1" xfId="0" applyFont="1" applyBorder="1"/>
    <xf numFmtId="0" fontId="1" fillId="0" borderId="1" xfId="0" applyFont="1" applyBorder="1" applyAlignment="1">
      <alignment wrapText="1"/>
    </xf>
    <xf numFmtId="43" fontId="0" fillId="0" borderId="2" xfId="1" applyFont="1" applyFill="1" applyBorder="1"/>
    <xf numFmtId="164" fontId="0" fillId="2" borderId="1" xfId="0" applyNumberFormat="1" applyFill="1" applyBorder="1"/>
    <xf numFmtId="0" fontId="1" fillId="2" borderId="1" xfId="0" applyFont="1" applyFill="1" applyBorder="1"/>
    <xf numFmtId="0" fontId="0" fillId="2" borderId="1" xfId="0" applyFill="1" applyBorder="1" applyAlignment="1">
      <alignment wrapText="1"/>
    </xf>
    <xf numFmtId="3" fontId="0" fillId="2" borderId="1" xfId="0" applyNumberFormat="1" applyFill="1" applyBorder="1"/>
    <xf numFmtId="43" fontId="0" fillId="0" borderId="1" xfId="1" applyFont="1" applyBorder="1" applyAlignment="1">
      <alignment wrapText="1"/>
    </xf>
    <xf numFmtId="43" fontId="0" fillId="0" borderId="1" xfId="0" applyNumberFormat="1" applyBorder="1"/>
    <xf numFmtId="0" fontId="0" fillId="0" borderId="6" xfId="0" applyBorder="1"/>
    <xf numFmtId="0" fontId="0" fillId="0" borderId="7" xfId="0" applyBorder="1"/>
    <xf numFmtId="43" fontId="2" fillId="2" borderId="1" xfId="1" applyFont="1" applyFill="1" applyBorder="1"/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3" fontId="1" fillId="0" borderId="1" xfId="1" applyFont="1" applyBorder="1"/>
    <xf numFmtId="43" fontId="1" fillId="2" borderId="1" xfId="1" applyFont="1" applyFill="1" applyBorder="1"/>
    <xf numFmtId="0" fontId="8" fillId="2" borderId="1" xfId="0" applyFont="1" applyFill="1" applyBorder="1"/>
    <xf numFmtId="43" fontId="1" fillId="2" borderId="1" xfId="0" applyNumberFormat="1" applyFont="1" applyFill="1" applyBorder="1"/>
    <xf numFmtId="0" fontId="1" fillId="0" borderId="0" xfId="0" applyFont="1"/>
    <xf numFmtId="43" fontId="1" fillId="0" borderId="1" xfId="0" applyNumberFormat="1" applyFont="1" applyBorder="1"/>
    <xf numFmtId="4" fontId="0" fillId="0" borderId="0" xfId="0" applyNumberFormat="1"/>
    <xf numFmtId="43" fontId="1" fillId="0" borderId="0" xfId="1" applyFont="1" applyAlignment="1">
      <alignment horizontal="center"/>
    </xf>
    <xf numFmtId="3" fontId="1" fillId="0" borderId="1" xfId="0" applyNumberFormat="1" applyFont="1" applyBorder="1"/>
    <xf numFmtId="0" fontId="0" fillId="2" borderId="9" xfId="0" applyFill="1" applyBorder="1"/>
    <xf numFmtId="0" fontId="9" fillId="2" borderId="0" xfId="0" applyFont="1" applyFill="1"/>
    <xf numFmtId="43" fontId="0" fillId="2" borderId="9" xfId="1" applyFont="1" applyFill="1" applyBorder="1"/>
    <xf numFmtId="0" fontId="0" fillId="2" borderId="1" xfId="0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43" fontId="2" fillId="0" borderId="1" xfId="1" applyFont="1" applyBorder="1"/>
    <xf numFmtId="43" fontId="0" fillId="0" borderId="0" xfId="1" applyFont="1"/>
    <xf numFmtId="43" fontId="1" fillId="0" borderId="0" xfId="1" applyFont="1"/>
    <xf numFmtId="0" fontId="9" fillId="2" borderId="1" xfId="0" applyFont="1" applyFill="1" applyBorder="1" applyAlignment="1">
      <alignment vertical="center" wrapText="1"/>
    </xf>
    <xf numFmtId="43" fontId="0" fillId="2" borderId="1" xfId="0" applyNumberFormat="1" applyFill="1" applyBorder="1"/>
    <xf numFmtId="0" fontId="0" fillId="2" borderId="1" xfId="0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1" fillId="0" borderId="0" xfId="0" applyFont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1" fillId="0" borderId="6" xfId="0" applyFont="1" applyBorder="1"/>
    <xf numFmtId="0" fontId="1" fillId="0" borderId="7" xfId="0" applyFont="1" applyBorder="1"/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0" fillId="2" borderId="1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523875</xdr:colOff>
      <xdr:row>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943600" y="18716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523875</xdr:colOff>
      <xdr:row>2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187911" y="163267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X136"/>
  <sheetViews>
    <sheetView tabSelected="1" zoomScaleNormal="100" workbookViewId="0">
      <selection activeCell="B103" sqref="B103"/>
    </sheetView>
  </sheetViews>
  <sheetFormatPr defaultRowHeight="14.5" x14ac:dyDescent="0.35"/>
  <cols>
    <col min="1" max="1" width="15" customWidth="1"/>
    <col min="2" max="2" width="38.26953125" customWidth="1"/>
    <col min="3" max="3" width="7.81640625" customWidth="1"/>
    <col min="4" max="4" width="9.26953125" customWidth="1"/>
    <col min="5" max="5" width="16.7265625" customWidth="1"/>
    <col min="6" max="6" width="20.81640625" customWidth="1"/>
    <col min="7" max="7" width="10" customWidth="1"/>
    <col min="8" max="8" width="28.453125" customWidth="1"/>
    <col min="9" max="9" width="11.7265625" customWidth="1"/>
    <col min="20" max="20" width="9.7265625" customWidth="1"/>
    <col min="21" max="21" width="16.1796875" customWidth="1"/>
  </cols>
  <sheetData>
    <row r="1" spans="1:21" x14ac:dyDescent="0.35">
      <c r="E1" s="55" t="s">
        <v>102</v>
      </c>
      <c r="F1" s="55"/>
      <c r="G1" s="55"/>
      <c r="H1" s="55"/>
    </row>
    <row r="2" spans="1:21" ht="29" x14ac:dyDescent="0.35">
      <c r="A2" s="2"/>
      <c r="B2" s="13" t="s">
        <v>0</v>
      </c>
      <c r="C2" s="13" t="s">
        <v>16</v>
      </c>
      <c r="D2" s="2" t="s">
        <v>1</v>
      </c>
      <c r="E2" s="13" t="s">
        <v>2</v>
      </c>
      <c r="F2" s="13" t="s">
        <v>3</v>
      </c>
      <c r="G2" s="13" t="s">
        <v>4</v>
      </c>
      <c r="H2" s="13" t="s">
        <v>5</v>
      </c>
      <c r="I2" s="13" t="s">
        <v>6</v>
      </c>
      <c r="J2" s="2" t="s">
        <v>7</v>
      </c>
      <c r="K2" s="2" t="s">
        <v>8</v>
      </c>
      <c r="L2" s="2" t="s">
        <v>9</v>
      </c>
      <c r="M2" s="2" t="s">
        <v>11</v>
      </c>
      <c r="N2" s="67" t="s">
        <v>10</v>
      </c>
      <c r="O2" s="68"/>
      <c r="P2" s="68"/>
      <c r="Q2" s="68"/>
      <c r="R2" s="68"/>
      <c r="S2" s="68"/>
      <c r="T2" s="68"/>
      <c r="U2" s="69"/>
    </row>
    <row r="3" spans="1:21" x14ac:dyDescent="0.35">
      <c r="A3" s="3"/>
      <c r="B3" s="28"/>
      <c r="C3" s="1"/>
      <c r="D3" s="1"/>
      <c r="E3" s="1"/>
      <c r="F3" s="1"/>
      <c r="G3" s="1"/>
      <c r="H3" s="1"/>
      <c r="I3" s="24"/>
      <c r="J3" s="1"/>
      <c r="K3" s="1"/>
      <c r="L3" s="1"/>
      <c r="M3" s="1"/>
      <c r="N3" s="1"/>
      <c r="O3" s="1"/>
      <c r="P3" s="1"/>
      <c r="Q3" s="5"/>
    </row>
    <row r="4" spans="1:21" x14ac:dyDescent="0.35">
      <c r="A4" s="2" t="s">
        <v>113</v>
      </c>
      <c r="B4" s="2"/>
      <c r="C4" s="2"/>
      <c r="D4" s="1"/>
      <c r="E4" s="3"/>
      <c r="F4" s="28"/>
      <c r="G4" s="1"/>
      <c r="H4" s="1"/>
      <c r="I4" s="1"/>
      <c r="J4" s="1"/>
      <c r="K4" s="1"/>
      <c r="L4" s="1"/>
      <c r="M4" s="25"/>
      <c r="N4" s="1"/>
      <c r="O4" s="1"/>
      <c r="P4" s="1"/>
      <c r="Q4" s="1"/>
      <c r="R4" s="1"/>
      <c r="S4" s="1"/>
      <c r="T4" s="1"/>
      <c r="U4" s="5"/>
    </row>
    <row r="5" spans="1:21" ht="15.5" x14ac:dyDescent="0.35">
      <c r="A5" s="1">
        <v>1</v>
      </c>
      <c r="B5" s="6" t="s">
        <v>28</v>
      </c>
      <c r="C5" s="1" t="s">
        <v>24</v>
      </c>
      <c r="D5" s="11">
        <v>1</v>
      </c>
      <c r="E5" s="3">
        <v>600</v>
      </c>
      <c r="F5" s="44">
        <f>D5*E5</f>
        <v>600</v>
      </c>
      <c r="G5" s="1" t="s">
        <v>13</v>
      </c>
      <c r="H5" s="1" t="s">
        <v>15</v>
      </c>
      <c r="I5" s="1" t="s">
        <v>12</v>
      </c>
      <c r="J5" s="1"/>
      <c r="K5" s="1"/>
      <c r="L5" s="1"/>
      <c r="M5" s="24" t="s">
        <v>14</v>
      </c>
      <c r="N5" s="1"/>
      <c r="O5" s="1"/>
      <c r="P5" s="1"/>
      <c r="Q5" s="1"/>
      <c r="R5" s="1"/>
      <c r="S5" s="1"/>
      <c r="T5" s="11">
        <v>1</v>
      </c>
      <c r="U5" s="5">
        <f>D5*E5</f>
        <v>600</v>
      </c>
    </row>
    <row r="6" spans="1:21" ht="15.5" x14ac:dyDescent="0.35">
      <c r="A6" s="1">
        <v>2</v>
      </c>
      <c r="B6" s="6" t="s">
        <v>29</v>
      </c>
      <c r="C6" s="1" t="s">
        <v>24</v>
      </c>
      <c r="D6" s="11">
        <v>1</v>
      </c>
      <c r="E6" s="3">
        <v>2600</v>
      </c>
      <c r="F6" s="44">
        <f t="shared" ref="F6:F13" si="0">D6*E6</f>
        <v>2600</v>
      </c>
      <c r="G6" s="1" t="s">
        <v>13</v>
      </c>
      <c r="H6" s="1" t="s">
        <v>15</v>
      </c>
      <c r="I6" s="1" t="s">
        <v>12</v>
      </c>
      <c r="J6" s="1"/>
      <c r="K6" s="1"/>
      <c r="L6" s="1"/>
      <c r="M6" s="24" t="s">
        <v>14</v>
      </c>
      <c r="N6" s="1"/>
      <c r="O6" s="1"/>
      <c r="P6" s="1"/>
      <c r="Q6" s="1"/>
      <c r="R6" s="1"/>
      <c r="S6" s="1"/>
      <c r="T6" s="11">
        <v>1</v>
      </c>
      <c r="U6" s="5">
        <f t="shared" ref="U6:U12" si="1">D6*E6</f>
        <v>2600</v>
      </c>
    </row>
    <row r="7" spans="1:21" ht="15.5" x14ac:dyDescent="0.35">
      <c r="A7" s="1">
        <v>3</v>
      </c>
      <c r="B7" s="6" t="s">
        <v>30</v>
      </c>
      <c r="C7" s="1" t="s">
        <v>24</v>
      </c>
      <c r="D7" s="11">
        <v>4</v>
      </c>
      <c r="E7" s="3">
        <v>8500</v>
      </c>
      <c r="F7" s="44">
        <f t="shared" si="0"/>
        <v>34000</v>
      </c>
      <c r="G7" s="1" t="s">
        <v>13</v>
      </c>
      <c r="H7" s="1" t="s">
        <v>15</v>
      </c>
      <c r="I7" s="1" t="s">
        <v>12</v>
      </c>
      <c r="J7" s="1"/>
      <c r="K7" s="1"/>
      <c r="L7" s="1"/>
      <c r="M7" s="24" t="s">
        <v>14</v>
      </c>
      <c r="N7" s="1"/>
      <c r="O7" s="1"/>
      <c r="P7" s="1"/>
      <c r="Q7" s="1"/>
      <c r="R7" s="1"/>
      <c r="S7" s="1"/>
      <c r="T7" s="11">
        <v>4</v>
      </c>
      <c r="U7" s="5">
        <f t="shared" si="1"/>
        <v>34000</v>
      </c>
    </row>
    <row r="8" spans="1:21" ht="15.5" x14ac:dyDescent="0.35">
      <c r="A8" s="1">
        <v>4</v>
      </c>
      <c r="B8" s="6" t="s">
        <v>87</v>
      </c>
      <c r="C8" s="1" t="s">
        <v>24</v>
      </c>
      <c r="D8" s="11">
        <v>1</v>
      </c>
      <c r="E8" s="3">
        <v>2600</v>
      </c>
      <c r="F8" s="44">
        <f t="shared" si="0"/>
        <v>2600</v>
      </c>
      <c r="G8" s="1" t="s">
        <v>13</v>
      </c>
      <c r="H8" s="1" t="s">
        <v>15</v>
      </c>
      <c r="I8" s="1" t="s">
        <v>12</v>
      </c>
      <c r="J8" s="1"/>
      <c r="K8" s="1"/>
      <c r="L8" s="1"/>
      <c r="M8" s="24" t="s">
        <v>14</v>
      </c>
      <c r="N8" s="1"/>
      <c r="O8" s="1"/>
      <c r="P8" s="1"/>
      <c r="Q8" s="1"/>
      <c r="R8" s="1"/>
      <c r="S8" s="1"/>
      <c r="T8" s="11">
        <v>1</v>
      </c>
      <c r="U8" s="5">
        <f t="shared" si="1"/>
        <v>2600</v>
      </c>
    </row>
    <row r="9" spans="1:21" ht="15.5" x14ac:dyDescent="0.35">
      <c r="A9" s="1">
        <v>5</v>
      </c>
      <c r="B9" s="6" t="s">
        <v>88</v>
      </c>
      <c r="C9" s="1" t="s">
        <v>24</v>
      </c>
      <c r="D9" s="11">
        <v>2</v>
      </c>
      <c r="E9" s="3">
        <v>6400</v>
      </c>
      <c r="F9" s="44">
        <f t="shared" si="0"/>
        <v>12800</v>
      </c>
      <c r="G9" s="1" t="s">
        <v>13</v>
      </c>
      <c r="H9" s="1" t="s">
        <v>15</v>
      </c>
      <c r="I9" s="1" t="s">
        <v>12</v>
      </c>
      <c r="J9" s="1"/>
      <c r="K9" s="1"/>
      <c r="L9" s="1"/>
      <c r="M9" s="24" t="s">
        <v>14</v>
      </c>
      <c r="N9" s="1"/>
      <c r="O9" s="1"/>
      <c r="P9" s="1"/>
      <c r="Q9" s="1"/>
      <c r="R9" s="1"/>
      <c r="S9" s="1"/>
      <c r="T9" s="11">
        <v>2</v>
      </c>
      <c r="U9" s="5">
        <f t="shared" si="1"/>
        <v>12800</v>
      </c>
    </row>
    <row r="10" spans="1:21" ht="15.5" x14ac:dyDescent="0.35">
      <c r="A10" s="1">
        <v>6</v>
      </c>
      <c r="B10" s="6" t="s">
        <v>89</v>
      </c>
      <c r="C10" s="1" t="s">
        <v>24</v>
      </c>
      <c r="D10" s="11">
        <v>2</v>
      </c>
      <c r="E10" s="19">
        <v>5600</v>
      </c>
      <c r="F10" s="44">
        <f t="shared" si="0"/>
        <v>11200</v>
      </c>
      <c r="G10" s="1" t="s">
        <v>13</v>
      </c>
      <c r="H10" s="1" t="s">
        <v>15</v>
      </c>
      <c r="I10" s="1" t="s">
        <v>12</v>
      </c>
      <c r="J10" s="1"/>
      <c r="K10" s="1"/>
      <c r="L10" s="1"/>
      <c r="M10" s="24" t="s">
        <v>14</v>
      </c>
      <c r="N10" s="1"/>
      <c r="O10" s="1"/>
      <c r="P10" s="1"/>
      <c r="Q10" s="1"/>
      <c r="R10" s="1"/>
      <c r="S10" s="1"/>
      <c r="T10" s="11">
        <v>2</v>
      </c>
      <c r="U10" s="5">
        <f t="shared" si="1"/>
        <v>11200</v>
      </c>
    </row>
    <row r="11" spans="1:21" ht="15.5" x14ac:dyDescent="0.35">
      <c r="A11" s="1">
        <v>7</v>
      </c>
      <c r="B11" s="6" t="s">
        <v>90</v>
      </c>
      <c r="C11" s="1" t="s">
        <v>24</v>
      </c>
      <c r="D11" s="11">
        <v>1</v>
      </c>
      <c r="E11" s="19">
        <v>8000</v>
      </c>
      <c r="F11" s="44">
        <f t="shared" si="0"/>
        <v>8000</v>
      </c>
      <c r="G11" s="1" t="s">
        <v>13</v>
      </c>
      <c r="H11" s="1" t="s">
        <v>15</v>
      </c>
      <c r="I11" s="1" t="s">
        <v>12</v>
      </c>
      <c r="J11" s="1"/>
      <c r="K11" s="1"/>
      <c r="L11" s="1"/>
      <c r="M11" s="24" t="s">
        <v>14</v>
      </c>
      <c r="N11" s="1"/>
      <c r="O11" s="1"/>
      <c r="P11" s="1"/>
      <c r="Q11" s="1"/>
      <c r="R11" s="1"/>
      <c r="S11" s="1"/>
      <c r="T11" s="11">
        <v>1</v>
      </c>
      <c r="U11" s="5">
        <f t="shared" si="1"/>
        <v>8000</v>
      </c>
    </row>
    <row r="12" spans="1:21" ht="15.5" x14ac:dyDescent="0.35">
      <c r="A12" s="1">
        <v>8</v>
      </c>
      <c r="B12" s="6" t="s">
        <v>91</v>
      </c>
      <c r="C12" s="1" t="s">
        <v>24</v>
      </c>
      <c r="D12" s="11">
        <v>1</v>
      </c>
      <c r="E12" s="19">
        <v>4800</v>
      </c>
      <c r="F12" s="44">
        <f t="shared" si="0"/>
        <v>4800</v>
      </c>
      <c r="G12" s="1" t="s">
        <v>13</v>
      </c>
      <c r="H12" s="1" t="s">
        <v>15</v>
      </c>
      <c r="I12" s="1" t="s">
        <v>12</v>
      </c>
      <c r="J12" s="1"/>
      <c r="K12" s="1"/>
      <c r="L12" s="1"/>
      <c r="M12" s="24" t="s">
        <v>14</v>
      </c>
      <c r="N12" s="1"/>
      <c r="O12" s="1"/>
      <c r="P12" s="1"/>
      <c r="Q12" s="1"/>
      <c r="R12" s="1"/>
      <c r="S12" s="1"/>
      <c r="T12" s="11">
        <v>1</v>
      </c>
      <c r="U12" s="5">
        <f t="shared" si="1"/>
        <v>4800</v>
      </c>
    </row>
    <row r="13" spans="1:21" ht="15.5" x14ac:dyDescent="0.35">
      <c r="A13" s="1">
        <v>9</v>
      </c>
      <c r="B13" s="6" t="s">
        <v>92</v>
      </c>
      <c r="C13" s="1" t="s">
        <v>24</v>
      </c>
      <c r="D13" s="11">
        <v>1</v>
      </c>
      <c r="E13" s="19">
        <v>1400</v>
      </c>
      <c r="F13" s="44">
        <f t="shared" si="0"/>
        <v>1400</v>
      </c>
      <c r="G13" s="1" t="s">
        <v>13</v>
      </c>
      <c r="H13" s="1" t="s">
        <v>15</v>
      </c>
      <c r="I13" s="1" t="s">
        <v>12</v>
      </c>
      <c r="J13" s="1"/>
      <c r="K13" s="1"/>
      <c r="L13" s="1"/>
      <c r="M13" s="24" t="s">
        <v>14</v>
      </c>
      <c r="N13" s="1"/>
      <c r="O13" s="1"/>
      <c r="P13" s="1"/>
      <c r="Q13" s="1"/>
      <c r="R13" s="1"/>
      <c r="S13" s="1"/>
      <c r="T13" s="11">
        <v>1</v>
      </c>
      <c r="U13" s="5">
        <f>D13*E13</f>
        <v>1400</v>
      </c>
    </row>
    <row r="14" spans="1:21" ht="15.5" x14ac:dyDescent="0.35">
      <c r="A14" s="1"/>
      <c r="B14" s="6"/>
      <c r="C14" s="1"/>
      <c r="D14" s="11"/>
      <c r="E14" s="19"/>
      <c r="F14" s="3"/>
      <c r="G14" s="1"/>
      <c r="H14" s="1"/>
      <c r="I14" s="1"/>
      <c r="J14" s="1"/>
      <c r="K14" s="1"/>
      <c r="L14" s="1"/>
      <c r="M14" s="24"/>
      <c r="N14" s="1"/>
      <c r="O14" s="1"/>
      <c r="P14" s="1"/>
      <c r="Q14" s="1"/>
      <c r="R14" s="1"/>
      <c r="S14" s="1"/>
      <c r="T14" s="11"/>
      <c r="U14" s="5"/>
    </row>
    <row r="15" spans="1:21" ht="15.5" x14ac:dyDescent="0.35">
      <c r="A15" s="1"/>
      <c r="B15" s="6"/>
      <c r="C15" s="1"/>
      <c r="D15" s="11"/>
      <c r="E15" s="19"/>
      <c r="F15" s="3"/>
      <c r="G15" s="1"/>
      <c r="H15" s="1"/>
      <c r="I15" s="1"/>
      <c r="J15" s="1"/>
      <c r="K15" s="1"/>
      <c r="L15" s="1"/>
      <c r="M15" s="24"/>
      <c r="N15" s="1"/>
      <c r="O15" s="1"/>
      <c r="P15" s="1"/>
      <c r="Q15" s="1"/>
      <c r="R15" s="1"/>
      <c r="S15" s="1"/>
      <c r="T15" s="11"/>
      <c r="U15" s="5"/>
    </row>
    <row r="16" spans="1:21" ht="15.5" x14ac:dyDescent="0.35">
      <c r="A16" s="1"/>
      <c r="B16" s="6"/>
      <c r="C16" s="1"/>
      <c r="D16" s="1"/>
      <c r="E16" s="3"/>
      <c r="F16" s="28">
        <f>SUM(F5:F15)</f>
        <v>78000</v>
      </c>
      <c r="G16" s="1"/>
      <c r="H16" s="1"/>
      <c r="I16" s="1"/>
      <c r="J16" s="1"/>
      <c r="K16" s="1"/>
      <c r="L16" s="1"/>
      <c r="M16" s="24"/>
      <c r="N16" s="1"/>
      <c r="O16" s="1"/>
      <c r="P16" s="1"/>
      <c r="Q16" s="1"/>
      <c r="R16" s="1"/>
      <c r="S16" s="1"/>
      <c r="T16" s="1"/>
      <c r="U16" s="5"/>
    </row>
    <row r="17" spans="1:21" x14ac:dyDescent="0.35">
      <c r="A17" s="1"/>
      <c r="B17" s="1"/>
      <c r="C17" s="1"/>
      <c r="D17" s="1"/>
      <c r="E17" s="3"/>
      <c r="F17" s="28"/>
      <c r="G17" s="1"/>
      <c r="H17" s="1"/>
      <c r="I17" s="1"/>
      <c r="J17" s="1"/>
      <c r="K17" s="1"/>
      <c r="L17" s="1"/>
      <c r="M17" s="24"/>
      <c r="N17" s="1"/>
      <c r="O17" s="1"/>
      <c r="P17" s="1"/>
      <c r="Q17" s="1"/>
      <c r="R17" s="1"/>
      <c r="S17" s="1"/>
      <c r="T17" s="1"/>
      <c r="U17" s="5"/>
    </row>
    <row r="18" spans="1:21" x14ac:dyDescent="0.35">
      <c r="A18" s="58" t="s">
        <v>114</v>
      </c>
      <c r="B18" s="59"/>
      <c r="C18" s="1"/>
      <c r="D18" s="1"/>
      <c r="E18" s="3"/>
      <c r="F18" s="3"/>
      <c r="G18" s="1"/>
      <c r="H18" s="1"/>
      <c r="I18" s="1"/>
      <c r="J18" s="1"/>
      <c r="K18" s="1"/>
      <c r="L18" s="1"/>
      <c r="M18" s="24"/>
      <c r="N18" s="1"/>
      <c r="O18" s="1"/>
      <c r="P18" s="1"/>
      <c r="Q18" s="1"/>
      <c r="R18" s="1"/>
      <c r="S18" s="1"/>
      <c r="T18" s="1"/>
      <c r="U18" s="5"/>
    </row>
    <row r="19" spans="1:21" x14ac:dyDescent="0.35">
      <c r="A19" s="1">
        <v>1</v>
      </c>
      <c r="B19" s="1" t="s">
        <v>42</v>
      </c>
      <c r="C19" s="1" t="s">
        <v>43</v>
      </c>
      <c r="D19" s="1">
        <v>400</v>
      </c>
      <c r="E19" s="3">
        <v>200</v>
      </c>
      <c r="F19" s="3">
        <v>80000</v>
      </c>
      <c r="G19" s="1" t="s">
        <v>13</v>
      </c>
      <c r="H19" s="1" t="s">
        <v>15</v>
      </c>
      <c r="I19" s="1" t="s">
        <v>12</v>
      </c>
      <c r="J19" s="1"/>
      <c r="K19" s="1"/>
      <c r="L19" s="1"/>
      <c r="M19" s="24" t="s">
        <v>14</v>
      </c>
      <c r="N19" s="1"/>
      <c r="O19" s="20"/>
      <c r="P19" s="1"/>
      <c r="Q19" s="20"/>
      <c r="R19" s="1"/>
      <c r="S19" s="1"/>
      <c r="T19" s="1">
        <v>400</v>
      </c>
      <c r="U19" s="5">
        <f>D19*E19</f>
        <v>80000</v>
      </c>
    </row>
    <row r="20" spans="1:21" ht="15.5" x14ac:dyDescent="0.35">
      <c r="A20" s="1"/>
      <c r="B20" s="6"/>
      <c r="C20" s="1"/>
      <c r="D20" s="1"/>
      <c r="E20" s="3"/>
      <c r="F20" s="3"/>
      <c r="G20" s="1"/>
      <c r="H20" s="1"/>
      <c r="I20" s="1"/>
      <c r="J20" s="1"/>
      <c r="K20" s="1"/>
      <c r="L20" s="1"/>
      <c r="M20" s="24"/>
      <c r="N20" s="1"/>
      <c r="O20" s="1"/>
      <c r="P20" s="1"/>
      <c r="Q20" s="1"/>
      <c r="R20" s="1"/>
      <c r="S20" s="1"/>
      <c r="T20" s="12"/>
      <c r="U20" s="5"/>
    </row>
    <row r="21" spans="1:21" x14ac:dyDescent="0.35">
      <c r="A21" s="1"/>
      <c r="B21" s="1"/>
      <c r="C21" s="1"/>
      <c r="D21" s="1"/>
      <c r="E21" s="3"/>
      <c r="F21" s="3"/>
      <c r="G21" s="1"/>
      <c r="H21" s="1"/>
      <c r="I21" s="1"/>
      <c r="J21" s="1"/>
      <c r="K21" s="1"/>
      <c r="L21" s="1"/>
      <c r="M21" s="24"/>
      <c r="N21" s="1"/>
      <c r="O21" s="1"/>
      <c r="P21" s="1"/>
      <c r="Q21" s="1"/>
      <c r="R21" s="1"/>
      <c r="S21" s="1"/>
      <c r="T21" s="4"/>
      <c r="U21" s="5"/>
    </row>
    <row r="22" spans="1:21" x14ac:dyDescent="0.35">
      <c r="A22" s="1"/>
      <c r="B22" s="1"/>
      <c r="C22" s="1"/>
      <c r="D22" s="1"/>
      <c r="E22" s="3"/>
      <c r="F22" s="28">
        <f>SUM(F19:F21)</f>
        <v>80000</v>
      </c>
      <c r="G22" s="1"/>
      <c r="H22" s="1"/>
      <c r="I22" s="1"/>
      <c r="J22" s="1"/>
      <c r="K22" s="1"/>
      <c r="L22" s="1"/>
      <c r="M22" s="24"/>
      <c r="N22" s="1"/>
      <c r="O22" s="1"/>
      <c r="P22" s="1"/>
      <c r="Q22" s="1"/>
      <c r="R22" s="1"/>
      <c r="S22" s="1"/>
      <c r="T22" s="1"/>
      <c r="U22" s="5"/>
    </row>
    <row r="23" spans="1:21" x14ac:dyDescent="0.35">
      <c r="A23" s="2" t="s">
        <v>115</v>
      </c>
      <c r="B23" s="2"/>
      <c r="C23" s="2"/>
      <c r="D23" s="1"/>
      <c r="E23" s="3"/>
      <c r="F23" s="28"/>
      <c r="G23" s="1"/>
      <c r="H23" s="1"/>
      <c r="I23" s="1"/>
      <c r="J23" s="1"/>
      <c r="K23" s="1"/>
      <c r="L23" s="1"/>
      <c r="M23" s="24"/>
      <c r="N23" s="1"/>
      <c r="O23" s="1"/>
      <c r="P23" s="1"/>
      <c r="Q23" s="1"/>
      <c r="R23" s="1"/>
      <c r="S23" s="1"/>
      <c r="T23" s="1"/>
      <c r="U23" s="5"/>
    </row>
    <row r="24" spans="1:21" s="8" customFormat="1" ht="15.5" x14ac:dyDescent="0.35">
      <c r="A24" s="7">
        <v>1</v>
      </c>
      <c r="B24" s="6" t="s">
        <v>93</v>
      </c>
      <c r="C24" s="6" t="s">
        <v>25</v>
      </c>
      <c r="D24" s="7">
        <v>33250</v>
      </c>
      <c r="E24" s="10">
        <v>200</v>
      </c>
      <c r="F24" s="23">
        <v>2567000</v>
      </c>
      <c r="G24" s="40" t="s">
        <v>13</v>
      </c>
      <c r="H24" s="7" t="s">
        <v>15</v>
      </c>
      <c r="I24" s="7" t="s">
        <v>12</v>
      </c>
      <c r="J24" s="7"/>
      <c r="K24" s="7"/>
      <c r="L24" s="7"/>
      <c r="M24" s="26" t="s">
        <v>14</v>
      </c>
      <c r="N24" s="7"/>
      <c r="O24" s="7"/>
      <c r="P24" s="7"/>
      <c r="Q24" s="7"/>
      <c r="R24" s="7"/>
      <c r="S24" s="7"/>
      <c r="T24" s="7">
        <v>33250</v>
      </c>
      <c r="U24" s="15">
        <f>D24*E24</f>
        <v>6650000</v>
      </c>
    </row>
    <row r="25" spans="1:21" s="8" customFormat="1" x14ac:dyDescent="0.35">
      <c r="A25" s="7">
        <v>2</v>
      </c>
      <c r="B25" s="7" t="s">
        <v>69</v>
      </c>
      <c r="C25" s="7" t="s">
        <v>40</v>
      </c>
      <c r="D25" s="7">
        <v>1</v>
      </c>
      <c r="E25" s="10">
        <v>5200000</v>
      </c>
      <c r="F25" s="23">
        <v>2944000</v>
      </c>
      <c r="G25" s="40" t="s">
        <v>13</v>
      </c>
      <c r="H25" s="7" t="s">
        <v>15</v>
      </c>
      <c r="I25" s="7" t="s">
        <v>12</v>
      </c>
      <c r="J25" s="7"/>
      <c r="K25" s="7"/>
      <c r="L25" s="7"/>
      <c r="M25" s="26" t="s">
        <v>14</v>
      </c>
      <c r="N25" s="7"/>
      <c r="O25" s="7"/>
      <c r="P25" s="7"/>
      <c r="Q25" s="7"/>
      <c r="R25" s="7"/>
      <c r="S25" s="7"/>
      <c r="T25" s="7">
        <v>1</v>
      </c>
      <c r="U25" s="15">
        <f t="shared" ref="U25:U31" si="2">D25*E25</f>
        <v>5200000</v>
      </c>
    </row>
    <row r="26" spans="1:21" x14ac:dyDescent="0.35">
      <c r="A26" s="7">
        <v>3</v>
      </c>
      <c r="B26" s="7" t="s">
        <v>94</v>
      </c>
      <c r="C26" s="7" t="s">
        <v>95</v>
      </c>
      <c r="D26" s="7">
        <v>120</v>
      </c>
      <c r="E26" s="10">
        <v>200</v>
      </c>
      <c r="F26" s="23">
        <f>D26*E26</f>
        <v>24000</v>
      </c>
      <c r="G26" s="7" t="s">
        <v>13</v>
      </c>
      <c r="H26" s="7" t="s">
        <v>15</v>
      </c>
      <c r="I26" s="7" t="s">
        <v>12</v>
      </c>
      <c r="J26" s="7"/>
      <c r="K26" s="7"/>
      <c r="L26" s="7"/>
      <c r="M26" s="26" t="s">
        <v>14</v>
      </c>
      <c r="N26" s="7"/>
      <c r="O26" s="7"/>
      <c r="P26" s="7"/>
      <c r="Q26" s="7"/>
      <c r="R26" s="7"/>
      <c r="S26" s="7"/>
      <c r="T26" s="7">
        <v>120</v>
      </c>
      <c r="U26" s="5">
        <f t="shared" si="2"/>
        <v>24000</v>
      </c>
    </row>
    <row r="27" spans="1:21" x14ac:dyDescent="0.35">
      <c r="A27" s="7">
        <v>4</v>
      </c>
      <c r="B27" s="7" t="s">
        <v>96</v>
      </c>
      <c r="C27" s="7" t="s">
        <v>95</v>
      </c>
      <c r="D27" s="7">
        <v>364</v>
      </c>
      <c r="E27" s="10">
        <v>196.43</v>
      </c>
      <c r="F27" s="23">
        <f>D27*E27</f>
        <v>71500.52</v>
      </c>
      <c r="G27" s="7" t="s">
        <v>13</v>
      </c>
      <c r="H27" s="7" t="s">
        <v>15</v>
      </c>
      <c r="I27" s="7" t="s">
        <v>12</v>
      </c>
      <c r="J27" s="7"/>
      <c r="K27" s="7"/>
      <c r="L27" s="7"/>
      <c r="M27" s="26" t="s">
        <v>14</v>
      </c>
      <c r="N27" s="7"/>
      <c r="O27" s="7"/>
      <c r="P27" s="7"/>
      <c r="Q27" s="7"/>
      <c r="R27" s="7"/>
      <c r="S27" s="7"/>
      <c r="T27" s="8">
        <v>364</v>
      </c>
      <c r="U27" s="5">
        <f t="shared" si="2"/>
        <v>71500.52</v>
      </c>
    </row>
    <row r="28" spans="1:21" x14ac:dyDescent="0.35">
      <c r="A28" s="7"/>
      <c r="B28" s="7"/>
      <c r="C28" s="7"/>
      <c r="D28" s="7"/>
      <c r="E28" s="10"/>
      <c r="F28" s="10"/>
      <c r="G28" s="7"/>
      <c r="H28" s="7"/>
      <c r="I28" s="7"/>
      <c r="J28" s="7"/>
      <c r="K28" s="7"/>
      <c r="L28" s="7"/>
      <c r="M28" s="26"/>
      <c r="N28" s="7"/>
      <c r="O28" s="7"/>
      <c r="P28" s="7"/>
      <c r="Q28" s="7"/>
      <c r="R28" s="7"/>
      <c r="S28" s="7"/>
      <c r="T28" s="7"/>
      <c r="U28" s="5">
        <f t="shared" si="2"/>
        <v>0</v>
      </c>
    </row>
    <row r="29" spans="1:21" x14ac:dyDescent="0.35">
      <c r="A29" s="7"/>
      <c r="B29" s="7"/>
      <c r="C29" s="7"/>
      <c r="D29" s="7"/>
      <c r="E29" s="10"/>
      <c r="F29" s="10"/>
      <c r="G29" s="7"/>
      <c r="H29" s="7"/>
      <c r="I29" s="7"/>
      <c r="J29" s="7"/>
      <c r="K29" s="7"/>
      <c r="L29" s="7"/>
      <c r="M29" s="26"/>
      <c r="N29" s="7"/>
      <c r="O29" s="7"/>
      <c r="P29" s="7"/>
      <c r="Q29" s="7"/>
      <c r="R29" s="7"/>
      <c r="S29" s="7"/>
      <c r="T29" s="7"/>
      <c r="U29" s="5">
        <f>D29*E29</f>
        <v>0</v>
      </c>
    </row>
    <row r="30" spans="1:21" x14ac:dyDescent="0.35">
      <c r="A30" s="7"/>
      <c r="B30" s="7"/>
      <c r="C30" s="7"/>
      <c r="D30" s="7"/>
      <c r="E30" s="10"/>
      <c r="F30" s="29"/>
      <c r="G30" s="7"/>
      <c r="H30" s="7"/>
      <c r="I30" s="7"/>
      <c r="J30" s="7"/>
      <c r="K30" s="7"/>
      <c r="L30" s="7"/>
      <c r="M30" s="26"/>
      <c r="N30" s="7"/>
      <c r="O30" s="7"/>
      <c r="P30" s="7"/>
      <c r="Q30" s="7"/>
      <c r="R30" s="7"/>
      <c r="S30" s="7"/>
      <c r="T30" s="7"/>
      <c r="U30" s="5">
        <f t="shared" si="2"/>
        <v>0</v>
      </c>
    </row>
    <row r="31" spans="1:21" x14ac:dyDescent="0.35">
      <c r="A31" s="1"/>
      <c r="B31" s="1"/>
      <c r="C31" s="1"/>
      <c r="D31" s="1"/>
      <c r="E31" s="3"/>
      <c r="F31" s="28">
        <f>SUM(F24:F30)</f>
        <v>5606500.5199999996</v>
      </c>
      <c r="G31" s="1"/>
      <c r="H31" s="1"/>
      <c r="I31" s="1"/>
      <c r="J31" s="1"/>
      <c r="K31" s="1"/>
      <c r="L31" s="1"/>
      <c r="M31" s="24"/>
      <c r="N31" s="1"/>
      <c r="O31" s="1"/>
      <c r="P31" s="1"/>
      <c r="Q31" s="1"/>
      <c r="R31" s="1"/>
      <c r="S31" s="1"/>
      <c r="T31" s="1"/>
      <c r="U31" s="5">
        <f t="shared" si="2"/>
        <v>0</v>
      </c>
    </row>
    <row r="32" spans="1:21" x14ac:dyDescent="0.35">
      <c r="A32" s="1"/>
      <c r="B32" s="1"/>
      <c r="C32" s="1"/>
      <c r="D32" s="1"/>
      <c r="E32" s="3"/>
      <c r="F32" s="28"/>
      <c r="G32" s="1"/>
      <c r="H32" s="1"/>
      <c r="I32" s="1"/>
      <c r="J32" s="1"/>
      <c r="K32" s="1"/>
      <c r="L32" s="1"/>
      <c r="M32" s="24"/>
      <c r="N32" s="1"/>
      <c r="O32" s="1"/>
      <c r="P32" s="1"/>
      <c r="Q32" s="1"/>
      <c r="R32" s="1"/>
      <c r="S32" s="1"/>
      <c r="T32" s="4"/>
      <c r="U32" s="5"/>
    </row>
    <row r="33" spans="1:21" ht="15.5" x14ac:dyDescent="0.35">
      <c r="A33" s="56" t="s">
        <v>116</v>
      </c>
      <c r="B33" s="57"/>
      <c r="C33" s="1"/>
      <c r="D33" s="1"/>
      <c r="E33" s="3"/>
      <c r="F33" s="28"/>
      <c r="G33" s="1"/>
      <c r="H33" s="1"/>
      <c r="I33" s="1"/>
      <c r="J33" s="1"/>
      <c r="K33" s="1"/>
      <c r="L33" s="1"/>
      <c r="M33" s="24"/>
      <c r="N33" s="1"/>
      <c r="O33" s="1"/>
      <c r="P33" s="1"/>
      <c r="Q33" s="1"/>
      <c r="R33" s="1"/>
      <c r="S33" s="1"/>
      <c r="T33" s="4"/>
      <c r="U33" s="5"/>
    </row>
    <row r="34" spans="1:21" ht="15.5" x14ac:dyDescent="0.35">
      <c r="A34" s="1">
        <v>1</v>
      </c>
      <c r="B34" s="6" t="s">
        <v>73</v>
      </c>
      <c r="C34" s="1" t="s">
        <v>24</v>
      </c>
      <c r="D34" s="1">
        <v>6</v>
      </c>
      <c r="E34" s="3">
        <v>2595</v>
      </c>
      <c r="F34" s="44">
        <f>D34*E34</f>
        <v>15570</v>
      </c>
      <c r="G34" s="1" t="s">
        <v>13</v>
      </c>
      <c r="H34" s="1" t="s">
        <v>15</v>
      </c>
      <c r="I34" s="1" t="s">
        <v>12</v>
      </c>
      <c r="J34" s="1"/>
      <c r="K34" s="1"/>
      <c r="L34" s="1"/>
      <c r="M34" s="26" t="s">
        <v>14</v>
      </c>
      <c r="N34" s="1"/>
      <c r="O34" s="1"/>
      <c r="P34" s="1"/>
      <c r="Q34" s="1"/>
      <c r="R34" s="1"/>
      <c r="S34" s="1"/>
      <c r="T34" s="1">
        <v>6</v>
      </c>
      <c r="U34" s="5">
        <f>D34*E34</f>
        <v>15570</v>
      </c>
    </row>
    <row r="35" spans="1:21" x14ac:dyDescent="0.35">
      <c r="A35" s="1">
        <v>2</v>
      </c>
      <c r="B35" s="1" t="s">
        <v>27</v>
      </c>
      <c r="C35" s="1" t="s">
        <v>24</v>
      </c>
      <c r="D35" s="1">
        <v>1</v>
      </c>
      <c r="E35" s="3">
        <v>130324</v>
      </c>
      <c r="F35" s="44">
        <f t="shared" ref="F35:F58" si="3">D35*E35</f>
        <v>130324</v>
      </c>
      <c r="G35" s="1" t="s">
        <v>13</v>
      </c>
      <c r="H35" s="1" t="s">
        <v>15</v>
      </c>
      <c r="I35" s="1" t="s">
        <v>12</v>
      </c>
      <c r="J35" s="1"/>
      <c r="K35" s="1"/>
      <c r="L35" s="1"/>
      <c r="M35" s="26" t="s">
        <v>14</v>
      </c>
      <c r="N35" s="1"/>
      <c r="O35" s="1"/>
      <c r="P35" s="1"/>
      <c r="Q35" s="1"/>
      <c r="R35" s="1"/>
      <c r="S35" s="1"/>
      <c r="T35" s="1">
        <v>1</v>
      </c>
      <c r="U35" s="5">
        <f t="shared" ref="U35:U58" si="4">D35*E35</f>
        <v>130324</v>
      </c>
    </row>
    <row r="36" spans="1:21" x14ac:dyDescent="0.35">
      <c r="A36" s="1">
        <v>3</v>
      </c>
      <c r="B36" s="1" t="s">
        <v>74</v>
      </c>
      <c r="C36" s="1" t="s">
        <v>24</v>
      </c>
      <c r="D36" s="1">
        <v>1</v>
      </c>
      <c r="E36" s="3">
        <v>91708</v>
      </c>
      <c r="F36" s="44">
        <f t="shared" si="3"/>
        <v>91708</v>
      </c>
      <c r="G36" s="1" t="s">
        <v>13</v>
      </c>
      <c r="H36" s="1" t="s">
        <v>15</v>
      </c>
      <c r="I36" s="1" t="s">
        <v>12</v>
      </c>
      <c r="J36" s="1"/>
      <c r="K36" s="1"/>
      <c r="L36" s="1"/>
      <c r="M36" s="26" t="s">
        <v>14</v>
      </c>
      <c r="N36" s="1"/>
      <c r="O36" s="1"/>
      <c r="P36" s="1"/>
      <c r="Q36" s="1"/>
      <c r="R36" s="1"/>
      <c r="S36" s="1"/>
      <c r="T36" s="1">
        <v>1</v>
      </c>
      <c r="U36" s="5">
        <f t="shared" si="4"/>
        <v>91708</v>
      </c>
    </row>
    <row r="37" spans="1:21" x14ac:dyDescent="0.35">
      <c r="A37" s="1">
        <v>4</v>
      </c>
      <c r="B37" s="1" t="s">
        <v>36</v>
      </c>
      <c r="C37" s="1" t="s">
        <v>17</v>
      </c>
      <c r="D37" s="1">
        <v>300</v>
      </c>
      <c r="E37" s="3">
        <v>50</v>
      </c>
      <c r="F37" s="44">
        <f t="shared" si="3"/>
        <v>15000</v>
      </c>
      <c r="G37" s="1" t="s">
        <v>13</v>
      </c>
      <c r="H37" s="1" t="s">
        <v>15</v>
      </c>
      <c r="I37" s="1" t="s">
        <v>12</v>
      </c>
      <c r="J37" s="1"/>
      <c r="K37" s="1"/>
      <c r="L37" s="1"/>
      <c r="M37" s="26" t="s">
        <v>14</v>
      </c>
      <c r="N37" s="1"/>
      <c r="O37" s="1"/>
      <c r="P37" s="1"/>
      <c r="Q37" s="1"/>
      <c r="R37" s="1"/>
      <c r="S37" s="1"/>
      <c r="T37" s="1">
        <v>300</v>
      </c>
      <c r="U37" s="5">
        <f t="shared" si="4"/>
        <v>15000</v>
      </c>
    </row>
    <row r="38" spans="1:21" x14ac:dyDescent="0.35">
      <c r="A38" s="1">
        <v>5</v>
      </c>
      <c r="B38" s="1" t="s">
        <v>37</v>
      </c>
      <c r="C38" s="1" t="s">
        <v>17</v>
      </c>
      <c r="D38" s="1">
        <v>300</v>
      </c>
      <c r="E38" s="3">
        <v>55</v>
      </c>
      <c r="F38" s="44">
        <f t="shared" si="3"/>
        <v>16500</v>
      </c>
      <c r="G38" s="1" t="s">
        <v>13</v>
      </c>
      <c r="H38" s="1" t="s">
        <v>15</v>
      </c>
      <c r="I38" s="1" t="s">
        <v>12</v>
      </c>
      <c r="J38" s="1"/>
      <c r="K38" s="1"/>
      <c r="L38" s="1"/>
      <c r="M38" s="26" t="s">
        <v>14</v>
      </c>
      <c r="N38" s="1"/>
      <c r="O38" s="1"/>
      <c r="P38" s="1"/>
      <c r="Q38" s="1"/>
      <c r="R38" s="1"/>
      <c r="S38" s="1"/>
      <c r="T38" s="1">
        <v>300</v>
      </c>
      <c r="U38" s="5">
        <f t="shared" si="4"/>
        <v>16500</v>
      </c>
    </row>
    <row r="39" spans="1:21" x14ac:dyDescent="0.35">
      <c r="A39" s="1">
        <v>6</v>
      </c>
      <c r="B39" s="1" t="s">
        <v>38</v>
      </c>
      <c r="C39" s="1" t="s">
        <v>17</v>
      </c>
      <c r="D39" s="1">
        <v>300</v>
      </c>
      <c r="E39" s="3">
        <v>60</v>
      </c>
      <c r="F39" s="44">
        <f t="shared" si="3"/>
        <v>18000</v>
      </c>
      <c r="G39" s="1" t="s">
        <v>13</v>
      </c>
      <c r="H39" s="1" t="s">
        <v>15</v>
      </c>
      <c r="I39" s="1" t="s">
        <v>12</v>
      </c>
      <c r="J39" s="1"/>
      <c r="K39" s="1"/>
      <c r="L39" s="1"/>
      <c r="M39" s="26" t="s">
        <v>14</v>
      </c>
      <c r="N39" s="1"/>
      <c r="O39" s="1"/>
      <c r="P39" s="1"/>
      <c r="Q39" s="1"/>
      <c r="R39" s="1"/>
      <c r="S39" s="1"/>
      <c r="T39" s="1">
        <v>300</v>
      </c>
      <c r="U39" s="5">
        <f t="shared" si="4"/>
        <v>18000</v>
      </c>
    </row>
    <row r="40" spans="1:21" x14ac:dyDescent="0.35">
      <c r="A40" s="1">
        <v>7</v>
      </c>
      <c r="B40" s="1" t="s">
        <v>19</v>
      </c>
      <c r="C40" s="1" t="s">
        <v>20</v>
      </c>
      <c r="D40" s="1">
        <v>2</v>
      </c>
      <c r="E40" s="3">
        <v>6500</v>
      </c>
      <c r="F40" s="44">
        <f t="shared" si="3"/>
        <v>13000</v>
      </c>
      <c r="G40" s="1" t="s">
        <v>13</v>
      </c>
      <c r="H40" s="1" t="s">
        <v>15</v>
      </c>
      <c r="I40" s="1" t="s">
        <v>12</v>
      </c>
      <c r="J40" s="1"/>
      <c r="K40" s="1"/>
      <c r="L40" s="1"/>
      <c r="M40" s="26" t="s">
        <v>14</v>
      </c>
      <c r="N40" s="1"/>
      <c r="O40" s="1"/>
      <c r="P40" s="1"/>
      <c r="Q40" s="1"/>
      <c r="R40" s="1"/>
      <c r="S40" s="1"/>
      <c r="T40" s="1">
        <v>2</v>
      </c>
      <c r="U40" s="5">
        <f t="shared" si="4"/>
        <v>13000</v>
      </c>
    </row>
    <row r="41" spans="1:21" x14ac:dyDescent="0.35">
      <c r="A41" s="1">
        <v>8</v>
      </c>
      <c r="B41" s="1" t="s">
        <v>35</v>
      </c>
      <c r="C41" s="1" t="s">
        <v>21</v>
      </c>
      <c r="D41" s="1">
        <v>1</v>
      </c>
      <c r="E41" s="3">
        <v>35000</v>
      </c>
      <c r="F41" s="44">
        <f t="shared" si="3"/>
        <v>35000</v>
      </c>
      <c r="G41" s="1" t="s">
        <v>13</v>
      </c>
      <c r="H41" s="1" t="s">
        <v>15</v>
      </c>
      <c r="I41" s="1" t="s">
        <v>12</v>
      </c>
      <c r="J41" s="1"/>
      <c r="K41" s="1"/>
      <c r="L41" s="1"/>
      <c r="M41" s="26" t="s">
        <v>14</v>
      </c>
      <c r="N41" s="1"/>
      <c r="O41" s="1"/>
      <c r="P41" s="1"/>
      <c r="Q41" s="1"/>
      <c r="R41" s="1"/>
      <c r="S41" s="1"/>
      <c r="T41" s="1">
        <v>1</v>
      </c>
      <c r="U41" s="5">
        <f t="shared" si="4"/>
        <v>35000</v>
      </c>
    </row>
    <row r="42" spans="1:21" x14ac:dyDescent="0.35">
      <c r="A42" s="1">
        <v>9</v>
      </c>
      <c r="B42" s="1" t="s">
        <v>22</v>
      </c>
      <c r="C42" s="1" t="s">
        <v>20</v>
      </c>
      <c r="D42" s="1">
        <v>5</v>
      </c>
      <c r="E42" s="3">
        <v>2400</v>
      </c>
      <c r="F42" s="44">
        <f>D42*E42</f>
        <v>12000</v>
      </c>
      <c r="G42" s="1" t="s">
        <v>13</v>
      </c>
      <c r="H42" s="1" t="s">
        <v>15</v>
      </c>
      <c r="I42" s="1" t="s">
        <v>12</v>
      </c>
      <c r="J42" s="1"/>
      <c r="K42" s="1"/>
      <c r="L42" s="1"/>
      <c r="M42" s="26" t="s">
        <v>14</v>
      </c>
      <c r="N42" s="1"/>
      <c r="O42" s="1"/>
      <c r="P42" s="1"/>
      <c r="Q42" s="1"/>
      <c r="R42" s="1"/>
      <c r="S42" s="1"/>
      <c r="T42" s="1">
        <v>5</v>
      </c>
      <c r="U42" s="5">
        <f t="shared" si="4"/>
        <v>12000</v>
      </c>
    </row>
    <row r="43" spans="1:21" x14ac:dyDescent="0.35">
      <c r="A43" s="1">
        <v>10</v>
      </c>
      <c r="B43" s="1" t="s">
        <v>23</v>
      </c>
      <c r="C43" s="1" t="s">
        <v>20</v>
      </c>
      <c r="D43" s="1">
        <v>5</v>
      </c>
      <c r="E43" s="3">
        <v>2800</v>
      </c>
      <c r="F43" s="44">
        <f t="shared" si="3"/>
        <v>14000</v>
      </c>
      <c r="G43" s="1" t="s">
        <v>13</v>
      </c>
      <c r="H43" s="1" t="s">
        <v>15</v>
      </c>
      <c r="I43" s="1" t="s">
        <v>12</v>
      </c>
      <c r="J43" s="1"/>
      <c r="K43" s="1"/>
      <c r="L43" s="1"/>
      <c r="M43" s="26" t="s">
        <v>14</v>
      </c>
      <c r="N43" s="1"/>
      <c r="O43" s="1"/>
      <c r="P43" s="1"/>
      <c r="Q43" s="1"/>
      <c r="R43" s="1"/>
      <c r="S43" s="1"/>
      <c r="T43" s="1">
        <v>5</v>
      </c>
      <c r="U43" s="5">
        <f t="shared" si="4"/>
        <v>14000</v>
      </c>
    </row>
    <row r="44" spans="1:21" x14ac:dyDescent="0.35">
      <c r="A44" s="1">
        <v>11</v>
      </c>
      <c r="B44" s="1" t="s">
        <v>32</v>
      </c>
      <c r="C44" s="1" t="s">
        <v>21</v>
      </c>
      <c r="D44" s="1">
        <v>1</v>
      </c>
      <c r="E44" s="3">
        <v>15800</v>
      </c>
      <c r="F44" s="44">
        <f>D44*E44</f>
        <v>15800</v>
      </c>
      <c r="G44" s="1" t="s">
        <v>13</v>
      </c>
      <c r="H44" s="1" t="s">
        <v>15</v>
      </c>
      <c r="I44" s="1" t="s">
        <v>12</v>
      </c>
      <c r="J44" s="1"/>
      <c r="K44" s="1"/>
      <c r="L44" s="1"/>
      <c r="M44" s="26" t="s">
        <v>14</v>
      </c>
      <c r="N44" s="1"/>
      <c r="O44" s="1"/>
      <c r="P44" s="1"/>
      <c r="Q44" s="1"/>
      <c r="R44" s="1"/>
      <c r="S44" s="1"/>
      <c r="T44" s="1">
        <v>1</v>
      </c>
      <c r="U44" s="5">
        <f>D44*E44</f>
        <v>15800</v>
      </c>
    </row>
    <row r="45" spans="1:21" ht="19.5" customHeight="1" x14ac:dyDescent="0.35">
      <c r="A45" s="1">
        <v>12</v>
      </c>
      <c r="B45" s="1" t="s">
        <v>33</v>
      </c>
      <c r="C45" s="1" t="s">
        <v>21</v>
      </c>
      <c r="D45" s="1">
        <v>1</v>
      </c>
      <c r="E45" s="1">
        <v>14800</v>
      </c>
      <c r="F45" s="44">
        <f>D45*F50</f>
        <v>25000</v>
      </c>
      <c r="G45" s="1" t="s">
        <v>13</v>
      </c>
      <c r="H45" s="1" t="s">
        <v>15</v>
      </c>
      <c r="I45" s="1" t="s">
        <v>12</v>
      </c>
      <c r="J45" s="1"/>
      <c r="K45" s="1"/>
      <c r="L45" s="1"/>
      <c r="M45" s="26" t="s">
        <v>14</v>
      </c>
      <c r="N45" s="24"/>
      <c r="O45" s="1"/>
      <c r="P45" s="1"/>
      <c r="Q45" s="1"/>
      <c r="R45" s="1"/>
      <c r="S45" s="1"/>
      <c r="T45" s="1">
        <v>1</v>
      </c>
      <c r="U45" s="5">
        <f t="shared" si="4"/>
        <v>14800</v>
      </c>
    </row>
    <row r="46" spans="1:21" ht="15.5" x14ac:dyDescent="0.35">
      <c r="A46" s="1">
        <v>13</v>
      </c>
      <c r="B46" s="1" t="s">
        <v>34</v>
      </c>
      <c r="C46" s="9" t="s">
        <v>21</v>
      </c>
      <c r="D46" s="1">
        <v>1</v>
      </c>
      <c r="E46" s="1">
        <v>15800</v>
      </c>
      <c r="F46" s="44">
        <f t="shared" si="3"/>
        <v>15800</v>
      </c>
      <c r="G46" s="1" t="s">
        <v>13</v>
      </c>
      <c r="H46" s="1" t="s">
        <v>15</v>
      </c>
      <c r="I46" s="1" t="s">
        <v>12</v>
      </c>
      <c r="J46" s="1"/>
      <c r="K46" s="1"/>
      <c r="L46" s="1"/>
      <c r="M46" s="26" t="s">
        <v>14</v>
      </c>
      <c r="N46" s="24"/>
      <c r="O46" s="1"/>
      <c r="P46" s="1"/>
      <c r="Q46" s="1"/>
      <c r="R46" s="1"/>
      <c r="S46" s="1"/>
      <c r="T46" s="1">
        <v>1</v>
      </c>
      <c r="U46" s="5">
        <f t="shared" si="4"/>
        <v>15800</v>
      </c>
    </row>
    <row r="47" spans="1:21" ht="15.5" x14ac:dyDescent="0.35">
      <c r="A47" s="1">
        <v>14</v>
      </c>
      <c r="B47" s="1" t="s">
        <v>75</v>
      </c>
      <c r="C47" s="9" t="s">
        <v>21</v>
      </c>
      <c r="D47" s="1">
        <v>3000</v>
      </c>
      <c r="E47" s="1">
        <v>45</v>
      </c>
      <c r="F47" s="44">
        <f t="shared" si="3"/>
        <v>135000</v>
      </c>
      <c r="G47" s="1" t="s">
        <v>13</v>
      </c>
      <c r="H47" s="1" t="s">
        <v>15</v>
      </c>
      <c r="I47" s="1" t="s">
        <v>12</v>
      </c>
      <c r="J47" s="1"/>
      <c r="K47" s="1"/>
      <c r="L47" s="1"/>
      <c r="M47" s="26" t="s">
        <v>14</v>
      </c>
      <c r="N47" s="24"/>
      <c r="O47" s="1"/>
      <c r="P47" s="1"/>
      <c r="Q47" s="1"/>
      <c r="R47" s="1"/>
      <c r="S47" s="1"/>
      <c r="T47" s="1">
        <v>3000</v>
      </c>
      <c r="U47" s="5">
        <f t="shared" si="4"/>
        <v>135000</v>
      </c>
    </row>
    <row r="48" spans="1:21" ht="15.5" x14ac:dyDescent="0.35">
      <c r="A48" s="1">
        <v>15</v>
      </c>
      <c r="B48" s="1" t="s">
        <v>76</v>
      </c>
      <c r="C48" s="9" t="s">
        <v>21</v>
      </c>
      <c r="D48" s="1">
        <v>40</v>
      </c>
      <c r="E48" s="1">
        <v>2500</v>
      </c>
      <c r="F48" s="44">
        <f t="shared" si="3"/>
        <v>100000</v>
      </c>
      <c r="G48" s="1" t="s">
        <v>13</v>
      </c>
      <c r="H48" s="1" t="s">
        <v>15</v>
      </c>
      <c r="I48" s="1" t="s">
        <v>12</v>
      </c>
      <c r="J48" s="1"/>
      <c r="K48" s="1"/>
      <c r="L48" s="1"/>
      <c r="M48" s="26" t="s">
        <v>14</v>
      </c>
      <c r="N48" s="24"/>
      <c r="O48" s="1"/>
      <c r="P48" s="1"/>
      <c r="Q48" s="1"/>
      <c r="R48" s="1"/>
      <c r="S48" s="1"/>
      <c r="T48" s="1">
        <v>40</v>
      </c>
      <c r="U48" s="5">
        <f t="shared" si="4"/>
        <v>100000</v>
      </c>
    </row>
    <row r="49" spans="1:21" ht="15.5" x14ac:dyDescent="0.35">
      <c r="A49" s="1">
        <v>16</v>
      </c>
      <c r="B49" s="1" t="s">
        <v>77</v>
      </c>
      <c r="C49" s="6" t="s">
        <v>41</v>
      </c>
      <c r="D49" s="1">
        <v>2</v>
      </c>
      <c r="E49" s="1">
        <v>38200</v>
      </c>
      <c r="F49" s="44">
        <f t="shared" si="3"/>
        <v>76400</v>
      </c>
      <c r="G49" s="1" t="s">
        <v>13</v>
      </c>
      <c r="H49" s="1" t="s">
        <v>15</v>
      </c>
      <c r="I49" s="1" t="s">
        <v>12</v>
      </c>
      <c r="J49" s="1"/>
      <c r="K49" s="1"/>
      <c r="L49" s="1"/>
      <c r="M49" s="26" t="s">
        <v>14</v>
      </c>
      <c r="N49" s="24"/>
      <c r="O49" s="1"/>
      <c r="P49" s="1"/>
      <c r="Q49" s="1"/>
      <c r="R49" s="1"/>
      <c r="S49" s="1"/>
      <c r="T49" s="1">
        <v>2</v>
      </c>
      <c r="U49" s="5">
        <f t="shared" si="4"/>
        <v>76400</v>
      </c>
    </row>
    <row r="50" spans="1:21" ht="15.5" x14ac:dyDescent="0.35">
      <c r="A50" s="1">
        <v>17</v>
      </c>
      <c r="B50" s="6" t="s">
        <v>78</v>
      </c>
      <c r="C50" s="1" t="s">
        <v>41</v>
      </c>
      <c r="D50" s="1">
        <v>2</v>
      </c>
      <c r="E50" s="14">
        <v>12500</v>
      </c>
      <c r="F50" s="44">
        <f t="shared" si="3"/>
        <v>25000</v>
      </c>
      <c r="G50" s="1" t="s">
        <v>13</v>
      </c>
      <c r="H50" s="1" t="s">
        <v>15</v>
      </c>
      <c r="I50" s="1" t="s">
        <v>12</v>
      </c>
      <c r="J50" s="1"/>
      <c r="K50" s="1"/>
      <c r="L50" s="1"/>
      <c r="M50" s="26" t="s">
        <v>14</v>
      </c>
      <c r="N50" s="1"/>
      <c r="O50" s="1"/>
      <c r="P50" s="1"/>
      <c r="Q50" s="1"/>
      <c r="R50" s="1"/>
      <c r="S50" s="1"/>
      <c r="T50" s="1">
        <v>2</v>
      </c>
      <c r="U50" s="5">
        <f t="shared" si="4"/>
        <v>25000</v>
      </c>
    </row>
    <row r="51" spans="1:21" ht="15.5" x14ac:dyDescent="0.35">
      <c r="A51" s="1">
        <v>18</v>
      </c>
      <c r="B51" s="6" t="s">
        <v>79</v>
      </c>
      <c r="C51" s="1" t="s">
        <v>41</v>
      </c>
      <c r="D51" s="1">
        <v>2</v>
      </c>
      <c r="E51" s="3">
        <v>12200</v>
      </c>
      <c r="F51" s="44">
        <f t="shared" si="3"/>
        <v>24400</v>
      </c>
      <c r="G51" s="1" t="s">
        <v>13</v>
      </c>
      <c r="H51" s="1" t="s">
        <v>15</v>
      </c>
      <c r="I51" s="1" t="s">
        <v>12</v>
      </c>
      <c r="J51" s="1"/>
      <c r="K51" s="1"/>
      <c r="L51" s="1"/>
      <c r="M51" s="26" t="s">
        <v>14</v>
      </c>
      <c r="N51" s="1"/>
      <c r="O51" s="1"/>
      <c r="P51" s="1"/>
      <c r="Q51" s="1"/>
      <c r="R51" s="1"/>
      <c r="S51" s="1"/>
      <c r="T51" s="1">
        <v>2</v>
      </c>
      <c r="U51" s="5">
        <f t="shared" si="4"/>
        <v>24400</v>
      </c>
    </row>
    <row r="52" spans="1:21" ht="15.5" x14ac:dyDescent="0.35">
      <c r="A52" s="1">
        <v>19</v>
      </c>
      <c r="B52" s="9" t="s">
        <v>80</v>
      </c>
      <c r="C52" s="1" t="s">
        <v>41</v>
      </c>
      <c r="D52" s="1">
        <v>2</v>
      </c>
      <c r="E52" s="3">
        <v>38000</v>
      </c>
      <c r="F52" s="44">
        <f>D52*E52</f>
        <v>76000</v>
      </c>
      <c r="G52" s="1" t="s">
        <v>13</v>
      </c>
      <c r="H52" s="1" t="s">
        <v>15</v>
      </c>
      <c r="I52" s="1" t="s">
        <v>12</v>
      </c>
      <c r="J52" s="1"/>
      <c r="K52" s="1"/>
      <c r="L52" s="1"/>
      <c r="M52" s="26" t="s">
        <v>14</v>
      </c>
      <c r="N52" s="1"/>
      <c r="O52" s="1"/>
      <c r="P52" s="1"/>
      <c r="Q52" s="1"/>
      <c r="R52" s="1"/>
      <c r="S52" s="1"/>
      <c r="T52" s="1">
        <v>2</v>
      </c>
      <c r="U52" s="5">
        <f t="shared" si="4"/>
        <v>76000</v>
      </c>
    </row>
    <row r="53" spans="1:21" ht="15.5" x14ac:dyDescent="0.35">
      <c r="A53" s="1">
        <v>20</v>
      </c>
      <c r="B53" s="9" t="s">
        <v>81</v>
      </c>
      <c r="C53" s="1" t="s">
        <v>41</v>
      </c>
      <c r="D53" s="1">
        <v>2</v>
      </c>
      <c r="E53" s="3">
        <v>24200</v>
      </c>
      <c r="F53" s="44">
        <f>D53*E53</f>
        <v>48400</v>
      </c>
      <c r="G53" s="1" t="s">
        <v>13</v>
      </c>
      <c r="H53" s="1" t="s">
        <v>15</v>
      </c>
      <c r="I53" s="1" t="s">
        <v>12</v>
      </c>
      <c r="J53" s="1"/>
      <c r="K53" s="1"/>
      <c r="L53" s="1"/>
      <c r="M53" s="26" t="s">
        <v>14</v>
      </c>
      <c r="N53" s="1"/>
      <c r="O53" s="1"/>
      <c r="P53" s="1"/>
      <c r="Q53" s="1"/>
      <c r="R53" s="1"/>
      <c r="S53" s="1"/>
      <c r="T53" s="1">
        <v>2</v>
      </c>
      <c r="U53" s="5">
        <f t="shared" si="4"/>
        <v>48400</v>
      </c>
    </row>
    <row r="54" spans="1:21" ht="15.5" x14ac:dyDescent="0.35">
      <c r="A54" s="1">
        <v>21</v>
      </c>
      <c r="B54" s="9" t="s">
        <v>82</v>
      </c>
      <c r="C54" s="1" t="s">
        <v>41</v>
      </c>
      <c r="D54" s="1">
        <v>2</v>
      </c>
      <c r="E54" s="3">
        <v>120000</v>
      </c>
      <c r="F54" s="44">
        <f t="shared" si="3"/>
        <v>240000</v>
      </c>
      <c r="G54" s="1" t="s">
        <v>13</v>
      </c>
      <c r="H54" s="1" t="s">
        <v>15</v>
      </c>
      <c r="I54" s="1" t="s">
        <v>12</v>
      </c>
      <c r="J54" s="1"/>
      <c r="K54" s="1"/>
      <c r="L54" s="1"/>
      <c r="M54" s="26" t="s">
        <v>14</v>
      </c>
      <c r="N54" s="1"/>
      <c r="O54" s="1"/>
      <c r="P54" s="1"/>
      <c r="Q54" s="1"/>
      <c r="R54" s="1"/>
      <c r="S54" s="1"/>
      <c r="T54" s="1">
        <v>2</v>
      </c>
      <c r="U54" s="5">
        <f t="shared" si="4"/>
        <v>240000</v>
      </c>
    </row>
    <row r="55" spans="1:21" ht="15.5" x14ac:dyDescent="0.35">
      <c r="A55" s="1">
        <v>22</v>
      </c>
      <c r="B55" s="9" t="s">
        <v>83</v>
      </c>
      <c r="C55" s="1" t="s">
        <v>41</v>
      </c>
      <c r="D55" s="1">
        <v>2</v>
      </c>
      <c r="E55" s="3">
        <v>9800</v>
      </c>
      <c r="F55" s="44">
        <f>D55*E55</f>
        <v>19600</v>
      </c>
      <c r="G55" s="1" t="s">
        <v>13</v>
      </c>
      <c r="H55" s="1" t="s">
        <v>15</v>
      </c>
      <c r="I55" s="1" t="s">
        <v>12</v>
      </c>
      <c r="J55" s="1"/>
      <c r="K55" s="1"/>
      <c r="L55" s="1"/>
      <c r="M55" s="26" t="s">
        <v>14</v>
      </c>
      <c r="N55" s="1"/>
      <c r="O55" s="1"/>
      <c r="P55" s="1"/>
      <c r="Q55" s="1"/>
      <c r="R55" s="1"/>
      <c r="S55" s="1"/>
      <c r="T55" s="1">
        <v>2</v>
      </c>
      <c r="U55" s="5">
        <f>D55*E55</f>
        <v>19600</v>
      </c>
    </row>
    <row r="56" spans="1:21" ht="15.5" x14ac:dyDescent="0.35">
      <c r="A56" s="1">
        <v>23</v>
      </c>
      <c r="B56" s="9" t="s">
        <v>84</v>
      </c>
      <c r="C56" s="1" t="s">
        <v>41</v>
      </c>
      <c r="D56" s="1">
        <v>2</v>
      </c>
      <c r="E56" s="3">
        <v>16400</v>
      </c>
      <c r="F56" s="44">
        <f t="shared" si="3"/>
        <v>32800</v>
      </c>
      <c r="G56" s="1" t="s">
        <v>13</v>
      </c>
      <c r="H56" s="1" t="s">
        <v>15</v>
      </c>
      <c r="I56" s="1" t="s">
        <v>12</v>
      </c>
      <c r="J56" s="1"/>
      <c r="K56" s="1"/>
      <c r="L56" s="1"/>
      <c r="M56" s="26" t="s">
        <v>14</v>
      </c>
      <c r="N56" s="1"/>
      <c r="O56" s="1"/>
      <c r="P56" s="1"/>
      <c r="Q56" s="1"/>
      <c r="R56" s="1"/>
      <c r="S56" s="1"/>
      <c r="T56" s="1">
        <v>2</v>
      </c>
      <c r="U56" s="5">
        <f t="shared" si="4"/>
        <v>32800</v>
      </c>
    </row>
    <row r="57" spans="1:21" ht="15.5" x14ac:dyDescent="0.35">
      <c r="A57" s="1">
        <v>24</v>
      </c>
      <c r="B57" s="9" t="s">
        <v>85</v>
      </c>
      <c r="C57" s="1" t="s">
        <v>41</v>
      </c>
      <c r="D57" s="1">
        <v>2</v>
      </c>
      <c r="E57" s="3">
        <v>14800</v>
      </c>
      <c r="F57" s="44">
        <f t="shared" si="3"/>
        <v>29600</v>
      </c>
      <c r="G57" s="1" t="s">
        <v>13</v>
      </c>
      <c r="H57" s="1" t="s">
        <v>15</v>
      </c>
      <c r="I57" s="1" t="s">
        <v>12</v>
      </c>
      <c r="J57" s="1"/>
      <c r="K57" s="1"/>
      <c r="L57" s="1"/>
      <c r="M57" s="26" t="s">
        <v>14</v>
      </c>
      <c r="N57" s="1"/>
      <c r="O57" s="1"/>
      <c r="P57" s="1"/>
      <c r="Q57" s="1"/>
      <c r="R57" s="1"/>
      <c r="S57" s="1"/>
      <c r="T57" s="1">
        <v>2</v>
      </c>
      <c r="U57" s="5">
        <f t="shared" si="4"/>
        <v>29600</v>
      </c>
    </row>
    <row r="58" spans="1:21" ht="15.5" x14ac:dyDescent="0.35">
      <c r="A58" s="1">
        <v>25</v>
      </c>
      <c r="B58" s="9" t="s">
        <v>86</v>
      </c>
      <c r="C58" s="1" t="s">
        <v>41</v>
      </c>
      <c r="D58" s="1">
        <v>1</v>
      </c>
      <c r="E58" s="3">
        <v>28700</v>
      </c>
      <c r="F58" s="44">
        <f t="shared" si="3"/>
        <v>28700</v>
      </c>
      <c r="G58" s="1" t="s">
        <v>13</v>
      </c>
      <c r="H58" s="1" t="s">
        <v>15</v>
      </c>
      <c r="I58" s="1" t="s">
        <v>12</v>
      </c>
      <c r="J58" s="1"/>
      <c r="K58" s="1"/>
      <c r="L58" s="1"/>
      <c r="M58" s="26" t="s">
        <v>14</v>
      </c>
      <c r="N58" s="1"/>
      <c r="O58" s="1"/>
      <c r="P58" s="1"/>
      <c r="Q58" s="1"/>
      <c r="R58" s="1"/>
      <c r="S58" s="1"/>
      <c r="T58" s="1">
        <v>1</v>
      </c>
      <c r="U58" s="5">
        <f t="shared" si="4"/>
        <v>28700</v>
      </c>
    </row>
    <row r="59" spans="1:21" ht="15.5" x14ac:dyDescent="0.35">
      <c r="A59" s="1"/>
      <c r="B59" s="9"/>
      <c r="C59" s="1"/>
      <c r="D59" s="1"/>
      <c r="E59" s="3"/>
      <c r="F59" s="44"/>
      <c r="G59" s="1"/>
      <c r="H59" s="1"/>
      <c r="I59" s="1"/>
      <c r="J59" s="1"/>
      <c r="K59" s="1"/>
      <c r="L59" s="1"/>
      <c r="M59" s="24"/>
      <c r="N59" s="1"/>
      <c r="O59" s="1"/>
      <c r="P59" s="1"/>
      <c r="Q59" s="1"/>
      <c r="R59" s="1"/>
      <c r="S59" s="1"/>
      <c r="T59" s="1"/>
      <c r="U59" s="5"/>
    </row>
    <row r="60" spans="1:21" ht="15.5" x14ac:dyDescent="0.35">
      <c r="A60" s="1"/>
      <c r="B60" s="9"/>
      <c r="C60" s="1"/>
      <c r="D60" s="1"/>
      <c r="E60" s="3"/>
      <c r="F60" s="28"/>
      <c r="G60" s="1"/>
      <c r="H60" s="1"/>
      <c r="I60" s="1"/>
      <c r="J60" s="1"/>
      <c r="K60" s="1"/>
      <c r="L60" s="1"/>
      <c r="M60" s="24"/>
      <c r="N60" s="1"/>
      <c r="O60" s="1"/>
      <c r="P60" s="1"/>
      <c r="Q60" s="1"/>
      <c r="R60" s="1"/>
      <c r="S60" s="1"/>
      <c r="T60" s="1"/>
      <c r="U60" s="5"/>
    </row>
    <row r="61" spans="1:21" ht="15.5" x14ac:dyDescent="0.35">
      <c r="A61" s="1"/>
      <c r="B61" s="9"/>
      <c r="C61" s="1"/>
      <c r="D61" s="1"/>
      <c r="E61" s="3"/>
      <c r="F61" s="28">
        <f>SUM(F34:F60)</f>
        <v>1253602</v>
      </c>
      <c r="G61" s="1"/>
      <c r="H61" s="1"/>
      <c r="I61" s="1"/>
      <c r="J61" s="1"/>
      <c r="K61" s="1"/>
      <c r="L61" s="1"/>
      <c r="M61" s="24"/>
      <c r="N61" s="1"/>
      <c r="O61" s="1"/>
      <c r="P61" s="1"/>
      <c r="Q61" s="1"/>
      <c r="R61" s="1"/>
      <c r="S61" s="1"/>
      <c r="T61" s="1"/>
      <c r="U61" s="5"/>
    </row>
    <row r="62" spans="1:21" ht="15.5" x14ac:dyDescent="0.35">
      <c r="A62" s="1"/>
      <c r="B62" s="9"/>
      <c r="C62" s="1"/>
      <c r="D62" s="1"/>
      <c r="E62" s="3"/>
      <c r="F62" s="3"/>
      <c r="G62" s="1"/>
      <c r="H62" s="1"/>
      <c r="I62" s="1"/>
      <c r="J62" s="1"/>
      <c r="K62" s="1"/>
      <c r="L62" s="1"/>
      <c r="M62" s="24"/>
      <c r="N62" s="1"/>
      <c r="O62" s="1"/>
      <c r="P62" s="1"/>
      <c r="Q62" s="1"/>
      <c r="R62" s="1"/>
      <c r="S62" s="1"/>
      <c r="T62" s="1"/>
      <c r="U62" s="5"/>
    </row>
    <row r="63" spans="1:21" x14ac:dyDescent="0.35">
      <c r="A63" s="1"/>
      <c r="B63" s="7"/>
      <c r="C63" s="7"/>
      <c r="D63" s="7"/>
      <c r="E63" s="3" t="s">
        <v>63</v>
      </c>
      <c r="F63" s="28"/>
      <c r="G63" s="1"/>
      <c r="H63" s="1"/>
      <c r="I63" s="1"/>
      <c r="J63" s="1"/>
      <c r="K63" s="1"/>
      <c r="L63" s="1"/>
      <c r="M63" s="25"/>
      <c r="N63" s="1"/>
      <c r="O63" s="1"/>
      <c r="P63" s="1"/>
      <c r="Q63" s="1"/>
      <c r="R63" s="1"/>
      <c r="S63" s="1"/>
      <c r="T63" s="1"/>
      <c r="U63" s="5"/>
    </row>
    <row r="64" spans="1:21" x14ac:dyDescent="0.35">
      <c r="A64" s="58" t="s">
        <v>46</v>
      </c>
      <c r="B64" s="59"/>
      <c r="C64" s="1"/>
      <c r="D64" s="1"/>
      <c r="E64" s="3"/>
      <c r="F64" s="3"/>
      <c r="G64" s="1"/>
      <c r="H64" s="1"/>
      <c r="I64" s="1"/>
      <c r="J64" s="1"/>
      <c r="K64" s="1"/>
      <c r="L64" s="1"/>
      <c r="M64" s="25"/>
      <c r="N64" s="1"/>
      <c r="O64" s="1"/>
      <c r="P64" s="1"/>
      <c r="Q64" s="1"/>
      <c r="R64" s="1"/>
      <c r="S64" s="1"/>
      <c r="T64" s="1"/>
      <c r="U64" s="5"/>
    </row>
    <row r="65" spans="1:21" x14ac:dyDescent="0.35">
      <c r="A65" s="21">
        <v>1</v>
      </c>
      <c r="B65" s="22" t="s">
        <v>97</v>
      </c>
      <c r="C65" s="1" t="s">
        <v>98</v>
      </c>
      <c r="D65" s="1">
        <v>10</v>
      </c>
      <c r="E65" s="3">
        <v>3600</v>
      </c>
      <c r="F65" s="3">
        <v>36000</v>
      </c>
      <c r="G65" s="1" t="s">
        <v>99</v>
      </c>
      <c r="H65" s="1" t="s">
        <v>15</v>
      </c>
      <c r="I65" s="1" t="s">
        <v>12</v>
      </c>
      <c r="J65" s="1"/>
      <c r="K65" s="1"/>
      <c r="L65" s="1"/>
      <c r="M65" s="24" t="s">
        <v>14</v>
      </c>
      <c r="N65" s="1"/>
      <c r="O65" s="20"/>
      <c r="P65" s="1"/>
      <c r="Q65" s="1"/>
      <c r="R65" s="1"/>
      <c r="S65" s="1"/>
      <c r="T65" s="1">
        <v>10</v>
      </c>
      <c r="U65" s="5">
        <f>D65*E65</f>
        <v>36000</v>
      </c>
    </row>
    <row r="66" spans="1:21" x14ac:dyDescent="0.35">
      <c r="A66" s="21"/>
      <c r="B66" s="22"/>
      <c r="C66" s="1"/>
      <c r="D66" s="1"/>
      <c r="E66" s="3"/>
      <c r="F66" s="3"/>
      <c r="G66" s="1"/>
      <c r="H66" s="1"/>
      <c r="I66" s="1"/>
      <c r="J66" s="1"/>
      <c r="K66" s="1"/>
      <c r="L66" s="1"/>
      <c r="M66" s="24"/>
      <c r="N66" s="1"/>
      <c r="O66" s="20"/>
      <c r="P66" s="1"/>
      <c r="Q66" s="1"/>
      <c r="R66" s="1"/>
      <c r="S66" s="1"/>
      <c r="T66" s="1"/>
      <c r="U66" s="5"/>
    </row>
    <row r="67" spans="1:21" x14ac:dyDescent="0.35">
      <c r="A67" s="1"/>
      <c r="B67" s="1"/>
      <c r="C67" s="1"/>
      <c r="D67" s="1"/>
      <c r="E67" s="3"/>
      <c r="F67" s="28">
        <f>SUM(F65:F66)</f>
        <v>36000</v>
      </c>
      <c r="G67" s="1"/>
      <c r="H67" s="1"/>
      <c r="I67" s="1"/>
      <c r="J67" s="1"/>
      <c r="K67" s="1"/>
      <c r="L67" s="1"/>
      <c r="M67" s="25"/>
      <c r="N67" s="1"/>
      <c r="O67" s="1"/>
      <c r="P67" s="1"/>
      <c r="Q67" s="1"/>
      <c r="R67" s="1"/>
      <c r="S67" s="1"/>
      <c r="T67" s="1"/>
      <c r="U67" s="5"/>
    </row>
    <row r="68" spans="1:21" x14ac:dyDescent="0.35">
      <c r="A68" s="60" t="s">
        <v>47</v>
      </c>
      <c r="B68" s="61"/>
      <c r="C68" s="1"/>
      <c r="D68" s="1"/>
      <c r="E68" s="3"/>
      <c r="F68" s="3"/>
      <c r="G68" s="1"/>
      <c r="H68" s="1"/>
      <c r="I68" s="1"/>
      <c r="J68" s="1"/>
      <c r="K68" s="1"/>
      <c r="L68" s="1"/>
      <c r="M68" s="25"/>
      <c r="N68" s="1"/>
      <c r="O68" s="1"/>
      <c r="P68" s="1"/>
      <c r="Q68" s="1"/>
      <c r="R68" s="1"/>
      <c r="S68" s="1"/>
      <c r="T68" s="1"/>
      <c r="U68" s="5"/>
    </row>
    <row r="69" spans="1:21" s="8" customFormat="1" x14ac:dyDescent="0.35">
      <c r="A69" s="7">
        <v>1</v>
      </c>
      <c r="B69" s="17" t="s">
        <v>107</v>
      </c>
      <c r="C69" s="7" t="s">
        <v>59</v>
      </c>
      <c r="D69" s="7">
        <v>10</v>
      </c>
      <c r="E69" s="10">
        <v>60000</v>
      </c>
      <c r="F69" s="10">
        <f t="shared" ref="F69:F74" si="5">D69*E69</f>
        <v>600000</v>
      </c>
      <c r="G69" s="7" t="s">
        <v>13</v>
      </c>
      <c r="H69" s="7" t="s">
        <v>15</v>
      </c>
      <c r="I69" s="7" t="s">
        <v>12</v>
      </c>
      <c r="J69" s="7"/>
      <c r="K69" s="7"/>
      <c r="L69" s="7"/>
      <c r="M69" s="26" t="s">
        <v>14</v>
      </c>
      <c r="N69" s="7"/>
      <c r="O69" s="7"/>
      <c r="P69" s="7"/>
      <c r="Q69" s="7"/>
      <c r="R69" s="7"/>
      <c r="S69" s="7"/>
      <c r="T69" s="7">
        <v>10</v>
      </c>
      <c r="U69" s="15">
        <f t="shared" ref="U69:U81" si="6">D69*E69</f>
        <v>600000</v>
      </c>
    </row>
    <row r="70" spans="1:21" s="8" customFormat="1" x14ac:dyDescent="0.35">
      <c r="A70" s="7">
        <v>2</v>
      </c>
      <c r="B70" s="17" t="s">
        <v>65</v>
      </c>
      <c r="C70" s="7" t="s">
        <v>59</v>
      </c>
      <c r="D70" s="7">
        <v>10</v>
      </c>
      <c r="E70" s="10">
        <v>50000</v>
      </c>
      <c r="F70" s="10">
        <f t="shared" si="5"/>
        <v>500000</v>
      </c>
      <c r="G70" s="7" t="s">
        <v>13</v>
      </c>
      <c r="H70" s="7" t="s">
        <v>15</v>
      </c>
      <c r="I70" s="7" t="s">
        <v>12</v>
      </c>
      <c r="J70" s="7"/>
      <c r="K70" s="7"/>
      <c r="L70" s="7"/>
      <c r="M70" s="26" t="s">
        <v>14</v>
      </c>
      <c r="N70" s="7"/>
      <c r="O70" s="7"/>
      <c r="P70" s="7"/>
      <c r="Q70" s="7"/>
      <c r="R70" s="7"/>
      <c r="S70" s="7"/>
      <c r="T70" s="7">
        <v>10</v>
      </c>
      <c r="U70" s="15">
        <f t="shared" si="6"/>
        <v>500000</v>
      </c>
    </row>
    <row r="71" spans="1:21" s="8" customFormat="1" x14ac:dyDescent="0.35">
      <c r="A71" s="7">
        <v>4</v>
      </c>
      <c r="B71" s="17" t="s">
        <v>66</v>
      </c>
      <c r="C71" s="7" t="s">
        <v>59</v>
      </c>
      <c r="D71" s="7">
        <v>5</v>
      </c>
      <c r="E71" s="10">
        <v>25000</v>
      </c>
      <c r="F71" s="10">
        <f t="shared" si="5"/>
        <v>125000</v>
      </c>
      <c r="G71" s="7" t="s">
        <v>13</v>
      </c>
      <c r="H71" s="7" t="s">
        <v>15</v>
      </c>
      <c r="I71" s="7" t="s">
        <v>12</v>
      </c>
      <c r="J71" s="7"/>
      <c r="K71" s="7"/>
      <c r="L71" s="7"/>
      <c r="M71" s="26" t="s">
        <v>14</v>
      </c>
      <c r="N71" s="7"/>
      <c r="O71" s="7"/>
      <c r="P71" s="7"/>
      <c r="Q71" s="7"/>
      <c r="R71" s="7"/>
      <c r="S71" s="7"/>
      <c r="T71" s="7">
        <v>5</v>
      </c>
      <c r="U71" s="15">
        <f t="shared" si="6"/>
        <v>125000</v>
      </c>
    </row>
    <row r="72" spans="1:21" s="8" customFormat="1" x14ac:dyDescent="0.35">
      <c r="A72" s="7">
        <v>5</v>
      </c>
      <c r="B72" s="17" t="s">
        <v>108</v>
      </c>
      <c r="C72" s="7" t="s">
        <v>59</v>
      </c>
      <c r="D72" s="7">
        <v>5</v>
      </c>
      <c r="E72" s="10">
        <v>20000</v>
      </c>
      <c r="F72" s="10">
        <f t="shared" si="5"/>
        <v>100000</v>
      </c>
      <c r="G72" s="7" t="s">
        <v>13</v>
      </c>
      <c r="H72" s="7" t="s">
        <v>15</v>
      </c>
      <c r="I72" s="7" t="s">
        <v>12</v>
      </c>
      <c r="J72" s="7"/>
      <c r="K72" s="7"/>
      <c r="L72" s="7"/>
      <c r="M72" s="26" t="s">
        <v>14</v>
      </c>
      <c r="N72" s="7"/>
      <c r="O72" s="7"/>
      <c r="P72" s="7"/>
      <c r="Q72" s="7"/>
      <c r="R72" s="7"/>
      <c r="S72" s="7"/>
      <c r="T72" s="7">
        <v>5</v>
      </c>
      <c r="U72" s="15">
        <f t="shared" si="6"/>
        <v>100000</v>
      </c>
    </row>
    <row r="73" spans="1:21" s="8" customFormat="1" x14ac:dyDescent="0.35">
      <c r="A73" s="7">
        <v>6</v>
      </c>
      <c r="B73" s="17" t="s">
        <v>106</v>
      </c>
      <c r="C73" s="7" t="s">
        <v>59</v>
      </c>
      <c r="D73" s="7">
        <v>20</v>
      </c>
      <c r="E73" s="10">
        <v>50000</v>
      </c>
      <c r="F73" s="10">
        <f t="shared" si="5"/>
        <v>1000000</v>
      </c>
      <c r="G73" s="7" t="s">
        <v>13</v>
      </c>
      <c r="H73" s="7" t="s">
        <v>15</v>
      </c>
      <c r="I73" s="7" t="s">
        <v>12</v>
      </c>
      <c r="J73" s="7"/>
      <c r="K73" s="7"/>
      <c r="L73" s="7"/>
      <c r="M73" s="26" t="s">
        <v>14</v>
      </c>
      <c r="N73" s="7"/>
      <c r="O73" s="7"/>
      <c r="P73" s="7"/>
      <c r="Q73" s="7"/>
      <c r="R73" s="7"/>
      <c r="S73" s="7"/>
      <c r="T73" s="7">
        <v>25</v>
      </c>
      <c r="U73" s="15">
        <f t="shared" si="6"/>
        <v>1000000</v>
      </c>
    </row>
    <row r="74" spans="1:21" s="8" customFormat="1" x14ac:dyDescent="0.35">
      <c r="A74" s="7">
        <v>9</v>
      </c>
      <c r="B74" s="17" t="s">
        <v>67</v>
      </c>
      <c r="C74" s="7" t="s">
        <v>59</v>
      </c>
      <c r="D74" s="7">
        <v>15</v>
      </c>
      <c r="E74" s="10">
        <v>30000</v>
      </c>
      <c r="F74" s="10">
        <f t="shared" si="5"/>
        <v>450000</v>
      </c>
      <c r="G74" s="7" t="s">
        <v>13</v>
      </c>
      <c r="H74" s="7" t="s">
        <v>15</v>
      </c>
      <c r="I74" s="7" t="s">
        <v>12</v>
      </c>
      <c r="J74" s="7"/>
      <c r="K74" s="7"/>
      <c r="L74" s="7"/>
      <c r="M74" s="26" t="s">
        <v>14</v>
      </c>
      <c r="N74" s="7"/>
      <c r="O74" s="7"/>
      <c r="P74" s="7"/>
      <c r="Q74" s="7"/>
      <c r="R74" s="7"/>
      <c r="S74" s="7"/>
      <c r="T74" s="7">
        <v>15</v>
      </c>
      <c r="U74" s="15">
        <f t="shared" si="6"/>
        <v>450000</v>
      </c>
    </row>
    <row r="75" spans="1:21" s="8" customFormat="1" x14ac:dyDescent="0.35">
      <c r="A75" s="7">
        <v>11</v>
      </c>
      <c r="B75" s="27" t="s">
        <v>68</v>
      </c>
      <c r="C75" s="7" t="s">
        <v>59</v>
      </c>
      <c r="D75" s="7">
        <v>20</v>
      </c>
      <c r="E75" s="10">
        <v>50000</v>
      </c>
      <c r="F75" s="10">
        <f>D75*E75</f>
        <v>1000000</v>
      </c>
      <c r="G75" s="7" t="s">
        <v>13</v>
      </c>
      <c r="H75" s="7" t="s">
        <v>15</v>
      </c>
      <c r="I75" s="7" t="s">
        <v>12</v>
      </c>
      <c r="J75" s="7"/>
      <c r="K75" s="7"/>
      <c r="L75" s="7"/>
      <c r="M75" s="26" t="s">
        <v>14</v>
      </c>
      <c r="N75" s="7"/>
      <c r="O75" s="7"/>
      <c r="P75" s="7"/>
      <c r="Q75" s="7"/>
      <c r="R75" s="7"/>
      <c r="S75" s="7"/>
      <c r="T75" s="7">
        <v>20</v>
      </c>
      <c r="U75" s="15">
        <f t="shared" si="6"/>
        <v>1000000</v>
      </c>
    </row>
    <row r="76" spans="1:21" s="8" customFormat="1" x14ac:dyDescent="0.35">
      <c r="A76" s="7">
        <v>12</v>
      </c>
      <c r="B76" s="47" t="s">
        <v>109</v>
      </c>
      <c r="C76" s="7" t="s">
        <v>44</v>
      </c>
      <c r="D76" s="7">
        <v>25</v>
      </c>
      <c r="E76" s="10">
        <v>28560</v>
      </c>
      <c r="F76" s="10">
        <v>714000</v>
      </c>
      <c r="G76" s="7" t="s">
        <v>13</v>
      </c>
      <c r="H76" s="7" t="s">
        <v>15</v>
      </c>
      <c r="I76" s="7" t="s">
        <v>12</v>
      </c>
      <c r="J76" s="7"/>
      <c r="K76" s="7"/>
      <c r="L76" s="7"/>
      <c r="M76" s="26" t="s">
        <v>14</v>
      </c>
      <c r="N76" s="7"/>
      <c r="O76" s="7"/>
      <c r="P76" s="7"/>
      <c r="Q76" s="7"/>
      <c r="R76" s="7"/>
      <c r="S76" s="7"/>
      <c r="T76" s="7">
        <v>15</v>
      </c>
      <c r="U76" s="15">
        <f t="shared" si="6"/>
        <v>714000</v>
      </c>
    </row>
    <row r="77" spans="1:21" x14ac:dyDescent="0.35">
      <c r="A77" s="37"/>
      <c r="B77" s="38"/>
      <c r="C77" s="37"/>
      <c r="D77" s="37"/>
      <c r="E77" s="39"/>
      <c r="F77" s="10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15"/>
    </row>
    <row r="78" spans="1:21" x14ac:dyDescent="0.35">
      <c r="A78" s="7"/>
      <c r="B78" s="7"/>
      <c r="C78" s="7"/>
      <c r="D78" s="7"/>
      <c r="E78" s="10"/>
      <c r="F78" s="29">
        <f>SUM(F69:F77)</f>
        <v>4489000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15"/>
    </row>
    <row r="79" spans="1:21" s="8" customFormat="1" x14ac:dyDescent="0.35">
      <c r="A79" s="62" t="s">
        <v>48</v>
      </c>
      <c r="B79" s="63"/>
      <c r="C79" s="7"/>
      <c r="D79" s="7"/>
      <c r="E79" s="10"/>
      <c r="F79" s="10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15"/>
    </row>
    <row r="80" spans="1:21" s="8" customFormat="1" x14ac:dyDescent="0.35">
      <c r="A80" s="7">
        <v>1</v>
      </c>
      <c r="B80" s="7" t="s">
        <v>70</v>
      </c>
      <c r="C80" s="7" t="s">
        <v>31</v>
      </c>
      <c r="D80" s="7">
        <v>10</v>
      </c>
      <c r="E80" s="10">
        <v>28000</v>
      </c>
      <c r="F80" s="10">
        <f t="shared" ref="F80:F81" si="7">D80*E80</f>
        <v>280000</v>
      </c>
      <c r="G80" s="7" t="s">
        <v>13</v>
      </c>
      <c r="H80" s="7" t="s">
        <v>15</v>
      </c>
      <c r="I80" s="7" t="s">
        <v>12</v>
      </c>
      <c r="J80" s="26" t="s">
        <v>14</v>
      </c>
      <c r="K80" s="26" t="s">
        <v>14</v>
      </c>
      <c r="L80" s="26" t="s">
        <v>14</v>
      </c>
      <c r="M80" s="26"/>
      <c r="N80" s="7"/>
      <c r="O80" s="7"/>
      <c r="P80" s="7"/>
      <c r="Q80" s="7"/>
      <c r="R80" s="7"/>
      <c r="S80" s="7"/>
      <c r="T80" s="7">
        <v>10</v>
      </c>
      <c r="U80" s="15">
        <f t="shared" si="6"/>
        <v>280000</v>
      </c>
    </row>
    <row r="81" spans="1:21" s="8" customFormat="1" x14ac:dyDescent="0.35">
      <c r="A81" s="7">
        <v>2</v>
      </c>
      <c r="B81" s="7" t="s">
        <v>70</v>
      </c>
      <c r="C81" s="7" t="s">
        <v>31</v>
      </c>
      <c r="D81" s="7">
        <v>10</v>
      </c>
      <c r="E81" s="10">
        <v>28000</v>
      </c>
      <c r="F81" s="10">
        <f t="shared" si="7"/>
        <v>280000</v>
      </c>
      <c r="G81" s="7" t="s">
        <v>13</v>
      </c>
      <c r="H81" s="7" t="s">
        <v>15</v>
      </c>
      <c r="I81" s="7" t="s">
        <v>12</v>
      </c>
      <c r="J81" s="26" t="s">
        <v>14</v>
      </c>
      <c r="K81" s="26" t="s">
        <v>14</v>
      </c>
      <c r="L81" s="26" t="s">
        <v>14</v>
      </c>
      <c r="M81" s="26"/>
      <c r="N81" s="7"/>
      <c r="O81" s="7"/>
      <c r="P81" s="7"/>
      <c r="Q81" s="7"/>
      <c r="R81" s="7"/>
      <c r="S81" s="7"/>
      <c r="T81" s="7">
        <v>10</v>
      </c>
      <c r="U81" s="15">
        <f t="shared" si="6"/>
        <v>280000</v>
      </c>
    </row>
    <row r="82" spans="1:21" s="8" customFormat="1" x14ac:dyDescent="0.35">
      <c r="A82" s="7">
        <v>3</v>
      </c>
      <c r="B82" s="7" t="s">
        <v>70</v>
      </c>
      <c r="C82" s="7" t="s">
        <v>31</v>
      </c>
      <c r="D82" s="7">
        <v>8</v>
      </c>
      <c r="E82" s="10"/>
      <c r="F82" s="10">
        <v>2435990</v>
      </c>
      <c r="G82" s="7" t="s">
        <v>13</v>
      </c>
      <c r="H82" s="7" t="s">
        <v>15</v>
      </c>
      <c r="I82" s="7" t="s">
        <v>12</v>
      </c>
      <c r="J82" s="26" t="s">
        <v>14</v>
      </c>
      <c r="K82" s="26" t="s">
        <v>14</v>
      </c>
      <c r="L82" s="26" t="s">
        <v>14</v>
      </c>
      <c r="M82" s="26"/>
      <c r="N82" s="7"/>
      <c r="O82" s="7"/>
      <c r="P82" s="7"/>
      <c r="Q82" s="7"/>
      <c r="R82" s="7"/>
      <c r="S82" s="7"/>
      <c r="T82" s="7">
        <v>8</v>
      </c>
      <c r="U82" s="15">
        <v>2435990</v>
      </c>
    </row>
    <row r="83" spans="1:21" x14ac:dyDescent="0.35">
      <c r="A83" s="7"/>
      <c r="B83" s="7"/>
      <c r="C83" s="7"/>
      <c r="D83" s="7"/>
      <c r="E83" s="10"/>
      <c r="F83" s="29">
        <f>SUM(F80:F82)</f>
        <v>2995990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15"/>
    </row>
    <row r="84" spans="1:21" x14ac:dyDescent="0.35">
      <c r="A84" s="7"/>
      <c r="B84" s="7"/>
      <c r="C84" s="7"/>
      <c r="D84" s="7"/>
      <c r="E84" s="18"/>
      <c r="F84" s="31"/>
      <c r="G84" s="7"/>
      <c r="H84" s="7"/>
      <c r="I84" s="7"/>
      <c r="J84" s="26"/>
      <c r="K84" s="7"/>
      <c r="L84" s="7"/>
      <c r="M84" s="7"/>
      <c r="N84" s="7"/>
      <c r="O84" s="7"/>
      <c r="P84" s="7"/>
      <c r="Q84" s="7"/>
      <c r="R84" s="7"/>
      <c r="S84" s="7"/>
      <c r="T84" s="7"/>
      <c r="U84" s="15"/>
    </row>
    <row r="85" spans="1:21" x14ac:dyDescent="0.35">
      <c r="A85" s="62" t="s">
        <v>49</v>
      </c>
      <c r="B85" s="63"/>
      <c r="C85" s="7"/>
      <c r="D85" s="7"/>
      <c r="E85" s="18"/>
      <c r="F85" s="31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15"/>
    </row>
    <row r="86" spans="1:21" s="8" customFormat="1" x14ac:dyDescent="0.35">
      <c r="A86" s="7">
        <v>1</v>
      </c>
      <c r="B86" s="7" t="s">
        <v>71</v>
      </c>
      <c r="C86" s="7" t="s">
        <v>39</v>
      </c>
      <c r="D86" s="7">
        <v>1</v>
      </c>
      <c r="E86" s="18">
        <v>1400000</v>
      </c>
      <c r="F86" s="48">
        <f>D86*E86</f>
        <v>1400000</v>
      </c>
      <c r="G86" s="7" t="s">
        <v>13</v>
      </c>
      <c r="H86" s="7" t="s">
        <v>15</v>
      </c>
      <c r="I86" s="7" t="s">
        <v>12</v>
      </c>
      <c r="J86" s="26" t="s">
        <v>14</v>
      </c>
      <c r="K86" s="26" t="s">
        <v>14</v>
      </c>
      <c r="L86" s="26" t="s">
        <v>14</v>
      </c>
      <c r="M86" s="7"/>
      <c r="N86" s="7"/>
      <c r="O86" s="7"/>
      <c r="P86" s="7"/>
      <c r="Q86" s="7"/>
      <c r="R86" s="7"/>
      <c r="S86" s="7"/>
      <c r="T86" s="7">
        <v>1</v>
      </c>
      <c r="U86" s="15">
        <f>D86*E86</f>
        <v>1400000</v>
      </c>
    </row>
    <row r="87" spans="1:21" ht="58" x14ac:dyDescent="0.35">
      <c r="A87" s="7">
        <v>2</v>
      </c>
      <c r="B87" s="17" t="s">
        <v>101</v>
      </c>
      <c r="C87" s="7" t="s">
        <v>26</v>
      </c>
      <c r="D87" s="7">
        <v>160000</v>
      </c>
      <c r="E87" s="10">
        <v>5</v>
      </c>
      <c r="F87" s="48">
        <v>800000</v>
      </c>
      <c r="G87" s="7"/>
      <c r="I87" s="7"/>
      <c r="J87" s="26"/>
      <c r="K87" s="26"/>
      <c r="L87" s="26"/>
      <c r="M87" s="7"/>
      <c r="N87" s="7"/>
      <c r="O87" s="7"/>
      <c r="P87" s="7"/>
      <c r="Q87" s="7"/>
      <c r="R87" s="7"/>
      <c r="S87" s="7"/>
      <c r="T87" s="7">
        <v>160000</v>
      </c>
      <c r="U87" s="15">
        <f>D87*E87</f>
        <v>800000</v>
      </c>
    </row>
    <row r="88" spans="1:21" x14ac:dyDescent="0.35">
      <c r="A88" s="7">
        <v>3</v>
      </c>
      <c r="B88" s="17" t="s">
        <v>110</v>
      </c>
      <c r="C88" s="7" t="s">
        <v>111</v>
      </c>
      <c r="D88" s="7">
        <v>1</v>
      </c>
      <c r="E88" s="10">
        <v>236000</v>
      </c>
      <c r="F88" s="48">
        <f>D88*E88</f>
        <v>236000</v>
      </c>
      <c r="G88" s="7"/>
      <c r="H88" s="7"/>
      <c r="I88" s="7"/>
      <c r="J88" s="26"/>
      <c r="K88" s="26"/>
      <c r="L88" s="26"/>
      <c r="M88" s="7"/>
      <c r="N88" s="7"/>
      <c r="O88" s="7"/>
      <c r="P88" s="7"/>
      <c r="Q88" s="7"/>
      <c r="R88" s="7"/>
      <c r="S88" s="7"/>
      <c r="T88" s="7">
        <v>1</v>
      </c>
      <c r="U88" s="15">
        <v>236000</v>
      </c>
    </row>
    <row r="89" spans="1:21" x14ac:dyDescent="0.35">
      <c r="A89" s="7"/>
      <c r="B89" s="17"/>
      <c r="C89" s="7"/>
      <c r="D89" s="7"/>
      <c r="E89" s="10"/>
      <c r="F89" s="31">
        <f>SUM(F86:F88)</f>
        <v>2436000</v>
      </c>
      <c r="G89" s="7"/>
      <c r="H89" s="7"/>
      <c r="I89" s="7"/>
      <c r="J89" s="26"/>
      <c r="K89" s="26"/>
      <c r="L89" s="26"/>
      <c r="M89" s="7"/>
      <c r="N89" s="7"/>
      <c r="O89" s="7"/>
      <c r="P89" s="7"/>
      <c r="Q89" s="7"/>
      <c r="R89" s="7"/>
      <c r="S89" s="7"/>
      <c r="T89" s="7"/>
      <c r="U89" s="15"/>
    </row>
    <row r="90" spans="1:21" x14ac:dyDescent="0.35">
      <c r="A90" s="7"/>
      <c r="B90" s="17"/>
      <c r="C90" s="7"/>
      <c r="D90" s="7"/>
      <c r="E90" s="10"/>
      <c r="F90" s="31"/>
      <c r="G90" s="7"/>
      <c r="H90" s="7"/>
      <c r="I90" s="7"/>
      <c r="J90" s="26"/>
      <c r="K90" s="26"/>
      <c r="L90" s="26"/>
      <c r="M90" s="7"/>
      <c r="N90" s="7"/>
      <c r="O90" s="7"/>
      <c r="P90" s="7"/>
      <c r="Q90" s="7"/>
      <c r="R90" s="7"/>
      <c r="S90" s="7"/>
      <c r="T90" s="7"/>
      <c r="U90" s="15"/>
    </row>
    <row r="91" spans="1:21" x14ac:dyDescent="0.35">
      <c r="A91" s="7"/>
      <c r="B91" s="17"/>
      <c r="C91" s="7"/>
      <c r="D91" s="7"/>
      <c r="E91" s="10"/>
      <c r="F91" s="31"/>
      <c r="G91" s="7"/>
      <c r="H91" s="7"/>
      <c r="I91" s="7"/>
      <c r="J91" s="26"/>
      <c r="K91" s="26"/>
      <c r="L91" s="26"/>
      <c r="M91" s="7"/>
      <c r="N91" s="7"/>
      <c r="O91" s="7"/>
      <c r="P91" s="7"/>
      <c r="Q91" s="7"/>
      <c r="R91" s="7"/>
      <c r="S91" s="7"/>
      <c r="T91" s="7"/>
      <c r="U91" s="15"/>
    </row>
    <row r="92" spans="1:21" s="8" customFormat="1" x14ac:dyDescent="0.35">
      <c r="A92" s="7"/>
      <c r="B92" s="7"/>
      <c r="C92" s="7"/>
      <c r="D92" s="7"/>
      <c r="E92" s="10"/>
      <c r="F92" s="30"/>
      <c r="G92" s="30"/>
      <c r="H92" s="30"/>
      <c r="I92" s="7"/>
      <c r="J92" s="26"/>
      <c r="K92" s="26"/>
      <c r="L92" s="26"/>
      <c r="M92" s="30"/>
      <c r="N92" s="30"/>
      <c r="O92" s="30"/>
      <c r="P92" s="30"/>
      <c r="Q92" s="30"/>
      <c r="R92" s="30"/>
      <c r="S92" s="30"/>
      <c r="T92" s="30"/>
      <c r="U92" s="15"/>
    </row>
    <row r="93" spans="1:21" s="8" customFormat="1" x14ac:dyDescent="0.35">
      <c r="A93" s="7"/>
      <c r="B93" s="7"/>
      <c r="C93" s="7"/>
      <c r="D93" s="7"/>
      <c r="E93" s="10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15"/>
    </row>
    <row r="94" spans="1:21" s="8" customFormat="1" x14ac:dyDescent="0.35">
      <c r="A94" s="7"/>
      <c r="B94" s="7"/>
      <c r="C94" s="7"/>
      <c r="D94" s="7"/>
      <c r="E94" s="30"/>
      <c r="F94" s="16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15"/>
    </row>
    <row r="95" spans="1:21" s="8" customFormat="1" x14ac:dyDescent="0.35">
      <c r="A95" s="62" t="s">
        <v>121</v>
      </c>
      <c r="B95" s="63"/>
      <c r="C95" s="7"/>
      <c r="D95" s="7"/>
      <c r="E95" s="18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15"/>
    </row>
    <row r="96" spans="1:21" s="8" customFormat="1" x14ac:dyDescent="0.35">
      <c r="A96" s="30">
        <v>1</v>
      </c>
      <c r="B96" s="30" t="s">
        <v>100</v>
      </c>
      <c r="C96" s="30" t="s">
        <v>72</v>
      </c>
      <c r="D96" s="30">
        <v>1</v>
      </c>
      <c r="E96" s="18">
        <v>300000</v>
      </c>
      <c r="F96" s="7">
        <f>D96*E96</f>
        <v>300000</v>
      </c>
      <c r="G96" s="7" t="s">
        <v>13</v>
      </c>
      <c r="H96" s="7" t="s">
        <v>15</v>
      </c>
      <c r="I96" s="7" t="s">
        <v>12</v>
      </c>
      <c r="J96" s="7" t="s">
        <v>14</v>
      </c>
      <c r="K96" s="26" t="s">
        <v>14</v>
      </c>
      <c r="L96" s="26" t="s">
        <v>14</v>
      </c>
      <c r="M96" s="7"/>
      <c r="N96" s="7"/>
      <c r="O96" s="7"/>
      <c r="P96" s="7"/>
      <c r="Q96" s="7"/>
      <c r="R96" s="7"/>
      <c r="S96" s="7"/>
      <c r="T96" s="7">
        <v>1</v>
      </c>
      <c r="U96" s="15">
        <v>300000</v>
      </c>
    </row>
    <row r="97" spans="1:726" s="8" customFormat="1" x14ac:dyDescent="0.35">
      <c r="A97" s="7">
        <v>2</v>
      </c>
      <c r="B97" s="7" t="s">
        <v>103</v>
      </c>
      <c r="C97" s="7" t="s">
        <v>18</v>
      </c>
      <c r="D97" s="7">
        <v>1</v>
      </c>
      <c r="E97" s="7">
        <v>3568061</v>
      </c>
      <c r="F97" s="10">
        <v>3568061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>
        <v>1</v>
      </c>
      <c r="U97" s="15">
        <v>3568061</v>
      </c>
    </row>
    <row r="98" spans="1:726" s="8" customFormat="1" x14ac:dyDescent="0.35">
      <c r="A98" s="7"/>
      <c r="B98" s="7"/>
      <c r="C98" s="7"/>
      <c r="D98" s="7"/>
      <c r="E98" s="18"/>
      <c r="F98" s="29">
        <f>SUM(F96:F97)</f>
        <v>3868061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15"/>
    </row>
    <row r="99" spans="1:726" x14ac:dyDescent="0.35">
      <c r="A99" s="7"/>
      <c r="B99" s="7"/>
      <c r="C99" s="7"/>
      <c r="D99" s="7"/>
      <c r="E99" s="7"/>
      <c r="F99" s="7"/>
      <c r="G99" s="7"/>
      <c r="H99" s="7"/>
      <c r="I99" s="7"/>
      <c r="J99" s="26"/>
      <c r="K99" s="26"/>
      <c r="L99" s="26"/>
      <c r="M99" s="26"/>
      <c r="N99" s="7"/>
      <c r="O99" s="7"/>
      <c r="P99" s="7"/>
      <c r="Q99" s="7"/>
      <c r="R99" s="7"/>
      <c r="S99" s="7"/>
      <c r="T99" s="7"/>
      <c r="U99" s="15"/>
    </row>
    <row r="100" spans="1:726" x14ac:dyDescent="0.35">
      <c r="A100" s="16" t="s">
        <v>122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26"/>
      <c r="M100" s="26"/>
      <c r="N100" s="7"/>
      <c r="O100" s="7"/>
      <c r="P100" s="7"/>
      <c r="Q100" s="7"/>
      <c r="R100" s="7"/>
      <c r="S100" s="7"/>
      <c r="T100" s="7"/>
      <c r="U100" s="15"/>
    </row>
    <row r="101" spans="1:726" s="8" customFormat="1" ht="13.5" customHeight="1" x14ac:dyDescent="0.35">
      <c r="A101" s="7">
        <v>1</v>
      </c>
      <c r="B101" s="17" t="s">
        <v>104</v>
      </c>
      <c r="C101" s="7" t="s">
        <v>105</v>
      </c>
      <c r="D101" s="7">
        <v>1</v>
      </c>
      <c r="E101" s="7">
        <v>323500</v>
      </c>
      <c r="F101" s="31">
        <f>D101*E101</f>
        <v>323500</v>
      </c>
      <c r="G101" s="7"/>
      <c r="H101" s="7"/>
      <c r="I101" s="7"/>
      <c r="J101" s="7"/>
      <c r="K101" s="7"/>
      <c r="L101" s="26"/>
      <c r="M101" s="26"/>
      <c r="N101" s="7"/>
      <c r="O101" s="7"/>
      <c r="P101" s="7"/>
      <c r="Q101" s="7"/>
      <c r="R101" s="7"/>
      <c r="S101" s="7"/>
      <c r="T101" s="7">
        <v>1</v>
      </c>
      <c r="U101" s="15">
        <v>323500</v>
      </c>
    </row>
    <row r="102" spans="1:726" s="8" customFormat="1" x14ac:dyDescent="0.3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15"/>
    </row>
    <row r="103" spans="1:726" s="8" customFormat="1" x14ac:dyDescent="0.35">
      <c r="A103" s="7"/>
      <c r="B103" s="7"/>
      <c r="C103" s="7"/>
      <c r="D103" s="7"/>
      <c r="E103" s="7"/>
      <c r="F103" s="7"/>
      <c r="G103" s="30"/>
      <c r="H103" s="30"/>
      <c r="I103" s="7"/>
      <c r="J103" s="26"/>
      <c r="K103" s="26"/>
      <c r="L103" s="26"/>
      <c r="M103" s="26"/>
      <c r="N103" s="7"/>
      <c r="O103" s="7"/>
      <c r="P103" s="7"/>
      <c r="Q103" s="7"/>
      <c r="R103" s="7"/>
      <c r="S103" s="7"/>
      <c r="T103" s="7"/>
      <c r="U103" s="15"/>
    </row>
    <row r="104" spans="1:726" s="8" customFormat="1" x14ac:dyDescent="0.35">
      <c r="A104" s="7"/>
      <c r="B104" s="7"/>
      <c r="C104" s="7"/>
      <c r="D104" s="7"/>
      <c r="E104" s="7"/>
      <c r="F104" s="7"/>
      <c r="G104" s="30"/>
      <c r="H104" s="30"/>
      <c r="I104" s="7"/>
      <c r="J104" s="26"/>
      <c r="K104" s="26"/>
      <c r="L104" s="26"/>
      <c r="M104" s="26"/>
      <c r="N104" s="7"/>
      <c r="O104" s="7"/>
      <c r="P104" s="7"/>
      <c r="Q104" s="7"/>
      <c r="R104" s="7"/>
      <c r="S104" s="7"/>
      <c r="T104" s="7"/>
      <c r="U104" s="15"/>
    </row>
    <row r="105" spans="1:726" s="8" customFormat="1" x14ac:dyDescent="0.35">
      <c r="A105" s="7"/>
      <c r="B105" s="7"/>
      <c r="C105" s="7"/>
      <c r="D105" s="7"/>
      <c r="E105" s="18"/>
      <c r="F105" s="7"/>
      <c r="G105" s="30"/>
      <c r="H105" s="30"/>
      <c r="I105" s="7"/>
      <c r="J105" s="26"/>
      <c r="K105" s="26"/>
      <c r="L105" s="26"/>
      <c r="M105" s="26"/>
      <c r="N105" s="7"/>
      <c r="O105" s="7"/>
      <c r="P105" s="7"/>
      <c r="Q105" s="7"/>
      <c r="R105" s="7"/>
      <c r="S105" s="7"/>
      <c r="T105" s="7"/>
      <c r="U105" s="15"/>
    </row>
    <row r="106" spans="1:726" x14ac:dyDescent="0.35">
      <c r="A106" s="8"/>
      <c r="B106" s="8"/>
      <c r="C106" s="8"/>
      <c r="D106" s="8"/>
      <c r="E106" s="16" t="s">
        <v>57</v>
      </c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  <c r="IC106" s="8"/>
      <c r="ID106" s="8"/>
      <c r="IE106" s="8"/>
      <c r="IF106" s="8"/>
      <c r="IG106" s="8"/>
      <c r="IH106" s="8"/>
      <c r="II106" s="8"/>
      <c r="IJ106" s="8"/>
      <c r="IK106" s="8"/>
      <c r="IL106" s="8"/>
      <c r="IM106" s="8"/>
      <c r="IN106" s="8"/>
      <c r="IO106" s="8"/>
      <c r="IP106" s="8"/>
      <c r="IQ106" s="8"/>
      <c r="IR106" s="8"/>
      <c r="IS106" s="8"/>
      <c r="IT106" s="8"/>
      <c r="IU106" s="8"/>
      <c r="IV106" s="8"/>
      <c r="IW106" s="8"/>
      <c r="IX106" s="8"/>
      <c r="IY106" s="8"/>
      <c r="IZ106" s="8"/>
      <c r="JA106" s="8"/>
      <c r="JB106" s="8"/>
      <c r="JC106" s="8"/>
      <c r="JD106" s="8"/>
      <c r="JE106" s="8"/>
      <c r="JF106" s="8"/>
      <c r="JG106" s="8"/>
      <c r="JH106" s="8"/>
      <c r="JI106" s="8"/>
      <c r="JJ106" s="8"/>
      <c r="JK106" s="8"/>
      <c r="JL106" s="8"/>
      <c r="JM106" s="8"/>
      <c r="JN106" s="8"/>
      <c r="JO106" s="8"/>
      <c r="JP106" s="8"/>
      <c r="JQ106" s="8"/>
      <c r="JR106" s="8"/>
      <c r="JS106" s="8"/>
      <c r="JT106" s="8"/>
      <c r="JU106" s="8"/>
      <c r="JV106" s="8"/>
      <c r="JW106" s="8"/>
      <c r="JX106" s="8"/>
      <c r="JY106" s="8"/>
      <c r="JZ106" s="8"/>
      <c r="KA106" s="8"/>
      <c r="KB106" s="8"/>
      <c r="KC106" s="8"/>
      <c r="KD106" s="8"/>
      <c r="KE106" s="8"/>
      <c r="KF106" s="8"/>
      <c r="KG106" s="8"/>
      <c r="KH106" s="8"/>
      <c r="KI106" s="8"/>
      <c r="KJ106" s="8"/>
      <c r="KK106" s="8"/>
      <c r="KL106" s="8"/>
      <c r="KM106" s="8"/>
      <c r="KN106" s="8"/>
      <c r="KO106" s="8"/>
      <c r="KP106" s="8"/>
      <c r="KQ106" s="8"/>
      <c r="KR106" s="8"/>
      <c r="KS106" s="8"/>
      <c r="KT106" s="8"/>
      <c r="KU106" s="8"/>
      <c r="KV106" s="8"/>
      <c r="KW106" s="8"/>
      <c r="KX106" s="8"/>
      <c r="KY106" s="8"/>
      <c r="KZ106" s="8"/>
      <c r="LA106" s="8"/>
      <c r="LB106" s="8"/>
      <c r="LC106" s="8"/>
      <c r="LD106" s="8"/>
      <c r="LE106" s="8"/>
      <c r="LF106" s="8"/>
      <c r="LG106" s="8"/>
    </row>
    <row r="107" spans="1:726" x14ac:dyDescent="0.35">
      <c r="A107" s="8"/>
      <c r="B107" s="8"/>
      <c r="C107" s="8"/>
      <c r="D107" s="8"/>
      <c r="E107" s="29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H107" s="8"/>
      <c r="II107" s="8"/>
      <c r="IJ107" s="8"/>
      <c r="IK107" s="8"/>
      <c r="IL107" s="8"/>
      <c r="IM107" s="8"/>
      <c r="IN107" s="8"/>
      <c r="IO107" s="8"/>
      <c r="IP107" s="8"/>
      <c r="IQ107" s="8"/>
      <c r="IR107" s="8"/>
      <c r="IS107" s="8"/>
      <c r="IT107" s="8"/>
      <c r="IU107" s="8"/>
      <c r="IV107" s="8"/>
      <c r="IW107" s="8"/>
      <c r="IX107" s="8"/>
      <c r="IY107" s="8"/>
      <c r="IZ107" s="8"/>
      <c r="JA107" s="8"/>
      <c r="JB107" s="8"/>
      <c r="JC107" s="8"/>
      <c r="JD107" s="8"/>
      <c r="JE107" s="8"/>
      <c r="JF107" s="8"/>
      <c r="JG107" s="8"/>
      <c r="JH107" s="8"/>
      <c r="JI107" s="8"/>
      <c r="JJ107" s="8"/>
      <c r="JK107" s="8"/>
      <c r="JL107" s="8"/>
      <c r="JM107" s="8"/>
      <c r="JN107" s="8"/>
      <c r="JO107" s="8"/>
      <c r="JP107" s="8"/>
      <c r="JQ107" s="8"/>
      <c r="JR107" s="8"/>
      <c r="JS107" s="8"/>
      <c r="JT107" s="8"/>
      <c r="JU107" s="8"/>
      <c r="JV107" s="8"/>
      <c r="JW107" s="8"/>
      <c r="JX107" s="8"/>
      <c r="JY107" s="8"/>
      <c r="JZ107" s="8"/>
      <c r="KA107" s="8"/>
      <c r="KB107" s="8"/>
      <c r="KC107" s="8"/>
      <c r="KD107" s="8"/>
      <c r="KE107" s="8"/>
      <c r="KF107" s="8"/>
      <c r="KG107" s="8"/>
      <c r="KH107" s="8"/>
      <c r="KI107" s="8"/>
      <c r="KJ107" s="8"/>
      <c r="KK107" s="8"/>
      <c r="KL107" s="8"/>
      <c r="KM107" s="8"/>
      <c r="KN107" s="8"/>
      <c r="KO107" s="8"/>
      <c r="KP107" s="8"/>
      <c r="KQ107" s="8"/>
      <c r="KR107" s="8"/>
      <c r="KS107" s="8"/>
      <c r="KT107" s="8"/>
      <c r="KU107" s="8"/>
      <c r="KV107" s="8"/>
      <c r="KW107" s="8"/>
      <c r="KX107" s="8"/>
      <c r="KY107" s="8"/>
      <c r="KZ107" s="8"/>
      <c r="LA107" s="8"/>
      <c r="LB107" s="8"/>
      <c r="LC107" s="8"/>
      <c r="LD107" s="8"/>
      <c r="LE107" s="8"/>
      <c r="LF107" s="8"/>
      <c r="LG107" s="8"/>
    </row>
    <row r="108" spans="1:726" x14ac:dyDescent="0.35">
      <c r="A108" s="8"/>
      <c r="B108" s="64" t="s">
        <v>45</v>
      </c>
      <c r="C108" s="65"/>
      <c r="D108" s="66"/>
      <c r="E108" s="29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  <c r="IC108" s="8"/>
      <c r="ID108" s="8"/>
      <c r="IE108" s="8"/>
      <c r="IF108" s="8"/>
      <c r="IG108" s="8"/>
      <c r="IH108" s="8"/>
      <c r="II108" s="8"/>
      <c r="IJ108" s="8"/>
      <c r="IK108" s="8"/>
      <c r="IL108" s="8"/>
      <c r="IM108" s="8"/>
      <c r="IN108" s="8"/>
      <c r="IO108" s="8"/>
      <c r="IP108" s="8"/>
      <c r="IQ108" s="8"/>
      <c r="IR108" s="8"/>
      <c r="IS108" s="8"/>
      <c r="IT108" s="8"/>
      <c r="IU108" s="8"/>
      <c r="IV108" s="8"/>
      <c r="IW108" s="8"/>
      <c r="IX108" s="8"/>
      <c r="IY108" s="8"/>
      <c r="IZ108" s="8"/>
      <c r="JA108" s="8"/>
      <c r="JB108" s="8"/>
      <c r="JC108" s="8"/>
      <c r="JD108" s="8"/>
      <c r="JE108" s="8"/>
      <c r="JF108" s="8"/>
      <c r="JG108" s="8"/>
      <c r="JH108" s="8"/>
      <c r="JI108" s="8"/>
      <c r="JJ108" s="8"/>
      <c r="JK108" s="8"/>
      <c r="JL108" s="8"/>
      <c r="JM108" s="8"/>
      <c r="JN108" s="8"/>
      <c r="JO108" s="8"/>
      <c r="JP108" s="8"/>
      <c r="JQ108" s="8"/>
      <c r="JR108" s="8"/>
      <c r="JS108" s="8"/>
      <c r="JT108" s="8"/>
      <c r="JU108" s="8"/>
      <c r="JV108" s="8"/>
      <c r="JW108" s="8"/>
      <c r="JX108" s="8"/>
      <c r="JY108" s="8"/>
      <c r="JZ108" s="8"/>
      <c r="KA108" s="8"/>
      <c r="KB108" s="8"/>
      <c r="KC108" s="8"/>
      <c r="KD108" s="8"/>
      <c r="KE108" s="8"/>
      <c r="KF108" s="8"/>
      <c r="KG108" s="8"/>
      <c r="KH108" s="8"/>
      <c r="KI108" s="8"/>
      <c r="KJ108" s="8"/>
      <c r="KK108" s="8"/>
      <c r="KL108" s="8"/>
      <c r="KM108" s="8"/>
      <c r="KN108" s="8"/>
      <c r="KO108" s="8"/>
      <c r="KP108" s="8"/>
      <c r="KQ108" s="8"/>
      <c r="KR108" s="8"/>
      <c r="KS108" s="8"/>
      <c r="KT108" s="8"/>
      <c r="KU108" s="8"/>
      <c r="KV108" s="8"/>
      <c r="KW108" s="8"/>
      <c r="KX108" s="8"/>
      <c r="KY108" s="8"/>
      <c r="KZ108" s="8"/>
      <c r="LA108" s="8"/>
      <c r="LB108" s="8"/>
      <c r="LC108" s="8"/>
      <c r="LD108" s="8"/>
      <c r="LE108" s="8"/>
      <c r="LF108" s="8"/>
      <c r="LG108" s="8"/>
    </row>
    <row r="109" spans="1:726" x14ac:dyDescent="0.35">
      <c r="A109" s="8">
        <v>1</v>
      </c>
      <c r="B109" s="41" t="s">
        <v>112</v>
      </c>
      <c r="C109" s="42"/>
      <c r="D109" s="43"/>
      <c r="E109" s="29">
        <v>78000</v>
      </c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/>
      <c r="GS109" s="8"/>
      <c r="GT109" s="8"/>
      <c r="GU109" s="8"/>
      <c r="GV109" s="8"/>
      <c r="GW109" s="8"/>
      <c r="GX109" s="8"/>
      <c r="GY109" s="8"/>
      <c r="GZ109" s="8"/>
      <c r="HA109" s="8"/>
      <c r="HB109" s="8"/>
      <c r="HC109" s="8"/>
      <c r="HD109" s="8"/>
      <c r="HE109" s="8"/>
      <c r="HF109" s="8"/>
      <c r="HG109" s="8"/>
      <c r="HH109" s="8"/>
      <c r="HI109" s="8"/>
      <c r="HJ109" s="8"/>
      <c r="HK109" s="8"/>
      <c r="HL109" s="8"/>
      <c r="HM109" s="8"/>
      <c r="HN109" s="8"/>
      <c r="HO109" s="8"/>
      <c r="HP109" s="8"/>
      <c r="HQ109" s="8"/>
      <c r="HR109" s="8"/>
      <c r="HS109" s="8"/>
      <c r="HT109" s="8"/>
      <c r="HU109" s="8"/>
      <c r="HV109" s="8"/>
      <c r="HW109" s="8"/>
      <c r="HX109" s="8"/>
      <c r="HY109" s="8"/>
      <c r="HZ109" s="8"/>
      <c r="IA109" s="8"/>
      <c r="IB109" s="8"/>
      <c r="IC109" s="8"/>
      <c r="ID109" s="8"/>
      <c r="IE109" s="8"/>
      <c r="IF109" s="8"/>
      <c r="IG109" s="8"/>
      <c r="IH109" s="8"/>
      <c r="II109" s="8"/>
      <c r="IJ109" s="8"/>
      <c r="IK109" s="8"/>
      <c r="IL109" s="8"/>
      <c r="IM109" s="8"/>
      <c r="IN109" s="8"/>
      <c r="IO109" s="8"/>
      <c r="IP109" s="8"/>
      <c r="IQ109" s="8"/>
      <c r="IR109" s="8"/>
      <c r="IS109" s="8"/>
      <c r="IT109" s="8"/>
      <c r="IU109" s="8"/>
      <c r="IV109" s="8"/>
      <c r="IW109" s="8"/>
      <c r="IX109" s="8"/>
      <c r="IY109" s="8"/>
      <c r="IZ109" s="8"/>
      <c r="JA109" s="8"/>
      <c r="JB109" s="8"/>
      <c r="JC109" s="8"/>
      <c r="JD109" s="8"/>
      <c r="JE109" s="8"/>
      <c r="JF109" s="8"/>
      <c r="JG109" s="8"/>
      <c r="JH109" s="8"/>
      <c r="JI109" s="8"/>
      <c r="JJ109" s="8"/>
      <c r="JK109" s="8"/>
      <c r="JL109" s="8"/>
      <c r="JM109" s="8"/>
      <c r="JN109" s="8"/>
      <c r="JO109" s="8"/>
      <c r="JP109" s="8"/>
      <c r="JQ109" s="8"/>
      <c r="JR109" s="8"/>
      <c r="JS109" s="8"/>
      <c r="JT109" s="8"/>
      <c r="JU109" s="8"/>
      <c r="JV109" s="8"/>
      <c r="JW109" s="8"/>
      <c r="JX109" s="8"/>
      <c r="JY109" s="8"/>
      <c r="JZ109" s="8"/>
      <c r="KA109" s="8"/>
      <c r="KB109" s="8"/>
      <c r="KC109" s="8"/>
      <c r="KD109" s="8"/>
      <c r="KE109" s="8"/>
      <c r="KF109" s="8"/>
      <c r="KG109" s="8"/>
      <c r="KH109" s="8"/>
      <c r="KI109" s="8"/>
      <c r="KJ109" s="8"/>
      <c r="KK109" s="8"/>
      <c r="KL109" s="8"/>
      <c r="KM109" s="8"/>
      <c r="KN109" s="8"/>
      <c r="KO109" s="8"/>
      <c r="KP109" s="8"/>
      <c r="KQ109" s="8"/>
      <c r="KR109" s="8"/>
      <c r="KS109" s="8"/>
      <c r="KT109" s="8"/>
      <c r="KU109" s="8"/>
      <c r="KV109" s="8"/>
      <c r="KW109" s="8"/>
      <c r="KX109" s="8"/>
      <c r="KY109" s="8"/>
      <c r="KZ109" s="8"/>
      <c r="LA109" s="8"/>
      <c r="LB109" s="8"/>
      <c r="LC109" s="8"/>
      <c r="LD109" s="8"/>
      <c r="LE109" s="8"/>
      <c r="LF109" s="8"/>
      <c r="LG109" s="8"/>
    </row>
    <row r="110" spans="1:726" x14ac:dyDescent="0.35">
      <c r="A110" s="8">
        <v>2</v>
      </c>
      <c r="B110" s="70" t="s">
        <v>50</v>
      </c>
      <c r="C110" s="70"/>
      <c r="D110" s="70"/>
      <c r="E110" s="29">
        <v>80000</v>
      </c>
    </row>
    <row r="111" spans="1:726" x14ac:dyDescent="0.35">
      <c r="A111" s="8">
        <v>3</v>
      </c>
      <c r="B111" s="49" t="s">
        <v>51</v>
      </c>
      <c r="C111" s="49"/>
      <c r="D111" s="49"/>
      <c r="E111" s="29">
        <v>5606500.5199999996</v>
      </c>
    </row>
    <row r="112" spans="1:726" x14ac:dyDescent="0.35">
      <c r="A112">
        <v>4</v>
      </c>
      <c r="B112" s="49" t="s">
        <v>52</v>
      </c>
      <c r="C112" s="49"/>
      <c r="D112" s="49"/>
      <c r="E112" s="29">
        <v>1253602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8"/>
      <c r="GD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O112" s="8"/>
      <c r="GP112" s="8"/>
      <c r="GQ112" s="8"/>
      <c r="GR112" s="8"/>
      <c r="GS112" s="8"/>
      <c r="GT112" s="8"/>
      <c r="GU112" s="8"/>
      <c r="GV112" s="8"/>
      <c r="GW112" s="8"/>
      <c r="GX112" s="8"/>
      <c r="GY112" s="8"/>
      <c r="GZ112" s="8"/>
      <c r="HA112" s="8"/>
      <c r="HB112" s="8"/>
      <c r="HC112" s="8"/>
      <c r="HD112" s="8"/>
      <c r="HE112" s="8"/>
      <c r="HF112" s="8"/>
      <c r="HG112" s="8"/>
      <c r="HH112" s="8"/>
      <c r="HI112" s="8"/>
      <c r="HJ112" s="8"/>
      <c r="HK112" s="8"/>
      <c r="HL112" s="8"/>
      <c r="HM112" s="8"/>
      <c r="HN112" s="8"/>
      <c r="HO112" s="8"/>
      <c r="HP112" s="8"/>
      <c r="HQ112" s="8"/>
      <c r="HR112" s="8"/>
      <c r="HS112" s="8"/>
      <c r="HT112" s="8"/>
      <c r="HU112" s="8"/>
      <c r="HV112" s="8"/>
      <c r="HW112" s="8"/>
      <c r="HX112" s="8"/>
      <c r="HY112" s="8"/>
      <c r="HZ112" s="8"/>
      <c r="IA112" s="8"/>
      <c r="IB112" s="8"/>
      <c r="IC112" s="8"/>
      <c r="ID112" s="8"/>
      <c r="IE112" s="8"/>
      <c r="IF112" s="8"/>
      <c r="IG112" s="8"/>
      <c r="IH112" s="8"/>
      <c r="II112" s="8"/>
      <c r="IJ112" s="8"/>
      <c r="IK112" s="8"/>
      <c r="IL112" s="8"/>
      <c r="IM112" s="8"/>
      <c r="IN112" s="8"/>
      <c r="IO112" s="8"/>
      <c r="IP112" s="8"/>
      <c r="IQ112" s="8"/>
      <c r="IR112" s="8"/>
      <c r="IS112" s="8"/>
      <c r="IT112" s="8"/>
      <c r="IU112" s="8"/>
      <c r="IV112" s="8"/>
      <c r="IW112" s="8"/>
      <c r="IX112" s="8"/>
      <c r="IY112" s="8"/>
      <c r="IZ112" s="8"/>
      <c r="JA112" s="8"/>
      <c r="JB112" s="8"/>
      <c r="JC112" s="8"/>
      <c r="JD112" s="8"/>
      <c r="JE112" s="8"/>
      <c r="JF112" s="8"/>
      <c r="JG112" s="8"/>
      <c r="JH112" s="8"/>
      <c r="JI112" s="8"/>
      <c r="JJ112" s="8"/>
      <c r="JK112" s="8"/>
      <c r="JL112" s="8"/>
      <c r="JM112" s="8"/>
      <c r="JN112" s="8"/>
      <c r="JO112" s="8"/>
      <c r="JP112" s="8"/>
      <c r="JQ112" s="8"/>
      <c r="JR112" s="8"/>
      <c r="JS112" s="8"/>
      <c r="JT112" s="8"/>
      <c r="JU112" s="8"/>
      <c r="JV112" s="8"/>
      <c r="JW112" s="8"/>
      <c r="JX112" s="8"/>
      <c r="JY112" s="8"/>
      <c r="JZ112" s="8"/>
      <c r="KA112" s="8"/>
      <c r="KB112" s="8"/>
      <c r="KC112" s="8"/>
      <c r="KD112" s="8"/>
      <c r="KE112" s="8"/>
      <c r="KF112" s="8"/>
      <c r="KG112" s="8"/>
      <c r="KH112" s="8"/>
      <c r="KI112" s="8"/>
      <c r="KJ112" s="8"/>
      <c r="KK112" s="8"/>
      <c r="KL112" s="8"/>
      <c r="KM112" s="8"/>
      <c r="KN112" s="8"/>
      <c r="KO112" s="8"/>
      <c r="KP112" s="8"/>
      <c r="KQ112" s="8"/>
      <c r="KR112" s="8"/>
      <c r="KS112" s="8"/>
      <c r="KT112" s="8"/>
      <c r="KU112" s="8"/>
      <c r="KV112" s="8"/>
      <c r="KW112" s="8"/>
      <c r="KX112" s="8"/>
      <c r="KY112" s="8"/>
      <c r="KZ112" s="8"/>
      <c r="LA112" s="8"/>
      <c r="LB112" s="8"/>
      <c r="LC112" s="8"/>
      <c r="LD112" s="8"/>
      <c r="LE112" s="8"/>
      <c r="LF112" s="8"/>
      <c r="LG112" s="8"/>
      <c r="LH112" s="8"/>
      <c r="LI112" s="8"/>
      <c r="LJ112" s="8"/>
      <c r="LK112" s="8"/>
      <c r="LL112" s="8"/>
      <c r="LM112" s="8"/>
      <c r="LN112" s="8"/>
      <c r="LO112" s="8"/>
      <c r="LP112" s="8"/>
      <c r="LQ112" s="8"/>
      <c r="LR112" s="8"/>
      <c r="LS112" s="8"/>
      <c r="LT112" s="8"/>
      <c r="LU112" s="8"/>
      <c r="LV112" s="8"/>
      <c r="LW112" s="8"/>
      <c r="LX112" s="8"/>
      <c r="LY112" s="8"/>
      <c r="LZ112" s="8"/>
      <c r="MA112" s="8"/>
      <c r="MB112" s="8"/>
      <c r="MC112" s="8"/>
      <c r="MD112" s="8"/>
      <c r="ME112" s="8"/>
      <c r="MF112" s="8"/>
      <c r="MG112" s="8"/>
      <c r="MH112" s="8"/>
      <c r="MI112" s="8"/>
      <c r="MJ112" s="8"/>
      <c r="MK112" s="8"/>
      <c r="ML112" s="8"/>
      <c r="MM112" s="8"/>
      <c r="MN112" s="8"/>
      <c r="MO112" s="8"/>
      <c r="MP112" s="8"/>
      <c r="MQ112" s="8"/>
      <c r="MR112" s="8"/>
      <c r="MS112" s="8"/>
      <c r="MT112" s="8"/>
      <c r="MU112" s="8"/>
      <c r="MV112" s="8"/>
      <c r="MW112" s="8"/>
      <c r="MX112" s="8"/>
      <c r="MY112" s="8"/>
      <c r="MZ112" s="8"/>
      <c r="NA112" s="8"/>
      <c r="NB112" s="8"/>
      <c r="NC112" s="8"/>
      <c r="ND112" s="8"/>
      <c r="NE112" s="8"/>
      <c r="NF112" s="8"/>
      <c r="NG112" s="8"/>
      <c r="NH112" s="8"/>
      <c r="NI112" s="8"/>
      <c r="NJ112" s="8"/>
      <c r="NK112" s="8"/>
      <c r="NL112" s="8"/>
      <c r="NM112" s="8"/>
      <c r="NN112" s="8"/>
      <c r="NO112" s="8"/>
      <c r="NP112" s="8"/>
      <c r="NQ112" s="8"/>
      <c r="NR112" s="8"/>
      <c r="NS112" s="8"/>
      <c r="NT112" s="8"/>
      <c r="NU112" s="8"/>
      <c r="NV112" s="8"/>
      <c r="NW112" s="8"/>
      <c r="NX112" s="8"/>
      <c r="NY112" s="8"/>
      <c r="NZ112" s="8"/>
      <c r="OA112" s="8"/>
      <c r="OB112" s="8"/>
      <c r="OC112" s="8"/>
      <c r="OD112" s="8"/>
      <c r="OE112" s="8"/>
      <c r="OF112" s="8"/>
      <c r="OG112" s="8"/>
      <c r="OH112" s="8"/>
      <c r="OI112" s="8"/>
      <c r="OJ112" s="8"/>
      <c r="OK112" s="8"/>
      <c r="OL112" s="8"/>
      <c r="OM112" s="8"/>
      <c r="ON112" s="8"/>
      <c r="OO112" s="8"/>
      <c r="OP112" s="8"/>
      <c r="OQ112" s="8"/>
      <c r="OR112" s="8"/>
      <c r="OS112" s="8"/>
      <c r="OT112" s="8"/>
      <c r="OU112" s="8"/>
      <c r="OV112" s="8"/>
      <c r="OW112" s="8"/>
      <c r="OX112" s="8"/>
      <c r="OY112" s="8"/>
      <c r="OZ112" s="8"/>
      <c r="PA112" s="8"/>
      <c r="PB112" s="8"/>
      <c r="PC112" s="8"/>
      <c r="PD112" s="8"/>
      <c r="PE112" s="8"/>
      <c r="PF112" s="8"/>
      <c r="PG112" s="8"/>
      <c r="PH112" s="8"/>
      <c r="PI112" s="8"/>
      <c r="PJ112" s="8"/>
      <c r="PK112" s="8"/>
      <c r="PL112" s="8"/>
      <c r="PM112" s="8"/>
      <c r="PN112" s="8"/>
      <c r="PO112" s="8"/>
      <c r="PP112" s="8"/>
      <c r="PQ112" s="8"/>
      <c r="PR112" s="8"/>
      <c r="PS112" s="8"/>
      <c r="PT112" s="8"/>
      <c r="PU112" s="8"/>
      <c r="PV112" s="8"/>
      <c r="PW112" s="8"/>
      <c r="PX112" s="8"/>
      <c r="PY112" s="8"/>
      <c r="PZ112" s="8"/>
      <c r="QA112" s="8"/>
      <c r="QB112" s="8"/>
      <c r="QC112" s="8"/>
      <c r="QD112" s="8"/>
      <c r="QE112" s="8"/>
      <c r="QF112" s="8"/>
      <c r="QG112" s="8"/>
      <c r="QH112" s="8"/>
      <c r="QI112" s="8"/>
      <c r="QJ112" s="8"/>
      <c r="QK112" s="8"/>
      <c r="QL112" s="8"/>
      <c r="QM112" s="8"/>
      <c r="QN112" s="8"/>
      <c r="QO112" s="8"/>
      <c r="QP112" s="8"/>
      <c r="QQ112" s="8"/>
      <c r="QR112" s="8"/>
      <c r="QS112" s="8"/>
      <c r="QT112" s="8"/>
      <c r="QU112" s="8"/>
      <c r="QV112" s="8"/>
      <c r="QW112" s="8"/>
      <c r="QX112" s="8"/>
      <c r="QY112" s="8"/>
      <c r="QZ112" s="8"/>
      <c r="RA112" s="8"/>
      <c r="RB112" s="8"/>
      <c r="RC112" s="8"/>
      <c r="RD112" s="8"/>
      <c r="RE112" s="8"/>
      <c r="RF112" s="8"/>
      <c r="RG112" s="8"/>
      <c r="RH112" s="8"/>
      <c r="RI112" s="8"/>
      <c r="RJ112" s="8"/>
      <c r="RK112" s="8"/>
      <c r="RL112" s="8"/>
      <c r="RM112" s="8"/>
      <c r="RN112" s="8"/>
      <c r="RO112" s="8"/>
      <c r="RP112" s="8"/>
      <c r="RQ112" s="8"/>
      <c r="RR112" s="8"/>
      <c r="RS112" s="8"/>
      <c r="RT112" s="8"/>
      <c r="RU112" s="8"/>
      <c r="RV112" s="8"/>
      <c r="RW112" s="8"/>
      <c r="RX112" s="8"/>
      <c r="RY112" s="8"/>
      <c r="RZ112" s="8"/>
      <c r="SA112" s="8"/>
      <c r="SB112" s="8"/>
      <c r="SC112" s="8"/>
      <c r="SD112" s="8"/>
      <c r="SE112" s="8"/>
      <c r="SF112" s="8"/>
      <c r="SG112" s="8"/>
      <c r="SH112" s="8"/>
      <c r="SI112" s="8"/>
      <c r="SJ112" s="8"/>
      <c r="SK112" s="8"/>
      <c r="SL112" s="8"/>
      <c r="SM112" s="8"/>
      <c r="SN112" s="8"/>
      <c r="SO112" s="8"/>
      <c r="SP112" s="8"/>
      <c r="SQ112" s="8"/>
      <c r="SR112" s="8"/>
      <c r="SS112" s="8"/>
      <c r="ST112" s="8"/>
      <c r="SU112" s="8"/>
      <c r="SV112" s="8"/>
      <c r="SW112" s="8"/>
      <c r="SX112" s="8"/>
      <c r="SY112" s="8"/>
      <c r="SZ112" s="8"/>
      <c r="TA112" s="8"/>
      <c r="TB112" s="8"/>
      <c r="TC112" s="8"/>
      <c r="TD112" s="8"/>
      <c r="TE112" s="8"/>
      <c r="TF112" s="8"/>
      <c r="TG112" s="8"/>
      <c r="TH112" s="8"/>
      <c r="TI112" s="8"/>
      <c r="TJ112" s="8"/>
      <c r="TK112" s="8"/>
      <c r="TL112" s="8"/>
      <c r="TM112" s="8"/>
      <c r="TN112" s="8"/>
      <c r="TO112" s="8"/>
      <c r="TP112" s="8"/>
      <c r="TQ112" s="8"/>
      <c r="TR112" s="8"/>
      <c r="TS112" s="8"/>
      <c r="TT112" s="8"/>
      <c r="TU112" s="8"/>
      <c r="TV112" s="8"/>
      <c r="TW112" s="8"/>
      <c r="TX112" s="8"/>
      <c r="TY112" s="8"/>
      <c r="TZ112" s="8"/>
      <c r="UA112" s="8"/>
      <c r="UB112" s="8"/>
      <c r="UC112" s="8"/>
      <c r="UD112" s="8"/>
      <c r="UE112" s="8"/>
      <c r="UF112" s="8"/>
      <c r="UG112" s="8"/>
      <c r="UH112" s="8"/>
      <c r="UI112" s="8"/>
      <c r="UJ112" s="8"/>
      <c r="UK112" s="8"/>
      <c r="UL112" s="8"/>
      <c r="UM112" s="8"/>
      <c r="UN112" s="8"/>
      <c r="UO112" s="8"/>
      <c r="UP112" s="8"/>
      <c r="UQ112" s="8"/>
      <c r="UR112" s="8"/>
      <c r="US112" s="8"/>
      <c r="UT112" s="8"/>
      <c r="UU112" s="8"/>
      <c r="UV112" s="8"/>
      <c r="UW112" s="8"/>
      <c r="UX112" s="8"/>
      <c r="UY112" s="8"/>
      <c r="UZ112" s="8"/>
      <c r="VA112" s="8"/>
      <c r="VB112" s="8"/>
      <c r="VC112" s="8"/>
      <c r="VD112" s="8"/>
      <c r="VE112" s="8"/>
      <c r="VF112" s="8"/>
      <c r="VG112" s="8"/>
      <c r="VH112" s="8"/>
      <c r="VI112" s="8"/>
      <c r="VJ112" s="8"/>
      <c r="VK112" s="8"/>
      <c r="VL112" s="8"/>
      <c r="VM112" s="8"/>
      <c r="VN112" s="8"/>
      <c r="VO112" s="8"/>
      <c r="VP112" s="8"/>
      <c r="VQ112" s="8"/>
      <c r="VR112" s="8"/>
      <c r="VS112" s="8"/>
      <c r="VT112" s="8"/>
      <c r="VU112" s="8"/>
      <c r="VV112" s="8"/>
      <c r="VW112" s="8"/>
      <c r="VX112" s="8"/>
      <c r="VY112" s="8"/>
      <c r="VZ112" s="8"/>
      <c r="WA112" s="8"/>
      <c r="WB112" s="8"/>
      <c r="WC112" s="8"/>
      <c r="WD112" s="8"/>
      <c r="WE112" s="8"/>
      <c r="WF112" s="8"/>
      <c r="WG112" s="8"/>
      <c r="WH112" s="8"/>
      <c r="WI112" s="8"/>
      <c r="WJ112" s="8"/>
      <c r="WK112" s="8"/>
      <c r="WL112" s="8"/>
      <c r="WM112" s="8"/>
      <c r="WN112" s="8"/>
      <c r="WO112" s="8"/>
      <c r="WP112" s="8"/>
      <c r="WQ112" s="8"/>
      <c r="WR112" s="8"/>
      <c r="WS112" s="8"/>
      <c r="WT112" s="8"/>
      <c r="WU112" s="8"/>
      <c r="WV112" s="8"/>
      <c r="WW112" s="8"/>
      <c r="WX112" s="8"/>
      <c r="WY112" s="8"/>
      <c r="WZ112" s="8"/>
      <c r="XA112" s="8"/>
      <c r="XB112" s="8"/>
      <c r="XC112" s="8"/>
      <c r="XD112" s="8"/>
      <c r="XE112" s="8"/>
      <c r="XF112" s="8"/>
      <c r="XG112" s="8"/>
      <c r="XH112" s="8"/>
      <c r="XI112" s="8"/>
      <c r="XJ112" s="8"/>
      <c r="XK112" s="8"/>
      <c r="XL112" s="8"/>
      <c r="XM112" s="8"/>
      <c r="XN112" s="8"/>
      <c r="XO112" s="8"/>
      <c r="XP112" s="8"/>
      <c r="XQ112" s="8"/>
      <c r="XR112" s="8"/>
      <c r="XS112" s="8"/>
      <c r="XT112" s="8"/>
      <c r="XU112" s="8"/>
      <c r="XV112" s="8"/>
      <c r="XW112" s="8"/>
      <c r="XX112" s="8"/>
      <c r="XY112" s="8"/>
      <c r="XZ112" s="8"/>
      <c r="YA112" s="8"/>
      <c r="YB112" s="8"/>
      <c r="YC112" s="8"/>
      <c r="YD112" s="8"/>
      <c r="YE112" s="8"/>
      <c r="YF112" s="8"/>
      <c r="YG112" s="8"/>
      <c r="YH112" s="8"/>
      <c r="YI112" s="8"/>
      <c r="YJ112" s="8"/>
      <c r="YK112" s="8"/>
      <c r="YL112" s="8"/>
      <c r="YM112" s="8"/>
      <c r="YN112" s="8"/>
      <c r="YO112" s="8"/>
      <c r="YP112" s="8"/>
      <c r="YQ112" s="8"/>
      <c r="YR112" s="8"/>
      <c r="YS112" s="8"/>
      <c r="YT112" s="8"/>
      <c r="YU112" s="8"/>
      <c r="YV112" s="8"/>
      <c r="YW112" s="8"/>
      <c r="YX112" s="8"/>
      <c r="YY112" s="8"/>
      <c r="YZ112" s="8"/>
      <c r="ZA112" s="8"/>
      <c r="ZB112" s="8"/>
      <c r="ZC112" s="8"/>
      <c r="ZD112" s="8"/>
      <c r="ZE112" s="8"/>
      <c r="ZF112" s="8"/>
      <c r="ZG112" s="8"/>
      <c r="ZH112" s="8"/>
      <c r="ZI112" s="8"/>
      <c r="ZJ112" s="8"/>
      <c r="ZK112" s="8"/>
      <c r="ZL112" s="8"/>
      <c r="ZM112" s="8"/>
      <c r="ZN112" s="8"/>
      <c r="ZO112" s="8"/>
      <c r="ZP112" s="8"/>
      <c r="ZQ112" s="8"/>
      <c r="ZR112" s="8"/>
      <c r="ZS112" s="8"/>
      <c r="ZT112" s="8"/>
      <c r="ZU112" s="8"/>
      <c r="ZV112" s="8"/>
      <c r="ZW112" s="8"/>
      <c r="ZX112" s="8"/>
      <c r="ZY112" s="8"/>
      <c r="ZZ112" s="8"/>
      <c r="AAA112" s="8"/>
      <c r="AAB112" s="8"/>
      <c r="AAC112" s="8"/>
      <c r="AAD112" s="8"/>
      <c r="AAE112" s="8"/>
      <c r="AAF112" s="8"/>
      <c r="AAG112" s="8"/>
      <c r="AAH112" s="8"/>
      <c r="AAI112" s="8"/>
      <c r="AAJ112" s="8"/>
      <c r="AAK112" s="8"/>
      <c r="AAL112" s="8"/>
      <c r="AAM112" s="8"/>
      <c r="AAN112" s="8"/>
      <c r="AAO112" s="8"/>
      <c r="AAP112" s="8"/>
      <c r="AAQ112" s="8"/>
      <c r="AAR112" s="8"/>
      <c r="AAS112" s="8"/>
      <c r="AAT112" s="8"/>
      <c r="AAU112" s="8"/>
      <c r="AAV112" s="8"/>
      <c r="AAW112" s="8"/>
      <c r="AAX112" s="8"/>
    </row>
    <row r="113" spans="1:8" s="8" customFormat="1" x14ac:dyDescent="0.35">
      <c r="A113" s="8">
        <v>5</v>
      </c>
      <c r="B113" s="54" t="s">
        <v>53</v>
      </c>
      <c r="C113" s="54"/>
      <c r="D113" s="54"/>
      <c r="E113" s="29">
        <v>36000</v>
      </c>
    </row>
    <row r="114" spans="1:8" x14ac:dyDescent="0.35">
      <c r="A114">
        <v>6</v>
      </c>
      <c r="B114" s="49" t="s">
        <v>54</v>
      </c>
      <c r="C114" s="49"/>
      <c r="D114" s="49"/>
      <c r="E114" s="29">
        <v>4489000</v>
      </c>
    </row>
    <row r="115" spans="1:8" x14ac:dyDescent="0.35">
      <c r="A115">
        <v>7</v>
      </c>
      <c r="B115" s="49" t="s">
        <v>55</v>
      </c>
      <c r="C115" s="49"/>
      <c r="D115" s="49"/>
      <c r="E115" s="29">
        <v>2995990</v>
      </c>
    </row>
    <row r="116" spans="1:8" x14ac:dyDescent="0.35">
      <c r="A116">
        <v>8</v>
      </c>
      <c r="B116" s="49" t="s">
        <v>56</v>
      </c>
      <c r="C116" s="49"/>
      <c r="D116" s="49"/>
      <c r="E116" s="29">
        <v>2436000</v>
      </c>
    </row>
    <row r="117" spans="1:8" x14ac:dyDescent="0.35">
      <c r="A117">
        <v>9</v>
      </c>
      <c r="B117" s="49" t="s">
        <v>119</v>
      </c>
      <c r="C117" s="49"/>
      <c r="D117" s="49"/>
      <c r="E117" s="29">
        <v>3868061</v>
      </c>
    </row>
    <row r="118" spans="1:8" x14ac:dyDescent="0.35">
      <c r="A118">
        <v>10</v>
      </c>
      <c r="B118" s="51" t="s">
        <v>117</v>
      </c>
      <c r="C118" s="52"/>
      <c r="D118" s="53"/>
      <c r="E118" s="29">
        <v>323500</v>
      </c>
    </row>
    <row r="119" spans="1:8" x14ac:dyDescent="0.35">
      <c r="B119" s="50" t="s">
        <v>58</v>
      </c>
      <c r="C119" s="50"/>
      <c r="D119" s="50"/>
      <c r="E119" s="28"/>
    </row>
    <row r="120" spans="1:8" x14ac:dyDescent="0.35">
      <c r="E120" s="1"/>
      <c r="H120" s="45"/>
    </row>
    <row r="121" spans="1:8" x14ac:dyDescent="0.35">
      <c r="E121" s="33">
        <f>SUM(E109:E120)</f>
        <v>21166653.52</v>
      </c>
      <c r="H121" s="45"/>
    </row>
    <row r="123" spans="1:8" x14ac:dyDescent="0.35">
      <c r="B123" s="32" t="s">
        <v>60</v>
      </c>
    </row>
    <row r="124" spans="1:8" x14ac:dyDescent="0.35">
      <c r="B124" s="1" t="s">
        <v>55</v>
      </c>
      <c r="C124" s="1"/>
      <c r="D124" s="1"/>
      <c r="E124" s="28">
        <v>2995990</v>
      </c>
    </row>
    <row r="125" spans="1:8" x14ac:dyDescent="0.35">
      <c r="B125" s="1" t="s">
        <v>56</v>
      </c>
      <c r="C125" s="1"/>
      <c r="D125" s="1"/>
      <c r="E125" s="36">
        <v>2436000</v>
      </c>
    </row>
    <row r="126" spans="1:8" x14ac:dyDescent="0.35">
      <c r="B126" s="1" t="s">
        <v>120</v>
      </c>
      <c r="C126" s="1"/>
      <c r="D126" s="1"/>
      <c r="E126" s="36">
        <v>3868061</v>
      </c>
    </row>
    <row r="127" spans="1:8" x14ac:dyDescent="0.35">
      <c r="B127" s="1" t="s">
        <v>118</v>
      </c>
      <c r="C127" s="1"/>
      <c r="D127" s="21"/>
      <c r="E127" s="33">
        <v>323500</v>
      </c>
    </row>
    <row r="128" spans="1:8" x14ac:dyDescent="0.35">
      <c r="E128" s="1"/>
    </row>
    <row r="129" spans="2:5" x14ac:dyDescent="0.35">
      <c r="E129" s="1"/>
    </row>
    <row r="130" spans="2:5" x14ac:dyDescent="0.35">
      <c r="E130" s="1"/>
    </row>
    <row r="131" spans="2:5" x14ac:dyDescent="0.35">
      <c r="B131" s="34" t="s">
        <v>61</v>
      </c>
      <c r="E131" s="33">
        <f>SUM(E125:E130)</f>
        <v>6627561</v>
      </c>
    </row>
    <row r="132" spans="2:5" x14ac:dyDescent="0.35">
      <c r="B132" t="s">
        <v>62</v>
      </c>
      <c r="E132" s="35"/>
    </row>
    <row r="133" spans="2:5" x14ac:dyDescent="0.35">
      <c r="E133" s="45">
        <v>6627561</v>
      </c>
    </row>
    <row r="134" spans="2:5" x14ac:dyDescent="0.35">
      <c r="B134" t="s">
        <v>64</v>
      </c>
      <c r="E134" s="46">
        <v>21166653.52</v>
      </c>
    </row>
    <row r="136" spans="2:5" x14ac:dyDescent="0.35">
      <c r="E136">
        <f>E133/E134*100</f>
        <v>31.311331258565435</v>
      </c>
    </row>
  </sheetData>
  <mergeCells count="20">
    <mergeCell ref="N2:U2"/>
    <mergeCell ref="A18:B18"/>
    <mergeCell ref="B110:D110"/>
    <mergeCell ref="B111:D111"/>
    <mergeCell ref="E1:H1"/>
    <mergeCell ref="A33:B33"/>
    <mergeCell ref="A64:B64"/>
    <mergeCell ref="A68:B68"/>
    <mergeCell ref="A79:B79"/>
    <mergeCell ref="B108:D108"/>
    <mergeCell ref="A85:B85"/>
    <mergeCell ref="A95:B95"/>
    <mergeCell ref="B117:D117"/>
    <mergeCell ref="B119:D119"/>
    <mergeCell ref="B118:D118"/>
    <mergeCell ref="B112:D112"/>
    <mergeCell ref="B113:D113"/>
    <mergeCell ref="B114:D114"/>
    <mergeCell ref="B115:D115"/>
    <mergeCell ref="B116:D1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 month procurement plan k-sric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KIPRE</cp:lastModifiedBy>
  <dcterms:created xsi:type="dcterms:W3CDTF">2022-03-23T07:11:00Z</dcterms:created>
  <dcterms:modified xsi:type="dcterms:W3CDTF">2024-08-09T13:03:44Z</dcterms:modified>
</cp:coreProperties>
</file>