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RE\Desktop\"/>
    </mc:Choice>
  </mc:AlternateContent>
  <xr:revisionPtr revIDLastSave="0" documentId="8_{2B3DE5D4-C12F-45AF-BA85-EEA58663756F}" xr6:coauthVersionLast="47" xr6:coauthVersionMax="47" xr10:uidLastSave="{00000000-0000-0000-0000-000000000000}"/>
  <bookViews>
    <workbookView xWindow="-110" yWindow="-110" windowWidth="19420" windowHeight="10300" xr2:uid="{0A5DDBE9-C706-4974-AD3B-83C31BA96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1" i="1" l="1"/>
  <c r="F323" i="1" s="1"/>
  <c r="G317" i="1"/>
  <c r="G316" i="1"/>
  <c r="G315" i="1"/>
  <c r="G314" i="1"/>
  <c r="G310" i="1"/>
  <c r="G309" i="1"/>
  <c r="F302" i="1"/>
  <c r="F306" i="1" s="1"/>
  <c r="F298" i="1"/>
  <c r="F296" i="1"/>
  <c r="F290" i="1"/>
  <c r="F294" i="1" s="1"/>
  <c r="F285" i="1"/>
  <c r="F280" i="1"/>
  <c r="D67" i="1"/>
  <c r="E60" i="1"/>
  <c r="E61" i="1"/>
  <c r="D56" i="1"/>
  <c r="E56" i="1" s="1"/>
  <c r="D55" i="1"/>
  <c r="E55" i="1" s="1"/>
  <c r="D54" i="1"/>
  <c r="E54" i="1" s="1"/>
  <c r="D53" i="1"/>
  <c r="E53" i="1" s="1"/>
  <c r="D52" i="1"/>
  <c r="E52" i="1" s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D36" i="1"/>
  <c r="E36" i="1" s="1"/>
  <c r="D35" i="1"/>
  <c r="E35" i="1" s="1"/>
  <c r="D34" i="1"/>
  <c r="E34" i="1" s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F24" i="1" s="1"/>
  <c r="D23" i="1"/>
  <c r="F23" i="1" s="1"/>
  <c r="D22" i="1"/>
  <c r="E22" i="1" s="1"/>
  <c r="D21" i="1"/>
  <c r="E21" i="1" s="1"/>
  <c r="D20" i="1"/>
  <c r="F20" i="1" s="1"/>
  <c r="D19" i="1"/>
  <c r="E19" i="1" s="1"/>
  <c r="D18" i="1"/>
  <c r="E18" i="1" s="1"/>
  <c r="D17" i="1"/>
  <c r="E17" i="1" s="1"/>
  <c r="D16" i="1"/>
  <c r="E16" i="1" s="1"/>
  <c r="D14" i="1"/>
  <c r="E14" i="1" s="1"/>
  <c r="D13" i="1"/>
  <c r="E13" i="1" s="1"/>
  <c r="D12" i="1"/>
  <c r="E12" i="1" s="1"/>
  <c r="D11" i="1"/>
  <c r="E11" i="1" s="1"/>
  <c r="D10" i="1"/>
  <c r="F10" i="1" s="1"/>
  <c r="D9" i="1"/>
  <c r="F9" i="1" s="1"/>
  <c r="D8" i="1"/>
  <c r="E8" i="1" s="1"/>
  <c r="D7" i="1"/>
  <c r="E7" i="1" s="1"/>
  <c r="D6" i="1"/>
  <c r="E6" i="1" s="1"/>
  <c r="D5" i="1"/>
  <c r="E5" i="1" s="1"/>
  <c r="D4" i="1"/>
  <c r="E4" i="1" s="1"/>
  <c r="E276" i="1"/>
  <c r="E275" i="1"/>
  <c r="E274" i="1"/>
  <c r="E273" i="1"/>
  <c r="E272" i="1"/>
  <c r="E271" i="1"/>
  <c r="E270" i="1"/>
  <c r="E269" i="1"/>
  <c r="E268" i="1"/>
  <c r="E263" i="1"/>
  <c r="E262" i="1"/>
  <c r="E259" i="1"/>
  <c r="E258" i="1"/>
  <c r="E257" i="1"/>
  <c r="E256" i="1"/>
  <c r="E255" i="1"/>
  <c r="E252" i="1"/>
  <c r="E249" i="1"/>
  <c r="E248" i="1"/>
  <c r="E247" i="1"/>
  <c r="E246" i="1"/>
  <c r="E245" i="1"/>
  <c r="E242" i="1"/>
  <c r="E240" i="1"/>
  <c r="E239" i="1"/>
  <c r="E238" i="1"/>
  <c r="E237" i="1"/>
  <c r="E236" i="1"/>
  <c r="E235" i="1"/>
  <c r="E234" i="1"/>
  <c r="E233" i="1"/>
  <c r="E232" i="1"/>
  <c r="E231" i="1"/>
  <c r="E227" i="1"/>
  <c r="E225" i="1"/>
  <c r="E224" i="1"/>
  <c r="E223" i="1"/>
  <c r="E222" i="1"/>
  <c r="E221" i="1"/>
  <c r="E217" i="1"/>
  <c r="E215" i="1"/>
  <c r="E214" i="1"/>
  <c r="E213" i="1"/>
  <c r="E212" i="1"/>
  <c r="E211" i="1"/>
  <c r="E209" i="1"/>
  <c r="E208" i="1"/>
  <c r="E206" i="1"/>
  <c r="E205" i="1"/>
  <c r="E204" i="1"/>
  <c r="E203" i="1"/>
  <c r="E202" i="1"/>
  <c r="D195" i="1"/>
  <c r="D194" i="1"/>
  <c r="D193" i="1"/>
  <c r="D188" i="1"/>
  <c r="D187" i="1"/>
  <c r="D186" i="1"/>
  <c r="D185" i="1"/>
  <c r="D184" i="1"/>
  <c r="D183" i="1"/>
  <c r="D182" i="1"/>
  <c r="D181" i="1"/>
  <c r="E175" i="1"/>
  <c r="E176" i="1" s="1"/>
  <c r="D168" i="1" s="1"/>
  <c r="D167" i="1"/>
  <c r="D160" i="1"/>
  <c r="D159" i="1"/>
  <c r="D158" i="1"/>
  <c r="D157" i="1"/>
  <c r="D153" i="1"/>
  <c r="D152" i="1"/>
  <c r="D150" i="1"/>
  <c r="B146" i="1"/>
  <c r="D141" i="1"/>
  <c r="D140" i="1"/>
  <c r="D139" i="1"/>
  <c r="D127" i="1"/>
  <c r="D126" i="1"/>
  <c r="D119" i="1"/>
  <c r="D118" i="1"/>
  <c r="D113" i="1"/>
  <c r="D112" i="1"/>
  <c r="D111" i="1"/>
  <c r="B105" i="1"/>
  <c r="D99" i="1"/>
  <c r="D98" i="1"/>
  <c r="D97" i="1"/>
  <c r="D88" i="1"/>
  <c r="D87" i="1"/>
  <c r="D80" i="1"/>
  <c r="D79" i="1"/>
  <c r="E72" i="1"/>
  <c r="E71" i="1"/>
  <c r="E62" i="1"/>
  <c r="G312" i="1" l="1"/>
  <c r="F300" i="1"/>
  <c r="E63" i="1"/>
  <c r="F282" i="1"/>
  <c r="F287" i="1"/>
  <c r="D161" i="1"/>
  <c r="D151" i="1" s="1"/>
  <c r="D154" i="1" s="1"/>
  <c r="E57" i="1"/>
  <c r="D57" i="1"/>
  <c r="D89" i="1"/>
  <c r="D82" i="1" s="1"/>
  <c r="D83" i="1" s="1"/>
  <c r="D196" i="1"/>
  <c r="E277" i="1"/>
  <c r="E265" i="1" s="1"/>
  <c r="D189" i="1"/>
  <c r="E73" i="1"/>
  <c r="D100" i="1"/>
  <c r="B94" i="1" s="1"/>
  <c r="B95" i="1" s="1"/>
  <c r="D128" i="1"/>
  <c r="D121" i="1" s="1"/>
  <c r="D122" i="1" s="1"/>
  <c r="D114" i="1"/>
  <c r="D142" i="1"/>
  <c r="B133" i="1" s="1"/>
  <c r="B134" i="1" s="1"/>
  <c r="D169" i="1"/>
  <c r="F57" i="1" l="1"/>
</calcChain>
</file>

<file path=xl/sharedStrings.xml><?xml version="1.0" encoding="utf-8"?>
<sst xmlns="http://schemas.openxmlformats.org/spreadsheetml/2006/main" count="413" uniqueCount="225">
  <si>
    <t>Sub Activity: Procurement of Laboratory, cold room &amp; phlebetomy facility equipment</t>
  </si>
  <si>
    <t>Laboratory tools and equipments</t>
  </si>
  <si>
    <t>Details</t>
  </si>
  <si>
    <t>Units</t>
  </si>
  <si>
    <t>Unit Cost</t>
  </si>
  <si>
    <t>Amount</t>
  </si>
  <si>
    <t>Y1 2024/25</t>
  </si>
  <si>
    <t xml:space="preserve"> Electric Inverter APC </t>
  </si>
  <si>
    <t>Amscope fluorescent microscope camera</t>
  </si>
  <si>
    <t xml:space="preserve">Analytical weighing balance </t>
  </si>
  <si>
    <t>Automated Cell counter</t>
  </si>
  <si>
    <t>Autoclave Machine</t>
  </si>
  <si>
    <t>BD Facs Melody Cell Sorter</t>
  </si>
  <si>
    <t>Biosafety cabinet Class II B2</t>
  </si>
  <si>
    <t>Chest Freezer 480L</t>
  </si>
  <si>
    <t xml:space="preserve">CO2 Incubator </t>
  </si>
  <si>
    <t>CO2 tank and gauge</t>
  </si>
  <si>
    <t>Confined space multi gas detector</t>
  </si>
  <si>
    <t>ELISA washer and dispenser</t>
  </si>
  <si>
    <t>ESI-QTOF Mass spectrophotometer</t>
  </si>
  <si>
    <t>Eye wash and mounted stations</t>
  </si>
  <si>
    <t xml:space="preserve">Gel electrophoresis system (casting plates, electrode assembly, companion running module, buffer tank and lid, casting stand and frames, Power Pac </t>
  </si>
  <si>
    <t>Illumina Hiseq 2500</t>
  </si>
  <si>
    <t>lab stools</t>
  </si>
  <si>
    <t>Lab thermometer hygrometer</t>
  </si>
  <si>
    <t xml:space="preserve">Laboratory fluorescence microscope </t>
  </si>
  <si>
    <t>Liquid nitrogen tank (50L)</t>
  </si>
  <si>
    <t>Liquid nitrogen tank (100L) Storage Racks</t>
  </si>
  <si>
    <t>Luminex 200 (multiplex machine)</t>
  </si>
  <si>
    <t>Barcoding Machine</t>
  </si>
  <si>
    <t>Microplate Spectophotometer (Preferred wavelength range 200 -999 nm)</t>
  </si>
  <si>
    <t>Mini vortexer mixer</t>
  </si>
  <si>
    <t>Nanodrop</t>
  </si>
  <si>
    <t>Negative 80 freezer</t>
  </si>
  <si>
    <t>Pallet truck (trolly)</t>
  </si>
  <si>
    <t>Portable medical freezer (-20 )</t>
  </si>
  <si>
    <t>Portable power generator</t>
  </si>
  <si>
    <t>Power supply extension</t>
  </si>
  <si>
    <t>Pro-safe Fume Hood 6ft</t>
  </si>
  <si>
    <t>Protein A/G affinity chromatography columns (HiTrap Protein A HP 5ml and HiTrap Protein G HP 5ml)</t>
  </si>
  <si>
    <t>Refrigerator (-20° C, +4 °C)</t>
  </si>
  <si>
    <t>Refrigerator double door 635 litres (+4,-20)</t>
  </si>
  <si>
    <t>Small animal rodent euthanasia chamber</t>
  </si>
  <si>
    <t>Swingout Refrigerated centrifuge</t>
  </si>
  <si>
    <t>Temperator monitor for freezer room</t>
  </si>
  <si>
    <t>Thermocycler</t>
  </si>
  <si>
    <t xml:space="preserve">Transblot transfer system </t>
  </si>
  <si>
    <t>Ultra-Performance Liquid
Chromatography (1290 Infinity II, Agilent Technologies)</t>
  </si>
  <si>
    <t>UPS</t>
  </si>
  <si>
    <t>Vortexer</t>
  </si>
  <si>
    <t>Double  distiller &amp; de-ioniser system</t>
  </si>
  <si>
    <t>Wheelchair</t>
  </si>
  <si>
    <t>Total</t>
  </si>
  <si>
    <t xml:space="preserve">July </t>
  </si>
  <si>
    <t>Aug</t>
  </si>
  <si>
    <t>Sept</t>
  </si>
  <si>
    <t>Oct</t>
  </si>
  <si>
    <t>Nov</t>
  </si>
  <si>
    <t>Dec</t>
  </si>
  <si>
    <t>Jan</t>
  </si>
  <si>
    <t>Feb</t>
  </si>
  <si>
    <t>March</t>
  </si>
  <si>
    <t>April</t>
  </si>
  <si>
    <t>May</t>
  </si>
  <si>
    <t>June</t>
  </si>
  <si>
    <t>Flight Tickets</t>
  </si>
  <si>
    <t xml:space="preserve"> India &amp; Dubai</t>
  </si>
  <si>
    <t>Number</t>
  </si>
  <si>
    <t>Price</t>
  </si>
  <si>
    <t>Business class</t>
  </si>
  <si>
    <t>Premium Economy</t>
  </si>
  <si>
    <t>Economy</t>
  </si>
  <si>
    <t>Conference costs</t>
  </si>
  <si>
    <t>Conference costs-1</t>
  </si>
  <si>
    <t>Conference costs-2</t>
  </si>
  <si>
    <t>Architectural design</t>
  </si>
  <si>
    <t>(6-10% of the total cost)</t>
  </si>
  <si>
    <t>10% of 10m</t>
  </si>
  <si>
    <t>Structural design</t>
  </si>
  <si>
    <t>3.5% -4.5% of the total Cost</t>
  </si>
  <si>
    <t>BQ</t>
  </si>
  <si>
    <t>Ksh. 41,600 per sq metre</t>
  </si>
  <si>
    <t>Workshop</t>
  </si>
  <si>
    <t>Conference</t>
  </si>
  <si>
    <t>Fuel cost &amp; Vehicle maintenance</t>
  </si>
  <si>
    <t>Sub Activity 2 : EIA for snakebite preclinical rodent &amp; bio-containment facility</t>
  </si>
  <si>
    <t>Nema Permit- Corporate</t>
  </si>
  <si>
    <t>EIA Consultant</t>
  </si>
  <si>
    <t xml:space="preserve">Workshop costs </t>
  </si>
  <si>
    <t>Details- Two workshops</t>
  </si>
  <si>
    <t>Subsistence Allowance</t>
  </si>
  <si>
    <t>Sub Activity 3: Advertisement of tender for snakebite preclinical rodent &amp; bio containment facility</t>
  </si>
  <si>
    <t>Newspaper Advertisement</t>
  </si>
  <si>
    <t>Sub Activity 4: Award contract for snakebite preclinical rodent &amp; bio-containment facility</t>
  </si>
  <si>
    <t>Opening &amp; Evaluation of tender</t>
  </si>
  <si>
    <t>Stationery</t>
  </si>
  <si>
    <t>Total:</t>
  </si>
  <si>
    <t>Main Activity:Initiate the establishment of snakebite venom &amp; anti-venom research Laboratories, Coldroom, Offices &amp; conference /training facility</t>
  </si>
  <si>
    <t>Sub Activity 1: Develop Architectural designs and estimated BQs for snakebite venom &amp; anti-venom research  Laboratories, Coldroom, Offices &amp; conference /training facility</t>
  </si>
  <si>
    <t>Architectural Design</t>
  </si>
  <si>
    <t>Sub Activity 2: Conduct Environmental Impact Assessment for Snakebite venom &amp; anti-venom research  Laboratories, Coldroom, Offices &amp; conference /training facility</t>
  </si>
  <si>
    <t>Sub Activity 3: Advertise for tender for construction of Snakebite Preclinical rodent &amp; bio-containment facility</t>
  </si>
  <si>
    <t>Main Activity: Upgrading of the Herpatarium building</t>
  </si>
  <si>
    <t>Sub Activities</t>
  </si>
  <si>
    <t>No. of Units</t>
  </si>
  <si>
    <t>Cost</t>
  </si>
  <si>
    <t>Installation of HVAC system</t>
  </si>
  <si>
    <t xml:space="preserve">Purchase of snake cages </t>
  </si>
  <si>
    <t>Installation of CCTV cameras and motion sensors</t>
  </si>
  <si>
    <t>Installation of automatic lighting system</t>
  </si>
  <si>
    <t>Purchase of snake cages</t>
  </si>
  <si>
    <t>Fibre glass cage</t>
  </si>
  <si>
    <t>Plastic snake cage- 90 litres</t>
  </si>
  <si>
    <t>Plastic snake cage- 60 litres</t>
  </si>
  <si>
    <t>Snake racks</t>
  </si>
  <si>
    <t>Main Activity : Initiate Process of land procurement and construction of animal housing facility for venom research &amp; antivenom production</t>
  </si>
  <si>
    <t>Sub Activity: Identification of 20 Acre land for construction of animal facility for antivenom production</t>
  </si>
  <si>
    <t>Land survey Fees</t>
  </si>
  <si>
    <t>Land Survey Trips</t>
  </si>
  <si>
    <t>Total- 4 trips</t>
  </si>
  <si>
    <t>Pax/Item</t>
  </si>
  <si>
    <t>Rate</t>
  </si>
  <si>
    <t>Fuel &amp; vehicle Maintenance</t>
  </si>
  <si>
    <t>Main Activity: Procurement of Audio- Visual equipment</t>
  </si>
  <si>
    <t>Sub Activity: Procurement of snake bite field vehicles and ambulances</t>
  </si>
  <si>
    <t>Public address system</t>
  </si>
  <si>
    <t>Video Camera</t>
  </si>
  <si>
    <t>Mixer</t>
  </si>
  <si>
    <t>Digital Camera( High Resolution) Pathology</t>
  </si>
  <si>
    <t>Projector</t>
  </si>
  <si>
    <t>Interactive Display Screen</t>
  </si>
  <si>
    <t>Camera- High End resolution</t>
  </si>
  <si>
    <t>Accessories</t>
  </si>
  <si>
    <t>Sub Activity 1: Develop architectural designs and estimated BQs for Snakebite Preclinical rodent &amp; biocontainment facility</t>
  </si>
  <si>
    <t>Landcruiser single cab pick up</t>
  </si>
  <si>
    <t xml:space="preserve">4 by 4 Field vehicle </t>
  </si>
  <si>
    <t>Snakebite motorcycle ambulances</t>
  </si>
  <si>
    <t>Sub Activity : Procurement of snakebite Office furniture &amp; equipment</t>
  </si>
  <si>
    <t>Antivenom Quality Control &amp; Production Development</t>
  </si>
  <si>
    <t xml:space="preserve">Item description </t>
  </si>
  <si>
    <t xml:space="preserve">Dimension </t>
  </si>
  <si>
    <t>Qnty</t>
  </si>
  <si>
    <t xml:space="preserve">Price </t>
  </si>
  <si>
    <t>Pedestal mobile 3 drawer</t>
  </si>
  <si>
    <t>421x500x610mm</t>
  </si>
  <si>
    <t xml:space="preserve">Medium Back mesh chair-Fixed PP arms, single lock mechanism, Nylon base with Nylon castors </t>
  </si>
  <si>
    <t xml:space="preserve">2 way workstation Desk with white metal frame </t>
  </si>
  <si>
    <t>1200x1500x745mm</t>
  </si>
  <si>
    <t xml:space="preserve">Screen -Desktop clamp mounted -Rounded corners </t>
  </si>
  <si>
    <t>1300x18x350mm</t>
  </si>
  <si>
    <t>4 drawer filing cabinet -Grey</t>
  </si>
  <si>
    <t>450x600x1300mm</t>
  </si>
  <si>
    <t xml:space="preserve">Flip chart Board </t>
  </si>
  <si>
    <t>3x2 O/P FC-333-03BRD4005</t>
  </si>
  <si>
    <t>Office heater- Von</t>
  </si>
  <si>
    <t>2000w MH 302</t>
  </si>
  <si>
    <t xml:space="preserve">Extension cables </t>
  </si>
  <si>
    <t xml:space="preserve">Clinical Sciences Department </t>
  </si>
  <si>
    <t>Office heater- VoN</t>
  </si>
  <si>
    <t>2000W MH 302</t>
  </si>
  <si>
    <t>Public Health Epidemiology and Community Engagement Derpartment</t>
  </si>
  <si>
    <t>Office heater -VoN</t>
  </si>
  <si>
    <t>2000W</t>
  </si>
  <si>
    <t xml:space="preserve">Deputy Director's Office </t>
  </si>
  <si>
    <t xml:space="preserve">Executive sofa - two seater with arms and buttons - Ash grey </t>
  </si>
  <si>
    <t>Filing cabinet -glass swing door -Mahogany</t>
  </si>
  <si>
    <t>800x390x2074mm</t>
  </si>
  <si>
    <t xml:space="preserve">Safe digital lock + Key lock  &amp; tray, rating 60min - Inside </t>
  </si>
  <si>
    <t>Inside 320x234x260mm, Outside 412X363x360mm</t>
  </si>
  <si>
    <t xml:space="preserve">Airmesh medium back mesh chair -1D arms adjustable Height, Tilt function, Nylon Base with Nylon castors </t>
  </si>
  <si>
    <t xml:space="preserve">Medium back mesh chair -fixed PP arms, Single lock mechanism, Nylon Base with Nylon casters </t>
  </si>
  <si>
    <t>Straight Desk with metal frame (Inclusive front panel)</t>
  </si>
  <si>
    <t>1200x750x745mm</t>
  </si>
  <si>
    <t>Verona Executive desk  with side extension (Consiting of 3drawers  and filing cabinet)</t>
  </si>
  <si>
    <t>1800mmx1620x745mm</t>
  </si>
  <si>
    <t xml:space="preserve">Single coat hanger with arms in chrome &amp; wooden finish </t>
  </si>
  <si>
    <t>450x1280mm</t>
  </si>
  <si>
    <t>Water dispensor- Von (Cold, warm &amp; hot)</t>
  </si>
  <si>
    <t xml:space="preserve">Reception </t>
  </si>
  <si>
    <t xml:space="preserve">Airport waiting chair -3 seater </t>
  </si>
  <si>
    <t>Modular Reception, straight &amp; 2 quarter Round (without pedestral)</t>
  </si>
  <si>
    <t>2380x780x1100mm</t>
  </si>
  <si>
    <t>Conference room</t>
  </si>
  <si>
    <t xml:space="preserve">Executive confrence table Oblong with panel legs </t>
  </si>
  <si>
    <t>2400x1200x745</t>
  </si>
  <si>
    <t xml:space="preserve">Oblog coffee table </t>
  </si>
  <si>
    <t>1200x600x450mm</t>
  </si>
  <si>
    <t>Water dispensor -Von</t>
  </si>
  <si>
    <t xml:space="preserve">Kitchen </t>
  </si>
  <si>
    <t xml:space="preserve">Stockable Plastic chair with chrome legs </t>
  </si>
  <si>
    <t>Office equipment</t>
  </si>
  <si>
    <t>User Division</t>
  </si>
  <si>
    <t>Unit</t>
  </si>
  <si>
    <t>Unit cost</t>
  </si>
  <si>
    <t>Laptop</t>
  </si>
  <si>
    <t>Anti Venom QC</t>
  </si>
  <si>
    <t>Desktop Computer</t>
  </si>
  <si>
    <t>Public Health &amp; Epidemiology</t>
  </si>
  <si>
    <t>Finance</t>
  </si>
  <si>
    <t>Monitoring &amp; Evaluation</t>
  </si>
  <si>
    <t>Tablet</t>
  </si>
  <si>
    <t>Supply Chain Mgmnt</t>
  </si>
  <si>
    <t>Y2 25/2026</t>
  </si>
  <si>
    <t>Columns ( Sephadex G25 desalting column, CEX, GFC, Hydrophobic interactions columns)</t>
  </si>
  <si>
    <t>Clariostar Plus BMG LABTECH</t>
  </si>
  <si>
    <t xml:space="preserve">Geotagging machine </t>
  </si>
  <si>
    <t>Intergra Viaflo384</t>
  </si>
  <si>
    <t>Micro Centrifuge  (PCR tubes)</t>
  </si>
  <si>
    <t>Spot vital signs monitor</t>
  </si>
  <si>
    <t>Sub Activity:  Procurement of Equipment Maintenance &amp; Servicing</t>
  </si>
  <si>
    <t>Sub Activity:  Procurement of Insurance services- Vehicles,new equipment</t>
  </si>
  <si>
    <t>Sub Activity:  Procurement of Anti-Virus</t>
  </si>
  <si>
    <t>Kaspersky Antivirus</t>
  </si>
  <si>
    <t>Pax</t>
  </si>
  <si>
    <t>Days</t>
  </si>
  <si>
    <t>Fuel &amp; Vehicle Maintenance</t>
  </si>
  <si>
    <t>Fuel &amp; Vehicle Maintainance</t>
  </si>
  <si>
    <t>Printing</t>
  </si>
  <si>
    <t>Professional Consultant</t>
  </si>
  <si>
    <t>Counties</t>
  </si>
  <si>
    <t>Participant costs(500 per county)</t>
  </si>
  <si>
    <t>Flip Charts</t>
  </si>
  <si>
    <t>Flip chart Stand</t>
  </si>
  <si>
    <t>Roller Banners</t>
  </si>
  <si>
    <t>Tear Drops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</si>
</sst>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theme="5" tint="0.3999755851924192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3" fontId="0" fillId="2" borderId="1" xfId="0" applyNumberFormat="1" applyFill="1" applyBorder="1"/>
    <xf numFmtId="43" fontId="0" fillId="0" borderId="1" xfId="1" applyFont="1" applyBorder="1"/>
    <xf numFmtId="0" fontId="0" fillId="2" borderId="1" xfId="0" applyFill="1" applyBorder="1" applyAlignment="1">
      <alignment vertical="center" wrapText="1"/>
    </xf>
    <xf numFmtId="3" fontId="0" fillId="2" borderId="1" xfId="0" applyNumberFormat="1" applyFill="1" applyBorder="1" applyAlignment="1">
      <alignment vertical="center" wrapText="1"/>
    </xf>
    <xf numFmtId="43" fontId="0" fillId="2" borderId="1" xfId="1" applyFont="1" applyFill="1" applyBorder="1"/>
    <xf numFmtId="3" fontId="0" fillId="2" borderId="1" xfId="0" applyNumberFormat="1" applyFill="1" applyBorder="1" applyAlignment="1">
      <alignment horizontal="center" wrapText="1"/>
    </xf>
    <xf numFmtId="0" fontId="0" fillId="0" borderId="1" xfId="0" applyBorder="1" applyAlignment="1">
      <alignment wrapText="1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wrapText="1"/>
    </xf>
    <xf numFmtId="164" fontId="2" fillId="2" borderId="1" xfId="0" applyNumberFormat="1" applyFont="1" applyFill="1" applyBorder="1"/>
    <xf numFmtId="164" fontId="0" fillId="0" borderId="1" xfId="0" applyNumberFormat="1" applyBorder="1"/>
    <xf numFmtId="43" fontId="0" fillId="0" borderId="1" xfId="0" applyNumberFormat="1" applyBorder="1"/>
    <xf numFmtId="43" fontId="2" fillId="2" borderId="1" xfId="1" applyFont="1" applyFill="1" applyBorder="1"/>
    <xf numFmtId="0" fontId="0" fillId="2" borderId="1" xfId="0" applyFill="1" applyBorder="1" applyAlignment="1">
      <alignment vertical="center"/>
    </xf>
    <xf numFmtId="0" fontId="3" fillId="2" borderId="1" xfId="0" applyFont="1" applyFill="1" applyBorder="1"/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/>
    <xf numFmtId="43" fontId="3" fillId="0" borderId="1" xfId="1" applyFont="1" applyBorder="1"/>
    <xf numFmtId="43" fontId="3" fillId="0" borderId="1" xfId="0" applyNumberFormat="1" applyFont="1" applyBorder="1"/>
    <xf numFmtId="43" fontId="2" fillId="0" borderId="0" xfId="0" applyNumberFormat="1" applyFont="1"/>
    <xf numFmtId="43" fontId="0" fillId="0" borderId="0" xfId="0" applyNumberFormat="1"/>
    <xf numFmtId="43" fontId="0" fillId="0" borderId="0" xfId="1" applyFont="1"/>
    <xf numFmtId="43" fontId="8" fillId="0" borderId="0" xfId="1" applyFont="1"/>
    <xf numFmtId="0" fontId="3" fillId="0" borderId="0" xfId="0" applyFont="1"/>
    <xf numFmtId="164" fontId="0" fillId="0" borderId="0" xfId="0" applyNumberFormat="1"/>
    <xf numFmtId="0" fontId="9" fillId="0" borderId="0" xfId="0" applyFont="1"/>
    <xf numFmtId="43" fontId="2" fillId="0" borderId="1" xfId="1" applyFont="1" applyBorder="1"/>
    <xf numFmtId="0" fontId="0" fillId="0" borderId="1" xfId="1" applyNumberFormat="1" applyFont="1" applyBorder="1"/>
    <xf numFmtId="43" fontId="2" fillId="0" borderId="0" xfId="1" applyFont="1"/>
    <xf numFmtId="0" fontId="0" fillId="0" borderId="3" xfId="0" applyBorder="1"/>
    <xf numFmtId="0" fontId="0" fillId="0" borderId="0" xfId="1" applyNumberFormat="1" applyFont="1"/>
    <xf numFmtId="0" fontId="2" fillId="2" borderId="4" xfId="0" applyFont="1" applyFill="1" applyBorder="1" applyAlignment="1">
      <alignment horizontal="left" vertical="top"/>
    </xf>
    <xf numFmtId="0" fontId="0" fillId="0" borderId="5" xfId="0" applyBorder="1" applyAlignment="1">
      <alignment wrapText="1"/>
    </xf>
    <xf numFmtId="0" fontId="3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3" xfId="0" applyFont="1" applyBorder="1"/>
    <xf numFmtId="43" fontId="0" fillId="0" borderId="0" xfId="1" applyFont="1" applyBorder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3" fontId="0" fillId="0" borderId="0" xfId="0" applyNumberFormat="1"/>
    <xf numFmtId="0" fontId="2" fillId="2" borderId="1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4" fontId="0" fillId="2" borderId="1" xfId="0" applyNumberFormat="1" applyFill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164" fontId="2" fillId="2" borderId="6" xfId="0" applyNumberFormat="1" applyFont="1" applyFill="1" applyBorder="1" applyAlignment="1">
      <alignment horizontal="left" vertical="top"/>
    </xf>
    <xf numFmtId="4" fontId="2" fillId="2" borderId="1" xfId="0" applyNumberFormat="1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4" fontId="0" fillId="2" borderId="1" xfId="0" applyNumberFormat="1" applyFill="1" applyBorder="1" applyAlignment="1">
      <alignment horizontal="left" vertical="top"/>
    </xf>
    <xf numFmtId="4" fontId="0" fillId="0" borderId="1" xfId="0" applyNumberFormat="1" applyBorder="1"/>
    <xf numFmtId="0" fontId="2" fillId="2" borderId="8" xfId="0" applyFont="1" applyFill="1" applyBorder="1" applyAlignment="1">
      <alignment horizontal="left" vertical="top"/>
    </xf>
    <xf numFmtId="0" fontId="2" fillId="0" borderId="6" xfId="0" applyFont="1" applyBorder="1"/>
    <xf numFmtId="0" fontId="2" fillId="2" borderId="9" xfId="0" applyFont="1" applyFill="1" applyBorder="1" applyAlignment="1">
      <alignment horizontal="left" vertical="top"/>
    </xf>
    <xf numFmtId="4" fontId="0" fillId="0" borderId="7" xfId="0" applyNumberFormat="1" applyBorder="1"/>
    <xf numFmtId="0" fontId="0" fillId="0" borderId="0" xfId="0" applyAlignment="1">
      <alignment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vertical="top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/>
    </xf>
    <xf numFmtId="0" fontId="10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2" borderId="10" xfId="0" applyFill="1" applyBorder="1" applyAlignment="1">
      <alignment horizontal="center"/>
    </xf>
    <xf numFmtId="0" fontId="0" fillId="2" borderId="10" xfId="0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43" fontId="2" fillId="2" borderId="0" xfId="1" applyFont="1" applyFill="1" applyBorder="1" applyAlignment="1">
      <alignment horizontal="center"/>
    </xf>
    <xf numFmtId="43" fontId="5" fillId="0" borderId="1" xfId="1" applyFont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3" fontId="4" fillId="2" borderId="1" xfId="0" applyNumberFormat="1" applyFont="1" applyFill="1" applyBorder="1"/>
    <xf numFmtId="43" fontId="4" fillId="0" borderId="1" xfId="1" applyFont="1" applyBorder="1"/>
    <xf numFmtId="164" fontId="4" fillId="0" borderId="1" xfId="0" applyNumberFormat="1" applyFont="1" applyBorder="1"/>
    <xf numFmtId="0" fontId="0" fillId="3" borderId="1" xfId="0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43" fontId="4" fillId="2" borderId="1" xfId="1" applyFont="1" applyFill="1" applyBorder="1"/>
    <xf numFmtId="0" fontId="4" fillId="0" borderId="1" xfId="0" applyFont="1" applyBorder="1"/>
    <xf numFmtId="43" fontId="4" fillId="0" borderId="1" xfId="0" applyNumberFormat="1" applyFont="1" applyBorder="1"/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center" wrapText="1"/>
    </xf>
    <xf numFmtId="43" fontId="11" fillId="2" borderId="1" xfId="1" applyFont="1" applyFill="1" applyBorder="1"/>
    <xf numFmtId="164" fontId="11" fillId="2" borderId="1" xfId="0" applyNumberFormat="1" applyFont="1" applyFill="1" applyBorder="1"/>
    <xf numFmtId="0" fontId="11" fillId="2" borderId="1" xfId="0" applyFont="1" applyFill="1" applyBorder="1"/>
    <xf numFmtId="0" fontId="4" fillId="3" borderId="1" xfId="0" applyFont="1" applyFill="1" applyBorder="1" applyAlignment="1">
      <alignment vertical="top" wrapText="1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43" fontId="6" fillId="0" borderId="1" xfId="1" applyFont="1" applyBorder="1"/>
    <xf numFmtId="0" fontId="2" fillId="0" borderId="1" xfId="0" applyFont="1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43" fontId="0" fillId="0" borderId="5" xfId="1" applyFont="1" applyBorder="1" applyAlignment="1">
      <alignment horizontal="left"/>
    </xf>
    <xf numFmtId="43" fontId="0" fillId="0" borderId="2" xfId="1" applyFont="1" applyBorder="1" applyAlignment="1">
      <alignment horizontal="left"/>
    </xf>
    <xf numFmtId="0" fontId="0" fillId="2" borderId="11" xfId="0" applyFill="1" applyBorder="1" applyAlignment="1">
      <alignment horizontal="left" vertical="top"/>
    </xf>
    <xf numFmtId="43" fontId="0" fillId="0" borderId="12" xfId="1" applyFont="1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1" xfId="0" applyBorder="1"/>
    <xf numFmtId="43" fontId="0" fillId="0" borderId="11" xfId="1" applyFont="1" applyBorder="1"/>
    <xf numFmtId="43" fontId="0" fillId="0" borderId="11" xfId="0" applyNumberFormat="1" applyBorder="1"/>
    <xf numFmtId="0" fontId="0" fillId="0" borderId="1" xfId="1" applyNumberFormat="1" applyFont="1" applyBorder="1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6" fillId="0" borderId="1" xfId="1" applyNumberFormat="1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vertical="top"/>
    </xf>
    <xf numFmtId="43" fontId="0" fillId="0" borderId="1" xfId="1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AA70-7F5B-400E-BFC8-519BFB4EB2F1}">
  <dimension ref="A1:T323"/>
  <sheetViews>
    <sheetView tabSelected="1" workbookViewId="0">
      <selection activeCell="K312" sqref="K312"/>
    </sheetView>
  </sheetViews>
  <sheetFormatPr defaultRowHeight="14.5" x14ac:dyDescent="0.35"/>
  <cols>
    <col min="1" max="1" width="53.1796875" customWidth="1"/>
    <col min="2" max="2" width="14.08984375" customWidth="1"/>
    <col min="3" max="3" width="16.1796875" customWidth="1"/>
    <col min="4" max="4" width="19.08984375" customWidth="1"/>
    <col min="5" max="5" width="15.1796875" customWidth="1"/>
    <col min="6" max="6" width="17.6328125" customWidth="1"/>
    <col min="7" max="7" width="19.6328125" customWidth="1"/>
  </cols>
  <sheetData>
    <row r="1" spans="1:20" ht="15.5" x14ac:dyDescent="0.35">
      <c r="A1" s="1" t="s">
        <v>0</v>
      </c>
    </row>
    <row r="2" spans="1:20" ht="15.5" x14ac:dyDescent="0.35">
      <c r="A2" s="2" t="s">
        <v>1</v>
      </c>
      <c r="B2" s="3"/>
      <c r="C2" s="2"/>
      <c r="D2" s="4"/>
    </row>
    <row r="3" spans="1:20" ht="15.5" x14ac:dyDescent="0.35">
      <c r="A3" s="2" t="s">
        <v>2</v>
      </c>
      <c r="B3" s="1" t="s">
        <v>3</v>
      </c>
      <c r="C3" s="5" t="s">
        <v>4</v>
      </c>
      <c r="D3" s="2" t="s">
        <v>5</v>
      </c>
      <c r="E3" s="2" t="s">
        <v>6</v>
      </c>
      <c r="F3" s="2" t="s">
        <v>202</v>
      </c>
      <c r="G3" s="2" t="s">
        <v>53</v>
      </c>
      <c r="H3" s="2" t="s">
        <v>54</v>
      </c>
      <c r="I3" s="2" t="s">
        <v>55</v>
      </c>
      <c r="J3" s="2" t="s">
        <v>56</v>
      </c>
      <c r="K3" s="2" t="s">
        <v>57</v>
      </c>
      <c r="L3" s="2" t="s">
        <v>58</v>
      </c>
      <c r="M3" s="2" t="s">
        <v>59</v>
      </c>
      <c r="N3" s="2" t="s">
        <v>60</v>
      </c>
      <c r="O3" s="2" t="s">
        <v>61</v>
      </c>
      <c r="P3" s="2" t="s">
        <v>62</v>
      </c>
      <c r="Q3" s="2" t="s">
        <v>63</v>
      </c>
      <c r="R3" s="2" t="s">
        <v>64</v>
      </c>
      <c r="S3" s="4"/>
      <c r="T3" s="4"/>
    </row>
    <row r="4" spans="1:20" ht="43.25" customHeight="1" x14ac:dyDescent="0.35">
      <c r="A4" s="89" t="s">
        <v>7</v>
      </c>
      <c r="B4" s="7">
        <v>1</v>
      </c>
      <c r="C4" s="8">
        <v>3500000</v>
      </c>
      <c r="D4" s="9">
        <f t="shared" ref="D4:D14" si="0">B4*C4</f>
        <v>3500000</v>
      </c>
      <c r="E4" s="18">
        <f>D4</f>
        <v>3500000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86.4" customHeight="1" x14ac:dyDescent="0.35">
      <c r="A5" s="10" t="s">
        <v>8</v>
      </c>
      <c r="B5" s="10">
        <v>1</v>
      </c>
      <c r="C5" s="9">
        <v>421476</v>
      </c>
      <c r="D5" s="9">
        <f t="shared" si="0"/>
        <v>421476</v>
      </c>
      <c r="E5" s="18">
        <f>D5</f>
        <v>421476</v>
      </c>
      <c r="F5" s="1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43.25" customHeight="1" x14ac:dyDescent="0.35">
      <c r="A6" s="90" t="s">
        <v>9</v>
      </c>
      <c r="B6" s="10">
        <v>2</v>
      </c>
      <c r="C6" s="11">
        <v>290000</v>
      </c>
      <c r="D6" s="12">
        <f t="shared" si="0"/>
        <v>580000</v>
      </c>
      <c r="E6" s="18">
        <f>D6</f>
        <v>580000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43.25" customHeight="1" x14ac:dyDescent="0.35">
      <c r="A7" s="10" t="s">
        <v>10</v>
      </c>
      <c r="B7" s="10">
        <v>1</v>
      </c>
      <c r="C7" s="11">
        <v>1400000</v>
      </c>
      <c r="D7" s="12">
        <f t="shared" si="0"/>
        <v>1400000</v>
      </c>
      <c r="E7" s="18">
        <f>D7</f>
        <v>1400000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43.25" customHeight="1" x14ac:dyDescent="0.35">
      <c r="A8" s="89" t="s">
        <v>11</v>
      </c>
      <c r="B8" s="7">
        <v>2</v>
      </c>
      <c r="C8" s="12">
        <v>1800000</v>
      </c>
      <c r="D8" s="12">
        <f t="shared" si="0"/>
        <v>3600000</v>
      </c>
      <c r="E8" s="18">
        <f>D8</f>
        <v>3600000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ht="57.65" customHeight="1" x14ac:dyDescent="0.35">
      <c r="A9" s="10" t="s">
        <v>12</v>
      </c>
      <c r="B9" s="10">
        <v>1</v>
      </c>
      <c r="C9" s="9">
        <v>84000000</v>
      </c>
      <c r="D9" s="9">
        <f t="shared" si="0"/>
        <v>84000000</v>
      </c>
      <c r="E9" s="4"/>
      <c r="F9" s="18">
        <f>D9</f>
        <v>84000000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ht="57.65" customHeight="1" x14ac:dyDescent="0.35">
      <c r="A10" s="10" t="s">
        <v>13</v>
      </c>
      <c r="B10" s="10">
        <v>3</v>
      </c>
      <c r="C10" s="11">
        <v>1800000</v>
      </c>
      <c r="D10" s="12">
        <f t="shared" si="0"/>
        <v>5400000</v>
      </c>
      <c r="E10" s="18">
        <v>3600000</v>
      </c>
      <c r="F10" s="19">
        <f>D10-E10</f>
        <v>1800000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35">
      <c r="A11" s="7" t="s">
        <v>14</v>
      </c>
      <c r="B11" s="7">
        <v>1</v>
      </c>
      <c r="C11" s="12">
        <v>155000</v>
      </c>
      <c r="D11" s="12">
        <f t="shared" si="0"/>
        <v>155000</v>
      </c>
      <c r="E11" s="18">
        <f>D11</f>
        <v>155000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ht="28.75" customHeight="1" x14ac:dyDescent="0.35">
      <c r="A12" s="6" t="s">
        <v>15</v>
      </c>
      <c r="B12" s="7">
        <v>1</v>
      </c>
      <c r="C12" s="8">
        <v>2400000</v>
      </c>
      <c r="D12" s="9">
        <f t="shared" si="0"/>
        <v>2400000</v>
      </c>
      <c r="E12" s="18">
        <f>D12</f>
        <v>2400000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43.25" customHeight="1" x14ac:dyDescent="0.35">
      <c r="A13" s="6" t="s">
        <v>16</v>
      </c>
      <c r="B13" s="7">
        <v>2</v>
      </c>
      <c r="C13" s="8">
        <v>100000</v>
      </c>
      <c r="D13" s="12">
        <f t="shared" si="0"/>
        <v>200000</v>
      </c>
      <c r="E13" s="18">
        <f>D13</f>
        <v>200000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ht="172.75" customHeight="1" x14ac:dyDescent="0.35">
      <c r="A14" s="10" t="s">
        <v>203</v>
      </c>
      <c r="B14" s="4">
        <v>2</v>
      </c>
      <c r="C14" s="13">
        <v>713711</v>
      </c>
      <c r="D14" s="9">
        <f t="shared" si="0"/>
        <v>1427422</v>
      </c>
      <c r="E14" s="18">
        <f>D14</f>
        <v>1427422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x14ac:dyDescent="0.35">
      <c r="A15" s="10"/>
      <c r="B15" s="4"/>
      <c r="C15" s="13"/>
      <c r="D15" s="9"/>
      <c r="E15" s="1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ht="57.65" customHeight="1" x14ac:dyDescent="0.35">
      <c r="A16" s="89" t="s">
        <v>17</v>
      </c>
      <c r="B16" s="7">
        <v>2</v>
      </c>
      <c r="C16" s="8">
        <v>350000</v>
      </c>
      <c r="D16" s="12">
        <f t="shared" ref="D16:D56" si="1">B16*C16</f>
        <v>700000</v>
      </c>
      <c r="E16" s="18">
        <f>D16</f>
        <v>700000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ht="57.65" customHeight="1" x14ac:dyDescent="0.35">
      <c r="A17" s="10" t="s">
        <v>18</v>
      </c>
      <c r="B17" s="4">
        <v>1</v>
      </c>
      <c r="C17" s="11">
        <v>4900000</v>
      </c>
      <c r="D17" s="9">
        <f t="shared" si="1"/>
        <v>4900000</v>
      </c>
      <c r="E17" s="18">
        <f>D17</f>
        <v>4900000</v>
      </c>
      <c r="F17" s="1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ht="72" customHeight="1" x14ac:dyDescent="0.35">
      <c r="A18" s="14" t="s">
        <v>19</v>
      </c>
      <c r="B18" s="4">
        <v>1</v>
      </c>
      <c r="C18" s="28">
        <v>50555960</v>
      </c>
      <c r="D18" s="9">
        <f t="shared" si="1"/>
        <v>50555960</v>
      </c>
      <c r="E18" s="18">
        <f>D18</f>
        <v>50555960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0" ht="57.65" customHeight="1" x14ac:dyDescent="0.35">
      <c r="A19" s="89" t="s">
        <v>20</v>
      </c>
      <c r="B19" s="7">
        <v>5</v>
      </c>
      <c r="C19" s="8">
        <v>50000</v>
      </c>
      <c r="D19" s="9">
        <f t="shared" si="1"/>
        <v>250000</v>
      </c>
      <c r="E19" s="18">
        <f>D19</f>
        <v>250000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x14ac:dyDescent="0.35">
      <c r="A20" s="91" t="s">
        <v>204</v>
      </c>
      <c r="B20" s="92">
        <v>1</v>
      </c>
      <c r="C20" s="93">
        <v>12000000</v>
      </c>
      <c r="D20" s="94">
        <f t="shared" si="1"/>
        <v>12000000</v>
      </c>
      <c r="E20" s="18"/>
      <c r="F20" s="95">
        <f>D20</f>
        <v>12000000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 x14ac:dyDescent="0.35">
      <c r="A21" s="96" t="s">
        <v>21</v>
      </c>
      <c r="B21" s="7">
        <v>1</v>
      </c>
      <c r="C21" s="12">
        <v>650000</v>
      </c>
      <c r="D21" s="12">
        <f t="shared" si="1"/>
        <v>650000</v>
      </c>
      <c r="E21" s="18">
        <f>D21</f>
        <v>650000</v>
      </c>
      <c r="F21" s="1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spans="1:20" x14ac:dyDescent="0.35">
      <c r="A22" s="97" t="s">
        <v>205</v>
      </c>
      <c r="B22" s="92">
        <v>5</v>
      </c>
      <c r="C22" s="98">
        <v>45000</v>
      </c>
      <c r="D22" s="98">
        <f t="shared" si="1"/>
        <v>225000</v>
      </c>
      <c r="E22" s="95">
        <f>D22</f>
        <v>225000</v>
      </c>
      <c r="F22" s="1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spans="1:20" x14ac:dyDescent="0.35">
      <c r="A23" s="4" t="s">
        <v>22</v>
      </c>
      <c r="B23" s="4">
        <v>1</v>
      </c>
      <c r="C23" s="9">
        <v>40000000</v>
      </c>
      <c r="D23" s="9">
        <f t="shared" si="1"/>
        <v>40000000</v>
      </c>
      <c r="E23" s="95"/>
      <c r="F23" s="19">
        <f>D23</f>
        <v>40000000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spans="1:20" x14ac:dyDescent="0.35">
      <c r="A24" s="4" t="s">
        <v>206</v>
      </c>
      <c r="B24" s="99">
        <v>1</v>
      </c>
      <c r="C24" s="94">
        <v>3500000</v>
      </c>
      <c r="D24" s="94">
        <f t="shared" si="1"/>
        <v>3500000</v>
      </c>
      <c r="E24" s="95"/>
      <c r="F24" s="100">
        <f>D24</f>
        <v>3500000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spans="1:20" x14ac:dyDescent="0.35">
      <c r="A25" s="89" t="s">
        <v>23</v>
      </c>
      <c r="B25" s="7">
        <v>20</v>
      </c>
      <c r="C25" s="8">
        <v>75000</v>
      </c>
      <c r="D25" s="9">
        <f t="shared" si="1"/>
        <v>1500000</v>
      </c>
      <c r="E25" s="18">
        <f>D25</f>
        <v>1500000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 x14ac:dyDescent="0.35">
      <c r="A26" s="101" t="s">
        <v>24</v>
      </c>
      <c r="B26" s="7">
        <v>7</v>
      </c>
      <c r="C26" s="8">
        <v>1200</v>
      </c>
      <c r="D26" s="12">
        <f t="shared" si="1"/>
        <v>8400</v>
      </c>
      <c r="E26" s="18">
        <f t="shared" ref="E26:E56" si="2">D26</f>
        <v>8400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spans="1:20" x14ac:dyDescent="0.35">
      <c r="A27" s="21" t="s">
        <v>25</v>
      </c>
      <c r="B27" s="10">
        <v>1</v>
      </c>
      <c r="C27" s="9">
        <v>817768</v>
      </c>
      <c r="D27" s="9">
        <f t="shared" si="1"/>
        <v>817768</v>
      </c>
      <c r="E27" s="18">
        <f t="shared" si="2"/>
        <v>817768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 x14ac:dyDescent="0.35">
      <c r="A28" s="101" t="s">
        <v>26</v>
      </c>
      <c r="B28" s="7">
        <v>2</v>
      </c>
      <c r="C28" s="8">
        <v>180000</v>
      </c>
      <c r="D28" s="9">
        <f t="shared" si="1"/>
        <v>360000</v>
      </c>
      <c r="E28" s="18">
        <f t="shared" si="2"/>
        <v>360000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spans="1:20" x14ac:dyDescent="0.35">
      <c r="A29" s="7" t="s">
        <v>27</v>
      </c>
      <c r="B29" s="7">
        <v>1</v>
      </c>
      <c r="C29" s="8">
        <v>1800000</v>
      </c>
      <c r="D29" s="9">
        <f t="shared" si="1"/>
        <v>1800000</v>
      </c>
      <c r="E29" s="18">
        <f t="shared" si="2"/>
        <v>1800000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 ht="57.65" customHeight="1" x14ac:dyDescent="0.35">
      <c r="A30" s="22" t="s">
        <v>28</v>
      </c>
      <c r="B30" s="7">
        <v>1</v>
      </c>
      <c r="C30" s="8">
        <v>14560000</v>
      </c>
      <c r="D30" s="12">
        <f t="shared" si="1"/>
        <v>14560000</v>
      </c>
      <c r="E30" s="18">
        <f t="shared" si="2"/>
        <v>14560000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spans="1:20" ht="43.25" customHeight="1" x14ac:dyDescent="0.35">
      <c r="A31" s="7" t="s">
        <v>29</v>
      </c>
      <c r="B31" s="7">
        <v>1</v>
      </c>
      <c r="C31" s="8">
        <v>250000</v>
      </c>
      <c r="D31" s="9">
        <f t="shared" si="1"/>
        <v>250000</v>
      </c>
      <c r="E31" s="18">
        <f t="shared" si="2"/>
        <v>250000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spans="1:20" ht="28.75" customHeight="1" x14ac:dyDescent="0.35">
      <c r="A32" s="4" t="s">
        <v>30</v>
      </c>
      <c r="B32" s="4">
        <v>1</v>
      </c>
      <c r="C32" s="9">
        <v>4417595</v>
      </c>
      <c r="D32" s="9">
        <f t="shared" si="1"/>
        <v>4417595</v>
      </c>
      <c r="E32" s="18">
        <f t="shared" si="2"/>
        <v>4417595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spans="1:20" x14ac:dyDescent="0.35">
      <c r="A33" s="90" t="s">
        <v>207</v>
      </c>
      <c r="B33" s="10">
        <v>1</v>
      </c>
      <c r="C33" s="12">
        <v>420000</v>
      </c>
      <c r="D33" s="9">
        <f t="shared" si="1"/>
        <v>420000</v>
      </c>
      <c r="E33" s="18">
        <f t="shared" si="2"/>
        <v>420000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 spans="1:20" ht="43.25" customHeight="1" x14ac:dyDescent="0.35">
      <c r="A34" s="90" t="s">
        <v>31</v>
      </c>
      <c r="B34" s="10">
        <v>1</v>
      </c>
      <c r="C34" s="12">
        <v>27625</v>
      </c>
      <c r="D34" s="9">
        <f t="shared" si="1"/>
        <v>27625</v>
      </c>
      <c r="E34" s="18">
        <f t="shared" si="2"/>
        <v>27625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spans="1:20" x14ac:dyDescent="0.35">
      <c r="A35" s="10" t="s">
        <v>32</v>
      </c>
      <c r="B35" s="10">
        <v>2</v>
      </c>
      <c r="C35" s="12">
        <v>3200000</v>
      </c>
      <c r="D35" s="9">
        <f t="shared" si="1"/>
        <v>6400000</v>
      </c>
      <c r="E35" s="18">
        <f t="shared" si="2"/>
        <v>6400000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spans="1:20" x14ac:dyDescent="0.35">
      <c r="A36" s="4" t="s">
        <v>33</v>
      </c>
      <c r="B36" s="4">
        <v>1</v>
      </c>
      <c r="C36" s="9">
        <v>4000000</v>
      </c>
      <c r="D36" s="9">
        <f t="shared" si="1"/>
        <v>4000000</v>
      </c>
      <c r="E36" s="18">
        <f t="shared" si="2"/>
        <v>4000000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spans="1:20" x14ac:dyDescent="0.35">
      <c r="A37" s="89" t="s">
        <v>34</v>
      </c>
      <c r="B37" s="7">
        <v>2</v>
      </c>
      <c r="C37" s="8">
        <v>75000</v>
      </c>
      <c r="D37" s="12">
        <f t="shared" si="1"/>
        <v>150000</v>
      </c>
      <c r="E37" s="18">
        <f t="shared" si="2"/>
        <v>150000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 x14ac:dyDescent="0.35">
      <c r="A38" s="101" t="s">
        <v>35</v>
      </c>
      <c r="B38" s="7">
        <v>1</v>
      </c>
      <c r="C38" s="8">
        <v>450000</v>
      </c>
      <c r="D38" s="12">
        <f t="shared" si="1"/>
        <v>450000</v>
      </c>
      <c r="E38" s="18">
        <f t="shared" si="2"/>
        <v>450000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spans="1:20" x14ac:dyDescent="0.35">
      <c r="A39" s="102" t="s">
        <v>36</v>
      </c>
      <c r="B39" s="7">
        <v>2</v>
      </c>
      <c r="C39" s="8">
        <v>350000</v>
      </c>
      <c r="D39" s="12">
        <f t="shared" si="1"/>
        <v>700000</v>
      </c>
      <c r="E39" s="18">
        <f t="shared" si="2"/>
        <v>700000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 x14ac:dyDescent="0.35">
      <c r="A40" s="102" t="s">
        <v>37</v>
      </c>
      <c r="B40" s="7">
        <v>7</v>
      </c>
      <c r="C40" s="8">
        <v>14000</v>
      </c>
      <c r="D40" s="9">
        <f t="shared" si="1"/>
        <v>98000</v>
      </c>
      <c r="E40" s="18">
        <f t="shared" si="2"/>
        <v>98000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spans="1:20" x14ac:dyDescent="0.35">
      <c r="A41" s="103" t="s">
        <v>38</v>
      </c>
      <c r="B41" s="104">
        <v>1</v>
      </c>
      <c r="C41" s="105">
        <v>1620000</v>
      </c>
      <c r="D41" s="105">
        <f t="shared" si="1"/>
        <v>1620000</v>
      </c>
      <c r="E41" s="106">
        <f t="shared" si="2"/>
        <v>1620000</v>
      </c>
      <c r="F41" s="107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ht="29" x14ac:dyDescent="0.35">
      <c r="A42" s="23" t="s">
        <v>39</v>
      </c>
      <c r="B42" s="4">
        <v>5</v>
      </c>
      <c r="C42" s="9">
        <v>510000</v>
      </c>
      <c r="D42" s="9">
        <f t="shared" si="1"/>
        <v>2550000</v>
      </c>
      <c r="E42" s="18">
        <f t="shared" si="2"/>
        <v>2550000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 x14ac:dyDescent="0.35">
      <c r="A43" s="102" t="s">
        <v>40</v>
      </c>
      <c r="B43" s="10">
        <v>1</v>
      </c>
      <c r="C43" s="11">
        <v>185000</v>
      </c>
      <c r="D43" s="12">
        <f t="shared" si="1"/>
        <v>185000</v>
      </c>
      <c r="E43" s="18">
        <f t="shared" si="2"/>
        <v>185000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 x14ac:dyDescent="0.35">
      <c r="A44" s="24" t="s">
        <v>40</v>
      </c>
      <c r="B44" s="10">
        <v>1</v>
      </c>
      <c r="C44" s="12">
        <v>215000</v>
      </c>
      <c r="D44" s="12">
        <f t="shared" si="1"/>
        <v>215000</v>
      </c>
      <c r="E44" s="18">
        <f t="shared" si="2"/>
        <v>215000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 x14ac:dyDescent="0.35">
      <c r="A45" s="24" t="s">
        <v>41</v>
      </c>
      <c r="B45" s="7">
        <v>2</v>
      </c>
      <c r="C45" s="8">
        <v>230000</v>
      </c>
      <c r="D45" s="9">
        <f t="shared" si="1"/>
        <v>460000</v>
      </c>
      <c r="E45" s="18">
        <f t="shared" si="2"/>
        <v>460000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spans="1:20" x14ac:dyDescent="0.35">
      <c r="A46" s="102" t="s">
        <v>42</v>
      </c>
      <c r="B46" s="7">
        <v>2</v>
      </c>
      <c r="C46" s="8">
        <v>130000</v>
      </c>
      <c r="D46" s="12">
        <f t="shared" si="1"/>
        <v>260000</v>
      </c>
      <c r="E46" s="18">
        <f t="shared" si="2"/>
        <v>260000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x14ac:dyDescent="0.35">
      <c r="A47" s="108" t="s">
        <v>208</v>
      </c>
      <c r="B47" s="92">
        <v>1</v>
      </c>
      <c r="C47" s="93">
        <v>550000</v>
      </c>
      <c r="D47" s="98">
        <f t="shared" si="1"/>
        <v>550000</v>
      </c>
      <c r="E47" s="95">
        <f t="shared" si="2"/>
        <v>550000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35">
      <c r="A48" s="24" t="s">
        <v>43</v>
      </c>
      <c r="B48" s="7">
        <v>3</v>
      </c>
      <c r="C48" s="8">
        <v>5000000</v>
      </c>
      <c r="D48" s="12">
        <f t="shared" si="1"/>
        <v>15000000</v>
      </c>
      <c r="E48" s="18">
        <f t="shared" si="2"/>
        <v>15000000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35">
      <c r="A49" s="102" t="s">
        <v>44</v>
      </c>
      <c r="B49" s="7">
        <v>15</v>
      </c>
      <c r="C49" s="8">
        <v>8000</v>
      </c>
      <c r="D49" s="12">
        <f t="shared" si="1"/>
        <v>120000</v>
      </c>
      <c r="E49" s="18">
        <f t="shared" si="2"/>
        <v>120000</v>
      </c>
      <c r="F49" s="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ht="15.5" x14ac:dyDescent="0.35">
      <c r="A50" s="24" t="s">
        <v>45</v>
      </c>
      <c r="B50" s="10">
        <v>1</v>
      </c>
      <c r="C50" s="9">
        <v>2964443</v>
      </c>
      <c r="D50" s="9">
        <f t="shared" si="1"/>
        <v>2964443</v>
      </c>
      <c r="E50" s="18">
        <f t="shared" si="2"/>
        <v>2964443</v>
      </c>
      <c r="F50" s="2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x14ac:dyDescent="0.35">
      <c r="A51" s="24" t="s">
        <v>46</v>
      </c>
      <c r="B51" s="4">
        <v>1</v>
      </c>
      <c r="C51" s="11">
        <v>1640714</v>
      </c>
      <c r="D51" s="9">
        <f t="shared" si="1"/>
        <v>1640714</v>
      </c>
      <c r="E51" s="18">
        <f t="shared" si="2"/>
        <v>1640714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ht="29" x14ac:dyDescent="0.35">
      <c r="A52" s="23" t="s">
        <v>47</v>
      </c>
      <c r="B52" s="4">
        <v>1</v>
      </c>
      <c r="C52" s="9">
        <v>13260000</v>
      </c>
      <c r="D52" s="9">
        <f t="shared" si="1"/>
        <v>13260000</v>
      </c>
      <c r="E52" s="18">
        <f t="shared" si="2"/>
        <v>13260000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x14ac:dyDescent="0.35">
      <c r="A53" s="89" t="s">
        <v>48</v>
      </c>
      <c r="B53" s="7">
        <v>3</v>
      </c>
      <c r="C53" s="8">
        <v>323700</v>
      </c>
      <c r="D53" s="9">
        <f t="shared" si="1"/>
        <v>971100</v>
      </c>
      <c r="E53" s="8">
        <f t="shared" si="2"/>
        <v>971100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x14ac:dyDescent="0.35">
      <c r="A54" s="89" t="s">
        <v>49</v>
      </c>
      <c r="B54" s="7">
        <v>2</v>
      </c>
      <c r="C54" s="8">
        <v>45000</v>
      </c>
      <c r="D54" s="9">
        <f t="shared" si="1"/>
        <v>90000</v>
      </c>
      <c r="E54" s="15">
        <f t="shared" si="2"/>
        <v>90000</v>
      </c>
      <c r="F54" s="19"/>
    </row>
    <row r="55" spans="1:20" x14ac:dyDescent="0.35">
      <c r="A55" s="24" t="s">
        <v>50</v>
      </c>
      <c r="B55" s="7">
        <v>1</v>
      </c>
      <c r="C55" s="8">
        <v>3000000</v>
      </c>
      <c r="D55" s="9">
        <f t="shared" si="1"/>
        <v>3000000</v>
      </c>
      <c r="E55" s="18">
        <f t="shared" si="2"/>
        <v>3000000</v>
      </c>
      <c r="F55" s="4"/>
    </row>
    <row r="56" spans="1:20" x14ac:dyDescent="0.35">
      <c r="A56" s="102" t="s">
        <v>51</v>
      </c>
      <c r="B56" s="7">
        <v>2</v>
      </c>
      <c r="C56" s="8">
        <v>75000</v>
      </c>
      <c r="D56" s="12">
        <f t="shared" si="1"/>
        <v>150000</v>
      </c>
      <c r="E56" s="18">
        <f t="shared" si="2"/>
        <v>150000</v>
      </c>
      <c r="F56" s="19"/>
    </row>
    <row r="57" spans="1:20" ht="15.5" x14ac:dyDescent="0.35">
      <c r="A57" s="16" t="s">
        <v>52</v>
      </c>
      <c r="B57" s="6"/>
      <c r="C57" s="7"/>
      <c r="D57" s="17">
        <f>SUM(D4:D56)</f>
        <v>294860503</v>
      </c>
      <c r="E57" s="18">
        <f>SUM(E4:E56)</f>
        <v>153560503</v>
      </c>
      <c r="F57" s="19">
        <f>D57-E57</f>
        <v>141300000</v>
      </c>
    </row>
    <row r="58" spans="1:20" ht="15.5" x14ac:dyDescent="0.35">
      <c r="A58" s="1" t="s">
        <v>65</v>
      </c>
      <c r="B58" s="1" t="s">
        <v>66</v>
      </c>
      <c r="F58" s="31"/>
    </row>
    <row r="59" spans="1:20" ht="15.5" x14ac:dyDescent="0.35">
      <c r="A59" s="136" t="s">
        <v>2</v>
      </c>
      <c r="B59" s="136"/>
      <c r="C59" s="26" t="s">
        <v>67</v>
      </c>
      <c r="D59" s="2" t="s">
        <v>68</v>
      </c>
      <c r="E59" s="2" t="s">
        <v>5</v>
      </c>
      <c r="F59" s="31"/>
    </row>
    <row r="60" spans="1:20" ht="15.5" x14ac:dyDescent="0.35">
      <c r="A60" s="135" t="s">
        <v>69</v>
      </c>
      <c r="B60" s="135"/>
      <c r="C60" s="27">
        <v>14</v>
      </c>
      <c r="D60" s="28">
        <v>450000</v>
      </c>
      <c r="E60" s="29">
        <f>C60*D60</f>
        <v>6300000</v>
      </c>
      <c r="F60" s="31"/>
    </row>
    <row r="61" spans="1:20" ht="15.5" x14ac:dyDescent="0.35">
      <c r="A61" s="137" t="s">
        <v>70</v>
      </c>
      <c r="B61" s="138"/>
      <c r="C61" s="27">
        <v>4</v>
      </c>
      <c r="D61" s="28">
        <v>393450</v>
      </c>
      <c r="E61" s="29">
        <f t="shared" ref="E61:E62" si="3">C61*D61</f>
        <v>1573800</v>
      </c>
    </row>
    <row r="62" spans="1:20" ht="15.5" x14ac:dyDescent="0.35">
      <c r="A62" s="135" t="s">
        <v>71</v>
      </c>
      <c r="B62" s="135"/>
      <c r="C62" s="27">
        <v>6</v>
      </c>
      <c r="D62" s="28">
        <v>300000</v>
      </c>
      <c r="E62" s="29">
        <f t="shared" si="3"/>
        <v>1800000</v>
      </c>
    </row>
    <row r="63" spans="1:20" ht="15.5" x14ac:dyDescent="0.35">
      <c r="A63" s="4" t="s">
        <v>52</v>
      </c>
      <c r="B63" s="4"/>
      <c r="E63" s="30">
        <f>SUM(E60:E62)</f>
        <v>9673800</v>
      </c>
    </row>
    <row r="64" spans="1:20" ht="15.5" x14ac:dyDescent="0.35">
      <c r="E64" s="30"/>
    </row>
    <row r="65" spans="1:5" ht="15.5" x14ac:dyDescent="0.35">
      <c r="A65" s="49" t="s">
        <v>209</v>
      </c>
      <c r="B65" s="1"/>
      <c r="C65" s="1"/>
      <c r="D65" s="32">
        <v>5000000</v>
      </c>
      <c r="E65" s="30"/>
    </row>
    <row r="66" spans="1:5" ht="15.5" x14ac:dyDescent="0.35">
      <c r="A66" s="1" t="s">
        <v>210</v>
      </c>
      <c r="B66" s="1"/>
      <c r="C66" s="1"/>
      <c r="D66" s="32">
        <v>2500000</v>
      </c>
      <c r="E66" s="30"/>
    </row>
    <row r="67" spans="1:5" ht="15.5" x14ac:dyDescent="0.35">
      <c r="A67" s="1" t="s">
        <v>211</v>
      </c>
      <c r="D67" s="35">
        <f>D69</f>
        <v>420000</v>
      </c>
      <c r="E67" s="30"/>
    </row>
    <row r="68" spans="1:5" x14ac:dyDescent="0.35">
      <c r="A68" t="s">
        <v>2</v>
      </c>
      <c r="B68" t="s">
        <v>4</v>
      </c>
      <c r="C68" t="s">
        <v>67</v>
      </c>
      <c r="D68" t="s">
        <v>5</v>
      </c>
    </row>
    <row r="69" spans="1:5" x14ac:dyDescent="0.35">
      <c r="A69" t="s">
        <v>212</v>
      </c>
      <c r="B69">
        <v>4500</v>
      </c>
      <c r="C69">
        <v>20</v>
      </c>
      <c r="D69" s="32">
        <v>420000</v>
      </c>
    </row>
    <row r="70" spans="1:5" ht="15.5" x14ac:dyDescent="0.35">
      <c r="A70" s="136" t="s">
        <v>2</v>
      </c>
      <c r="B70" s="136"/>
      <c r="C70" s="26" t="s">
        <v>67</v>
      </c>
      <c r="D70" s="2" t="s">
        <v>68</v>
      </c>
      <c r="E70" s="2" t="s">
        <v>5</v>
      </c>
    </row>
    <row r="71" spans="1:5" ht="15.5" x14ac:dyDescent="0.35">
      <c r="A71" s="135" t="s">
        <v>69</v>
      </c>
      <c r="B71" s="135"/>
      <c r="C71" s="27">
        <v>14</v>
      </c>
      <c r="D71" s="28">
        <v>53216</v>
      </c>
      <c r="E71" s="29">
        <f>C71*D71</f>
        <v>745024</v>
      </c>
    </row>
    <row r="72" spans="1:5" ht="15.5" x14ac:dyDescent="0.35">
      <c r="A72" s="135" t="s">
        <v>71</v>
      </c>
      <c r="B72" s="135"/>
      <c r="C72" s="27">
        <v>4</v>
      </c>
      <c r="D72" s="28">
        <v>26676</v>
      </c>
      <c r="E72" s="29">
        <f t="shared" ref="E72" si="4">C72*D72</f>
        <v>106704</v>
      </c>
    </row>
    <row r="73" spans="1:5" x14ac:dyDescent="0.35">
      <c r="A73" t="s">
        <v>52</v>
      </c>
      <c r="E73" s="31">
        <f>SUM(E71:E72)</f>
        <v>851728</v>
      </c>
    </row>
    <row r="76" spans="1:5" x14ac:dyDescent="0.35">
      <c r="A76" t="s">
        <v>73</v>
      </c>
      <c r="B76" s="31">
        <v>2100000</v>
      </c>
    </row>
    <row r="77" spans="1:5" x14ac:dyDescent="0.35">
      <c r="A77" t="s">
        <v>74</v>
      </c>
      <c r="B77">
        <v>250000</v>
      </c>
    </row>
    <row r="78" spans="1:5" ht="15.5" x14ac:dyDescent="0.35">
      <c r="A78" s="1" t="s">
        <v>133</v>
      </c>
    </row>
    <row r="79" spans="1:5" x14ac:dyDescent="0.35">
      <c r="A79" t="s">
        <v>75</v>
      </c>
      <c r="B79" t="s">
        <v>76</v>
      </c>
      <c r="C79" t="s">
        <v>77</v>
      </c>
      <c r="D79" s="32">
        <f>10%*10000000</f>
        <v>1000000</v>
      </c>
    </row>
    <row r="80" spans="1:5" x14ac:dyDescent="0.35">
      <c r="A80" t="s">
        <v>78</v>
      </c>
      <c r="B80" t="s">
        <v>79</v>
      </c>
      <c r="D80" s="32">
        <f xml:space="preserve"> 4.5% *10000000</f>
        <v>450000</v>
      </c>
    </row>
    <row r="81" spans="1:4" ht="15.5" x14ac:dyDescent="0.35">
      <c r="A81" t="s">
        <v>80</v>
      </c>
      <c r="B81" t="s">
        <v>81</v>
      </c>
      <c r="D81" s="33">
        <v>450000</v>
      </c>
    </row>
    <row r="82" spans="1:4" ht="15.5" x14ac:dyDescent="0.35">
      <c r="A82" s="34" t="s">
        <v>82</v>
      </c>
      <c r="D82" s="35">
        <f>D89</f>
        <v>200000</v>
      </c>
    </row>
    <row r="83" spans="1:4" ht="15.5" x14ac:dyDescent="0.35">
      <c r="A83" s="36"/>
      <c r="D83" s="35">
        <f>SUM(D79:D82)</f>
        <v>2100000</v>
      </c>
    </row>
    <row r="84" spans="1:4" ht="15.5" x14ac:dyDescent="0.35">
      <c r="A84" s="34" t="s">
        <v>82</v>
      </c>
      <c r="D84" s="35"/>
    </row>
    <row r="85" spans="1:4" ht="15.5" x14ac:dyDescent="0.35">
      <c r="A85" s="2" t="s">
        <v>2</v>
      </c>
      <c r="B85" s="37" t="s">
        <v>4</v>
      </c>
      <c r="C85" s="37" t="s">
        <v>67</v>
      </c>
      <c r="D85" s="2" t="s">
        <v>5</v>
      </c>
    </row>
    <row r="86" spans="1:4" x14ac:dyDescent="0.35">
      <c r="A86" s="4"/>
      <c r="B86" s="9"/>
      <c r="C86" s="38"/>
      <c r="D86" s="9"/>
    </row>
    <row r="87" spans="1:4" x14ac:dyDescent="0.35">
      <c r="A87" s="4" t="s">
        <v>83</v>
      </c>
      <c r="B87" s="9">
        <v>5000</v>
      </c>
      <c r="C87" s="38">
        <v>20</v>
      </c>
      <c r="D87" s="9">
        <f t="shared" ref="D87:D88" si="5">B87*C87</f>
        <v>100000</v>
      </c>
    </row>
    <row r="88" spans="1:4" x14ac:dyDescent="0.35">
      <c r="A88" s="4" t="s">
        <v>84</v>
      </c>
      <c r="B88" s="9">
        <v>100000</v>
      </c>
      <c r="C88" s="38">
        <v>1</v>
      </c>
      <c r="D88" s="9">
        <f t="shared" si="5"/>
        <v>100000</v>
      </c>
    </row>
    <row r="89" spans="1:4" x14ac:dyDescent="0.35">
      <c r="A89" s="4" t="s">
        <v>52</v>
      </c>
      <c r="B89" s="9"/>
      <c r="C89" s="38"/>
      <c r="D89" s="9">
        <f>SUM(D86:D88)</f>
        <v>200000</v>
      </c>
    </row>
    <row r="91" spans="1:4" ht="15.5" x14ac:dyDescent="0.35">
      <c r="A91" s="1" t="s">
        <v>85</v>
      </c>
    </row>
    <row r="92" spans="1:4" x14ac:dyDescent="0.35">
      <c r="A92" t="s">
        <v>86</v>
      </c>
      <c r="B92" s="32">
        <v>50000</v>
      </c>
      <c r="C92" s="32"/>
    </row>
    <row r="93" spans="1:4" x14ac:dyDescent="0.35">
      <c r="A93" t="s">
        <v>87</v>
      </c>
      <c r="B93" s="32">
        <v>800000</v>
      </c>
      <c r="C93" s="32"/>
    </row>
    <row r="94" spans="1:4" x14ac:dyDescent="0.35">
      <c r="A94" t="s">
        <v>88</v>
      </c>
      <c r="B94" s="32">
        <f>D100</f>
        <v>1036000</v>
      </c>
      <c r="C94" s="32"/>
    </row>
    <row r="95" spans="1:4" x14ac:dyDescent="0.35">
      <c r="B95" s="32">
        <f>SUM(B92:B94)</f>
        <v>1886000</v>
      </c>
      <c r="C95" s="32"/>
    </row>
    <row r="96" spans="1:4" ht="15.5" x14ac:dyDescent="0.35">
      <c r="A96" s="2" t="s">
        <v>89</v>
      </c>
      <c r="B96" s="37" t="s">
        <v>4</v>
      </c>
      <c r="C96" s="37" t="s">
        <v>67</v>
      </c>
      <c r="D96" s="2" t="s">
        <v>5</v>
      </c>
    </row>
    <row r="97" spans="1:4" x14ac:dyDescent="0.35">
      <c r="A97" s="4" t="s">
        <v>83</v>
      </c>
      <c r="B97" s="9">
        <v>5000</v>
      </c>
      <c r="C97" s="38">
        <v>30</v>
      </c>
      <c r="D97" s="9">
        <f t="shared" ref="D97:D99" si="6">B97*C97</f>
        <v>150000</v>
      </c>
    </row>
    <row r="98" spans="1:4" x14ac:dyDescent="0.35">
      <c r="A98" s="4" t="s">
        <v>84</v>
      </c>
      <c r="B98" s="9">
        <v>100000</v>
      </c>
      <c r="C98" s="38">
        <v>2</v>
      </c>
      <c r="D98" s="9">
        <f t="shared" si="6"/>
        <v>200000</v>
      </c>
    </row>
    <row r="99" spans="1:4" x14ac:dyDescent="0.35">
      <c r="A99" s="4" t="s">
        <v>90</v>
      </c>
      <c r="B99" s="9">
        <v>4200</v>
      </c>
      <c r="C99" s="38">
        <v>40</v>
      </c>
      <c r="D99" s="9">
        <f t="shared" si="6"/>
        <v>168000</v>
      </c>
    </row>
    <row r="100" spans="1:4" x14ac:dyDescent="0.35">
      <c r="A100" s="4" t="s">
        <v>52</v>
      </c>
      <c r="B100" s="9"/>
      <c r="C100" s="38"/>
      <c r="D100" s="9">
        <f>SUM(D97:D99)*2</f>
        <v>1036000</v>
      </c>
    </row>
    <row r="102" spans="1:4" ht="15.5" x14ac:dyDescent="0.35">
      <c r="A102" s="1" t="s">
        <v>91</v>
      </c>
      <c r="B102" s="39"/>
      <c r="C102" s="39"/>
    </row>
    <row r="103" spans="1:4" ht="15.5" x14ac:dyDescent="0.35">
      <c r="A103" s="2" t="s">
        <v>2</v>
      </c>
      <c r="B103" s="37" t="s">
        <v>5</v>
      </c>
      <c r="C103" s="39"/>
    </row>
    <row r="104" spans="1:4" ht="15.5" x14ac:dyDescent="0.35">
      <c r="A104" s="4" t="s">
        <v>92</v>
      </c>
      <c r="B104" s="9">
        <v>250000</v>
      </c>
      <c r="C104" s="39"/>
    </row>
    <row r="105" spans="1:4" ht="15.5" x14ac:dyDescent="0.35">
      <c r="A105" s="2"/>
      <c r="B105" s="37">
        <f>SUM(B104)</f>
        <v>250000</v>
      </c>
      <c r="C105" s="39"/>
    </row>
    <row r="107" spans="1:4" ht="15.5" x14ac:dyDescent="0.35">
      <c r="A107" s="1" t="s">
        <v>93</v>
      </c>
    </row>
    <row r="108" spans="1:4" ht="15.5" x14ac:dyDescent="0.35">
      <c r="A108" s="1" t="s">
        <v>94</v>
      </c>
    </row>
    <row r="109" spans="1:4" ht="15.5" x14ac:dyDescent="0.35">
      <c r="A109" s="2" t="s">
        <v>89</v>
      </c>
      <c r="B109" s="37" t="s">
        <v>4</v>
      </c>
      <c r="C109" s="37" t="s">
        <v>67</v>
      </c>
      <c r="D109" s="2" t="s">
        <v>5</v>
      </c>
    </row>
    <row r="110" spans="1:4" x14ac:dyDescent="0.35">
      <c r="A110" s="4"/>
      <c r="B110" s="9"/>
      <c r="C110" s="38"/>
      <c r="D110" s="9"/>
    </row>
    <row r="111" spans="1:4" x14ac:dyDescent="0.35">
      <c r="A111" s="4" t="s">
        <v>83</v>
      </c>
      <c r="B111" s="9">
        <v>5000</v>
      </c>
      <c r="C111" s="38">
        <v>20</v>
      </c>
      <c r="D111" s="9">
        <f t="shared" ref="D111:D113" si="7">B111*C111</f>
        <v>100000</v>
      </c>
    </row>
    <row r="112" spans="1:4" x14ac:dyDescent="0.35">
      <c r="A112" s="4" t="s">
        <v>84</v>
      </c>
      <c r="B112" s="9">
        <v>50000</v>
      </c>
      <c r="C112" s="38">
        <v>2</v>
      </c>
      <c r="D112" s="9">
        <f t="shared" si="7"/>
        <v>100000</v>
      </c>
    </row>
    <row r="113" spans="1:4" x14ac:dyDescent="0.35">
      <c r="A113" s="4" t="s">
        <v>95</v>
      </c>
      <c r="B113" s="9">
        <v>50000</v>
      </c>
      <c r="C113" s="38">
        <v>2</v>
      </c>
      <c r="D113" s="9">
        <f t="shared" si="7"/>
        <v>100000</v>
      </c>
    </row>
    <row r="114" spans="1:4" x14ac:dyDescent="0.35">
      <c r="A114" s="40" t="s">
        <v>96</v>
      </c>
      <c r="B114" s="32"/>
      <c r="C114" s="41"/>
      <c r="D114" s="32">
        <f>SUM(D110:D113)*2</f>
        <v>600000</v>
      </c>
    </row>
    <row r="115" spans="1:4" ht="15.5" x14ac:dyDescent="0.35">
      <c r="A115" s="1" t="s">
        <v>97</v>
      </c>
    </row>
    <row r="117" spans="1:4" ht="15.5" x14ac:dyDescent="0.35">
      <c r="A117" s="42" t="s">
        <v>98</v>
      </c>
    </row>
    <row r="118" spans="1:4" x14ac:dyDescent="0.35">
      <c r="A118" t="s">
        <v>99</v>
      </c>
      <c r="B118" t="s">
        <v>76</v>
      </c>
      <c r="C118" t="s">
        <v>77</v>
      </c>
      <c r="D118" s="32">
        <f>10%*10000000</f>
        <v>1000000</v>
      </c>
    </row>
    <row r="119" spans="1:4" x14ac:dyDescent="0.35">
      <c r="A119" t="s">
        <v>78</v>
      </c>
      <c r="B119" t="s">
        <v>79</v>
      </c>
      <c r="D119" s="32">
        <f xml:space="preserve"> 4.5% *10000000</f>
        <v>450000</v>
      </c>
    </row>
    <row r="120" spans="1:4" ht="15.5" x14ac:dyDescent="0.35">
      <c r="A120" t="s">
        <v>80</v>
      </c>
      <c r="B120" t="s">
        <v>81</v>
      </c>
      <c r="D120" s="33">
        <v>450000</v>
      </c>
    </row>
    <row r="121" spans="1:4" ht="15.5" x14ac:dyDescent="0.35">
      <c r="A121" s="34" t="s">
        <v>82</v>
      </c>
      <c r="D121" s="35">
        <f>D128</f>
        <v>200000</v>
      </c>
    </row>
    <row r="122" spans="1:4" ht="15.5" x14ac:dyDescent="0.35">
      <c r="A122" s="36"/>
      <c r="D122" s="35">
        <f>SUM(D118:D121)</f>
        <v>2100000</v>
      </c>
    </row>
    <row r="123" spans="1:4" ht="15.5" x14ac:dyDescent="0.35">
      <c r="A123" s="34" t="s">
        <v>82</v>
      </c>
      <c r="D123" s="35"/>
    </row>
    <row r="124" spans="1:4" ht="15.5" x14ac:dyDescent="0.35">
      <c r="A124" s="2" t="s">
        <v>2</v>
      </c>
      <c r="B124" s="37" t="s">
        <v>4</v>
      </c>
      <c r="C124" s="37" t="s">
        <v>67</v>
      </c>
      <c r="D124" s="2" t="s">
        <v>5</v>
      </c>
    </row>
    <row r="125" spans="1:4" x14ac:dyDescent="0.35">
      <c r="A125" s="4"/>
      <c r="B125" s="9"/>
      <c r="C125" s="38"/>
      <c r="D125" s="9"/>
    </row>
    <row r="126" spans="1:4" x14ac:dyDescent="0.35">
      <c r="A126" s="4" t="s">
        <v>83</v>
      </c>
      <c r="B126" s="9">
        <v>5000</v>
      </c>
      <c r="C126" s="38">
        <v>20</v>
      </c>
      <c r="D126" s="9">
        <f t="shared" ref="D126:D127" si="8">B126*C126</f>
        <v>100000</v>
      </c>
    </row>
    <row r="127" spans="1:4" x14ac:dyDescent="0.35">
      <c r="A127" s="4" t="s">
        <v>84</v>
      </c>
      <c r="B127" s="9">
        <v>100000</v>
      </c>
      <c r="C127" s="38">
        <v>1</v>
      </c>
      <c r="D127" s="9">
        <f t="shared" si="8"/>
        <v>100000</v>
      </c>
    </row>
    <row r="128" spans="1:4" ht="15.5" x14ac:dyDescent="0.35">
      <c r="A128" s="2" t="s">
        <v>52</v>
      </c>
      <c r="B128" s="9"/>
      <c r="C128" s="38"/>
      <c r="D128" s="9">
        <f>SUM(D125:D127)</f>
        <v>200000</v>
      </c>
    </row>
    <row r="130" spans="1:4" ht="15.5" x14ac:dyDescent="0.35">
      <c r="A130" s="1" t="s">
        <v>100</v>
      </c>
    </row>
    <row r="131" spans="1:4" x14ac:dyDescent="0.35">
      <c r="A131" t="s">
        <v>86</v>
      </c>
      <c r="B131" s="32">
        <v>50000</v>
      </c>
      <c r="C131" s="32"/>
    </row>
    <row r="132" spans="1:4" x14ac:dyDescent="0.35">
      <c r="A132" t="s">
        <v>87</v>
      </c>
      <c r="B132" s="32">
        <v>800000</v>
      </c>
      <c r="C132" s="32"/>
    </row>
    <row r="133" spans="1:4" x14ac:dyDescent="0.35">
      <c r="A133" t="s">
        <v>88</v>
      </c>
      <c r="B133" s="32">
        <f>D142</f>
        <v>1036000</v>
      </c>
      <c r="C133" s="32"/>
    </row>
    <row r="134" spans="1:4" ht="15.5" x14ac:dyDescent="0.35">
      <c r="A134" s="1" t="s">
        <v>52</v>
      </c>
      <c r="B134" s="32">
        <f>SUM(B131:B133)</f>
        <v>1886000</v>
      </c>
      <c r="C134" s="32"/>
    </row>
    <row r="135" spans="1:4" ht="15.5" x14ac:dyDescent="0.35">
      <c r="A135" s="1"/>
      <c r="B135" s="32"/>
      <c r="C135" s="32"/>
    </row>
    <row r="136" spans="1:4" ht="15.5" x14ac:dyDescent="0.35">
      <c r="A136" s="1"/>
      <c r="B136" s="32"/>
      <c r="C136" s="32"/>
    </row>
    <row r="137" spans="1:4" ht="15.5" x14ac:dyDescent="0.35">
      <c r="A137" s="2" t="s">
        <v>89</v>
      </c>
      <c r="B137" s="37" t="s">
        <v>4</v>
      </c>
      <c r="C137" s="37" t="s">
        <v>67</v>
      </c>
      <c r="D137" s="2" t="s">
        <v>5</v>
      </c>
    </row>
    <row r="138" spans="1:4" x14ac:dyDescent="0.35">
      <c r="A138" s="4"/>
      <c r="B138" s="9"/>
      <c r="C138" s="38"/>
      <c r="D138" s="9"/>
    </row>
    <row r="139" spans="1:4" x14ac:dyDescent="0.35">
      <c r="A139" s="4" t="s">
        <v>83</v>
      </c>
      <c r="B139" s="9">
        <v>5000</v>
      </c>
      <c r="C139" s="38">
        <v>30</v>
      </c>
      <c r="D139" s="9">
        <f t="shared" ref="D139:D141" si="9">B139*C139</f>
        <v>150000</v>
      </c>
    </row>
    <row r="140" spans="1:4" x14ac:dyDescent="0.35">
      <c r="A140" s="4" t="s">
        <v>84</v>
      </c>
      <c r="B140" s="9">
        <v>100000</v>
      </c>
      <c r="C140" s="38">
        <v>2</v>
      </c>
      <c r="D140" s="9">
        <f t="shared" si="9"/>
        <v>200000</v>
      </c>
    </row>
    <row r="141" spans="1:4" x14ac:dyDescent="0.35">
      <c r="A141" s="4" t="s">
        <v>90</v>
      </c>
      <c r="B141" s="9">
        <v>4200</v>
      </c>
      <c r="C141" s="38">
        <v>40</v>
      </c>
      <c r="D141" s="9">
        <f t="shared" si="9"/>
        <v>168000</v>
      </c>
    </row>
    <row r="142" spans="1:4" x14ac:dyDescent="0.35">
      <c r="B142" s="32"/>
      <c r="C142" s="41"/>
      <c r="D142" s="32">
        <f>SUM(D138:D141)*2</f>
        <v>1036000</v>
      </c>
    </row>
    <row r="143" spans="1:4" ht="15.5" x14ac:dyDescent="0.35">
      <c r="A143" s="2" t="s">
        <v>101</v>
      </c>
    </row>
    <row r="144" spans="1:4" ht="15.5" x14ac:dyDescent="0.35">
      <c r="A144" s="2" t="s">
        <v>2</v>
      </c>
      <c r="B144" s="37" t="s">
        <v>5</v>
      </c>
      <c r="C144" s="39"/>
    </row>
    <row r="145" spans="1:5" ht="15.5" x14ac:dyDescent="0.35">
      <c r="A145" s="4" t="s">
        <v>92</v>
      </c>
      <c r="B145" s="9">
        <v>250000</v>
      </c>
      <c r="C145" s="39"/>
    </row>
    <row r="146" spans="1:5" ht="15.5" x14ac:dyDescent="0.35">
      <c r="A146" s="2"/>
      <c r="B146" s="37">
        <f>SUM(B145)</f>
        <v>250000</v>
      </c>
      <c r="C146" s="39"/>
    </row>
    <row r="148" spans="1:5" ht="15.5" x14ac:dyDescent="0.35">
      <c r="A148" s="1" t="s">
        <v>102</v>
      </c>
      <c r="E148" s="1"/>
    </row>
    <row r="149" spans="1:5" ht="15.5" x14ac:dyDescent="0.35">
      <c r="A149" s="1" t="s">
        <v>103</v>
      </c>
      <c r="B149" t="s">
        <v>104</v>
      </c>
      <c r="C149" s="4" t="s">
        <v>105</v>
      </c>
      <c r="D149" s="4" t="s">
        <v>5</v>
      </c>
      <c r="E149" s="1"/>
    </row>
    <row r="150" spans="1:5" ht="15.5" x14ac:dyDescent="0.35">
      <c r="A150" s="14" t="s">
        <v>106</v>
      </c>
      <c r="B150" s="43">
        <v>1</v>
      </c>
      <c r="C150" s="9">
        <v>2400000</v>
      </c>
      <c r="D150" s="9">
        <f>B150*C150</f>
        <v>2400000</v>
      </c>
      <c r="E150" s="1"/>
    </row>
    <row r="151" spans="1:5" ht="15.5" x14ac:dyDescent="0.35">
      <c r="A151" s="14" t="s">
        <v>107</v>
      </c>
      <c r="B151" s="43">
        <v>196</v>
      </c>
      <c r="C151" s="9"/>
      <c r="D151" s="9">
        <f>D161</f>
        <v>4085000</v>
      </c>
      <c r="E151" s="1"/>
    </row>
    <row r="152" spans="1:5" ht="15.5" x14ac:dyDescent="0.35">
      <c r="A152" s="14" t="s">
        <v>108</v>
      </c>
      <c r="B152" s="43">
        <v>4</v>
      </c>
      <c r="C152" s="9">
        <v>900000</v>
      </c>
      <c r="D152" s="9">
        <f>B152*C152</f>
        <v>3600000</v>
      </c>
      <c r="E152" s="1"/>
    </row>
    <row r="153" spans="1:5" ht="15.5" x14ac:dyDescent="0.35">
      <c r="A153" s="44" t="s">
        <v>109</v>
      </c>
      <c r="B153" s="43">
        <v>1</v>
      </c>
      <c r="C153" s="9">
        <v>100000</v>
      </c>
      <c r="D153" s="9">
        <f>B153*C153</f>
        <v>100000</v>
      </c>
    </row>
    <row r="154" spans="1:5" ht="15.5" x14ac:dyDescent="0.35">
      <c r="A154" s="45"/>
      <c r="B154" s="43"/>
      <c r="C154" s="9"/>
      <c r="D154" s="9">
        <f>SUM(D150:D152)</f>
        <v>10085000</v>
      </c>
    </row>
    <row r="156" spans="1:5" ht="15.5" x14ac:dyDescent="0.35">
      <c r="A156" s="46" t="s">
        <v>110</v>
      </c>
      <c r="B156" s="4" t="s">
        <v>104</v>
      </c>
      <c r="C156" s="4" t="s">
        <v>105</v>
      </c>
      <c r="D156" s="4" t="s">
        <v>5</v>
      </c>
    </row>
    <row r="157" spans="1:5" x14ac:dyDescent="0.35">
      <c r="A157" s="4" t="s">
        <v>111</v>
      </c>
      <c r="B157" s="4">
        <v>60</v>
      </c>
      <c r="C157" s="9">
        <v>50000</v>
      </c>
      <c r="D157" s="9">
        <f>B157*C157</f>
        <v>3000000</v>
      </c>
    </row>
    <row r="158" spans="1:5" x14ac:dyDescent="0.35">
      <c r="A158" s="4" t="s">
        <v>112</v>
      </c>
      <c r="B158" s="4">
        <v>50</v>
      </c>
      <c r="C158" s="9">
        <v>8000</v>
      </c>
      <c r="D158" s="9">
        <f>B158*C158</f>
        <v>400000</v>
      </c>
    </row>
    <row r="159" spans="1:5" x14ac:dyDescent="0.35">
      <c r="A159" s="4" t="s">
        <v>113</v>
      </c>
      <c r="B159" s="4">
        <v>50</v>
      </c>
      <c r="C159" s="9">
        <v>6500</v>
      </c>
      <c r="D159" s="9">
        <f>B159*C159</f>
        <v>325000</v>
      </c>
    </row>
    <row r="160" spans="1:5" x14ac:dyDescent="0.35">
      <c r="A160" s="4" t="s">
        <v>114</v>
      </c>
      <c r="B160" s="4">
        <v>36</v>
      </c>
      <c r="C160" s="9">
        <v>10000</v>
      </c>
      <c r="D160" s="9">
        <f>B160*C160</f>
        <v>360000</v>
      </c>
    </row>
    <row r="161" spans="1:5" x14ac:dyDescent="0.35">
      <c r="A161" s="4"/>
      <c r="B161" s="4"/>
      <c r="C161" s="32"/>
      <c r="D161" s="32">
        <f>SUM(D157:D160)</f>
        <v>4085000</v>
      </c>
    </row>
    <row r="162" spans="1:5" ht="15.5" x14ac:dyDescent="0.35">
      <c r="A162" s="47"/>
      <c r="C162" s="32"/>
      <c r="D162" s="32"/>
    </row>
    <row r="163" spans="1:5" x14ac:dyDescent="0.35">
      <c r="D163" s="48"/>
    </row>
    <row r="164" spans="1:5" x14ac:dyDescent="0.35">
      <c r="D164" s="48"/>
    </row>
    <row r="165" spans="1:5" ht="15.5" x14ac:dyDescent="0.35">
      <c r="A165" s="49" t="s">
        <v>115</v>
      </c>
      <c r="D165" s="35"/>
      <c r="E165" s="50"/>
    </row>
    <row r="166" spans="1:5" ht="15.5" x14ac:dyDescent="0.35">
      <c r="A166" s="1" t="s">
        <v>116</v>
      </c>
      <c r="E166" s="51"/>
    </row>
    <row r="167" spans="1:5" x14ac:dyDescent="0.35">
      <c r="A167" t="s">
        <v>117</v>
      </c>
      <c r="B167" s="52">
        <v>15000</v>
      </c>
      <c r="C167">
        <v>5</v>
      </c>
      <c r="D167" s="9">
        <f>B167*C167</f>
        <v>75000</v>
      </c>
    </row>
    <row r="168" spans="1:5" ht="15.5" x14ac:dyDescent="0.35">
      <c r="A168" t="s">
        <v>118</v>
      </c>
      <c r="B168" s="53"/>
      <c r="C168" s="54"/>
      <c r="D168" s="55">
        <f>E176</f>
        <v>200000</v>
      </c>
    </row>
    <row r="169" spans="1:5" ht="15.5" x14ac:dyDescent="0.35">
      <c r="A169" t="s">
        <v>119</v>
      </c>
      <c r="B169" s="56"/>
      <c r="C169" s="57"/>
      <c r="D169" s="58">
        <f>SUM(D167:D168)</f>
        <v>275000</v>
      </c>
    </row>
    <row r="170" spans="1:5" ht="15.5" x14ac:dyDescent="0.35">
      <c r="A170" s="53" t="s">
        <v>2</v>
      </c>
      <c r="B170" s="53" t="s">
        <v>120</v>
      </c>
      <c r="C170" s="53" t="s">
        <v>67</v>
      </c>
      <c r="D170" s="59" t="s">
        <v>121</v>
      </c>
      <c r="E170" s="59" t="s">
        <v>52</v>
      </c>
    </row>
    <row r="171" spans="1:5" x14ac:dyDescent="0.35">
      <c r="A171" s="60"/>
      <c r="B171" s="60"/>
      <c r="C171" s="60"/>
      <c r="D171" s="61"/>
      <c r="E171" s="61"/>
    </row>
    <row r="172" spans="1:5" x14ac:dyDescent="0.35">
      <c r="A172" s="60"/>
      <c r="B172" s="60"/>
      <c r="C172" s="60"/>
      <c r="D172" s="61"/>
      <c r="E172" s="61"/>
    </row>
    <row r="173" spans="1:5" x14ac:dyDescent="0.35">
      <c r="A173" s="60"/>
      <c r="B173" s="60"/>
      <c r="C173" s="60"/>
      <c r="D173" s="61"/>
      <c r="E173" s="61"/>
    </row>
    <row r="174" spans="1:5" x14ac:dyDescent="0.35">
      <c r="A174" s="60"/>
      <c r="B174" s="60"/>
      <c r="C174" s="60"/>
      <c r="D174" s="61"/>
      <c r="E174" s="61"/>
    </row>
    <row r="175" spans="1:5" x14ac:dyDescent="0.35">
      <c r="A175" s="60" t="s">
        <v>122</v>
      </c>
      <c r="B175" s="60" t="s">
        <v>122</v>
      </c>
      <c r="C175" s="60">
        <v>1</v>
      </c>
      <c r="D175" s="61">
        <v>50000</v>
      </c>
      <c r="E175" s="61">
        <f>C175*D175</f>
        <v>50000</v>
      </c>
    </row>
    <row r="176" spans="1:5" x14ac:dyDescent="0.35">
      <c r="A176" s="60" t="s">
        <v>119</v>
      </c>
      <c r="B176" s="4"/>
      <c r="C176" s="4"/>
      <c r="D176" s="4"/>
      <c r="E176" s="62">
        <f>SUM(E171:E175)*4</f>
        <v>200000</v>
      </c>
    </row>
    <row r="178" spans="1:5" ht="15.5" x14ac:dyDescent="0.35">
      <c r="A178" s="63" t="s">
        <v>123</v>
      </c>
      <c r="B178" s="64"/>
      <c r="C178" s="64"/>
      <c r="D178" s="64"/>
    </row>
    <row r="179" spans="1:5" ht="15.5" x14ac:dyDescent="0.35">
      <c r="A179" s="65" t="s">
        <v>124</v>
      </c>
      <c r="B179" s="1"/>
      <c r="C179" s="64"/>
      <c r="D179" s="64"/>
    </row>
    <row r="180" spans="1:5" ht="15.5" x14ac:dyDescent="0.35">
      <c r="A180" s="47"/>
      <c r="B180" s="1" t="s">
        <v>104</v>
      </c>
      <c r="C180" s="64" t="s">
        <v>105</v>
      </c>
      <c r="D180" s="64" t="s">
        <v>5</v>
      </c>
    </row>
    <row r="181" spans="1:5" x14ac:dyDescent="0.35">
      <c r="A181" s="4" t="s">
        <v>125</v>
      </c>
      <c r="B181" s="14">
        <v>2</v>
      </c>
      <c r="C181" s="9">
        <v>500000</v>
      </c>
      <c r="D181" s="9">
        <f t="shared" ref="D181:D188" si="10">B181*C181</f>
        <v>1000000</v>
      </c>
    </row>
    <row r="182" spans="1:5" x14ac:dyDescent="0.35">
      <c r="A182" s="4" t="s">
        <v>126</v>
      </c>
      <c r="B182" s="4">
        <v>2</v>
      </c>
      <c r="C182" s="9">
        <v>449449</v>
      </c>
      <c r="D182" s="19">
        <f t="shared" si="10"/>
        <v>898898</v>
      </c>
      <c r="E182" s="66"/>
    </row>
    <row r="183" spans="1:5" x14ac:dyDescent="0.35">
      <c r="A183" s="4" t="s">
        <v>127</v>
      </c>
      <c r="B183" s="4">
        <v>1</v>
      </c>
      <c r="C183" s="9">
        <v>220000</v>
      </c>
      <c r="D183" s="19">
        <f t="shared" si="10"/>
        <v>220000</v>
      </c>
      <c r="E183" s="66"/>
    </row>
    <row r="184" spans="1:5" x14ac:dyDescent="0.35">
      <c r="A184" s="4" t="s">
        <v>128</v>
      </c>
      <c r="B184" s="4">
        <v>1</v>
      </c>
      <c r="C184" s="9">
        <v>700000</v>
      </c>
      <c r="D184" s="19">
        <f t="shared" si="10"/>
        <v>700000</v>
      </c>
      <c r="E184" s="66"/>
    </row>
    <row r="185" spans="1:5" x14ac:dyDescent="0.35">
      <c r="A185" s="4" t="s">
        <v>129</v>
      </c>
      <c r="B185" s="4">
        <v>1</v>
      </c>
      <c r="C185" s="9">
        <v>280000</v>
      </c>
      <c r="D185" s="19">
        <f t="shared" si="10"/>
        <v>280000</v>
      </c>
      <c r="E185" s="66"/>
    </row>
    <row r="186" spans="1:5" x14ac:dyDescent="0.35">
      <c r="A186" s="4" t="s">
        <v>130</v>
      </c>
      <c r="B186" s="4">
        <v>1</v>
      </c>
      <c r="C186" s="9">
        <v>1000000</v>
      </c>
      <c r="D186" s="19">
        <f t="shared" si="10"/>
        <v>1000000</v>
      </c>
      <c r="E186" s="66"/>
    </row>
    <row r="187" spans="1:5" x14ac:dyDescent="0.35">
      <c r="A187" s="4" t="s">
        <v>131</v>
      </c>
      <c r="B187" s="4">
        <v>1</v>
      </c>
      <c r="C187" s="9">
        <v>470000</v>
      </c>
      <c r="D187" s="19">
        <f>B187*C187</f>
        <v>470000</v>
      </c>
      <c r="E187" s="66"/>
    </row>
    <row r="188" spans="1:5" x14ac:dyDescent="0.35">
      <c r="A188" s="4" t="s">
        <v>132</v>
      </c>
      <c r="B188" s="4">
        <v>1</v>
      </c>
      <c r="C188" s="9">
        <v>120000</v>
      </c>
      <c r="D188" s="19">
        <f t="shared" si="10"/>
        <v>120000</v>
      </c>
      <c r="E188" s="66"/>
    </row>
    <row r="189" spans="1:5" x14ac:dyDescent="0.35">
      <c r="C189" s="48"/>
      <c r="D189" s="31">
        <f>SUM(D181:D188)</f>
        <v>4688898</v>
      </c>
      <c r="E189" s="66"/>
    </row>
    <row r="191" spans="1:5" ht="15.5" x14ac:dyDescent="0.35">
      <c r="A191" s="49" t="s">
        <v>124</v>
      </c>
      <c r="B191" s="51"/>
      <c r="C191" s="51"/>
      <c r="D191" s="51"/>
      <c r="E191" s="66"/>
    </row>
    <row r="192" spans="1:5" ht="15.5" x14ac:dyDescent="0.35">
      <c r="A192" s="46" t="s">
        <v>2</v>
      </c>
      <c r="B192" s="4" t="s">
        <v>104</v>
      </c>
      <c r="C192" s="4" t="s">
        <v>4</v>
      </c>
      <c r="D192" s="4" t="s">
        <v>5</v>
      </c>
      <c r="E192" s="66"/>
    </row>
    <row r="193" spans="1:5" x14ac:dyDescent="0.35">
      <c r="A193" s="67" t="s">
        <v>134</v>
      </c>
      <c r="B193" s="4">
        <v>1</v>
      </c>
      <c r="C193" s="9">
        <v>8000000</v>
      </c>
      <c r="D193" s="9">
        <f>B193*C193</f>
        <v>8000000</v>
      </c>
      <c r="E193" s="68"/>
    </row>
    <row r="194" spans="1:5" x14ac:dyDescent="0.35">
      <c r="A194" s="4" t="s">
        <v>135</v>
      </c>
      <c r="B194" s="4">
        <v>2</v>
      </c>
      <c r="C194" s="9">
        <v>18500000</v>
      </c>
      <c r="D194" s="9">
        <f>B194*C194</f>
        <v>37000000</v>
      </c>
      <c r="E194" s="51"/>
    </row>
    <row r="195" spans="1:5" x14ac:dyDescent="0.35">
      <c r="A195" s="4" t="s">
        <v>136</v>
      </c>
      <c r="B195" s="4">
        <v>4</v>
      </c>
      <c r="C195" s="9">
        <v>800000</v>
      </c>
      <c r="D195" s="9">
        <f>B195*C195</f>
        <v>3200000</v>
      </c>
      <c r="E195" s="69"/>
    </row>
    <row r="196" spans="1:5" ht="15.5" x14ac:dyDescent="0.35">
      <c r="A196" s="4"/>
      <c r="B196" s="4"/>
      <c r="C196" s="9"/>
      <c r="D196" s="9">
        <f>SUM(D193:D195)</f>
        <v>48200000</v>
      </c>
      <c r="E196" s="70"/>
    </row>
    <row r="197" spans="1:5" x14ac:dyDescent="0.35">
      <c r="A197" s="71"/>
      <c r="B197" s="72"/>
      <c r="C197" s="72"/>
      <c r="D197" s="72"/>
      <c r="E197" s="73"/>
    </row>
    <row r="198" spans="1:5" ht="15.5" x14ac:dyDescent="0.35">
      <c r="A198" s="1" t="s">
        <v>137</v>
      </c>
      <c r="B198" s="1"/>
    </row>
    <row r="199" spans="1:5" ht="15.5" x14ac:dyDescent="0.35">
      <c r="A199" s="74" t="s">
        <v>138</v>
      </c>
      <c r="B199" s="75"/>
      <c r="C199" s="70"/>
      <c r="D199" s="70"/>
    </row>
    <row r="200" spans="1:5" x14ac:dyDescent="0.35">
      <c r="B200" s="73"/>
      <c r="C200" s="73"/>
      <c r="D200" s="73"/>
    </row>
    <row r="201" spans="1:5" ht="15.5" x14ac:dyDescent="0.35">
      <c r="A201" s="2" t="s">
        <v>139</v>
      </c>
      <c r="B201" s="25" t="s">
        <v>140</v>
      </c>
      <c r="C201" s="25" t="s">
        <v>141</v>
      </c>
      <c r="D201" s="25" t="s">
        <v>142</v>
      </c>
      <c r="E201" s="25" t="s">
        <v>5</v>
      </c>
    </row>
    <row r="202" spans="1:5" x14ac:dyDescent="0.35">
      <c r="A202" s="4" t="s">
        <v>143</v>
      </c>
      <c r="B202" s="76" t="s">
        <v>144</v>
      </c>
      <c r="C202" s="76">
        <v>15</v>
      </c>
      <c r="D202" s="77">
        <v>15000</v>
      </c>
      <c r="E202" s="77">
        <f>SUM(C202*D202)</f>
        <v>225000</v>
      </c>
    </row>
    <row r="203" spans="1:5" ht="29" x14ac:dyDescent="0.35">
      <c r="A203" s="14" t="s">
        <v>145</v>
      </c>
      <c r="B203" s="76"/>
      <c r="C203" s="76">
        <v>15</v>
      </c>
      <c r="D203" s="77">
        <v>32000</v>
      </c>
      <c r="E203" s="77">
        <f>SUM(C203*D203)</f>
        <v>480000</v>
      </c>
    </row>
    <row r="204" spans="1:5" x14ac:dyDescent="0.35">
      <c r="A204" s="14" t="s">
        <v>146</v>
      </c>
      <c r="B204" s="76" t="s">
        <v>147</v>
      </c>
      <c r="C204" s="76">
        <v>4</v>
      </c>
      <c r="D204" s="77">
        <v>90000</v>
      </c>
      <c r="E204" s="77">
        <f>SUM(C204*D204)</f>
        <v>360000</v>
      </c>
    </row>
    <row r="205" spans="1:5" x14ac:dyDescent="0.35">
      <c r="A205" s="14" t="s">
        <v>148</v>
      </c>
      <c r="B205" s="76" t="s">
        <v>149</v>
      </c>
      <c r="C205" s="76">
        <v>8</v>
      </c>
      <c r="D205" s="77">
        <v>12000</v>
      </c>
      <c r="E205" s="77">
        <f>SUM(C205*D205)</f>
        <v>96000</v>
      </c>
    </row>
    <row r="206" spans="1:5" x14ac:dyDescent="0.35">
      <c r="A206" s="14" t="s">
        <v>150</v>
      </c>
      <c r="B206" s="76" t="s">
        <v>151</v>
      </c>
      <c r="C206" s="76">
        <v>2</v>
      </c>
      <c r="D206" s="77">
        <v>25000</v>
      </c>
      <c r="E206" s="77">
        <f>SUM(C206*D206)</f>
        <v>50000</v>
      </c>
    </row>
    <row r="207" spans="1:5" ht="29" x14ac:dyDescent="0.35">
      <c r="A207" s="14" t="s">
        <v>152</v>
      </c>
      <c r="B207" s="78" t="s">
        <v>153</v>
      </c>
      <c r="C207" s="76">
        <v>1</v>
      </c>
      <c r="D207" s="77">
        <v>9795</v>
      </c>
      <c r="E207" s="77">
        <v>9795</v>
      </c>
    </row>
    <row r="208" spans="1:5" x14ac:dyDescent="0.35">
      <c r="A208" s="14" t="s">
        <v>154</v>
      </c>
      <c r="B208" s="76" t="s">
        <v>155</v>
      </c>
      <c r="C208" s="76">
        <v>1</v>
      </c>
      <c r="D208" s="77">
        <v>7000</v>
      </c>
      <c r="E208" s="77">
        <f>SUM(C208*D208)</f>
        <v>7000</v>
      </c>
    </row>
    <row r="209" spans="1:5" x14ac:dyDescent="0.35">
      <c r="A209" s="14" t="s">
        <v>156</v>
      </c>
      <c r="B209" s="76"/>
      <c r="C209" s="76">
        <v>7</v>
      </c>
      <c r="D209" s="77">
        <v>3500</v>
      </c>
      <c r="E209" s="77">
        <f>SUM(C209*D209)</f>
        <v>24500</v>
      </c>
    </row>
    <row r="210" spans="1:5" x14ac:dyDescent="0.35">
      <c r="A210" s="79" t="s">
        <v>157</v>
      </c>
      <c r="B210" s="79"/>
      <c r="C210" s="79"/>
      <c r="D210" s="79"/>
      <c r="E210" s="79"/>
    </row>
    <row r="211" spans="1:5" x14ac:dyDescent="0.35">
      <c r="A211" s="4" t="s">
        <v>143</v>
      </c>
      <c r="B211" s="76" t="s">
        <v>144</v>
      </c>
      <c r="C211" s="76">
        <v>10</v>
      </c>
      <c r="D211" s="77">
        <v>10140</v>
      </c>
      <c r="E211" s="77">
        <f>SUM(C211*D211)</f>
        <v>101400</v>
      </c>
    </row>
    <row r="212" spans="1:5" ht="29" x14ac:dyDescent="0.35">
      <c r="A212" s="14" t="s">
        <v>145</v>
      </c>
      <c r="B212" s="76"/>
      <c r="C212" s="76">
        <v>10</v>
      </c>
      <c r="D212" s="77">
        <v>16529</v>
      </c>
      <c r="E212" s="77">
        <f>SUM(C212*D212)</f>
        <v>165290</v>
      </c>
    </row>
    <row r="213" spans="1:5" x14ac:dyDescent="0.35">
      <c r="A213" s="14" t="s">
        <v>146</v>
      </c>
      <c r="B213" s="76" t="s">
        <v>147</v>
      </c>
      <c r="C213" s="76">
        <v>3</v>
      </c>
      <c r="D213" s="77">
        <v>34552</v>
      </c>
      <c r="E213" s="77">
        <f>SUM(C213*D213)</f>
        <v>103656</v>
      </c>
    </row>
    <row r="214" spans="1:5" x14ac:dyDescent="0.35">
      <c r="A214" s="14" t="s">
        <v>148</v>
      </c>
      <c r="B214" s="76" t="s">
        <v>149</v>
      </c>
      <c r="C214" s="76">
        <v>6</v>
      </c>
      <c r="D214" s="77">
        <v>5821</v>
      </c>
      <c r="E214" s="77">
        <f>SUM(C214*D214)</f>
        <v>34926</v>
      </c>
    </row>
    <row r="215" spans="1:5" x14ac:dyDescent="0.35">
      <c r="A215" s="14" t="s">
        <v>150</v>
      </c>
      <c r="B215" s="76" t="s">
        <v>151</v>
      </c>
      <c r="C215" s="76">
        <v>2</v>
      </c>
      <c r="D215" s="77">
        <v>16356</v>
      </c>
      <c r="E215" s="77">
        <f>SUM(C215*D215)</f>
        <v>32712</v>
      </c>
    </row>
    <row r="216" spans="1:5" ht="29" x14ac:dyDescent="0.35">
      <c r="A216" s="14" t="s">
        <v>152</v>
      </c>
      <c r="B216" s="78" t="s">
        <v>153</v>
      </c>
      <c r="C216" s="76">
        <v>1</v>
      </c>
      <c r="D216" s="77">
        <v>9795</v>
      </c>
      <c r="E216" s="77">
        <v>9795</v>
      </c>
    </row>
    <row r="217" spans="1:5" x14ac:dyDescent="0.35">
      <c r="A217" s="14" t="s">
        <v>158</v>
      </c>
      <c r="B217" s="76" t="s">
        <v>159</v>
      </c>
      <c r="C217" s="76">
        <v>1</v>
      </c>
      <c r="D217" s="77">
        <v>7000</v>
      </c>
      <c r="E217" s="77">
        <f>SUM(C217*D217)</f>
        <v>7000</v>
      </c>
    </row>
    <row r="218" spans="1:5" x14ac:dyDescent="0.35">
      <c r="A218" s="14" t="s">
        <v>156</v>
      </c>
      <c r="B218" s="76"/>
      <c r="C218" s="76">
        <v>5</v>
      </c>
      <c r="D218" s="77">
        <v>3500</v>
      </c>
      <c r="E218" s="77">
        <v>17500</v>
      </c>
    </row>
    <row r="219" spans="1:5" x14ac:dyDescent="0.35">
      <c r="B219" s="73"/>
      <c r="C219" s="73"/>
      <c r="D219" s="73"/>
      <c r="E219" s="73"/>
    </row>
    <row r="220" spans="1:5" x14ac:dyDescent="0.35">
      <c r="A220" s="79" t="s">
        <v>160</v>
      </c>
      <c r="B220" s="79"/>
      <c r="C220" s="79"/>
      <c r="D220" s="79"/>
      <c r="E220" s="79"/>
    </row>
    <row r="221" spans="1:5" x14ac:dyDescent="0.35">
      <c r="A221" s="4" t="s">
        <v>143</v>
      </c>
      <c r="B221" s="76" t="s">
        <v>144</v>
      </c>
      <c r="C221" s="76">
        <v>10</v>
      </c>
      <c r="D221" s="77">
        <v>10140</v>
      </c>
      <c r="E221" s="77">
        <f>SUM(C221*D221)</f>
        <v>101400</v>
      </c>
    </row>
    <row r="222" spans="1:5" ht="29" x14ac:dyDescent="0.35">
      <c r="A222" s="14" t="s">
        <v>145</v>
      </c>
      <c r="B222" s="76"/>
      <c r="C222" s="76">
        <v>10</v>
      </c>
      <c r="D222" s="77">
        <v>16529</v>
      </c>
      <c r="E222" s="77">
        <f>SUM(C222*D222)</f>
        <v>165290</v>
      </c>
    </row>
    <row r="223" spans="1:5" x14ac:dyDescent="0.35">
      <c r="A223" s="14" t="s">
        <v>146</v>
      </c>
      <c r="B223" s="76" t="s">
        <v>147</v>
      </c>
      <c r="C223" s="76">
        <v>3</v>
      </c>
      <c r="D223" s="77">
        <v>34552</v>
      </c>
      <c r="E223" s="77">
        <f>SUM(C223*D223)</f>
        <v>103656</v>
      </c>
    </row>
    <row r="224" spans="1:5" x14ac:dyDescent="0.35">
      <c r="A224" s="4" t="s">
        <v>148</v>
      </c>
      <c r="B224" s="76" t="s">
        <v>149</v>
      </c>
      <c r="C224" s="76">
        <v>6</v>
      </c>
      <c r="D224" s="77">
        <v>5821</v>
      </c>
      <c r="E224" s="77">
        <f>SUM(C224*D224)</f>
        <v>34926</v>
      </c>
    </row>
    <row r="225" spans="1:5" x14ac:dyDescent="0.35">
      <c r="A225" s="14" t="s">
        <v>150</v>
      </c>
      <c r="B225" s="76" t="s">
        <v>151</v>
      </c>
      <c r="C225" s="76">
        <v>2</v>
      </c>
      <c r="D225" s="77">
        <v>16356</v>
      </c>
      <c r="E225" s="77">
        <f>SUM(C225*D225)</f>
        <v>32712</v>
      </c>
    </row>
    <row r="226" spans="1:5" ht="29" x14ac:dyDescent="0.35">
      <c r="A226" s="14" t="s">
        <v>152</v>
      </c>
      <c r="B226" s="78" t="s">
        <v>153</v>
      </c>
      <c r="C226" s="76">
        <v>1</v>
      </c>
      <c r="D226" s="77">
        <v>9795</v>
      </c>
      <c r="E226" s="77">
        <v>9795</v>
      </c>
    </row>
    <row r="227" spans="1:5" x14ac:dyDescent="0.35">
      <c r="A227" s="14" t="s">
        <v>161</v>
      </c>
      <c r="B227" s="76" t="s">
        <v>162</v>
      </c>
      <c r="C227" s="76">
        <v>1</v>
      </c>
      <c r="D227" s="77">
        <v>7000</v>
      </c>
      <c r="E227" s="77">
        <f>SUM(C227*D227)</f>
        <v>7000</v>
      </c>
    </row>
    <row r="228" spans="1:5" x14ac:dyDescent="0.35">
      <c r="A228" s="14" t="s">
        <v>156</v>
      </c>
      <c r="B228" s="76"/>
      <c r="C228" s="76">
        <v>5</v>
      </c>
      <c r="D228" s="77">
        <v>3500</v>
      </c>
      <c r="E228" s="77">
        <v>17500</v>
      </c>
    </row>
    <row r="229" spans="1:5" x14ac:dyDescent="0.35">
      <c r="B229" s="73"/>
      <c r="C229" s="73"/>
      <c r="D229" s="73"/>
      <c r="E229" s="73"/>
    </row>
    <row r="230" spans="1:5" x14ac:dyDescent="0.35">
      <c r="A230" s="80" t="s">
        <v>163</v>
      </c>
      <c r="B230" s="80"/>
      <c r="C230" s="80"/>
      <c r="D230" s="80"/>
      <c r="E230" s="80"/>
    </row>
    <row r="231" spans="1:5" x14ac:dyDescent="0.35">
      <c r="A231" s="14" t="s">
        <v>164</v>
      </c>
      <c r="B231" s="76"/>
      <c r="C231" s="76">
        <v>2</v>
      </c>
      <c r="D231" s="77">
        <v>90000</v>
      </c>
      <c r="E231" s="77">
        <f t="shared" ref="E231:E240" si="11">SUM(C231*D231)</f>
        <v>180000</v>
      </c>
    </row>
    <row r="232" spans="1:5" x14ac:dyDescent="0.35">
      <c r="A232" s="14" t="s">
        <v>165</v>
      </c>
      <c r="B232" s="76" t="s">
        <v>166</v>
      </c>
      <c r="C232" s="76">
        <v>1</v>
      </c>
      <c r="D232" s="77">
        <v>32626</v>
      </c>
      <c r="E232" s="77">
        <f t="shared" si="11"/>
        <v>32626</v>
      </c>
    </row>
    <row r="233" spans="1:5" ht="72.5" x14ac:dyDescent="0.35">
      <c r="A233" s="14" t="s">
        <v>167</v>
      </c>
      <c r="B233" s="78" t="s">
        <v>168</v>
      </c>
      <c r="C233" s="76">
        <v>1</v>
      </c>
      <c r="D233" s="77">
        <v>75000</v>
      </c>
      <c r="E233" s="77">
        <f t="shared" si="11"/>
        <v>75000</v>
      </c>
    </row>
    <row r="234" spans="1:5" ht="29" x14ac:dyDescent="0.35">
      <c r="A234" s="14" t="s">
        <v>169</v>
      </c>
      <c r="B234" s="76"/>
      <c r="C234" s="76">
        <v>1</v>
      </c>
      <c r="D234" s="77">
        <v>32000</v>
      </c>
      <c r="E234" s="77">
        <f t="shared" si="11"/>
        <v>32000</v>
      </c>
    </row>
    <row r="235" spans="1:5" ht="29" x14ac:dyDescent="0.35">
      <c r="A235" s="14" t="s">
        <v>170</v>
      </c>
      <c r="B235" s="76"/>
      <c r="C235" s="76">
        <v>3</v>
      </c>
      <c r="D235" s="77">
        <v>35000</v>
      </c>
      <c r="E235" s="77">
        <f t="shared" si="11"/>
        <v>105000</v>
      </c>
    </row>
    <row r="236" spans="1:5" x14ac:dyDescent="0.35">
      <c r="A236" s="14" t="s">
        <v>171</v>
      </c>
      <c r="B236" s="76" t="s">
        <v>172</v>
      </c>
      <c r="C236" s="76">
        <v>1</v>
      </c>
      <c r="D236" s="77">
        <v>17815</v>
      </c>
      <c r="E236" s="77">
        <f t="shared" si="11"/>
        <v>17815</v>
      </c>
    </row>
    <row r="237" spans="1:5" ht="29" x14ac:dyDescent="0.35">
      <c r="A237" s="14" t="s">
        <v>173</v>
      </c>
      <c r="B237" s="78" t="s">
        <v>174</v>
      </c>
      <c r="C237" s="76">
        <v>1</v>
      </c>
      <c r="D237" s="77">
        <v>150000</v>
      </c>
      <c r="E237" s="77">
        <f t="shared" si="11"/>
        <v>150000</v>
      </c>
    </row>
    <row r="238" spans="1:5" x14ac:dyDescent="0.35">
      <c r="A238" s="14" t="s">
        <v>175</v>
      </c>
      <c r="B238" s="76" t="s">
        <v>176</v>
      </c>
      <c r="C238" s="76">
        <v>1</v>
      </c>
      <c r="D238" s="77">
        <v>7820</v>
      </c>
      <c r="E238" s="77">
        <f t="shared" si="11"/>
        <v>7820</v>
      </c>
    </row>
    <row r="239" spans="1:5" ht="29" x14ac:dyDescent="0.35">
      <c r="A239" s="14" t="s">
        <v>152</v>
      </c>
      <c r="B239" s="78" t="s">
        <v>153</v>
      </c>
      <c r="C239" s="76">
        <v>1</v>
      </c>
      <c r="D239" s="77">
        <v>9795</v>
      </c>
      <c r="E239" s="77">
        <f t="shared" si="11"/>
        <v>9795</v>
      </c>
    </row>
    <row r="240" spans="1:5" x14ac:dyDescent="0.35">
      <c r="A240" s="14" t="s">
        <v>177</v>
      </c>
      <c r="B240" s="76"/>
      <c r="C240" s="76">
        <v>1</v>
      </c>
      <c r="D240" s="77">
        <v>22000</v>
      </c>
      <c r="E240" s="77">
        <f t="shared" si="11"/>
        <v>22000</v>
      </c>
    </row>
    <row r="241" spans="1:5" x14ac:dyDescent="0.35">
      <c r="A241" s="14" t="s">
        <v>161</v>
      </c>
      <c r="B241" s="76" t="s">
        <v>162</v>
      </c>
      <c r="C241" s="76">
        <v>1</v>
      </c>
      <c r="D241" s="77">
        <v>7000</v>
      </c>
      <c r="E241" s="77">
        <v>7000</v>
      </c>
    </row>
    <row r="242" spans="1:5" x14ac:dyDescent="0.35">
      <c r="A242" s="14" t="s">
        <v>156</v>
      </c>
      <c r="B242" s="76"/>
      <c r="C242" s="76">
        <v>2</v>
      </c>
      <c r="D242" s="77">
        <v>3500</v>
      </c>
      <c r="E242" s="77">
        <f>SUM(C242*D242)</f>
        <v>7000</v>
      </c>
    </row>
    <row r="243" spans="1:5" x14ac:dyDescent="0.35">
      <c r="B243" s="73"/>
      <c r="C243" s="73"/>
      <c r="D243" s="73"/>
      <c r="E243" s="73"/>
    </row>
    <row r="244" spans="1:5" x14ac:dyDescent="0.35">
      <c r="A244" s="80" t="s">
        <v>178</v>
      </c>
      <c r="B244" s="80"/>
      <c r="C244" s="80"/>
      <c r="D244" s="80"/>
      <c r="E244" s="80"/>
    </row>
    <row r="245" spans="1:5" ht="29" x14ac:dyDescent="0.35">
      <c r="A245" s="14" t="s">
        <v>170</v>
      </c>
      <c r="B245" s="76"/>
      <c r="C245" s="76">
        <v>4</v>
      </c>
      <c r="D245" s="77">
        <v>16529</v>
      </c>
      <c r="E245" s="77">
        <f>SUM(C245*D245)</f>
        <v>66116</v>
      </c>
    </row>
    <row r="246" spans="1:5" x14ac:dyDescent="0.35">
      <c r="A246" s="14" t="s">
        <v>150</v>
      </c>
      <c r="B246" s="76" t="s">
        <v>151</v>
      </c>
      <c r="C246" s="76">
        <v>2</v>
      </c>
      <c r="D246" s="77">
        <v>16356</v>
      </c>
      <c r="E246" s="77">
        <f>SUM(C246*D246)</f>
        <v>32712</v>
      </c>
    </row>
    <row r="247" spans="1:5" x14ac:dyDescent="0.35">
      <c r="A247" s="14" t="s">
        <v>179</v>
      </c>
      <c r="B247" s="76"/>
      <c r="C247" s="76">
        <v>3</v>
      </c>
      <c r="D247" s="77">
        <v>15413</v>
      </c>
      <c r="E247" s="77">
        <f>SUM(C247*D247)</f>
        <v>46239</v>
      </c>
    </row>
    <row r="248" spans="1:5" ht="29" x14ac:dyDescent="0.35">
      <c r="A248" s="14" t="s">
        <v>180</v>
      </c>
      <c r="B248" s="76" t="s">
        <v>181</v>
      </c>
      <c r="C248" s="76">
        <v>1</v>
      </c>
      <c r="D248" s="77">
        <v>112338</v>
      </c>
      <c r="E248" s="77">
        <f>SUM(C248*D248)</f>
        <v>112338</v>
      </c>
    </row>
    <row r="249" spans="1:5" ht="29" x14ac:dyDescent="0.35">
      <c r="A249" s="14" t="s">
        <v>152</v>
      </c>
      <c r="B249" s="78" t="s">
        <v>153</v>
      </c>
      <c r="C249" s="76">
        <v>1</v>
      </c>
      <c r="D249" s="77">
        <v>9795</v>
      </c>
      <c r="E249" s="77">
        <f>SUM(C249*D249)</f>
        <v>9795</v>
      </c>
    </row>
    <row r="250" spans="1:5" x14ac:dyDescent="0.35">
      <c r="A250" s="14" t="s">
        <v>177</v>
      </c>
      <c r="B250" s="78"/>
      <c r="C250" s="76">
        <v>1</v>
      </c>
      <c r="D250" s="77">
        <v>22000</v>
      </c>
      <c r="E250" s="77">
        <v>22000</v>
      </c>
    </row>
    <row r="251" spans="1:5" x14ac:dyDescent="0.35">
      <c r="A251" s="14" t="s">
        <v>161</v>
      </c>
      <c r="B251" s="78" t="s">
        <v>162</v>
      </c>
      <c r="C251" s="76">
        <v>1</v>
      </c>
      <c r="D251" s="77">
        <v>7000</v>
      </c>
      <c r="E251" s="77">
        <v>7000</v>
      </c>
    </row>
    <row r="252" spans="1:5" x14ac:dyDescent="0.35">
      <c r="A252" s="14" t="s">
        <v>156</v>
      </c>
      <c r="B252" s="76"/>
      <c r="C252" s="76">
        <v>2</v>
      </c>
      <c r="D252" s="77">
        <v>3500</v>
      </c>
      <c r="E252" s="77">
        <f>SUM(C252*D252)</f>
        <v>7000</v>
      </c>
    </row>
    <row r="253" spans="1:5" x14ac:dyDescent="0.35">
      <c r="B253" s="73"/>
      <c r="C253" s="73"/>
      <c r="D253" s="73"/>
      <c r="E253" s="73"/>
    </row>
    <row r="254" spans="1:5" x14ac:dyDescent="0.35">
      <c r="A254" s="79" t="s">
        <v>182</v>
      </c>
      <c r="B254" s="79"/>
      <c r="C254" s="79"/>
      <c r="D254" s="79"/>
      <c r="E254" s="79"/>
    </row>
    <row r="255" spans="1:5" ht="29" x14ac:dyDescent="0.35">
      <c r="A255" s="14" t="s">
        <v>170</v>
      </c>
      <c r="B255" s="76"/>
      <c r="C255" s="76">
        <v>10</v>
      </c>
      <c r="D255" s="77">
        <v>16529</v>
      </c>
      <c r="E255" s="77">
        <f>SUM(C255*D255)</f>
        <v>165290</v>
      </c>
    </row>
    <row r="256" spans="1:5" x14ac:dyDescent="0.35">
      <c r="A256" s="14" t="s">
        <v>183</v>
      </c>
      <c r="B256" s="76" t="s">
        <v>184</v>
      </c>
      <c r="C256" s="76">
        <v>1</v>
      </c>
      <c r="D256" s="77">
        <v>96528</v>
      </c>
      <c r="E256" s="77">
        <f>SUM(C256*D256)</f>
        <v>96528</v>
      </c>
    </row>
    <row r="257" spans="1:5" x14ac:dyDescent="0.35">
      <c r="A257" s="14" t="s">
        <v>185</v>
      </c>
      <c r="B257" s="76" t="s">
        <v>186</v>
      </c>
      <c r="C257" s="76">
        <v>1</v>
      </c>
      <c r="D257" s="77">
        <v>12542</v>
      </c>
      <c r="E257" s="77">
        <f>SUM(C257*D257)</f>
        <v>12542</v>
      </c>
    </row>
    <row r="258" spans="1:5" x14ac:dyDescent="0.35">
      <c r="A258" s="14" t="s">
        <v>187</v>
      </c>
      <c r="B258" s="76"/>
      <c r="C258" s="76">
        <v>1</v>
      </c>
      <c r="D258" s="77">
        <v>22000</v>
      </c>
      <c r="E258" s="77">
        <f>SUM(C258*D258)</f>
        <v>22000</v>
      </c>
    </row>
    <row r="259" spans="1:5" x14ac:dyDescent="0.35">
      <c r="A259" s="14" t="s">
        <v>156</v>
      </c>
      <c r="B259" s="76"/>
      <c r="C259" s="76">
        <v>2</v>
      </c>
      <c r="D259" s="77">
        <v>3500</v>
      </c>
      <c r="E259" s="77">
        <f>SUM(C259*D259)</f>
        <v>7000</v>
      </c>
    </row>
    <row r="260" spans="1:5" x14ac:dyDescent="0.35">
      <c r="B260" s="73"/>
      <c r="C260" s="73"/>
      <c r="D260" s="73"/>
      <c r="E260" s="73"/>
    </row>
    <row r="261" spans="1:5" x14ac:dyDescent="0.35">
      <c r="A261" s="81"/>
      <c r="B261" s="82" t="s">
        <v>188</v>
      </c>
      <c r="C261" s="82"/>
      <c r="D261" s="82"/>
      <c r="E261" s="82"/>
    </row>
    <row r="262" spans="1:5" x14ac:dyDescent="0.35">
      <c r="A262" s="14" t="s">
        <v>189</v>
      </c>
      <c r="B262" s="76"/>
      <c r="C262" s="76">
        <v>10</v>
      </c>
      <c r="D262" s="77">
        <v>3220</v>
      </c>
      <c r="E262" s="77">
        <f>SUM(C262*D262)</f>
        <v>32200</v>
      </c>
    </row>
    <row r="263" spans="1:5" x14ac:dyDescent="0.35">
      <c r="A263" s="4" t="s">
        <v>185</v>
      </c>
      <c r="B263" s="76" t="s">
        <v>186</v>
      </c>
      <c r="C263" s="76">
        <v>2</v>
      </c>
      <c r="D263" s="77">
        <v>12542</v>
      </c>
      <c r="E263" s="77">
        <f>SUM(C263*D263)</f>
        <v>25084</v>
      </c>
    </row>
    <row r="264" spans="1:5" x14ac:dyDescent="0.35">
      <c r="A264" s="4"/>
      <c r="B264" s="76"/>
      <c r="C264" s="76"/>
      <c r="D264" s="77"/>
      <c r="E264" s="77"/>
    </row>
    <row r="265" spans="1:5" ht="15.5" x14ac:dyDescent="0.35">
      <c r="A265" s="83" t="s">
        <v>52</v>
      </c>
      <c r="B265" s="84"/>
      <c r="C265" s="84"/>
      <c r="D265" s="84"/>
      <c r="E265" s="85">
        <f>SUM(E202+E203+E204+E205+E206+E207+E208+E209+E211+E212+E213+E214+E215+E216+E217+E218+E221+E222+E223+E224+E225+E226+E227+E228+E231+E232+E233+E234+E235+E236+E237+E238+E239+E240+E241+E242+E245+E246+E247+E248+E249+E250+E251+E252+E255+E256+E257+E258+E259+E262+E263+E277)</f>
        <v>9546753</v>
      </c>
    </row>
    <row r="266" spans="1:5" ht="15.5" x14ac:dyDescent="0.35">
      <c r="A266" s="49"/>
      <c r="B266" s="86"/>
      <c r="C266" s="86"/>
      <c r="D266" s="86"/>
      <c r="E266" s="87"/>
    </row>
    <row r="267" spans="1:5" ht="15.5" x14ac:dyDescent="0.35">
      <c r="A267" s="1" t="s">
        <v>190</v>
      </c>
      <c r="B267" t="s">
        <v>191</v>
      </c>
      <c r="C267" t="s">
        <v>192</v>
      </c>
      <c r="D267" t="s">
        <v>193</v>
      </c>
      <c r="E267" s="48" t="s">
        <v>5</v>
      </c>
    </row>
    <row r="268" spans="1:5" x14ac:dyDescent="0.35">
      <c r="A268" s="4" t="s">
        <v>194</v>
      </c>
      <c r="B268" s="4" t="s">
        <v>195</v>
      </c>
      <c r="C268" s="4">
        <v>8</v>
      </c>
      <c r="D268" s="9">
        <v>280000</v>
      </c>
      <c r="E268" s="9">
        <f>C268*D268</f>
        <v>2240000</v>
      </c>
    </row>
    <row r="269" spans="1:5" x14ac:dyDescent="0.35">
      <c r="A269" s="4" t="s">
        <v>196</v>
      </c>
      <c r="B269" s="4" t="s">
        <v>195</v>
      </c>
      <c r="C269" s="4">
        <v>2</v>
      </c>
      <c r="D269" s="9">
        <v>200000</v>
      </c>
      <c r="E269" s="9">
        <f t="shared" ref="E269:E276" si="12">C269*D269</f>
        <v>400000</v>
      </c>
    </row>
    <row r="270" spans="1:5" ht="29" x14ac:dyDescent="0.35">
      <c r="A270" s="4" t="s">
        <v>194</v>
      </c>
      <c r="B270" s="14" t="s">
        <v>197</v>
      </c>
      <c r="C270" s="4">
        <v>2</v>
      </c>
      <c r="D270" s="9">
        <v>280000</v>
      </c>
      <c r="E270" s="9">
        <f t="shared" si="12"/>
        <v>560000</v>
      </c>
    </row>
    <row r="271" spans="1:5" x14ac:dyDescent="0.35">
      <c r="A271" s="4" t="s">
        <v>194</v>
      </c>
      <c r="B271" s="4" t="s">
        <v>198</v>
      </c>
      <c r="C271" s="4">
        <v>1</v>
      </c>
      <c r="D271" s="9">
        <v>280000</v>
      </c>
      <c r="E271" s="9">
        <f t="shared" si="12"/>
        <v>280000</v>
      </c>
    </row>
    <row r="272" spans="1:5" x14ac:dyDescent="0.35">
      <c r="A272" s="4" t="s">
        <v>194</v>
      </c>
      <c r="B272" s="4" t="s">
        <v>199</v>
      </c>
      <c r="C272" s="4">
        <v>4</v>
      </c>
      <c r="D272" s="9">
        <v>280000</v>
      </c>
      <c r="E272" s="9">
        <f t="shared" si="12"/>
        <v>1120000</v>
      </c>
    </row>
    <row r="273" spans="1:6" x14ac:dyDescent="0.35">
      <c r="A273" s="4" t="s">
        <v>196</v>
      </c>
      <c r="B273" s="4" t="s">
        <v>199</v>
      </c>
      <c r="C273" s="4">
        <v>3</v>
      </c>
      <c r="D273" s="9">
        <v>200000</v>
      </c>
      <c r="E273" s="9">
        <f t="shared" si="12"/>
        <v>600000</v>
      </c>
    </row>
    <row r="274" spans="1:6" x14ac:dyDescent="0.35">
      <c r="A274" s="4" t="s">
        <v>200</v>
      </c>
      <c r="B274" s="4" t="s">
        <v>199</v>
      </c>
      <c r="C274" s="4">
        <v>4</v>
      </c>
      <c r="D274" s="9">
        <v>90000</v>
      </c>
      <c r="E274" s="9">
        <f t="shared" si="12"/>
        <v>360000</v>
      </c>
    </row>
    <row r="275" spans="1:6" ht="29" x14ac:dyDescent="0.35">
      <c r="A275" s="4" t="s">
        <v>194</v>
      </c>
      <c r="B275" s="14" t="s">
        <v>201</v>
      </c>
      <c r="C275" s="4">
        <v>1</v>
      </c>
      <c r="D275" s="9">
        <v>280000</v>
      </c>
      <c r="E275" s="9">
        <f t="shared" si="12"/>
        <v>280000</v>
      </c>
    </row>
    <row r="276" spans="1:6" x14ac:dyDescent="0.35">
      <c r="A276" s="4" t="s">
        <v>196</v>
      </c>
      <c r="B276" s="14" t="s">
        <v>198</v>
      </c>
      <c r="C276" s="4">
        <v>1</v>
      </c>
      <c r="D276" s="9">
        <v>200000</v>
      </c>
      <c r="E276" s="9">
        <f t="shared" si="12"/>
        <v>200000</v>
      </c>
    </row>
    <row r="277" spans="1:6" x14ac:dyDescent="0.35">
      <c r="A277" s="4"/>
      <c r="B277" s="4"/>
      <c r="C277" s="4"/>
      <c r="D277" s="9"/>
      <c r="E277" s="88">
        <f>SUM(E268:E276)</f>
        <v>6040000</v>
      </c>
    </row>
    <row r="279" spans="1:6" ht="15.5" x14ac:dyDescent="0.35">
      <c r="A279" s="25" t="s">
        <v>2</v>
      </c>
      <c r="B279" s="25"/>
      <c r="C279" s="2" t="s">
        <v>213</v>
      </c>
      <c r="D279" s="2" t="s">
        <v>214</v>
      </c>
      <c r="E279" s="2" t="s">
        <v>121</v>
      </c>
      <c r="F279" s="2" t="s">
        <v>5</v>
      </c>
    </row>
    <row r="280" spans="1:6" x14ac:dyDescent="0.35">
      <c r="A280" s="111" t="s">
        <v>72</v>
      </c>
      <c r="B280" s="112"/>
      <c r="C280" s="4">
        <v>22</v>
      </c>
      <c r="D280" s="38">
        <v>28</v>
      </c>
      <c r="E280" s="9">
        <v>5000</v>
      </c>
      <c r="F280" s="19">
        <f>C280*D280* 5000</f>
        <v>3080000</v>
      </c>
    </row>
    <row r="281" spans="1:6" x14ac:dyDescent="0.35">
      <c r="A281" s="4" t="s">
        <v>215</v>
      </c>
      <c r="B281" s="9"/>
      <c r="C281" s="4"/>
      <c r="D281" s="9"/>
      <c r="E281" s="19"/>
      <c r="F281" s="9">
        <v>300000</v>
      </c>
    </row>
    <row r="282" spans="1:6" ht="15.5" x14ac:dyDescent="0.35">
      <c r="A282" s="4" t="s">
        <v>52</v>
      </c>
      <c r="B282" s="19"/>
      <c r="C282" s="4"/>
      <c r="D282" s="114"/>
      <c r="E282" s="19"/>
      <c r="F282" s="19">
        <f>SUM(F280:F281)</f>
        <v>3380000</v>
      </c>
    </row>
    <row r="284" spans="1:6" ht="15.5" x14ac:dyDescent="0.35">
      <c r="A284" s="25" t="s">
        <v>2</v>
      </c>
      <c r="B284" s="25"/>
      <c r="C284" s="2" t="s">
        <v>213</v>
      </c>
      <c r="D284" s="2" t="s">
        <v>214</v>
      </c>
      <c r="E284" s="2" t="s">
        <v>121</v>
      </c>
      <c r="F284" s="2" t="s">
        <v>5</v>
      </c>
    </row>
    <row r="285" spans="1:6" x14ac:dyDescent="0.35">
      <c r="A285" s="111" t="s">
        <v>72</v>
      </c>
      <c r="B285" s="112"/>
      <c r="C285" s="4">
        <v>17</v>
      </c>
      <c r="D285" s="38">
        <v>7</v>
      </c>
      <c r="E285" s="9">
        <v>5000</v>
      </c>
      <c r="F285" s="19">
        <f>C285*D285* 5000</f>
        <v>595000</v>
      </c>
    </row>
    <row r="286" spans="1:6" x14ac:dyDescent="0.35">
      <c r="A286" s="4" t="s">
        <v>215</v>
      </c>
      <c r="B286" s="9"/>
      <c r="C286" s="4"/>
      <c r="D286" s="9"/>
      <c r="E286" s="19"/>
      <c r="F286" s="9">
        <v>150000</v>
      </c>
    </row>
    <row r="287" spans="1:6" ht="15.5" x14ac:dyDescent="0.35">
      <c r="A287" s="4" t="s">
        <v>52</v>
      </c>
      <c r="B287" s="19"/>
      <c r="C287" s="4"/>
      <c r="D287" s="114"/>
      <c r="E287" s="19"/>
      <c r="F287" s="19">
        <f>SUM(F285:F286)</f>
        <v>745000</v>
      </c>
    </row>
    <row r="289" spans="1:6" ht="15.5" x14ac:dyDescent="0.35">
      <c r="A289" s="115" t="s">
        <v>2</v>
      </c>
      <c r="B289" s="115"/>
      <c r="C289" s="2" t="s">
        <v>213</v>
      </c>
      <c r="D289" s="2" t="s">
        <v>214</v>
      </c>
      <c r="E289" s="2" t="s">
        <v>121</v>
      </c>
      <c r="F289" s="2" t="s">
        <v>5</v>
      </c>
    </row>
    <row r="290" spans="1:6" x14ac:dyDescent="0.35">
      <c r="A290" s="116" t="s">
        <v>72</v>
      </c>
      <c r="B290" s="117"/>
      <c r="C290" s="4">
        <v>17</v>
      </c>
      <c r="D290" s="38">
        <v>21</v>
      </c>
      <c r="E290" s="9">
        <v>5000</v>
      </c>
      <c r="F290" s="19">
        <f>C290*D290* 5000</f>
        <v>1785000</v>
      </c>
    </row>
    <row r="291" spans="1:6" x14ac:dyDescent="0.35">
      <c r="A291" s="118" t="s">
        <v>216</v>
      </c>
      <c r="B291" s="119"/>
      <c r="C291" s="4"/>
      <c r="D291" s="9"/>
      <c r="E291" s="19"/>
      <c r="F291" s="9">
        <v>200000</v>
      </c>
    </row>
    <row r="292" spans="1:6" ht="15.5" x14ac:dyDescent="0.35">
      <c r="A292" s="111" t="s">
        <v>95</v>
      </c>
      <c r="B292" s="112"/>
      <c r="C292" s="4"/>
      <c r="D292" s="114"/>
      <c r="E292" s="19"/>
      <c r="F292" s="19">
        <v>50000</v>
      </c>
    </row>
    <row r="293" spans="1:6" x14ac:dyDescent="0.35">
      <c r="A293" s="111" t="s">
        <v>217</v>
      </c>
      <c r="B293" s="112"/>
      <c r="C293" s="4"/>
      <c r="D293" s="4"/>
      <c r="E293" s="4"/>
      <c r="F293" s="9">
        <v>100000</v>
      </c>
    </row>
    <row r="294" spans="1:6" x14ac:dyDescent="0.35">
      <c r="F294" s="31">
        <f>SUM(F290:F293)</f>
        <v>2135000</v>
      </c>
    </row>
    <row r="295" spans="1:6" ht="15.5" x14ac:dyDescent="0.35">
      <c r="A295" s="25" t="s">
        <v>2</v>
      </c>
      <c r="B295" s="25"/>
      <c r="C295" s="2" t="s">
        <v>213</v>
      </c>
      <c r="D295" s="2" t="s">
        <v>214</v>
      </c>
      <c r="E295" s="2" t="s">
        <v>121</v>
      </c>
      <c r="F295" s="2" t="s">
        <v>5</v>
      </c>
    </row>
    <row r="296" spans="1:6" x14ac:dyDescent="0.35">
      <c r="A296" s="111" t="s">
        <v>72</v>
      </c>
      <c r="B296" s="112"/>
      <c r="C296" s="4">
        <v>19</v>
      </c>
      <c r="D296" s="120">
        <v>28</v>
      </c>
      <c r="E296" s="9">
        <v>5000</v>
      </c>
      <c r="F296" s="19">
        <f>C296*D296* 5000</f>
        <v>2660000</v>
      </c>
    </row>
    <row r="297" spans="1:6" x14ac:dyDescent="0.35">
      <c r="A297" s="4" t="s">
        <v>215</v>
      </c>
      <c r="B297" s="9"/>
      <c r="C297" s="4"/>
      <c r="D297" s="9"/>
      <c r="E297" s="19"/>
      <c r="F297" s="9">
        <v>300000</v>
      </c>
    </row>
    <row r="298" spans="1:6" ht="15.5" x14ac:dyDescent="0.35">
      <c r="A298" s="116" t="s">
        <v>218</v>
      </c>
      <c r="B298" s="117"/>
      <c r="C298" s="4">
        <v>2</v>
      </c>
      <c r="D298" s="114"/>
      <c r="E298" s="19">
        <v>400000</v>
      </c>
      <c r="F298" s="19">
        <f>C298*E298</f>
        <v>800000</v>
      </c>
    </row>
    <row r="299" spans="1:6" x14ac:dyDescent="0.35">
      <c r="A299" s="4" t="s">
        <v>217</v>
      </c>
      <c r="B299" s="4"/>
      <c r="C299" s="4"/>
      <c r="D299" s="4"/>
      <c r="E299" s="4"/>
      <c r="F299" s="9">
        <v>100000</v>
      </c>
    </row>
    <row r="300" spans="1:6" x14ac:dyDescent="0.35">
      <c r="F300" s="31">
        <f>SUM(F296:F299)</f>
        <v>3860000</v>
      </c>
    </row>
    <row r="301" spans="1:6" ht="15.5" x14ac:dyDescent="0.35">
      <c r="A301" s="25" t="s">
        <v>2</v>
      </c>
      <c r="B301" s="25"/>
      <c r="C301" s="2" t="s">
        <v>213</v>
      </c>
      <c r="D301" s="2" t="s">
        <v>214</v>
      </c>
      <c r="E301" s="2" t="s">
        <v>121</v>
      </c>
      <c r="F301" s="2" t="s">
        <v>5</v>
      </c>
    </row>
    <row r="302" spans="1:6" x14ac:dyDescent="0.35">
      <c r="A302" s="111" t="s">
        <v>72</v>
      </c>
      <c r="B302" s="112"/>
      <c r="C302" s="4">
        <v>30</v>
      </c>
      <c r="D302" s="120">
        <v>28</v>
      </c>
      <c r="E302" s="9">
        <v>5000</v>
      </c>
      <c r="F302" s="19">
        <f>C302*D302* 5000</f>
        <v>4200000</v>
      </c>
    </row>
    <row r="303" spans="1:6" x14ac:dyDescent="0.35">
      <c r="A303" s="4" t="s">
        <v>215</v>
      </c>
      <c r="B303" s="9"/>
      <c r="C303" s="4"/>
      <c r="D303" s="9"/>
      <c r="E303" s="19"/>
      <c r="F303" s="9">
        <v>200000</v>
      </c>
    </row>
    <row r="304" spans="1:6" ht="15.5" x14ac:dyDescent="0.35">
      <c r="A304" s="4" t="s">
        <v>95</v>
      </c>
      <c r="B304" s="19"/>
      <c r="C304" s="4"/>
      <c r="D304" s="114"/>
      <c r="E304" s="19"/>
      <c r="F304" s="19">
        <v>50000</v>
      </c>
    </row>
    <row r="305" spans="1:7" x14ac:dyDescent="0.35">
      <c r="A305" s="4" t="s">
        <v>217</v>
      </c>
      <c r="B305" s="4"/>
      <c r="C305" s="4"/>
      <c r="D305" s="4"/>
      <c r="E305" s="4"/>
      <c r="F305" s="9">
        <v>100000</v>
      </c>
    </row>
    <row r="306" spans="1:7" x14ac:dyDescent="0.35">
      <c r="F306" s="31">
        <f>SUM(F302:F305)</f>
        <v>4550000</v>
      </c>
    </row>
    <row r="308" spans="1:7" ht="15.5" x14ac:dyDescent="0.35">
      <c r="A308" s="109" t="s">
        <v>2</v>
      </c>
      <c r="B308" s="110"/>
      <c r="C308" s="2" t="s">
        <v>213</v>
      </c>
      <c r="D308" s="2" t="s">
        <v>214</v>
      </c>
      <c r="E308" s="2" t="s">
        <v>121</v>
      </c>
      <c r="F308" s="2" t="s">
        <v>219</v>
      </c>
      <c r="G308" s="2" t="s">
        <v>5</v>
      </c>
    </row>
    <row r="309" spans="1:7" x14ac:dyDescent="0.35">
      <c r="A309" s="111" t="s">
        <v>220</v>
      </c>
      <c r="B309" s="112"/>
      <c r="C309" s="4">
        <v>5000</v>
      </c>
      <c r="D309" s="113">
        <v>28</v>
      </c>
      <c r="E309" s="9">
        <v>1000</v>
      </c>
      <c r="F309" s="4">
        <v>10</v>
      </c>
      <c r="G309" s="19">
        <f>C309*E309</f>
        <v>5000000</v>
      </c>
    </row>
    <row r="310" spans="1:7" x14ac:dyDescent="0.35">
      <c r="A310" s="111" t="s">
        <v>72</v>
      </c>
      <c r="B310" s="112"/>
      <c r="C310" s="4">
        <v>5028</v>
      </c>
      <c r="D310" s="120">
        <v>28</v>
      </c>
      <c r="E310" s="9">
        <v>5000</v>
      </c>
      <c r="F310" s="4"/>
      <c r="G310" s="19">
        <f>C310*E310</f>
        <v>25140000</v>
      </c>
    </row>
    <row r="311" spans="1:7" x14ac:dyDescent="0.35">
      <c r="A311" s="4" t="s">
        <v>215</v>
      </c>
      <c r="B311" s="9"/>
      <c r="C311" s="4"/>
      <c r="D311" s="9"/>
      <c r="E311" s="19"/>
      <c r="F311" s="4"/>
      <c r="G311" s="9">
        <v>200000</v>
      </c>
    </row>
    <row r="312" spans="1:7" ht="15" thickBot="1" x14ac:dyDescent="0.4">
      <c r="G312" s="121">
        <f>SUM(G309:G311)</f>
        <v>30340000</v>
      </c>
    </row>
    <row r="313" spans="1:7" ht="15" thickTop="1" x14ac:dyDescent="0.35">
      <c r="G313" s="48"/>
    </row>
    <row r="314" spans="1:7" x14ac:dyDescent="0.35">
      <c r="A314" s="122" t="s">
        <v>221</v>
      </c>
      <c r="B314" s="123"/>
      <c r="C314" s="124"/>
      <c r="D314" s="120">
        <v>20</v>
      </c>
      <c r="E314" s="125">
        <v>2000</v>
      </c>
      <c r="F314" s="124"/>
      <c r="G314" s="126">
        <f>D314*E314</f>
        <v>40000</v>
      </c>
    </row>
    <row r="315" spans="1:7" x14ac:dyDescent="0.35">
      <c r="A315" s="111" t="s">
        <v>222</v>
      </c>
      <c r="B315" s="112"/>
      <c r="C315" s="4"/>
      <c r="D315" s="120">
        <v>5</v>
      </c>
      <c r="E315" s="9">
        <v>10000</v>
      </c>
      <c r="F315" s="4"/>
      <c r="G315" s="126">
        <f>D315*E315</f>
        <v>50000</v>
      </c>
    </row>
    <row r="316" spans="1:7" x14ac:dyDescent="0.35">
      <c r="A316" s="111" t="s">
        <v>223</v>
      </c>
      <c r="B316" s="112"/>
      <c r="C316" s="4"/>
      <c r="D316" s="127">
        <v>5</v>
      </c>
      <c r="E316" s="19">
        <v>15000</v>
      </c>
      <c r="F316" s="4"/>
      <c r="G316" s="126">
        <f>D316*E316</f>
        <v>75000</v>
      </c>
    </row>
    <row r="317" spans="1:7" ht="15.5" x14ac:dyDescent="0.35">
      <c r="A317" s="128" t="s">
        <v>224</v>
      </c>
      <c r="B317" s="129"/>
      <c r="C317" s="4"/>
      <c r="D317" s="130">
        <v>20</v>
      </c>
      <c r="E317" s="19">
        <v>15000</v>
      </c>
      <c r="F317" s="4"/>
      <c r="G317" s="126">
        <f>D317*E317</f>
        <v>300000</v>
      </c>
    </row>
    <row r="318" spans="1:7" x14ac:dyDescent="0.35">
      <c r="A318" s="131" t="s">
        <v>217</v>
      </c>
      <c r="B318" s="132"/>
      <c r="C318" s="133"/>
      <c r="D318" s="133"/>
      <c r="E318" s="133"/>
      <c r="F318" s="133"/>
      <c r="G318" s="134">
        <v>1000000</v>
      </c>
    </row>
    <row r="320" spans="1:7" ht="15.5" x14ac:dyDescent="0.35">
      <c r="A320" s="25" t="s">
        <v>2</v>
      </c>
      <c r="B320" s="25"/>
      <c r="C320" s="2" t="s">
        <v>213</v>
      </c>
      <c r="D320" s="2" t="s">
        <v>214</v>
      </c>
      <c r="E320" s="2" t="s">
        <v>121</v>
      </c>
      <c r="F320" s="2" t="s">
        <v>5</v>
      </c>
    </row>
    <row r="321" spans="1:6" x14ac:dyDescent="0.35">
      <c r="A321" s="111" t="s">
        <v>72</v>
      </c>
      <c r="B321" s="112"/>
      <c r="C321" s="4">
        <v>17</v>
      </c>
      <c r="D321" s="38">
        <v>7</v>
      </c>
      <c r="E321" s="9">
        <v>5000</v>
      </c>
      <c r="F321" s="19">
        <f>C321*D321* 5000</f>
        <v>595000</v>
      </c>
    </row>
    <row r="322" spans="1:6" x14ac:dyDescent="0.35">
      <c r="A322" s="4" t="s">
        <v>215</v>
      </c>
      <c r="B322" s="9"/>
      <c r="C322" s="4"/>
      <c r="D322" s="9"/>
      <c r="E322" s="19"/>
      <c r="F322" s="9">
        <v>100000</v>
      </c>
    </row>
    <row r="323" spans="1:6" ht="15.5" x14ac:dyDescent="0.35">
      <c r="A323" s="4" t="s">
        <v>52</v>
      </c>
      <c r="B323" s="19"/>
      <c r="C323" s="4"/>
      <c r="D323" s="114"/>
      <c r="E323" s="19"/>
      <c r="F323" s="19">
        <f>SUM(F321:F322)</f>
        <v>695000</v>
      </c>
    </row>
  </sheetData>
  <mergeCells count="7">
    <mergeCell ref="A72:B72"/>
    <mergeCell ref="A60:B60"/>
    <mergeCell ref="A59:B59"/>
    <mergeCell ref="A61:B61"/>
    <mergeCell ref="A62:B62"/>
    <mergeCell ref="A70:B70"/>
    <mergeCell ref="A71:B7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Mukami</dc:creator>
  <cp:lastModifiedBy>KIPRE</cp:lastModifiedBy>
  <dcterms:created xsi:type="dcterms:W3CDTF">2024-07-31T06:32:56Z</dcterms:created>
  <dcterms:modified xsi:type="dcterms:W3CDTF">2024-08-01T06:52:34Z</dcterms:modified>
</cp:coreProperties>
</file>