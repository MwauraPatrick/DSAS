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FB7F0896-1248-43DC-AC8B-ADF49E108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4" i="1" l="1"/>
  <c r="Y44" i="1"/>
  <c r="V44" i="1"/>
  <c r="AA42" i="1"/>
  <c r="AA44" i="1" l="1"/>
</calcChain>
</file>

<file path=xl/sharedStrings.xml><?xml version="1.0" encoding="utf-8"?>
<sst xmlns="http://schemas.openxmlformats.org/spreadsheetml/2006/main" count="133" uniqueCount="124">
  <si>
    <t>Results Areas</t>
  </si>
  <si>
    <t>Main Activities</t>
  </si>
  <si>
    <t>Sub Activities</t>
  </si>
  <si>
    <t>Expected Outputs</t>
  </si>
  <si>
    <t>Performance Indicators</t>
  </si>
  <si>
    <t>Means of verification</t>
  </si>
  <si>
    <t xml:space="preserve">Estimated Cost </t>
  </si>
  <si>
    <t>Off-budget resources</t>
  </si>
  <si>
    <t>Funding Gap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</si>
  <si>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</si>
  <si>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</si>
  <si>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</si>
  <si>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</si>
  <si>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</si>
  <si>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</si>
  <si>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</si>
  <si>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</si>
  <si>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</si>
  <si>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</si>
  <si>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</si>
  <si>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</si>
  <si>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Source of funding</t>
  </si>
  <si>
    <t>Amount</t>
  </si>
  <si>
    <t>Programme Name: ……………………………………………………………….</t>
  </si>
  <si>
    <t>Programme Outcome: ……………………………………………………………….</t>
  </si>
  <si>
    <t>Sub-Programme Name: ……………………………………………………………….</t>
  </si>
  <si>
    <t>GOK</t>
  </si>
  <si>
    <t>Approved Budget (Rec &amp; Dev)</t>
  </si>
  <si>
    <t>Total</t>
  </si>
  <si>
    <t>ANNUAL WORK PLAN 2024- 2025</t>
  </si>
  <si>
    <t>2024/25</t>
  </si>
  <si>
    <t>Target</t>
  </si>
  <si>
    <t>Delivery Unit/Directorate/Division/Section Name: ……………………………………………………………….</t>
  </si>
  <si>
    <t>Modernization and expansion of infrastructure and equipment for antivenom research and production</t>
  </si>
  <si>
    <t>Partnership on research and antivenom production</t>
  </si>
  <si>
    <t xml:space="preserve">Construct a horse stable </t>
  </si>
  <si>
    <t>Construct a camel stable &amp; phlebotomy facility at KALRO Naivasha farm</t>
  </si>
  <si>
    <t>Construct snakebite venom &amp; anti-venom research Laboratories, Coldroom, Offices &amp; conference /training facility</t>
  </si>
  <si>
    <t>Procurement of rodent facility equipment</t>
  </si>
  <si>
    <t>Procurement of audio visual equipment</t>
  </si>
  <si>
    <t xml:space="preserve">Procurement of office furniture &amp; equipment </t>
  </si>
  <si>
    <t>Servicing &amp; Calibration of equipment</t>
  </si>
  <si>
    <t>Procurement of software &amp; licences</t>
  </si>
  <si>
    <t>Procurement of Laborarory, cold room &amp; phlebetomy facility equipment</t>
  </si>
  <si>
    <t>Procurement of equipment maintenance services</t>
  </si>
  <si>
    <t>Procurement of fill &amp; finish equipment &amp; installation</t>
  </si>
  <si>
    <t>Fill &amp; Finish facility Constructed</t>
  </si>
  <si>
    <t>Board Approval</t>
  </si>
  <si>
    <t>Environmental, Impact Assessment</t>
  </si>
  <si>
    <t>Board visit &amp; Approval</t>
  </si>
  <si>
    <t>Establish a Snakebite Preclinical rodent &amp; bio-containment facility</t>
  </si>
  <si>
    <t>Feasibility study</t>
  </si>
  <si>
    <t>Procurement of Insurance services</t>
  </si>
  <si>
    <t>Construct pre-clinical animal housing facility at KIPRE for venom research &amp; antivenom production</t>
  </si>
  <si>
    <t>Skills &amp; technology for antivenom fill &amp; finish acquired</t>
  </si>
  <si>
    <t>Construct antivenom fill &amp; finish facility</t>
  </si>
  <si>
    <t>Operationalize fill &amp; finish facility</t>
  </si>
  <si>
    <t xml:space="preserve"> Fill &amp; Finish facility operationalized</t>
  </si>
  <si>
    <t>Construct a snakebite preclinical rodent &amp; bio-containment facility</t>
  </si>
  <si>
    <t>Operationalize snakebite preclinical rodent &amp; bio-containment facility</t>
  </si>
  <si>
    <t>Establish snakebite venom &amp; anti-venom research Laboratories, Coldroom, Offices &amp; conference /training facility</t>
  </si>
  <si>
    <t>Operationalize snakebite venom &amp; anti-venom research Laboratories, Coldroom, Offices &amp; conference /training facility</t>
  </si>
  <si>
    <t>Technology transfer for establishing the Fill &amp; Finish</t>
  </si>
  <si>
    <t>Establish/initiate an anti-venom fill &amp; finish facility</t>
  </si>
  <si>
    <t>Leverage IT infrastructure/ internet expansion &amp; optimization at the new snakebite facilities</t>
  </si>
  <si>
    <t>Mapping of snakebite partners,stakeholders &amp; collaborators</t>
  </si>
  <si>
    <t>Acquire statutory obligations and regulations</t>
  </si>
  <si>
    <t>Establish Strategic patnership &amp; collaborations</t>
  </si>
  <si>
    <t xml:space="preserve">Advocacy for snakebite </t>
  </si>
  <si>
    <t>Policy engagements</t>
  </si>
  <si>
    <t>Procurement of field vehicles &amp; snakebite ambulances</t>
  </si>
  <si>
    <t xml:space="preserve"> </t>
  </si>
  <si>
    <t>Facility Construction</t>
  </si>
  <si>
    <t>Attendance Register</t>
  </si>
  <si>
    <t>Partners, Stakeholders and Partners Mapped</t>
  </si>
  <si>
    <t>Minutes of meeting</t>
  </si>
  <si>
    <t>Statutory Obligations and Regulatons Acquired</t>
  </si>
  <si>
    <t>Request Letter</t>
  </si>
  <si>
    <t>Policies and Guidelines Fromulated</t>
  </si>
  <si>
    <t>Formulate snakebite management guidelines &amp; policies</t>
  </si>
  <si>
    <t>Number of Statutory Obligayions and Regulations Acquired</t>
  </si>
  <si>
    <t>Number of permits and Licenses</t>
  </si>
  <si>
    <t>Number of Policies and uidelines</t>
  </si>
  <si>
    <t>Request letter</t>
  </si>
  <si>
    <t>Strategic patnership &amp; collaborations Established</t>
  </si>
  <si>
    <t>Inittiate partnership on research and antivenom production</t>
  </si>
  <si>
    <t>Hold Public awareness campaigns</t>
  </si>
  <si>
    <t>Public awareness campaigns Held</t>
  </si>
  <si>
    <t xml:space="preserve">Number of Public Awareness Campains held </t>
  </si>
  <si>
    <t>Develop Information, education &amp; communication materials</t>
  </si>
  <si>
    <t>Information, education &amp; communication materialsDeveloped</t>
  </si>
  <si>
    <t>Number of Informatiion, Education and communication materials developed</t>
  </si>
  <si>
    <t>Meeting notices, Photos</t>
  </si>
  <si>
    <t>DOFs Raised</t>
  </si>
  <si>
    <t xml:space="preserve">Hold Public barazas to educate communities on snakebite first aid </t>
  </si>
  <si>
    <t xml:space="preserve">Hold Public barazas to educate communities on snakebite first aid held </t>
  </si>
  <si>
    <t>Number of Barazas Held</t>
  </si>
  <si>
    <t>Engage Social media, website &amp; other digital platforms</t>
  </si>
  <si>
    <t>Social media, website &amp; other digital platforms engaged</t>
  </si>
  <si>
    <t>Number of Social media, website &amp; other digital platforms Engaged</t>
  </si>
  <si>
    <t>Active Social Media Handles, Website</t>
  </si>
  <si>
    <t>Development of policies</t>
  </si>
  <si>
    <t>Number of Policies developed</t>
  </si>
  <si>
    <t>Policy</t>
  </si>
  <si>
    <t>Conduct workshops to educate healthcare workers on snakebites</t>
  </si>
  <si>
    <t>Workshops to educate healthcare workers on snakebites Conducted</t>
  </si>
  <si>
    <t>Number of Workshops Conducted</t>
  </si>
  <si>
    <t>Attandance list, Photos, Venue Bookings</t>
  </si>
  <si>
    <t>Office furniture &amp; equipment  procured</t>
  </si>
  <si>
    <t>Field vehicles &amp; snakebite ambulances procured</t>
  </si>
  <si>
    <t>Number of Field vehicles &amp; snakebite ambulances</t>
  </si>
  <si>
    <t>Number of   offices / counters Equipped</t>
  </si>
  <si>
    <t>Software &amp; licences procured</t>
  </si>
  <si>
    <t>Number of Software &amp; licences procured</t>
  </si>
  <si>
    <t>Licences Issued</t>
  </si>
  <si>
    <t>DOF, LPO issued, Delivery notes</t>
  </si>
  <si>
    <t>DOF, LPO issued,  Delivery Notes</t>
  </si>
  <si>
    <t>procure of equipment for snakebite venom &amp; antivenom Research &amp; Development</t>
  </si>
  <si>
    <t>IT infrastructure/ internet expansion &amp; optimization at the new snakebite facilities Leveraed</t>
  </si>
  <si>
    <t>Nimber of offices leveraged</t>
  </si>
  <si>
    <t>Equipment maintenance services procured</t>
  </si>
  <si>
    <t>Number of contracts signed</t>
  </si>
  <si>
    <t>Signed Contract</t>
  </si>
  <si>
    <t>Insurance  services procured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</si>
</sst>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/>
    <xf numFmtId="164" fontId="4" fillId="0" borderId="1" xfId="1" applyFont="1" applyBorder="1"/>
    <xf numFmtId="0" fontId="3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5" borderId="4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2" fillId="3" borderId="2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165" fontId="5" fillId="4" borderId="4" xfId="1" applyNumberFormat="1" applyFont="1" applyFill="1" applyBorder="1" applyAlignment="1">
      <alignment horizontal="center" vertical="center" wrapText="1"/>
    </xf>
    <xf numFmtId="165" fontId="5" fillId="4" borderId="5" xfId="1" applyNumberFormat="1" applyFont="1" applyFill="1" applyBorder="1" applyAlignment="1">
      <alignment horizontal="center" vertical="center" wrapText="1"/>
    </xf>
    <xf numFmtId="0" fontId="5" fillId="4" borderId="2" xfId="0" quotePrefix="1" applyFont="1" applyFill="1" applyBorder="1" applyAlignment="1">
      <alignment horizontal="center" vertical="center" wrapText="1"/>
    </xf>
    <xf numFmtId="0" fontId="5" fillId="4" borderId="7" xfId="0" quotePrefix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44"/>
  <sheetViews>
    <sheetView tabSelected="1" topLeftCell="C4" zoomScale="60" zoomScaleNormal="60" workbookViewId="0">
      <pane xSplit="8850" ySplit="2330" topLeftCell="F18" activePane="bottomRight"/>
      <selection activeCell="L28" sqref="L28"/>
      <selection pane="topRight" activeCell="I1" sqref="I1:I1048576"/>
      <selection pane="bottomLeft" activeCell="E32" sqref="E32"/>
      <selection pane="bottomRight" activeCell="J32" sqref="J32"/>
    </sheetView>
  </sheetViews>
  <sheetFormatPr defaultColWidth="10.9140625" defaultRowHeight="15" x14ac:dyDescent="0.3"/>
  <cols>
    <col min="1" max="1" width="10.9140625" style="1"/>
    <col min="2" max="2" width="10.1640625" style="1" customWidth="1"/>
    <col min="3" max="3" width="17.9140625" style="1" customWidth="1"/>
    <col min="4" max="4" width="49.5" style="1" customWidth="1"/>
    <col min="5" max="5" width="51.9140625" style="27" customWidth="1"/>
    <col min="6" max="6" width="28.75" style="27" customWidth="1"/>
    <col min="7" max="7" width="16.33203125" style="27" customWidth="1"/>
    <col min="8" max="8" width="10.9140625" style="1"/>
    <col min="9" max="9" width="15.9140625" style="27" customWidth="1"/>
    <col min="10" max="16384" width="10.9140625" style="1"/>
  </cols>
  <sheetData>
    <row r="4" spans="2:28" x14ac:dyDescent="0.3">
      <c r="B4" s="5"/>
      <c r="C4" s="38" t="s">
        <v>29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/>
    </row>
    <row r="5" spans="2:28" x14ac:dyDescent="0.3">
      <c r="B5" s="5"/>
      <c r="C5" s="28" t="s">
        <v>23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</row>
    <row r="6" spans="2:28" x14ac:dyDescent="0.3">
      <c r="B6" s="5"/>
      <c r="C6" s="28" t="s">
        <v>24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</row>
    <row r="7" spans="2:28" x14ac:dyDescent="0.3">
      <c r="B7" s="5"/>
      <c r="C7" s="28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</row>
    <row r="8" spans="2:28" x14ac:dyDescent="0.3">
      <c r="B8" s="5"/>
      <c r="C8" s="28" t="s">
        <v>32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2"/>
    </row>
    <row r="9" spans="2:28" ht="32.15" customHeight="1" x14ac:dyDescent="0.3">
      <c r="B9" s="5"/>
      <c r="C9" s="19" t="s">
        <v>0</v>
      </c>
      <c r="D9" s="19" t="s">
        <v>1</v>
      </c>
      <c r="E9" s="19" t="s">
        <v>2</v>
      </c>
      <c r="F9" s="19" t="s">
        <v>3</v>
      </c>
      <c r="G9" s="19" t="s">
        <v>4</v>
      </c>
      <c r="H9" s="19" t="s">
        <v>31</v>
      </c>
      <c r="I9" s="19" t="s">
        <v>5</v>
      </c>
      <c r="J9" s="33" t="s">
        <v>30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5"/>
      <c r="V9" s="31" t="s">
        <v>6</v>
      </c>
      <c r="W9" s="21" t="s">
        <v>27</v>
      </c>
      <c r="X9" s="22"/>
      <c r="Y9" s="21" t="s">
        <v>7</v>
      </c>
      <c r="Z9" s="22"/>
      <c r="AA9" s="36" t="s">
        <v>8</v>
      </c>
    </row>
    <row r="10" spans="2:28" ht="23" x14ac:dyDescent="0.3">
      <c r="B10" s="5"/>
      <c r="C10" s="20"/>
      <c r="D10" s="20"/>
      <c r="E10" s="20"/>
      <c r="F10" s="20"/>
      <c r="G10" s="20"/>
      <c r="H10" s="20"/>
      <c r="I10" s="20"/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2"/>
      <c r="W10" s="4" t="s">
        <v>26</v>
      </c>
      <c r="X10" s="3" t="s">
        <v>21</v>
      </c>
      <c r="Y10" s="3" t="s">
        <v>22</v>
      </c>
      <c r="Z10" s="3" t="s">
        <v>21</v>
      </c>
      <c r="AA10" s="37"/>
    </row>
    <row r="11" spans="2:28" ht="48.65" customHeight="1" x14ac:dyDescent="0.3">
      <c r="B11" s="8">
        <v>5</v>
      </c>
      <c r="C11" s="16" t="s">
        <v>33</v>
      </c>
      <c r="D11" s="10" t="s">
        <v>63</v>
      </c>
      <c r="E11" s="24" t="s">
        <v>51</v>
      </c>
      <c r="F11" s="23" t="s">
        <v>49</v>
      </c>
      <c r="G11" s="23" t="s">
        <v>47</v>
      </c>
      <c r="H11" s="5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2:28" ht="48.65" customHeight="1" x14ac:dyDescent="0.3">
      <c r="B12" s="8"/>
      <c r="C12" s="17"/>
      <c r="D12" s="11"/>
      <c r="E12" s="25"/>
      <c r="F12" s="23" t="s">
        <v>48</v>
      </c>
      <c r="G12" s="23"/>
      <c r="H12" s="5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2:28" ht="48.65" customHeight="1" x14ac:dyDescent="0.3">
      <c r="B13" s="8"/>
      <c r="C13" s="17"/>
      <c r="D13" s="11"/>
      <c r="E13" s="23" t="s">
        <v>62</v>
      </c>
      <c r="F13" s="27" t="s">
        <v>54</v>
      </c>
      <c r="G13" s="23"/>
      <c r="H13" s="5"/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2:28" ht="48.65" customHeight="1" x14ac:dyDescent="0.3">
      <c r="B14" s="8"/>
      <c r="C14" s="17"/>
      <c r="D14" s="11"/>
      <c r="E14" s="23" t="s">
        <v>55</v>
      </c>
      <c r="F14" s="23" t="s">
        <v>46</v>
      </c>
      <c r="G14" s="23"/>
      <c r="H14" s="5"/>
      <c r="I14" s="2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2:28" ht="48.65" customHeight="1" x14ac:dyDescent="0.3">
      <c r="B15" s="8"/>
      <c r="C15" s="17"/>
      <c r="D15" s="12"/>
      <c r="E15" s="26" t="s">
        <v>56</v>
      </c>
      <c r="F15" s="23" t="s">
        <v>57</v>
      </c>
      <c r="G15" s="23"/>
      <c r="H15" s="5"/>
      <c r="I15" s="2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2:28" ht="31.25" customHeight="1" x14ac:dyDescent="0.3">
      <c r="B16" s="8"/>
      <c r="C16" s="17"/>
      <c r="D16" s="13" t="s">
        <v>50</v>
      </c>
      <c r="E16" s="23" t="s">
        <v>71</v>
      </c>
      <c r="F16" s="23"/>
      <c r="G16" s="23"/>
      <c r="H16" s="5"/>
      <c r="I16" s="2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2:27" ht="31.25" customHeight="1" x14ac:dyDescent="0.3">
      <c r="B17" s="8"/>
      <c r="C17" s="17"/>
      <c r="D17" s="15"/>
      <c r="E17" s="23" t="s">
        <v>58</v>
      </c>
      <c r="F17" s="23" t="s">
        <v>72</v>
      </c>
      <c r="G17" s="23"/>
      <c r="H17" s="5"/>
      <c r="I17" s="2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2:27" ht="31.25" customHeight="1" x14ac:dyDescent="0.3">
      <c r="B18" s="8"/>
      <c r="C18" s="17"/>
      <c r="D18" s="14"/>
      <c r="E18" s="23" t="s">
        <v>59</v>
      </c>
      <c r="F18" s="23"/>
      <c r="G18" s="23"/>
      <c r="H18" s="5"/>
      <c r="I18" s="2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2:27" ht="31.25" customHeight="1" x14ac:dyDescent="0.3">
      <c r="B19" s="8"/>
      <c r="C19" s="17"/>
      <c r="D19" s="13" t="s">
        <v>60</v>
      </c>
      <c r="E19" s="23"/>
      <c r="F19" s="23"/>
      <c r="G19" s="23"/>
      <c r="H19" s="5"/>
      <c r="I19" s="2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2:27" ht="31.25" customHeight="1" x14ac:dyDescent="0.3">
      <c r="B20" s="8"/>
      <c r="C20" s="17"/>
      <c r="D20" s="15"/>
      <c r="E20" s="23" t="s">
        <v>37</v>
      </c>
      <c r="F20" s="23"/>
      <c r="G20" s="23"/>
      <c r="H20" s="5"/>
      <c r="I20" s="2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2:27" ht="31.25" customHeight="1" x14ac:dyDescent="0.3">
      <c r="B21" s="8"/>
      <c r="C21" s="17"/>
      <c r="D21" s="14"/>
      <c r="E21" s="23" t="s">
        <v>61</v>
      </c>
      <c r="F21" s="23"/>
      <c r="G21" s="23"/>
      <c r="H21" s="5"/>
      <c r="I21" s="2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2:27" ht="31.25" customHeight="1" x14ac:dyDescent="0.3">
      <c r="B22" s="8"/>
      <c r="C22" s="17"/>
      <c r="D22" s="13" t="s">
        <v>53</v>
      </c>
      <c r="E22" s="23" t="s">
        <v>35</v>
      </c>
      <c r="F22" s="23"/>
      <c r="G22" s="23"/>
      <c r="H22" s="5"/>
      <c r="I22" s="2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2:27" ht="31.25" customHeight="1" x14ac:dyDescent="0.3">
      <c r="B23" s="8"/>
      <c r="C23" s="17"/>
      <c r="D23" s="14"/>
      <c r="E23" s="23" t="s">
        <v>36</v>
      </c>
      <c r="F23" s="23"/>
      <c r="G23" s="23"/>
      <c r="H23" s="5"/>
      <c r="I23" s="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2:27" ht="40" customHeight="1" x14ac:dyDescent="0.3">
      <c r="B24" s="8"/>
      <c r="C24" s="17"/>
      <c r="D24" s="10" t="s">
        <v>117</v>
      </c>
      <c r="E24" s="23" t="s">
        <v>45</v>
      </c>
      <c r="F24" s="23" t="s">
        <v>45</v>
      </c>
      <c r="G24" s="23"/>
      <c r="H24" s="5"/>
      <c r="I24" s="2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2:27" ht="32.5" customHeight="1" x14ac:dyDescent="0.3">
      <c r="B25" s="8"/>
      <c r="C25" s="18"/>
      <c r="D25" s="11"/>
      <c r="E25" s="23" t="s">
        <v>43</v>
      </c>
      <c r="F25" s="23"/>
      <c r="G25" s="23"/>
      <c r="H25" s="5"/>
      <c r="I25" s="2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2:27" ht="42" customHeight="1" x14ac:dyDescent="0.3">
      <c r="B26" s="8"/>
      <c r="C26" s="9"/>
      <c r="D26" s="11"/>
      <c r="E26" s="23" t="s">
        <v>39</v>
      </c>
      <c r="F26" s="23"/>
      <c r="G26" s="23"/>
      <c r="H26" s="5"/>
      <c r="I26" s="2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2:27" ht="74.5" customHeight="1" x14ac:dyDescent="0.3">
      <c r="B27" s="8"/>
      <c r="C27" s="9"/>
      <c r="D27" s="11"/>
      <c r="E27" s="23" t="s">
        <v>70</v>
      </c>
      <c r="F27" s="23" t="s">
        <v>109</v>
      </c>
      <c r="G27" s="23" t="s">
        <v>110</v>
      </c>
      <c r="H27" s="5">
        <v>6</v>
      </c>
      <c r="I27" s="23" t="s">
        <v>116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2:27" ht="60.5" customHeight="1" x14ac:dyDescent="0.3">
      <c r="B28" s="8"/>
      <c r="C28" s="9"/>
      <c r="D28" s="11"/>
      <c r="E28" s="23" t="s">
        <v>40</v>
      </c>
      <c r="F28" s="23" t="s">
        <v>108</v>
      </c>
      <c r="G28" s="23" t="s">
        <v>111</v>
      </c>
      <c r="H28" s="5">
        <v>8</v>
      </c>
      <c r="I28" s="23" t="s">
        <v>115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2:27" ht="64" customHeight="1" x14ac:dyDescent="0.3">
      <c r="B29" s="8"/>
      <c r="C29" s="9"/>
      <c r="D29" s="11"/>
      <c r="E29" s="23" t="s">
        <v>42</v>
      </c>
      <c r="F29" s="23" t="s">
        <v>112</v>
      </c>
      <c r="G29" s="23" t="s">
        <v>113</v>
      </c>
      <c r="H29" s="5">
        <v>20</v>
      </c>
      <c r="I29" s="23" t="s">
        <v>114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2:27" ht="67" customHeight="1" x14ac:dyDescent="0.3">
      <c r="B30" s="8"/>
      <c r="C30" s="9"/>
      <c r="D30" s="11"/>
      <c r="E30" s="23" t="s">
        <v>38</v>
      </c>
      <c r="F30" s="23" t="s">
        <v>38</v>
      </c>
      <c r="G30" s="23" t="s">
        <v>111</v>
      </c>
      <c r="H30" s="5">
        <v>1</v>
      </c>
      <c r="I30" s="23" t="s">
        <v>115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2:27" ht="44.5" customHeight="1" x14ac:dyDescent="0.3">
      <c r="B31" s="8"/>
      <c r="C31" s="9"/>
      <c r="D31" s="12"/>
      <c r="E31" s="27" t="s">
        <v>64</v>
      </c>
      <c r="F31" s="23" t="s">
        <v>118</v>
      </c>
      <c r="G31" s="23" t="s">
        <v>119</v>
      </c>
      <c r="H31" s="5">
        <v>8</v>
      </c>
      <c r="I31" s="23" t="s">
        <v>115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2:27" ht="29.5" customHeight="1" x14ac:dyDescent="0.3">
      <c r="B32" s="8"/>
      <c r="C32" s="9"/>
      <c r="D32" s="10" t="s">
        <v>41</v>
      </c>
      <c r="E32" s="23" t="s">
        <v>44</v>
      </c>
      <c r="F32" s="23" t="s">
        <v>120</v>
      </c>
      <c r="G32" s="23" t="s">
        <v>121</v>
      </c>
      <c r="H32" s="5">
        <v>5</v>
      </c>
      <c r="I32" s="23" t="s">
        <v>122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2:27" ht="49" customHeight="1" x14ac:dyDescent="0.3">
      <c r="B33" s="8"/>
      <c r="C33" s="9"/>
      <c r="D33" s="12"/>
      <c r="E33" s="23" t="s">
        <v>52</v>
      </c>
      <c r="F33" s="23" t="s">
        <v>123</v>
      </c>
      <c r="G33" s="23" t="s">
        <v>121</v>
      </c>
      <c r="H33" s="5">
        <v>1</v>
      </c>
      <c r="I33" s="23" t="s">
        <v>122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2:27" ht="36.65" customHeight="1" x14ac:dyDescent="0.3">
      <c r="B34" s="8">
        <v>6</v>
      </c>
      <c r="C34" s="41" t="s">
        <v>34</v>
      </c>
      <c r="D34" s="44" t="s">
        <v>85</v>
      </c>
      <c r="E34" s="23" t="s">
        <v>79</v>
      </c>
      <c r="F34" s="23" t="s">
        <v>78</v>
      </c>
      <c r="G34" s="23" t="s">
        <v>82</v>
      </c>
      <c r="H34" s="5">
        <v>2</v>
      </c>
      <c r="I34" s="23" t="s">
        <v>73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2:27" ht="30.65" customHeight="1" x14ac:dyDescent="0.3">
      <c r="B35" s="8"/>
      <c r="C35" s="42"/>
      <c r="D35" s="42"/>
      <c r="E35" s="23" t="s">
        <v>65</v>
      </c>
      <c r="F35" s="23" t="s">
        <v>74</v>
      </c>
      <c r="G35" s="23"/>
      <c r="H35" s="5">
        <v>3</v>
      </c>
      <c r="I35" s="23" t="s">
        <v>75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</row>
    <row r="36" spans="2:27" ht="40" customHeight="1" x14ac:dyDescent="0.3">
      <c r="B36" s="8"/>
      <c r="C36" s="42"/>
      <c r="D36" s="42"/>
      <c r="E36" s="23" t="s">
        <v>66</v>
      </c>
      <c r="F36" s="23" t="s">
        <v>76</v>
      </c>
      <c r="G36" s="23" t="s">
        <v>81</v>
      </c>
      <c r="H36" s="5">
        <v>3</v>
      </c>
      <c r="I36" s="23" t="s">
        <v>77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2:27" ht="34" customHeight="1" x14ac:dyDescent="0.3">
      <c r="B37" s="8"/>
      <c r="C37" s="42"/>
      <c r="D37" s="43"/>
      <c r="E37" s="5" t="s">
        <v>67</v>
      </c>
      <c r="F37" s="5" t="s">
        <v>84</v>
      </c>
      <c r="G37" s="23" t="s">
        <v>80</v>
      </c>
      <c r="H37" s="5">
        <v>3</v>
      </c>
      <c r="I37" s="23" t="s">
        <v>83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 spans="2:27" ht="48.5" customHeight="1" x14ac:dyDescent="0.3">
      <c r="B38" s="8"/>
      <c r="C38" s="42"/>
      <c r="D38" s="10" t="s">
        <v>68</v>
      </c>
      <c r="E38" s="23" t="s">
        <v>86</v>
      </c>
      <c r="F38" s="23" t="s">
        <v>87</v>
      </c>
      <c r="G38" s="23" t="s">
        <v>88</v>
      </c>
      <c r="H38" s="5">
        <v>4</v>
      </c>
      <c r="I38" s="23" t="s">
        <v>92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2:27" ht="53.5" customHeight="1" x14ac:dyDescent="0.3">
      <c r="B39" s="8"/>
      <c r="C39" s="42"/>
      <c r="D39" s="11"/>
      <c r="E39" s="23" t="s">
        <v>89</v>
      </c>
      <c r="F39" s="23" t="s">
        <v>90</v>
      </c>
      <c r="G39" s="23" t="s">
        <v>91</v>
      </c>
      <c r="H39" s="5">
        <v>6</v>
      </c>
      <c r="I39" s="23" t="s">
        <v>93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2:27" ht="61" customHeight="1" x14ac:dyDescent="0.3">
      <c r="B40" s="8"/>
      <c r="C40" s="42"/>
      <c r="D40" s="11"/>
      <c r="E40" s="23" t="s">
        <v>94</v>
      </c>
      <c r="F40" s="23" t="s">
        <v>95</v>
      </c>
      <c r="G40" s="23" t="s">
        <v>96</v>
      </c>
      <c r="H40" s="5">
        <v>10</v>
      </c>
      <c r="I40" s="23" t="s">
        <v>92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2:27" ht="47.5" customHeight="1" x14ac:dyDescent="0.3">
      <c r="B41" s="5"/>
      <c r="C41" s="42"/>
      <c r="D41" s="11"/>
      <c r="E41" s="23" t="s">
        <v>97</v>
      </c>
      <c r="F41" s="23" t="s">
        <v>98</v>
      </c>
      <c r="G41" s="23" t="s">
        <v>99</v>
      </c>
      <c r="H41" s="5">
        <v>3</v>
      </c>
      <c r="I41" s="23" t="s">
        <v>100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2:27" ht="32.5" customHeight="1" x14ac:dyDescent="0.3">
      <c r="B42" s="5"/>
      <c r="C42" s="42"/>
      <c r="D42" s="11"/>
      <c r="E42" s="23" t="s">
        <v>69</v>
      </c>
      <c r="F42" s="23" t="s">
        <v>101</v>
      </c>
      <c r="G42" s="23" t="s">
        <v>102</v>
      </c>
      <c r="H42" s="5">
        <v>1</v>
      </c>
      <c r="I42" s="23" t="s">
        <v>103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>
        <f t="shared" ref="AA42" si="0">(W42+Y42)-V42</f>
        <v>0</v>
      </c>
    </row>
    <row r="43" spans="2:27" ht="29.5" customHeight="1" x14ac:dyDescent="0.3">
      <c r="B43" s="5"/>
      <c r="C43" s="43"/>
      <c r="D43" s="12"/>
      <c r="E43" s="23" t="s">
        <v>104</v>
      </c>
      <c r="F43" s="23" t="s">
        <v>105</v>
      </c>
      <c r="G43" s="23" t="s">
        <v>106</v>
      </c>
      <c r="H43" s="5">
        <v>25</v>
      </c>
      <c r="I43" s="23" t="s">
        <v>107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/>
    </row>
    <row r="44" spans="2:27" ht="22.5" customHeight="1" x14ac:dyDescent="0.3">
      <c r="B44" s="5"/>
      <c r="C44" s="7" t="s">
        <v>28</v>
      </c>
      <c r="D44" s="5"/>
      <c r="E44" s="23"/>
      <c r="F44" s="23"/>
      <c r="G44" s="23"/>
      <c r="H44" s="5"/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>
        <f>SUM(V11:V42)</f>
        <v>0</v>
      </c>
      <c r="W44" s="6">
        <f>SUM(W11:W42)</f>
        <v>0</v>
      </c>
      <c r="X44" s="6"/>
      <c r="Y44" s="6">
        <f>SUM(Y11:Y42)</f>
        <v>0</v>
      </c>
      <c r="Z44" s="6"/>
      <c r="AA44" s="6">
        <f>SUM(AA11:AA42)</f>
        <v>0</v>
      </c>
    </row>
  </sheetData>
  <mergeCells count="28">
    <mergeCell ref="C4:AA4"/>
    <mergeCell ref="C9:C10"/>
    <mergeCell ref="D9:D10"/>
    <mergeCell ref="E9:E10"/>
    <mergeCell ref="F9:F10"/>
    <mergeCell ref="G9:G10"/>
    <mergeCell ref="H9:H10"/>
    <mergeCell ref="AA9:AA10"/>
    <mergeCell ref="I9:I10"/>
    <mergeCell ref="J9:U9"/>
    <mergeCell ref="V9:V10"/>
    <mergeCell ref="W9:X9"/>
    <mergeCell ref="Y9:Z9"/>
    <mergeCell ref="E11:E12"/>
    <mergeCell ref="C5:AA5"/>
    <mergeCell ref="C6:AA6"/>
    <mergeCell ref="C8:AA8"/>
    <mergeCell ref="C7:AA7"/>
    <mergeCell ref="D22:D23"/>
    <mergeCell ref="D24:D31"/>
    <mergeCell ref="D11:D15"/>
    <mergeCell ref="D16:D18"/>
    <mergeCell ref="D19:D21"/>
    <mergeCell ref="D32:D33"/>
    <mergeCell ref="C11:C25"/>
    <mergeCell ref="D34:D37"/>
    <mergeCell ref="C34:C43"/>
    <mergeCell ref="D38:D4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5820312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KIPRE</cp:lastModifiedBy>
  <dcterms:created xsi:type="dcterms:W3CDTF">2022-08-23T06:32:15Z</dcterms:created>
  <dcterms:modified xsi:type="dcterms:W3CDTF">2024-07-24T10:11:51Z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2024-07-22T12:30:10Z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d5ed78ba-64f0-421e-904a-6cb8b4dca48a</vt:lpwstr>
  </property>
  <property fmtid="{D5CDD505-2E9C-101B-9397-08002B2CF9AE}" pid="8" name="MSIP_Label_defa4170-0d19-0005-0004-bc88714345d2_ContentBits">
    <vt:lpwstr>0</vt:lpwstr>
  </property>
</Properties>
</file>