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KIPRE\Desktop\"/>
    </mc:Choice>
  </mc:AlternateContent>
  <xr:revisionPtr revIDLastSave="0" documentId="8_{51CE8B5E-7961-4537-B242-7062058980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34" i="1" s="1"/>
  <c r="G6" i="1"/>
  <c r="G5" i="1"/>
</calcChain>
</file>

<file path=xl/sharedStrings.xml><?xml version="1.0" encoding="utf-8"?>
<sst xmlns="http://schemas.openxmlformats.org/spreadsheetml/2006/main" count="64" uniqueCount="62">
  <si>
    <t>M&amp;E Conferences</t>
  </si>
  <si>
    <t>No.</t>
  </si>
  <si>
    <t>Pax/Item</t>
  </si>
  <si>
    <t>Rate</t>
  </si>
  <si>
    <t>No. of Pax</t>
  </si>
  <si>
    <t>No. of Days</t>
  </si>
  <si>
    <t>Amount</t>
  </si>
  <si>
    <t>Development of SAPP-Project workplan, procurement plan and Cashflow (15days workshop for 30pax)</t>
  </si>
  <si>
    <t xml:space="preserve">Develop monitoring and evaluation framework tools for SAPP project (10days workshop for 22pax)
</t>
  </si>
  <si>
    <t>Prepare SAPP-project quarterly progress report (Quarterly - 10days workshop per quarter for 22pax)</t>
  </si>
  <si>
    <t>Procurement of stationaries and printer for Monitoring and Evaluation</t>
  </si>
  <si>
    <t>Items</t>
  </si>
  <si>
    <t>Description</t>
  </si>
  <si>
    <t>No. of items</t>
  </si>
  <si>
    <t>Unit cost</t>
  </si>
  <si>
    <t>Printer</t>
  </si>
  <si>
    <t>Heavy duty: Ecosys m3145idn</t>
  </si>
  <si>
    <t>cartridges</t>
  </si>
  <si>
    <t>Cartridges for Ecosys m3145idn</t>
  </si>
  <si>
    <t>printing paper</t>
  </si>
  <si>
    <t>8 boxes @ 5 rims</t>
  </si>
  <si>
    <t>Hard-disk</t>
  </si>
  <si>
    <t>3TB Hard disk</t>
  </si>
  <si>
    <t>Branded pens</t>
  </si>
  <si>
    <t>4 Packets of branded pens</t>
  </si>
  <si>
    <t>Highlighers</t>
  </si>
  <si>
    <t>4 Packet of highlighter</t>
  </si>
  <si>
    <t>Paper flip charts</t>
  </si>
  <si>
    <t>5 rolls</t>
  </si>
  <si>
    <t>Pencils</t>
  </si>
  <si>
    <t>5 packets of pencils</t>
  </si>
  <si>
    <t>Whiteout</t>
  </si>
  <si>
    <t>1 packet of whiteout</t>
  </si>
  <si>
    <t>Yellow stickers</t>
  </si>
  <si>
    <t>10 packet of yellow stickers</t>
  </si>
  <si>
    <t>Box file</t>
  </si>
  <si>
    <t>30 pcs of box files</t>
  </si>
  <si>
    <t>Spring file</t>
  </si>
  <si>
    <t>30 pcs of spring files</t>
  </si>
  <si>
    <t>Folders</t>
  </si>
  <si>
    <t>20 pcs of folders</t>
  </si>
  <si>
    <t>Portfolio</t>
  </si>
  <si>
    <t>20 pcs of portfolios</t>
  </si>
  <si>
    <t>Staplers</t>
  </si>
  <si>
    <t>10 pcs of staplers (large, medium and small)</t>
  </si>
  <si>
    <t>Staple pins</t>
  </si>
  <si>
    <t>10 packets of staple pins</t>
  </si>
  <si>
    <t>Office cabinets</t>
  </si>
  <si>
    <t>3 pcs</t>
  </si>
  <si>
    <t>Thumb pin</t>
  </si>
  <si>
    <t>10 packets of thumb pins</t>
  </si>
  <si>
    <t>Paper punch</t>
  </si>
  <si>
    <t>4 pcs of paper punch</t>
  </si>
  <si>
    <t>Binding machines</t>
  </si>
  <si>
    <t>2 pcs of binding machines</t>
  </si>
  <si>
    <t>Binders</t>
  </si>
  <si>
    <t>500 pcs</t>
  </si>
  <si>
    <t>Paper cutter</t>
  </si>
  <si>
    <t>2 paper cutter</t>
  </si>
  <si>
    <t>Standing whiteboard</t>
  </si>
  <si>
    <t>1 pcs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</si>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</sst>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#,##0.00"/>
    <numFmt numFmtId="165" formatCode="&quot;Ksh&quot;#,##0.00;[Red]&quot;Ksh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1"/>
      <name val="Verdana"/>
      <family val="2"/>
    </font>
    <font>
      <sz val="1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164" fontId="4" fillId="2" borderId="1" xfId="0" applyNumberFormat="1" applyFont="1" applyFill="1" applyBorder="1" applyAlignment="1">
      <alignment horizontal="left" vertical="top" wrapText="1"/>
    </xf>
    <xf numFmtId="165" fontId="4" fillId="2" borderId="1" xfId="0" applyNumberFormat="1" applyFont="1" applyFill="1" applyBorder="1" applyAlignment="1">
      <alignment horizontal="left" vertical="top" wrapText="1"/>
    </xf>
    <xf numFmtId="4" fontId="3" fillId="2" borderId="2" xfId="0" applyNumberFormat="1" applyFont="1" applyFill="1" applyBorder="1" applyAlignment="1">
      <alignment vertical="top" wrapText="1"/>
    </xf>
    <xf numFmtId="4" fontId="3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4" fontId="5" fillId="2" borderId="1" xfId="0" applyNumberFormat="1" applyFont="1" applyFill="1" applyBorder="1" applyAlignment="1">
      <alignment horizontal="left" vertical="top" wrapText="1"/>
    </xf>
    <xf numFmtId="165" fontId="5" fillId="2" borderId="1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164" fontId="5" fillId="2" borderId="1" xfId="0" applyNumberFormat="1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165" fontId="4" fillId="2" borderId="6" xfId="0" applyNumberFormat="1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 wrapText="1"/>
    </xf>
    <xf numFmtId="165" fontId="5" fillId="2" borderId="6" xfId="0" applyNumberFormat="1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left" wrapText="1"/>
    </xf>
    <xf numFmtId="165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tabSelected="1" workbookViewId="0">
      <selection activeCell="C5" sqref="C5"/>
    </sheetView>
  </sheetViews>
  <sheetFormatPr defaultColWidth="9.1796875" defaultRowHeight="13.5" x14ac:dyDescent="0.25"/>
  <cols>
    <col min="1" max="1" width="13.26953125" style="2" customWidth="1"/>
    <col min="2" max="2" width="7.81640625" style="2" customWidth="1"/>
    <col min="3" max="3" width="39.26953125" style="2" customWidth="1"/>
    <col min="4" max="4" width="21.81640625" style="22" customWidth="1"/>
    <col min="5" max="5" width="16.453125" style="2" customWidth="1"/>
    <col min="6" max="6" width="14.1796875" style="2" customWidth="1"/>
    <col min="7" max="7" width="26.453125" style="23" customWidth="1"/>
    <col min="8" max="16384" width="9.1796875" style="2"/>
  </cols>
  <sheetData>
    <row r="2" spans="1:9" x14ac:dyDescent="0.25">
      <c r="A2" s="1"/>
      <c r="B2" s="24" t="s">
        <v>0</v>
      </c>
      <c r="C2" s="24"/>
      <c r="D2" s="24"/>
      <c r="E2" s="24"/>
      <c r="F2" s="24"/>
      <c r="G2" s="24"/>
    </row>
    <row r="3" spans="1:9" x14ac:dyDescent="0.25">
      <c r="A3" s="3"/>
      <c r="B3" s="4" t="s">
        <v>1</v>
      </c>
      <c r="C3" s="4" t="s">
        <v>2</v>
      </c>
      <c r="D3" s="5" t="s">
        <v>3</v>
      </c>
      <c r="E3" s="4" t="s">
        <v>4</v>
      </c>
      <c r="F3" s="4" t="s">
        <v>5</v>
      </c>
      <c r="G3" s="6" t="s">
        <v>6</v>
      </c>
      <c r="H3" s="7"/>
      <c r="I3" s="8"/>
    </row>
    <row r="4" spans="1:9" ht="54" x14ac:dyDescent="0.25">
      <c r="A4" s="9"/>
      <c r="B4" s="10">
        <v>1</v>
      </c>
      <c r="C4" s="10" t="s">
        <v>7</v>
      </c>
      <c r="D4" s="11"/>
      <c r="E4" s="10"/>
      <c r="F4" s="10"/>
      <c r="G4" s="12">
        <v>6327700</v>
      </c>
      <c r="H4" s="13"/>
    </row>
    <row r="5" spans="1:9" ht="47.25" customHeight="1" x14ac:dyDescent="0.25">
      <c r="A5" s="9"/>
      <c r="B5" s="10">
        <v>2</v>
      </c>
      <c r="C5" s="8" t="s">
        <v>8</v>
      </c>
      <c r="D5" s="11">
        <v>5000</v>
      </c>
      <c r="E5" s="10">
        <v>25</v>
      </c>
      <c r="F5" s="10">
        <v>10</v>
      </c>
      <c r="G5" s="12">
        <f>D5*E5*F5</f>
        <v>1250000</v>
      </c>
      <c r="H5" s="7"/>
    </row>
    <row r="6" spans="1:9" ht="40.5" x14ac:dyDescent="0.25">
      <c r="A6" s="9"/>
      <c r="B6" s="10">
        <v>3</v>
      </c>
      <c r="C6" s="14" t="s">
        <v>9</v>
      </c>
      <c r="D6" s="11">
        <v>5000</v>
      </c>
      <c r="E6" s="10">
        <v>22</v>
      </c>
      <c r="F6" s="10">
        <v>14</v>
      </c>
      <c r="G6" s="12">
        <f>D6*E6*F6</f>
        <v>1540000</v>
      </c>
      <c r="H6" s="15"/>
    </row>
    <row r="7" spans="1:9" x14ac:dyDescent="0.25">
      <c r="A7" s="9"/>
      <c r="B7" s="10"/>
      <c r="C7" s="9"/>
      <c r="D7" s="16"/>
      <c r="E7" s="10"/>
      <c r="F7" s="10"/>
      <c r="G7" s="12"/>
      <c r="H7" s="13"/>
    </row>
    <row r="8" spans="1:9" x14ac:dyDescent="0.25">
      <c r="B8" s="25" t="s">
        <v>10</v>
      </c>
      <c r="C8" s="26"/>
      <c r="D8" s="26"/>
      <c r="E8" s="26"/>
      <c r="F8" s="26"/>
      <c r="G8" s="27"/>
    </row>
    <row r="9" spans="1:9" x14ac:dyDescent="0.25">
      <c r="B9" s="17" t="s">
        <v>1</v>
      </c>
      <c r="C9" s="18" t="s">
        <v>11</v>
      </c>
      <c r="D9" s="18" t="s">
        <v>12</v>
      </c>
      <c r="E9" s="18" t="s">
        <v>13</v>
      </c>
      <c r="F9" s="18" t="s">
        <v>14</v>
      </c>
      <c r="G9" s="19" t="s">
        <v>6</v>
      </c>
    </row>
    <row r="10" spans="1:9" ht="27" x14ac:dyDescent="0.25">
      <c r="B10" s="20">
        <v>1</v>
      </c>
      <c r="C10" s="20" t="s">
        <v>15</v>
      </c>
      <c r="D10" s="20" t="s">
        <v>16</v>
      </c>
      <c r="E10" s="20">
        <v>1</v>
      </c>
      <c r="F10" s="20">
        <v>480000</v>
      </c>
      <c r="G10" s="21">
        <f>E10*F10</f>
        <v>480000</v>
      </c>
    </row>
    <row r="11" spans="1:9" ht="27" x14ac:dyDescent="0.25">
      <c r="B11" s="20">
        <v>2</v>
      </c>
      <c r="C11" s="20" t="s">
        <v>17</v>
      </c>
      <c r="D11" s="20" t="s">
        <v>18</v>
      </c>
      <c r="E11" s="20">
        <v>10</v>
      </c>
      <c r="F11" s="20">
        <v>32000</v>
      </c>
      <c r="G11" s="21">
        <f t="shared" ref="G11:G32" si="0">E11*F11</f>
        <v>320000</v>
      </c>
    </row>
    <row r="12" spans="1:9" x14ac:dyDescent="0.25">
      <c r="B12" s="20">
        <v>3</v>
      </c>
      <c r="C12" s="20" t="s">
        <v>19</v>
      </c>
      <c r="D12" s="20" t="s">
        <v>20</v>
      </c>
      <c r="E12" s="20">
        <v>40</v>
      </c>
      <c r="F12" s="20">
        <v>1000</v>
      </c>
      <c r="G12" s="21">
        <f t="shared" si="0"/>
        <v>40000</v>
      </c>
    </row>
    <row r="13" spans="1:9" x14ac:dyDescent="0.25">
      <c r="B13" s="20">
        <v>4</v>
      </c>
      <c r="C13" s="20" t="s">
        <v>21</v>
      </c>
      <c r="D13" s="20" t="s">
        <v>22</v>
      </c>
      <c r="E13" s="20">
        <v>3</v>
      </c>
      <c r="F13" s="20">
        <v>26000</v>
      </c>
      <c r="G13" s="21">
        <f t="shared" si="0"/>
        <v>78000</v>
      </c>
    </row>
    <row r="14" spans="1:9" ht="27" x14ac:dyDescent="0.25">
      <c r="B14" s="20">
        <v>5</v>
      </c>
      <c r="C14" s="20" t="s">
        <v>23</v>
      </c>
      <c r="D14" s="20" t="s">
        <v>24</v>
      </c>
      <c r="E14" s="20">
        <v>4</v>
      </c>
      <c r="F14" s="20">
        <v>2500</v>
      </c>
      <c r="G14" s="21">
        <f t="shared" si="0"/>
        <v>10000</v>
      </c>
    </row>
    <row r="15" spans="1:9" ht="27" x14ac:dyDescent="0.25">
      <c r="B15" s="20">
        <v>6</v>
      </c>
      <c r="C15" s="20" t="s">
        <v>25</v>
      </c>
      <c r="D15" s="20" t="s">
        <v>26</v>
      </c>
      <c r="E15" s="20">
        <v>1</v>
      </c>
      <c r="F15" s="20">
        <v>140</v>
      </c>
      <c r="G15" s="21">
        <f t="shared" si="0"/>
        <v>140</v>
      </c>
    </row>
    <row r="16" spans="1:9" x14ac:dyDescent="0.25">
      <c r="B16" s="20">
        <v>7</v>
      </c>
      <c r="C16" s="20" t="s">
        <v>27</v>
      </c>
      <c r="D16" s="20" t="s">
        <v>28</v>
      </c>
      <c r="E16" s="20">
        <v>5</v>
      </c>
      <c r="F16" s="20">
        <v>1200</v>
      </c>
      <c r="G16" s="21">
        <f t="shared" si="0"/>
        <v>6000</v>
      </c>
    </row>
    <row r="17" spans="2:7" x14ac:dyDescent="0.25">
      <c r="B17" s="20">
        <v>8</v>
      </c>
      <c r="C17" s="20" t="s">
        <v>29</v>
      </c>
      <c r="D17" s="20" t="s">
        <v>30</v>
      </c>
      <c r="E17" s="20">
        <v>5</v>
      </c>
      <c r="F17" s="20">
        <v>1200</v>
      </c>
      <c r="G17" s="21">
        <f t="shared" si="0"/>
        <v>6000</v>
      </c>
    </row>
    <row r="18" spans="2:7" ht="27" x14ac:dyDescent="0.25">
      <c r="B18" s="20">
        <v>9</v>
      </c>
      <c r="C18" s="20" t="s">
        <v>31</v>
      </c>
      <c r="D18" s="20" t="s">
        <v>32</v>
      </c>
      <c r="E18" s="20">
        <v>1</v>
      </c>
      <c r="F18" s="20">
        <v>960</v>
      </c>
      <c r="G18" s="21">
        <f t="shared" si="0"/>
        <v>960</v>
      </c>
    </row>
    <row r="19" spans="2:7" ht="27" x14ac:dyDescent="0.25">
      <c r="B19" s="20">
        <v>10</v>
      </c>
      <c r="C19" s="20" t="s">
        <v>33</v>
      </c>
      <c r="D19" s="20" t="s">
        <v>34</v>
      </c>
      <c r="E19" s="20">
        <v>5</v>
      </c>
      <c r="F19" s="20">
        <v>380</v>
      </c>
      <c r="G19" s="21">
        <f t="shared" si="0"/>
        <v>1900</v>
      </c>
    </row>
    <row r="20" spans="2:7" x14ac:dyDescent="0.25">
      <c r="B20" s="20">
        <v>11</v>
      </c>
      <c r="C20" s="20" t="s">
        <v>35</v>
      </c>
      <c r="D20" s="20" t="s">
        <v>36</v>
      </c>
      <c r="E20" s="20">
        <v>30</v>
      </c>
      <c r="F20" s="20">
        <v>380</v>
      </c>
      <c r="G20" s="21">
        <f t="shared" si="0"/>
        <v>11400</v>
      </c>
    </row>
    <row r="21" spans="2:7" ht="27" x14ac:dyDescent="0.25">
      <c r="B21" s="20">
        <v>12</v>
      </c>
      <c r="C21" s="20" t="s">
        <v>37</v>
      </c>
      <c r="D21" s="20" t="s">
        <v>38</v>
      </c>
      <c r="E21" s="20">
        <v>30</v>
      </c>
      <c r="F21" s="20">
        <v>95</v>
      </c>
      <c r="G21" s="21">
        <f t="shared" si="0"/>
        <v>2850</v>
      </c>
    </row>
    <row r="22" spans="2:7" x14ac:dyDescent="0.25">
      <c r="B22" s="20">
        <v>13</v>
      </c>
      <c r="C22" s="20" t="s">
        <v>39</v>
      </c>
      <c r="D22" s="20" t="s">
        <v>40</v>
      </c>
      <c r="E22" s="20">
        <v>20</v>
      </c>
      <c r="F22" s="20">
        <v>120</v>
      </c>
      <c r="G22" s="21">
        <f t="shared" si="0"/>
        <v>2400</v>
      </c>
    </row>
    <row r="23" spans="2:7" x14ac:dyDescent="0.25">
      <c r="B23" s="20">
        <v>14</v>
      </c>
      <c r="C23" s="20" t="s">
        <v>41</v>
      </c>
      <c r="D23" s="20" t="s">
        <v>42</v>
      </c>
      <c r="E23" s="20">
        <v>20</v>
      </c>
      <c r="F23" s="20">
        <v>970</v>
      </c>
      <c r="G23" s="21">
        <f t="shared" si="0"/>
        <v>19400</v>
      </c>
    </row>
    <row r="24" spans="2:7" ht="40.5" x14ac:dyDescent="0.25">
      <c r="B24" s="20">
        <v>15</v>
      </c>
      <c r="C24" s="20" t="s">
        <v>43</v>
      </c>
      <c r="D24" s="20" t="s">
        <v>44</v>
      </c>
      <c r="E24" s="20">
        <v>10</v>
      </c>
      <c r="F24" s="20">
        <v>490</v>
      </c>
      <c r="G24" s="21">
        <f t="shared" si="0"/>
        <v>4900</v>
      </c>
    </row>
    <row r="25" spans="2:7" ht="27" x14ac:dyDescent="0.25">
      <c r="B25" s="20">
        <v>16</v>
      </c>
      <c r="C25" s="20" t="s">
        <v>45</v>
      </c>
      <c r="D25" s="20" t="s">
        <v>46</v>
      </c>
      <c r="E25" s="20">
        <v>10</v>
      </c>
      <c r="F25" s="20">
        <v>240</v>
      </c>
      <c r="G25" s="21">
        <f t="shared" si="0"/>
        <v>2400</v>
      </c>
    </row>
    <row r="26" spans="2:7" x14ac:dyDescent="0.25">
      <c r="B26" s="20">
        <v>17</v>
      </c>
      <c r="C26" s="20" t="s">
        <v>47</v>
      </c>
      <c r="D26" s="20" t="s">
        <v>48</v>
      </c>
      <c r="E26" s="20">
        <v>3</v>
      </c>
      <c r="F26" s="20">
        <v>36000</v>
      </c>
      <c r="G26" s="21">
        <f t="shared" si="0"/>
        <v>108000</v>
      </c>
    </row>
    <row r="27" spans="2:7" ht="27" x14ac:dyDescent="0.25">
      <c r="B27" s="20">
        <v>18</v>
      </c>
      <c r="C27" s="20" t="s">
        <v>49</v>
      </c>
      <c r="D27" s="20" t="s">
        <v>50</v>
      </c>
      <c r="E27" s="20">
        <v>10</v>
      </c>
      <c r="F27" s="20">
        <v>120</v>
      </c>
      <c r="G27" s="21">
        <f t="shared" si="0"/>
        <v>1200</v>
      </c>
    </row>
    <row r="28" spans="2:7" ht="27" x14ac:dyDescent="0.25">
      <c r="B28" s="20">
        <v>19</v>
      </c>
      <c r="C28" s="20" t="s">
        <v>51</v>
      </c>
      <c r="D28" s="20" t="s">
        <v>52</v>
      </c>
      <c r="E28" s="20">
        <v>4</v>
      </c>
      <c r="F28" s="20">
        <v>980</v>
      </c>
      <c r="G28" s="21">
        <f t="shared" si="0"/>
        <v>3920</v>
      </c>
    </row>
    <row r="29" spans="2:7" ht="27" x14ac:dyDescent="0.25">
      <c r="B29" s="20">
        <v>20</v>
      </c>
      <c r="C29" s="20" t="s">
        <v>53</v>
      </c>
      <c r="D29" s="20" t="s">
        <v>54</v>
      </c>
      <c r="E29" s="20">
        <v>2</v>
      </c>
      <c r="F29" s="20">
        <v>64000</v>
      </c>
      <c r="G29" s="21">
        <f t="shared" si="0"/>
        <v>128000</v>
      </c>
    </row>
    <row r="30" spans="2:7" x14ac:dyDescent="0.25">
      <c r="B30" s="20">
        <v>21</v>
      </c>
      <c r="C30" s="20" t="s">
        <v>55</v>
      </c>
      <c r="D30" s="20" t="s">
        <v>56</v>
      </c>
      <c r="E30" s="20">
        <v>500</v>
      </c>
      <c r="F30" s="20">
        <v>480</v>
      </c>
      <c r="G30" s="21">
        <f t="shared" si="0"/>
        <v>240000</v>
      </c>
    </row>
    <row r="31" spans="2:7" x14ac:dyDescent="0.25">
      <c r="B31" s="20">
        <v>22</v>
      </c>
      <c r="C31" s="20" t="s">
        <v>57</v>
      </c>
      <c r="D31" s="20" t="s">
        <v>58</v>
      </c>
      <c r="E31" s="20">
        <v>2</v>
      </c>
      <c r="F31" s="20">
        <v>12800</v>
      </c>
      <c r="G31" s="21">
        <f t="shared" si="0"/>
        <v>25600</v>
      </c>
    </row>
    <row r="32" spans="2:7" x14ac:dyDescent="0.25">
      <c r="B32" s="20">
        <v>23</v>
      </c>
      <c r="C32" s="20" t="s">
        <v>59</v>
      </c>
      <c r="D32" s="20" t="s">
        <v>60</v>
      </c>
      <c r="E32" s="20">
        <v>1</v>
      </c>
      <c r="F32" s="20">
        <v>24000</v>
      </c>
      <c r="G32" s="21">
        <f t="shared" si="0"/>
        <v>24000</v>
      </c>
    </row>
    <row r="33" spans="2:7" x14ac:dyDescent="0.25">
      <c r="B33" s="20"/>
      <c r="C33" s="20"/>
      <c r="D33" s="20"/>
      <c r="E33" s="20"/>
      <c r="F33" s="20"/>
      <c r="G33" s="21"/>
    </row>
    <row r="34" spans="2:7" x14ac:dyDescent="0.25">
      <c r="B34" s="18"/>
      <c r="C34" s="20"/>
      <c r="D34" s="28" t="s">
        <v>61</v>
      </c>
      <c r="E34" s="28"/>
      <c r="F34" s="28"/>
      <c r="G34" s="19">
        <f>SUM(G10:G33)</f>
        <v>1517070</v>
      </c>
    </row>
  </sheetData>
  <mergeCells count="3">
    <mergeCell ref="B2:G2"/>
    <mergeCell ref="B8:G8"/>
    <mergeCell ref="D34:F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</dc:creator>
  <cp:lastModifiedBy>KIPRE</cp:lastModifiedBy>
  <dcterms:created xsi:type="dcterms:W3CDTF">2024-07-31T14:22:27Z</dcterms:created>
  <dcterms:modified xsi:type="dcterms:W3CDTF">2024-08-01T06:27:50Z</dcterms:modified>
</cp:coreProperties>
</file>