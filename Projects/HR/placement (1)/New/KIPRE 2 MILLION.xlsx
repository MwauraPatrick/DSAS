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-105" yWindow="-105" windowWidth="23250" windowHeight="12450"/>
  </bookViews>
  <sheets>
    <sheet name="TO OPERALIZATION OF KIPRE PPLAN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8" i="1" l="1"/>
  <c r="E69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70" i="1"/>
  <c r="E71" i="1"/>
  <c r="E72" i="1"/>
  <c r="E73" i="1"/>
  <c r="E74" i="1"/>
  <c r="E75" i="1"/>
  <c r="E76" i="1"/>
  <c r="E77" i="1"/>
  <c r="E102" i="1" s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4" i="1"/>
</calcChain>
</file>

<file path=xl/sharedStrings.xml><?xml version="1.0" encoding="utf-8"?>
<sst xmlns="http://schemas.openxmlformats.org/spreadsheetml/2006/main" count="417" uniqueCount="111">
  <si>
    <t xml:space="preserve"> </t>
  </si>
  <si>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</si>
  <si>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</si>
  <si>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</si>
  <si>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</si>
  <si>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</si>
  <si>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</si>
  <si>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</si>
  <si>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</si>
  <si>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</si>
  <si>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</si>
  <si>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CITIZEN</t>
  </si>
  <si>
    <t>QUARTER REQUIRED</t>
  </si>
  <si>
    <t>1ST</t>
  </si>
  <si>
    <t>2ND</t>
  </si>
  <si>
    <t>3RD</t>
  </si>
  <si>
    <t>4TH</t>
  </si>
  <si>
    <t>Desktop</t>
  </si>
  <si>
    <t>RFQ</t>
  </si>
  <si>
    <t>GOK</t>
  </si>
  <si>
    <t>Double pedestal desk(wooden)</t>
  </si>
  <si>
    <t>Medium back swivel chair with arm rest</t>
  </si>
  <si>
    <t xml:space="preserve">Visitors arm chair leather </t>
  </si>
  <si>
    <t xml:space="preserve">coffee table </t>
  </si>
  <si>
    <t>2drawer cabinet (wooden)</t>
  </si>
  <si>
    <t>4 drawer cabinet metalic</t>
  </si>
  <si>
    <t>Book shelves with glass cover</t>
  </si>
  <si>
    <t>Hp colour laserjet PRO MFP printer</t>
  </si>
  <si>
    <t>UPS APC 700</t>
  </si>
  <si>
    <t xml:space="preserve">Microwave  </t>
  </si>
  <si>
    <t>Secretarial telephone headset</t>
  </si>
  <si>
    <t>Wall clock</t>
  </si>
  <si>
    <t>Water dispenser</t>
  </si>
  <si>
    <t>Electric kettle</t>
  </si>
  <si>
    <t>Executive desk double pedestal</t>
  </si>
  <si>
    <t>High back swivel chair with arm rest</t>
  </si>
  <si>
    <t xml:space="preserve">2 Visitors armrest chair  </t>
  </si>
  <si>
    <t xml:space="preserve">Coat hanger </t>
  </si>
  <si>
    <t>Renovation of the legal officer</t>
  </si>
  <si>
    <t>Fire proof cabinet</t>
  </si>
  <si>
    <t>General office consumables</t>
  </si>
  <si>
    <t>Executive desk double pedestal U-shaped</t>
  </si>
  <si>
    <t>Executive swivel chair with arm rest</t>
  </si>
  <si>
    <t>Executive book cabinet double door with glass and wood vener</t>
  </si>
  <si>
    <t>Coffee table with glass top</t>
  </si>
  <si>
    <t xml:space="preserve">Executive sofa set leather </t>
  </si>
  <si>
    <t xml:space="preserve">2 door filling cabinet wooden </t>
  </si>
  <si>
    <t xml:space="preserve">Fridge </t>
  </si>
  <si>
    <t xml:space="preserve">43 inch sony television </t>
  </si>
  <si>
    <t>24 inch iMAC with Retina 4.5k display with USB-C charge</t>
  </si>
  <si>
    <t>Patitioning and renovation of board chairman office &amp;PA</t>
  </si>
  <si>
    <t>Wall to wall office  carpet</t>
  </si>
  <si>
    <t xml:space="preserve">Surv vehicle  </t>
  </si>
  <si>
    <t>VXL Prado vehicle</t>
  </si>
  <si>
    <t>30 seater executive confrence table with melamine board</t>
  </si>
  <si>
    <t>Executive confrence chairs with padded crome armrest</t>
  </si>
  <si>
    <t xml:space="preserve">LCD projector </t>
  </si>
  <si>
    <t>Laptop</t>
  </si>
  <si>
    <t xml:space="preserve">65 inch sony television </t>
  </si>
  <si>
    <t>ADMIN</t>
  </si>
  <si>
    <t>Construction of new payroll office</t>
  </si>
  <si>
    <t>TENDER</t>
  </si>
  <si>
    <t>Accounting and finance software</t>
  </si>
  <si>
    <t>KVA Machine</t>
  </si>
  <si>
    <t xml:space="preserve">Work station </t>
  </si>
  <si>
    <t xml:space="preserve">Boardroom repairs and electrical works </t>
  </si>
  <si>
    <t>24000BTU Air conditioner cool/warm</t>
  </si>
  <si>
    <t>Complete public address system</t>
  </si>
  <si>
    <t>ü</t>
  </si>
  <si>
    <t>Medical and general insurance</t>
  </si>
  <si>
    <t>Security</t>
  </si>
  <si>
    <t>1. COMPUTER ACCESSORIES</t>
  </si>
  <si>
    <t>2.COMPUTER HARDWARE</t>
  </si>
  <si>
    <t>3. CONTRACTED SERVICES</t>
  </si>
  <si>
    <t>5. Electricals</t>
  </si>
  <si>
    <t>6.Office consumables</t>
  </si>
  <si>
    <t>7.Furniture</t>
  </si>
  <si>
    <t>8.Motor Vehicle Expenses</t>
  </si>
  <si>
    <r>
      <t xml:space="preserve">9. </t>
    </r>
    <r>
      <rPr>
        <b/>
        <sz val="11"/>
        <color theme="1"/>
        <rFont val="Calibri"/>
        <family val="2"/>
        <scheme val="minor"/>
      </rPr>
      <t>Maintenance of Buildings</t>
    </r>
  </si>
  <si>
    <r>
      <t>10.</t>
    </r>
    <r>
      <rPr>
        <b/>
        <sz val="11"/>
        <color theme="1"/>
        <rFont val="Calibri"/>
        <family val="2"/>
        <scheme val="minor"/>
      </rPr>
      <t xml:space="preserve"> Tools and Equipments New</t>
    </r>
  </si>
  <si>
    <t>11. Security</t>
  </si>
  <si>
    <t>12. Development projects</t>
  </si>
  <si>
    <t>13. Development of software</t>
  </si>
  <si>
    <r>
      <t>14.</t>
    </r>
    <r>
      <rPr>
        <b/>
        <sz val="11"/>
        <color theme="1"/>
        <rFont val="Calibri"/>
        <family val="2"/>
        <scheme val="minor"/>
      </rPr>
      <t xml:space="preserve"> Advertisement</t>
    </r>
  </si>
  <si>
    <t>15. Cartridges and Toners</t>
  </si>
  <si>
    <t>16.Janitorials</t>
  </si>
  <si>
    <t>17.Printing and duplication</t>
  </si>
  <si>
    <t>18. Stationery</t>
  </si>
  <si>
    <t>19.Cage maintenence</t>
  </si>
  <si>
    <t>20. Maintenance of monuments</t>
  </si>
  <si>
    <t>21.Equipments Repairs and Maintenance</t>
  </si>
  <si>
    <t>22.First Aid</t>
  </si>
  <si>
    <t>23. Staff Uniforms and protective clothing</t>
  </si>
  <si>
    <t>24.Food  for Rations</t>
  </si>
  <si>
    <t>25. Air Fares</t>
  </si>
  <si>
    <t>26. Food for Primates</t>
  </si>
  <si>
    <t>27. Medical and Surgical supplies</t>
  </si>
  <si>
    <t>28. laboratory  Equipment</t>
  </si>
  <si>
    <t>29.Laboratory chemicals and supplies</t>
  </si>
  <si>
    <t>30. Conferences/ Retreats/  Training</t>
  </si>
  <si>
    <t>31. Gases</t>
  </si>
  <si>
    <t>32.Fertilizers</t>
  </si>
  <si>
    <t>33. Library Books / Journals</t>
  </si>
  <si>
    <t>34.Bindery</t>
  </si>
  <si>
    <t>35.Linen</t>
  </si>
  <si>
    <t>36.Internet</t>
  </si>
  <si>
    <t>37. Multimedia Expenses</t>
  </si>
  <si>
    <t>38.Building  and Hardware Materials</t>
  </si>
  <si>
    <t>39.Hire of Motor Vehicles</t>
  </si>
  <si>
    <t>40. Air Tickets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</si>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</sst>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0" borderId="1" xfId="0" applyFont="1" applyBorder="1"/>
    <xf numFmtId="0" fontId="2" fillId="0" borderId="1" xfId="0" applyFont="1" applyBorder="1"/>
    <xf numFmtId="43" fontId="0" fillId="0" borderId="1" xfId="1" applyFont="1" applyBorder="1"/>
    <xf numFmtId="0" fontId="0" fillId="0" borderId="8" xfId="0" applyBorder="1"/>
    <xf numFmtId="0" fontId="4" fillId="0" borderId="1" xfId="0" applyFont="1" applyBorder="1"/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43" fontId="0" fillId="0" borderId="1" xfId="1" applyFont="1" applyFill="1" applyBorder="1"/>
    <xf numFmtId="43" fontId="5" fillId="0" borderId="1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8"/>
  <sheetViews>
    <sheetView tabSelected="1" topLeftCell="A81" zoomScaleNormal="100" workbookViewId="0">
      <selection activeCell="J96" sqref="J96"/>
    </sheetView>
  </sheetViews>
  <sheetFormatPr defaultRowHeight="15" x14ac:dyDescent="0.25"/>
  <cols>
    <col min="1" max="1" width="7.42578125" customWidth="1"/>
    <col min="2" max="2" width="51.7109375" customWidth="1"/>
    <col min="4" max="4" width="14.85546875" bestFit="1" customWidth="1"/>
    <col min="5" max="5" width="23" bestFit="1" customWidth="1"/>
    <col min="6" max="6" width="14.140625" customWidth="1"/>
    <col min="7" max="7" width="10.42578125" customWidth="1"/>
    <col min="8" max="8" width="11.5703125" customWidth="1"/>
  </cols>
  <sheetData>
    <row r="1" spans="1:17" ht="40.5" customHeight="1" x14ac:dyDescent="0.25">
      <c r="A1" s="2"/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3" t="s">
        <v>12</v>
      </c>
      <c r="N1" s="14"/>
      <c r="O1" s="14"/>
      <c r="P1" s="15"/>
      <c r="Q1" s="1"/>
    </row>
    <row r="2" spans="1:17" ht="22.5" customHeight="1" x14ac:dyDescent="0.25">
      <c r="A2" s="2"/>
      <c r="B2" s="3"/>
      <c r="C2" s="4"/>
      <c r="D2" s="3"/>
      <c r="E2" s="3"/>
      <c r="F2" s="3"/>
      <c r="G2" s="3"/>
      <c r="H2" s="3"/>
      <c r="I2" s="4"/>
      <c r="J2" s="4"/>
      <c r="K2" s="4"/>
      <c r="L2" s="4"/>
      <c r="M2" s="5" t="s">
        <v>13</v>
      </c>
      <c r="N2" s="6" t="s">
        <v>14</v>
      </c>
      <c r="O2" s="6" t="s">
        <v>15</v>
      </c>
      <c r="P2" s="7" t="s">
        <v>16</v>
      </c>
      <c r="Q2" s="1"/>
    </row>
    <row r="3" spans="1:17" x14ac:dyDescent="0.25">
      <c r="A3" s="9" t="s">
        <v>71</v>
      </c>
      <c r="B3" s="9"/>
      <c r="C3" s="1"/>
      <c r="D3" s="10"/>
      <c r="E3" s="10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1</v>
      </c>
      <c r="B4" s="1" t="s">
        <v>27</v>
      </c>
      <c r="C4" s="1">
        <v>1</v>
      </c>
      <c r="D4" s="10">
        <v>150000</v>
      </c>
      <c r="E4" s="18">
        <f>C4*D4</f>
        <v>150000</v>
      </c>
      <c r="F4" s="1" t="s">
        <v>59</v>
      </c>
      <c r="G4" s="1" t="s">
        <v>18</v>
      </c>
      <c r="H4" s="1" t="s">
        <v>19</v>
      </c>
      <c r="I4" s="1"/>
      <c r="J4" s="1"/>
      <c r="K4" s="1"/>
      <c r="L4" s="1"/>
      <c r="M4" s="1"/>
      <c r="N4" s="1"/>
      <c r="O4" s="12" t="s">
        <v>68</v>
      </c>
      <c r="P4" s="1"/>
      <c r="Q4" s="1"/>
    </row>
    <row r="5" spans="1:17" x14ac:dyDescent="0.25">
      <c r="A5" s="1">
        <v>2</v>
      </c>
      <c r="B5" s="1" t="s">
        <v>28</v>
      </c>
      <c r="C5" s="1">
        <v>1</v>
      </c>
      <c r="D5" s="10">
        <v>18000</v>
      </c>
      <c r="E5" s="18">
        <f t="shared" ref="E5:E68" si="0">C5*D5</f>
        <v>18000</v>
      </c>
      <c r="F5" s="1" t="s">
        <v>59</v>
      </c>
      <c r="G5" s="1" t="s">
        <v>18</v>
      </c>
      <c r="H5" s="1" t="s">
        <v>19</v>
      </c>
      <c r="I5" s="1"/>
      <c r="J5" s="1"/>
      <c r="K5" s="1"/>
      <c r="L5" s="1"/>
      <c r="M5" s="1"/>
      <c r="N5" s="1"/>
      <c r="O5" s="12" t="s">
        <v>68</v>
      </c>
      <c r="P5" s="1"/>
      <c r="Q5" s="1"/>
    </row>
    <row r="6" spans="1:17" x14ac:dyDescent="0.25">
      <c r="A6" s="1">
        <v>3</v>
      </c>
      <c r="B6" s="1" t="s">
        <v>28</v>
      </c>
      <c r="C6" s="1">
        <v>1</v>
      </c>
      <c r="D6" s="10">
        <v>18000</v>
      </c>
      <c r="E6" s="18">
        <f t="shared" si="0"/>
        <v>18000</v>
      </c>
      <c r="F6" s="1" t="s">
        <v>59</v>
      </c>
      <c r="G6" s="1" t="s">
        <v>18</v>
      </c>
      <c r="H6" s="1" t="s">
        <v>19</v>
      </c>
      <c r="I6" s="1"/>
      <c r="J6" s="1"/>
      <c r="K6" s="1"/>
      <c r="L6" s="1"/>
      <c r="M6" s="1"/>
      <c r="N6" s="1"/>
      <c r="O6" s="12" t="s">
        <v>68</v>
      </c>
      <c r="P6" s="1"/>
      <c r="Q6" s="1"/>
    </row>
    <row r="7" spans="1:17" x14ac:dyDescent="0.25">
      <c r="A7" s="1">
        <v>4</v>
      </c>
      <c r="B7" s="1" t="s">
        <v>27</v>
      </c>
      <c r="C7" s="1">
        <v>1</v>
      </c>
      <c r="D7" s="10">
        <v>150000</v>
      </c>
      <c r="E7" s="18">
        <f t="shared" si="0"/>
        <v>150000</v>
      </c>
      <c r="F7" s="1" t="s">
        <v>59</v>
      </c>
      <c r="G7" s="1" t="s">
        <v>18</v>
      </c>
      <c r="H7" s="1" t="s">
        <v>19</v>
      </c>
      <c r="I7" s="1"/>
      <c r="J7" s="1"/>
      <c r="K7" s="1"/>
      <c r="L7" s="1"/>
      <c r="M7" s="1"/>
      <c r="N7" s="1"/>
      <c r="O7" s="12" t="s">
        <v>68</v>
      </c>
      <c r="P7" s="1"/>
      <c r="Q7" s="1"/>
    </row>
    <row r="8" spans="1:17" x14ac:dyDescent="0.25">
      <c r="A8" s="1">
        <v>5</v>
      </c>
      <c r="B8" s="1" t="s">
        <v>28</v>
      </c>
      <c r="C8" s="1">
        <v>1</v>
      </c>
      <c r="D8" s="10">
        <v>18000</v>
      </c>
      <c r="E8" s="18">
        <f t="shared" si="0"/>
        <v>18000</v>
      </c>
      <c r="F8" s="1" t="s">
        <v>59</v>
      </c>
      <c r="G8" s="1" t="s">
        <v>18</v>
      </c>
      <c r="H8" s="1" t="s">
        <v>19</v>
      </c>
      <c r="I8" s="1"/>
      <c r="J8" s="1"/>
      <c r="K8" s="1"/>
      <c r="L8" s="1"/>
      <c r="M8" s="1"/>
      <c r="N8" s="1"/>
      <c r="O8" s="12" t="s">
        <v>68</v>
      </c>
      <c r="P8" s="1"/>
      <c r="Q8" s="1"/>
    </row>
    <row r="9" spans="1:17" x14ac:dyDescent="0.25">
      <c r="A9" s="1">
        <v>6</v>
      </c>
      <c r="B9" s="1" t="s">
        <v>27</v>
      </c>
      <c r="C9" s="1">
        <v>1</v>
      </c>
      <c r="D9" s="10">
        <v>150000</v>
      </c>
      <c r="E9" s="18">
        <f t="shared" si="0"/>
        <v>150000</v>
      </c>
      <c r="F9" s="1" t="s">
        <v>59</v>
      </c>
      <c r="G9" s="1" t="s">
        <v>18</v>
      </c>
      <c r="H9" s="1" t="s">
        <v>19</v>
      </c>
      <c r="I9" s="1"/>
      <c r="J9" s="1"/>
      <c r="K9" s="1"/>
      <c r="L9" s="1"/>
      <c r="M9" s="1"/>
      <c r="N9" s="1"/>
      <c r="O9" s="12" t="s">
        <v>68</v>
      </c>
      <c r="P9" s="1"/>
      <c r="Q9" s="1"/>
    </row>
    <row r="10" spans="1:17" x14ac:dyDescent="0.25">
      <c r="A10" s="1">
        <v>7</v>
      </c>
      <c r="B10" s="1" t="s">
        <v>63</v>
      </c>
      <c r="C10" s="1">
        <v>4</v>
      </c>
      <c r="D10" s="10">
        <v>120000</v>
      </c>
      <c r="E10" s="18">
        <f t="shared" si="0"/>
        <v>480000</v>
      </c>
      <c r="F10" s="1" t="s">
        <v>59</v>
      </c>
      <c r="G10" s="1" t="s">
        <v>18</v>
      </c>
      <c r="H10" s="1" t="s">
        <v>19</v>
      </c>
      <c r="I10" s="1"/>
      <c r="J10" s="1"/>
      <c r="K10" s="1"/>
      <c r="L10" s="1"/>
      <c r="M10" s="1"/>
      <c r="N10" s="1"/>
      <c r="O10" s="12" t="s">
        <v>68</v>
      </c>
      <c r="P10" s="1"/>
      <c r="Q10" s="1"/>
    </row>
    <row r="11" spans="1:17" x14ac:dyDescent="0.25">
      <c r="A11" s="1"/>
      <c r="B11" s="1"/>
      <c r="C11" s="1"/>
      <c r="D11" s="10"/>
      <c r="E11" s="18">
        <f t="shared" si="0"/>
        <v>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9" t="s">
        <v>72</v>
      </c>
      <c r="B12" s="9"/>
      <c r="C12" s="1"/>
      <c r="D12" s="10"/>
      <c r="E12" s="18">
        <f t="shared" si="0"/>
        <v>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</v>
      </c>
      <c r="B13" s="1" t="s">
        <v>17</v>
      </c>
      <c r="C13" s="1">
        <v>1</v>
      </c>
      <c r="D13" s="10">
        <v>240000</v>
      </c>
      <c r="E13" s="18">
        <f t="shared" si="0"/>
        <v>240000</v>
      </c>
      <c r="F13" s="1" t="s">
        <v>59</v>
      </c>
      <c r="G13" s="1" t="s">
        <v>18</v>
      </c>
      <c r="H13" s="1" t="s">
        <v>19</v>
      </c>
      <c r="I13" s="8"/>
      <c r="J13" s="8"/>
      <c r="K13" s="8"/>
      <c r="L13" s="1"/>
      <c r="M13" s="1"/>
      <c r="N13" s="1"/>
      <c r="O13" s="12" t="s">
        <v>68</v>
      </c>
      <c r="P13" s="1"/>
      <c r="Q13" s="1"/>
    </row>
    <row r="14" spans="1:17" x14ac:dyDescent="0.25">
      <c r="A14" s="1">
        <v>2</v>
      </c>
      <c r="B14" s="1" t="s">
        <v>17</v>
      </c>
      <c r="C14" s="1">
        <v>1</v>
      </c>
      <c r="D14" s="10">
        <v>240000</v>
      </c>
      <c r="E14" s="18">
        <f t="shared" si="0"/>
        <v>240000</v>
      </c>
      <c r="F14" s="1" t="s">
        <v>59</v>
      </c>
      <c r="G14" s="1" t="s">
        <v>18</v>
      </c>
      <c r="H14" s="1" t="s">
        <v>19</v>
      </c>
      <c r="I14" s="1"/>
      <c r="J14" s="1"/>
      <c r="K14" s="1"/>
      <c r="L14" s="1"/>
      <c r="M14" s="1"/>
      <c r="N14" s="1"/>
      <c r="O14" s="12" t="s">
        <v>68</v>
      </c>
      <c r="P14" s="1"/>
      <c r="Q14" s="1"/>
    </row>
    <row r="15" spans="1:17" x14ac:dyDescent="0.25">
      <c r="A15" s="1">
        <v>3</v>
      </c>
      <c r="B15" s="1" t="s">
        <v>49</v>
      </c>
      <c r="C15" s="1">
        <v>1</v>
      </c>
      <c r="D15" s="10">
        <v>370000</v>
      </c>
      <c r="E15" s="18">
        <f t="shared" si="0"/>
        <v>370000</v>
      </c>
      <c r="F15" s="1" t="s">
        <v>59</v>
      </c>
      <c r="G15" s="1" t="s">
        <v>18</v>
      </c>
      <c r="H15" s="1" t="s">
        <v>19</v>
      </c>
      <c r="I15" s="1"/>
      <c r="J15" s="1"/>
      <c r="K15" s="1"/>
      <c r="L15" s="1"/>
      <c r="M15" s="1"/>
      <c r="N15" s="1"/>
      <c r="O15" s="12" t="s">
        <v>68</v>
      </c>
      <c r="P15" s="1"/>
      <c r="Q15" s="1"/>
    </row>
    <row r="16" spans="1:17" x14ac:dyDescent="0.25">
      <c r="A16" s="1">
        <v>4</v>
      </c>
      <c r="B16" s="1" t="s">
        <v>57</v>
      </c>
      <c r="C16" s="1">
        <v>1</v>
      </c>
      <c r="D16" s="10">
        <v>200000</v>
      </c>
      <c r="E16" s="18">
        <f t="shared" si="0"/>
        <v>200000</v>
      </c>
      <c r="F16" s="1" t="s">
        <v>59</v>
      </c>
      <c r="G16" s="1" t="s">
        <v>18</v>
      </c>
      <c r="H16" s="1" t="s">
        <v>19</v>
      </c>
      <c r="I16" s="1"/>
      <c r="J16" s="1"/>
      <c r="K16" s="1"/>
      <c r="L16" s="1"/>
      <c r="M16" s="1"/>
      <c r="N16" s="1"/>
      <c r="O16" s="12" t="s">
        <v>68</v>
      </c>
      <c r="P16" s="1"/>
      <c r="Q16" s="1"/>
    </row>
    <row r="17" spans="1:17" x14ac:dyDescent="0.25">
      <c r="A17" s="1">
        <v>5</v>
      </c>
      <c r="B17" s="1" t="s">
        <v>57</v>
      </c>
      <c r="C17" s="1">
        <v>2</v>
      </c>
      <c r="D17" s="10">
        <v>200000</v>
      </c>
      <c r="E17" s="18">
        <f t="shared" si="0"/>
        <v>400000</v>
      </c>
      <c r="F17" s="1" t="s">
        <v>59</v>
      </c>
      <c r="G17" s="1" t="s">
        <v>18</v>
      </c>
      <c r="H17" s="1" t="s">
        <v>19</v>
      </c>
      <c r="I17" s="1"/>
      <c r="J17" s="1"/>
      <c r="K17" s="1"/>
      <c r="L17" s="1"/>
      <c r="M17" s="1"/>
      <c r="N17" s="1"/>
      <c r="O17" s="12" t="s">
        <v>68</v>
      </c>
      <c r="P17" s="1"/>
      <c r="Q17" s="1"/>
    </row>
    <row r="18" spans="1:17" x14ac:dyDescent="0.25">
      <c r="A18" s="1">
        <v>6</v>
      </c>
      <c r="B18" s="1" t="s">
        <v>17</v>
      </c>
      <c r="C18" s="1">
        <v>4</v>
      </c>
      <c r="D18" s="10">
        <v>250000</v>
      </c>
      <c r="E18" s="18">
        <f t="shared" si="0"/>
        <v>1000000</v>
      </c>
      <c r="F18" s="1" t="s">
        <v>59</v>
      </c>
      <c r="G18" s="1" t="s">
        <v>18</v>
      </c>
      <c r="H18" s="1" t="s">
        <v>19</v>
      </c>
      <c r="I18" s="1"/>
      <c r="J18" s="1"/>
      <c r="K18" s="1"/>
      <c r="L18" s="1"/>
      <c r="M18" s="1"/>
      <c r="N18" s="1"/>
      <c r="O18" s="12" t="s">
        <v>68</v>
      </c>
      <c r="P18" s="1"/>
      <c r="Q18" s="1"/>
    </row>
    <row r="19" spans="1:17" x14ac:dyDescent="0.25">
      <c r="A19" s="1"/>
      <c r="B19" s="1"/>
      <c r="C19" s="1"/>
      <c r="D19" s="10"/>
      <c r="E19" s="18">
        <f t="shared" si="0"/>
        <v>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9" t="s">
        <v>73</v>
      </c>
      <c r="B20" s="9"/>
      <c r="C20" s="1"/>
      <c r="D20" s="10"/>
      <c r="E20" s="18">
        <f t="shared" si="0"/>
        <v>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1">
        <v>1</v>
      </c>
      <c r="B21" s="1" t="s">
        <v>69</v>
      </c>
      <c r="C21" s="1">
        <v>1</v>
      </c>
      <c r="D21" s="10">
        <v>50750000</v>
      </c>
      <c r="E21" s="18">
        <f t="shared" si="0"/>
        <v>50750000</v>
      </c>
      <c r="F21" s="1" t="s">
        <v>59</v>
      </c>
      <c r="G21" s="1" t="s">
        <v>61</v>
      </c>
      <c r="H21" s="1" t="s">
        <v>19</v>
      </c>
      <c r="I21" s="1"/>
      <c r="J21" s="1"/>
      <c r="K21" s="1"/>
      <c r="L21" s="12" t="s">
        <v>68</v>
      </c>
      <c r="M21" s="1"/>
      <c r="N21" s="1"/>
      <c r="O21" s="12" t="s">
        <v>68</v>
      </c>
      <c r="P21" s="1"/>
      <c r="Q21" s="1"/>
    </row>
    <row r="22" spans="1:17" x14ac:dyDescent="0.25">
      <c r="A22" s="1">
        <v>2</v>
      </c>
      <c r="B22" s="1"/>
      <c r="C22" s="1"/>
      <c r="D22" s="10"/>
      <c r="E22" s="18">
        <f t="shared" si="0"/>
        <v>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1">
        <v>3</v>
      </c>
      <c r="B23" s="1"/>
      <c r="C23" s="1"/>
      <c r="D23" s="10"/>
      <c r="E23" s="18">
        <f t="shared" si="0"/>
        <v>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9" t="s">
        <v>74</v>
      </c>
      <c r="B24" s="9"/>
      <c r="C24" s="1"/>
      <c r="D24" s="10"/>
      <c r="E24" s="18">
        <f t="shared" si="0"/>
        <v>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>
        <v>1</v>
      </c>
      <c r="B25" s="1" t="s">
        <v>29</v>
      </c>
      <c r="C25" s="1">
        <v>1</v>
      </c>
      <c r="D25" s="10">
        <v>20000</v>
      </c>
      <c r="E25" s="18">
        <f t="shared" si="0"/>
        <v>20000</v>
      </c>
      <c r="F25" s="1" t="s">
        <v>59</v>
      </c>
      <c r="G25" s="1" t="s">
        <v>18</v>
      </c>
      <c r="H25" s="1" t="s">
        <v>19</v>
      </c>
      <c r="I25" s="1"/>
      <c r="J25" s="1"/>
      <c r="K25" s="1"/>
      <c r="L25" s="1"/>
      <c r="M25" s="1"/>
      <c r="N25" s="1"/>
      <c r="O25" s="12" t="s">
        <v>68</v>
      </c>
      <c r="P25" s="1"/>
      <c r="Q25" s="1"/>
    </row>
    <row r="26" spans="1:17" x14ac:dyDescent="0.25">
      <c r="A26" s="1">
        <v>2</v>
      </c>
      <c r="B26" s="1" t="s">
        <v>48</v>
      </c>
      <c r="C26" s="1">
        <v>1</v>
      </c>
      <c r="D26" s="10">
        <v>60000</v>
      </c>
      <c r="E26" s="18">
        <f t="shared" si="0"/>
        <v>60000</v>
      </c>
      <c r="F26" s="1" t="s">
        <v>59</v>
      </c>
      <c r="G26" s="1" t="s">
        <v>18</v>
      </c>
      <c r="H26" s="1" t="s">
        <v>19</v>
      </c>
      <c r="I26" s="1"/>
      <c r="J26" s="1"/>
      <c r="K26" s="1"/>
      <c r="L26" s="1"/>
      <c r="M26" s="1"/>
      <c r="N26" s="1"/>
      <c r="O26" s="12" t="s">
        <v>68</v>
      </c>
      <c r="P26" s="1"/>
      <c r="Q26" s="1"/>
    </row>
    <row r="27" spans="1:17" x14ac:dyDescent="0.25">
      <c r="A27" s="1">
        <v>3</v>
      </c>
      <c r="B27" s="1" t="s">
        <v>30</v>
      </c>
      <c r="C27" s="1">
        <v>1</v>
      </c>
      <c r="D27" s="10">
        <v>56000</v>
      </c>
      <c r="E27" s="18">
        <f t="shared" si="0"/>
        <v>56000</v>
      </c>
      <c r="F27" s="1" t="s">
        <v>59</v>
      </c>
      <c r="G27" s="1" t="s">
        <v>18</v>
      </c>
      <c r="H27" s="1" t="s">
        <v>19</v>
      </c>
      <c r="I27" s="1"/>
      <c r="J27" s="1"/>
      <c r="K27" s="1"/>
      <c r="L27" s="1"/>
      <c r="M27" s="1"/>
      <c r="N27" s="1"/>
      <c r="O27" s="12" t="s">
        <v>68</v>
      </c>
      <c r="P27" s="1"/>
      <c r="Q27" s="1"/>
    </row>
    <row r="28" spans="1:17" x14ac:dyDescent="0.25">
      <c r="A28" s="1">
        <v>4</v>
      </c>
      <c r="B28" s="1" t="s">
        <v>31</v>
      </c>
      <c r="C28" s="1">
        <v>1</v>
      </c>
      <c r="D28" s="10">
        <v>20000</v>
      </c>
      <c r="E28" s="18">
        <f t="shared" si="0"/>
        <v>20000</v>
      </c>
      <c r="F28" s="1" t="s">
        <v>59</v>
      </c>
      <c r="G28" s="1" t="s">
        <v>18</v>
      </c>
      <c r="H28" s="1" t="s">
        <v>19</v>
      </c>
      <c r="I28" s="1"/>
      <c r="J28" s="1"/>
      <c r="K28" s="1"/>
      <c r="L28" s="1"/>
      <c r="M28" s="1"/>
      <c r="N28" s="1"/>
      <c r="O28" s="12" t="s">
        <v>68</v>
      </c>
      <c r="P28" s="1"/>
      <c r="Q28" s="1"/>
    </row>
    <row r="29" spans="1:17" x14ac:dyDescent="0.25">
      <c r="A29" s="1">
        <v>7</v>
      </c>
      <c r="B29" s="1" t="s">
        <v>31</v>
      </c>
      <c r="C29" s="1">
        <v>1</v>
      </c>
      <c r="D29" s="10">
        <v>10000</v>
      </c>
      <c r="E29" s="18">
        <f t="shared" si="0"/>
        <v>10000</v>
      </c>
      <c r="F29" s="1" t="s">
        <v>59</v>
      </c>
      <c r="G29" s="1" t="s">
        <v>18</v>
      </c>
      <c r="H29" s="1" t="s">
        <v>19</v>
      </c>
      <c r="I29" s="1"/>
      <c r="J29" s="1"/>
      <c r="K29" s="1"/>
      <c r="L29" s="1"/>
      <c r="M29" s="1"/>
      <c r="N29" s="1"/>
      <c r="O29" s="12" t="s">
        <v>68</v>
      </c>
      <c r="P29" s="1"/>
      <c r="Q29" s="1"/>
    </row>
    <row r="30" spans="1:17" x14ac:dyDescent="0.25">
      <c r="A30" s="1">
        <v>8</v>
      </c>
      <c r="B30" s="1" t="s">
        <v>47</v>
      </c>
      <c r="C30" s="1">
        <v>1</v>
      </c>
      <c r="D30" s="10">
        <v>80000</v>
      </c>
      <c r="E30" s="18">
        <f t="shared" si="0"/>
        <v>80000</v>
      </c>
      <c r="F30" s="1" t="s">
        <v>59</v>
      </c>
      <c r="G30" s="1" t="s">
        <v>18</v>
      </c>
      <c r="H30" s="1" t="s">
        <v>19</v>
      </c>
      <c r="I30" s="1"/>
      <c r="J30" s="1"/>
      <c r="K30" s="1"/>
      <c r="L30" s="1"/>
      <c r="M30" s="1"/>
      <c r="N30" s="1"/>
      <c r="O30" s="12" t="s">
        <v>68</v>
      </c>
      <c r="P30" s="1"/>
      <c r="Q30" s="1"/>
    </row>
    <row r="31" spans="1:17" x14ac:dyDescent="0.25">
      <c r="A31" s="1">
        <v>9</v>
      </c>
      <c r="B31" s="1" t="s">
        <v>48</v>
      </c>
      <c r="C31" s="1">
        <v>1</v>
      </c>
      <c r="D31" s="10">
        <v>60000</v>
      </c>
      <c r="E31" s="18">
        <f t="shared" si="0"/>
        <v>60000</v>
      </c>
      <c r="F31" s="1" t="s">
        <v>59</v>
      </c>
      <c r="G31" s="1" t="s">
        <v>18</v>
      </c>
      <c r="H31" s="1" t="s">
        <v>19</v>
      </c>
      <c r="I31" s="1"/>
      <c r="J31" s="1"/>
      <c r="K31" s="1"/>
      <c r="L31" s="1"/>
      <c r="M31" s="1"/>
      <c r="N31" s="1"/>
      <c r="O31" s="12" t="s">
        <v>68</v>
      </c>
      <c r="P31" s="1"/>
      <c r="Q31" s="1"/>
    </row>
    <row r="32" spans="1:17" x14ac:dyDescent="0.25">
      <c r="A32" s="1">
        <v>10</v>
      </c>
      <c r="B32" s="1" t="s">
        <v>31</v>
      </c>
      <c r="C32" s="1">
        <v>1</v>
      </c>
      <c r="D32" s="10">
        <v>20000</v>
      </c>
      <c r="E32" s="18">
        <f t="shared" si="0"/>
        <v>20000</v>
      </c>
      <c r="F32" s="1" t="s">
        <v>59</v>
      </c>
      <c r="G32" s="1" t="s">
        <v>18</v>
      </c>
      <c r="H32" s="1" t="s">
        <v>19</v>
      </c>
      <c r="I32" s="1"/>
      <c r="J32" s="1"/>
      <c r="K32" s="1"/>
      <c r="L32" s="1"/>
      <c r="M32" s="1"/>
      <c r="N32" s="1"/>
      <c r="O32" s="12" t="s">
        <v>68</v>
      </c>
      <c r="P32" s="1"/>
      <c r="Q32" s="1"/>
    </row>
    <row r="33" spans="1:17" x14ac:dyDescent="0.25">
      <c r="A33" s="1">
        <v>11</v>
      </c>
      <c r="B33" s="1" t="s">
        <v>56</v>
      </c>
      <c r="C33" s="1">
        <v>1</v>
      </c>
      <c r="D33" s="10">
        <v>200000</v>
      </c>
      <c r="E33" s="18">
        <f t="shared" si="0"/>
        <v>200000</v>
      </c>
      <c r="F33" s="1" t="s">
        <v>59</v>
      </c>
      <c r="G33" s="1" t="s">
        <v>18</v>
      </c>
      <c r="H33" s="1" t="s">
        <v>19</v>
      </c>
      <c r="I33" s="1"/>
      <c r="J33" s="1"/>
      <c r="K33" s="1"/>
      <c r="L33" s="1"/>
      <c r="M33" s="1"/>
      <c r="N33" s="1"/>
      <c r="O33" s="12" t="s">
        <v>68</v>
      </c>
      <c r="P33" s="1"/>
      <c r="Q33" s="1"/>
    </row>
    <row r="34" spans="1:17" x14ac:dyDescent="0.25">
      <c r="A34" s="1">
        <v>12</v>
      </c>
      <c r="B34" s="1" t="s">
        <v>31</v>
      </c>
      <c r="C34" s="1">
        <v>1</v>
      </c>
      <c r="D34" s="10">
        <v>20000</v>
      </c>
      <c r="E34" s="18">
        <f t="shared" si="0"/>
        <v>20000</v>
      </c>
      <c r="F34" s="1" t="s">
        <v>59</v>
      </c>
      <c r="G34" s="1" t="s">
        <v>18</v>
      </c>
      <c r="H34" s="1" t="s">
        <v>19</v>
      </c>
      <c r="I34" s="1"/>
      <c r="J34" s="1"/>
      <c r="K34" s="1"/>
      <c r="L34" s="1"/>
      <c r="M34" s="1"/>
      <c r="N34" s="1"/>
      <c r="O34" s="12" t="s">
        <v>68</v>
      </c>
      <c r="P34" s="1"/>
      <c r="Q34" s="1"/>
    </row>
    <row r="35" spans="1:17" x14ac:dyDescent="0.25">
      <c r="A35" s="1">
        <v>13</v>
      </c>
      <c r="B35" s="1" t="s">
        <v>58</v>
      </c>
      <c r="C35" s="1">
        <v>1</v>
      </c>
      <c r="D35" s="10">
        <v>180000</v>
      </c>
      <c r="E35" s="18">
        <f t="shared" si="0"/>
        <v>180000</v>
      </c>
      <c r="F35" s="1" t="s">
        <v>59</v>
      </c>
      <c r="G35" s="1" t="s">
        <v>18</v>
      </c>
      <c r="H35" s="1" t="s">
        <v>19</v>
      </c>
      <c r="I35" s="1"/>
      <c r="J35" s="1"/>
      <c r="K35" s="1"/>
      <c r="L35" s="1"/>
      <c r="M35" s="1"/>
      <c r="N35" s="1"/>
      <c r="O35" s="12" t="s">
        <v>68</v>
      </c>
      <c r="P35" s="1"/>
      <c r="Q35" s="1"/>
    </row>
    <row r="36" spans="1:17" x14ac:dyDescent="0.25">
      <c r="A36" s="1">
        <v>14</v>
      </c>
      <c r="B36" s="1" t="s">
        <v>32</v>
      </c>
      <c r="C36" s="1">
        <v>1</v>
      </c>
      <c r="D36" s="10">
        <v>18000</v>
      </c>
      <c r="E36" s="18">
        <f t="shared" si="0"/>
        <v>18000</v>
      </c>
      <c r="F36" s="1" t="s">
        <v>59</v>
      </c>
      <c r="G36" s="1" t="s">
        <v>18</v>
      </c>
      <c r="H36" s="1" t="s">
        <v>19</v>
      </c>
      <c r="I36" s="1"/>
      <c r="J36" s="1"/>
      <c r="K36" s="1"/>
      <c r="L36" s="1"/>
      <c r="M36" s="1"/>
      <c r="N36" s="1"/>
      <c r="O36" s="12" t="s">
        <v>68</v>
      </c>
      <c r="P36" s="1"/>
      <c r="Q36" s="1"/>
    </row>
    <row r="37" spans="1:17" x14ac:dyDescent="0.25">
      <c r="A37" s="1">
        <v>15</v>
      </c>
      <c r="B37" s="1" t="s">
        <v>32</v>
      </c>
      <c r="C37" s="1">
        <v>1</v>
      </c>
      <c r="D37" s="10">
        <v>18000</v>
      </c>
      <c r="E37" s="18">
        <f t="shared" si="0"/>
        <v>18000</v>
      </c>
      <c r="F37" s="1" t="s">
        <v>59</v>
      </c>
      <c r="G37" s="1" t="s">
        <v>18</v>
      </c>
      <c r="H37" s="1" t="s">
        <v>19</v>
      </c>
      <c r="I37" s="1"/>
      <c r="J37" s="1"/>
      <c r="K37" s="1"/>
      <c r="L37" s="1"/>
      <c r="M37" s="1"/>
      <c r="N37" s="1"/>
      <c r="O37" s="12" t="s">
        <v>68</v>
      </c>
      <c r="P37" s="1"/>
      <c r="Q37" s="1"/>
    </row>
    <row r="38" spans="1:17" x14ac:dyDescent="0.25">
      <c r="A38" s="1">
        <v>16</v>
      </c>
      <c r="B38" s="1" t="s">
        <v>33</v>
      </c>
      <c r="C38" s="1">
        <v>1</v>
      </c>
      <c r="D38" s="10">
        <v>5500</v>
      </c>
      <c r="E38" s="18">
        <f t="shared" si="0"/>
        <v>5500</v>
      </c>
      <c r="F38" s="1" t="s">
        <v>59</v>
      </c>
      <c r="G38" s="1" t="s">
        <v>18</v>
      </c>
      <c r="H38" s="1" t="s">
        <v>19</v>
      </c>
      <c r="I38" s="1"/>
      <c r="J38" s="1"/>
      <c r="K38" s="1"/>
      <c r="L38" s="1"/>
      <c r="M38" s="1"/>
      <c r="N38" s="1"/>
      <c r="O38" s="12" t="s">
        <v>68</v>
      </c>
      <c r="P38" s="1"/>
      <c r="Q38" s="1"/>
    </row>
    <row r="39" spans="1:17" x14ac:dyDescent="0.25">
      <c r="A39" s="1">
        <v>17</v>
      </c>
      <c r="B39" s="1" t="s">
        <v>32</v>
      </c>
      <c r="C39" s="1">
        <v>1</v>
      </c>
      <c r="D39" s="10">
        <v>18000</v>
      </c>
      <c r="E39" s="18">
        <f t="shared" si="0"/>
        <v>18000</v>
      </c>
      <c r="F39" s="1" t="s">
        <v>59</v>
      </c>
      <c r="G39" s="1" t="s">
        <v>18</v>
      </c>
      <c r="H39" s="1" t="s">
        <v>19</v>
      </c>
      <c r="I39" s="1"/>
      <c r="J39" s="1"/>
      <c r="K39" s="1"/>
      <c r="L39" s="1"/>
      <c r="M39" s="1"/>
      <c r="N39" s="1"/>
      <c r="O39" s="12" t="s">
        <v>68</v>
      </c>
      <c r="P39" s="1"/>
      <c r="Q39" s="1"/>
    </row>
    <row r="40" spans="1:17" x14ac:dyDescent="0.25">
      <c r="A40" s="1">
        <v>18</v>
      </c>
      <c r="B40" s="1" t="s">
        <v>32</v>
      </c>
      <c r="C40" s="1">
        <v>1</v>
      </c>
      <c r="D40" s="10">
        <v>18000</v>
      </c>
      <c r="E40" s="18">
        <f t="shared" si="0"/>
        <v>18000</v>
      </c>
      <c r="F40" s="1" t="s">
        <v>59</v>
      </c>
      <c r="G40" s="1" t="s">
        <v>18</v>
      </c>
      <c r="H40" s="1" t="s">
        <v>19</v>
      </c>
      <c r="I40" s="1"/>
      <c r="J40" s="1"/>
      <c r="K40" s="1"/>
      <c r="L40" s="1"/>
      <c r="M40" s="1"/>
      <c r="N40" s="1"/>
      <c r="O40" s="12" t="s">
        <v>68</v>
      </c>
      <c r="P40" s="1"/>
      <c r="Q40" s="1"/>
    </row>
    <row r="41" spans="1:17" x14ac:dyDescent="0.25">
      <c r="A41" s="1"/>
      <c r="B41" s="1"/>
      <c r="C41" s="1"/>
      <c r="D41" s="10"/>
      <c r="E41" s="18">
        <f t="shared" si="0"/>
        <v>0</v>
      </c>
      <c r="F41" s="1"/>
      <c r="G41" s="1"/>
      <c r="H41" s="1"/>
      <c r="I41" s="1"/>
      <c r="J41" s="1"/>
      <c r="K41" s="1"/>
      <c r="L41" s="1"/>
      <c r="M41" s="1"/>
      <c r="N41" s="1"/>
      <c r="O41" s="12"/>
      <c r="P41" s="1"/>
      <c r="Q41" s="1"/>
    </row>
    <row r="42" spans="1:17" x14ac:dyDescent="0.25">
      <c r="A42" s="1"/>
      <c r="B42" s="1"/>
      <c r="C42" s="1"/>
      <c r="D42" s="10"/>
      <c r="E42" s="18">
        <f t="shared" si="0"/>
        <v>0</v>
      </c>
      <c r="F42" s="1"/>
      <c r="G42" s="1"/>
      <c r="H42" s="1"/>
      <c r="I42" s="1"/>
      <c r="J42" s="1"/>
      <c r="K42" s="1"/>
      <c r="L42" s="1"/>
      <c r="M42" s="1"/>
      <c r="N42" s="1"/>
      <c r="O42" s="12"/>
      <c r="P42" s="1"/>
      <c r="Q42" s="1"/>
    </row>
    <row r="43" spans="1:17" x14ac:dyDescent="0.25">
      <c r="A43" s="16" t="s">
        <v>75</v>
      </c>
      <c r="B43" s="17"/>
      <c r="C43" s="1"/>
      <c r="D43" s="10"/>
      <c r="E43" s="18">
        <f t="shared" si="0"/>
        <v>0</v>
      </c>
      <c r="F43" s="1"/>
      <c r="G43" s="1"/>
      <c r="H43" s="1"/>
      <c r="I43" s="1"/>
      <c r="J43" s="1"/>
      <c r="K43" s="1"/>
      <c r="L43" s="1"/>
      <c r="M43" s="1"/>
      <c r="N43" s="1"/>
      <c r="O43" s="12"/>
      <c r="P43" s="1"/>
      <c r="Q43" s="1"/>
    </row>
    <row r="44" spans="1:17" x14ac:dyDescent="0.25">
      <c r="A44" s="1">
        <v>5</v>
      </c>
      <c r="B44" s="1" t="s">
        <v>40</v>
      </c>
      <c r="C44" s="1">
        <v>1</v>
      </c>
      <c r="D44" s="10">
        <v>100000</v>
      </c>
      <c r="E44" s="18">
        <f t="shared" si="0"/>
        <v>100000</v>
      </c>
      <c r="F44" s="1" t="s">
        <v>59</v>
      </c>
      <c r="G44" s="1" t="s">
        <v>18</v>
      </c>
      <c r="H44" s="1" t="s">
        <v>19</v>
      </c>
      <c r="I44" s="1"/>
      <c r="J44" s="1"/>
      <c r="K44" s="1"/>
      <c r="L44" s="1"/>
      <c r="M44" s="1"/>
      <c r="N44" s="1"/>
      <c r="O44" s="12" t="s">
        <v>68</v>
      </c>
      <c r="P44" s="1"/>
      <c r="Q44" s="1"/>
    </row>
    <row r="45" spans="1:17" x14ac:dyDescent="0.25">
      <c r="A45" s="1"/>
      <c r="B45" s="1"/>
      <c r="C45" s="1"/>
      <c r="D45" s="10"/>
      <c r="E45" s="18">
        <f t="shared" si="0"/>
        <v>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5">
      <c r="A46" s="9" t="s">
        <v>76</v>
      </c>
      <c r="B46" s="9"/>
      <c r="C46" s="1"/>
      <c r="D46" s="10"/>
      <c r="E46" s="18">
        <f t="shared" si="0"/>
        <v>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5">
      <c r="A47" s="1">
        <v>1</v>
      </c>
      <c r="B47" s="1" t="s">
        <v>20</v>
      </c>
      <c r="C47" s="1">
        <v>1</v>
      </c>
      <c r="D47" s="10">
        <v>120000</v>
      </c>
      <c r="E47" s="18">
        <f t="shared" si="0"/>
        <v>120000</v>
      </c>
      <c r="F47" s="1" t="s">
        <v>59</v>
      </c>
      <c r="G47" s="1" t="s">
        <v>18</v>
      </c>
      <c r="H47" s="1" t="s">
        <v>19</v>
      </c>
      <c r="I47" s="1"/>
      <c r="J47" s="1"/>
      <c r="K47" s="1"/>
      <c r="L47" s="1"/>
      <c r="M47" s="1"/>
      <c r="N47" s="1"/>
      <c r="O47" s="12" t="s">
        <v>68</v>
      </c>
      <c r="P47" s="1"/>
      <c r="Q47" s="1"/>
    </row>
    <row r="48" spans="1:17" x14ac:dyDescent="0.25">
      <c r="A48" s="1">
        <v>2</v>
      </c>
      <c r="B48" s="1" t="s">
        <v>21</v>
      </c>
      <c r="C48" s="1">
        <v>1</v>
      </c>
      <c r="D48" s="10">
        <v>30000</v>
      </c>
      <c r="E48" s="18">
        <f t="shared" si="0"/>
        <v>30000</v>
      </c>
      <c r="F48" s="1" t="s">
        <v>59</v>
      </c>
      <c r="G48" s="1" t="s">
        <v>18</v>
      </c>
      <c r="H48" s="1" t="s">
        <v>19</v>
      </c>
      <c r="I48" s="1"/>
      <c r="J48" s="1"/>
      <c r="K48" s="1"/>
      <c r="L48" s="1"/>
      <c r="M48" s="1"/>
      <c r="N48" s="1"/>
      <c r="O48" s="12" t="s">
        <v>68</v>
      </c>
      <c r="P48" s="1"/>
      <c r="Q48" s="1"/>
    </row>
    <row r="49" spans="1:17" x14ac:dyDescent="0.25">
      <c r="A49" s="1">
        <v>3</v>
      </c>
      <c r="B49" s="1" t="s">
        <v>22</v>
      </c>
      <c r="C49" s="1">
        <v>2</v>
      </c>
      <c r="D49" s="10">
        <v>45000</v>
      </c>
      <c r="E49" s="18">
        <f t="shared" si="0"/>
        <v>90000</v>
      </c>
      <c r="F49" s="1" t="s">
        <v>59</v>
      </c>
      <c r="G49" s="1" t="s">
        <v>18</v>
      </c>
      <c r="H49" s="1" t="s">
        <v>19</v>
      </c>
      <c r="I49" s="1"/>
      <c r="J49" s="1"/>
      <c r="K49" s="1"/>
      <c r="L49" s="1"/>
      <c r="M49" s="1"/>
      <c r="N49" s="1"/>
      <c r="O49" s="12" t="s">
        <v>68</v>
      </c>
      <c r="P49" s="1"/>
      <c r="Q49" s="1"/>
    </row>
    <row r="50" spans="1:17" x14ac:dyDescent="0.25">
      <c r="A50" s="1">
        <v>4</v>
      </c>
      <c r="B50" s="1" t="s">
        <v>23</v>
      </c>
      <c r="C50" s="1">
        <v>1</v>
      </c>
      <c r="D50" s="10">
        <v>35000</v>
      </c>
      <c r="E50" s="18">
        <f t="shared" si="0"/>
        <v>35000</v>
      </c>
      <c r="F50" s="1" t="s">
        <v>59</v>
      </c>
      <c r="G50" s="1" t="s">
        <v>18</v>
      </c>
      <c r="H50" s="1" t="s">
        <v>19</v>
      </c>
      <c r="I50" s="1"/>
      <c r="J50" s="1"/>
      <c r="K50" s="1"/>
      <c r="L50" s="1"/>
      <c r="M50" s="1"/>
      <c r="N50" s="1"/>
      <c r="O50" s="12" t="s">
        <v>68</v>
      </c>
      <c r="P50" s="1"/>
      <c r="Q50" s="1"/>
    </row>
    <row r="51" spans="1:17" x14ac:dyDescent="0.25">
      <c r="A51" s="1">
        <v>5</v>
      </c>
      <c r="B51" s="1" t="s">
        <v>24</v>
      </c>
      <c r="C51" s="1">
        <v>1</v>
      </c>
      <c r="D51" s="10">
        <v>50000</v>
      </c>
      <c r="E51" s="18">
        <f t="shared" si="0"/>
        <v>50000</v>
      </c>
      <c r="F51" s="1" t="s">
        <v>59</v>
      </c>
      <c r="G51" s="1" t="s">
        <v>18</v>
      </c>
      <c r="H51" s="1" t="s">
        <v>19</v>
      </c>
      <c r="I51" s="1"/>
      <c r="J51" s="1"/>
      <c r="K51" s="1"/>
      <c r="L51" s="1"/>
      <c r="M51" s="1"/>
      <c r="N51" s="1"/>
      <c r="O51" s="12" t="s">
        <v>68</v>
      </c>
      <c r="P51" s="1"/>
      <c r="Q51" s="1"/>
    </row>
    <row r="52" spans="1:17" x14ac:dyDescent="0.25">
      <c r="A52" s="1">
        <v>6</v>
      </c>
      <c r="B52" s="1" t="s">
        <v>25</v>
      </c>
      <c r="C52" s="1">
        <v>4</v>
      </c>
      <c r="D52" s="10">
        <v>30000</v>
      </c>
      <c r="E52" s="18">
        <f t="shared" si="0"/>
        <v>120000</v>
      </c>
      <c r="F52" s="1" t="s">
        <v>59</v>
      </c>
      <c r="G52" s="1" t="s">
        <v>18</v>
      </c>
      <c r="H52" s="1" t="s">
        <v>19</v>
      </c>
      <c r="I52" s="1"/>
      <c r="J52" s="1"/>
      <c r="K52" s="1"/>
      <c r="L52" s="1"/>
      <c r="M52" s="1"/>
      <c r="N52" s="1"/>
      <c r="O52" s="12" t="s">
        <v>68</v>
      </c>
      <c r="P52" s="1"/>
      <c r="Q52" s="1"/>
    </row>
    <row r="53" spans="1:17" x14ac:dyDescent="0.25">
      <c r="A53" s="1">
        <v>7</v>
      </c>
      <c r="B53" s="1" t="s">
        <v>26</v>
      </c>
      <c r="C53" s="1">
        <v>1</v>
      </c>
      <c r="D53" s="10">
        <v>100000</v>
      </c>
      <c r="E53" s="18">
        <f t="shared" si="0"/>
        <v>100000</v>
      </c>
      <c r="F53" s="1" t="s">
        <v>59</v>
      </c>
      <c r="G53" s="1" t="s">
        <v>18</v>
      </c>
      <c r="H53" s="1" t="s">
        <v>19</v>
      </c>
      <c r="I53" s="1"/>
      <c r="J53" s="1"/>
      <c r="K53" s="1"/>
      <c r="L53" s="1"/>
      <c r="M53" s="1"/>
      <c r="N53" s="1"/>
      <c r="O53" s="12" t="s">
        <v>68</v>
      </c>
      <c r="P53" s="1"/>
      <c r="Q53" s="1"/>
    </row>
    <row r="54" spans="1:17" x14ac:dyDescent="0.25">
      <c r="A54" s="1">
        <v>8</v>
      </c>
      <c r="B54" s="1" t="s">
        <v>34</v>
      </c>
      <c r="C54" s="1">
        <v>1</v>
      </c>
      <c r="D54" s="10">
        <v>145000</v>
      </c>
      <c r="E54" s="18">
        <f t="shared" si="0"/>
        <v>145000</v>
      </c>
      <c r="F54" s="1" t="s">
        <v>59</v>
      </c>
      <c r="G54" s="1" t="s">
        <v>18</v>
      </c>
      <c r="H54" s="1" t="s">
        <v>19</v>
      </c>
      <c r="I54" s="1"/>
      <c r="J54" s="1"/>
      <c r="K54" s="1"/>
      <c r="L54" s="1"/>
      <c r="M54" s="1"/>
      <c r="N54" s="1"/>
      <c r="O54" s="12" t="s">
        <v>68</v>
      </c>
      <c r="P54" s="1"/>
      <c r="Q54" s="1"/>
    </row>
    <row r="55" spans="1:17" x14ac:dyDescent="0.25">
      <c r="A55" s="1">
        <v>9</v>
      </c>
      <c r="B55" s="1" t="s">
        <v>35</v>
      </c>
      <c r="C55" s="1">
        <v>1</v>
      </c>
      <c r="D55" s="10">
        <v>65000</v>
      </c>
      <c r="E55" s="18">
        <f t="shared" si="0"/>
        <v>65000</v>
      </c>
      <c r="F55" s="1" t="s">
        <v>59</v>
      </c>
      <c r="G55" s="1" t="s">
        <v>18</v>
      </c>
      <c r="H55" s="1" t="s">
        <v>19</v>
      </c>
      <c r="I55" s="1"/>
      <c r="J55" s="1"/>
      <c r="K55" s="1"/>
      <c r="L55" s="1"/>
      <c r="M55" s="1"/>
      <c r="N55" s="1"/>
      <c r="O55" s="12" t="s">
        <v>68</v>
      </c>
      <c r="P55" s="1"/>
      <c r="Q55" s="1"/>
    </row>
    <row r="56" spans="1:17" x14ac:dyDescent="0.25">
      <c r="A56" s="1">
        <v>10</v>
      </c>
      <c r="B56" s="1" t="s">
        <v>24</v>
      </c>
      <c r="C56" s="1">
        <v>1</v>
      </c>
      <c r="D56" s="10">
        <v>50000</v>
      </c>
      <c r="E56" s="18">
        <f t="shared" si="0"/>
        <v>50000</v>
      </c>
      <c r="F56" s="1" t="s">
        <v>59</v>
      </c>
      <c r="G56" s="1" t="s">
        <v>18</v>
      </c>
      <c r="H56" s="1" t="s">
        <v>19</v>
      </c>
      <c r="I56" s="1"/>
      <c r="J56" s="1"/>
      <c r="K56" s="1"/>
      <c r="L56" s="1"/>
      <c r="M56" s="1"/>
      <c r="N56" s="1"/>
      <c r="O56" s="12" t="s">
        <v>68</v>
      </c>
      <c r="P56" s="1"/>
      <c r="Q56" s="1"/>
    </row>
    <row r="57" spans="1:17" x14ac:dyDescent="0.25">
      <c r="A57" s="1">
        <v>11</v>
      </c>
      <c r="B57" s="1" t="s">
        <v>23</v>
      </c>
      <c r="C57" s="1">
        <v>1</v>
      </c>
      <c r="D57" s="10">
        <v>35000</v>
      </c>
      <c r="E57" s="18">
        <f t="shared" si="0"/>
        <v>35000</v>
      </c>
      <c r="F57" s="1" t="s">
        <v>59</v>
      </c>
      <c r="G57" s="1" t="s">
        <v>18</v>
      </c>
      <c r="H57" s="1" t="s">
        <v>19</v>
      </c>
      <c r="I57" s="1"/>
      <c r="J57" s="1"/>
      <c r="K57" s="1"/>
      <c r="L57" s="1"/>
      <c r="M57" s="1"/>
      <c r="N57" s="1"/>
      <c r="O57" s="12" t="s">
        <v>68</v>
      </c>
      <c r="P57" s="1"/>
      <c r="Q57" s="1"/>
    </row>
    <row r="58" spans="1:17" x14ac:dyDescent="0.25">
      <c r="A58" s="1">
        <v>12</v>
      </c>
      <c r="B58" s="1" t="s">
        <v>36</v>
      </c>
      <c r="C58" s="1">
        <v>2</v>
      </c>
      <c r="D58" s="10">
        <v>25000</v>
      </c>
      <c r="E58" s="18">
        <f t="shared" si="0"/>
        <v>50000</v>
      </c>
      <c r="F58" s="1" t="s">
        <v>59</v>
      </c>
      <c r="G58" s="1" t="s">
        <v>18</v>
      </c>
      <c r="H58" s="1" t="s">
        <v>19</v>
      </c>
      <c r="I58" s="1"/>
      <c r="J58" s="1"/>
      <c r="K58" s="1"/>
      <c r="L58" s="1"/>
      <c r="M58" s="1"/>
      <c r="N58" s="1"/>
      <c r="O58" s="12" t="s">
        <v>68</v>
      </c>
      <c r="P58" s="1"/>
      <c r="Q58" s="1"/>
    </row>
    <row r="59" spans="1:17" x14ac:dyDescent="0.25">
      <c r="A59" s="1">
        <v>13</v>
      </c>
      <c r="B59" s="1" t="s">
        <v>25</v>
      </c>
      <c r="C59" s="1">
        <v>6</v>
      </c>
      <c r="D59" s="10">
        <v>30000</v>
      </c>
      <c r="E59" s="18">
        <f t="shared" si="0"/>
        <v>180000</v>
      </c>
      <c r="F59" s="1" t="s">
        <v>59</v>
      </c>
      <c r="G59" s="1" t="s">
        <v>18</v>
      </c>
      <c r="H59" s="1" t="s">
        <v>19</v>
      </c>
      <c r="I59" s="1"/>
      <c r="J59" s="1"/>
      <c r="K59" s="1"/>
      <c r="L59" s="1"/>
      <c r="M59" s="1"/>
      <c r="N59" s="1"/>
      <c r="O59" s="12" t="s">
        <v>68</v>
      </c>
      <c r="P59" s="1"/>
      <c r="Q59" s="1"/>
    </row>
    <row r="60" spans="1:17" x14ac:dyDescent="0.25">
      <c r="A60" s="1">
        <v>14</v>
      </c>
      <c r="B60" s="1" t="s">
        <v>26</v>
      </c>
      <c r="C60" s="1">
        <v>1</v>
      </c>
      <c r="D60" s="10">
        <v>100000</v>
      </c>
      <c r="E60" s="18">
        <f t="shared" si="0"/>
        <v>100000</v>
      </c>
      <c r="F60" s="1" t="s">
        <v>59</v>
      </c>
      <c r="G60" s="1" t="s">
        <v>18</v>
      </c>
      <c r="H60" s="1" t="s">
        <v>19</v>
      </c>
      <c r="I60" s="1"/>
      <c r="J60" s="1"/>
      <c r="K60" s="1"/>
      <c r="L60" s="1"/>
      <c r="M60" s="1"/>
      <c r="N60" s="1"/>
      <c r="O60" s="12" t="s">
        <v>68</v>
      </c>
      <c r="P60" s="1"/>
      <c r="Q60" s="1"/>
    </row>
    <row r="61" spans="1:17" x14ac:dyDescent="0.25">
      <c r="A61" s="1">
        <v>15</v>
      </c>
      <c r="B61" s="1" t="s">
        <v>39</v>
      </c>
      <c r="C61" s="1">
        <v>1</v>
      </c>
      <c r="D61" s="10">
        <v>650000</v>
      </c>
      <c r="E61" s="18">
        <f t="shared" si="0"/>
        <v>650000</v>
      </c>
      <c r="F61" s="1" t="s">
        <v>59</v>
      </c>
      <c r="G61" s="1" t="s">
        <v>18</v>
      </c>
      <c r="H61" s="1" t="s">
        <v>19</v>
      </c>
      <c r="I61" s="1"/>
      <c r="J61" s="1"/>
      <c r="K61" s="1"/>
      <c r="L61" s="1"/>
      <c r="M61" s="1"/>
      <c r="N61" s="1"/>
      <c r="O61" s="12" t="s">
        <v>68</v>
      </c>
      <c r="P61" s="1"/>
      <c r="Q61" s="1"/>
    </row>
    <row r="62" spans="1:17" x14ac:dyDescent="0.25">
      <c r="A62" s="1">
        <v>16</v>
      </c>
      <c r="B62" s="1" t="s">
        <v>41</v>
      </c>
      <c r="C62" s="1">
        <v>1</v>
      </c>
      <c r="D62" s="10">
        <v>180000</v>
      </c>
      <c r="E62" s="18">
        <f t="shared" si="0"/>
        <v>180000</v>
      </c>
      <c r="F62" s="1" t="s">
        <v>59</v>
      </c>
      <c r="G62" s="1" t="s">
        <v>18</v>
      </c>
      <c r="H62" s="1" t="s">
        <v>19</v>
      </c>
      <c r="I62" s="1"/>
      <c r="J62" s="1"/>
      <c r="K62" s="1"/>
      <c r="L62" s="1"/>
      <c r="M62" s="1"/>
      <c r="N62" s="1"/>
      <c r="O62" s="12" t="s">
        <v>68</v>
      </c>
      <c r="P62" s="1"/>
      <c r="Q62" s="1"/>
    </row>
    <row r="63" spans="1:17" x14ac:dyDescent="0.25">
      <c r="A63" s="1">
        <v>17</v>
      </c>
      <c r="B63" s="1" t="s">
        <v>42</v>
      </c>
      <c r="C63" s="1">
        <v>1</v>
      </c>
      <c r="D63" s="10">
        <v>120000</v>
      </c>
      <c r="E63" s="18">
        <f t="shared" si="0"/>
        <v>120000</v>
      </c>
      <c r="F63" s="1" t="s">
        <v>59</v>
      </c>
      <c r="G63" s="1" t="s">
        <v>18</v>
      </c>
      <c r="H63" s="1" t="s">
        <v>19</v>
      </c>
      <c r="I63" s="1"/>
      <c r="J63" s="1"/>
      <c r="K63" s="1"/>
      <c r="L63" s="1"/>
      <c r="M63" s="1"/>
      <c r="N63" s="1"/>
      <c r="O63" s="12" t="s">
        <v>68</v>
      </c>
      <c r="P63" s="1"/>
      <c r="Q63" s="1"/>
    </row>
    <row r="64" spans="1:17" x14ac:dyDescent="0.25">
      <c r="A64" s="1">
        <v>18</v>
      </c>
      <c r="B64" s="1" t="s">
        <v>43</v>
      </c>
      <c r="C64" s="1">
        <v>1</v>
      </c>
      <c r="D64" s="10">
        <v>80000</v>
      </c>
      <c r="E64" s="18">
        <f t="shared" si="0"/>
        <v>80000</v>
      </c>
      <c r="F64" s="1" t="s">
        <v>59</v>
      </c>
      <c r="G64" s="1" t="s">
        <v>18</v>
      </c>
      <c r="H64" s="1" t="s">
        <v>19</v>
      </c>
      <c r="I64" s="1"/>
      <c r="J64" s="1"/>
      <c r="K64" s="1"/>
      <c r="L64" s="1"/>
      <c r="M64" s="1"/>
      <c r="N64" s="1"/>
      <c r="O64" s="12" t="s">
        <v>68</v>
      </c>
      <c r="P64" s="1"/>
      <c r="Q64" s="1"/>
    </row>
    <row r="65" spans="1:17" x14ac:dyDescent="0.25">
      <c r="A65" s="1">
        <v>19</v>
      </c>
      <c r="B65" s="1" t="s">
        <v>44</v>
      </c>
      <c r="C65" s="1">
        <v>1</v>
      </c>
      <c r="D65" s="10">
        <v>60000</v>
      </c>
      <c r="E65" s="18">
        <f t="shared" si="0"/>
        <v>60000</v>
      </c>
      <c r="F65" s="1" t="s">
        <v>59</v>
      </c>
      <c r="G65" s="1" t="s">
        <v>18</v>
      </c>
      <c r="H65" s="1" t="s">
        <v>19</v>
      </c>
      <c r="I65" s="1"/>
      <c r="J65" s="1"/>
      <c r="K65" s="1"/>
      <c r="L65" s="1"/>
      <c r="M65" s="1"/>
      <c r="N65" s="1"/>
      <c r="O65" s="12" t="s">
        <v>68</v>
      </c>
      <c r="P65" s="1"/>
      <c r="Q65" s="1"/>
    </row>
    <row r="66" spans="1:17" x14ac:dyDescent="0.25">
      <c r="A66" s="1">
        <v>20</v>
      </c>
      <c r="B66" s="1" t="s">
        <v>22</v>
      </c>
      <c r="C66" s="1">
        <v>2</v>
      </c>
      <c r="D66" s="10">
        <v>45000</v>
      </c>
      <c r="E66" s="18">
        <f t="shared" si="0"/>
        <v>90000</v>
      </c>
      <c r="F66" s="1" t="s">
        <v>59</v>
      </c>
      <c r="G66" s="1" t="s">
        <v>18</v>
      </c>
      <c r="H66" s="1" t="s">
        <v>19</v>
      </c>
      <c r="I66" s="1"/>
      <c r="J66" s="1"/>
      <c r="K66" s="1"/>
      <c r="L66" s="1"/>
      <c r="M66" s="1"/>
      <c r="N66" s="1"/>
      <c r="O66" s="12" t="s">
        <v>68</v>
      </c>
      <c r="P66" s="1"/>
      <c r="Q66" s="1"/>
    </row>
    <row r="67" spans="1:17" x14ac:dyDescent="0.25">
      <c r="A67" s="1">
        <v>21</v>
      </c>
      <c r="B67" s="1" t="s">
        <v>39</v>
      </c>
      <c r="C67" s="1">
        <v>1</v>
      </c>
      <c r="D67" s="10">
        <v>350000</v>
      </c>
      <c r="E67" s="18">
        <f t="shared" si="0"/>
        <v>350000</v>
      </c>
      <c r="F67" s="1" t="s">
        <v>59</v>
      </c>
      <c r="G67" s="1" t="s">
        <v>18</v>
      </c>
      <c r="H67" s="1" t="s">
        <v>19</v>
      </c>
      <c r="I67" s="1"/>
      <c r="J67" s="1"/>
      <c r="K67" s="1"/>
      <c r="L67" s="1"/>
      <c r="M67" s="1"/>
      <c r="N67" s="1"/>
      <c r="O67" s="12" t="s">
        <v>68</v>
      </c>
      <c r="P67" s="1"/>
      <c r="Q67" s="1"/>
    </row>
    <row r="68" spans="1:17" x14ac:dyDescent="0.25">
      <c r="A68" s="1">
        <v>22</v>
      </c>
      <c r="B68" s="1" t="s">
        <v>45</v>
      </c>
      <c r="C68" s="1">
        <v>1</v>
      </c>
      <c r="D68" s="10">
        <v>900000</v>
      </c>
      <c r="E68" s="18">
        <f t="shared" si="0"/>
        <v>900000</v>
      </c>
      <c r="F68" s="1" t="s">
        <v>59</v>
      </c>
      <c r="G68" s="1" t="s">
        <v>18</v>
      </c>
      <c r="H68" s="1" t="s">
        <v>19</v>
      </c>
      <c r="I68" s="1"/>
      <c r="J68" s="1"/>
      <c r="K68" s="1"/>
      <c r="L68" s="1"/>
      <c r="M68" s="1"/>
      <c r="N68" s="1"/>
      <c r="O68" s="12" t="s">
        <v>68</v>
      </c>
      <c r="P68" s="1"/>
      <c r="Q68" s="1"/>
    </row>
    <row r="69" spans="1:17" x14ac:dyDescent="0.25">
      <c r="A69" s="1">
        <v>23</v>
      </c>
      <c r="B69" s="1" t="s">
        <v>46</v>
      </c>
      <c r="C69" s="1">
        <v>1</v>
      </c>
      <c r="D69" s="10">
        <v>50000</v>
      </c>
      <c r="E69" s="18">
        <f t="shared" ref="E69" si="1">C69*D69</f>
        <v>50000</v>
      </c>
      <c r="F69" s="1" t="s">
        <v>59</v>
      </c>
      <c r="G69" s="1" t="s">
        <v>18</v>
      </c>
      <c r="H69" s="1" t="s">
        <v>19</v>
      </c>
      <c r="I69" s="1"/>
      <c r="J69" s="1"/>
      <c r="K69" s="1"/>
      <c r="L69" s="1"/>
      <c r="M69" s="1"/>
      <c r="N69" s="1"/>
      <c r="O69" s="12" t="s">
        <v>68</v>
      </c>
      <c r="P69" s="1"/>
      <c r="Q69" s="1"/>
    </row>
    <row r="70" spans="1:17" x14ac:dyDescent="0.25">
      <c r="A70" s="1">
        <v>24</v>
      </c>
      <c r="B70" s="1" t="s">
        <v>26</v>
      </c>
      <c r="C70" s="1">
        <v>1</v>
      </c>
      <c r="D70" s="10">
        <v>100000</v>
      </c>
      <c r="E70" s="18">
        <f t="shared" ref="E69:E99" si="2">C70*D70</f>
        <v>100000</v>
      </c>
      <c r="F70" s="1" t="s">
        <v>59</v>
      </c>
      <c r="G70" s="1" t="s">
        <v>18</v>
      </c>
      <c r="H70" s="1" t="s">
        <v>19</v>
      </c>
      <c r="I70" s="1"/>
      <c r="J70" s="1"/>
      <c r="K70" s="1"/>
      <c r="L70" s="1"/>
      <c r="M70" s="1"/>
      <c r="N70" s="1"/>
      <c r="O70" s="12" t="s">
        <v>68</v>
      </c>
      <c r="P70" s="1"/>
      <c r="Q70" s="1"/>
    </row>
    <row r="71" spans="1:17" x14ac:dyDescent="0.25">
      <c r="A71" s="1">
        <v>25</v>
      </c>
      <c r="B71" s="1" t="s">
        <v>54</v>
      </c>
      <c r="C71" s="1">
        <v>1</v>
      </c>
      <c r="D71" s="10">
        <v>400000</v>
      </c>
      <c r="E71" s="18">
        <f t="shared" si="2"/>
        <v>400000</v>
      </c>
      <c r="F71" s="1" t="s">
        <v>59</v>
      </c>
      <c r="G71" s="1" t="s">
        <v>18</v>
      </c>
      <c r="H71" s="1" t="s">
        <v>19</v>
      </c>
      <c r="I71" s="1"/>
      <c r="J71" s="12" t="s">
        <v>68</v>
      </c>
      <c r="K71" s="1"/>
      <c r="L71" s="1"/>
      <c r="M71" s="1"/>
      <c r="N71" s="1"/>
      <c r="O71" s="12" t="s">
        <v>68</v>
      </c>
      <c r="P71" s="1"/>
      <c r="Q71" s="1"/>
    </row>
    <row r="72" spans="1:17" x14ac:dyDescent="0.25">
      <c r="A72" s="1">
        <v>26</v>
      </c>
      <c r="B72" s="1" t="s">
        <v>55</v>
      </c>
      <c r="C72" s="1">
        <v>30</v>
      </c>
      <c r="D72" s="10">
        <v>45000</v>
      </c>
      <c r="E72" s="18">
        <f t="shared" si="2"/>
        <v>1350000</v>
      </c>
      <c r="F72" s="1" t="s">
        <v>59</v>
      </c>
      <c r="G72" s="1" t="s">
        <v>18</v>
      </c>
      <c r="H72" s="1" t="s">
        <v>19</v>
      </c>
      <c r="I72" s="1"/>
      <c r="J72" s="12" t="s">
        <v>68</v>
      </c>
      <c r="K72" s="1"/>
      <c r="L72" s="1"/>
      <c r="M72" s="1"/>
      <c r="N72" s="1"/>
      <c r="O72" s="12" t="s">
        <v>68</v>
      </c>
      <c r="P72" s="1"/>
      <c r="Q72" s="1"/>
    </row>
    <row r="73" spans="1:17" x14ac:dyDescent="0.25">
      <c r="A73" s="1">
        <v>27</v>
      </c>
      <c r="B73" s="1" t="s">
        <v>64</v>
      </c>
      <c r="C73" s="1">
        <v>4</v>
      </c>
      <c r="D73" s="10">
        <v>300625</v>
      </c>
      <c r="E73" s="18">
        <f t="shared" si="2"/>
        <v>1202500</v>
      </c>
      <c r="F73" s="1" t="s">
        <v>59</v>
      </c>
      <c r="G73" s="1" t="s">
        <v>18</v>
      </c>
      <c r="H73" s="1" t="s">
        <v>19</v>
      </c>
      <c r="I73" s="1"/>
      <c r="J73" s="1"/>
      <c r="K73" s="1"/>
      <c r="L73" s="1"/>
      <c r="M73" s="1"/>
      <c r="N73" s="1"/>
      <c r="O73" s="12"/>
      <c r="P73" s="1"/>
      <c r="Q73" s="1"/>
    </row>
    <row r="74" spans="1:17" x14ac:dyDescent="0.25">
      <c r="A74" s="1">
        <v>28</v>
      </c>
      <c r="B74" s="1" t="s">
        <v>37</v>
      </c>
      <c r="C74" s="1">
        <v>1</v>
      </c>
      <c r="D74" s="10">
        <v>10000</v>
      </c>
      <c r="E74" s="18">
        <f t="shared" si="2"/>
        <v>10000</v>
      </c>
      <c r="F74" s="1" t="s">
        <v>59</v>
      </c>
      <c r="G74" s="1" t="s">
        <v>18</v>
      </c>
      <c r="H74" s="1" t="s">
        <v>19</v>
      </c>
      <c r="I74" s="1"/>
      <c r="J74" s="1"/>
      <c r="K74" s="1"/>
      <c r="L74" s="1"/>
      <c r="M74" s="1"/>
      <c r="N74" s="1"/>
      <c r="O74" s="12" t="s">
        <v>68</v>
      </c>
      <c r="P74" s="1"/>
      <c r="Q74" s="1"/>
    </row>
    <row r="75" spans="1:17" x14ac:dyDescent="0.25">
      <c r="A75" s="1">
        <v>29</v>
      </c>
      <c r="B75" s="1" t="s">
        <v>37</v>
      </c>
      <c r="C75" s="1">
        <v>1</v>
      </c>
      <c r="D75" s="10">
        <v>20000</v>
      </c>
      <c r="E75" s="18">
        <f t="shared" si="2"/>
        <v>20000</v>
      </c>
      <c r="F75" s="1" t="s">
        <v>59</v>
      </c>
      <c r="G75" s="1" t="s">
        <v>18</v>
      </c>
      <c r="H75" s="1" t="s">
        <v>19</v>
      </c>
      <c r="I75" s="1"/>
      <c r="J75" s="1"/>
      <c r="K75" s="1"/>
      <c r="L75" s="1"/>
      <c r="M75" s="1"/>
      <c r="N75" s="1"/>
      <c r="O75" s="12" t="s">
        <v>68</v>
      </c>
      <c r="P75" s="1"/>
      <c r="Q75" s="1"/>
    </row>
    <row r="76" spans="1:17" x14ac:dyDescent="0.25">
      <c r="A76" s="1">
        <v>30</v>
      </c>
      <c r="B76" s="1" t="s">
        <v>51</v>
      </c>
      <c r="C76" s="1">
        <v>1</v>
      </c>
      <c r="D76" s="10">
        <v>350000</v>
      </c>
      <c r="E76" s="18">
        <f t="shared" si="2"/>
        <v>350000</v>
      </c>
      <c r="F76" s="1" t="s">
        <v>59</v>
      </c>
      <c r="G76" s="1" t="s">
        <v>18</v>
      </c>
      <c r="H76" s="1" t="s">
        <v>19</v>
      </c>
      <c r="I76" s="1"/>
      <c r="J76" s="1"/>
      <c r="K76" s="1"/>
      <c r="L76" s="1"/>
      <c r="M76" s="1"/>
      <c r="N76" s="1"/>
      <c r="O76" s="12" t="s">
        <v>68</v>
      </c>
      <c r="P76" s="1"/>
      <c r="Q76" s="1"/>
    </row>
    <row r="77" spans="1:17" x14ac:dyDescent="0.25">
      <c r="A77" s="1">
        <v>31</v>
      </c>
      <c r="B77" s="1" t="s">
        <v>51</v>
      </c>
      <c r="C77" s="1">
        <v>1</v>
      </c>
      <c r="D77" s="10">
        <v>950000</v>
      </c>
      <c r="E77" s="18">
        <f t="shared" si="2"/>
        <v>950000</v>
      </c>
      <c r="F77" s="1"/>
      <c r="G77" s="1"/>
      <c r="H77" s="1"/>
      <c r="I77" s="1"/>
      <c r="J77" s="1"/>
      <c r="K77" s="1"/>
      <c r="L77" s="1"/>
      <c r="M77" s="1"/>
      <c r="N77" s="1"/>
      <c r="O77" s="12"/>
      <c r="P77" s="1"/>
      <c r="Q77" s="1"/>
    </row>
    <row r="78" spans="1:17" x14ac:dyDescent="0.25">
      <c r="A78" s="9" t="s">
        <v>77</v>
      </c>
      <c r="B78" s="9"/>
      <c r="C78" s="1"/>
      <c r="D78" s="10"/>
      <c r="E78" s="18">
        <f t="shared" si="2"/>
        <v>0</v>
      </c>
      <c r="F78" s="1"/>
      <c r="G78" s="1"/>
      <c r="H78" s="1"/>
      <c r="I78" s="1"/>
      <c r="J78" s="1"/>
      <c r="K78" s="1"/>
      <c r="L78" s="1"/>
      <c r="M78" s="1"/>
      <c r="N78" s="1"/>
      <c r="O78" s="12"/>
      <c r="P78" s="1"/>
      <c r="Q78" s="1"/>
    </row>
    <row r="79" spans="1:17" x14ac:dyDescent="0.25">
      <c r="A79" s="1">
        <v>1</v>
      </c>
      <c r="B79" s="1" t="s">
        <v>52</v>
      </c>
      <c r="C79" s="1">
        <v>1</v>
      </c>
      <c r="D79" s="10">
        <v>10500000</v>
      </c>
      <c r="E79" s="18">
        <f t="shared" si="2"/>
        <v>10500000</v>
      </c>
      <c r="F79" s="1" t="s">
        <v>59</v>
      </c>
      <c r="G79" s="1" t="s">
        <v>18</v>
      </c>
      <c r="H79" s="1" t="s">
        <v>19</v>
      </c>
      <c r="I79" s="1"/>
      <c r="J79" s="1"/>
      <c r="K79" s="1"/>
      <c r="L79" s="12" t="s">
        <v>68</v>
      </c>
      <c r="M79" s="1"/>
      <c r="N79" s="1"/>
      <c r="O79" s="12" t="s">
        <v>68</v>
      </c>
      <c r="P79" s="1"/>
      <c r="Q79" s="1"/>
    </row>
    <row r="80" spans="1:17" x14ac:dyDescent="0.25">
      <c r="A80" s="1">
        <v>2</v>
      </c>
      <c r="B80" s="1" t="s">
        <v>53</v>
      </c>
      <c r="C80" s="1">
        <v>2</v>
      </c>
      <c r="D80" s="10">
        <v>17270000</v>
      </c>
      <c r="E80" s="18">
        <f t="shared" si="2"/>
        <v>34540000</v>
      </c>
      <c r="F80" s="1" t="s">
        <v>59</v>
      </c>
      <c r="G80" s="1" t="s">
        <v>18</v>
      </c>
      <c r="H80" s="1" t="s">
        <v>19</v>
      </c>
      <c r="I80" s="1"/>
      <c r="J80" s="1"/>
      <c r="K80" s="1"/>
      <c r="L80" s="12" t="s">
        <v>68</v>
      </c>
      <c r="M80" s="1"/>
      <c r="N80" s="1"/>
      <c r="O80" s="12" t="s">
        <v>68</v>
      </c>
      <c r="P80" s="1"/>
      <c r="Q80" s="1"/>
    </row>
    <row r="81" spans="1:17" x14ac:dyDescent="0.25">
      <c r="A81" s="1"/>
      <c r="B81" s="1"/>
      <c r="C81" s="1"/>
      <c r="D81" s="10"/>
      <c r="E81" s="18">
        <f t="shared" si="2"/>
        <v>0</v>
      </c>
      <c r="F81" s="1"/>
      <c r="G81" s="1"/>
      <c r="H81" s="1"/>
      <c r="I81" s="1"/>
      <c r="J81" s="1"/>
      <c r="K81" s="1"/>
      <c r="L81" s="12"/>
      <c r="M81" s="1"/>
      <c r="N81" s="1"/>
      <c r="O81" s="12"/>
      <c r="P81" s="1"/>
      <c r="Q81" s="1"/>
    </row>
    <row r="82" spans="1:17" x14ac:dyDescent="0.25">
      <c r="A82" s="1" t="s">
        <v>78</v>
      </c>
      <c r="B82" s="1"/>
      <c r="C82" s="1"/>
      <c r="D82" s="10"/>
      <c r="E82" s="18">
        <f t="shared" si="2"/>
        <v>0</v>
      </c>
      <c r="F82" s="1"/>
      <c r="G82" s="1"/>
      <c r="H82" s="1"/>
      <c r="I82" s="1"/>
      <c r="J82" s="1"/>
      <c r="K82" s="1"/>
      <c r="L82" s="12"/>
      <c r="M82" s="1"/>
      <c r="N82" s="1"/>
      <c r="O82" s="12"/>
      <c r="P82" s="1"/>
      <c r="Q82" s="1"/>
    </row>
    <row r="83" spans="1:17" x14ac:dyDescent="0.25">
      <c r="A83" s="1">
        <v>1</v>
      </c>
      <c r="B83" s="1" t="s">
        <v>38</v>
      </c>
      <c r="C83" s="1">
        <v>1</v>
      </c>
      <c r="D83" s="10">
        <v>1300000</v>
      </c>
      <c r="E83" s="18">
        <f t="shared" si="2"/>
        <v>1300000</v>
      </c>
      <c r="F83" s="1" t="s">
        <v>59</v>
      </c>
      <c r="G83" s="1" t="s">
        <v>18</v>
      </c>
      <c r="H83" s="1" t="s">
        <v>19</v>
      </c>
      <c r="I83" s="1"/>
      <c r="J83" s="1"/>
      <c r="K83" s="1"/>
      <c r="L83" s="1"/>
      <c r="M83" s="1"/>
      <c r="N83" s="1"/>
      <c r="O83" s="12" t="s">
        <v>68</v>
      </c>
      <c r="P83" s="1"/>
      <c r="Q83" s="1"/>
    </row>
    <row r="84" spans="1:17" x14ac:dyDescent="0.25">
      <c r="A84" s="1">
        <v>2</v>
      </c>
      <c r="B84" s="1" t="s">
        <v>50</v>
      </c>
      <c r="C84" s="1">
        <v>1</v>
      </c>
      <c r="D84" s="10">
        <v>2000000</v>
      </c>
      <c r="E84" s="18">
        <f t="shared" si="2"/>
        <v>2000000</v>
      </c>
      <c r="F84" s="1" t="s">
        <v>59</v>
      </c>
      <c r="G84" s="1" t="s">
        <v>18</v>
      </c>
      <c r="H84" s="1" t="s">
        <v>19</v>
      </c>
      <c r="I84" s="1"/>
      <c r="J84" s="1"/>
      <c r="K84" s="1"/>
      <c r="L84" s="1"/>
      <c r="M84" s="1"/>
      <c r="N84" s="1"/>
      <c r="O84" s="12" t="s">
        <v>68</v>
      </c>
      <c r="P84" s="1"/>
      <c r="Q84" s="1"/>
    </row>
    <row r="85" spans="1:17" x14ac:dyDescent="0.25">
      <c r="A85" s="1">
        <v>3</v>
      </c>
      <c r="B85" s="1" t="s">
        <v>65</v>
      </c>
      <c r="C85" s="1">
        <v>1</v>
      </c>
      <c r="D85" s="10">
        <v>2450000</v>
      </c>
      <c r="E85" s="18">
        <f t="shared" si="2"/>
        <v>2450000</v>
      </c>
      <c r="F85" s="1" t="s">
        <v>59</v>
      </c>
      <c r="G85" s="1" t="s">
        <v>18</v>
      </c>
      <c r="H85" s="1" t="s">
        <v>19</v>
      </c>
      <c r="I85" s="1"/>
      <c r="J85" s="1"/>
      <c r="K85" s="1"/>
      <c r="L85" s="1"/>
      <c r="M85" s="1"/>
      <c r="N85" s="1"/>
      <c r="O85" s="12" t="s">
        <v>68</v>
      </c>
      <c r="P85" s="1"/>
      <c r="Q85" s="1"/>
    </row>
    <row r="86" spans="1:17" x14ac:dyDescent="0.25">
      <c r="A86" s="1"/>
      <c r="B86" s="1"/>
      <c r="C86" s="1"/>
      <c r="D86" s="10"/>
      <c r="E86" s="18">
        <f t="shared" si="2"/>
        <v>0</v>
      </c>
      <c r="F86" s="1"/>
      <c r="G86" s="1"/>
      <c r="H86" s="1"/>
      <c r="I86" s="1"/>
      <c r="J86" s="1"/>
      <c r="K86" s="1"/>
      <c r="L86" s="1"/>
      <c r="M86" s="1"/>
      <c r="N86" s="1"/>
      <c r="O86" s="12"/>
      <c r="P86" s="1"/>
      <c r="Q86" s="1"/>
    </row>
    <row r="87" spans="1:17" x14ac:dyDescent="0.25">
      <c r="A87" s="1" t="s">
        <v>79</v>
      </c>
      <c r="B87" s="1"/>
      <c r="C87" s="1"/>
      <c r="D87" s="10"/>
      <c r="E87" s="18">
        <f t="shared" si="2"/>
        <v>0</v>
      </c>
      <c r="F87" s="1"/>
      <c r="G87" s="1"/>
      <c r="H87" s="1"/>
      <c r="I87" s="1"/>
      <c r="J87" s="1"/>
      <c r="K87" s="1"/>
      <c r="L87" s="1"/>
      <c r="M87" s="1"/>
      <c r="N87" s="1"/>
      <c r="O87" s="12"/>
      <c r="P87" s="1"/>
      <c r="Q87" s="1"/>
    </row>
    <row r="88" spans="1:17" x14ac:dyDescent="0.25">
      <c r="A88" s="1">
        <v>1</v>
      </c>
      <c r="B88" s="1" t="s">
        <v>66</v>
      </c>
      <c r="C88" s="1">
        <v>2</v>
      </c>
      <c r="D88" s="10">
        <v>320000</v>
      </c>
      <c r="E88" s="18">
        <f t="shared" si="2"/>
        <v>640000</v>
      </c>
      <c r="F88" s="1" t="s">
        <v>59</v>
      </c>
      <c r="G88" s="1" t="s">
        <v>18</v>
      </c>
      <c r="H88" s="1" t="s">
        <v>19</v>
      </c>
      <c r="I88" s="1"/>
      <c r="J88" s="1"/>
      <c r="K88" s="1"/>
      <c r="L88" s="12" t="s">
        <v>68</v>
      </c>
      <c r="M88" s="1"/>
      <c r="N88" s="1"/>
      <c r="O88" s="12" t="s">
        <v>68</v>
      </c>
      <c r="P88" s="1"/>
      <c r="Q88" s="1"/>
    </row>
    <row r="89" spans="1:17" x14ac:dyDescent="0.25">
      <c r="A89" s="1">
        <v>2</v>
      </c>
      <c r="B89" s="1" t="s">
        <v>67</v>
      </c>
      <c r="C89" s="1">
        <v>1</v>
      </c>
      <c r="D89" s="10">
        <v>1200000</v>
      </c>
      <c r="E89" s="18">
        <f t="shared" si="2"/>
        <v>1200000</v>
      </c>
      <c r="F89" s="1" t="s">
        <v>59</v>
      </c>
      <c r="G89" s="1" t="s">
        <v>18</v>
      </c>
      <c r="H89" s="1" t="s">
        <v>19</v>
      </c>
      <c r="I89" s="1"/>
      <c r="J89" s="1"/>
      <c r="K89" s="1"/>
      <c r="L89" s="1"/>
      <c r="M89" s="1"/>
      <c r="N89" s="1"/>
      <c r="O89" s="12" t="s">
        <v>68</v>
      </c>
      <c r="P89" s="1"/>
      <c r="Q89" s="1"/>
    </row>
    <row r="90" spans="1:17" x14ac:dyDescent="0.25">
      <c r="A90" s="1"/>
      <c r="B90" s="1"/>
      <c r="C90" s="1"/>
      <c r="D90" s="10"/>
      <c r="E90" s="18">
        <f t="shared" si="2"/>
        <v>0</v>
      </c>
      <c r="F90" s="1"/>
      <c r="G90" s="1"/>
      <c r="H90" s="1"/>
      <c r="I90" s="1"/>
      <c r="J90" s="1"/>
      <c r="K90" s="1"/>
      <c r="L90" s="1"/>
      <c r="M90" s="1"/>
      <c r="N90" s="1"/>
      <c r="O90" s="12"/>
      <c r="P90" s="1"/>
      <c r="Q90" s="1"/>
    </row>
    <row r="91" spans="1:17" x14ac:dyDescent="0.25">
      <c r="A91" s="9" t="s">
        <v>80</v>
      </c>
      <c r="B91" s="1"/>
      <c r="C91" s="1"/>
      <c r="D91" s="10"/>
      <c r="E91" s="18">
        <f t="shared" si="2"/>
        <v>0</v>
      </c>
      <c r="F91" s="1"/>
      <c r="G91" s="1"/>
      <c r="H91" s="1"/>
      <c r="I91" s="1"/>
      <c r="J91" s="1"/>
      <c r="K91" s="1"/>
      <c r="L91" s="1"/>
      <c r="M91" s="1"/>
      <c r="N91" s="1"/>
      <c r="O91" s="12"/>
      <c r="P91" s="1"/>
      <c r="Q91" s="1"/>
    </row>
    <row r="92" spans="1:17" x14ac:dyDescent="0.25">
      <c r="A92" s="9">
        <v>1</v>
      </c>
      <c r="B92" s="1" t="s">
        <v>70</v>
      </c>
      <c r="C92" s="1">
        <v>1</v>
      </c>
      <c r="D92" s="10">
        <v>3000000</v>
      </c>
      <c r="E92" s="18">
        <f t="shared" si="2"/>
        <v>3000000</v>
      </c>
      <c r="F92" s="1" t="s">
        <v>59</v>
      </c>
      <c r="G92" s="1" t="s">
        <v>61</v>
      </c>
      <c r="H92" s="1" t="s">
        <v>19</v>
      </c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25">
      <c r="A93" s="9"/>
      <c r="B93" s="1"/>
      <c r="C93" s="1"/>
      <c r="D93" s="10"/>
      <c r="E93" s="18">
        <f t="shared" si="2"/>
        <v>0</v>
      </c>
      <c r="F93" s="1"/>
      <c r="G93" s="1"/>
      <c r="H93" s="1"/>
      <c r="I93" s="1"/>
      <c r="J93" s="1"/>
      <c r="K93" s="1"/>
      <c r="L93" s="1"/>
      <c r="M93" s="1"/>
      <c r="N93" s="1"/>
      <c r="O93" s="12"/>
      <c r="P93" s="1"/>
      <c r="Q93" s="1"/>
    </row>
    <row r="94" spans="1:17" x14ac:dyDescent="0.25">
      <c r="A94" s="9" t="s">
        <v>81</v>
      </c>
      <c r="B94" s="1"/>
      <c r="C94" s="1"/>
      <c r="D94" s="10"/>
      <c r="E94" s="18">
        <f t="shared" si="2"/>
        <v>0</v>
      </c>
      <c r="F94" s="1"/>
      <c r="G94" s="1"/>
      <c r="H94" s="1"/>
      <c r="I94" s="1"/>
      <c r="J94" s="1"/>
      <c r="K94" s="1"/>
      <c r="L94" s="1"/>
      <c r="M94" s="1"/>
      <c r="N94" s="1"/>
      <c r="O94" s="12"/>
      <c r="P94" s="1"/>
      <c r="Q94" s="1"/>
    </row>
    <row r="95" spans="1:17" x14ac:dyDescent="0.25">
      <c r="A95" s="9">
        <v>1</v>
      </c>
      <c r="B95" s="1" t="s">
        <v>60</v>
      </c>
      <c r="C95" s="1">
        <v>1</v>
      </c>
      <c r="D95" s="10">
        <v>25000000</v>
      </c>
      <c r="E95" s="18">
        <f t="shared" si="2"/>
        <v>25000000</v>
      </c>
      <c r="F95" s="1" t="s">
        <v>59</v>
      </c>
      <c r="G95" s="1" t="s">
        <v>61</v>
      </c>
      <c r="H95" s="1" t="s">
        <v>19</v>
      </c>
      <c r="I95" s="1"/>
      <c r="J95" s="1"/>
      <c r="K95" s="1"/>
      <c r="L95" s="1"/>
      <c r="M95" s="1"/>
      <c r="N95" s="1"/>
      <c r="O95" s="12" t="s">
        <v>68</v>
      </c>
      <c r="P95" s="1"/>
      <c r="Q95" s="1"/>
    </row>
    <row r="96" spans="1:17" x14ac:dyDescent="0.25">
      <c r="A96" s="9"/>
      <c r="B96" s="1"/>
      <c r="C96" s="1"/>
      <c r="D96" s="10"/>
      <c r="E96" s="18">
        <f t="shared" si="2"/>
        <v>0</v>
      </c>
      <c r="F96" s="1"/>
      <c r="G96" s="1"/>
      <c r="H96" s="1"/>
      <c r="I96" s="1"/>
      <c r="J96" s="1"/>
      <c r="K96" s="1"/>
      <c r="L96" s="1"/>
      <c r="M96" s="1"/>
      <c r="N96" s="1"/>
      <c r="O96" s="12"/>
      <c r="P96" s="1"/>
      <c r="Q96" s="1"/>
    </row>
    <row r="97" spans="1:17" x14ac:dyDescent="0.25">
      <c r="A97" s="9"/>
      <c r="B97" s="1"/>
      <c r="C97" s="1"/>
      <c r="D97" s="10"/>
      <c r="E97" s="18">
        <f t="shared" si="2"/>
        <v>0</v>
      </c>
      <c r="F97" s="1"/>
      <c r="G97" s="1"/>
      <c r="H97" s="1"/>
      <c r="I97" s="1"/>
      <c r="J97" s="1"/>
      <c r="K97" s="1"/>
      <c r="L97" s="1"/>
      <c r="M97" s="1"/>
      <c r="N97" s="1"/>
      <c r="O97" s="12"/>
      <c r="P97" s="1"/>
      <c r="Q97" s="1"/>
    </row>
    <row r="98" spans="1:17" x14ac:dyDescent="0.25">
      <c r="A98" s="9" t="s">
        <v>82</v>
      </c>
      <c r="B98" s="1"/>
      <c r="C98" s="1"/>
      <c r="D98" s="10"/>
      <c r="E98" s="18">
        <f t="shared" si="2"/>
        <v>0</v>
      </c>
      <c r="F98" s="1"/>
      <c r="G98" s="1"/>
      <c r="H98" s="1"/>
      <c r="I98" s="1"/>
      <c r="J98" s="1"/>
      <c r="K98" s="1"/>
      <c r="L98" s="1"/>
      <c r="M98" s="1"/>
      <c r="N98" s="1"/>
      <c r="O98" s="12"/>
      <c r="P98" s="1"/>
      <c r="Q98" s="1"/>
    </row>
    <row r="99" spans="1:17" x14ac:dyDescent="0.25">
      <c r="A99" s="1">
        <v>1</v>
      </c>
      <c r="B99" s="1" t="s">
        <v>62</v>
      </c>
      <c r="C99" s="1">
        <v>1</v>
      </c>
      <c r="D99" s="10">
        <v>10000000</v>
      </c>
      <c r="E99" s="18">
        <f t="shared" si="2"/>
        <v>10000000</v>
      </c>
      <c r="F99" s="1" t="s">
        <v>59</v>
      </c>
      <c r="G99" s="1" t="s">
        <v>61</v>
      </c>
      <c r="H99" s="1" t="s">
        <v>19</v>
      </c>
      <c r="I99" s="1"/>
      <c r="J99" s="1"/>
      <c r="K99" s="1"/>
      <c r="L99" s="1"/>
      <c r="M99" s="1"/>
      <c r="N99" s="1"/>
      <c r="O99" s="12" t="s">
        <v>68</v>
      </c>
      <c r="P99" s="1"/>
      <c r="Q99" s="1"/>
    </row>
    <row r="100" spans="1:17" x14ac:dyDescent="0.25">
      <c r="A100" s="1"/>
      <c r="B100" s="1"/>
      <c r="C100" s="1"/>
      <c r="D100" s="10"/>
      <c r="E100" s="10"/>
      <c r="F100" s="1"/>
      <c r="G100" s="1"/>
      <c r="H100" s="1"/>
      <c r="I100" s="1"/>
      <c r="J100" s="1"/>
      <c r="K100" s="1"/>
      <c r="L100" s="1"/>
      <c r="M100" s="1"/>
      <c r="N100" s="1"/>
      <c r="O100" s="12"/>
      <c r="P100" s="1"/>
      <c r="Q100" s="1"/>
    </row>
    <row r="101" spans="1:17" x14ac:dyDescent="0.25">
      <c r="A101" s="1"/>
      <c r="B101" s="1"/>
      <c r="C101" s="1"/>
      <c r="D101" s="10"/>
      <c r="E101" s="10"/>
      <c r="F101" s="1"/>
      <c r="G101" s="1"/>
      <c r="H101" s="1"/>
      <c r="I101" s="1"/>
      <c r="J101" s="1"/>
      <c r="K101" s="1"/>
      <c r="L101" s="1"/>
      <c r="M101" s="1"/>
      <c r="N101" s="1"/>
      <c r="O101" s="12"/>
      <c r="P101" s="1"/>
      <c r="Q101" s="1"/>
    </row>
    <row r="102" spans="1:17" ht="21" x14ac:dyDescent="0.35">
      <c r="A102" s="1" t="s">
        <v>83</v>
      </c>
      <c r="B102" s="1"/>
      <c r="C102" s="1"/>
      <c r="D102" s="19" t="s">
        <v>110</v>
      </c>
      <c r="E102" s="19">
        <f>SUM(E4:E101)</f>
        <v>153750000</v>
      </c>
      <c r="F102" s="1"/>
      <c r="G102" s="1"/>
      <c r="H102" s="1"/>
      <c r="I102" s="1"/>
      <c r="J102" s="1"/>
      <c r="K102" s="1"/>
      <c r="L102" s="1"/>
      <c r="M102" s="1"/>
      <c r="N102" s="1"/>
      <c r="O102" s="12"/>
      <c r="P102" s="1"/>
      <c r="Q102" s="1"/>
    </row>
    <row r="103" spans="1:17" x14ac:dyDescent="0.25">
      <c r="A103" s="1">
        <v>1</v>
      </c>
      <c r="B103" s="1"/>
      <c r="C103" s="1"/>
      <c r="D103" s="10"/>
      <c r="E103" s="10"/>
      <c r="F103" s="1"/>
      <c r="G103" s="1"/>
      <c r="H103" s="1"/>
      <c r="I103" s="1"/>
      <c r="J103" s="1"/>
      <c r="K103" s="1"/>
      <c r="L103" s="1"/>
      <c r="M103" s="1"/>
      <c r="N103" s="1"/>
      <c r="O103" s="12"/>
      <c r="P103" s="1"/>
      <c r="Q103" s="1"/>
    </row>
    <row r="104" spans="1:17" x14ac:dyDescent="0.25">
      <c r="A104" s="9" t="s">
        <v>84</v>
      </c>
      <c r="B104" s="1"/>
      <c r="C104" s="1"/>
      <c r="D104" s="10"/>
      <c r="E104" s="10"/>
      <c r="F104" s="1"/>
      <c r="G104" s="1"/>
      <c r="H104" s="1"/>
      <c r="I104" s="1"/>
      <c r="J104" s="1"/>
      <c r="K104" s="1"/>
      <c r="L104" s="1"/>
      <c r="M104" s="1"/>
      <c r="N104" s="1"/>
      <c r="O104" s="12"/>
      <c r="P104" s="1"/>
      <c r="Q104" s="1"/>
    </row>
    <row r="105" spans="1:17" x14ac:dyDescent="0.25">
      <c r="A105" s="1">
        <v>1</v>
      </c>
      <c r="B105" s="1"/>
      <c r="C105" s="1"/>
      <c r="D105" s="10"/>
      <c r="E105" s="10"/>
      <c r="F105" s="1"/>
      <c r="G105" s="1"/>
      <c r="H105" s="1" t="s">
        <v>0</v>
      </c>
      <c r="I105" s="1"/>
      <c r="J105" s="1"/>
      <c r="K105" s="1"/>
      <c r="L105" s="1"/>
      <c r="M105" s="1"/>
      <c r="N105" s="1"/>
      <c r="O105" s="1"/>
      <c r="P105" s="1"/>
      <c r="Q105" s="1"/>
    </row>
    <row r="106" spans="1:17" x14ac:dyDescent="0.25">
      <c r="A106" s="9" t="s">
        <v>85</v>
      </c>
      <c r="B106" s="9"/>
      <c r="C106" s="1"/>
      <c r="D106" s="10"/>
      <c r="E106" s="10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x14ac:dyDescent="0.25">
      <c r="A107" s="1">
        <v>1</v>
      </c>
      <c r="B107" s="1"/>
      <c r="C107" s="1"/>
      <c r="D107" s="10"/>
      <c r="E107" s="10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x14ac:dyDescent="0.25">
      <c r="A108" s="1">
        <v>2</v>
      </c>
      <c r="B108" s="1"/>
      <c r="C108" s="1"/>
      <c r="D108" s="10"/>
      <c r="E108" s="10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x14ac:dyDescent="0.25">
      <c r="A109" s="1"/>
      <c r="B109" s="1"/>
      <c r="C109" s="1"/>
      <c r="D109" s="10"/>
      <c r="E109" s="10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x14ac:dyDescent="0.25">
      <c r="A110" s="1"/>
      <c r="B110" s="1"/>
      <c r="C110" s="1"/>
      <c r="D110" s="10"/>
      <c r="E110" s="10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x14ac:dyDescent="0.25">
      <c r="A111" s="1" t="s">
        <v>86</v>
      </c>
      <c r="B111" s="1"/>
      <c r="C111" s="1"/>
      <c r="D111" s="10"/>
      <c r="E111" s="10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x14ac:dyDescent="0.25">
      <c r="A112" s="1">
        <v>1</v>
      </c>
      <c r="B112" s="1"/>
      <c r="C112" s="1"/>
      <c r="D112" s="10"/>
      <c r="E112" s="10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x14ac:dyDescent="0.25">
      <c r="A113" s="1">
        <v>2</v>
      </c>
      <c r="B113" s="1"/>
      <c r="C113" s="1"/>
      <c r="D113" s="10"/>
      <c r="E113" s="10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x14ac:dyDescent="0.25">
      <c r="A114" s="1">
        <v>3</v>
      </c>
      <c r="B114" s="1"/>
      <c r="C114" s="1"/>
      <c r="D114" s="10"/>
      <c r="E114" s="10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x14ac:dyDescent="0.25">
      <c r="A115" s="1" t="s">
        <v>87</v>
      </c>
      <c r="B115" s="1"/>
      <c r="C115" s="1"/>
      <c r="D115" s="10"/>
      <c r="E115" s="10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x14ac:dyDescent="0.25">
      <c r="A116" s="1">
        <v>1</v>
      </c>
      <c r="B116" s="1"/>
      <c r="C116" s="1"/>
      <c r="D116" s="10"/>
      <c r="E116" s="10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x14ac:dyDescent="0.25">
      <c r="A117" s="1">
        <v>2</v>
      </c>
      <c r="B117" s="1"/>
      <c r="C117" s="1"/>
      <c r="D117" s="10"/>
      <c r="E117" s="10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x14ac:dyDescent="0.25">
      <c r="A118" s="1"/>
      <c r="B118" s="1"/>
      <c r="C118" s="1"/>
      <c r="D118" s="10"/>
      <c r="E118" s="10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x14ac:dyDescent="0.25">
      <c r="A119" s="1"/>
      <c r="B119" s="1"/>
      <c r="C119" s="1"/>
      <c r="D119" s="10"/>
      <c r="E119" s="10"/>
      <c r="F119" s="1"/>
      <c r="G119" s="1"/>
      <c r="H119" s="1"/>
      <c r="I119" s="1"/>
      <c r="J119" s="1"/>
      <c r="K119" s="1"/>
      <c r="L119" s="1"/>
      <c r="M119" s="1"/>
      <c r="N119" s="1"/>
      <c r="O119" s="12"/>
      <c r="P119" s="1"/>
      <c r="Q119" s="1"/>
    </row>
    <row r="120" spans="1:17" x14ac:dyDescent="0.25">
      <c r="A120" s="1"/>
      <c r="B120" s="1"/>
      <c r="C120" s="1"/>
      <c r="D120" s="10"/>
      <c r="E120" s="1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x14ac:dyDescent="0.25">
      <c r="A121" s="1" t="s">
        <v>88</v>
      </c>
      <c r="B121" s="1"/>
      <c r="C121" s="1"/>
      <c r="D121" s="10"/>
      <c r="E121" s="1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x14ac:dyDescent="0.25">
      <c r="A122" s="1">
        <v>1</v>
      </c>
      <c r="B122" s="1"/>
      <c r="C122" s="1"/>
      <c r="D122" s="10"/>
      <c r="E122" s="1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x14ac:dyDescent="0.25">
      <c r="A123" s="1">
        <v>2</v>
      </c>
      <c r="B123" s="1"/>
      <c r="C123" s="1"/>
      <c r="D123" s="10"/>
      <c r="E123" s="1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x14ac:dyDescent="0.25">
      <c r="A124" s="1">
        <v>3</v>
      </c>
      <c r="B124" s="1"/>
      <c r="C124" s="1"/>
      <c r="D124" s="10"/>
      <c r="E124" s="1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x14ac:dyDescent="0.25">
      <c r="A125" s="1">
        <v>4</v>
      </c>
      <c r="B125" s="1"/>
      <c r="C125" s="1"/>
      <c r="D125" s="10"/>
      <c r="E125" s="1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x14ac:dyDescent="0.25">
      <c r="A126" s="1" t="s">
        <v>89</v>
      </c>
      <c r="B126" s="1"/>
      <c r="C126" s="1"/>
      <c r="D126" s="10"/>
      <c r="E126" s="1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x14ac:dyDescent="0.25">
      <c r="A127" s="1">
        <v>1</v>
      </c>
      <c r="B127" s="1"/>
      <c r="C127" s="1"/>
      <c r="D127" s="10"/>
      <c r="E127" s="1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x14ac:dyDescent="0.25">
      <c r="A128" s="1">
        <v>2</v>
      </c>
      <c r="B128" s="1"/>
      <c r="C128" s="1"/>
      <c r="D128" s="10"/>
      <c r="E128" s="1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x14ac:dyDescent="0.25">
      <c r="A129" s="1">
        <v>3</v>
      </c>
      <c r="B129" s="1"/>
      <c r="C129" s="1"/>
      <c r="D129" s="10"/>
      <c r="E129" s="10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x14ac:dyDescent="0.25">
      <c r="A130" s="1">
        <v>3</v>
      </c>
      <c r="B130" s="1"/>
      <c r="C130" s="1"/>
      <c r="D130" s="10"/>
      <c r="E130" s="10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x14ac:dyDescent="0.25">
      <c r="A131" s="1" t="s">
        <v>90</v>
      </c>
      <c r="B131" s="1"/>
      <c r="C131" s="1"/>
      <c r="D131" s="10"/>
      <c r="E131" s="10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x14ac:dyDescent="0.25">
      <c r="A132" s="1">
        <v>1</v>
      </c>
      <c r="B132" s="1"/>
      <c r="C132" s="1"/>
      <c r="D132" s="10"/>
      <c r="E132" s="10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x14ac:dyDescent="0.25">
      <c r="A133" s="1">
        <v>2</v>
      </c>
      <c r="B133" s="1"/>
      <c r="C133" s="1"/>
      <c r="D133" s="10"/>
      <c r="E133" s="10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x14ac:dyDescent="0.25">
      <c r="A134" s="1">
        <v>3</v>
      </c>
      <c r="B134" s="1"/>
      <c r="C134" s="1"/>
      <c r="D134" s="10"/>
      <c r="E134" s="10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x14ac:dyDescent="0.25">
      <c r="A135" s="1">
        <v>4</v>
      </c>
      <c r="B135" s="1"/>
      <c r="C135" s="1"/>
      <c r="D135" s="10"/>
      <c r="E135" s="10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x14ac:dyDescent="0.25">
      <c r="A136" s="1" t="s">
        <v>91</v>
      </c>
      <c r="B136" s="1"/>
      <c r="C136" s="1"/>
      <c r="D136" s="10"/>
      <c r="E136" s="10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x14ac:dyDescent="0.25">
      <c r="A137" s="1">
        <v>1</v>
      </c>
      <c r="B137" s="1"/>
      <c r="C137" s="1"/>
      <c r="D137" s="10"/>
      <c r="E137" s="10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x14ac:dyDescent="0.25">
      <c r="A138" s="1">
        <v>2</v>
      </c>
      <c r="B138" s="1"/>
      <c r="C138" s="1"/>
      <c r="D138" s="10"/>
      <c r="E138" s="10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x14ac:dyDescent="0.25">
      <c r="A139" s="1" t="s">
        <v>92</v>
      </c>
      <c r="B139" s="1"/>
      <c r="C139" s="1"/>
      <c r="D139" s="10"/>
      <c r="E139" s="10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x14ac:dyDescent="0.25">
      <c r="A140" s="1">
        <v>1</v>
      </c>
      <c r="B140" s="1"/>
      <c r="C140" s="1"/>
      <c r="D140" s="10"/>
      <c r="E140" s="10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x14ac:dyDescent="0.25">
      <c r="A141" s="1">
        <v>2</v>
      </c>
      <c r="B141" s="1"/>
      <c r="C141" s="1"/>
      <c r="D141" s="10"/>
      <c r="E141" s="10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x14ac:dyDescent="0.25">
      <c r="A142" s="1" t="s">
        <v>93</v>
      </c>
      <c r="B142" s="1"/>
      <c r="C142" s="1"/>
      <c r="D142" s="10"/>
      <c r="E142" s="10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x14ac:dyDescent="0.25">
      <c r="A143" s="1">
        <v>1</v>
      </c>
      <c r="B143" s="1"/>
      <c r="C143" s="1"/>
      <c r="D143" s="10"/>
      <c r="E143" s="10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x14ac:dyDescent="0.25">
      <c r="A144" s="1">
        <v>2</v>
      </c>
      <c r="B144" s="1"/>
      <c r="C144" s="1"/>
      <c r="D144" s="10"/>
      <c r="E144" s="10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x14ac:dyDescent="0.25">
      <c r="A145" s="1">
        <v>3</v>
      </c>
      <c r="B145" s="1"/>
      <c r="C145" s="1"/>
      <c r="D145" s="10"/>
      <c r="E145" s="10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x14ac:dyDescent="0.25">
      <c r="A146" s="1" t="s">
        <v>94</v>
      </c>
      <c r="B146" s="1"/>
      <c r="C146" s="1"/>
      <c r="D146" s="10"/>
      <c r="E146" s="10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x14ac:dyDescent="0.25">
      <c r="A147" s="1">
        <v>1</v>
      </c>
      <c r="B147" s="1"/>
      <c r="C147" s="1"/>
      <c r="D147" s="10"/>
      <c r="E147" s="10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x14ac:dyDescent="0.25">
      <c r="A148" s="1">
        <v>2</v>
      </c>
      <c r="B148" s="1"/>
      <c r="C148" s="1"/>
      <c r="D148" s="10"/>
      <c r="E148" s="10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x14ac:dyDescent="0.25">
      <c r="A149" s="1">
        <v>3</v>
      </c>
      <c r="B149" s="1"/>
      <c r="C149" s="1"/>
      <c r="D149" s="10"/>
      <c r="E149" s="10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x14ac:dyDescent="0.25">
      <c r="A150" s="1" t="s">
        <v>95</v>
      </c>
      <c r="B150" s="1"/>
      <c r="C150" s="1"/>
      <c r="D150" s="10"/>
      <c r="E150" s="10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x14ac:dyDescent="0.25">
      <c r="A151" s="1">
        <v>1</v>
      </c>
      <c r="B151" s="1"/>
      <c r="C151" s="1"/>
      <c r="D151" s="10"/>
      <c r="E151" s="10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x14ac:dyDescent="0.25">
      <c r="A152" s="1">
        <v>2</v>
      </c>
      <c r="B152" s="1"/>
      <c r="C152" s="1"/>
      <c r="D152" s="10"/>
      <c r="E152" s="10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x14ac:dyDescent="0.25">
      <c r="A153" s="1" t="s">
        <v>96</v>
      </c>
      <c r="B153" s="1"/>
      <c r="C153" s="1"/>
      <c r="D153" s="10"/>
      <c r="E153" s="10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x14ac:dyDescent="0.25">
      <c r="A154" s="1">
        <v>1</v>
      </c>
      <c r="B154" s="1"/>
      <c r="C154" s="1"/>
      <c r="D154" s="10"/>
      <c r="E154" s="10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x14ac:dyDescent="0.25">
      <c r="A155" s="1">
        <v>2</v>
      </c>
      <c r="B155" s="1"/>
      <c r="C155" s="1"/>
      <c r="D155" s="10"/>
      <c r="E155" s="10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x14ac:dyDescent="0.25">
      <c r="A156" s="1" t="s">
        <v>97</v>
      </c>
      <c r="B156" s="1"/>
      <c r="C156" s="1"/>
      <c r="D156" s="10"/>
      <c r="E156" s="10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x14ac:dyDescent="0.25">
      <c r="A157" s="1">
        <v>1</v>
      </c>
      <c r="B157" s="1"/>
      <c r="C157" s="1"/>
      <c r="D157" s="10"/>
      <c r="E157" s="10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x14ac:dyDescent="0.25">
      <c r="A158" s="1"/>
      <c r="B158" s="1"/>
      <c r="C158" s="1"/>
      <c r="D158" s="10"/>
      <c r="E158" s="10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x14ac:dyDescent="0.25">
      <c r="A159" s="1"/>
      <c r="B159" s="1"/>
      <c r="C159" s="1"/>
      <c r="D159" s="10"/>
      <c r="E159" s="10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x14ac:dyDescent="0.25">
      <c r="A160" s="1" t="s">
        <v>98</v>
      </c>
      <c r="B160" s="1"/>
      <c r="C160" s="1"/>
      <c r="D160" s="10"/>
      <c r="E160" s="1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x14ac:dyDescent="0.25">
      <c r="A161" s="1">
        <v>1</v>
      </c>
      <c r="B161" s="1"/>
      <c r="C161" s="1"/>
      <c r="D161" s="10"/>
      <c r="E161" s="10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x14ac:dyDescent="0.25">
      <c r="A162" s="1">
        <v>2</v>
      </c>
      <c r="B162" s="1"/>
      <c r="C162" s="1"/>
      <c r="D162" s="10"/>
      <c r="E162" s="10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x14ac:dyDescent="0.25">
      <c r="A163" s="1">
        <v>3</v>
      </c>
      <c r="B163" s="1"/>
      <c r="C163" s="1"/>
      <c r="D163" s="10"/>
      <c r="E163" s="10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x14ac:dyDescent="0.25">
      <c r="A164" s="1">
        <v>4</v>
      </c>
      <c r="B164" s="1"/>
      <c r="C164" s="1"/>
      <c r="D164" s="10"/>
      <c r="E164" s="10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x14ac:dyDescent="0.25">
      <c r="A165" s="1" t="s">
        <v>99</v>
      </c>
      <c r="B165" s="1"/>
      <c r="C165" s="1"/>
      <c r="D165" s="10"/>
      <c r="E165" s="10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x14ac:dyDescent="0.25">
      <c r="A166" s="1">
        <v>1</v>
      </c>
      <c r="B166" s="1"/>
      <c r="C166" s="1"/>
      <c r="D166" s="10"/>
      <c r="E166" s="10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x14ac:dyDescent="0.25">
      <c r="A167" s="1">
        <v>2</v>
      </c>
      <c r="B167" s="1"/>
      <c r="C167" s="1"/>
      <c r="D167" s="10"/>
      <c r="E167" s="10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x14ac:dyDescent="0.25">
      <c r="A168" s="1" t="s">
        <v>100</v>
      </c>
      <c r="B168" s="1"/>
      <c r="C168" s="1"/>
      <c r="D168" s="10"/>
      <c r="E168" s="10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x14ac:dyDescent="0.25">
      <c r="A169" s="1">
        <v>1</v>
      </c>
      <c r="B169" s="1"/>
      <c r="C169" s="1"/>
      <c r="D169" s="10"/>
      <c r="E169" s="10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x14ac:dyDescent="0.25">
      <c r="A170" s="1">
        <v>2</v>
      </c>
      <c r="B170" s="1"/>
      <c r="C170" s="1"/>
      <c r="D170" s="10"/>
      <c r="E170" s="10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x14ac:dyDescent="0.25">
      <c r="A171" s="1">
        <v>3</v>
      </c>
      <c r="B171" s="1"/>
      <c r="C171" s="1"/>
      <c r="D171" s="10"/>
      <c r="E171" s="1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x14ac:dyDescent="0.25">
      <c r="A172" s="1" t="s">
        <v>101</v>
      </c>
      <c r="B172" s="1"/>
      <c r="C172" s="1"/>
      <c r="D172" s="10"/>
      <c r="E172" s="10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x14ac:dyDescent="0.25">
      <c r="A173" s="1">
        <v>1</v>
      </c>
      <c r="B173" s="1"/>
      <c r="C173" s="1"/>
      <c r="D173" s="10"/>
      <c r="E173" s="10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x14ac:dyDescent="0.25">
      <c r="A174" s="1">
        <v>2</v>
      </c>
      <c r="B174" s="1"/>
      <c r="C174" s="1"/>
      <c r="D174" s="10"/>
      <c r="E174" s="10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x14ac:dyDescent="0.25">
      <c r="A175" s="1">
        <v>3</v>
      </c>
      <c r="B175" s="1"/>
      <c r="C175" s="1"/>
      <c r="D175" s="10"/>
      <c r="E175" s="10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x14ac:dyDescent="0.25">
      <c r="A176" s="1" t="s">
        <v>102</v>
      </c>
      <c r="B176" s="1"/>
      <c r="C176" s="1"/>
      <c r="D176" s="10"/>
      <c r="E176" s="10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x14ac:dyDescent="0.25">
      <c r="A177" s="1">
        <v>1</v>
      </c>
      <c r="B177" s="1"/>
      <c r="C177" s="1"/>
      <c r="D177" s="10"/>
      <c r="E177" s="1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x14ac:dyDescent="0.25">
      <c r="A178" s="1">
        <v>2</v>
      </c>
      <c r="B178" s="1"/>
      <c r="C178" s="1"/>
      <c r="D178" s="10"/>
      <c r="E178" s="10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x14ac:dyDescent="0.25">
      <c r="A179" s="1">
        <v>3</v>
      </c>
      <c r="B179" s="1"/>
      <c r="C179" s="1"/>
      <c r="D179" s="10"/>
      <c r="E179" s="10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x14ac:dyDescent="0.25">
      <c r="A180" s="1" t="s">
        <v>103</v>
      </c>
      <c r="B180" s="1"/>
      <c r="C180" s="1"/>
      <c r="D180" s="10"/>
      <c r="E180" s="10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x14ac:dyDescent="0.25">
      <c r="A181" s="1">
        <v>1</v>
      </c>
      <c r="B181" s="1"/>
      <c r="C181" s="1"/>
      <c r="D181" s="10"/>
      <c r="E181" s="10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x14ac:dyDescent="0.25">
      <c r="A182" s="1">
        <v>2</v>
      </c>
      <c r="B182" s="1"/>
      <c r="C182" s="1"/>
      <c r="D182" s="10"/>
      <c r="E182" s="10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x14ac:dyDescent="0.25">
      <c r="A183" s="1">
        <v>3</v>
      </c>
      <c r="B183" s="1"/>
      <c r="C183" s="1"/>
      <c r="D183" s="10"/>
      <c r="E183" s="10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x14ac:dyDescent="0.25">
      <c r="A184" s="1" t="s">
        <v>104</v>
      </c>
      <c r="B184" s="1"/>
      <c r="C184" s="1"/>
      <c r="D184" s="10"/>
      <c r="E184" s="10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x14ac:dyDescent="0.25">
      <c r="A185" s="1">
        <v>1</v>
      </c>
      <c r="B185" s="1"/>
      <c r="C185" s="1"/>
      <c r="D185" s="10"/>
      <c r="E185" s="10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x14ac:dyDescent="0.25">
      <c r="A186" s="1">
        <v>2</v>
      </c>
      <c r="B186" s="1"/>
      <c r="C186" s="1"/>
      <c r="D186" s="10"/>
      <c r="E186" s="10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x14ac:dyDescent="0.25">
      <c r="A187" s="1"/>
      <c r="B187" s="1"/>
      <c r="C187" s="1"/>
      <c r="D187" s="10"/>
      <c r="E187" s="1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x14ac:dyDescent="0.25">
      <c r="A188" s="1" t="s">
        <v>105</v>
      </c>
      <c r="B188" s="1"/>
      <c r="C188" s="1"/>
      <c r="D188" s="10"/>
      <c r="E188" s="10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x14ac:dyDescent="0.25">
      <c r="A189" s="1">
        <v>1</v>
      </c>
      <c r="B189" s="1"/>
      <c r="C189" s="1"/>
      <c r="D189" s="10"/>
      <c r="E189" s="10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x14ac:dyDescent="0.25">
      <c r="A190" s="1">
        <v>2</v>
      </c>
      <c r="B190" s="1"/>
      <c r="C190" s="1"/>
      <c r="D190" s="10"/>
      <c r="E190" s="10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x14ac:dyDescent="0.25">
      <c r="A191" s="1">
        <v>3</v>
      </c>
      <c r="B191" s="1"/>
      <c r="C191" s="1"/>
      <c r="D191" s="10"/>
      <c r="E191" s="10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x14ac:dyDescent="0.25">
      <c r="A192" s="1" t="s">
        <v>106</v>
      </c>
      <c r="B192" s="1"/>
      <c r="C192" s="1"/>
      <c r="D192" s="10"/>
      <c r="E192" s="10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x14ac:dyDescent="0.25">
      <c r="A193" s="1">
        <v>1</v>
      </c>
      <c r="B193" s="1"/>
      <c r="C193" s="1"/>
      <c r="D193" s="10"/>
      <c r="E193" s="10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x14ac:dyDescent="0.25">
      <c r="A194" s="1">
        <v>2</v>
      </c>
      <c r="B194" s="1"/>
      <c r="C194" s="1"/>
      <c r="D194" s="10"/>
      <c r="E194" s="10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x14ac:dyDescent="0.25">
      <c r="A195" s="1">
        <v>3</v>
      </c>
      <c r="B195" s="1"/>
      <c r="C195" s="1"/>
      <c r="D195" s="10"/>
      <c r="E195" s="10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x14ac:dyDescent="0.25">
      <c r="A196" s="1" t="s">
        <v>107</v>
      </c>
      <c r="B196" s="1"/>
      <c r="C196" s="1"/>
      <c r="D196" s="10"/>
      <c r="E196" s="10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x14ac:dyDescent="0.25">
      <c r="A197" s="1">
        <v>1</v>
      </c>
      <c r="B197" s="1"/>
      <c r="C197" s="1"/>
      <c r="D197" s="10"/>
      <c r="E197" s="10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x14ac:dyDescent="0.25">
      <c r="A198" s="1">
        <v>2</v>
      </c>
      <c r="B198" s="1"/>
      <c r="C198" s="1"/>
      <c r="D198" s="10"/>
      <c r="E198" s="10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x14ac:dyDescent="0.25">
      <c r="A199" s="1">
        <v>3</v>
      </c>
      <c r="B199" s="1"/>
      <c r="C199" s="1"/>
      <c r="D199" s="10"/>
      <c r="E199" s="10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x14ac:dyDescent="0.25">
      <c r="A200" s="1" t="s">
        <v>108</v>
      </c>
      <c r="B200" s="1"/>
      <c r="C200" s="1"/>
      <c r="D200" s="10"/>
      <c r="E200" s="10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x14ac:dyDescent="0.25">
      <c r="A201" s="1">
        <v>1</v>
      </c>
      <c r="B201" s="1"/>
      <c r="C201" s="1"/>
      <c r="D201" s="10"/>
      <c r="E201" s="10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x14ac:dyDescent="0.25">
      <c r="A202" s="1">
        <v>2</v>
      </c>
      <c r="B202" s="1"/>
      <c r="C202" s="1"/>
      <c r="D202" s="10"/>
      <c r="E202" s="10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x14ac:dyDescent="0.25">
      <c r="A203" s="1">
        <v>3</v>
      </c>
      <c r="B203" s="1"/>
      <c r="C203" s="1"/>
      <c r="D203" s="10"/>
      <c r="E203" s="10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x14ac:dyDescent="0.25">
      <c r="A204" s="1">
        <v>2</v>
      </c>
      <c r="B204" s="1"/>
      <c r="C204" s="1"/>
      <c r="D204" s="10"/>
      <c r="E204" s="10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x14ac:dyDescent="0.25">
      <c r="A205" s="1" t="s">
        <v>109</v>
      </c>
      <c r="B205" s="1"/>
      <c r="C205" s="1"/>
      <c r="D205" s="10"/>
      <c r="E205" s="10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1"/>
    </row>
    <row r="206" spans="1:17" x14ac:dyDescent="0.25">
      <c r="A206" s="1"/>
      <c r="B206" s="1"/>
      <c r="C206" s="1"/>
      <c r="D206" s="10"/>
      <c r="E206" s="10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</row>
    <row r="207" spans="1:17" x14ac:dyDescent="0.25">
      <c r="A207" s="1"/>
      <c r="B207" s="1"/>
      <c r="C207" s="1"/>
      <c r="D207" s="10"/>
      <c r="E207" s="10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7" x14ac:dyDescent="0.25">
      <c r="A208" s="1"/>
      <c r="B208" s="1"/>
      <c r="C208" s="1"/>
      <c r="D208" s="10"/>
      <c r="E208" s="10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</row>
  </sheetData>
  <mergeCells count="2">
    <mergeCell ref="M1:P1"/>
    <mergeCell ref="A43:B43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OPERALIZATION OF KIPRE PPLAN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ipr</cp:lastModifiedBy>
  <dcterms:created xsi:type="dcterms:W3CDTF">2022-03-23T07:11:00Z</dcterms:created>
  <dcterms:modified xsi:type="dcterms:W3CDTF">2024-05-18T08:32:23Z</dcterms:modified>
</cp:coreProperties>
</file>