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w folder\"/>
    </mc:Choice>
  </mc:AlternateContent>
  <bookViews>
    <workbookView xWindow="-105" yWindow="-105" windowWidth="19425" windowHeight="10305" activeTab="1"/>
  </bookViews>
  <sheets>
    <sheet name="WP 24-25" sheetId="1" r:id="rId1"/>
    <sheet name="Sheet1" sheetId="2" r:id="rId2"/>
  </sheets>
  <externalReferences>
    <externalReference r:id="rId3"/>
    <externalReference r:id="rId4"/>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1" i="2" l="1"/>
  <c r="R51" i="2"/>
  <c r="S51" i="2"/>
  <c r="Q51" i="2"/>
  <c r="P51" i="2"/>
  <c r="I223" i="2" l="1"/>
  <c r="I224" i="2"/>
  <c r="I225" i="2"/>
  <c r="I226" i="2"/>
  <c r="I227" i="2"/>
  <c r="I228" i="2"/>
  <c r="I222" i="2"/>
  <c r="H184" i="2"/>
  <c r="I180" i="2"/>
  <c r="I178" i="2"/>
  <c r="I179" i="2"/>
  <c r="H178" i="2"/>
  <c r="H179" i="2"/>
  <c r="H181" i="2"/>
  <c r="H182" i="2"/>
  <c r="M154" i="2"/>
  <c r="H125" i="2"/>
  <c r="J113" i="2"/>
  <c r="H111" i="2"/>
  <c r="H119" i="2"/>
  <c r="I183" i="2" l="1"/>
  <c r="K121" i="2"/>
  <c r="H115" i="2"/>
  <c r="K110" i="2"/>
  <c r="I83" i="2"/>
  <c r="V7" i="1" l="1"/>
  <c r="F228" i="2"/>
  <c r="J228" i="2" s="1"/>
  <c r="K228" i="2" s="1"/>
  <c r="F227" i="2"/>
  <c r="J226" i="2"/>
  <c r="K226" i="2" s="1"/>
  <c r="H226" i="2"/>
  <c r="F226" i="2"/>
  <c r="J225" i="2"/>
  <c r="K225" i="2" s="1"/>
  <c r="H225" i="2"/>
  <c r="F225" i="2"/>
  <c r="F224" i="2"/>
  <c r="J224" i="2" s="1"/>
  <c r="K224" i="2" s="1"/>
  <c r="J223" i="2"/>
  <c r="K223" i="2" s="1"/>
  <c r="F223" i="2"/>
  <c r="F222" i="2"/>
  <c r="J222" i="2" s="1"/>
  <c r="K222" i="2" s="1"/>
  <c r="J221" i="2"/>
  <c r="K221" i="2" s="1"/>
  <c r="I221" i="2"/>
  <c r="H221" i="2"/>
  <c r="F221" i="2"/>
  <c r="J220" i="2"/>
  <c r="K220" i="2" s="1"/>
  <c r="I220" i="2"/>
  <c r="H220" i="2"/>
  <c r="F220" i="2"/>
  <c r="F219" i="2"/>
  <c r="J212" i="2"/>
  <c r="K212" i="2" s="1"/>
  <c r="I212" i="2"/>
  <c r="H212" i="2"/>
  <c r="F212" i="2"/>
  <c r="F211" i="2"/>
  <c r="I210" i="2"/>
  <c r="J210" i="2" s="1"/>
  <c r="K210" i="2" s="1"/>
  <c r="H210" i="2"/>
  <c r="F210" i="2"/>
  <c r="I209" i="2"/>
  <c r="J209" i="2" s="1"/>
  <c r="K209" i="2" s="1"/>
  <c r="F209" i="2"/>
  <c r="H209" i="2" s="1"/>
  <c r="F208" i="2"/>
  <c r="I208" i="2" s="1"/>
  <c r="J208" i="2" s="1"/>
  <c r="K208" i="2" s="1"/>
  <c r="J207" i="2"/>
  <c r="K207" i="2" s="1"/>
  <c r="I207" i="2"/>
  <c r="H207" i="2"/>
  <c r="F207" i="2"/>
  <c r="F206" i="2"/>
  <c r="I206" i="2" s="1"/>
  <c r="J206" i="2" s="1"/>
  <c r="K206" i="2" s="1"/>
  <c r="J205" i="2"/>
  <c r="K205" i="2" s="1"/>
  <c r="I205" i="2"/>
  <c r="F205" i="2"/>
  <c r="H205" i="2" s="1"/>
  <c r="F204" i="2"/>
  <c r="F213" i="2" s="1"/>
  <c r="K198" i="2"/>
  <c r="J198" i="2"/>
  <c r="I198" i="2"/>
  <c r="F198" i="2"/>
  <c r="H198" i="2" s="1"/>
  <c r="F197" i="2"/>
  <c r="H197" i="2" s="1"/>
  <c r="F196" i="2"/>
  <c r="J195" i="2"/>
  <c r="K195" i="2" s="1"/>
  <c r="I195" i="2"/>
  <c r="H195" i="2"/>
  <c r="F195" i="2"/>
  <c r="F194" i="2"/>
  <c r="F199" i="2" s="1"/>
  <c r="F193" i="2"/>
  <c r="I193" i="2" s="1"/>
  <c r="J193" i="2" s="1"/>
  <c r="K193" i="2" s="1"/>
  <c r="I192" i="2"/>
  <c r="J192" i="2" s="1"/>
  <c r="K192" i="2" s="1"/>
  <c r="H192" i="2"/>
  <c r="F192" i="2"/>
  <c r="H191" i="2"/>
  <c r="F191" i="2"/>
  <c r="I191" i="2" s="1"/>
  <c r="J191" i="2" s="1"/>
  <c r="K191" i="2" s="1"/>
  <c r="K190" i="2"/>
  <c r="J190" i="2"/>
  <c r="I190" i="2"/>
  <c r="F190" i="2"/>
  <c r="H190" i="2" s="1"/>
  <c r="I189" i="2"/>
  <c r="H189" i="2"/>
  <c r="F189" i="2"/>
  <c r="F181" i="2"/>
  <c r="F180" i="2"/>
  <c r="F179" i="2"/>
  <c r="F177" i="2"/>
  <c r="F176" i="2"/>
  <c r="F175" i="2"/>
  <c r="F183" i="2" s="1"/>
  <c r="K170" i="2"/>
  <c r="J170" i="2"/>
  <c r="I170" i="2"/>
  <c r="F170" i="2"/>
  <c r="H170" i="2" s="1"/>
  <c r="F169" i="2"/>
  <c r="I169" i="2" s="1"/>
  <c r="F168" i="2"/>
  <c r="K167" i="2"/>
  <c r="J167" i="2"/>
  <c r="I167" i="2"/>
  <c r="H167" i="2"/>
  <c r="F167" i="2"/>
  <c r="F166" i="2"/>
  <c r="F171" i="2" s="1"/>
  <c r="F165" i="2"/>
  <c r="I165" i="2" s="1"/>
  <c r="J165" i="2" s="1"/>
  <c r="I164" i="2"/>
  <c r="K164" i="2" s="1"/>
  <c r="H164" i="2"/>
  <c r="F164" i="2"/>
  <c r="H163" i="2"/>
  <c r="F163" i="2"/>
  <c r="I163" i="2" s="1"/>
  <c r="K162" i="2"/>
  <c r="J162" i="2"/>
  <c r="I162" i="2"/>
  <c r="F162" i="2"/>
  <c r="H162" i="2" s="1"/>
  <c r="I161" i="2"/>
  <c r="F161" i="2"/>
  <c r="H161" i="2" s="1"/>
  <c r="J156" i="2"/>
  <c r="K156" i="2" s="1"/>
  <c r="I156" i="2"/>
  <c r="F156" i="2"/>
  <c r="H156" i="2" s="1"/>
  <c r="J155" i="2"/>
  <c r="K155" i="2" s="1"/>
  <c r="F155" i="2"/>
  <c r="F154" i="2"/>
  <c r="J153" i="2"/>
  <c r="K153" i="2" s="1"/>
  <c r="I153" i="2"/>
  <c r="H153" i="2"/>
  <c r="F153" i="2"/>
  <c r="F152" i="2"/>
  <c r="J151" i="2"/>
  <c r="K151" i="2" s="1"/>
  <c r="I151" i="2"/>
  <c r="F151" i="2"/>
  <c r="H151" i="2" s="1"/>
  <c r="F150" i="2"/>
  <c r="H150" i="2" s="1"/>
  <c r="H149" i="2"/>
  <c r="F149" i="2"/>
  <c r="I149" i="2" s="1"/>
  <c r="J149" i="2" s="1"/>
  <c r="K149" i="2" s="1"/>
  <c r="K148" i="2"/>
  <c r="J148" i="2"/>
  <c r="I148" i="2"/>
  <c r="H148" i="2"/>
  <c r="F148" i="2"/>
  <c r="I147" i="2"/>
  <c r="J147" i="2" s="1"/>
  <c r="K147" i="2" s="1"/>
  <c r="F147" i="2"/>
  <c r="H147" i="2" s="1"/>
  <c r="F144" i="2"/>
  <c r="H143" i="2"/>
  <c r="H144" i="2" s="1"/>
  <c r="F143" i="2"/>
  <c r="F138" i="2"/>
  <c r="I137" i="2"/>
  <c r="J137" i="2" s="1"/>
  <c r="K137" i="2" s="1"/>
  <c r="H137" i="2"/>
  <c r="F137" i="2"/>
  <c r="F136" i="2"/>
  <c r="I136" i="2" s="1"/>
  <c r="J136" i="2" s="1"/>
  <c r="K136" i="2" s="1"/>
  <c r="K135" i="2"/>
  <c r="J135" i="2"/>
  <c r="I135" i="2"/>
  <c r="F135" i="2"/>
  <c r="H135" i="2" s="1"/>
  <c r="F134" i="2"/>
  <c r="I134" i="2" s="1"/>
  <c r="J134" i="2" s="1"/>
  <c r="K134" i="2" s="1"/>
  <c r="F133" i="2"/>
  <c r="I133" i="2" s="1"/>
  <c r="J133" i="2" s="1"/>
  <c r="K133" i="2" s="1"/>
  <c r="I132" i="2"/>
  <c r="J132" i="2" s="1"/>
  <c r="K132" i="2" s="1"/>
  <c r="H132" i="2"/>
  <c r="F132" i="2"/>
  <c r="H131" i="2"/>
  <c r="F131" i="2"/>
  <c r="I131" i="2" s="1"/>
  <c r="F127" i="2"/>
  <c r="I126" i="2"/>
  <c r="J126" i="2" s="1"/>
  <c r="K126" i="2" s="1"/>
  <c r="H126" i="2"/>
  <c r="H127" i="2"/>
  <c r="F125" i="2"/>
  <c r="H120" i="2"/>
  <c r="F120" i="2"/>
  <c r="I120" i="2" s="1"/>
  <c r="J120" i="2" s="1"/>
  <c r="K120" i="2" s="1"/>
  <c r="K119" i="2"/>
  <c r="J119" i="2"/>
  <c r="F119" i="2"/>
  <c r="J118" i="2"/>
  <c r="K118" i="2" s="1"/>
  <c r="I118" i="2"/>
  <c r="H118" i="2"/>
  <c r="F118" i="2"/>
  <c r="K117" i="2"/>
  <c r="F117" i="2"/>
  <c r="I117" i="2" s="1"/>
  <c r="I116" i="2"/>
  <c r="J116" i="2" s="1"/>
  <c r="K116" i="2" s="1"/>
  <c r="H116" i="2"/>
  <c r="F115" i="2"/>
  <c r="I115" i="2" s="1"/>
  <c r="J115" i="2" s="1"/>
  <c r="K115" i="2" s="1"/>
  <c r="I114" i="2"/>
  <c r="J114" i="2" s="1"/>
  <c r="K114" i="2" s="1"/>
  <c r="H114" i="2"/>
  <c r="F114" i="2"/>
  <c r="F113" i="2"/>
  <c r="J108" i="2"/>
  <c r="K108" i="2" s="1"/>
  <c r="I108" i="2"/>
  <c r="H108" i="2"/>
  <c r="H107" i="2"/>
  <c r="F107" i="2"/>
  <c r="I107" i="2" s="1"/>
  <c r="J107" i="2" s="1"/>
  <c r="K107" i="2" s="1"/>
  <c r="I106" i="2"/>
  <c r="J106" i="2" s="1"/>
  <c r="K106" i="2" s="1"/>
  <c r="H106" i="2"/>
  <c r="F106" i="2"/>
  <c r="J105" i="2"/>
  <c r="K105" i="2" s="1"/>
  <c r="I105" i="2"/>
  <c r="H105" i="2"/>
  <c r="J104" i="2"/>
  <c r="K104" i="2" s="1"/>
  <c r="I104" i="2"/>
  <c r="F104" i="2"/>
  <c r="H104" i="2" s="1"/>
  <c r="F103" i="2"/>
  <c r="I103" i="2" s="1"/>
  <c r="J103" i="2" s="1"/>
  <c r="K103" i="2" s="1"/>
  <c r="F102" i="2"/>
  <c r="I102" i="2" s="1"/>
  <c r="F97" i="2"/>
  <c r="I97" i="2" s="1"/>
  <c r="J97" i="2" s="1"/>
  <c r="K97" i="2" s="1"/>
  <c r="H96" i="2"/>
  <c r="F96" i="2"/>
  <c r="I96" i="2" s="1"/>
  <c r="J96" i="2" s="1"/>
  <c r="K96" i="2" s="1"/>
  <c r="I95" i="2"/>
  <c r="J95" i="2" s="1"/>
  <c r="K95" i="2" s="1"/>
  <c r="H95" i="2"/>
  <c r="F95" i="2"/>
  <c r="I94" i="2"/>
  <c r="J94" i="2" s="1"/>
  <c r="K94" i="2" s="1"/>
  <c r="F94" i="2"/>
  <c r="H94" i="2" s="1"/>
  <c r="F93" i="2"/>
  <c r="I92" i="2"/>
  <c r="J92" i="2" s="1"/>
  <c r="K92" i="2" s="1"/>
  <c r="H92" i="2"/>
  <c r="F91" i="2"/>
  <c r="I91" i="2" s="1"/>
  <c r="J91" i="2" s="1"/>
  <c r="K91" i="2" s="1"/>
  <c r="I90" i="2"/>
  <c r="J90" i="2" s="1"/>
  <c r="K90" i="2" s="1"/>
  <c r="H90" i="2"/>
  <c r="F90" i="2"/>
  <c r="H89" i="2"/>
  <c r="F89" i="2"/>
  <c r="K84" i="2"/>
  <c r="J84" i="2"/>
  <c r="I84" i="2"/>
  <c r="F84" i="2"/>
  <c r="H84" i="2"/>
  <c r="F83" i="2"/>
  <c r="I78" i="2"/>
  <c r="J78" i="2" s="1"/>
  <c r="K78" i="2" s="1"/>
  <c r="H78" i="2"/>
  <c r="F78" i="2"/>
  <c r="I77" i="2"/>
  <c r="J77" i="2" s="1"/>
  <c r="K77" i="2" s="1"/>
  <c r="F77" i="2"/>
  <c r="H77" i="2" s="1"/>
  <c r="J76" i="2"/>
  <c r="K76" i="2" s="1"/>
  <c r="I76" i="2"/>
  <c r="F76" i="2"/>
  <c r="H76" i="2" s="1"/>
  <c r="F75" i="2"/>
  <c r="I75" i="2" s="1"/>
  <c r="J75" i="2" s="1"/>
  <c r="K75" i="2" s="1"/>
  <c r="F74" i="2"/>
  <c r="I74" i="2" s="1"/>
  <c r="J74" i="2" s="1"/>
  <c r="K74" i="2" s="1"/>
  <c r="I73" i="2"/>
  <c r="J73" i="2" s="1"/>
  <c r="K73" i="2" s="1"/>
  <c r="H73" i="2"/>
  <c r="F73" i="2"/>
  <c r="F72" i="2"/>
  <c r="I72" i="2" s="1"/>
  <c r="J72" i="2" s="1"/>
  <c r="K72" i="2" s="1"/>
  <c r="F71" i="2"/>
  <c r="F79" i="2" s="1"/>
  <c r="I70" i="2"/>
  <c r="J70" i="2" s="1"/>
  <c r="H70" i="2"/>
  <c r="F70" i="2"/>
  <c r="K64" i="2"/>
  <c r="J64" i="2"/>
  <c r="F64" i="2"/>
  <c r="H64" i="2" s="1"/>
  <c r="K63" i="2"/>
  <c r="J63" i="2"/>
  <c r="F63" i="2"/>
  <c r="H63" i="2" s="1"/>
  <c r="F62" i="2"/>
  <c r="I61" i="2"/>
  <c r="J61" i="2" s="1"/>
  <c r="H61" i="2"/>
  <c r="F61" i="2"/>
  <c r="K60" i="2"/>
  <c r="J60" i="2"/>
  <c r="F60" i="2"/>
  <c r="H60" i="2" s="1"/>
  <c r="K59" i="2"/>
  <c r="J59" i="2"/>
  <c r="H59" i="2"/>
  <c r="F58" i="2"/>
  <c r="I58" i="2" s="1"/>
  <c r="K57" i="2"/>
  <c r="J57" i="2"/>
  <c r="H57" i="2"/>
  <c r="F57" i="2"/>
  <c r="I56" i="2"/>
  <c r="H56" i="2"/>
  <c r="F56" i="2"/>
  <c r="F50" i="2"/>
  <c r="I48" i="2"/>
  <c r="J48" i="2" s="1"/>
  <c r="K48" i="2" s="1"/>
  <c r="F48" i="2"/>
  <c r="F47" i="2"/>
  <c r="J46" i="2"/>
  <c r="K46" i="2" s="1"/>
  <c r="F46" i="2"/>
  <c r="H45" i="2"/>
  <c r="F45" i="2"/>
  <c r="F44" i="2"/>
  <c r="J43" i="2"/>
  <c r="K43" i="2" s="1"/>
  <c r="I43" i="2"/>
  <c r="H43" i="2"/>
  <c r="F43" i="2"/>
  <c r="F42" i="2"/>
  <c r="F51" i="2" s="1"/>
  <c r="I41" i="2"/>
  <c r="I51" i="2" s="1"/>
  <c r="H41" i="2"/>
  <c r="H51" i="2" s="1"/>
  <c r="F41" i="2"/>
  <c r="J33" i="2"/>
  <c r="K33" i="2" s="1"/>
  <c r="F33" i="2"/>
  <c r="J32" i="2"/>
  <c r="K32" i="2" s="1"/>
  <c r="I32" i="2"/>
  <c r="F32" i="2"/>
  <c r="H32" i="2" s="1"/>
  <c r="I31" i="2"/>
  <c r="J31" i="2" s="1"/>
  <c r="K31" i="2" s="1"/>
  <c r="H31" i="2"/>
  <c r="F31" i="2"/>
  <c r="F30" i="2"/>
  <c r="I30" i="2" s="1"/>
  <c r="J30" i="2" s="1"/>
  <c r="K30" i="2" s="1"/>
  <c r="R29" i="2"/>
  <c r="J29" i="2"/>
  <c r="K29" i="2" s="1"/>
  <c r="F29" i="2"/>
  <c r="R28" i="2"/>
  <c r="K28" i="2"/>
  <c r="J28" i="2"/>
  <c r="F28" i="2"/>
  <c r="R27" i="2"/>
  <c r="F27" i="2"/>
  <c r="R26" i="2"/>
  <c r="I26" i="2"/>
  <c r="J26" i="2" s="1"/>
  <c r="K26" i="2" s="1"/>
  <c r="H26" i="2"/>
  <c r="F26" i="2"/>
  <c r="R25" i="2"/>
  <c r="F25" i="2"/>
  <c r="H25" i="2" s="1"/>
  <c r="R24" i="2"/>
  <c r="R30" i="2" s="1"/>
  <c r="K21" i="2"/>
  <c r="J21" i="2"/>
  <c r="I21" i="2"/>
  <c r="E20" i="2"/>
  <c r="H20" i="2" s="1"/>
  <c r="H19" i="2"/>
  <c r="E19" i="2"/>
  <c r="E18" i="2"/>
  <c r="H18" i="2" s="1"/>
  <c r="E17" i="2"/>
  <c r="H17" i="2" s="1"/>
  <c r="H16" i="2"/>
  <c r="E16" i="2"/>
  <c r="H15" i="2"/>
  <c r="E15" i="2"/>
  <c r="E14" i="2"/>
  <c r="H14" i="2" s="1"/>
  <c r="H13" i="2"/>
  <c r="E13" i="2"/>
  <c r="H12" i="2"/>
  <c r="E12" i="2"/>
  <c r="H11" i="2"/>
  <c r="E11" i="2"/>
  <c r="E10" i="2"/>
  <c r="H10" i="2" s="1"/>
  <c r="F4" i="2"/>
  <c r="F3" i="2"/>
  <c r="H3" i="2" s="1"/>
  <c r="H4" i="2" s="1"/>
  <c r="H21" i="2" l="1"/>
  <c r="H157" i="2"/>
  <c r="J79" i="2"/>
  <c r="K70" i="2"/>
  <c r="K169" i="2"/>
  <c r="J169" i="2"/>
  <c r="I139" i="2"/>
  <c r="J131" i="2"/>
  <c r="I171" i="2"/>
  <c r="I138" i="2"/>
  <c r="J138" i="2" s="1"/>
  <c r="K138" i="2" s="1"/>
  <c r="H138" i="2"/>
  <c r="H228" i="2"/>
  <c r="H74" i="2"/>
  <c r="H97" i="2"/>
  <c r="H102" i="2"/>
  <c r="H136" i="2"/>
  <c r="H169" i="2"/>
  <c r="K61" i="2"/>
  <c r="F139" i="2"/>
  <c r="I150" i="2"/>
  <c r="J150" i="2" s="1"/>
  <c r="K150" i="2" s="1"/>
  <c r="I197" i="2"/>
  <c r="J197" i="2" s="1"/>
  <c r="K197" i="2" s="1"/>
  <c r="H30" i="2"/>
  <c r="I62" i="2"/>
  <c r="H62" i="2"/>
  <c r="H75" i="2"/>
  <c r="I93" i="2"/>
  <c r="J93" i="2" s="1"/>
  <c r="K93" i="2" s="1"/>
  <c r="H93" i="2"/>
  <c r="H103" i="2"/>
  <c r="F121" i="2"/>
  <c r="I152" i="2"/>
  <c r="J152" i="2" s="1"/>
  <c r="K152" i="2" s="1"/>
  <c r="F157" i="2"/>
  <c r="J164" i="2"/>
  <c r="H183" i="2"/>
  <c r="H204" i="2"/>
  <c r="H206" i="2"/>
  <c r="H211" i="2"/>
  <c r="I211" i="2"/>
  <c r="J211" i="2" s="1"/>
  <c r="K211" i="2" s="1"/>
  <c r="H219" i="2"/>
  <c r="F229" i="2"/>
  <c r="I219" i="2"/>
  <c r="H168" i="2"/>
  <c r="I168" i="2"/>
  <c r="H72" i="2"/>
  <c r="H134" i="2"/>
  <c r="I143" i="2"/>
  <c r="H194" i="2"/>
  <c r="I154" i="2"/>
  <c r="J154" i="2" s="1"/>
  <c r="K154" i="2" s="1"/>
  <c r="H154" i="2"/>
  <c r="K161" i="2"/>
  <c r="I166" i="2"/>
  <c r="J189" i="2"/>
  <c r="K189" i="2" s="1"/>
  <c r="I194" i="2"/>
  <c r="J194" i="2" s="1"/>
  <c r="K194" i="2" s="1"/>
  <c r="F34" i="2"/>
  <c r="K143" i="2"/>
  <c r="K144" i="2" s="1"/>
  <c r="E21" i="2"/>
  <c r="I25" i="2"/>
  <c r="F65" i="2"/>
  <c r="F98" i="2"/>
  <c r="H121" i="2"/>
  <c r="I127" i="2"/>
  <c r="I204" i="2"/>
  <c r="I196" i="2"/>
  <c r="J196" i="2" s="1"/>
  <c r="K196" i="2" s="1"/>
  <c r="H196" i="2"/>
  <c r="H199" i="2" s="1"/>
  <c r="K56" i="2"/>
  <c r="J56" i="2"/>
  <c r="I109" i="2"/>
  <c r="J109" i="2" s="1"/>
  <c r="K109" i="2" s="1"/>
  <c r="J102" i="2"/>
  <c r="K102" i="2" s="1"/>
  <c r="J161" i="2"/>
  <c r="H166" i="2"/>
  <c r="F109" i="2"/>
  <c r="K58" i="2"/>
  <c r="J58" i="2"/>
  <c r="I71" i="2"/>
  <c r="J71" i="2" s="1"/>
  <c r="K71" i="2" s="1"/>
  <c r="H71" i="2"/>
  <c r="H79" i="2" s="1"/>
  <c r="I121" i="2"/>
  <c r="I27" i="2"/>
  <c r="J27" i="2" s="1"/>
  <c r="K27" i="2" s="1"/>
  <c r="H27" i="2"/>
  <c r="H34" i="2" s="1"/>
  <c r="H58" i="2"/>
  <c r="H65" i="2" s="1"/>
  <c r="I65" i="2"/>
  <c r="I89" i="2"/>
  <c r="H91" i="2"/>
  <c r="H98" i="2" s="1"/>
  <c r="H133" i="2"/>
  <c r="H139" i="2" s="1"/>
  <c r="K163" i="2"/>
  <c r="J163" i="2"/>
  <c r="K165" i="2"/>
  <c r="H227" i="2"/>
  <c r="J227" i="2"/>
  <c r="K227" i="2" s="1"/>
  <c r="H165" i="2"/>
  <c r="H171" i="2" s="1"/>
  <c r="H193" i="2"/>
  <c r="H208" i="2"/>
  <c r="J41" i="2"/>
  <c r="K140" i="2" l="1"/>
  <c r="I144" i="2"/>
  <c r="J143" i="2"/>
  <c r="J144" i="2" s="1"/>
  <c r="K131" i="2"/>
  <c r="K139" i="2" s="1"/>
  <c r="J139" i="2"/>
  <c r="K166" i="2"/>
  <c r="J166" i="2"/>
  <c r="J25" i="2"/>
  <c r="I34" i="2"/>
  <c r="I157" i="2"/>
  <c r="J157" i="2" s="1"/>
  <c r="K157" i="2" s="1"/>
  <c r="I98" i="2"/>
  <c r="J89" i="2"/>
  <c r="H229" i="2"/>
  <c r="H213" i="2"/>
  <c r="K214" i="2" s="1"/>
  <c r="I199" i="2"/>
  <c r="J199" i="2" s="1"/>
  <c r="K199" i="2" s="1"/>
  <c r="J121" i="2"/>
  <c r="I213" i="2"/>
  <c r="J213" i="2" s="1"/>
  <c r="K213" i="2" s="1"/>
  <c r="J204" i="2"/>
  <c r="K204" i="2" s="1"/>
  <c r="I229" i="2"/>
  <c r="J229" i="2" s="1"/>
  <c r="K229" i="2" s="1"/>
  <c r="J219" i="2"/>
  <c r="K219" i="2" s="1"/>
  <c r="K171" i="2"/>
  <c r="J171" i="2"/>
  <c r="K172" i="2" s="1"/>
  <c r="J51" i="2"/>
  <c r="K52" i="2" s="1"/>
  <c r="K41" i="2"/>
  <c r="K51" i="2" s="1"/>
  <c r="K168" i="2"/>
  <c r="J168" i="2"/>
  <c r="J127" i="2"/>
  <c r="K127" i="2" s="1"/>
  <c r="K125" i="2"/>
  <c r="I79" i="2"/>
  <c r="K80" i="2" s="1"/>
  <c r="J62" i="2"/>
  <c r="J65" i="2" s="1"/>
  <c r="K62" i="2"/>
  <c r="K65" i="2" s="1"/>
  <c r="H109" i="2"/>
  <c r="H234" i="2" s="1"/>
  <c r="K79" i="2"/>
  <c r="K66" i="2" l="1"/>
  <c r="K99" i="2"/>
  <c r="K25" i="2"/>
  <c r="J34" i="2"/>
  <c r="K158" i="2"/>
  <c r="K122" i="2"/>
  <c r="K230" i="2"/>
  <c r="I234" i="2"/>
  <c r="K89" i="2"/>
  <c r="K98" i="2" s="1"/>
  <c r="J98" i="2"/>
  <c r="K200" i="2"/>
  <c r="K34" i="2" l="1"/>
  <c r="K234" i="2" s="1"/>
  <c r="J234" i="2"/>
  <c r="K237" i="2" l="1"/>
  <c r="I240" i="2" s="1"/>
  <c r="H36" i="2"/>
  <c r="Y5" i="1" l="1"/>
  <c r="Y6" i="1"/>
  <c r="Y8" i="1"/>
  <c r="Y9" i="1"/>
  <c r="Y11" i="1"/>
  <c r="Y12" i="1"/>
  <c r="Y13" i="1"/>
  <c r="Y14" i="1"/>
  <c r="Y15" i="1"/>
  <c r="Y16" i="1"/>
  <c r="Y17" i="1"/>
  <c r="Y18" i="1"/>
  <c r="Y20" i="1"/>
  <c r="Y21" i="1"/>
  <c r="Y22" i="1"/>
  <c r="Y24" i="1"/>
  <c r="Y25" i="1"/>
  <c r="Y26" i="1"/>
  <c r="Y27" i="1"/>
  <c r="Y4" i="1"/>
  <c r="X5" i="1"/>
  <c r="X6" i="1"/>
  <c r="Y7" i="1"/>
  <c r="X8" i="1"/>
  <c r="X9" i="1"/>
  <c r="X11" i="1"/>
  <c r="X12" i="1"/>
  <c r="X13" i="1"/>
  <c r="X14" i="1"/>
  <c r="X15" i="1"/>
  <c r="X16" i="1"/>
  <c r="X17" i="1"/>
  <c r="X18" i="1"/>
  <c r="X20" i="1"/>
  <c r="X21" i="1"/>
  <c r="X22" i="1"/>
  <c r="X24" i="1"/>
  <c r="X25" i="1"/>
  <c r="X26" i="1"/>
  <c r="X27" i="1"/>
  <c r="X4" i="1"/>
  <c r="W5" i="1"/>
  <c r="W6" i="1"/>
  <c r="W8" i="1"/>
  <c r="W9" i="1"/>
  <c r="W11" i="1"/>
  <c r="W12" i="1"/>
  <c r="W13" i="1"/>
  <c r="W14" i="1"/>
  <c r="W15" i="1"/>
  <c r="W16" i="1"/>
  <c r="W17" i="1"/>
  <c r="W18" i="1"/>
  <c r="W20" i="1"/>
  <c r="W21" i="1"/>
  <c r="W22" i="1"/>
  <c r="W24" i="1"/>
  <c r="W25" i="1"/>
  <c r="W26" i="1"/>
  <c r="W27" i="1"/>
  <c r="W4" i="1"/>
  <c r="V27" i="1" l="1"/>
  <c r="U27" i="1"/>
  <c r="V19" i="1"/>
  <c r="W19" i="1" s="1"/>
  <c r="X19" i="1" s="1"/>
  <c r="Y19" i="1" s="1"/>
  <c r="U19" i="1"/>
  <c r="Z26" i="1"/>
  <c r="Z25" i="1"/>
  <c r="Z24" i="1"/>
  <c r="Z23" i="1"/>
  <c r="Z22" i="1"/>
  <c r="Z21" i="1"/>
  <c r="Z17" i="1"/>
  <c r="Z16" i="1"/>
  <c r="Z15" i="1"/>
  <c r="Z14" i="1"/>
  <c r="Z13" i="1"/>
  <c r="Z9" i="1"/>
  <c r="Z8" i="1"/>
  <c r="Z7" i="1"/>
  <c r="Z6" i="1"/>
  <c r="Z5" i="1"/>
  <c r="Z27" i="1" l="1"/>
  <c r="Z19" i="1"/>
  <c r="Z28" i="1" l="1"/>
</calcChain>
</file>

<file path=xl/sharedStrings.xml><?xml version="1.0" encoding="utf-8"?>
<sst xmlns="http://schemas.openxmlformats.org/spreadsheetml/2006/main" count="518" uniqueCount="189">
  <si>
    <t>Results Areas</t>
  </si>
  <si>
    <t>Main Activities</t>
  </si>
  <si>
    <t>Sub Activities</t>
  </si>
  <si>
    <t>Expected Outputs</t>
  </si>
  <si>
    <t>Performance Indicators</t>
  </si>
  <si>
    <t>Target</t>
  </si>
  <si>
    <t>Means of verification</t>
  </si>
  <si>
    <t>2024/25</t>
  </si>
  <si>
    <t>GOK</t>
  </si>
  <si>
    <t>Funding Gap</t>
  </si>
  <si>
    <t>July</t>
  </si>
  <si>
    <t>Aug</t>
  </si>
  <si>
    <t>Sep</t>
  </si>
  <si>
    <t>Oct</t>
  </si>
  <si>
    <t>Nov</t>
  </si>
  <si>
    <t>Dec</t>
  </si>
  <si>
    <t>Jan</t>
  </si>
  <si>
    <t>Feb</t>
  </si>
  <si>
    <t>Mar</t>
  </si>
  <si>
    <t>Apr</t>
  </si>
  <si>
    <t>May</t>
  </si>
  <si>
    <t>Jun</t>
  </si>
  <si>
    <t>Q1</t>
  </si>
  <si>
    <t>Q2-Q4</t>
  </si>
  <si>
    <t>Source of funding</t>
  </si>
  <si>
    <t xml:space="preserve">Mapping of snakes of medical importance and snakebite Hotspots   </t>
  </si>
  <si>
    <t xml:space="preserve">Identify and map Snakes of Medical Importance and other venomous snakes, map intra and intercounty snakebite hotspots in endemic counties </t>
  </si>
  <si>
    <t>Train 5 program officers on mapping of snakes of Medical Importance and other venomous snakes using the Geographic Information System.(GIS)</t>
  </si>
  <si>
    <t xml:space="preserve"> program officers trained on  mapping of snakes of Medical Importance and other venomous snakes using the GIS system</t>
  </si>
  <si>
    <t xml:space="preserve">Number of program officers trained </t>
  </si>
  <si>
    <t>Training programes/ schedules, training certificates</t>
  </si>
  <si>
    <t>Procure voice recorders, digital camera, data collection tablets, laptops, GIS communication devices, power banks, high definition binoculars, printer, N ViVo analysis software, tents (10 units)</t>
  </si>
  <si>
    <t>Items procured</t>
  </si>
  <si>
    <t>Number of items procured</t>
  </si>
  <si>
    <t>Invoices, DOF, Receipts</t>
  </si>
  <si>
    <r>
      <t>Conduct a 5 day workshop for the training of data collectors on snakebite community-based survey methodologies in 5 counties</t>
    </r>
    <r>
      <rPr>
        <sz val="11"/>
        <color rgb="FFFF0000"/>
        <rFont val="Times New Roman"/>
        <family val="1"/>
      </rPr>
      <t xml:space="preserve"> (Kilifi, Marsabit, Wajir,   Makueni, Samburu)</t>
    </r>
  </si>
  <si>
    <t>Data collectors trained on community-based survey methodologies</t>
  </si>
  <si>
    <t>number of data collectors trained per county</t>
  </si>
  <si>
    <t>Training certificates</t>
  </si>
  <si>
    <t>Survey 5 counties to map snakebite incidences (Procure subsistence allowance for 10 county data collectors, transport and DSA for 10 public officers for 3 weeks per county)</t>
  </si>
  <si>
    <t>counties surveyed for venomous snake identification and GIS mapping</t>
  </si>
  <si>
    <t>Number of counties surveyed, Species of snakes of medical importance and other venomous snakes  identified, Number of county geographical maps developed</t>
  </si>
  <si>
    <t>Vehicle work tickets, county approval letters, complete Snake species data sheets, County geographical maps</t>
  </si>
  <si>
    <t>Integrate Snakebite Envenoming mapping with other NTD programs</t>
  </si>
  <si>
    <t>Train healthcare workers and community healthcare promoters on protocols in  integrating Snakebite Envenoming mapping with other NTD programs  in 5 counties</t>
  </si>
  <si>
    <t>healthcare workers and community healthcare promoters in 5 counties trained on protocols in integrating Snakebite Envenoming mapping with other NTD programs</t>
  </si>
  <si>
    <t>number of counties trained</t>
  </si>
  <si>
    <t>training schedules, attendance sheets, photo evidence</t>
  </si>
  <si>
    <t>Conduct surveys  to integrate Snakebite Envenoming mapping with other NTD programs in 5 counties. (procure transport and DSA for 10 public officers for 5 days per county )</t>
  </si>
  <si>
    <t>10 counties surveyed for integration of snakebite envenoming mapping with other NTD programs</t>
  </si>
  <si>
    <t>Number of counties surveyed</t>
  </si>
  <si>
    <t>Maps of surveyed counties, Vehicle work tickets, county approval letters</t>
  </si>
  <si>
    <t>Develop a user friendly community based reporting tool to report snakebite incidences and deaths across 5 counties</t>
  </si>
  <si>
    <t>Tool for reporting community-based snakebite incidences and deaths developed</t>
  </si>
  <si>
    <t>Number of reporting tools developed</t>
  </si>
  <si>
    <t>reporting tool populated across 8 counties</t>
  </si>
  <si>
    <t>Conduct a validation survey to assess and validate the reach and impact of surveys to integrate Snakebite Envenoming mapping with other NTD in 5 counties  (procure transport and DSA for 10 public officers for 5 days per county)</t>
  </si>
  <si>
    <t>validation surveys conducted</t>
  </si>
  <si>
    <t>Number of counties where validation surveys were conducted</t>
  </si>
  <si>
    <t>Validation report, Vehicle work tickets</t>
  </si>
  <si>
    <t>Disseminattion of survey findings to 5 counties (procure transport and DSA for 10 public officers for 12 days, 2 days per county- total 10 counties )</t>
  </si>
  <si>
    <t xml:space="preserve">Dissemination conducted in counties where integration of snakebite envenoming mapping with other NTD programs was conducted </t>
  </si>
  <si>
    <t>Number of sub counties where dissemination was conducted</t>
  </si>
  <si>
    <t>Report</t>
  </si>
  <si>
    <t>Integrate Snakebite  mapping with the Kenya Livestock MasterPlan (KLMP)</t>
  </si>
  <si>
    <t>Train livestock ward officers  and community healthcare promoters on protocols in  integrating Snakebite integrating snakebite mapping with the KLMP in 5 counties</t>
  </si>
  <si>
    <t>healthcare workers and community healthcare promoters in 5 counties trained on protocols in integrating Snakebite Envenoming mapping with the  Livestock program</t>
  </si>
  <si>
    <t>Survey 5 counties to integrate snakebite mapping with the KLMP in 5 counties (procure transport and DSA for 5 public officers for 10 days per county )</t>
  </si>
  <si>
    <t>5 counties surveyed for integration of snakebite envenoming mapping with other NTDs, Malaria and Livestock programs</t>
  </si>
  <si>
    <t>Conduct public awareness campaigns on snake identification, snakebite first aid and  prevention and control measures in 5 counties</t>
  </si>
  <si>
    <t xml:space="preserve">awareness campaigns to educate communities on snakebite first aidnd  prevention and control measures held </t>
  </si>
  <si>
    <t>Number of awareness campaigns held</t>
  </si>
  <si>
    <t>Meeting notices, Photos</t>
  </si>
  <si>
    <t>Engage Social media, website &amp; other digital platforms to create awareness on snake identification, snakebite first aid and  prevention and control measures</t>
  </si>
  <si>
    <t>Social media, website &amp; other digital platforms engaged</t>
  </si>
  <si>
    <t>Number of Social media, website &amp; other digital platforms Engaged</t>
  </si>
  <si>
    <t>Active Social Media Handles, Website</t>
  </si>
  <si>
    <t>Conduct five school-based campaigns in each of the 10 counties to raise awareness among children on snake identification, first aid measures, and snakebite prevention and control.</t>
  </si>
  <si>
    <t>school based campaigns to raise awareness on snake identification, first aid measures and prevention and control of snakebite conducted (educational games, puppetries)</t>
  </si>
  <si>
    <t>Number of school based campaigns conducted</t>
  </si>
  <si>
    <t>mpaign reports, attendance records, photographs, feedback forms</t>
  </si>
  <si>
    <t>Disseminate survey findings to 10 Counties  (Kitui, Turkana, Lamu, Kwale, Baringo, Samburu) (procure transport and DSA for 15 public officers for 5 days)</t>
  </si>
  <si>
    <t xml:space="preserve">Dissemination conducted in counties where integration of snakebite envenoming mapping with KLMP programs was conducted </t>
  </si>
  <si>
    <t>Subtotal</t>
  </si>
  <si>
    <t>Strengthen the Human Resource for snakebite management and antivenom production</t>
  </si>
  <si>
    <t>Human Resource and personnel</t>
  </si>
  <si>
    <t>Train health care workers on snakebite diagnosis, management, antivenom administration and snakebite prevention and control measures</t>
  </si>
  <si>
    <t>Conduct a county level Trainer of Trainer (ToT) trainings on snakebite diagnosis, management, antivenom administration and snakebite prevention and control measures to capacity build across different health care carders in 5 counties. Procure training venue, provide daily subsistence allowance (DSA) for 5 officers, and lunch allowance for 20 healthcare workers per county, for a duration of 5 days per county</t>
  </si>
  <si>
    <t xml:space="preserve">County ToTs trained on snakebite diagnosis, management, antivenom administration and snakebite prevention and control measure </t>
  </si>
  <si>
    <t>Number of counties trained</t>
  </si>
  <si>
    <t>County approvals, Training Reports, training certificates, attendance sheets</t>
  </si>
  <si>
    <t xml:space="preserve">Conduct a Kenya Health Reporting System (KHIS) training workshop to county and subcounty Health Records Information Officers (HRIOs) to ensure complete accurate and timely reporting of snakebite and antivenom utilization data in 5 counties. Procure conference venue, transport, DSA for 5 officers, allowance for 20  (HRIOs) </t>
  </si>
  <si>
    <t>county and subcounty HRIOs trained on snakebite reporting in the KHIS</t>
  </si>
  <si>
    <t>Training reports</t>
  </si>
  <si>
    <t>Train Community Health Promoters (CHPs) on snake species identification, snakebite diagnosis, first aid, prevention and control measures</t>
  </si>
  <si>
    <t>organise a 5 day workshop to develop, update and improve CHP training modules Information, Education and Communication (IEC) materials on snakebite awareness, first aid measures and prevention and control of snakebite (secure workshop venue, transport and DSA for 15 officers)</t>
  </si>
  <si>
    <t>CHP training modules, IEC materials developed (posters, pullup banners, leaflets, T-shirts, lesos, Caps, brochures, pamplets)</t>
  </si>
  <si>
    <t>Number of IEC materials developed, Number of training modules imptroved</t>
  </si>
  <si>
    <t>workshop report, attendance list, IEC materials and training mannuals</t>
  </si>
  <si>
    <t>Launch CHP training programs in 5 counties. procure workshop venue, transportation and DSA for 5 officers for 5 days per county.</t>
  </si>
  <si>
    <t>County CHP training programes launched</t>
  </si>
  <si>
    <t>Number of CHP Training programs launched</t>
  </si>
  <si>
    <t>Attendance sheets,  county approval letters, invitation letters, photos</t>
  </si>
  <si>
    <t>Train CHPs on snake species identification, snakebite diagnosis, first aid, prevention and control measures. (Procure IEC tools to populate amongst CHPs, procure workshop venue, transportation and DSA for 5 officers for 5 days per county)</t>
  </si>
  <si>
    <t>CHPs trained on snakebite diagnosis, treatment, management and rehabilitation</t>
  </si>
  <si>
    <t>Number of counties where CHPs were trained</t>
  </si>
  <si>
    <t>Training reports, training certificates</t>
  </si>
  <si>
    <t>Implement Motorcycle Snakebite Emergency Response System (SERS) for Community Health Promoters (CHPs) to efficiently respond to snakebite incidents within the community. Procure fuel and maintenance for 6 motorcycle ambulances in 6 counties.</t>
  </si>
  <si>
    <t>motorcycle ambulances fuel and maintenance service procured</t>
  </si>
  <si>
    <t>Number of maintenance services per county</t>
  </si>
  <si>
    <t>fuel invoices, receipts</t>
  </si>
  <si>
    <t>Grand total</t>
  </si>
  <si>
    <t>Q2</t>
  </si>
  <si>
    <t>Q3</t>
  </si>
  <si>
    <t>Q4</t>
  </si>
  <si>
    <t>Sub activity 2</t>
  </si>
  <si>
    <t>Survey materials (U5)</t>
  </si>
  <si>
    <t>Item</t>
  </si>
  <si>
    <t>No.</t>
  </si>
  <si>
    <t>QTY</t>
  </si>
  <si>
    <t>Unit cost</t>
  </si>
  <si>
    <t>Total</t>
  </si>
  <si>
    <t>Voice Recorder</t>
  </si>
  <si>
    <t>External Hards Disk 3TB</t>
  </si>
  <si>
    <t>Digital Cameras</t>
  </si>
  <si>
    <t>laptops</t>
  </si>
  <si>
    <t>nos</t>
  </si>
  <si>
    <t>Tablets</t>
  </si>
  <si>
    <t>Power Bank</t>
  </si>
  <si>
    <t>GPS Communicaton Devices</t>
  </si>
  <si>
    <t>Tents</t>
  </si>
  <si>
    <t>Printer</t>
  </si>
  <si>
    <t>computer software</t>
  </si>
  <si>
    <t>High Defination Binoculars</t>
  </si>
  <si>
    <t>Sub activity 3</t>
  </si>
  <si>
    <t>Training materials</t>
  </si>
  <si>
    <t>ITEM</t>
  </si>
  <si>
    <t>UNIT COST</t>
  </si>
  <si>
    <t>Days</t>
  </si>
  <si>
    <t>counties</t>
  </si>
  <si>
    <t>TOTAL</t>
  </si>
  <si>
    <t xml:space="preserve">Flip chart </t>
  </si>
  <si>
    <t>no</t>
  </si>
  <si>
    <t>Per diem</t>
  </si>
  <si>
    <t>Flip chart stand</t>
  </si>
  <si>
    <t>conference</t>
  </si>
  <si>
    <t>Roller Banners</t>
  </si>
  <si>
    <t>fuel cost</t>
  </si>
  <si>
    <t>Projector</t>
  </si>
  <si>
    <t>vehicle maintenance</t>
  </si>
  <si>
    <t>Tear Drops</t>
  </si>
  <si>
    <t>Air ticket</t>
  </si>
  <si>
    <t>printing</t>
  </si>
  <si>
    <t>Subsistence allowance (Data collectors)</t>
  </si>
  <si>
    <t>Training allowance (hrs)</t>
  </si>
  <si>
    <t>training materials</t>
  </si>
  <si>
    <t>Media</t>
  </si>
  <si>
    <t>Sub activity 4</t>
  </si>
  <si>
    <t>Q1 (Samburu, Makueni)</t>
  </si>
  <si>
    <t>Q2 (Kilifi)</t>
  </si>
  <si>
    <t>Q3 (Marsabit)</t>
  </si>
  <si>
    <t>Q4 (Wajir)</t>
  </si>
  <si>
    <t>Subsistence allowance</t>
  </si>
  <si>
    <t>Training allowance</t>
  </si>
  <si>
    <t>Security</t>
  </si>
  <si>
    <t>Sub activity 5 (U8)</t>
  </si>
  <si>
    <t>Data collection materials</t>
  </si>
  <si>
    <t>Sub activity 6 (U9)</t>
  </si>
  <si>
    <t>Sub activity 11 (U14)</t>
  </si>
  <si>
    <t>Sub activity 12 (U15)</t>
  </si>
  <si>
    <t>Printing/ Branding</t>
  </si>
  <si>
    <t>Sub activity 14 (U17)</t>
  </si>
  <si>
    <t>Sub activity 15 (U19)</t>
  </si>
  <si>
    <t>Research personnel facilitation per month</t>
  </si>
  <si>
    <t>Sub activity 16 (U21)</t>
  </si>
  <si>
    <t>Sub activity 17</t>
  </si>
  <si>
    <t>Sub activity 18</t>
  </si>
  <si>
    <t>Sub activity 19</t>
  </si>
  <si>
    <t>Sub activity 20</t>
  </si>
  <si>
    <t xml:space="preserve"> Subsistance allowance (CHPs)</t>
  </si>
  <si>
    <t>Sub activity 15</t>
  </si>
  <si>
    <t>Sub activity 1</t>
  </si>
  <si>
    <t>Training fee</t>
  </si>
  <si>
    <t>Sub activity 7</t>
  </si>
  <si>
    <t>Reporting tool/app</t>
  </si>
  <si>
    <t>Sub activity 10</t>
  </si>
  <si>
    <t>Sub activity 13 (U17)</t>
  </si>
  <si>
    <t>intracounty Media awareness</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</si>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</sst>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_(* #,##0_);_(* \(#,##0\);_(* &quot;-&quot;??_);_(@_)"/>
  </numFmts>
  <fonts count="13" x14ac:knownFonts="1">
    <font>
      <sz val="11"/>
      <color theme="1"/>
      <name val="Calibri"/>
      <family val="2"/>
      <scheme val="minor"/>
    </font>
    <font>
      <sz val="11"/>
      <color theme="1"/>
      <name val="Calibri"/>
      <family val="2"/>
      <scheme val="minor"/>
    </font>
    <font>
      <b/>
      <sz val="11"/>
      <color rgb="FF000000"/>
      <name val="Times New Roman"/>
      <family val="1"/>
    </font>
    <font>
      <sz val="11"/>
      <name val="Times New Roman"/>
      <family val="1"/>
    </font>
    <font>
      <sz val="11"/>
      <color rgb="FF000000"/>
      <name val="Times New Roman"/>
      <family val="1"/>
    </font>
    <font>
      <sz val="11"/>
      <color theme="1"/>
      <name val="Times New Roman"/>
      <family val="1"/>
    </font>
    <font>
      <sz val="11"/>
      <color rgb="FFFF0000"/>
      <name val="Times New Roman"/>
      <family val="1"/>
    </font>
    <font>
      <sz val="11"/>
      <color theme="0" tint="-0.14999847407452621"/>
      <name val="Times New Roman"/>
      <family val="1"/>
    </font>
    <font>
      <b/>
      <sz val="11"/>
      <name val="Times New Roman"/>
      <family val="1"/>
    </font>
    <font>
      <b/>
      <sz val="11"/>
      <color theme="1"/>
      <name val="Times New Roman"/>
      <family val="1"/>
    </font>
    <font>
      <b/>
      <sz val="12"/>
      <color theme="1"/>
      <name val="Calibri"/>
      <family val="2"/>
      <scheme val="minor"/>
    </font>
    <font>
      <sz val="12"/>
      <name val="Calibri"/>
      <family val="2"/>
      <scheme val="minor"/>
    </font>
    <font>
      <b/>
      <i/>
      <u val="singleAccounting"/>
      <sz val="11"/>
      <color rgb="FF000000"/>
      <name val="Times New Roman"/>
      <family val="1"/>
    </font>
  </fonts>
  <fills count="9">
    <fill>
      <patternFill patternType="none"/>
    </fill>
    <fill>
      <patternFill patternType="gray125"/>
    </fill>
    <fill>
      <patternFill patternType="solid">
        <fgColor rgb="FFFDE9D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164" fontId="1" fillId="0" borderId="0" applyFont="0" applyFill="0" applyBorder="0" applyAlignment="0" applyProtection="0"/>
  </cellStyleXfs>
  <cellXfs count="94">
    <xf numFmtId="0" fontId="0" fillId="0" borderId="0" xfId="0"/>
    <xf numFmtId="0" fontId="2" fillId="2" borderId="6" xfId="0" applyFont="1" applyFill="1" applyBorder="1" applyAlignment="1">
      <alignment vertical="top" wrapText="1"/>
    </xf>
    <xf numFmtId="0" fontId="3" fillId="0" borderId="1" xfId="0" applyFont="1" applyBorder="1" applyAlignment="1">
      <alignment vertical="top" wrapText="1"/>
    </xf>
    <xf numFmtId="0" fontId="5"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5" fillId="3" borderId="6" xfId="0" applyFont="1" applyFill="1" applyBorder="1" applyAlignment="1">
      <alignment vertical="top"/>
    </xf>
    <xf numFmtId="164" fontId="2" fillId="0" borderId="5" xfId="1" applyFont="1" applyFill="1" applyBorder="1" applyAlignment="1">
      <alignment horizontal="center" vertical="top" wrapText="1"/>
    </xf>
    <xf numFmtId="165" fontId="2" fillId="0" borderId="5" xfId="0" applyNumberFormat="1" applyFont="1" applyBorder="1" applyAlignment="1">
      <alignment vertical="top" wrapText="1"/>
    </xf>
    <xf numFmtId="0" fontId="3" fillId="0" borderId="7" xfId="0" applyFont="1" applyBorder="1" applyAlignment="1">
      <alignment vertical="top" wrapText="1"/>
    </xf>
    <xf numFmtId="0" fontId="5" fillId="0" borderId="6" xfId="0" applyFont="1" applyBorder="1" applyAlignment="1">
      <alignment vertical="top"/>
    </xf>
    <xf numFmtId="0" fontId="3" fillId="4" borderId="7" xfId="0" applyFont="1" applyFill="1" applyBorder="1" applyAlignment="1">
      <alignment vertical="top" wrapText="1"/>
    </xf>
    <xf numFmtId="164" fontId="5" fillId="0" borderId="6" xfId="1" applyFont="1" applyBorder="1" applyAlignment="1">
      <alignment vertical="top"/>
    </xf>
    <xf numFmtId="0" fontId="3" fillId="0" borderId="6" xfId="0" applyFont="1" applyBorder="1" applyAlignment="1">
      <alignment vertical="top" wrapText="1"/>
    </xf>
    <xf numFmtId="0" fontId="3" fillId="3" borderId="6" xfId="0" applyFont="1" applyFill="1" applyBorder="1" applyAlignment="1">
      <alignment vertical="top" wrapText="1"/>
    </xf>
    <xf numFmtId="164" fontId="3" fillId="0" borderId="6" xfId="1" applyFont="1" applyBorder="1" applyAlignment="1">
      <alignment vertical="top" wrapText="1"/>
    </xf>
    <xf numFmtId="0" fontId="3" fillId="0" borderId="7" xfId="0" applyFont="1" applyBorder="1" applyAlignment="1">
      <alignment horizontal="center" vertical="top" wrapText="1"/>
    </xf>
    <xf numFmtId="164" fontId="3" fillId="0" borderId="6" xfId="1" applyFont="1" applyFill="1" applyBorder="1" applyAlignment="1">
      <alignment vertical="top" wrapText="1"/>
    </xf>
    <xf numFmtId="0" fontId="3" fillId="5" borderId="6" xfId="0" applyFont="1" applyFill="1" applyBorder="1" applyAlignment="1">
      <alignment vertical="top" wrapText="1"/>
    </xf>
    <xf numFmtId="0" fontId="3" fillId="0" borderId="5" xfId="0" applyFont="1" applyBorder="1" applyAlignment="1">
      <alignment horizontal="center" vertical="top" wrapText="1"/>
    </xf>
    <xf numFmtId="164" fontId="5" fillId="0" borderId="6" xfId="1" applyFont="1" applyFill="1" applyBorder="1" applyAlignment="1">
      <alignment vertical="top"/>
    </xf>
    <xf numFmtId="0" fontId="3" fillId="4" borderId="5" xfId="0" applyFont="1" applyFill="1" applyBorder="1" applyAlignment="1">
      <alignment vertical="top" wrapText="1"/>
    </xf>
    <xf numFmtId="0" fontId="7" fillId="0" borderId="6" xfId="0" applyFont="1" applyBorder="1" applyAlignment="1">
      <alignment vertical="top"/>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164" fontId="3" fillId="6" borderId="6" xfId="1" applyFont="1" applyFill="1" applyBorder="1" applyAlignment="1">
      <alignment vertical="top" wrapText="1"/>
    </xf>
    <xf numFmtId="0" fontId="0" fillId="6" borderId="0" xfId="0" applyFill="1"/>
    <xf numFmtId="0" fontId="8" fillId="6" borderId="8" xfId="0" applyFont="1" applyFill="1" applyBorder="1" applyAlignment="1">
      <alignment horizontal="center" vertical="top" wrapText="1"/>
    </xf>
    <xf numFmtId="43" fontId="5" fillId="0" borderId="6" xfId="0" applyNumberFormat="1" applyFont="1" applyBorder="1" applyAlignment="1">
      <alignment vertical="top"/>
    </xf>
    <xf numFmtId="164" fontId="0" fillId="0" borderId="0" xfId="1" applyFont="1"/>
    <xf numFmtId="0" fontId="5" fillId="7" borderId="6" xfId="0" applyFont="1" applyFill="1" applyBorder="1" applyAlignment="1">
      <alignment vertical="top"/>
    </xf>
    <xf numFmtId="43" fontId="5" fillId="6" borderId="6" xfId="0" applyNumberFormat="1" applyFont="1" applyFill="1" applyBorder="1" applyAlignment="1">
      <alignment vertical="top"/>
    </xf>
    <xf numFmtId="0" fontId="5" fillId="0" borderId="0" xfId="0" applyFont="1" applyAlignment="1">
      <alignment vertical="top"/>
    </xf>
    <xf numFmtId="0" fontId="5" fillId="6" borderId="0" xfId="0" applyFont="1" applyFill="1" applyAlignment="1">
      <alignment vertical="top"/>
    </xf>
    <xf numFmtId="164" fontId="5" fillId="5" borderId="6" xfId="1" applyFont="1" applyFill="1" applyBorder="1" applyAlignment="1">
      <alignment vertical="top"/>
    </xf>
    <xf numFmtId="164" fontId="2" fillId="2" borderId="9" xfId="1" quotePrefix="1" applyFont="1" applyFill="1" applyBorder="1" applyAlignment="1">
      <alignment vertical="top" wrapText="1"/>
    </xf>
    <xf numFmtId="164" fontId="2" fillId="2" borderId="5" xfId="1" applyFont="1" applyFill="1" applyBorder="1" applyAlignment="1">
      <alignment vertical="top" wrapText="1"/>
    </xf>
    <xf numFmtId="164" fontId="2" fillId="0" borderId="5" xfId="1" applyFont="1" applyBorder="1" applyAlignment="1">
      <alignment vertical="top" wrapText="1"/>
    </xf>
    <xf numFmtId="0" fontId="2" fillId="2" borderId="4" xfId="0" applyFont="1" applyFill="1" applyBorder="1" applyAlignment="1">
      <alignment vertical="top" wrapText="1"/>
    </xf>
    <xf numFmtId="0" fontId="0" fillId="0" borderId="0" xfId="0" applyAlignment="1">
      <alignment wrapText="1"/>
    </xf>
    <xf numFmtId="164" fontId="0" fillId="0" borderId="0" xfId="1" applyFont="1" applyFill="1" applyBorder="1"/>
    <xf numFmtId="3" fontId="0" fillId="0" borderId="0" xfId="0" applyNumberFormat="1"/>
    <xf numFmtId="0" fontId="0" fillId="8" borderId="0" xfId="0" applyFill="1" applyAlignment="1">
      <alignment wrapText="1"/>
    </xf>
    <xf numFmtId="0" fontId="0" fillId="8" borderId="0" xfId="0" applyFill="1"/>
    <xf numFmtId="43" fontId="0" fillId="8" borderId="0" xfId="0" applyNumberFormat="1" applyFill="1"/>
    <xf numFmtId="0" fontId="0" fillId="6" borderId="0" xfId="0" applyFill="1" applyAlignment="1">
      <alignment wrapText="1"/>
    </xf>
    <xf numFmtId="0" fontId="0" fillId="6" borderId="6" xfId="0" applyFill="1" applyBorder="1"/>
    <xf numFmtId="43" fontId="0" fillId="0" borderId="0" xfId="0" applyNumberFormat="1"/>
    <xf numFmtId="0" fontId="0" fillId="6" borderId="6" xfId="0" applyFill="1" applyBorder="1" applyAlignment="1">
      <alignment wrapText="1"/>
    </xf>
    <xf numFmtId="164" fontId="0" fillId="6" borderId="6" xfId="1" applyFont="1" applyFill="1" applyBorder="1"/>
    <xf numFmtId="164" fontId="0" fillId="0" borderId="0" xfId="1" applyFont="1" applyFill="1"/>
    <xf numFmtId="164" fontId="0" fillId="6" borderId="7" xfId="1" applyFont="1" applyFill="1" applyBorder="1"/>
    <xf numFmtId="164" fontId="0" fillId="8" borderId="0" xfId="1" applyFont="1" applyFill="1"/>
    <xf numFmtId="0" fontId="10" fillId="8" borderId="0" xfId="0" applyFont="1" applyFill="1"/>
    <xf numFmtId="164" fontId="10" fillId="8" borderId="0" xfId="1" applyFont="1" applyFill="1"/>
    <xf numFmtId="43" fontId="10" fillId="8" borderId="0" xfId="0" applyNumberFormat="1" applyFont="1" applyFill="1"/>
    <xf numFmtId="43" fontId="11" fillId="8" borderId="0" xfId="0" applyNumberFormat="1" applyFont="1" applyFill="1"/>
    <xf numFmtId="164" fontId="0" fillId="0" borderId="0" xfId="0" applyNumberFormat="1"/>
    <xf numFmtId="164" fontId="12" fillId="0" borderId="5" xfId="1" applyFont="1" applyBorder="1" applyAlignment="1">
      <alignment vertical="top" wrapText="1"/>
    </xf>
    <xf numFmtId="0" fontId="2" fillId="2" borderId="1" xfId="0" applyFont="1" applyFill="1" applyBorder="1" applyAlignment="1">
      <alignment vertical="top" wrapText="1"/>
    </xf>
    <xf numFmtId="0" fontId="2" fillId="2" borderId="5" xfId="0" applyFont="1" applyFill="1" applyBorder="1" applyAlignment="1">
      <alignment vertical="top" wrapText="1"/>
    </xf>
    <xf numFmtId="0" fontId="2" fillId="2" borderId="2" xfId="0" quotePrefix="1" applyFont="1" applyFill="1" applyBorder="1" applyAlignment="1">
      <alignment vertical="top" wrapText="1"/>
    </xf>
    <xf numFmtId="0" fontId="2" fillId="2" borderId="3" xfId="0" quotePrefix="1" applyFont="1" applyFill="1" applyBorder="1" applyAlignment="1">
      <alignment vertical="top" wrapText="1"/>
    </xf>
    <xf numFmtId="0" fontId="2" fillId="2" borderId="4" xfId="0" quotePrefix="1" applyFont="1" applyFill="1" applyBorder="1" applyAlignment="1">
      <alignment vertical="top" wrapText="1"/>
    </xf>
    <xf numFmtId="164" fontId="2" fillId="2" borderId="1" xfId="1" applyFont="1" applyFill="1" applyBorder="1" applyAlignment="1">
      <alignment horizontal="center" vertical="top" wrapText="1"/>
    </xf>
    <xf numFmtId="164" fontId="2" fillId="2" borderId="5" xfId="1" applyFont="1" applyFill="1" applyBorder="1" applyAlignment="1">
      <alignment horizontal="center" vertical="top" wrapText="1"/>
    </xf>
    <xf numFmtId="165" fontId="2" fillId="2" borderId="1" xfId="0" applyNumberFormat="1" applyFont="1" applyFill="1" applyBorder="1" applyAlignment="1">
      <alignment vertical="top" wrapText="1"/>
    </xf>
    <xf numFmtId="165" fontId="2" fillId="2" borderId="5" xfId="0" applyNumberFormat="1" applyFont="1" applyFill="1" applyBorder="1" applyAlignment="1">
      <alignment vertical="top" wrapText="1"/>
    </xf>
    <xf numFmtId="0" fontId="4" fillId="0" borderId="1" xfId="0" applyFont="1" applyBorder="1" applyAlignment="1">
      <alignment horizontal="center" vertical="top" wrapText="1"/>
    </xf>
    <xf numFmtId="0" fontId="4" fillId="0" borderId="7" xfId="0" applyFont="1" applyBorder="1" applyAlignment="1">
      <alignment horizontal="center" vertical="top" wrapText="1"/>
    </xf>
    <xf numFmtId="0" fontId="4" fillId="0" borderId="5" xfId="0" applyFont="1" applyBorder="1" applyAlignment="1">
      <alignment horizontal="center" vertical="top" wrapText="1"/>
    </xf>
    <xf numFmtId="0" fontId="3" fillId="0" borderId="1" xfId="0" applyFont="1" applyBorder="1" applyAlignment="1">
      <alignment horizontal="center" vertical="top" wrapText="1"/>
    </xf>
    <xf numFmtId="0" fontId="3" fillId="0" borderId="7" xfId="0" applyFont="1" applyBorder="1" applyAlignment="1">
      <alignment horizontal="center" vertical="top" wrapText="1"/>
    </xf>
    <xf numFmtId="0" fontId="3" fillId="0" borderId="5" xfId="0" applyFont="1" applyBorder="1" applyAlignment="1">
      <alignment horizontal="center" vertical="top" wrapText="1"/>
    </xf>
    <xf numFmtId="0" fontId="8" fillId="6" borderId="2" xfId="0" applyFont="1" applyFill="1" applyBorder="1" applyAlignment="1">
      <alignment horizontal="center" vertical="top" wrapText="1"/>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4" borderId="5"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7" xfId="0" applyFont="1" applyBorder="1" applyAlignment="1">
      <alignment horizontal="center" vertical="top" wrapText="1"/>
    </xf>
    <xf numFmtId="0" fontId="5" fillId="0" borderId="5" xfId="0" applyFont="1" applyBorder="1" applyAlignment="1">
      <alignment horizontal="center" vertical="top" wrapText="1"/>
    </xf>
    <xf numFmtId="0" fontId="9" fillId="6" borderId="2" xfId="0" applyFont="1" applyFill="1" applyBorder="1" applyAlignment="1">
      <alignment horizontal="center" vertical="top" wrapText="1"/>
    </xf>
    <xf numFmtId="0" fontId="9" fillId="6" borderId="3" xfId="0" applyFont="1" applyFill="1" applyBorder="1" applyAlignment="1">
      <alignment horizontal="center" vertical="top" wrapText="1"/>
    </xf>
    <xf numFmtId="0" fontId="9" fillId="6" borderId="4" xfId="0" applyFont="1" applyFill="1" applyBorder="1" applyAlignment="1">
      <alignment horizontal="center" vertical="top" wrapText="1"/>
    </xf>
    <xf numFmtId="164" fontId="9" fillId="5" borderId="2" xfId="1" applyFont="1" applyFill="1" applyBorder="1" applyAlignment="1">
      <alignment horizontal="center" vertical="top"/>
    </xf>
    <xf numFmtId="164" fontId="9" fillId="5" borderId="3" xfId="1" applyFont="1" applyFill="1" applyBorder="1" applyAlignment="1">
      <alignment horizontal="center" vertical="top"/>
    </xf>
    <xf numFmtId="164" fontId="9" fillId="5" borderId="4" xfId="1" applyFont="1" applyFill="1" applyBorder="1" applyAlignment="1">
      <alignment horizontal="center" vertical="top"/>
    </xf>
    <xf numFmtId="0" fontId="4" fillId="4" borderId="1" xfId="0" applyFont="1" applyFill="1" applyBorder="1" applyAlignment="1">
      <alignment vertical="top" wrapText="1"/>
    </xf>
    <xf numFmtId="0" fontId="4" fillId="4" borderId="7" xfId="0" applyFont="1" applyFill="1" applyBorder="1" applyAlignment="1">
      <alignment vertical="top" wrapText="1"/>
    </xf>
    <xf numFmtId="0" fontId="4" fillId="4" borderId="5" xfId="0" applyFont="1" applyFill="1" applyBorder="1" applyAlignment="1">
      <alignment vertical="top" wrapText="1"/>
    </xf>
    <xf numFmtId="0" fontId="5" fillId="0" borderId="1" xfId="0" applyFont="1" applyBorder="1" applyAlignment="1">
      <alignment vertical="top" wrapText="1"/>
    </xf>
    <xf numFmtId="0" fontId="5" fillId="0" borderId="7" xfId="0" applyFont="1" applyBorder="1" applyAlignment="1">
      <alignment vertical="top" wrapText="1"/>
    </xf>
    <xf numFmtId="0" fontId="5" fillId="0" borderId="5"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Group%202%20workplan%2031.7.24%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esktop\KSRIC\SBE%20Strategic%20plan\Group%202%20workplan%2031.7.24%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3mwp"/>
      <sheetName val="3 M-Budget"/>
      <sheetName val="Revised 1ywp"/>
      <sheetName val="Itemized 1ywp"/>
      <sheetName val="1Y-Budget"/>
      <sheetName val="ksric budget"/>
    </sheetNames>
    <sheetDataSet>
      <sheetData sheetId="0" refreshError="1"/>
      <sheetData sheetId="1" refreshError="1"/>
      <sheetData sheetId="2" refreshError="1"/>
      <sheetData sheetId="3" refreshError="1"/>
      <sheetData sheetId="4">
        <row r="13">
          <cell r="F13">
            <v>20797000</v>
          </cell>
        </row>
        <row r="15">
          <cell r="L15">
            <v>4843716</v>
          </cell>
        </row>
        <row r="43">
          <cell r="F43">
            <v>12900000</v>
          </cell>
        </row>
        <row r="70">
          <cell r="F70">
            <v>1835000</v>
          </cell>
        </row>
        <row r="84">
          <cell r="F84">
            <v>4925000</v>
          </cell>
        </row>
        <row r="97">
          <cell r="F97">
            <v>1445000</v>
          </cell>
        </row>
        <row r="108">
          <cell r="F108">
            <v>9000000</v>
          </cell>
        </row>
        <row r="122">
          <cell r="F122">
            <v>4481000</v>
          </cell>
        </row>
        <row r="135">
          <cell r="F135">
            <v>5425000</v>
          </cell>
        </row>
        <row r="150">
          <cell r="F150">
            <v>12150000</v>
          </cell>
        </row>
        <row r="165">
          <cell r="F165">
            <v>7937000</v>
          </cell>
        </row>
        <row r="179">
          <cell r="F179">
            <v>6260000</v>
          </cell>
        </row>
        <row r="195">
          <cell r="F195">
            <v>2130000</v>
          </cell>
        </row>
        <row r="210">
          <cell r="F210">
            <v>6905000</v>
          </cell>
        </row>
        <row r="223">
          <cell r="F223">
            <v>3035000</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3mwp"/>
      <sheetName val="3 M-Budget"/>
      <sheetName val="Revised 1ywp"/>
      <sheetName val="Itemized 1ywp"/>
      <sheetName val="1Y-Budget"/>
      <sheetName val="ksric budget"/>
      <sheetName val="Sheet1"/>
    </sheetNames>
    <sheetDataSet>
      <sheetData sheetId="0"/>
      <sheetData sheetId="1"/>
      <sheetData sheetId="2"/>
      <sheetData sheetId="3"/>
      <sheetData sheetId="4"/>
      <sheetData sheetId="5"/>
      <sheetData sheetId="6">
        <row r="3">
          <cell r="E3">
            <v>5</v>
          </cell>
          <cell r="F3">
            <v>14700000</v>
          </cell>
        </row>
        <row r="5">
          <cell r="E5">
            <v>5</v>
          </cell>
          <cell r="F5">
            <v>1785000</v>
          </cell>
        </row>
        <row r="7">
          <cell r="F7">
            <v>112000</v>
          </cell>
        </row>
        <row r="8">
          <cell r="E8">
            <v>5</v>
          </cell>
          <cell r="F8">
            <v>2625000</v>
          </cell>
        </row>
        <row r="10">
          <cell r="E10">
            <v>3</v>
          </cell>
          <cell r="F10">
            <v>1575000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T40"/>
  <sheetViews>
    <sheetView topLeftCell="G16" zoomScale="62" workbookViewId="0">
      <selection activeCell="W9" sqref="W9"/>
    </sheetView>
  </sheetViews>
  <sheetFormatPr defaultRowHeight="15" x14ac:dyDescent="0.25"/>
  <cols>
    <col min="1" max="1" width="24.85546875" style="10" customWidth="1"/>
    <col min="2" max="2" width="22.140625" style="10" customWidth="1"/>
    <col min="3" max="3" width="71.140625" style="10" customWidth="1"/>
    <col min="4" max="4" width="42.5703125" style="10" bestFit="1" customWidth="1"/>
    <col min="5" max="5" width="19.140625" style="10" bestFit="1" customWidth="1"/>
    <col min="6" max="6" width="8.85546875" style="10"/>
    <col min="7" max="7" width="34.140625" style="3" bestFit="1" customWidth="1"/>
    <col min="8" max="20" width="8.85546875" style="10"/>
    <col min="21" max="22" width="13.85546875" style="12" bestFit="1" customWidth="1"/>
    <col min="23" max="25" width="13.85546875" style="12" customWidth="1"/>
    <col min="26" max="26" width="19" style="12" bestFit="1" customWidth="1"/>
    <col min="27" max="27" width="14.5703125" style="10" bestFit="1" customWidth="1"/>
    <col min="28" max="28" width="14" style="10" bestFit="1" customWidth="1"/>
    <col min="29" max="29" width="13.140625" bestFit="1" customWidth="1"/>
  </cols>
  <sheetData>
    <row r="2" spans="1:28" x14ac:dyDescent="0.25">
      <c r="A2" s="59" t="s">
        <v>0</v>
      </c>
      <c r="B2" s="59" t="s">
        <v>1</v>
      </c>
      <c r="C2" s="59" t="s">
        <v>2</v>
      </c>
      <c r="D2" s="59" t="s">
        <v>3</v>
      </c>
      <c r="E2" s="59" t="s">
        <v>4</v>
      </c>
      <c r="F2" s="59" t="s">
        <v>5</v>
      </c>
      <c r="G2" s="59" t="s">
        <v>6</v>
      </c>
      <c r="H2"/>
      <c r="I2" s="61" t="s">
        <v>7</v>
      </c>
      <c r="J2" s="62"/>
      <c r="K2" s="62"/>
      <c r="L2" s="62"/>
      <c r="M2" s="62"/>
      <c r="N2" s="62"/>
      <c r="O2" s="62"/>
      <c r="P2" s="62"/>
      <c r="Q2" s="62"/>
      <c r="R2" s="62"/>
      <c r="S2" s="62"/>
      <c r="T2" s="63"/>
      <c r="U2" s="35"/>
      <c r="V2" s="35"/>
      <c r="W2" s="35"/>
      <c r="X2" s="35"/>
      <c r="Y2" s="35"/>
      <c r="Z2" s="64" t="s">
        <v>8</v>
      </c>
      <c r="AA2" s="38"/>
      <c r="AB2" s="66" t="s">
        <v>9</v>
      </c>
    </row>
    <row r="3" spans="1:28" ht="28.5" x14ac:dyDescent="0.25">
      <c r="A3" s="60"/>
      <c r="B3" s="60"/>
      <c r="C3" s="60"/>
      <c r="D3" s="60"/>
      <c r="E3" s="60"/>
      <c r="F3" s="60"/>
      <c r="G3" s="60"/>
      <c r="H3" s="1" t="s">
        <v>8</v>
      </c>
      <c r="I3" s="1" t="s">
        <v>10</v>
      </c>
      <c r="J3" s="1" t="s">
        <v>11</v>
      </c>
      <c r="K3" s="1" t="s">
        <v>12</v>
      </c>
      <c r="L3" s="1" t="s">
        <v>13</v>
      </c>
      <c r="M3" s="1" t="s">
        <v>14</v>
      </c>
      <c r="N3" s="1" t="s">
        <v>15</v>
      </c>
      <c r="O3" s="1" t="s">
        <v>16</v>
      </c>
      <c r="P3" s="1" t="s">
        <v>17</v>
      </c>
      <c r="Q3" s="1" t="s">
        <v>18</v>
      </c>
      <c r="R3" s="1" t="s">
        <v>19</v>
      </c>
      <c r="S3" s="1" t="s">
        <v>20</v>
      </c>
      <c r="T3" s="1" t="s">
        <v>21</v>
      </c>
      <c r="U3" s="36" t="s">
        <v>22</v>
      </c>
      <c r="V3" s="36" t="s">
        <v>23</v>
      </c>
      <c r="W3" s="36" t="s">
        <v>112</v>
      </c>
      <c r="X3" s="36" t="s">
        <v>113</v>
      </c>
      <c r="Y3" s="36" t="s">
        <v>114</v>
      </c>
      <c r="Z3" s="65"/>
      <c r="AA3" s="1" t="s">
        <v>24</v>
      </c>
      <c r="AB3" s="67"/>
    </row>
    <row r="4" spans="1:28" ht="45" x14ac:dyDescent="0.25">
      <c r="A4" s="2" t="s">
        <v>25</v>
      </c>
      <c r="B4" s="68" t="s">
        <v>26</v>
      </c>
      <c r="C4" s="3" t="s">
        <v>27</v>
      </c>
      <c r="D4" s="3" t="s">
        <v>28</v>
      </c>
      <c r="E4" s="3" t="s">
        <v>29</v>
      </c>
      <c r="F4" s="4">
        <v>5</v>
      </c>
      <c r="G4" s="4" t="s">
        <v>30</v>
      </c>
      <c r="H4" s="5"/>
      <c r="I4" s="6"/>
      <c r="J4" s="5"/>
      <c r="K4" s="5"/>
      <c r="L4" s="5"/>
      <c r="M4" s="5"/>
      <c r="N4" s="5"/>
      <c r="O4" s="5"/>
      <c r="P4" s="5"/>
      <c r="Q4" s="5"/>
      <c r="R4" s="5"/>
      <c r="S4" s="5"/>
      <c r="T4" s="5"/>
      <c r="U4" s="37">
        <v>250000</v>
      </c>
      <c r="V4" s="37">
        <v>0</v>
      </c>
      <c r="W4" s="37">
        <f>V4/3</f>
        <v>0</v>
      </c>
      <c r="X4" s="37">
        <f>W4</f>
        <v>0</v>
      </c>
      <c r="Y4" s="37">
        <f>X4</f>
        <v>0</v>
      </c>
      <c r="Z4" s="7">
        <v>250000</v>
      </c>
      <c r="AA4" s="5"/>
      <c r="AB4" s="8"/>
    </row>
    <row r="5" spans="1:28" ht="45" x14ac:dyDescent="0.25">
      <c r="A5" s="9"/>
      <c r="B5" s="69"/>
      <c r="C5" s="3" t="s">
        <v>31</v>
      </c>
      <c r="D5" s="3" t="s">
        <v>32</v>
      </c>
      <c r="E5" s="3" t="s">
        <v>33</v>
      </c>
      <c r="F5" s="4">
        <v>73</v>
      </c>
      <c r="G5" s="3" t="s">
        <v>34</v>
      </c>
      <c r="H5" s="5"/>
      <c r="J5" s="6"/>
      <c r="K5" s="5"/>
      <c r="L5" s="5"/>
      <c r="M5" s="5"/>
      <c r="N5" s="5"/>
      <c r="O5" s="5"/>
      <c r="P5" s="5"/>
      <c r="Q5" s="5"/>
      <c r="R5" s="5"/>
      <c r="S5" s="5"/>
      <c r="T5" s="5"/>
      <c r="U5" s="37">
        <v>4843716</v>
      </c>
      <c r="V5" s="37">
        <v>0</v>
      </c>
      <c r="W5" s="37">
        <f t="shared" ref="W5" si="0">V5/3</f>
        <v>0</v>
      </c>
      <c r="X5" s="37">
        <f t="shared" ref="X5:Y27" si="1">W5</f>
        <v>0</v>
      </c>
      <c r="Y5" s="37">
        <f t="shared" si="1"/>
        <v>0</v>
      </c>
      <c r="Z5" s="7">
        <f>'[1]1Y-Budget'!L15</f>
        <v>4843716</v>
      </c>
      <c r="AA5" s="5"/>
      <c r="AB5" s="8"/>
    </row>
    <row r="6" spans="1:28" ht="45" x14ac:dyDescent="0.25">
      <c r="A6" s="9"/>
      <c r="B6" s="69"/>
      <c r="C6" s="3" t="s">
        <v>35</v>
      </c>
      <c r="D6" s="3" t="s">
        <v>36</v>
      </c>
      <c r="E6" s="3" t="s">
        <v>37</v>
      </c>
      <c r="F6" s="4">
        <v>5</v>
      </c>
      <c r="G6" s="3" t="s">
        <v>38</v>
      </c>
      <c r="H6" s="5"/>
      <c r="J6" s="6"/>
      <c r="K6" s="6"/>
      <c r="L6" s="6"/>
      <c r="M6" s="6"/>
      <c r="N6" s="6"/>
      <c r="O6" s="6"/>
      <c r="P6" s="6"/>
      <c r="Q6" s="6"/>
      <c r="R6" s="6"/>
      <c r="S6" s="6"/>
      <c r="T6" s="6"/>
      <c r="U6" s="37">
        <v>5160000</v>
      </c>
      <c r="V6" s="37">
        <v>7740000</v>
      </c>
      <c r="W6" s="37">
        <f t="shared" ref="W6" si="2">V6/3</f>
        <v>2580000</v>
      </c>
      <c r="X6" s="37">
        <f t="shared" si="1"/>
        <v>2580000</v>
      </c>
      <c r="Y6" s="37">
        <f t="shared" si="1"/>
        <v>2580000</v>
      </c>
      <c r="Z6" s="7">
        <f>'[1]1Y-Budget'!F43</f>
        <v>12900000</v>
      </c>
      <c r="AA6" s="5"/>
      <c r="AB6" s="8"/>
    </row>
    <row r="7" spans="1:28" ht="120" x14ac:dyDescent="0.25">
      <c r="A7" s="11"/>
      <c r="B7" s="70"/>
      <c r="C7" s="3" t="s">
        <v>39</v>
      </c>
      <c r="D7" s="3" t="s">
        <v>40</v>
      </c>
      <c r="E7" s="3" t="s">
        <v>41</v>
      </c>
      <c r="F7" s="10">
        <v>5</v>
      </c>
      <c r="G7" s="3" t="s">
        <v>42</v>
      </c>
      <c r="J7" s="6"/>
      <c r="K7" s="6"/>
      <c r="L7" s="6"/>
      <c r="M7" s="6"/>
      <c r="N7" s="6"/>
      <c r="O7" s="6"/>
      <c r="P7" s="6"/>
      <c r="Q7" s="6"/>
      <c r="R7" s="6"/>
      <c r="S7" s="6"/>
      <c r="T7" s="6"/>
      <c r="U7" s="58">
        <v>200000</v>
      </c>
      <c r="V7" s="37">
        <f>Z7-U7</f>
        <v>20597000</v>
      </c>
      <c r="W7" s="37">
        <v>3934000</v>
      </c>
      <c r="X7" s="37">
        <v>4347999</v>
      </c>
      <c r="Y7" s="37">
        <f t="shared" si="1"/>
        <v>4347999</v>
      </c>
      <c r="Z7" s="12">
        <f>'[1]1Y-Budget'!F13</f>
        <v>20797000</v>
      </c>
      <c r="AA7" s="28"/>
      <c r="AB7" s="12"/>
    </row>
    <row r="8" spans="1:28" ht="60" x14ac:dyDescent="0.25">
      <c r="A8" s="11"/>
      <c r="B8" s="71" t="s">
        <v>43</v>
      </c>
      <c r="C8" s="3" t="s">
        <v>44</v>
      </c>
      <c r="D8" s="3" t="s">
        <v>45</v>
      </c>
      <c r="E8" s="13" t="s">
        <v>46</v>
      </c>
      <c r="F8" s="13">
        <v>5</v>
      </c>
      <c r="G8" s="13" t="s">
        <v>47</v>
      </c>
      <c r="H8" s="13"/>
      <c r="J8" s="6"/>
      <c r="K8" s="6"/>
      <c r="L8" s="6"/>
      <c r="M8" s="6"/>
      <c r="N8" s="6"/>
      <c r="O8" s="6"/>
      <c r="P8" s="14"/>
      <c r="Q8" s="14"/>
      <c r="R8" s="14"/>
      <c r="S8" s="14"/>
      <c r="T8" s="14"/>
      <c r="U8" s="37">
        <v>130000</v>
      </c>
      <c r="V8" s="37">
        <v>1101000</v>
      </c>
      <c r="W8" s="37">
        <f t="shared" ref="W8" si="3">V8/3</f>
        <v>367000</v>
      </c>
      <c r="X8" s="37">
        <f t="shared" si="1"/>
        <v>367000</v>
      </c>
      <c r="Y8" s="37">
        <f t="shared" si="1"/>
        <v>367000</v>
      </c>
      <c r="Z8" s="15">
        <f>'[1]1Y-Budget'!F70</f>
        <v>1835000</v>
      </c>
      <c r="AA8" s="13"/>
      <c r="AB8" s="13"/>
    </row>
    <row r="9" spans="1:28" ht="45" x14ac:dyDescent="0.25">
      <c r="A9" s="11"/>
      <c r="B9" s="72"/>
      <c r="C9" s="13" t="s">
        <v>48</v>
      </c>
      <c r="D9" s="13" t="s">
        <v>49</v>
      </c>
      <c r="E9" s="13" t="s">
        <v>50</v>
      </c>
      <c r="F9" s="13">
        <v>5</v>
      </c>
      <c r="G9" s="3" t="s">
        <v>51</v>
      </c>
      <c r="H9" s="13"/>
      <c r="I9" s="13"/>
      <c r="J9" s="6"/>
      <c r="K9" s="6"/>
      <c r="L9" s="6"/>
      <c r="M9" s="6"/>
      <c r="N9" s="6"/>
      <c r="O9" s="6"/>
      <c r="P9" s="14"/>
      <c r="Q9" s="14"/>
      <c r="R9" s="14"/>
      <c r="S9" s="14"/>
      <c r="T9" s="14"/>
      <c r="U9" s="37">
        <v>490000</v>
      </c>
      <c r="V9" s="37">
        <v>2955000</v>
      </c>
      <c r="W9" s="37">
        <f t="shared" ref="W9" si="4">V9/3</f>
        <v>985000</v>
      </c>
      <c r="X9" s="37">
        <f t="shared" si="1"/>
        <v>985000</v>
      </c>
      <c r="Y9" s="37">
        <f t="shared" si="1"/>
        <v>985000</v>
      </c>
      <c r="Z9" s="15">
        <f>'[1]1Y-Budget'!F84</f>
        <v>4925000</v>
      </c>
      <c r="AA9" s="13"/>
      <c r="AB9" s="13"/>
    </row>
    <row r="10" spans="1:28" ht="30" x14ac:dyDescent="0.25">
      <c r="A10" s="9"/>
      <c r="B10" s="72"/>
      <c r="C10" s="3" t="s">
        <v>52</v>
      </c>
      <c r="D10" s="3" t="s">
        <v>53</v>
      </c>
      <c r="E10" s="3" t="s">
        <v>54</v>
      </c>
      <c r="F10" s="13">
        <v>1</v>
      </c>
      <c r="G10" s="3" t="s">
        <v>55</v>
      </c>
      <c r="H10" s="13"/>
      <c r="I10" s="13"/>
      <c r="J10" s="13"/>
      <c r="K10" s="13"/>
      <c r="L10" s="13"/>
      <c r="M10" s="13"/>
      <c r="N10" s="13"/>
      <c r="O10" s="13"/>
      <c r="P10" s="13"/>
      <c r="Q10" s="13"/>
      <c r="R10" s="14"/>
      <c r="S10" s="14"/>
      <c r="T10" s="14"/>
      <c r="U10" s="37">
        <v>1800000</v>
      </c>
      <c r="V10" s="37">
        <v>300000</v>
      </c>
      <c r="W10" s="37">
        <v>300000</v>
      </c>
      <c r="X10" s="37">
        <v>0</v>
      </c>
      <c r="Y10" s="37">
        <v>0</v>
      </c>
      <c r="Z10" s="17">
        <v>300000</v>
      </c>
      <c r="AA10" s="13"/>
      <c r="AB10" s="13"/>
    </row>
    <row r="11" spans="1:28" ht="60" x14ac:dyDescent="0.25">
      <c r="A11" s="11"/>
      <c r="B11" s="72"/>
      <c r="C11" s="13" t="s">
        <v>56</v>
      </c>
      <c r="D11" s="13" t="s">
        <v>57</v>
      </c>
      <c r="E11" s="3" t="s">
        <v>58</v>
      </c>
      <c r="F11" s="13">
        <v>5</v>
      </c>
      <c r="G11" s="3" t="s">
        <v>59</v>
      </c>
      <c r="H11" s="13"/>
      <c r="I11" s="18"/>
      <c r="J11" s="18"/>
      <c r="K11" s="18"/>
      <c r="L11" s="18"/>
      <c r="M11" s="18"/>
      <c r="N11" s="18"/>
      <c r="O11" s="18"/>
      <c r="P11" s="18"/>
      <c r="Q11" s="18"/>
      <c r="R11" s="18"/>
      <c r="S11" s="18"/>
      <c r="T11" s="18"/>
      <c r="U11" s="37">
        <v>200000</v>
      </c>
      <c r="V11" s="37">
        <v>0</v>
      </c>
      <c r="W11" s="37">
        <f t="shared" ref="W11" si="5">V11/3</f>
        <v>0</v>
      </c>
      <c r="X11" s="37">
        <f t="shared" si="1"/>
        <v>0</v>
      </c>
      <c r="Y11" s="37">
        <f t="shared" si="1"/>
        <v>0</v>
      </c>
      <c r="Z11" s="15">
        <v>0</v>
      </c>
      <c r="AA11" s="13"/>
      <c r="AB11" s="13"/>
    </row>
    <row r="12" spans="1:28" ht="60" x14ac:dyDescent="0.25">
      <c r="A12" s="11"/>
      <c r="B12" s="73"/>
      <c r="C12" s="13" t="s">
        <v>60</v>
      </c>
      <c r="D12" s="13" t="s">
        <v>61</v>
      </c>
      <c r="E12" s="3" t="s">
        <v>62</v>
      </c>
      <c r="F12" s="13">
        <v>5</v>
      </c>
      <c r="G12" s="3" t="s">
        <v>63</v>
      </c>
      <c r="H12" s="13"/>
      <c r="I12" s="18"/>
      <c r="J12" s="18"/>
      <c r="K12" s="18"/>
      <c r="L12" s="18"/>
      <c r="M12" s="18"/>
      <c r="N12" s="18"/>
      <c r="O12" s="18"/>
      <c r="P12" s="18"/>
      <c r="Q12" s="18"/>
      <c r="R12" s="18"/>
      <c r="S12" s="18"/>
      <c r="T12" s="18"/>
      <c r="U12" s="37">
        <v>500000</v>
      </c>
      <c r="V12" s="37">
        <v>0</v>
      </c>
      <c r="W12" s="37">
        <f t="shared" ref="W12" si="6">V12/3</f>
        <v>0</v>
      </c>
      <c r="X12" s="37">
        <f t="shared" si="1"/>
        <v>0</v>
      </c>
      <c r="Y12" s="37">
        <f t="shared" si="1"/>
        <v>0</v>
      </c>
      <c r="Z12" s="15">
        <v>0</v>
      </c>
      <c r="AA12" s="13"/>
      <c r="AB12" s="13"/>
    </row>
    <row r="13" spans="1:28" ht="60" x14ac:dyDescent="0.25">
      <c r="A13" s="11"/>
      <c r="B13" s="71" t="s">
        <v>64</v>
      </c>
      <c r="C13" s="3" t="s">
        <v>65</v>
      </c>
      <c r="D13" s="3" t="s">
        <v>66</v>
      </c>
      <c r="E13" s="13" t="s">
        <v>46</v>
      </c>
      <c r="F13" s="13">
        <v>5</v>
      </c>
      <c r="G13" s="13" t="s">
        <v>47</v>
      </c>
      <c r="H13" s="13"/>
      <c r="J13" s="6"/>
      <c r="K13" s="6"/>
      <c r="L13" s="6"/>
      <c r="M13" s="6"/>
      <c r="N13" s="6"/>
      <c r="O13" s="6"/>
      <c r="P13" s="6"/>
      <c r="Q13" s="6"/>
      <c r="R13" s="6"/>
      <c r="S13" s="6"/>
      <c r="T13" s="6"/>
      <c r="U13" s="37">
        <v>400000</v>
      </c>
      <c r="V13" s="37">
        <v>867000</v>
      </c>
      <c r="W13" s="37">
        <f t="shared" ref="W13" si="7">V13/3</f>
        <v>289000</v>
      </c>
      <c r="X13" s="37">
        <f t="shared" si="1"/>
        <v>289000</v>
      </c>
      <c r="Y13" s="37">
        <f t="shared" si="1"/>
        <v>289000</v>
      </c>
      <c r="Z13" s="12">
        <f>'[1]1Y-Budget'!F97</f>
        <v>1445000</v>
      </c>
      <c r="AB13" s="20"/>
    </row>
    <row r="14" spans="1:28" ht="45" x14ac:dyDescent="0.25">
      <c r="A14" s="11"/>
      <c r="B14" s="72"/>
      <c r="C14" s="13" t="s">
        <v>67</v>
      </c>
      <c r="D14" s="13" t="s">
        <v>68</v>
      </c>
      <c r="E14" s="13" t="s">
        <v>50</v>
      </c>
      <c r="F14" s="13">
        <v>5</v>
      </c>
      <c r="G14" s="3" t="s">
        <v>51</v>
      </c>
      <c r="H14" s="13"/>
      <c r="J14" s="6"/>
      <c r="K14" s="6"/>
      <c r="L14" s="6"/>
      <c r="M14" s="6"/>
      <c r="N14" s="6"/>
      <c r="O14" s="6"/>
      <c r="P14" s="6"/>
      <c r="Q14" s="6"/>
      <c r="R14" s="6"/>
      <c r="S14" s="6"/>
      <c r="T14" s="6"/>
      <c r="U14" s="37">
        <v>50000</v>
      </c>
      <c r="V14" s="37">
        <v>5400000</v>
      </c>
      <c r="W14" s="37">
        <f t="shared" ref="W14" si="8">V14/3</f>
        <v>1800000</v>
      </c>
      <c r="X14" s="37">
        <f t="shared" si="1"/>
        <v>1800000</v>
      </c>
      <c r="Y14" s="37">
        <f t="shared" si="1"/>
        <v>1800000</v>
      </c>
      <c r="Z14" s="12">
        <f>'[1]1Y-Budget'!F108</f>
        <v>9000000</v>
      </c>
      <c r="AB14" s="20"/>
    </row>
    <row r="15" spans="1:28" ht="45" x14ac:dyDescent="0.25">
      <c r="A15" s="11"/>
      <c r="B15" s="72"/>
      <c r="C15" s="3" t="s">
        <v>69</v>
      </c>
      <c r="D15" s="3" t="s">
        <v>70</v>
      </c>
      <c r="E15" s="3" t="s">
        <v>71</v>
      </c>
      <c r="F15" s="10">
        <v>5</v>
      </c>
      <c r="G15" s="3" t="s">
        <v>72</v>
      </c>
      <c r="J15" s="6"/>
      <c r="K15" s="6"/>
      <c r="L15" s="6"/>
      <c r="M15" s="6"/>
      <c r="N15" s="6"/>
      <c r="O15" s="6"/>
      <c r="P15" s="6"/>
      <c r="Q15" s="6"/>
      <c r="R15" s="6"/>
      <c r="S15" s="6"/>
      <c r="T15" s="6"/>
      <c r="U15" s="37">
        <v>263716</v>
      </c>
      <c r="V15" s="37">
        <v>2688600</v>
      </c>
      <c r="W15" s="37">
        <f t="shared" ref="W15" si="9">V15/3</f>
        <v>896200</v>
      </c>
      <c r="X15" s="37">
        <f t="shared" si="1"/>
        <v>896200</v>
      </c>
      <c r="Y15" s="37">
        <f t="shared" si="1"/>
        <v>896200</v>
      </c>
      <c r="Z15" s="12">
        <f>'[1]1Y-Budget'!F122</f>
        <v>4481000</v>
      </c>
      <c r="AB15" s="20"/>
    </row>
    <row r="16" spans="1:28" ht="60" x14ac:dyDescent="0.25">
      <c r="A16" s="11"/>
      <c r="B16" s="72"/>
      <c r="C16" s="3" t="s">
        <v>73</v>
      </c>
      <c r="D16" s="3" t="s">
        <v>74</v>
      </c>
      <c r="E16" s="3" t="s">
        <v>75</v>
      </c>
      <c r="F16" s="10">
        <v>10</v>
      </c>
      <c r="G16" s="3" t="s">
        <v>76</v>
      </c>
      <c r="J16" s="6"/>
      <c r="K16" s="6"/>
      <c r="L16" s="6"/>
      <c r="U16" s="37">
        <v>250000</v>
      </c>
      <c r="V16" s="37">
        <v>0</v>
      </c>
      <c r="W16" s="37">
        <f t="shared" ref="W16" si="10">V16/3</f>
        <v>0</v>
      </c>
      <c r="X16" s="37">
        <f t="shared" si="1"/>
        <v>0</v>
      </c>
      <c r="Y16" s="37">
        <f t="shared" si="1"/>
        <v>0</v>
      </c>
      <c r="Z16" s="12">
        <f>100000*5</f>
        <v>500000</v>
      </c>
      <c r="AB16" s="20"/>
    </row>
    <row r="17" spans="1:46" ht="60" x14ac:dyDescent="0.25">
      <c r="A17" s="21"/>
      <c r="B17" s="73"/>
      <c r="C17" s="3" t="s">
        <v>77</v>
      </c>
      <c r="D17" s="3" t="s">
        <v>78</v>
      </c>
      <c r="E17" s="3" t="s">
        <v>79</v>
      </c>
      <c r="F17" s="10">
        <v>50</v>
      </c>
      <c r="G17" s="3" t="s">
        <v>80</v>
      </c>
      <c r="J17" s="6"/>
      <c r="K17" s="6"/>
      <c r="L17" s="6"/>
      <c r="M17" s="6"/>
      <c r="N17" s="6"/>
      <c r="O17" s="6"/>
      <c r="P17" s="6"/>
      <c r="Q17" s="6"/>
      <c r="R17" s="6"/>
      <c r="S17" s="6"/>
      <c r="T17" s="6"/>
      <c r="U17" s="37">
        <v>2170000</v>
      </c>
      <c r="V17" s="37">
        <v>3255000</v>
      </c>
      <c r="W17" s="37">
        <f t="shared" ref="W17" si="11">V17/3</f>
        <v>1085000</v>
      </c>
      <c r="X17" s="37">
        <f t="shared" si="1"/>
        <v>1085000</v>
      </c>
      <c r="Y17" s="37">
        <f t="shared" si="1"/>
        <v>1085000</v>
      </c>
      <c r="Z17" s="12">
        <f>'[1]1Y-Budget'!F135</f>
        <v>5425000</v>
      </c>
      <c r="AB17" s="20"/>
    </row>
    <row r="18" spans="1:46" ht="60" x14ac:dyDescent="0.25">
      <c r="A18" s="16"/>
      <c r="B18" s="19"/>
      <c r="C18" s="13" t="s">
        <v>81</v>
      </c>
      <c r="D18" s="13" t="s">
        <v>82</v>
      </c>
      <c r="E18" s="3" t="s">
        <v>62</v>
      </c>
      <c r="G18" s="3" t="s">
        <v>63</v>
      </c>
      <c r="J18" s="22"/>
      <c r="K18" s="22"/>
      <c r="L18" s="22"/>
      <c r="M18" s="22"/>
      <c r="N18" s="22"/>
      <c r="O18" s="22"/>
      <c r="P18" s="22"/>
      <c r="Q18" s="22"/>
      <c r="R18" s="22"/>
      <c r="S18" s="22"/>
      <c r="T18" s="22"/>
      <c r="U18" s="37">
        <v>0</v>
      </c>
      <c r="V18" s="37">
        <v>0</v>
      </c>
      <c r="W18" s="37">
        <f t="shared" ref="W18" si="12">V18/3</f>
        <v>0</v>
      </c>
      <c r="X18" s="37">
        <f t="shared" si="1"/>
        <v>0</v>
      </c>
      <c r="Y18" s="37">
        <f t="shared" si="1"/>
        <v>0</v>
      </c>
      <c r="Z18" s="20">
        <v>0</v>
      </c>
      <c r="AB18" s="20"/>
    </row>
    <row r="19" spans="1:46" s="26" customFormat="1" x14ac:dyDescent="0.25">
      <c r="A19" s="11"/>
      <c r="B19" s="74" t="s">
        <v>83</v>
      </c>
      <c r="C19" s="75"/>
      <c r="D19" s="75"/>
      <c r="E19" s="75"/>
      <c r="F19" s="75"/>
      <c r="G19" s="75"/>
      <c r="H19" s="75"/>
      <c r="I19" s="75"/>
      <c r="J19" s="75"/>
      <c r="K19" s="75"/>
      <c r="L19" s="75"/>
      <c r="M19" s="75"/>
      <c r="N19" s="75"/>
      <c r="O19" s="75"/>
      <c r="P19" s="75"/>
      <c r="Q19" s="75"/>
      <c r="R19" s="75"/>
      <c r="S19" s="75"/>
      <c r="T19" s="76"/>
      <c r="U19" s="37">
        <f>SUM(U4:U18)</f>
        <v>16707432</v>
      </c>
      <c r="V19" s="37">
        <f>SUM(V4:V18)</f>
        <v>44903600</v>
      </c>
      <c r="W19" s="37">
        <f t="shared" ref="W19" si="13">V19/3</f>
        <v>14967866.666666666</v>
      </c>
      <c r="X19" s="37">
        <f t="shared" si="1"/>
        <v>14967866.666666666</v>
      </c>
      <c r="Y19" s="37">
        <f t="shared" si="1"/>
        <v>14967866.666666666</v>
      </c>
      <c r="Z19" s="25">
        <f>SUM(Z4:Z18)</f>
        <v>66701716</v>
      </c>
      <c r="AA19" s="13"/>
      <c r="AB19" s="13"/>
      <c r="AC19"/>
      <c r="AD19"/>
      <c r="AE19"/>
      <c r="AF19"/>
      <c r="AG19"/>
      <c r="AH19"/>
      <c r="AI19"/>
      <c r="AJ19"/>
      <c r="AK19"/>
      <c r="AL19"/>
      <c r="AM19"/>
      <c r="AN19"/>
      <c r="AO19"/>
      <c r="AP19"/>
      <c r="AQ19"/>
      <c r="AR19"/>
      <c r="AS19"/>
      <c r="AT19"/>
    </row>
    <row r="20" spans="1:46" s="26" customFormat="1" ht="28.5" x14ac:dyDescent="0.25">
      <c r="A20" s="77" t="s">
        <v>84</v>
      </c>
      <c r="B20" s="27" t="s">
        <v>85</v>
      </c>
      <c r="C20" s="23"/>
      <c r="D20" s="23"/>
      <c r="E20" s="23"/>
      <c r="F20" s="23"/>
      <c r="G20" s="23"/>
      <c r="H20" s="23"/>
      <c r="I20" s="23"/>
      <c r="J20" s="23"/>
      <c r="K20" s="23"/>
      <c r="L20" s="23"/>
      <c r="M20" s="23"/>
      <c r="N20" s="23"/>
      <c r="O20" s="23"/>
      <c r="P20" s="23"/>
      <c r="Q20" s="23"/>
      <c r="R20" s="23"/>
      <c r="S20" s="23"/>
      <c r="T20" s="24"/>
      <c r="U20" s="37">
        <v>2655000</v>
      </c>
      <c r="V20" s="37">
        <v>7965000</v>
      </c>
      <c r="W20" s="37">
        <f t="shared" ref="W20" si="14">V20/3</f>
        <v>2655000</v>
      </c>
      <c r="X20" s="37">
        <f t="shared" si="1"/>
        <v>2655000</v>
      </c>
      <c r="Y20" s="37">
        <f t="shared" si="1"/>
        <v>2655000</v>
      </c>
      <c r="Z20" s="25">
        <v>10620000</v>
      </c>
      <c r="AA20" s="13"/>
      <c r="AB20" s="13"/>
      <c r="AC20"/>
      <c r="AD20"/>
      <c r="AE20"/>
      <c r="AF20"/>
      <c r="AG20"/>
      <c r="AH20"/>
      <c r="AI20"/>
      <c r="AJ20"/>
      <c r="AK20"/>
      <c r="AL20"/>
      <c r="AM20"/>
      <c r="AN20"/>
      <c r="AO20"/>
      <c r="AP20"/>
      <c r="AQ20"/>
      <c r="AR20"/>
      <c r="AS20"/>
      <c r="AT20"/>
    </row>
    <row r="21" spans="1:46" ht="90" x14ac:dyDescent="0.25">
      <c r="A21" s="77"/>
      <c r="B21" s="79" t="s">
        <v>86</v>
      </c>
      <c r="C21" s="3" t="s">
        <v>87</v>
      </c>
      <c r="D21" s="3" t="s">
        <v>88</v>
      </c>
      <c r="E21" s="3" t="s">
        <v>89</v>
      </c>
      <c r="F21" s="10">
        <v>5</v>
      </c>
      <c r="G21" s="3" t="s">
        <v>90</v>
      </c>
      <c r="J21" s="6"/>
      <c r="K21" s="6"/>
      <c r="L21" s="6"/>
      <c r="M21" s="6"/>
      <c r="N21" s="6"/>
      <c r="O21" s="6"/>
      <c r="P21" s="6"/>
      <c r="Q21" s="6"/>
      <c r="R21" s="6"/>
      <c r="S21" s="6"/>
      <c r="T21" s="6"/>
      <c r="U21" s="37">
        <v>4860000</v>
      </c>
      <c r="V21" s="37">
        <v>7290000</v>
      </c>
      <c r="W21" s="37">
        <f t="shared" ref="W21" si="15">V21/3</f>
        <v>2430000</v>
      </c>
      <c r="X21" s="37">
        <f t="shared" si="1"/>
        <v>2430000</v>
      </c>
      <c r="Y21" s="37">
        <f t="shared" si="1"/>
        <v>2430000</v>
      </c>
      <c r="Z21" s="12">
        <f>'[1]1Y-Budget'!F150</f>
        <v>12150000</v>
      </c>
      <c r="AB21" s="12"/>
    </row>
    <row r="22" spans="1:46" ht="75" x14ac:dyDescent="0.25">
      <c r="A22" s="77"/>
      <c r="B22" s="80"/>
      <c r="C22" s="3" t="s">
        <v>91</v>
      </c>
      <c r="D22" s="3" t="s">
        <v>92</v>
      </c>
      <c r="E22" s="3" t="s">
        <v>89</v>
      </c>
      <c r="F22" s="10">
        <v>5</v>
      </c>
      <c r="G22" s="3" t="s">
        <v>93</v>
      </c>
      <c r="J22" s="6"/>
      <c r="K22" s="6"/>
      <c r="L22" s="6"/>
      <c r="M22" s="6"/>
      <c r="N22" s="6"/>
      <c r="O22" s="6"/>
      <c r="P22" s="6"/>
      <c r="Q22" s="6"/>
      <c r="R22" s="6"/>
      <c r="S22" s="6"/>
      <c r="T22" s="6"/>
      <c r="U22" s="37">
        <v>2762000</v>
      </c>
      <c r="V22" s="37">
        <v>4143000</v>
      </c>
      <c r="W22" s="37">
        <f t="shared" ref="W22" si="16">V22/3</f>
        <v>1381000</v>
      </c>
      <c r="X22" s="37">
        <f t="shared" si="1"/>
        <v>1381000</v>
      </c>
      <c r="Y22" s="37">
        <f t="shared" si="1"/>
        <v>1381000</v>
      </c>
      <c r="Z22" s="20">
        <f>'[1]1Y-Budget'!F210</f>
        <v>6905000</v>
      </c>
      <c r="AB22" s="20"/>
    </row>
    <row r="23" spans="1:46" ht="60" x14ac:dyDescent="0.25">
      <c r="A23" s="77"/>
      <c r="B23" s="80" t="s">
        <v>94</v>
      </c>
      <c r="C23" s="3" t="s">
        <v>95</v>
      </c>
      <c r="D23" s="3" t="s">
        <v>96</v>
      </c>
      <c r="E23" s="3" t="s">
        <v>97</v>
      </c>
      <c r="F23" s="10">
        <v>1</v>
      </c>
      <c r="G23" s="13" t="s">
        <v>98</v>
      </c>
      <c r="J23" s="6"/>
      <c r="K23" s="6"/>
      <c r="L23" s="6"/>
      <c r="M23" s="6"/>
      <c r="N23" s="6"/>
      <c r="O23" s="6"/>
      <c r="P23" s="6"/>
      <c r="Q23" s="6"/>
      <c r="R23" s="6"/>
      <c r="S23" s="6"/>
      <c r="T23" s="6"/>
      <c r="U23" s="37">
        <v>1214000</v>
      </c>
      <c r="V23" s="37">
        <v>1821000</v>
      </c>
      <c r="W23" s="37">
        <v>1821000</v>
      </c>
      <c r="X23" s="37">
        <v>0</v>
      </c>
      <c r="Y23" s="37">
        <v>0</v>
      </c>
      <c r="Z23" s="20">
        <f>'[1]1Y-Budget'!F223</f>
        <v>3035000</v>
      </c>
      <c r="AB23" s="20"/>
      <c r="AC23" s="47"/>
    </row>
    <row r="24" spans="1:46" ht="45" x14ac:dyDescent="0.25">
      <c r="A24" s="77"/>
      <c r="B24" s="80"/>
      <c r="C24" s="3" t="s">
        <v>99</v>
      </c>
      <c r="D24" s="3" t="s">
        <v>100</v>
      </c>
      <c r="E24" s="3" t="s">
        <v>101</v>
      </c>
      <c r="F24" s="3">
        <v>5</v>
      </c>
      <c r="G24" s="3" t="s">
        <v>102</v>
      </c>
      <c r="I24" s="6"/>
      <c r="J24" s="6"/>
      <c r="K24" s="6"/>
      <c r="L24" s="6"/>
      <c r="M24" s="6"/>
      <c r="N24" s="6"/>
      <c r="O24" s="6"/>
      <c r="P24" s="6"/>
      <c r="Q24" s="6"/>
      <c r="R24" s="6"/>
      <c r="S24" s="6"/>
      <c r="T24" s="6"/>
      <c r="U24" s="37">
        <v>3174800</v>
      </c>
      <c r="V24" s="37">
        <v>4762200</v>
      </c>
      <c r="W24" s="37">
        <f t="shared" ref="W24" si="17">V24/3</f>
        <v>1587400</v>
      </c>
      <c r="X24" s="37">
        <f t="shared" si="1"/>
        <v>1587400</v>
      </c>
      <c r="Y24" s="37">
        <f t="shared" si="1"/>
        <v>1587400</v>
      </c>
      <c r="Z24" s="12">
        <f>'[1]1Y-Budget'!F165</f>
        <v>7937000</v>
      </c>
    </row>
    <row r="25" spans="1:46" ht="60" x14ac:dyDescent="0.25">
      <c r="A25" s="77"/>
      <c r="B25" s="80"/>
      <c r="C25" s="3" t="s">
        <v>103</v>
      </c>
      <c r="D25" s="3" t="s">
        <v>104</v>
      </c>
      <c r="E25" s="3" t="s">
        <v>105</v>
      </c>
      <c r="F25" s="10">
        <v>5</v>
      </c>
      <c r="G25" s="3" t="s">
        <v>106</v>
      </c>
      <c r="I25" s="6"/>
      <c r="J25" s="6"/>
      <c r="K25" s="6"/>
      <c r="L25" s="6"/>
      <c r="M25" s="6"/>
      <c r="N25" s="6"/>
      <c r="O25" s="6"/>
      <c r="P25" s="6"/>
      <c r="Q25" s="6"/>
      <c r="R25" s="6"/>
      <c r="S25" s="6"/>
      <c r="T25" s="6"/>
      <c r="U25" s="37">
        <v>2504000</v>
      </c>
      <c r="V25" s="37">
        <v>3756000</v>
      </c>
      <c r="W25" s="37">
        <f t="shared" ref="W25" si="18">V25/3</f>
        <v>1252000</v>
      </c>
      <c r="X25" s="37">
        <f t="shared" si="1"/>
        <v>1252000</v>
      </c>
      <c r="Y25" s="37">
        <f t="shared" si="1"/>
        <v>1252000</v>
      </c>
      <c r="Z25" s="29">
        <f>'[1]1Y-Budget'!F179</f>
        <v>6260000</v>
      </c>
      <c r="AA25"/>
      <c r="AB25"/>
    </row>
    <row r="26" spans="1:46" s="30" customFormat="1" ht="60" x14ac:dyDescent="0.25">
      <c r="A26" s="78"/>
      <c r="B26" s="81"/>
      <c r="C26" s="3" t="s">
        <v>107</v>
      </c>
      <c r="D26" s="3" t="s">
        <v>108</v>
      </c>
      <c r="E26" s="3" t="s">
        <v>109</v>
      </c>
      <c r="F26" s="3">
        <v>4</v>
      </c>
      <c r="G26" s="3" t="s">
        <v>110</v>
      </c>
      <c r="H26" s="10"/>
      <c r="I26" s="10"/>
      <c r="J26" s="10"/>
      <c r="K26" s="6"/>
      <c r="L26" s="6"/>
      <c r="M26" s="6"/>
      <c r="N26" s="6"/>
      <c r="O26" s="6"/>
      <c r="P26" s="6"/>
      <c r="Q26" s="6"/>
      <c r="R26" s="6"/>
      <c r="S26" s="6"/>
      <c r="T26" s="6"/>
      <c r="U26" s="37">
        <v>0</v>
      </c>
      <c r="V26" s="37">
        <v>2130000</v>
      </c>
      <c r="W26" s="37">
        <f t="shared" ref="W26" si="19">V26/3</f>
        <v>710000</v>
      </c>
      <c r="X26" s="37">
        <f t="shared" si="1"/>
        <v>710000</v>
      </c>
      <c r="Y26" s="37">
        <f t="shared" si="1"/>
        <v>710000</v>
      </c>
      <c r="Z26" s="28">
        <f>'[1]1Y-Budget'!F195</f>
        <v>2130000</v>
      </c>
      <c r="AA26" s="28"/>
      <c r="AB26" s="10"/>
      <c r="AC26" s="10"/>
      <c r="AD26" s="10"/>
      <c r="AE26" s="10"/>
      <c r="AF26" s="10"/>
      <c r="AG26" s="10"/>
      <c r="AH26" s="10"/>
      <c r="AI26" s="10"/>
      <c r="AJ26" s="10"/>
      <c r="AK26" s="10"/>
      <c r="AL26" s="10"/>
      <c r="AM26" s="10"/>
      <c r="AN26" s="10"/>
      <c r="AO26" s="10"/>
      <c r="AP26" s="10"/>
      <c r="AQ26" s="10"/>
      <c r="AR26" s="10"/>
      <c r="AS26" s="10"/>
      <c r="AT26" s="10"/>
    </row>
    <row r="27" spans="1:46" s="33" customFormat="1" x14ac:dyDescent="0.25">
      <c r="A27" s="82" t="s">
        <v>83</v>
      </c>
      <c r="B27" s="83"/>
      <c r="C27" s="83"/>
      <c r="D27" s="83"/>
      <c r="E27" s="83"/>
      <c r="F27" s="83"/>
      <c r="G27" s="83"/>
      <c r="H27" s="83"/>
      <c r="I27" s="83"/>
      <c r="J27" s="83"/>
      <c r="K27" s="83"/>
      <c r="L27" s="83"/>
      <c r="M27" s="83"/>
      <c r="N27" s="83"/>
      <c r="O27" s="83"/>
      <c r="P27" s="83"/>
      <c r="Q27" s="83"/>
      <c r="R27" s="83"/>
      <c r="S27" s="83"/>
      <c r="T27" s="84"/>
      <c r="U27" s="37">
        <f>SUM(U20:U26)</f>
        <v>17169800</v>
      </c>
      <c r="V27" s="37">
        <f>SUM(V20:V26)</f>
        <v>31867200</v>
      </c>
      <c r="W27" s="37">
        <f t="shared" ref="W27" si="20">V27/3</f>
        <v>10622400</v>
      </c>
      <c r="X27" s="37">
        <f t="shared" si="1"/>
        <v>10622400</v>
      </c>
      <c r="Y27" s="37">
        <f t="shared" si="1"/>
        <v>10622400</v>
      </c>
      <c r="Z27" s="31">
        <f>SUM(Z20:Z26)</f>
        <v>49037000</v>
      </c>
      <c r="AA27" s="10"/>
      <c r="AB27" s="10"/>
      <c r="AC27" s="32"/>
      <c r="AD27" s="32"/>
      <c r="AE27" s="32"/>
      <c r="AF27" s="32"/>
      <c r="AG27" s="32"/>
      <c r="AH27" s="32"/>
      <c r="AI27" s="32"/>
      <c r="AJ27" s="32"/>
      <c r="AK27" s="32"/>
      <c r="AL27" s="32"/>
      <c r="AM27" s="32"/>
      <c r="AN27" s="32"/>
      <c r="AO27" s="32"/>
      <c r="AP27" s="32"/>
      <c r="AQ27" s="32"/>
      <c r="AR27" s="32"/>
      <c r="AS27" s="32"/>
      <c r="AT27" s="32"/>
    </row>
    <row r="28" spans="1:46" x14ac:dyDescent="0.25">
      <c r="A28" s="85" t="s">
        <v>111</v>
      </c>
      <c r="B28" s="86"/>
      <c r="C28" s="86"/>
      <c r="D28" s="86"/>
      <c r="E28" s="86"/>
      <c r="F28" s="86"/>
      <c r="G28" s="86"/>
      <c r="H28" s="86"/>
      <c r="I28" s="86"/>
      <c r="J28" s="86"/>
      <c r="K28" s="86"/>
      <c r="L28" s="86"/>
      <c r="M28" s="86"/>
      <c r="N28" s="86"/>
      <c r="O28" s="86"/>
      <c r="P28" s="86"/>
      <c r="Q28" s="86"/>
      <c r="R28" s="86"/>
      <c r="S28" s="86"/>
      <c r="T28" s="87"/>
      <c r="U28" s="37"/>
      <c r="V28" s="37"/>
      <c r="W28" s="37"/>
      <c r="X28" s="37"/>
      <c r="Y28" s="37"/>
      <c r="Z28" s="34">
        <f>Z27+Z19</f>
        <v>115738716</v>
      </c>
      <c r="AB28" s="20"/>
    </row>
    <row r="29" spans="1:46" x14ac:dyDescent="0.25">
      <c r="A29" s="88"/>
      <c r="B29" s="91"/>
      <c r="C29" s="3"/>
      <c r="D29" s="3"/>
      <c r="E29" s="3"/>
      <c r="AB29" s="20"/>
    </row>
    <row r="30" spans="1:46" x14ac:dyDescent="0.25">
      <c r="A30" s="89"/>
      <c r="B30" s="92"/>
      <c r="C30" s="3"/>
      <c r="D30" s="3"/>
      <c r="E30" s="3"/>
      <c r="AB30" s="20"/>
    </row>
    <row r="31" spans="1:46" x14ac:dyDescent="0.25">
      <c r="A31" s="89"/>
      <c r="B31" s="92"/>
      <c r="C31" s="3"/>
      <c r="D31" s="3"/>
      <c r="E31" s="3"/>
      <c r="F31" s="3"/>
      <c r="AB31" s="20"/>
    </row>
    <row r="32" spans="1:46" x14ac:dyDescent="0.25">
      <c r="A32" s="89"/>
      <c r="B32" s="92"/>
      <c r="C32" s="3"/>
      <c r="D32" s="3"/>
      <c r="E32" s="3"/>
      <c r="F32" s="3"/>
    </row>
    <row r="33" spans="1:28" x14ac:dyDescent="0.25">
      <c r="A33" s="89"/>
      <c r="B33" s="92"/>
      <c r="C33" s="3"/>
      <c r="D33" s="3"/>
      <c r="E33" s="3"/>
      <c r="F33" s="3"/>
    </row>
    <row r="34" spans="1:28" x14ac:dyDescent="0.25">
      <c r="A34" s="89"/>
      <c r="B34" s="92"/>
      <c r="C34" s="91"/>
      <c r="D34" s="3"/>
      <c r="E34" s="3"/>
      <c r="F34" s="3"/>
    </row>
    <row r="35" spans="1:28" x14ac:dyDescent="0.25">
      <c r="A35" s="89"/>
      <c r="B35" s="93"/>
      <c r="C35" s="93"/>
      <c r="D35" s="3"/>
      <c r="E35" s="3"/>
      <c r="F35" s="3"/>
    </row>
    <row r="36" spans="1:28" x14ac:dyDescent="0.25">
      <c r="A36" s="89"/>
      <c r="B36" s="91"/>
      <c r="C36" s="3"/>
      <c r="D36" s="3"/>
      <c r="E36" s="3"/>
      <c r="F36" s="3"/>
      <c r="AB36" s="20"/>
    </row>
    <row r="37" spans="1:28" x14ac:dyDescent="0.25">
      <c r="A37" s="89"/>
      <c r="B37" s="92"/>
      <c r="C37" s="3"/>
      <c r="D37" s="3"/>
      <c r="E37" s="3"/>
      <c r="F37" s="3"/>
    </row>
    <row r="38" spans="1:28" x14ac:dyDescent="0.25">
      <c r="A38" s="89"/>
      <c r="B38" s="92"/>
      <c r="C38" s="3"/>
      <c r="D38" s="3"/>
      <c r="E38" s="3"/>
      <c r="F38" s="3"/>
    </row>
    <row r="39" spans="1:28" x14ac:dyDescent="0.25">
      <c r="A39" s="89"/>
      <c r="B39" s="92"/>
      <c r="C39" s="3"/>
      <c r="D39" s="3"/>
      <c r="E39" s="3"/>
      <c r="F39" s="3"/>
    </row>
    <row r="40" spans="1:28" x14ac:dyDescent="0.25">
      <c r="A40" s="90"/>
      <c r="B40" s="93"/>
      <c r="D40" s="3"/>
      <c r="E40" s="3"/>
    </row>
  </sheetData>
  <mergeCells count="23">
    <mergeCell ref="A27:T27"/>
    <mergeCell ref="A28:T28"/>
    <mergeCell ref="A29:A40"/>
    <mergeCell ref="B29:B35"/>
    <mergeCell ref="C34:C35"/>
    <mergeCell ref="B36:B40"/>
    <mergeCell ref="B4:B7"/>
    <mergeCell ref="B8:B12"/>
    <mergeCell ref="B13:B17"/>
    <mergeCell ref="B19:T19"/>
    <mergeCell ref="A20:A26"/>
    <mergeCell ref="B21:B22"/>
    <mergeCell ref="B23:B26"/>
    <mergeCell ref="G2:G3"/>
    <mergeCell ref="I2:T2"/>
    <mergeCell ref="Z2:Z3"/>
    <mergeCell ref="AB2:AB3"/>
    <mergeCell ref="A2:A3"/>
    <mergeCell ref="B2:B3"/>
    <mergeCell ref="C2:C3"/>
    <mergeCell ref="D2:D3"/>
    <mergeCell ref="E2:E3"/>
    <mergeCell ref="F2: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5"/>
  <sheetViews>
    <sheetView tabSelected="1" topLeftCell="H30" zoomScale="96" workbookViewId="0">
      <selection activeCell="U41" sqref="U41"/>
    </sheetView>
  </sheetViews>
  <sheetFormatPr defaultRowHeight="15" x14ac:dyDescent="0.25"/>
  <cols>
    <col min="1" max="1" width="29.7109375" bestFit="1" customWidth="1"/>
    <col min="2" max="2" width="13.85546875" style="29" bestFit="1" customWidth="1"/>
    <col min="5" max="5" width="13.85546875" bestFit="1" customWidth="1"/>
    <col min="6" max="6" width="15.140625" bestFit="1" customWidth="1"/>
    <col min="7" max="7" width="12.85546875" bestFit="1" customWidth="1"/>
    <col min="8" max="8" width="22.42578125" bestFit="1" customWidth="1"/>
    <col min="9" max="10" width="15.140625" bestFit="1" customWidth="1"/>
    <col min="11" max="11" width="16.28515625" bestFit="1" customWidth="1"/>
    <col min="12" max="12" width="13.85546875" bestFit="1" customWidth="1"/>
    <col min="13" max="13" width="11.28515625" bestFit="1" customWidth="1"/>
    <col min="14" max="14" width="11.7109375" bestFit="1" customWidth="1"/>
    <col min="18" max="18" width="13.85546875" bestFit="1" customWidth="1"/>
  </cols>
  <sheetData>
    <row r="1" spans="1:11" x14ac:dyDescent="0.25">
      <c r="A1" t="s">
        <v>181</v>
      </c>
    </row>
    <row r="2" spans="1:11" x14ac:dyDescent="0.25">
      <c r="A2" t="s">
        <v>136</v>
      </c>
      <c r="B2" s="29" t="s">
        <v>137</v>
      </c>
      <c r="C2" t="s">
        <v>119</v>
      </c>
      <c r="D2" t="s">
        <v>138</v>
      </c>
      <c r="E2" t="s">
        <v>139</v>
      </c>
      <c r="F2" t="s">
        <v>140</v>
      </c>
      <c r="H2" t="s">
        <v>22</v>
      </c>
      <c r="I2" t="s">
        <v>112</v>
      </c>
      <c r="J2" t="s">
        <v>113</v>
      </c>
      <c r="K2" t="s">
        <v>114</v>
      </c>
    </row>
    <row r="3" spans="1:11" x14ac:dyDescent="0.25">
      <c r="A3" t="s">
        <v>182</v>
      </c>
      <c r="B3" s="29">
        <v>50000</v>
      </c>
      <c r="C3">
        <v>5</v>
      </c>
      <c r="D3">
        <v>1</v>
      </c>
      <c r="E3">
        <v>1</v>
      </c>
      <c r="F3" s="47">
        <f>B3*C3*D3*E3</f>
        <v>250000</v>
      </c>
      <c r="H3" s="47">
        <f>F3</f>
        <v>250000</v>
      </c>
      <c r="I3">
        <v>0</v>
      </c>
      <c r="J3">
        <v>0</v>
      </c>
      <c r="K3">
        <v>0</v>
      </c>
    </row>
    <row r="4" spans="1:11" s="43" customFormat="1" x14ac:dyDescent="0.25">
      <c r="A4" s="43" t="s">
        <v>121</v>
      </c>
      <c r="B4" s="52"/>
      <c r="F4" s="44">
        <f>SUM(F3)</f>
        <v>250000</v>
      </c>
      <c r="H4" s="44">
        <f>SUM(H3)</f>
        <v>250000</v>
      </c>
      <c r="I4" s="43">
        <v>0</v>
      </c>
      <c r="J4" s="43">
        <v>0</v>
      </c>
      <c r="K4" s="43">
        <v>0</v>
      </c>
    </row>
    <row r="5" spans="1:11" x14ac:dyDescent="0.25">
      <c r="H5" s="47"/>
    </row>
    <row r="7" spans="1:11" x14ac:dyDescent="0.25">
      <c r="A7" t="s">
        <v>115</v>
      </c>
    </row>
    <row r="8" spans="1:11" x14ac:dyDescent="0.25">
      <c r="A8" t="s">
        <v>116</v>
      </c>
      <c r="B8"/>
    </row>
    <row r="9" spans="1:11" x14ac:dyDescent="0.25">
      <c r="A9" t="s">
        <v>117</v>
      </c>
      <c r="B9" t="s">
        <v>118</v>
      </c>
      <c r="C9" t="s">
        <v>119</v>
      </c>
      <c r="D9" t="s">
        <v>120</v>
      </c>
      <c r="E9" t="s">
        <v>121</v>
      </c>
      <c r="H9" t="s">
        <v>22</v>
      </c>
      <c r="I9" t="s">
        <v>112</v>
      </c>
      <c r="J9" t="s">
        <v>113</v>
      </c>
      <c r="K9" t="s">
        <v>114</v>
      </c>
    </row>
    <row r="10" spans="1:11" x14ac:dyDescent="0.25">
      <c r="A10" s="39" t="s">
        <v>122</v>
      </c>
      <c r="B10" t="s">
        <v>118</v>
      </c>
      <c r="C10">
        <v>10</v>
      </c>
      <c r="D10">
        <v>20000</v>
      </c>
      <c r="E10" s="40">
        <f t="shared" ref="E10:E20" si="0">C10*D10</f>
        <v>200000</v>
      </c>
      <c r="H10" s="47">
        <f>E10</f>
        <v>200000</v>
      </c>
      <c r="I10">
        <v>0</v>
      </c>
      <c r="J10">
        <v>0</v>
      </c>
      <c r="K10">
        <v>0</v>
      </c>
    </row>
    <row r="11" spans="1:11" x14ac:dyDescent="0.25">
      <c r="A11" s="39" t="s">
        <v>123</v>
      </c>
      <c r="B11" t="s">
        <v>118</v>
      </c>
      <c r="C11">
        <v>5</v>
      </c>
      <c r="D11">
        <v>26000</v>
      </c>
      <c r="E11" s="40">
        <f t="shared" si="0"/>
        <v>130000</v>
      </c>
      <c r="H11" s="47">
        <f t="shared" ref="H11:H20" si="1">E11</f>
        <v>130000</v>
      </c>
      <c r="I11">
        <v>0</v>
      </c>
      <c r="J11">
        <v>0</v>
      </c>
      <c r="K11">
        <v>0</v>
      </c>
    </row>
    <row r="12" spans="1:11" x14ac:dyDescent="0.25">
      <c r="A12" s="39" t="s">
        <v>124</v>
      </c>
      <c r="B12" t="s">
        <v>118</v>
      </c>
      <c r="C12">
        <v>1</v>
      </c>
      <c r="D12">
        <v>490000</v>
      </c>
      <c r="E12" s="40">
        <f t="shared" si="0"/>
        <v>490000</v>
      </c>
      <c r="H12" s="47">
        <f t="shared" si="1"/>
        <v>490000</v>
      </c>
      <c r="I12">
        <v>0</v>
      </c>
      <c r="J12">
        <v>0</v>
      </c>
      <c r="K12">
        <v>0</v>
      </c>
    </row>
    <row r="13" spans="1:11" x14ac:dyDescent="0.25">
      <c r="A13" s="39" t="s">
        <v>125</v>
      </c>
      <c r="B13" t="s">
        <v>126</v>
      </c>
      <c r="C13">
        <v>2</v>
      </c>
      <c r="D13" s="41">
        <v>280000</v>
      </c>
      <c r="E13">
        <f t="shared" si="0"/>
        <v>560000</v>
      </c>
      <c r="H13" s="47">
        <f t="shared" si="1"/>
        <v>560000</v>
      </c>
      <c r="I13">
        <v>0</v>
      </c>
      <c r="J13">
        <v>0</v>
      </c>
      <c r="K13">
        <v>0</v>
      </c>
    </row>
    <row r="14" spans="1:11" x14ac:dyDescent="0.25">
      <c r="A14" s="39" t="s">
        <v>127</v>
      </c>
      <c r="B14" t="s">
        <v>126</v>
      </c>
      <c r="C14">
        <v>20</v>
      </c>
      <c r="D14">
        <v>90000</v>
      </c>
      <c r="E14">
        <f t="shared" si="0"/>
        <v>1800000</v>
      </c>
      <c r="H14" s="47">
        <f t="shared" si="1"/>
        <v>1800000</v>
      </c>
      <c r="I14">
        <v>0</v>
      </c>
      <c r="J14">
        <v>0</v>
      </c>
      <c r="K14">
        <v>0</v>
      </c>
    </row>
    <row r="15" spans="1:11" x14ac:dyDescent="0.25">
      <c r="A15" s="39" t="s">
        <v>128</v>
      </c>
      <c r="B15" t="s">
        <v>126</v>
      </c>
      <c r="C15">
        <v>20</v>
      </c>
      <c r="D15">
        <v>10000</v>
      </c>
      <c r="E15">
        <f t="shared" si="0"/>
        <v>200000</v>
      </c>
      <c r="H15" s="47">
        <f t="shared" si="1"/>
        <v>200000</v>
      </c>
      <c r="I15">
        <v>0</v>
      </c>
      <c r="J15">
        <v>0</v>
      </c>
      <c r="K15">
        <v>0</v>
      </c>
    </row>
    <row r="16" spans="1:11" x14ac:dyDescent="0.25">
      <c r="A16" s="39" t="s">
        <v>129</v>
      </c>
      <c r="B16" t="s">
        <v>126</v>
      </c>
      <c r="C16">
        <v>10</v>
      </c>
      <c r="D16">
        <v>50000</v>
      </c>
      <c r="E16">
        <f t="shared" si="0"/>
        <v>500000</v>
      </c>
      <c r="H16" s="47">
        <f t="shared" si="1"/>
        <v>500000</v>
      </c>
      <c r="I16">
        <v>0</v>
      </c>
      <c r="J16">
        <v>0</v>
      </c>
      <c r="K16">
        <v>0</v>
      </c>
    </row>
    <row r="17" spans="1:18" x14ac:dyDescent="0.25">
      <c r="A17" s="39" t="s">
        <v>130</v>
      </c>
      <c r="B17"/>
      <c r="C17">
        <v>10</v>
      </c>
      <c r="D17">
        <v>40000</v>
      </c>
      <c r="E17">
        <f t="shared" si="0"/>
        <v>400000</v>
      </c>
      <c r="H17" s="47">
        <f t="shared" si="1"/>
        <v>400000</v>
      </c>
      <c r="I17">
        <v>0</v>
      </c>
      <c r="J17">
        <v>0</v>
      </c>
      <c r="K17">
        <v>0</v>
      </c>
    </row>
    <row r="18" spans="1:18" x14ac:dyDescent="0.25">
      <c r="A18" s="39" t="s">
        <v>131</v>
      </c>
      <c r="B18" t="s">
        <v>126</v>
      </c>
      <c r="C18">
        <v>1</v>
      </c>
      <c r="D18">
        <v>50000</v>
      </c>
      <c r="E18">
        <f t="shared" si="0"/>
        <v>50000</v>
      </c>
      <c r="H18" s="47">
        <f t="shared" si="1"/>
        <v>50000</v>
      </c>
      <c r="I18">
        <v>0</v>
      </c>
      <c r="J18">
        <v>0</v>
      </c>
      <c r="K18">
        <v>0</v>
      </c>
    </row>
    <row r="19" spans="1:18" x14ac:dyDescent="0.25">
      <c r="A19" s="39" t="s">
        <v>132</v>
      </c>
      <c r="B19" t="s">
        <v>126</v>
      </c>
      <c r="C19">
        <v>2</v>
      </c>
      <c r="D19">
        <v>131858</v>
      </c>
      <c r="E19">
        <f t="shared" si="0"/>
        <v>263716</v>
      </c>
      <c r="H19" s="47">
        <f t="shared" si="1"/>
        <v>263716</v>
      </c>
      <c r="I19">
        <v>0</v>
      </c>
      <c r="J19">
        <v>0</v>
      </c>
      <c r="K19">
        <v>0</v>
      </c>
    </row>
    <row r="20" spans="1:18" x14ac:dyDescent="0.25">
      <c r="A20" s="39" t="s">
        <v>133</v>
      </c>
      <c r="B20" t="s">
        <v>118</v>
      </c>
      <c r="C20">
        <v>10</v>
      </c>
      <c r="D20">
        <v>25000</v>
      </c>
      <c r="E20">
        <f t="shared" si="0"/>
        <v>250000</v>
      </c>
      <c r="H20" s="47">
        <f t="shared" si="1"/>
        <v>250000</v>
      </c>
      <c r="I20">
        <v>0</v>
      </c>
      <c r="J20">
        <v>0</v>
      </c>
      <c r="K20">
        <v>0</v>
      </c>
    </row>
    <row r="21" spans="1:18" s="43" customFormat="1" x14ac:dyDescent="0.25">
      <c r="A21" s="42" t="s">
        <v>121</v>
      </c>
      <c r="E21" s="44">
        <f>SUM(E10:E20)</f>
        <v>4843716</v>
      </c>
      <c r="H21" s="44">
        <f>SUM(H10:H20)</f>
        <v>4843716</v>
      </c>
      <c r="I21" s="44">
        <f t="shared" ref="I21:K21" si="2">SUM(I10:I20)</f>
        <v>0</v>
      </c>
      <c r="J21" s="44">
        <f t="shared" si="2"/>
        <v>0</v>
      </c>
      <c r="K21" s="44">
        <f t="shared" si="2"/>
        <v>0</v>
      </c>
    </row>
    <row r="23" spans="1:18" ht="45" x14ac:dyDescent="0.25">
      <c r="A23" t="s">
        <v>134</v>
      </c>
      <c r="N23" s="45" t="s">
        <v>135</v>
      </c>
      <c r="O23" s="26"/>
      <c r="P23" s="26"/>
      <c r="Q23" s="26"/>
      <c r="R23" s="26"/>
    </row>
    <row r="24" spans="1:18" x14ac:dyDescent="0.25">
      <c r="A24" t="s">
        <v>136</v>
      </c>
      <c r="B24" s="29" t="s">
        <v>137</v>
      </c>
      <c r="C24" t="s">
        <v>119</v>
      </c>
      <c r="D24" t="s">
        <v>138</v>
      </c>
      <c r="E24" t="s">
        <v>139</v>
      </c>
      <c r="F24" t="s">
        <v>140</v>
      </c>
      <c r="H24" t="s">
        <v>22</v>
      </c>
      <c r="I24" t="s">
        <v>112</v>
      </c>
      <c r="J24" t="s">
        <v>113</v>
      </c>
      <c r="K24" t="s">
        <v>114</v>
      </c>
      <c r="N24" s="46" t="s">
        <v>141</v>
      </c>
      <c r="O24" s="46" t="s">
        <v>142</v>
      </c>
      <c r="P24" s="46">
        <v>20</v>
      </c>
      <c r="Q24" s="46">
        <v>2000</v>
      </c>
      <c r="R24" s="46">
        <f>P24*Q24</f>
        <v>40000</v>
      </c>
    </row>
    <row r="25" spans="1:18" x14ac:dyDescent="0.25">
      <c r="A25" t="s">
        <v>143</v>
      </c>
      <c r="B25" s="29">
        <v>14000</v>
      </c>
      <c r="C25">
        <v>10</v>
      </c>
      <c r="D25">
        <v>10</v>
      </c>
      <c r="E25">
        <v>5</v>
      </c>
      <c r="F25" s="29">
        <f>B25*C25*D25*E25</f>
        <v>7000000</v>
      </c>
      <c r="H25" s="47">
        <f>(F25/E25)*2</f>
        <v>2800000</v>
      </c>
      <c r="I25" s="47">
        <f>F25/E25</f>
        <v>1400000</v>
      </c>
      <c r="J25" s="47">
        <f>I25</f>
        <v>1400000</v>
      </c>
      <c r="K25" s="47">
        <f>J25</f>
        <v>1400000</v>
      </c>
      <c r="N25" s="46" t="s">
        <v>144</v>
      </c>
      <c r="O25" s="46" t="s">
        <v>142</v>
      </c>
      <c r="P25" s="46">
        <v>5</v>
      </c>
      <c r="Q25" s="46">
        <v>10000</v>
      </c>
      <c r="R25" s="46">
        <f>P25*Q25</f>
        <v>50000</v>
      </c>
    </row>
    <row r="26" spans="1:18" x14ac:dyDescent="0.25">
      <c r="A26" t="s">
        <v>145</v>
      </c>
      <c r="B26" s="29">
        <v>5000</v>
      </c>
      <c r="C26">
        <v>10</v>
      </c>
      <c r="D26">
        <v>10</v>
      </c>
      <c r="E26">
        <v>5</v>
      </c>
      <c r="F26" s="29">
        <f t="shared" ref="F26:F33" si="3">B26*C26*D26*E26</f>
        <v>2500000</v>
      </c>
      <c r="H26" s="47">
        <f t="shared" ref="H26:H32" si="4">(F26/E26)*2</f>
        <v>1000000</v>
      </c>
      <c r="I26" s="47">
        <f t="shared" ref="I26:I32" si="5">F26/E26</f>
        <v>500000</v>
      </c>
      <c r="J26" s="47">
        <f t="shared" ref="J26:K34" si="6">I26</f>
        <v>500000</v>
      </c>
      <c r="K26" s="47">
        <f t="shared" si="6"/>
        <v>500000</v>
      </c>
      <c r="N26" s="46" t="s">
        <v>146</v>
      </c>
      <c r="O26" s="46"/>
      <c r="P26" s="46">
        <v>5</v>
      </c>
      <c r="Q26" s="46">
        <v>15000</v>
      </c>
      <c r="R26" s="46">
        <f>P26*Q26</f>
        <v>75000</v>
      </c>
    </row>
    <row r="27" spans="1:18" x14ac:dyDescent="0.25">
      <c r="A27" t="s">
        <v>147</v>
      </c>
      <c r="B27" s="29">
        <v>200</v>
      </c>
      <c r="C27">
        <v>85</v>
      </c>
      <c r="D27">
        <v>10</v>
      </c>
      <c r="E27">
        <v>5</v>
      </c>
      <c r="F27" s="29">
        <f t="shared" si="3"/>
        <v>850000</v>
      </c>
      <c r="H27" s="47">
        <f t="shared" si="4"/>
        <v>340000</v>
      </c>
      <c r="I27" s="47">
        <f t="shared" si="5"/>
        <v>170000</v>
      </c>
      <c r="J27" s="47">
        <f t="shared" si="6"/>
        <v>170000</v>
      </c>
      <c r="K27" s="47">
        <f t="shared" si="6"/>
        <v>170000</v>
      </c>
      <c r="N27" s="46" t="s">
        <v>148</v>
      </c>
      <c r="O27" s="46"/>
      <c r="P27" s="46">
        <v>1</v>
      </c>
      <c r="Q27" s="46">
        <v>280000</v>
      </c>
      <c r="R27" s="46">
        <f>Q27*P27</f>
        <v>280000</v>
      </c>
    </row>
    <row r="28" spans="1:18" x14ac:dyDescent="0.25">
      <c r="A28" t="s">
        <v>149</v>
      </c>
      <c r="B28" s="29">
        <v>0</v>
      </c>
      <c r="C28" s="29">
        <v>0</v>
      </c>
      <c r="D28" s="29">
        <v>0</v>
      </c>
      <c r="E28" s="29">
        <v>0</v>
      </c>
      <c r="F28" s="29">
        <f t="shared" si="3"/>
        <v>0</v>
      </c>
      <c r="H28" s="47">
        <v>0</v>
      </c>
      <c r="I28" s="47">
        <v>0</v>
      </c>
      <c r="J28" s="47">
        <f t="shared" si="6"/>
        <v>0</v>
      </c>
      <c r="K28" s="47">
        <f t="shared" si="6"/>
        <v>0</v>
      </c>
      <c r="N28" s="46" t="s">
        <v>150</v>
      </c>
      <c r="O28" s="46"/>
      <c r="P28" s="46">
        <v>20</v>
      </c>
      <c r="Q28" s="46">
        <v>15000</v>
      </c>
      <c r="R28" s="46">
        <f>P28*Q28</f>
        <v>300000</v>
      </c>
    </row>
    <row r="29" spans="1:18" x14ac:dyDescent="0.25">
      <c r="A29" t="s">
        <v>151</v>
      </c>
      <c r="B29" s="29">
        <v>0</v>
      </c>
      <c r="C29">
        <v>0</v>
      </c>
      <c r="D29">
        <v>0</v>
      </c>
      <c r="E29">
        <v>0</v>
      </c>
      <c r="F29" s="29">
        <f t="shared" si="3"/>
        <v>0</v>
      </c>
      <c r="H29" s="47">
        <v>0</v>
      </c>
      <c r="I29" s="47">
        <v>0</v>
      </c>
      <c r="J29" s="47">
        <f t="shared" si="6"/>
        <v>0</v>
      </c>
      <c r="K29" s="47">
        <f t="shared" si="6"/>
        <v>0</v>
      </c>
      <c r="N29" s="48" t="s">
        <v>152</v>
      </c>
      <c r="O29" s="46" t="s">
        <v>142</v>
      </c>
      <c r="P29" s="46">
        <v>1000</v>
      </c>
      <c r="Q29" s="49">
        <v>1000</v>
      </c>
      <c r="R29" s="46">
        <f>P29*Q29</f>
        <v>1000000</v>
      </c>
    </row>
    <row r="30" spans="1:18" ht="30" x14ac:dyDescent="0.25">
      <c r="A30" s="39" t="s">
        <v>153</v>
      </c>
      <c r="B30" s="50">
        <v>2500</v>
      </c>
      <c r="C30">
        <v>10</v>
      </c>
      <c r="D30">
        <v>10</v>
      </c>
      <c r="E30">
        <v>5</v>
      </c>
      <c r="F30" s="29">
        <f t="shared" si="3"/>
        <v>1250000</v>
      </c>
      <c r="H30" s="47">
        <f t="shared" si="4"/>
        <v>500000</v>
      </c>
      <c r="I30" s="47">
        <f t="shared" si="5"/>
        <v>250000</v>
      </c>
      <c r="J30" s="47">
        <f t="shared" si="6"/>
        <v>250000</v>
      </c>
      <c r="K30" s="47">
        <f t="shared" si="6"/>
        <v>250000</v>
      </c>
      <c r="R30" s="51">
        <f>SUM(R24:R29)</f>
        <v>1745000</v>
      </c>
    </row>
    <row r="31" spans="1:18" x14ac:dyDescent="0.25">
      <c r="A31" t="s">
        <v>154</v>
      </c>
      <c r="B31" s="29">
        <v>2000</v>
      </c>
      <c r="C31">
        <v>4</v>
      </c>
      <c r="D31">
        <v>30</v>
      </c>
      <c r="E31">
        <v>5</v>
      </c>
      <c r="F31" s="29">
        <f t="shared" si="3"/>
        <v>1200000</v>
      </c>
      <c r="H31" s="47">
        <f t="shared" si="4"/>
        <v>480000</v>
      </c>
      <c r="I31" s="47">
        <f t="shared" si="5"/>
        <v>240000</v>
      </c>
      <c r="J31" s="47">
        <f t="shared" si="6"/>
        <v>240000</v>
      </c>
      <c r="K31" s="47">
        <f t="shared" si="6"/>
        <v>240000</v>
      </c>
    </row>
    <row r="32" spans="1:18" x14ac:dyDescent="0.25">
      <c r="A32" t="s">
        <v>155</v>
      </c>
      <c r="B32" s="29">
        <v>10000</v>
      </c>
      <c r="C32">
        <v>2</v>
      </c>
      <c r="D32">
        <v>1</v>
      </c>
      <c r="E32">
        <v>5</v>
      </c>
      <c r="F32" s="29">
        <f t="shared" si="3"/>
        <v>100000</v>
      </c>
      <c r="H32" s="47">
        <f t="shared" si="4"/>
        <v>40000</v>
      </c>
      <c r="I32" s="47">
        <f t="shared" si="5"/>
        <v>20000</v>
      </c>
      <c r="J32" s="47">
        <f t="shared" si="6"/>
        <v>20000</v>
      </c>
      <c r="K32" s="47">
        <f t="shared" si="6"/>
        <v>20000</v>
      </c>
    </row>
    <row r="33" spans="1:19" x14ac:dyDescent="0.25">
      <c r="A33" t="s">
        <v>156</v>
      </c>
      <c r="B33" s="29">
        <v>0</v>
      </c>
      <c r="C33">
        <v>0</v>
      </c>
      <c r="D33">
        <v>0</v>
      </c>
      <c r="E33">
        <v>0</v>
      </c>
      <c r="F33" s="29">
        <f t="shared" si="3"/>
        <v>0</v>
      </c>
      <c r="H33" s="47">
        <v>0</v>
      </c>
      <c r="I33" s="47">
        <v>0</v>
      </c>
      <c r="J33" s="47">
        <f t="shared" si="6"/>
        <v>0</v>
      </c>
      <c r="K33" s="47">
        <f t="shared" si="6"/>
        <v>0</v>
      </c>
    </row>
    <row r="34" spans="1:19" s="43" customFormat="1" x14ac:dyDescent="0.25">
      <c r="A34" s="43" t="s">
        <v>121</v>
      </c>
      <c r="B34" s="52"/>
      <c r="F34" s="44">
        <f>SUM(F25:F33)</f>
        <v>12900000</v>
      </c>
      <c r="H34" s="44">
        <f>SUM(H25:H33)</f>
        <v>5160000</v>
      </c>
      <c r="I34" s="44">
        <f>SUM(I25:I33)</f>
        <v>2580000</v>
      </c>
      <c r="J34" s="44">
        <f>SUM(J25:J33)</f>
        <v>2580000</v>
      </c>
      <c r="K34" s="44">
        <f t="shared" si="6"/>
        <v>2580000</v>
      </c>
    </row>
    <row r="35" spans="1:19" x14ac:dyDescent="0.25">
      <c r="C35" s="29"/>
      <c r="D35" s="29"/>
      <c r="E35" s="29"/>
      <c r="F35" s="29"/>
    </row>
    <row r="36" spans="1:19" x14ac:dyDescent="0.25">
      <c r="A36" t="s">
        <v>188</v>
      </c>
      <c r="C36" s="29"/>
      <c r="D36" s="29"/>
      <c r="E36" s="29"/>
      <c r="F36" s="29"/>
      <c r="H36" s="47">
        <f>H34+I34+J34+K34</f>
        <v>12900000</v>
      </c>
    </row>
    <row r="37" spans="1:19" x14ac:dyDescent="0.25">
      <c r="F37" s="47"/>
      <c r="N37">
        <v>850000</v>
      </c>
      <c r="P37">
        <v>340000</v>
      </c>
      <c r="Q37">
        <v>170000</v>
      </c>
      <c r="R37">
        <v>170000</v>
      </c>
      <c r="S37">
        <v>170000</v>
      </c>
    </row>
    <row r="38" spans="1:19" x14ac:dyDescent="0.25">
      <c r="N38">
        <v>1785000</v>
      </c>
      <c r="P38">
        <v>714000</v>
      </c>
      <c r="Q38">
        <v>357000</v>
      </c>
      <c r="R38">
        <v>357000</v>
      </c>
      <c r="S38">
        <v>357000</v>
      </c>
    </row>
    <row r="39" spans="1:19" x14ac:dyDescent="0.25">
      <c r="A39" t="s">
        <v>157</v>
      </c>
      <c r="H39" t="s">
        <v>158</v>
      </c>
      <c r="I39" t="s">
        <v>159</v>
      </c>
      <c r="J39" t="s">
        <v>160</v>
      </c>
      <c r="K39" t="s">
        <v>161</v>
      </c>
      <c r="N39">
        <v>85000</v>
      </c>
      <c r="P39">
        <v>34000</v>
      </c>
      <c r="Q39">
        <v>17000</v>
      </c>
      <c r="R39">
        <v>17000</v>
      </c>
      <c r="S39">
        <v>17000</v>
      </c>
    </row>
    <row r="40" spans="1:19" x14ac:dyDescent="0.25">
      <c r="A40" t="s">
        <v>136</v>
      </c>
      <c r="B40" s="29" t="s">
        <v>137</v>
      </c>
      <c r="C40" t="s">
        <v>119</v>
      </c>
      <c r="D40" t="s">
        <v>138</v>
      </c>
      <c r="E40" t="s">
        <v>139</v>
      </c>
      <c r="F40" t="s">
        <v>140</v>
      </c>
      <c r="N40">
        <v>425000</v>
      </c>
      <c r="P40">
        <v>170000</v>
      </c>
      <c r="Q40">
        <v>85000</v>
      </c>
      <c r="R40">
        <v>85000</v>
      </c>
      <c r="S40">
        <v>85000</v>
      </c>
    </row>
    <row r="41" spans="1:19" x14ac:dyDescent="0.25">
      <c r="A41" t="s">
        <v>143</v>
      </c>
      <c r="B41" s="29">
        <v>14000</v>
      </c>
      <c r="C41">
        <v>10</v>
      </c>
      <c r="D41">
        <v>21</v>
      </c>
      <c r="E41">
        <v>5</v>
      </c>
      <c r="F41" s="29">
        <f>B41*C41*D41*E41</f>
        <v>14700000</v>
      </c>
      <c r="H41" s="47">
        <f>([2]Sheet1!F3/[2]Sheet1!E3)*2</f>
        <v>5880000</v>
      </c>
      <c r="I41" s="47">
        <f>[2]Sheet1!F3/[2]Sheet1!E3</f>
        <v>2940000</v>
      </c>
      <c r="J41" s="47">
        <f>I41</f>
        <v>2940000</v>
      </c>
      <c r="K41" s="47">
        <f>J41</f>
        <v>2940000</v>
      </c>
      <c r="N41">
        <v>85000</v>
      </c>
      <c r="P41">
        <v>34000</v>
      </c>
      <c r="Q41">
        <v>17000</v>
      </c>
      <c r="R41">
        <v>17000</v>
      </c>
      <c r="S41">
        <v>17000</v>
      </c>
    </row>
    <row r="42" spans="1:19" x14ac:dyDescent="0.25">
      <c r="A42" t="s">
        <v>145</v>
      </c>
      <c r="B42" s="29">
        <v>0</v>
      </c>
      <c r="C42" s="29">
        <v>0</v>
      </c>
      <c r="D42" s="29">
        <v>0</v>
      </c>
      <c r="E42" s="29">
        <v>0</v>
      </c>
      <c r="F42" s="29">
        <f t="shared" ref="F42:F50" si="7">B42*C42*D42*E42</f>
        <v>0</v>
      </c>
      <c r="H42" s="47">
        <v>0</v>
      </c>
      <c r="I42" s="47">
        <v>0</v>
      </c>
      <c r="J42" s="47">
        <v>0</v>
      </c>
      <c r="K42" s="47">
        <v>0</v>
      </c>
      <c r="N42" s="47">
        <v>850000</v>
      </c>
      <c r="P42">
        <v>340000</v>
      </c>
      <c r="Q42">
        <v>170000</v>
      </c>
      <c r="R42">
        <v>170000</v>
      </c>
      <c r="S42">
        <v>170000</v>
      </c>
    </row>
    <row r="43" spans="1:19" x14ac:dyDescent="0.25">
      <c r="A43" t="s">
        <v>147</v>
      </c>
      <c r="B43" s="29">
        <v>200</v>
      </c>
      <c r="C43">
        <v>85</v>
      </c>
      <c r="D43">
        <v>21</v>
      </c>
      <c r="E43">
        <v>5</v>
      </c>
      <c r="F43" s="29">
        <f t="shared" si="7"/>
        <v>1785000</v>
      </c>
      <c r="H43" s="47">
        <f>([2]Sheet1!F5/[2]Sheet1!E5)*2</f>
        <v>714000</v>
      </c>
      <c r="I43" s="47">
        <f>[2]Sheet1!F5/5</f>
        <v>357000</v>
      </c>
      <c r="J43" s="47">
        <f>I43</f>
        <v>357000</v>
      </c>
      <c r="K43" s="47">
        <f>J43</f>
        <v>357000</v>
      </c>
      <c r="N43">
        <v>425000</v>
      </c>
      <c r="P43">
        <v>170000</v>
      </c>
      <c r="Q43">
        <v>85000</v>
      </c>
      <c r="R43">
        <v>85000</v>
      </c>
      <c r="S43">
        <v>85000</v>
      </c>
    </row>
    <row r="44" spans="1:19" x14ac:dyDescent="0.25">
      <c r="A44" t="s">
        <v>149</v>
      </c>
      <c r="B44" s="29">
        <v>0</v>
      </c>
      <c r="C44" s="29">
        <v>0</v>
      </c>
      <c r="D44" s="29">
        <v>0</v>
      </c>
      <c r="E44" s="29">
        <v>0</v>
      </c>
      <c r="F44" s="29">
        <f t="shared" si="7"/>
        <v>0</v>
      </c>
      <c r="H44" s="47">
        <v>0</v>
      </c>
      <c r="I44" s="47">
        <v>0</v>
      </c>
      <c r="J44" s="47">
        <v>0</v>
      </c>
      <c r="K44" s="47">
        <v>0</v>
      </c>
      <c r="N44" s="47">
        <v>425000</v>
      </c>
      <c r="P44">
        <v>170000</v>
      </c>
      <c r="Q44">
        <v>85000</v>
      </c>
      <c r="R44">
        <v>85000</v>
      </c>
      <c r="S44">
        <v>85000</v>
      </c>
    </row>
    <row r="45" spans="1:19" x14ac:dyDescent="0.25">
      <c r="A45" t="s">
        <v>151</v>
      </c>
      <c r="B45" s="29">
        <v>28000</v>
      </c>
      <c r="C45">
        <v>2</v>
      </c>
      <c r="D45">
        <v>1</v>
      </c>
      <c r="E45">
        <v>2</v>
      </c>
      <c r="F45" s="29">
        <f t="shared" si="7"/>
        <v>112000</v>
      </c>
      <c r="H45" s="47">
        <f>[2]Sheet1!F7</f>
        <v>112000</v>
      </c>
      <c r="J45">
        <v>0</v>
      </c>
      <c r="K45">
        <v>0</v>
      </c>
      <c r="L45" s="57"/>
      <c r="N45" s="47">
        <v>425000</v>
      </c>
      <c r="P45">
        <v>170000</v>
      </c>
      <c r="Q45">
        <v>85000</v>
      </c>
      <c r="R45">
        <v>85000</v>
      </c>
      <c r="S45">
        <v>85000</v>
      </c>
    </row>
    <row r="46" spans="1:19" x14ac:dyDescent="0.25">
      <c r="A46" t="s">
        <v>162</v>
      </c>
      <c r="B46" s="29">
        <v>2500</v>
      </c>
      <c r="C46" s="29">
        <v>10</v>
      </c>
      <c r="D46" s="29">
        <v>21</v>
      </c>
      <c r="E46" s="29">
        <v>5</v>
      </c>
      <c r="F46" s="29">
        <f t="shared" si="7"/>
        <v>2625000</v>
      </c>
      <c r="H46" s="47">
        <v>1412000</v>
      </c>
      <c r="I46" s="29">
        <v>163000</v>
      </c>
      <c r="J46" s="29">
        <f>([2]Sheet1!F8/[2]Sheet1!E8)</f>
        <v>525000</v>
      </c>
      <c r="K46" s="47">
        <f>J46</f>
        <v>525000</v>
      </c>
      <c r="L46" s="47"/>
      <c r="N46" s="47">
        <v>225000</v>
      </c>
      <c r="P46">
        <v>102000</v>
      </c>
      <c r="Q46">
        <v>51000</v>
      </c>
      <c r="R46">
        <v>51000</v>
      </c>
      <c r="S46">
        <v>51000</v>
      </c>
    </row>
    <row r="47" spans="1:19" x14ac:dyDescent="0.25">
      <c r="A47" t="s">
        <v>163</v>
      </c>
      <c r="B47" s="29">
        <v>0</v>
      </c>
      <c r="C47" s="29">
        <v>0</v>
      </c>
      <c r="D47" s="29">
        <v>0</v>
      </c>
      <c r="E47" s="29">
        <v>0</v>
      </c>
      <c r="F47" s="29">
        <f t="shared" si="7"/>
        <v>0</v>
      </c>
      <c r="H47" s="47">
        <v>0</v>
      </c>
      <c r="I47" s="47">
        <v>0</v>
      </c>
      <c r="J47" s="29">
        <v>0</v>
      </c>
      <c r="K47" s="47">
        <v>0</v>
      </c>
      <c r="N47" s="47">
        <v>85000</v>
      </c>
      <c r="P47">
        <v>85000</v>
      </c>
    </row>
    <row r="48" spans="1:19" x14ac:dyDescent="0.25">
      <c r="A48" t="s">
        <v>164</v>
      </c>
      <c r="B48" s="29">
        <v>5000</v>
      </c>
      <c r="C48" s="29">
        <v>5</v>
      </c>
      <c r="D48" s="29">
        <v>21</v>
      </c>
      <c r="E48" s="29">
        <v>3</v>
      </c>
      <c r="F48" s="29">
        <f t="shared" si="7"/>
        <v>1575000</v>
      </c>
      <c r="I48" s="47">
        <f>([2]Sheet1!F10/[2]Sheet1!E10)</f>
        <v>525000</v>
      </c>
      <c r="J48" s="47">
        <f>I48</f>
        <v>525000</v>
      </c>
      <c r="K48" s="47">
        <f>J48</f>
        <v>525000</v>
      </c>
      <c r="N48" s="47">
        <v>425000</v>
      </c>
      <c r="P48">
        <v>170000</v>
      </c>
      <c r="Q48">
        <v>85000</v>
      </c>
      <c r="R48">
        <v>85000</v>
      </c>
      <c r="S48">
        <v>85000</v>
      </c>
    </row>
    <row r="49" spans="1:19" x14ac:dyDescent="0.25">
      <c r="C49" s="29"/>
      <c r="D49" s="29"/>
      <c r="E49" s="29"/>
      <c r="F49" s="29">
        <v>0</v>
      </c>
      <c r="H49" s="47">
        <v>0</v>
      </c>
      <c r="I49" s="47">
        <v>0</v>
      </c>
      <c r="J49" s="47">
        <v>0</v>
      </c>
      <c r="K49" s="47">
        <v>0</v>
      </c>
      <c r="N49" s="47">
        <v>510000</v>
      </c>
      <c r="P49">
        <v>204000</v>
      </c>
      <c r="Q49">
        <v>102000</v>
      </c>
      <c r="R49">
        <v>102000</v>
      </c>
      <c r="S49">
        <v>102000</v>
      </c>
    </row>
    <row r="50" spans="1:19" x14ac:dyDescent="0.25">
      <c r="A50" t="s">
        <v>155</v>
      </c>
      <c r="B50" s="29">
        <v>0</v>
      </c>
      <c r="C50" s="29">
        <v>0</v>
      </c>
      <c r="D50" s="29">
        <v>0</v>
      </c>
      <c r="E50" s="29">
        <v>0</v>
      </c>
      <c r="F50" s="29">
        <f t="shared" si="7"/>
        <v>0</v>
      </c>
      <c r="H50" s="47">
        <v>0</v>
      </c>
      <c r="I50" s="47">
        <v>0</v>
      </c>
      <c r="J50" s="47">
        <v>0</v>
      </c>
      <c r="K50" s="47">
        <v>0</v>
      </c>
      <c r="N50" s="47">
        <v>450000</v>
      </c>
      <c r="P50">
        <v>0</v>
      </c>
      <c r="Q50">
        <v>150000</v>
      </c>
      <c r="R50">
        <v>150000</v>
      </c>
      <c r="S50">
        <v>150000</v>
      </c>
    </row>
    <row r="51" spans="1:19" s="43" customFormat="1" x14ac:dyDescent="0.25">
      <c r="A51" s="43" t="s">
        <v>121</v>
      </c>
      <c r="B51" s="52">
        <v>0</v>
      </c>
      <c r="C51" s="52">
        <v>0</v>
      </c>
      <c r="D51" s="52">
        <v>0</v>
      </c>
      <c r="E51" s="52">
        <v>0</v>
      </c>
      <c r="F51" s="44">
        <f>SUM(F41:F50)</f>
        <v>20797000</v>
      </c>
      <c r="H51" s="44">
        <f>SUM(H41:H50)</f>
        <v>8118000</v>
      </c>
      <c r="I51" s="44">
        <f>SUM(I41:I50)</f>
        <v>3985000</v>
      </c>
      <c r="J51" s="44">
        <f>SUM(J41:J50)</f>
        <v>4347000</v>
      </c>
      <c r="K51" s="44">
        <f>SUM(K41:K50)</f>
        <v>4347000</v>
      </c>
      <c r="N51" s="43">
        <f>SUM(N37:N50)</f>
        <v>7050000</v>
      </c>
      <c r="P51" s="43">
        <f>SUM(P37:P50)</f>
        <v>2703000</v>
      </c>
      <c r="Q51" s="43">
        <f>SUM(Q37:Q50)</f>
        <v>1459000</v>
      </c>
      <c r="R51" s="43">
        <f>SUM(R37:R50)</f>
        <v>1459000</v>
      </c>
      <c r="S51" s="43">
        <f>SUM(S37:S50)</f>
        <v>1459000</v>
      </c>
    </row>
    <row r="52" spans="1:19" x14ac:dyDescent="0.25">
      <c r="H52" s="47"/>
      <c r="K52" s="47">
        <f>H51+I51+J51+K51</f>
        <v>20797000</v>
      </c>
    </row>
    <row r="53" spans="1:19" x14ac:dyDescent="0.25">
      <c r="G53" s="47"/>
      <c r="I53" s="47"/>
    </row>
    <row r="54" spans="1:19" x14ac:dyDescent="0.25">
      <c r="A54" t="s">
        <v>165</v>
      </c>
    </row>
    <row r="55" spans="1:19" x14ac:dyDescent="0.25">
      <c r="A55" t="s">
        <v>136</v>
      </c>
      <c r="B55" s="29" t="s">
        <v>137</v>
      </c>
      <c r="C55" t="s">
        <v>119</v>
      </c>
      <c r="D55" t="s">
        <v>138</v>
      </c>
      <c r="E55" t="s">
        <v>139</v>
      </c>
      <c r="F55" t="s">
        <v>140</v>
      </c>
      <c r="H55" t="s">
        <v>22</v>
      </c>
      <c r="I55" t="s">
        <v>112</v>
      </c>
      <c r="J55" t="s">
        <v>113</v>
      </c>
      <c r="K55" t="s">
        <v>114</v>
      </c>
    </row>
    <row r="56" spans="1:19" x14ac:dyDescent="0.25">
      <c r="A56" t="s">
        <v>143</v>
      </c>
      <c r="B56" s="29">
        <v>14000</v>
      </c>
      <c r="C56">
        <v>10</v>
      </c>
      <c r="D56">
        <v>1</v>
      </c>
      <c r="E56">
        <v>5</v>
      </c>
      <c r="F56" s="29">
        <f>B56*C56*D56*E56</f>
        <v>700000</v>
      </c>
      <c r="H56" s="47">
        <f>(F56/5)*2</f>
        <v>280000</v>
      </c>
      <c r="I56" s="47">
        <f>F56/E56</f>
        <v>140000</v>
      </c>
      <c r="J56" s="47">
        <f>I56</f>
        <v>140000</v>
      </c>
      <c r="K56" s="47">
        <f>I56</f>
        <v>140000</v>
      </c>
    </row>
    <row r="57" spans="1:19" x14ac:dyDescent="0.25">
      <c r="A57" t="s">
        <v>145</v>
      </c>
      <c r="B57" s="29">
        <v>0</v>
      </c>
      <c r="C57">
        <v>0</v>
      </c>
      <c r="D57">
        <v>0</v>
      </c>
      <c r="E57">
        <v>0</v>
      </c>
      <c r="F57" s="29">
        <f t="shared" ref="F57:F58" si="8">B57*C57*D57*E57</f>
        <v>0</v>
      </c>
      <c r="H57" s="47">
        <f t="shared" ref="H57:H64" si="9">(F57/5)*2</f>
        <v>0</v>
      </c>
      <c r="I57" s="47">
        <v>0</v>
      </c>
      <c r="J57" s="47">
        <f t="shared" ref="J57:J64" si="10">I57</f>
        <v>0</v>
      </c>
      <c r="K57" s="47">
        <f t="shared" ref="K57:K64" si="11">I57</f>
        <v>0</v>
      </c>
    </row>
    <row r="58" spans="1:19" x14ac:dyDescent="0.25">
      <c r="A58" t="s">
        <v>147</v>
      </c>
      <c r="B58" s="29">
        <v>200</v>
      </c>
      <c r="C58">
        <v>85</v>
      </c>
      <c r="D58">
        <v>1</v>
      </c>
      <c r="E58">
        <v>5</v>
      </c>
      <c r="F58" s="29">
        <f t="shared" si="8"/>
        <v>85000</v>
      </c>
      <c r="H58" s="47">
        <f t="shared" si="9"/>
        <v>34000</v>
      </c>
      <c r="I58" s="47">
        <f t="shared" ref="I58:I62" si="12">F58/E58</f>
        <v>17000</v>
      </c>
      <c r="J58" s="47">
        <f t="shared" si="10"/>
        <v>17000</v>
      </c>
      <c r="K58" s="47">
        <f t="shared" si="11"/>
        <v>17000</v>
      </c>
    </row>
    <row r="59" spans="1:19" x14ac:dyDescent="0.25">
      <c r="A59" t="s">
        <v>149</v>
      </c>
      <c r="B59" s="29">
        <v>0</v>
      </c>
      <c r="C59">
        <v>0</v>
      </c>
      <c r="D59">
        <v>0</v>
      </c>
      <c r="E59">
        <v>0</v>
      </c>
      <c r="F59" s="29">
        <v>0</v>
      </c>
      <c r="H59" s="47">
        <f t="shared" si="9"/>
        <v>0</v>
      </c>
      <c r="I59" s="47">
        <v>0</v>
      </c>
      <c r="J59" s="47">
        <f t="shared" si="10"/>
        <v>0</v>
      </c>
      <c r="K59" s="47">
        <f t="shared" si="11"/>
        <v>0</v>
      </c>
    </row>
    <row r="60" spans="1:19" x14ac:dyDescent="0.25">
      <c r="A60" t="s">
        <v>151</v>
      </c>
      <c r="B60" s="29">
        <v>0</v>
      </c>
      <c r="C60">
        <v>0</v>
      </c>
      <c r="D60">
        <v>0</v>
      </c>
      <c r="E60">
        <v>0</v>
      </c>
      <c r="F60" s="29">
        <f t="shared" ref="F60:F64" si="13">B60*C60*D60*E60</f>
        <v>0</v>
      </c>
      <c r="H60" s="47">
        <f t="shared" si="9"/>
        <v>0</v>
      </c>
      <c r="I60" s="47">
        <v>0</v>
      </c>
      <c r="J60" s="47">
        <f t="shared" si="10"/>
        <v>0</v>
      </c>
      <c r="K60" s="47">
        <f t="shared" si="11"/>
        <v>0</v>
      </c>
    </row>
    <row r="61" spans="1:19" x14ac:dyDescent="0.25">
      <c r="A61" t="s">
        <v>162</v>
      </c>
      <c r="B61" s="29">
        <v>5000</v>
      </c>
      <c r="C61">
        <v>30</v>
      </c>
      <c r="D61">
        <v>1</v>
      </c>
      <c r="E61">
        <v>5</v>
      </c>
      <c r="F61" s="29">
        <f t="shared" si="13"/>
        <v>750000</v>
      </c>
      <c r="H61" s="47">
        <f t="shared" si="9"/>
        <v>300000</v>
      </c>
      <c r="I61" s="47">
        <f t="shared" si="12"/>
        <v>150000</v>
      </c>
      <c r="J61" s="47">
        <f t="shared" si="10"/>
        <v>150000</v>
      </c>
      <c r="K61" s="47">
        <f t="shared" si="11"/>
        <v>150000</v>
      </c>
    </row>
    <row r="62" spans="1:19" x14ac:dyDescent="0.25">
      <c r="A62" t="s">
        <v>163</v>
      </c>
      <c r="B62" s="29">
        <v>2000</v>
      </c>
      <c r="C62">
        <v>5</v>
      </c>
      <c r="D62">
        <v>6</v>
      </c>
      <c r="E62">
        <v>5</v>
      </c>
      <c r="F62" s="29">
        <f t="shared" si="13"/>
        <v>300000</v>
      </c>
      <c r="H62" s="47">
        <f t="shared" si="9"/>
        <v>120000</v>
      </c>
      <c r="I62" s="47">
        <f t="shared" si="12"/>
        <v>60000</v>
      </c>
      <c r="J62" s="47">
        <f t="shared" si="10"/>
        <v>60000</v>
      </c>
      <c r="K62" s="47">
        <f t="shared" si="11"/>
        <v>60000</v>
      </c>
    </row>
    <row r="63" spans="1:19" x14ac:dyDescent="0.25">
      <c r="A63" t="s">
        <v>166</v>
      </c>
      <c r="B63" s="29">
        <v>0</v>
      </c>
      <c r="C63">
        <v>0</v>
      </c>
      <c r="D63">
        <v>0</v>
      </c>
      <c r="E63">
        <v>0</v>
      </c>
      <c r="F63" s="29">
        <f t="shared" si="13"/>
        <v>0</v>
      </c>
      <c r="H63" s="47">
        <f t="shared" si="9"/>
        <v>0</v>
      </c>
      <c r="I63" s="47">
        <v>0</v>
      </c>
      <c r="J63" s="47">
        <f t="shared" si="10"/>
        <v>0</v>
      </c>
      <c r="K63" s="47">
        <f t="shared" si="11"/>
        <v>0</v>
      </c>
    </row>
    <row r="64" spans="1:19" x14ac:dyDescent="0.25">
      <c r="A64" t="s">
        <v>156</v>
      </c>
      <c r="B64" s="29">
        <v>0</v>
      </c>
      <c r="C64">
        <v>0</v>
      </c>
      <c r="D64">
        <v>0</v>
      </c>
      <c r="E64">
        <v>0</v>
      </c>
      <c r="F64" s="29">
        <f t="shared" si="13"/>
        <v>0</v>
      </c>
      <c r="H64" s="47">
        <f t="shared" si="9"/>
        <v>0</v>
      </c>
      <c r="I64" s="47">
        <v>0</v>
      </c>
      <c r="J64" s="47">
        <f t="shared" si="10"/>
        <v>0</v>
      </c>
      <c r="K64" s="47">
        <f t="shared" si="11"/>
        <v>0</v>
      </c>
    </row>
    <row r="65" spans="1:11" s="43" customFormat="1" x14ac:dyDescent="0.25">
      <c r="A65" s="43" t="s">
        <v>121</v>
      </c>
      <c r="B65" s="52"/>
      <c r="F65" s="44">
        <f>SUM(F56:F64)</f>
        <v>1835000</v>
      </c>
      <c r="H65" s="44">
        <f>SUM(H56:H64)</f>
        <v>734000</v>
      </c>
      <c r="I65" s="44">
        <f>SUM(I56:I64)</f>
        <v>367000</v>
      </c>
      <c r="J65" s="44">
        <f>SUM(J56:J64)</f>
        <v>367000</v>
      </c>
      <c r="K65" s="44">
        <f>SUM(K56:K64)</f>
        <v>367000</v>
      </c>
    </row>
    <row r="66" spans="1:11" x14ac:dyDescent="0.25">
      <c r="K66" s="47">
        <f>H65+I65+J65+K65</f>
        <v>1835000</v>
      </c>
    </row>
    <row r="68" spans="1:11" x14ac:dyDescent="0.25">
      <c r="A68" t="s">
        <v>167</v>
      </c>
    </row>
    <row r="69" spans="1:11" x14ac:dyDescent="0.25">
      <c r="A69" t="s">
        <v>136</v>
      </c>
      <c r="B69" s="29" t="s">
        <v>137</v>
      </c>
      <c r="C69" t="s">
        <v>119</v>
      </c>
      <c r="D69" t="s">
        <v>138</v>
      </c>
      <c r="E69" t="s">
        <v>139</v>
      </c>
      <c r="F69" t="s">
        <v>140</v>
      </c>
      <c r="H69" t="s">
        <v>22</v>
      </c>
      <c r="I69" t="s">
        <v>112</v>
      </c>
      <c r="J69" t="s">
        <v>113</v>
      </c>
      <c r="K69" t="s">
        <v>114</v>
      </c>
    </row>
    <row r="70" spans="1:11" x14ac:dyDescent="0.25">
      <c r="A70" t="s">
        <v>143</v>
      </c>
      <c r="B70" s="29">
        <v>14000</v>
      </c>
      <c r="C70">
        <v>10</v>
      </c>
      <c r="D70">
        <v>5</v>
      </c>
      <c r="E70">
        <v>5</v>
      </c>
      <c r="F70" s="29">
        <f>B70*C70*D70*E70</f>
        <v>3500000</v>
      </c>
      <c r="H70" s="47">
        <f>(F70/5)*2</f>
        <v>1400000</v>
      </c>
      <c r="I70" s="47">
        <f>F70/5</f>
        <v>700000</v>
      </c>
      <c r="J70" s="47">
        <f>I70</f>
        <v>700000</v>
      </c>
      <c r="K70" s="47">
        <f>J70</f>
        <v>700000</v>
      </c>
    </row>
    <row r="71" spans="1:11" x14ac:dyDescent="0.25">
      <c r="A71" t="s">
        <v>145</v>
      </c>
      <c r="B71" s="29">
        <v>0</v>
      </c>
      <c r="C71">
        <v>0</v>
      </c>
      <c r="D71">
        <v>0</v>
      </c>
      <c r="E71">
        <v>0</v>
      </c>
      <c r="F71" s="29">
        <f t="shared" ref="F71:F78" si="14">B71*C71*D71*E71</f>
        <v>0</v>
      </c>
      <c r="H71" s="47">
        <f t="shared" ref="H71:H78" si="15">(F71/5)*2</f>
        <v>0</v>
      </c>
      <c r="I71" s="47">
        <f t="shared" ref="I71:I78" si="16">F71/5</f>
        <v>0</v>
      </c>
      <c r="J71" s="47">
        <f t="shared" ref="J71:K78" si="17">I71</f>
        <v>0</v>
      </c>
      <c r="K71" s="47">
        <f t="shared" si="17"/>
        <v>0</v>
      </c>
    </row>
    <row r="72" spans="1:11" x14ac:dyDescent="0.25">
      <c r="A72" t="s">
        <v>147</v>
      </c>
      <c r="B72" s="29">
        <v>200</v>
      </c>
      <c r="C72">
        <v>85</v>
      </c>
      <c r="D72">
        <v>5</v>
      </c>
      <c r="E72">
        <v>5</v>
      </c>
      <c r="F72" s="29">
        <f t="shared" si="14"/>
        <v>425000</v>
      </c>
      <c r="H72" s="47">
        <f t="shared" si="15"/>
        <v>170000</v>
      </c>
      <c r="I72" s="47">
        <f t="shared" si="16"/>
        <v>85000</v>
      </c>
      <c r="J72" s="47">
        <f t="shared" si="17"/>
        <v>85000</v>
      </c>
      <c r="K72" s="47">
        <f t="shared" si="17"/>
        <v>85000</v>
      </c>
    </row>
    <row r="73" spans="1:11" x14ac:dyDescent="0.25">
      <c r="A73" t="s">
        <v>149</v>
      </c>
      <c r="B73" s="29">
        <v>200000</v>
      </c>
      <c r="C73">
        <v>1</v>
      </c>
      <c r="D73">
        <v>1</v>
      </c>
      <c r="E73">
        <v>5</v>
      </c>
      <c r="F73" s="29">
        <f t="shared" si="14"/>
        <v>1000000</v>
      </c>
      <c r="H73" s="47">
        <f t="shared" si="15"/>
        <v>400000</v>
      </c>
      <c r="I73" s="47">
        <f t="shared" si="16"/>
        <v>200000</v>
      </c>
      <c r="J73" s="47">
        <f t="shared" si="17"/>
        <v>200000</v>
      </c>
      <c r="K73" s="47">
        <f t="shared" si="17"/>
        <v>200000</v>
      </c>
    </row>
    <row r="74" spans="1:11" x14ac:dyDescent="0.25">
      <c r="A74" t="s">
        <v>151</v>
      </c>
      <c r="B74" s="29">
        <v>0</v>
      </c>
      <c r="C74">
        <v>0</v>
      </c>
      <c r="D74">
        <v>0</v>
      </c>
      <c r="E74">
        <v>0</v>
      </c>
      <c r="F74" s="29">
        <f t="shared" si="14"/>
        <v>0</v>
      </c>
      <c r="H74" s="47">
        <f t="shared" si="15"/>
        <v>0</v>
      </c>
      <c r="I74" s="47">
        <f t="shared" si="16"/>
        <v>0</v>
      </c>
      <c r="J74" s="47">
        <f t="shared" si="17"/>
        <v>0</v>
      </c>
      <c r="K74" s="47">
        <f t="shared" si="17"/>
        <v>0</v>
      </c>
    </row>
    <row r="75" spans="1:11" x14ac:dyDescent="0.25">
      <c r="A75" t="s">
        <v>162</v>
      </c>
      <c r="B75" s="29">
        <v>0</v>
      </c>
      <c r="C75">
        <v>0</v>
      </c>
      <c r="D75">
        <v>0</v>
      </c>
      <c r="E75">
        <v>0</v>
      </c>
      <c r="F75" s="29">
        <f t="shared" si="14"/>
        <v>0</v>
      </c>
      <c r="H75" s="47">
        <f t="shared" si="15"/>
        <v>0</v>
      </c>
      <c r="I75" s="47">
        <f t="shared" si="16"/>
        <v>0</v>
      </c>
      <c r="J75" s="47">
        <f t="shared" si="17"/>
        <v>0</v>
      </c>
      <c r="K75" s="47">
        <f t="shared" si="17"/>
        <v>0</v>
      </c>
    </row>
    <row r="76" spans="1:11" x14ac:dyDescent="0.25">
      <c r="A76" t="s">
        <v>163</v>
      </c>
      <c r="B76" s="29">
        <v>0</v>
      </c>
      <c r="C76">
        <v>0</v>
      </c>
      <c r="D76">
        <v>0</v>
      </c>
      <c r="E76">
        <v>0</v>
      </c>
      <c r="F76" s="29">
        <f t="shared" si="14"/>
        <v>0</v>
      </c>
      <c r="H76" s="47">
        <f t="shared" si="15"/>
        <v>0</v>
      </c>
      <c r="I76" s="47">
        <f t="shared" si="16"/>
        <v>0</v>
      </c>
      <c r="J76" s="47">
        <f t="shared" si="17"/>
        <v>0</v>
      </c>
      <c r="K76" s="47">
        <f t="shared" si="17"/>
        <v>0</v>
      </c>
    </row>
    <row r="77" spans="1:11" x14ac:dyDescent="0.25">
      <c r="A77" t="s">
        <v>166</v>
      </c>
      <c r="B77" s="29">
        <v>0</v>
      </c>
      <c r="C77">
        <v>0</v>
      </c>
      <c r="D77">
        <v>0</v>
      </c>
      <c r="E77">
        <v>0</v>
      </c>
      <c r="F77" s="29">
        <f t="shared" si="14"/>
        <v>0</v>
      </c>
      <c r="H77" s="47">
        <f t="shared" si="15"/>
        <v>0</v>
      </c>
      <c r="I77" s="47">
        <f t="shared" si="16"/>
        <v>0</v>
      </c>
      <c r="J77" s="47">
        <f t="shared" si="17"/>
        <v>0</v>
      </c>
      <c r="K77" s="47">
        <f t="shared" si="17"/>
        <v>0</v>
      </c>
    </row>
    <row r="78" spans="1:11" x14ac:dyDescent="0.25">
      <c r="A78" t="s">
        <v>156</v>
      </c>
      <c r="B78" s="29">
        <v>0</v>
      </c>
      <c r="C78">
        <v>0</v>
      </c>
      <c r="D78">
        <v>0</v>
      </c>
      <c r="E78">
        <v>0</v>
      </c>
      <c r="F78" s="29">
        <f t="shared" si="14"/>
        <v>0</v>
      </c>
      <c r="H78" s="47">
        <f t="shared" si="15"/>
        <v>0</v>
      </c>
      <c r="I78" s="47">
        <f t="shared" si="16"/>
        <v>0</v>
      </c>
      <c r="J78" s="47">
        <f t="shared" si="17"/>
        <v>0</v>
      </c>
      <c r="K78" s="47">
        <f t="shared" si="17"/>
        <v>0</v>
      </c>
    </row>
    <row r="79" spans="1:11" s="43" customFormat="1" x14ac:dyDescent="0.25">
      <c r="A79" s="43" t="s">
        <v>121</v>
      </c>
      <c r="B79" s="52"/>
      <c r="F79" s="44">
        <f>SUM(F70:F78)</f>
        <v>4925000</v>
      </c>
      <c r="H79" s="44">
        <f>SUM(H70:H78)</f>
        <v>1970000</v>
      </c>
      <c r="I79" s="44">
        <f t="shared" ref="I79:K79" si="18">SUM(I70:I78)</f>
        <v>985000</v>
      </c>
      <c r="J79" s="44">
        <f t="shared" si="18"/>
        <v>985000</v>
      </c>
      <c r="K79" s="44">
        <f t="shared" si="18"/>
        <v>985000</v>
      </c>
    </row>
    <row r="80" spans="1:11" x14ac:dyDescent="0.25">
      <c r="K80" s="47">
        <f>H79+I79+J79+K79</f>
        <v>4925000</v>
      </c>
    </row>
    <row r="81" spans="1:11" x14ac:dyDescent="0.25">
      <c r="A81" t="s">
        <v>183</v>
      </c>
      <c r="K81" s="47"/>
    </row>
    <row r="82" spans="1:11" x14ac:dyDescent="0.25">
      <c r="A82" t="s">
        <v>136</v>
      </c>
      <c r="B82" s="29" t="s">
        <v>137</v>
      </c>
      <c r="C82" t="s">
        <v>119</v>
      </c>
      <c r="D82" t="s">
        <v>138</v>
      </c>
      <c r="E82" t="s">
        <v>139</v>
      </c>
      <c r="F82" t="s">
        <v>140</v>
      </c>
      <c r="H82" t="s">
        <v>22</v>
      </c>
      <c r="I82" t="s">
        <v>112</v>
      </c>
      <c r="J82" t="s">
        <v>113</v>
      </c>
      <c r="K82" t="s">
        <v>114</v>
      </c>
    </row>
    <row r="83" spans="1:11" x14ac:dyDescent="0.25">
      <c r="A83" t="s">
        <v>184</v>
      </c>
      <c r="B83" s="29">
        <v>300000</v>
      </c>
      <c r="C83">
        <v>1</v>
      </c>
      <c r="D83">
        <v>1</v>
      </c>
      <c r="E83">
        <v>1</v>
      </c>
      <c r="F83" s="47">
        <f>B83*C83*D83*E83</f>
        <v>300000</v>
      </c>
      <c r="H83" s="47">
        <v>0</v>
      </c>
      <c r="I83" s="47">
        <f>F83</f>
        <v>300000</v>
      </c>
      <c r="J83">
        <v>0</v>
      </c>
      <c r="K83" s="47">
        <v>0</v>
      </c>
    </row>
    <row r="84" spans="1:11" s="43" customFormat="1" x14ac:dyDescent="0.25">
      <c r="A84" s="43" t="s">
        <v>121</v>
      </c>
      <c r="B84" s="52"/>
      <c r="F84" s="44">
        <f>SUM(F83)</f>
        <v>300000</v>
      </c>
      <c r="H84" s="44">
        <f>SUM(H83)</f>
        <v>0</v>
      </c>
      <c r="I84" s="44">
        <f t="shared" ref="I84:K84" si="19">SUM(I83)</f>
        <v>300000</v>
      </c>
      <c r="J84" s="44">
        <f t="shared" si="19"/>
        <v>0</v>
      </c>
      <c r="K84" s="44">
        <f t="shared" si="19"/>
        <v>0</v>
      </c>
    </row>
    <row r="85" spans="1:11" x14ac:dyDescent="0.25">
      <c r="K85" s="47"/>
    </row>
    <row r="86" spans="1:11" x14ac:dyDescent="0.25">
      <c r="K86" s="47"/>
    </row>
    <row r="87" spans="1:11" x14ac:dyDescent="0.25">
      <c r="A87" t="s">
        <v>185</v>
      </c>
    </row>
    <row r="88" spans="1:11" x14ac:dyDescent="0.25">
      <c r="A88" t="s">
        <v>136</v>
      </c>
      <c r="B88" s="29" t="s">
        <v>137</v>
      </c>
      <c r="C88" t="s">
        <v>119</v>
      </c>
      <c r="D88" t="s">
        <v>138</v>
      </c>
      <c r="E88" t="s">
        <v>139</v>
      </c>
      <c r="F88" t="s">
        <v>140</v>
      </c>
      <c r="H88" t="s">
        <v>22</v>
      </c>
      <c r="I88" t="s">
        <v>112</v>
      </c>
      <c r="J88" t="s">
        <v>113</v>
      </c>
      <c r="K88" t="s">
        <v>114</v>
      </c>
    </row>
    <row r="89" spans="1:11" x14ac:dyDescent="0.25">
      <c r="A89" t="s">
        <v>143</v>
      </c>
      <c r="B89" s="29">
        <v>14000</v>
      </c>
      <c r="C89">
        <v>10</v>
      </c>
      <c r="D89">
        <v>1</v>
      </c>
      <c r="E89">
        <v>5</v>
      </c>
      <c r="F89" s="29">
        <f>B89*C89*D89*E89</f>
        <v>700000</v>
      </c>
      <c r="H89" s="47">
        <f>(F89/5)*2</f>
        <v>280000</v>
      </c>
      <c r="I89" s="47">
        <f>F89/5</f>
        <v>140000</v>
      </c>
      <c r="J89" s="47">
        <f>I89</f>
        <v>140000</v>
      </c>
      <c r="K89" s="47">
        <f>J89</f>
        <v>140000</v>
      </c>
    </row>
    <row r="90" spans="1:11" x14ac:dyDescent="0.25">
      <c r="A90" t="s">
        <v>145</v>
      </c>
      <c r="B90" s="29">
        <v>0</v>
      </c>
      <c r="C90">
        <v>0</v>
      </c>
      <c r="D90">
        <v>0</v>
      </c>
      <c r="E90">
        <v>0</v>
      </c>
      <c r="F90" s="29">
        <f t="shared" ref="F90:F91" si="20">B90*C90*D90*E90</f>
        <v>0</v>
      </c>
      <c r="H90" s="47">
        <f t="shared" ref="H90:H97" si="21">(F90/5)*2</f>
        <v>0</v>
      </c>
      <c r="I90" s="47">
        <f t="shared" ref="I90:I97" si="22">F90/5</f>
        <v>0</v>
      </c>
      <c r="J90" s="47">
        <f t="shared" ref="J90:K97" si="23">I90</f>
        <v>0</v>
      </c>
      <c r="K90" s="47">
        <f t="shared" si="23"/>
        <v>0</v>
      </c>
    </row>
    <row r="91" spans="1:11" x14ac:dyDescent="0.25">
      <c r="A91" t="s">
        <v>147</v>
      </c>
      <c r="B91" s="29">
        <v>200</v>
      </c>
      <c r="C91">
        <v>85</v>
      </c>
      <c r="D91">
        <v>1</v>
      </c>
      <c r="E91">
        <v>5</v>
      </c>
      <c r="F91" s="29">
        <f t="shared" si="20"/>
        <v>85000</v>
      </c>
      <c r="H91" s="47">
        <f t="shared" si="21"/>
        <v>34000</v>
      </c>
      <c r="I91" s="47">
        <f t="shared" si="22"/>
        <v>17000</v>
      </c>
      <c r="J91" s="47">
        <f t="shared" si="23"/>
        <v>17000</v>
      </c>
      <c r="K91" s="47">
        <f t="shared" si="23"/>
        <v>17000</v>
      </c>
    </row>
    <row r="92" spans="1:11" x14ac:dyDescent="0.25">
      <c r="A92" t="s">
        <v>149</v>
      </c>
      <c r="B92" s="29">
        <v>0</v>
      </c>
      <c r="C92">
        <v>0</v>
      </c>
      <c r="D92">
        <v>0</v>
      </c>
      <c r="E92">
        <v>0</v>
      </c>
      <c r="F92" s="29">
        <v>0</v>
      </c>
      <c r="H92" s="47">
        <f t="shared" si="21"/>
        <v>0</v>
      </c>
      <c r="I92" s="47">
        <f t="shared" si="22"/>
        <v>0</v>
      </c>
      <c r="J92" s="47">
        <f t="shared" si="23"/>
        <v>0</v>
      </c>
      <c r="K92" s="47">
        <f t="shared" si="23"/>
        <v>0</v>
      </c>
    </row>
    <row r="93" spans="1:11" x14ac:dyDescent="0.25">
      <c r="A93" t="s">
        <v>151</v>
      </c>
      <c r="B93" s="29">
        <v>0</v>
      </c>
      <c r="C93">
        <v>0</v>
      </c>
      <c r="D93">
        <v>0</v>
      </c>
      <c r="E93">
        <v>0</v>
      </c>
      <c r="F93" s="29">
        <f t="shared" ref="F93:F97" si="24">B93*C93*D93*E93</f>
        <v>0</v>
      </c>
      <c r="H93" s="47">
        <f t="shared" si="21"/>
        <v>0</v>
      </c>
      <c r="I93" s="47">
        <f t="shared" si="22"/>
        <v>0</v>
      </c>
      <c r="J93" s="47">
        <f t="shared" si="23"/>
        <v>0</v>
      </c>
      <c r="K93" s="47">
        <f t="shared" si="23"/>
        <v>0</v>
      </c>
    </row>
    <row r="94" spans="1:11" x14ac:dyDescent="0.25">
      <c r="A94" t="s">
        <v>162</v>
      </c>
      <c r="B94" s="29">
        <v>2000</v>
      </c>
      <c r="C94">
        <v>30</v>
      </c>
      <c r="D94">
        <v>1</v>
      </c>
      <c r="E94">
        <v>5</v>
      </c>
      <c r="F94" s="29">
        <f t="shared" si="24"/>
        <v>300000</v>
      </c>
      <c r="H94" s="47">
        <f t="shared" si="21"/>
        <v>120000</v>
      </c>
      <c r="I94" s="47">
        <f t="shared" si="22"/>
        <v>60000</v>
      </c>
      <c r="J94" s="47">
        <f t="shared" si="23"/>
        <v>60000</v>
      </c>
      <c r="K94" s="47">
        <f t="shared" si="23"/>
        <v>60000</v>
      </c>
    </row>
    <row r="95" spans="1:11" x14ac:dyDescent="0.25">
      <c r="A95" t="s">
        <v>163</v>
      </c>
      <c r="B95" s="29">
        <v>2000</v>
      </c>
      <c r="C95">
        <v>5</v>
      </c>
      <c r="D95">
        <v>6</v>
      </c>
      <c r="E95">
        <v>6</v>
      </c>
      <c r="F95" s="29">
        <f t="shared" si="24"/>
        <v>360000</v>
      </c>
      <c r="H95" s="47">
        <f t="shared" si="21"/>
        <v>144000</v>
      </c>
      <c r="I95" s="47">
        <f t="shared" si="22"/>
        <v>72000</v>
      </c>
      <c r="J95" s="47">
        <f t="shared" si="23"/>
        <v>72000</v>
      </c>
      <c r="K95" s="47">
        <f t="shared" si="23"/>
        <v>72000</v>
      </c>
    </row>
    <row r="96" spans="1:11" x14ac:dyDescent="0.25">
      <c r="A96" t="s">
        <v>166</v>
      </c>
      <c r="B96" s="29">
        <v>0</v>
      </c>
      <c r="C96">
        <v>0</v>
      </c>
      <c r="D96">
        <v>0</v>
      </c>
      <c r="E96">
        <v>0</v>
      </c>
      <c r="F96" s="29">
        <f t="shared" si="24"/>
        <v>0</v>
      </c>
      <c r="H96" s="47">
        <f t="shared" si="21"/>
        <v>0</v>
      </c>
      <c r="I96" s="47">
        <f t="shared" si="22"/>
        <v>0</v>
      </c>
      <c r="J96" s="47">
        <f t="shared" si="23"/>
        <v>0</v>
      </c>
      <c r="K96" s="47">
        <f t="shared" si="23"/>
        <v>0</v>
      </c>
    </row>
    <row r="97" spans="1:11" x14ac:dyDescent="0.25">
      <c r="A97" t="s">
        <v>156</v>
      </c>
      <c r="B97" s="29">
        <v>0</v>
      </c>
      <c r="C97">
        <v>0</v>
      </c>
      <c r="D97">
        <v>0</v>
      </c>
      <c r="E97">
        <v>0</v>
      </c>
      <c r="F97" s="29">
        <f t="shared" si="24"/>
        <v>0</v>
      </c>
      <c r="H97" s="47">
        <f t="shared" si="21"/>
        <v>0</v>
      </c>
      <c r="I97" s="47">
        <f t="shared" si="22"/>
        <v>0</v>
      </c>
      <c r="J97" s="47">
        <f t="shared" si="23"/>
        <v>0</v>
      </c>
      <c r="K97" s="47">
        <f t="shared" si="23"/>
        <v>0</v>
      </c>
    </row>
    <row r="98" spans="1:11" s="43" customFormat="1" x14ac:dyDescent="0.25">
      <c r="A98" s="43" t="s">
        <v>121</v>
      </c>
      <c r="B98" s="52"/>
      <c r="F98" s="44">
        <f>SUM(F89:F97)</f>
        <v>1445000</v>
      </c>
      <c r="H98" s="44">
        <f>SUM(H89:H97)</f>
        <v>578000</v>
      </c>
      <c r="I98" s="44">
        <f t="shared" ref="I98:K98" si="25">SUM(I89:I97)</f>
        <v>289000</v>
      </c>
      <c r="J98" s="44">
        <f t="shared" si="25"/>
        <v>289000</v>
      </c>
      <c r="K98" s="44">
        <f t="shared" si="25"/>
        <v>289000</v>
      </c>
    </row>
    <row r="99" spans="1:11" x14ac:dyDescent="0.25">
      <c r="K99" s="47">
        <f>H98+I98+J98+K98</f>
        <v>1445000</v>
      </c>
    </row>
    <row r="100" spans="1:11" x14ac:dyDescent="0.25">
      <c r="A100" t="s">
        <v>168</v>
      </c>
    </row>
    <row r="101" spans="1:11" x14ac:dyDescent="0.25">
      <c r="A101" t="s">
        <v>136</v>
      </c>
      <c r="B101" s="29" t="s">
        <v>137</v>
      </c>
      <c r="C101" t="s">
        <v>119</v>
      </c>
      <c r="D101" t="s">
        <v>138</v>
      </c>
      <c r="E101" t="s">
        <v>139</v>
      </c>
      <c r="F101" t="s">
        <v>140</v>
      </c>
      <c r="H101" t="s">
        <v>22</v>
      </c>
      <c r="I101" t="s">
        <v>112</v>
      </c>
      <c r="J101" t="s">
        <v>113</v>
      </c>
      <c r="K101" t="s">
        <v>114</v>
      </c>
    </row>
    <row r="102" spans="1:11" x14ac:dyDescent="0.25">
      <c r="A102" t="s">
        <v>143</v>
      </c>
      <c r="B102" s="29">
        <v>14000</v>
      </c>
      <c r="C102">
        <v>10</v>
      </c>
      <c r="D102">
        <v>10</v>
      </c>
      <c r="E102">
        <v>5</v>
      </c>
      <c r="F102" s="29">
        <f>B102*C102*D102*E102</f>
        <v>7000000</v>
      </c>
      <c r="H102" s="47">
        <f>(F102/5)*2</f>
        <v>2800000</v>
      </c>
      <c r="I102" s="47">
        <f>F102/5</f>
        <v>1400000</v>
      </c>
      <c r="J102" s="47">
        <f>I102</f>
        <v>1400000</v>
      </c>
      <c r="K102" s="47">
        <f>J102</f>
        <v>1400000</v>
      </c>
    </row>
    <row r="103" spans="1:11" x14ac:dyDescent="0.25">
      <c r="A103" t="s">
        <v>145</v>
      </c>
      <c r="B103" s="29">
        <v>0</v>
      </c>
      <c r="C103">
        <v>0</v>
      </c>
      <c r="D103">
        <v>0</v>
      </c>
      <c r="E103">
        <v>0</v>
      </c>
      <c r="F103" s="29">
        <f t="shared" ref="F103:F104" si="26">B103*C103*D103*E103</f>
        <v>0</v>
      </c>
      <c r="H103" s="47">
        <f t="shared" ref="H103:H108" si="27">(F103/5)*2</f>
        <v>0</v>
      </c>
      <c r="I103" s="47">
        <f t="shared" ref="I103:I108" si="28">F103/5</f>
        <v>0</v>
      </c>
      <c r="J103" s="47">
        <f t="shared" ref="J103:K109" si="29">I103</f>
        <v>0</v>
      </c>
      <c r="K103" s="47">
        <f t="shared" si="29"/>
        <v>0</v>
      </c>
    </row>
    <row r="104" spans="1:11" x14ac:dyDescent="0.25">
      <c r="A104" t="s">
        <v>147</v>
      </c>
      <c r="B104" s="29">
        <v>200</v>
      </c>
      <c r="C104">
        <v>85</v>
      </c>
      <c r="D104">
        <v>10</v>
      </c>
      <c r="E104">
        <v>5</v>
      </c>
      <c r="F104" s="29">
        <f t="shared" si="26"/>
        <v>850000</v>
      </c>
      <c r="H104" s="47">
        <f t="shared" si="27"/>
        <v>340000</v>
      </c>
      <c r="I104" s="47">
        <f t="shared" si="28"/>
        <v>170000</v>
      </c>
      <c r="J104" s="47">
        <f t="shared" si="29"/>
        <v>170000</v>
      </c>
      <c r="K104" s="47">
        <f t="shared" si="29"/>
        <v>170000</v>
      </c>
    </row>
    <row r="105" spans="1:11" x14ac:dyDescent="0.25">
      <c r="A105" t="s">
        <v>149</v>
      </c>
      <c r="B105" s="29">
        <v>0</v>
      </c>
      <c r="C105">
        <v>0</v>
      </c>
      <c r="D105">
        <v>0</v>
      </c>
      <c r="E105">
        <v>0</v>
      </c>
      <c r="F105" s="29">
        <v>500000</v>
      </c>
      <c r="H105" s="47">
        <f t="shared" si="27"/>
        <v>200000</v>
      </c>
      <c r="I105" s="47">
        <f t="shared" si="28"/>
        <v>100000</v>
      </c>
      <c r="J105" s="47">
        <f t="shared" si="29"/>
        <v>100000</v>
      </c>
      <c r="K105" s="47">
        <f t="shared" si="29"/>
        <v>100000</v>
      </c>
    </row>
    <row r="106" spans="1:11" x14ac:dyDescent="0.25">
      <c r="A106" t="s">
        <v>151</v>
      </c>
      <c r="B106" s="29">
        <v>0</v>
      </c>
      <c r="C106">
        <v>0</v>
      </c>
      <c r="D106">
        <v>0</v>
      </c>
      <c r="E106">
        <v>0</v>
      </c>
      <c r="F106" s="29">
        <f t="shared" ref="F106:F107" si="30">B106*C106*D106*E106</f>
        <v>0</v>
      </c>
      <c r="H106" s="47">
        <f t="shared" si="27"/>
        <v>0</v>
      </c>
      <c r="I106" s="47">
        <f t="shared" si="28"/>
        <v>0</v>
      </c>
      <c r="J106" s="47">
        <f t="shared" si="29"/>
        <v>0</v>
      </c>
      <c r="K106" s="47">
        <f t="shared" si="29"/>
        <v>0</v>
      </c>
    </row>
    <row r="107" spans="1:11" x14ac:dyDescent="0.25">
      <c r="A107" t="s">
        <v>166</v>
      </c>
      <c r="B107" s="29">
        <v>100000</v>
      </c>
      <c r="C107">
        <v>1</v>
      </c>
      <c r="D107">
        <v>1</v>
      </c>
      <c r="E107">
        <v>5</v>
      </c>
      <c r="F107" s="29">
        <f t="shared" si="30"/>
        <v>500000</v>
      </c>
      <c r="H107" s="47">
        <f t="shared" si="27"/>
        <v>200000</v>
      </c>
      <c r="I107" s="47">
        <f t="shared" si="28"/>
        <v>100000</v>
      </c>
      <c r="J107" s="47">
        <f t="shared" si="29"/>
        <v>100000</v>
      </c>
      <c r="K107" s="47">
        <f t="shared" si="29"/>
        <v>100000</v>
      </c>
    </row>
    <row r="108" spans="1:11" x14ac:dyDescent="0.25">
      <c r="A108" t="s">
        <v>156</v>
      </c>
      <c r="B108" s="29">
        <v>0</v>
      </c>
      <c r="C108">
        <v>0</v>
      </c>
      <c r="D108">
        <v>0</v>
      </c>
      <c r="E108">
        <v>0</v>
      </c>
      <c r="F108" s="29">
        <v>150000</v>
      </c>
      <c r="H108" s="47">
        <f t="shared" si="27"/>
        <v>60000</v>
      </c>
      <c r="I108" s="47">
        <f t="shared" si="28"/>
        <v>30000</v>
      </c>
      <c r="J108" s="47">
        <f t="shared" si="29"/>
        <v>30000</v>
      </c>
      <c r="K108" s="47">
        <f t="shared" si="29"/>
        <v>30000</v>
      </c>
    </row>
    <row r="109" spans="1:11" s="53" customFormat="1" ht="15.75" x14ac:dyDescent="0.25">
      <c r="A109" s="53" t="s">
        <v>121</v>
      </c>
      <c r="B109" s="54"/>
      <c r="F109" s="55">
        <f>SUM(F102:F108)</f>
        <v>9000000</v>
      </c>
      <c r="H109" s="55">
        <f>SUM(H102:H108)</f>
        <v>3600000</v>
      </c>
      <c r="I109" s="55">
        <f>SUM(I102:I108)</f>
        <v>1800000</v>
      </c>
      <c r="J109" s="55">
        <f t="shared" si="29"/>
        <v>1800000</v>
      </c>
      <c r="K109" s="55">
        <f t="shared" si="29"/>
        <v>1800000</v>
      </c>
    </row>
    <row r="110" spans="1:11" x14ac:dyDescent="0.25">
      <c r="K110" s="47">
        <f>H109+I109+J109+K109</f>
        <v>9000000</v>
      </c>
    </row>
    <row r="111" spans="1:11" x14ac:dyDescent="0.25">
      <c r="A111" t="s">
        <v>169</v>
      </c>
      <c r="B111" s="50"/>
      <c r="H111" s="29">
        <f>1400000+618000</f>
        <v>2018000</v>
      </c>
    </row>
    <row r="112" spans="1:11" x14ac:dyDescent="0.25">
      <c r="A112" t="s">
        <v>136</v>
      </c>
      <c r="B112" s="50" t="s">
        <v>137</v>
      </c>
      <c r="C112" t="s">
        <v>119</v>
      </c>
      <c r="D112" t="s">
        <v>138</v>
      </c>
      <c r="E112" t="s">
        <v>139</v>
      </c>
      <c r="F112" t="s">
        <v>140</v>
      </c>
      <c r="H112" t="s">
        <v>22</v>
      </c>
      <c r="I112" t="s">
        <v>112</v>
      </c>
      <c r="J112" t="s">
        <v>113</v>
      </c>
      <c r="K112" t="s">
        <v>114</v>
      </c>
    </row>
    <row r="113" spans="1:11" x14ac:dyDescent="0.25">
      <c r="A113" t="s">
        <v>143</v>
      </c>
      <c r="B113" s="50">
        <v>14000</v>
      </c>
      <c r="C113">
        <v>10</v>
      </c>
      <c r="D113">
        <v>5</v>
      </c>
      <c r="E113">
        <v>5</v>
      </c>
      <c r="F113" s="50">
        <f>B113*C113*D113*E113</f>
        <v>3500000</v>
      </c>
      <c r="H113" s="47">
        <v>2018000</v>
      </c>
      <c r="I113" s="47">
        <v>494000</v>
      </c>
      <c r="J113" s="47">
        <f>I113</f>
        <v>494000</v>
      </c>
      <c r="K113" s="47">
        <v>494000</v>
      </c>
    </row>
    <row r="114" spans="1:11" x14ac:dyDescent="0.25">
      <c r="A114" t="s">
        <v>145</v>
      </c>
      <c r="B114" s="50">
        <v>0</v>
      </c>
      <c r="C114">
        <v>0</v>
      </c>
      <c r="D114">
        <v>0</v>
      </c>
      <c r="E114">
        <v>0</v>
      </c>
      <c r="F114" s="50">
        <f t="shared" ref="F114:F115" si="31">B114*C114*D114*E114</f>
        <v>0</v>
      </c>
      <c r="H114" s="47">
        <f t="shared" ref="H114:H120" si="32">(F114/5)*2</f>
        <v>0</v>
      </c>
      <c r="I114" s="47">
        <f t="shared" ref="I114:I120" si="33">F114/5</f>
        <v>0</v>
      </c>
      <c r="J114" s="47">
        <f t="shared" ref="J114:K120" si="34">I114</f>
        <v>0</v>
      </c>
      <c r="K114" s="47">
        <f t="shared" si="34"/>
        <v>0</v>
      </c>
    </row>
    <row r="115" spans="1:11" x14ac:dyDescent="0.25">
      <c r="A115" t="s">
        <v>147</v>
      </c>
      <c r="B115" s="50">
        <v>200</v>
      </c>
      <c r="C115">
        <v>85</v>
      </c>
      <c r="D115">
        <v>5</v>
      </c>
      <c r="E115">
        <v>5</v>
      </c>
      <c r="F115" s="50">
        <f t="shared" si="31"/>
        <v>425000</v>
      </c>
      <c r="H115" s="47">
        <f>(F115/5)*2</f>
        <v>170000</v>
      </c>
      <c r="I115" s="47">
        <f t="shared" si="33"/>
        <v>85000</v>
      </c>
      <c r="J115" s="47">
        <f t="shared" si="34"/>
        <v>85000</v>
      </c>
      <c r="K115" s="47">
        <f t="shared" si="34"/>
        <v>85000</v>
      </c>
    </row>
    <row r="116" spans="1:11" x14ac:dyDescent="0.25">
      <c r="A116" t="s">
        <v>149</v>
      </c>
      <c r="B116" s="50">
        <v>0</v>
      </c>
      <c r="C116">
        <v>0</v>
      </c>
      <c r="D116">
        <v>0</v>
      </c>
      <c r="E116">
        <v>0</v>
      </c>
      <c r="F116" s="50">
        <v>0</v>
      </c>
      <c r="H116" s="47">
        <f t="shared" si="32"/>
        <v>0</v>
      </c>
      <c r="I116" s="47">
        <f t="shared" si="33"/>
        <v>0</v>
      </c>
      <c r="J116" s="47">
        <f t="shared" si="34"/>
        <v>0</v>
      </c>
      <c r="K116" s="47">
        <f t="shared" si="34"/>
        <v>0</v>
      </c>
    </row>
    <row r="117" spans="1:11" x14ac:dyDescent="0.25">
      <c r="A117" t="s">
        <v>151</v>
      </c>
      <c r="B117" s="50">
        <v>28000</v>
      </c>
      <c r="C117">
        <v>2</v>
      </c>
      <c r="D117">
        <v>1</v>
      </c>
      <c r="E117">
        <v>1</v>
      </c>
      <c r="F117" s="50">
        <f t="shared" ref="F117:F120" si="35">B117*C117*D117*E117</f>
        <v>56000</v>
      </c>
      <c r="H117" s="47">
        <v>0</v>
      </c>
      <c r="I117" s="47">
        <f>F117</f>
        <v>56000</v>
      </c>
      <c r="J117" s="47">
        <v>0</v>
      </c>
      <c r="K117" s="47">
        <f t="shared" si="34"/>
        <v>0</v>
      </c>
    </row>
    <row r="118" spans="1:11" x14ac:dyDescent="0.25">
      <c r="A118" t="s">
        <v>166</v>
      </c>
      <c r="B118" s="50">
        <v>0</v>
      </c>
      <c r="C118">
        <v>0</v>
      </c>
      <c r="D118">
        <v>0</v>
      </c>
      <c r="E118">
        <v>0</v>
      </c>
      <c r="F118" s="50">
        <f t="shared" si="35"/>
        <v>0</v>
      </c>
      <c r="H118" s="47">
        <f t="shared" si="32"/>
        <v>0</v>
      </c>
      <c r="I118" s="47">
        <f t="shared" si="33"/>
        <v>0</v>
      </c>
      <c r="J118" s="47">
        <f t="shared" si="34"/>
        <v>0</v>
      </c>
      <c r="K118" s="47">
        <f t="shared" si="34"/>
        <v>0</v>
      </c>
    </row>
    <row r="119" spans="1:11" x14ac:dyDescent="0.25">
      <c r="A119" t="s">
        <v>170</v>
      </c>
      <c r="B119" s="50">
        <v>500000</v>
      </c>
      <c r="C119">
        <v>1</v>
      </c>
      <c r="D119">
        <v>1</v>
      </c>
      <c r="E119">
        <v>1</v>
      </c>
      <c r="F119" s="50">
        <f t="shared" si="35"/>
        <v>500000</v>
      </c>
      <c r="H119" s="47">
        <f>F119</f>
        <v>500000</v>
      </c>
      <c r="I119" s="47">
        <v>0</v>
      </c>
      <c r="J119" s="47">
        <f t="shared" si="34"/>
        <v>0</v>
      </c>
      <c r="K119" s="47">
        <f t="shared" si="34"/>
        <v>0</v>
      </c>
    </row>
    <row r="120" spans="1:11" x14ac:dyDescent="0.25">
      <c r="A120" t="s">
        <v>156</v>
      </c>
      <c r="B120" s="50">
        <v>0</v>
      </c>
      <c r="C120">
        <v>1</v>
      </c>
      <c r="D120">
        <v>1</v>
      </c>
      <c r="E120">
        <v>0</v>
      </c>
      <c r="F120" s="50">
        <f t="shared" si="35"/>
        <v>0</v>
      </c>
      <c r="H120" s="47">
        <f t="shared" si="32"/>
        <v>0</v>
      </c>
      <c r="I120" s="47">
        <f t="shared" si="33"/>
        <v>0</v>
      </c>
      <c r="J120" s="47">
        <f t="shared" si="34"/>
        <v>0</v>
      </c>
      <c r="K120" s="47">
        <f t="shared" si="34"/>
        <v>0</v>
      </c>
    </row>
    <row r="121" spans="1:11" s="43" customFormat="1" x14ac:dyDescent="0.25">
      <c r="A121" s="43" t="s">
        <v>121</v>
      </c>
      <c r="B121" s="52"/>
      <c r="F121" s="44">
        <f>SUM(F113:F120)</f>
        <v>4481000</v>
      </c>
      <c r="H121" s="44">
        <f>SUM(H113:H120)</f>
        <v>2688000</v>
      </c>
      <c r="I121" s="44">
        <f>SUM(I113:I120)</f>
        <v>635000</v>
      </c>
      <c r="J121" s="44">
        <f>SUM(J113:J120)</f>
        <v>579000</v>
      </c>
      <c r="K121" s="44">
        <f>SUM(K113:K120)</f>
        <v>579000</v>
      </c>
    </row>
    <row r="122" spans="1:11" x14ac:dyDescent="0.25">
      <c r="B122" s="50"/>
      <c r="K122" s="47">
        <f>H121+I121+J121+K121</f>
        <v>4481000</v>
      </c>
    </row>
    <row r="123" spans="1:11" x14ac:dyDescent="0.25">
      <c r="A123" t="s">
        <v>186</v>
      </c>
      <c r="B123" s="50"/>
      <c r="K123" s="47"/>
    </row>
    <row r="124" spans="1:11" x14ac:dyDescent="0.25">
      <c r="A124" t="s">
        <v>136</v>
      </c>
      <c r="B124" s="50" t="s">
        <v>137</v>
      </c>
      <c r="C124" t="s">
        <v>119</v>
      </c>
      <c r="D124" t="s">
        <v>138</v>
      </c>
      <c r="E124" t="s">
        <v>139</v>
      </c>
      <c r="F124" t="s">
        <v>140</v>
      </c>
      <c r="H124" t="s">
        <v>22</v>
      </c>
      <c r="I124" t="s">
        <v>112</v>
      </c>
      <c r="J124" t="s">
        <v>113</v>
      </c>
      <c r="K124" t="s">
        <v>114</v>
      </c>
    </row>
    <row r="125" spans="1:11" x14ac:dyDescent="0.25">
      <c r="A125" t="s">
        <v>187</v>
      </c>
      <c r="B125" s="50">
        <v>100000</v>
      </c>
      <c r="C125">
        <v>1</v>
      </c>
      <c r="D125">
        <v>1</v>
      </c>
      <c r="E125">
        <v>5</v>
      </c>
      <c r="F125" s="47">
        <f>B125*C125*D125*E125</f>
        <v>500000</v>
      </c>
      <c r="H125" s="47">
        <f>F125</f>
        <v>500000</v>
      </c>
      <c r="I125" s="47">
        <v>0</v>
      </c>
      <c r="J125" s="47">
        <v>0</v>
      </c>
      <c r="K125" s="47">
        <f>J125</f>
        <v>0</v>
      </c>
    </row>
    <row r="126" spans="1:11" x14ac:dyDescent="0.25">
      <c r="B126" s="50"/>
      <c r="F126" s="47"/>
      <c r="H126" s="47">
        <f>(F126/5)*2</f>
        <v>0</v>
      </c>
      <c r="I126" s="47">
        <f>F126/5</f>
        <v>0</v>
      </c>
      <c r="J126" s="47">
        <f>I126</f>
        <v>0</v>
      </c>
      <c r="K126" s="47">
        <f t="shared" ref="K126:K127" si="36">J126</f>
        <v>0</v>
      </c>
    </row>
    <row r="127" spans="1:11" s="43" customFormat="1" x14ac:dyDescent="0.25">
      <c r="A127" s="43" t="s">
        <v>121</v>
      </c>
      <c r="B127" s="52"/>
      <c r="F127" s="44">
        <f>SUM(F125:F126)</f>
        <v>500000</v>
      </c>
      <c r="H127" s="44">
        <f>SUM(H125:H126)</f>
        <v>500000</v>
      </c>
      <c r="I127" s="44">
        <f t="shared" ref="I127:J127" si="37">SUM(I125:I126)</f>
        <v>0</v>
      </c>
      <c r="J127" s="44">
        <f t="shared" si="37"/>
        <v>0</v>
      </c>
      <c r="K127" s="44">
        <f t="shared" si="36"/>
        <v>0</v>
      </c>
    </row>
    <row r="128" spans="1:11" x14ac:dyDescent="0.25">
      <c r="B128" s="50"/>
    </row>
    <row r="129" spans="1:11" x14ac:dyDescent="0.25">
      <c r="A129" t="s">
        <v>171</v>
      </c>
      <c r="B129" s="50"/>
      <c r="H129" t="s">
        <v>22</v>
      </c>
      <c r="I129" t="s">
        <v>112</v>
      </c>
      <c r="J129" t="s">
        <v>113</v>
      </c>
      <c r="K129" t="s">
        <v>114</v>
      </c>
    </row>
    <row r="130" spans="1:11" x14ac:dyDescent="0.25">
      <c r="A130" t="s">
        <v>136</v>
      </c>
      <c r="B130" s="50" t="s">
        <v>137</v>
      </c>
      <c r="C130" t="s">
        <v>119</v>
      </c>
      <c r="D130" t="s">
        <v>138</v>
      </c>
      <c r="E130" t="s">
        <v>139</v>
      </c>
      <c r="F130" t="s">
        <v>140</v>
      </c>
    </row>
    <row r="131" spans="1:11" x14ac:dyDescent="0.25">
      <c r="A131" t="s">
        <v>143</v>
      </c>
      <c r="B131" s="50">
        <v>14000</v>
      </c>
      <c r="C131">
        <v>10</v>
      </c>
      <c r="D131">
        <v>5</v>
      </c>
      <c r="E131">
        <v>5</v>
      </c>
      <c r="F131" s="50">
        <f>B131*C131*D131*E131</f>
        <v>3500000</v>
      </c>
      <c r="H131" s="47">
        <f>(F131/5)*2</f>
        <v>1400000</v>
      </c>
      <c r="I131" s="47">
        <f>F131/5</f>
        <v>700000</v>
      </c>
      <c r="J131" s="47">
        <f>I131</f>
        <v>700000</v>
      </c>
      <c r="K131" s="47">
        <f>J131</f>
        <v>700000</v>
      </c>
    </row>
    <row r="132" spans="1:11" x14ac:dyDescent="0.25">
      <c r="A132" t="s">
        <v>145</v>
      </c>
      <c r="B132" s="50">
        <v>0</v>
      </c>
      <c r="C132">
        <v>0</v>
      </c>
      <c r="D132">
        <v>0</v>
      </c>
      <c r="E132">
        <v>0</v>
      </c>
      <c r="F132" s="50">
        <f t="shared" ref="F132:F138" si="38">B132*C132*D132*E132</f>
        <v>0</v>
      </c>
      <c r="H132" s="47">
        <f t="shared" ref="H132:H138" si="39">(F132/5)*2</f>
        <v>0</v>
      </c>
      <c r="I132" s="47">
        <f t="shared" ref="I132:I138" si="40">F132/5</f>
        <v>0</v>
      </c>
      <c r="J132" s="47">
        <f t="shared" ref="J132:K138" si="41">I132</f>
        <v>0</v>
      </c>
      <c r="K132" s="47">
        <f t="shared" si="41"/>
        <v>0</v>
      </c>
    </row>
    <row r="133" spans="1:11" x14ac:dyDescent="0.25">
      <c r="A133" t="s">
        <v>147</v>
      </c>
      <c r="B133" s="50">
        <v>200</v>
      </c>
      <c r="C133">
        <v>85</v>
      </c>
      <c r="D133">
        <v>5</v>
      </c>
      <c r="E133">
        <v>5</v>
      </c>
      <c r="F133" s="50">
        <f t="shared" si="38"/>
        <v>425000</v>
      </c>
      <c r="H133" s="47">
        <f t="shared" si="39"/>
        <v>170000</v>
      </c>
      <c r="I133" s="47">
        <f t="shared" si="40"/>
        <v>85000</v>
      </c>
      <c r="J133" s="47">
        <f t="shared" si="41"/>
        <v>85000</v>
      </c>
      <c r="K133" s="47">
        <f t="shared" si="41"/>
        <v>85000</v>
      </c>
    </row>
    <row r="134" spans="1:11" x14ac:dyDescent="0.25">
      <c r="A134" t="s">
        <v>149</v>
      </c>
      <c r="B134" s="50">
        <v>500000</v>
      </c>
      <c r="C134">
        <v>1</v>
      </c>
      <c r="D134">
        <v>1</v>
      </c>
      <c r="E134">
        <v>1</v>
      </c>
      <c r="F134" s="50">
        <f t="shared" si="38"/>
        <v>500000</v>
      </c>
      <c r="H134" s="47">
        <f t="shared" si="39"/>
        <v>200000</v>
      </c>
      <c r="I134" s="47">
        <f t="shared" si="40"/>
        <v>100000</v>
      </c>
      <c r="J134" s="47">
        <f t="shared" si="41"/>
        <v>100000</v>
      </c>
      <c r="K134" s="47">
        <f t="shared" si="41"/>
        <v>100000</v>
      </c>
    </row>
    <row r="135" spans="1:11" x14ac:dyDescent="0.25">
      <c r="A135" t="s">
        <v>151</v>
      </c>
      <c r="B135" s="50">
        <v>0</v>
      </c>
      <c r="C135">
        <v>0</v>
      </c>
      <c r="D135">
        <v>0</v>
      </c>
      <c r="E135">
        <v>0</v>
      </c>
      <c r="F135" s="50">
        <f t="shared" si="38"/>
        <v>0</v>
      </c>
      <c r="H135" s="47">
        <f t="shared" si="39"/>
        <v>0</v>
      </c>
      <c r="I135" s="47">
        <f t="shared" si="40"/>
        <v>0</v>
      </c>
      <c r="J135" s="47">
        <f t="shared" si="41"/>
        <v>0</v>
      </c>
      <c r="K135" s="47">
        <f t="shared" si="41"/>
        <v>0</v>
      </c>
    </row>
    <row r="136" spans="1:11" x14ac:dyDescent="0.25">
      <c r="A136" t="s">
        <v>166</v>
      </c>
      <c r="B136" s="50">
        <v>0</v>
      </c>
      <c r="C136">
        <v>0</v>
      </c>
      <c r="D136">
        <v>0</v>
      </c>
      <c r="E136">
        <v>0</v>
      </c>
      <c r="F136" s="50">
        <f t="shared" si="38"/>
        <v>0</v>
      </c>
      <c r="H136" s="47">
        <f t="shared" si="39"/>
        <v>0</v>
      </c>
      <c r="I136" s="47">
        <f t="shared" si="40"/>
        <v>0</v>
      </c>
      <c r="J136" s="47">
        <f t="shared" si="41"/>
        <v>0</v>
      </c>
      <c r="K136" s="47">
        <f t="shared" si="41"/>
        <v>0</v>
      </c>
    </row>
    <row r="137" spans="1:11" x14ac:dyDescent="0.25">
      <c r="A137" t="s">
        <v>170</v>
      </c>
      <c r="B137" s="50">
        <v>200000</v>
      </c>
      <c r="C137">
        <v>1</v>
      </c>
      <c r="D137">
        <v>1</v>
      </c>
      <c r="E137">
        <v>5</v>
      </c>
      <c r="F137" s="50">
        <f t="shared" si="38"/>
        <v>1000000</v>
      </c>
      <c r="H137" s="47">
        <f t="shared" si="39"/>
        <v>400000</v>
      </c>
      <c r="I137" s="47">
        <f t="shared" si="40"/>
        <v>200000</v>
      </c>
      <c r="J137" s="47">
        <f t="shared" si="41"/>
        <v>200000</v>
      </c>
      <c r="K137" s="47">
        <f t="shared" si="41"/>
        <v>200000</v>
      </c>
    </row>
    <row r="138" spans="1:11" x14ac:dyDescent="0.25">
      <c r="A138" t="s">
        <v>156</v>
      </c>
      <c r="B138" s="50">
        <v>0</v>
      </c>
      <c r="C138">
        <v>0</v>
      </c>
      <c r="D138">
        <v>0</v>
      </c>
      <c r="E138">
        <v>0</v>
      </c>
      <c r="F138" s="50">
        <f t="shared" si="38"/>
        <v>0</v>
      </c>
      <c r="H138" s="47">
        <f t="shared" si="39"/>
        <v>0</v>
      </c>
      <c r="I138" s="47">
        <f t="shared" si="40"/>
        <v>0</v>
      </c>
      <c r="J138" s="47">
        <f t="shared" si="41"/>
        <v>0</v>
      </c>
      <c r="K138" s="47">
        <f t="shared" si="41"/>
        <v>0</v>
      </c>
    </row>
    <row r="139" spans="1:11" s="43" customFormat="1" x14ac:dyDescent="0.25">
      <c r="A139" s="43" t="s">
        <v>121</v>
      </c>
      <c r="B139" s="52"/>
      <c r="F139" s="44">
        <f>SUM(F131:F138)</f>
        <v>5425000</v>
      </c>
      <c r="H139" s="44">
        <f>SUM(H131:H138)</f>
        <v>2170000</v>
      </c>
      <c r="I139" s="44">
        <f t="shared" ref="I139:K139" si="42">SUM(I131:I138)</f>
        <v>1085000</v>
      </c>
      <c r="J139" s="44">
        <f t="shared" si="42"/>
        <v>1085000</v>
      </c>
      <c r="K139" s="44">
        <f t="shared" si="42"/>
        <v>1085000</v>
      </c>
    </row>
    <row r="140" spans="1:11" x14ac:dyDescent="0.25">
      <c r="B140" s="50"/>
      <c r="K140" s="47">
        <f>H139+I139+J139+K139</f>
        <v>5425000</v>
      </c>
    </row>
    <row r="141" spans="1:11" x14ac:dyDescent="0.25">
      <c r="A141" t="s">
        <v>172</v>
      </c>
      <c r="B141" s="50"/>
      <c r="K141" s="47"/>
    </row>
    <row r="142" spans="1:11" x14ac:dyDescent="0.25">
      <c r="A142" t="s">
        <v>136</v>
      </c>
      <c r="B142" s="50" t="s">
        <v>137</v>
      </c>
      <c r="C142" t="s">
        <v>119</v>
      </c>
      <c r="D142" t="s">
        <v>138</v>
      </c>
      <c r="E142" t="s">
        <v>139</v>
      </c>
      <c r="F142" t="s">
        <v>140</v>
      </c>
      <c r="H142" t="s">
        <v>22</v>
      </c>
      <c r="I142" t="s">
        <v>112</v>
      </c>
      <c r="J142" t="s">
        <v>113</v>
      </c>
      <c r="K142" t="s">
        <v>114</v>
      </c>
    </row>
    <row r="143" spans="1:11" ht="30" x14ac:dyDescent="0.25">
      <c r="A143" s="39" t="s">
        <v>173</v>
      </c>
      <c r="B143" s="50">
        <v>885000</v>
      </c>
      <c r="C143">
        <v>1</v>
      </c>
      <c r="D143">
        <v>12</v>
      </c>
      <c r="E143">
        <v>1</v>
      </c>
      <c r="F143" s="17">
        <f>B143*C143*D143*E143</f>
        <v>10620000</v>
      </c>
      <c r="G143" s="47"/>
      <c r="H143" s="47">
        <f>F143/4</f>
        <v>2655000</v>
      </c>
      <c r="I143" s="47">
        <f>H143</f>
        <v>2655000</v>
      </c>
      <c r="J143" s="47">
        <f>I143</f>
        <v>2655000</v>
      </c>
      <c r="K143" s="47">
        <f>H143</f>
        <v>2655000</v>
      </c>
    </row>
    <row r="144" spans="1:11" s="43" customFormat="1" x14ac:dyDescent="0.25">
      <c r="A144" s="43" t="s">
        <v>121</v>
      </c>
      <c r="B144" s="52"/>
      <c r="F144" s="44">
        <f>SUM(F143)</f>
        <v>10620000</v>
      </c>
      <c r="H144" s="44">
        <f>SUM(H143)</f>
        <v>2655000</v>
      </c>
      <c r="I144" s="44">
        <f t="shared" ref="I144:K144" si="43">SUM(I143)</f>
        <v>2655000</v>
      </c>
      <c r="J144" s="44">
        <f t="shared" si="43"/>
        <v>2655000</v>
      </c>
      <c r="K144" s="44">
        <f t="shared" si="43"/>
        <v>2655000</v>
      </c>
    </row>
    <row r="145" spans="1:13" x14ac:dyDescent="0.25">
      <c r="A145" t="s">
        <v>174</v>
      </c>
      <c r="B145" s="50"/>
    </row>
    <row r="146" spans="1:13" x14ac:dyDescent="0.25">
      <c r="A146" t="s">
        <v>136</v>
      </c>
      <c r="B146" s="50" t="s">
        <v>137</v>
      </c>
      <c r="C146" t="s">
        <v>119</v>
      </c>
      <c r="D146" t="s">
        <v>138</v>
      </c>
      <c r="E146" t="s">
        <v>139</v>
      </c>
      <c r="F146" t="s">
        <v>140</v>
      </c>
      <c r="H146" t="s">
        <v>22</v>
      </c>
      <c r="I146" t="s">
        <v>112</v>
      </c>
      <c r="J146" t="s">
        <v>113</v>
      </c>
      <c r="K146" t="s">
        <v>114</v>
      </c>
    </row>
    <row r="147" spans="1:13" x14ac:dyDescent="0.25">
      <c r="A147" t="s">
        <v>143</v>
      </c>
      <c r="B147" s="50">
        <v>14000</v>
      </c>
      <c r="C147">
        <v>10</v>
      </c>
      <c r="D147">
        <v>3</v>
      </c>
      <c r="E147">
        <v>5</v>
      </c>
      <c r="F147" s="50">
        <f>B147*C147*D147*E147</f>
        <v>2100000</v>
      </c>
      <c r="H147" s="47">
        <f>(F147/5)*2</f>
        <v>840000</v>
      </c>
      <c r="I147" s="47">
        <f>F147/5</f>
        <v>420000</v>
      </c>
      <c r="J147" s="47">
        <f>I147</f>
        <v>420000</v>
      </c>
      <c r="K147" s="47">
        <f>J147</f>
        <v>420000</v>
      </c>
    </row>
    <row r="148" spans="1:13" x14ac:dyDescent="0.25">
      <c r="A148" t="s">
        <v>145</v>
      </c>
      <c r="B148" s="50">
        <v>5000</v>
      </c>
      <c r="C148">
        <v>35</v>
      </c>
      <c r="D148">
        <v>3</v>
      </c>
      <c r="E148">
        <v>5</v>
      </c>
      <c r="F148" s="50">
        <f t="shared" ref="F148:F156" si="44">B148*C148*D148*E148</f>
        <v>2625000</v>
      </c>
      <c r="H148" s="47">
        <f t="shared" ref="H148:H156" si="45">(F148/5)*2</f>
        <v>1050000</v>
      </c>
      <c r="I148" s="47">
        <f t="shared" ref="I148:I156" si="46">F148/5</f>
        <v>525000</v>
      </c>
      <c r="J148" s="47">
        <f t="shared" ref="J148:K157" si="47">I148</f>
        <v>525000</v>
      </c>
      <c r="K148" s="47">
        <f t="shared" si="47"/>
        <v>525000</v>
      </c>
    </row>
    <row r="149" spans="1:13" x14ac:dyDescent="0.25">
      <c r="A149" t="s">
        <v>163</v>
      </c>
      <c r="B149" s="50">
        <v>2000</v>
      </c>
      <c r="C149">
        <v>5</v>
      </c>
      <c r="D149">
        <v>30</v>
      </c>
      <c r="E149">
        <v>5</v>
      </c>
      <c r="F149" s="50">
        <f t="shared" si="44"/>
        <v>1500000</v>
      </c>
      <c r="H149" s="47">
        <f t="shared" si="45"/>
        <v>600000</v>
      </c>
      <c r="I149" s="47">
        <f t="shared" si="46"/>
        <v>300000</v>
      </c>
      <c r="J149" s="47">
        <f t="shared" si="47"/>
        <v>300000</v>
      </c>
      <c r="K149" s="47">
        <f t="shared" si="47"/>
        <v>300000</v>
      </c>
    </row>
    <row r="150" spans="1:13" x14ac:dyDescent="0.25">
      <c r="A150" t="s">
        <v>162</v>
      </c>
      <c r="B150" s="50">
        <v>5000</v>
      </c>
      <c r="C150">
        <v>20</v>
      </c>
      <c r="D150">
        <v>5</v>
      </c>
      <c r="E150">
        <v>5</v>
      </c>
      <c r="F150" s="50">
        <f t="shared" si="44"/>
        <v>2500000</v>
      </c>
      <c r="H150" s="47">
        <f t="shared" si="45"/>
        <v>1000000</v>
      </c>
      <c r="I150" s="47">
        <f t="shared" si="46"/>
        <v>500000</v>
      </c>
      <c r="J150" s="47">
        <f t="shared" si="47"/>
        <v>500000</v>
      </c>
      <c r="K150" s="47">
        <f t="shared" si="47"/>
        <v>500000</v>
      </c>
    </row>
    <row r="151" spans="1:13" x14ac:dyDescent="0.25">
      <c r="A151" t="s">
        <v>147</v>
      </c>
      <c r="B151" s="50">
        <v>200</v>
      </c>
      <c r="C151">
        <v>85</v>
      </c>
      <c r="D151">
        <v>5</v>
      </c>
      <c r="E151">
        <v>5</v>
      </c>
      <c r="F151" s="50">
        <f t="shared" si="44"/>
        <v>425000</v>
      </c>
      <c r="H151" s="47">
        <f t="shared" si="45"/>
        <v>170000</v>
      </c>
      <c r="I151" s="47">
        <f t="shared" si="46"/>
        <v>85000</v>
      </c>
      <c r="J151" s="47">
        <f t="shared" si="47"/>
        <v>85000</v>
      </c>
      <c r="K151" s="47">
        <f t="shared" si="47"/>
        <v>85000</v>
      </c>
    </row>
    <row r="152" spans="1:13" x14ac:dyDescent="0.25">
      <c r="A152" t="s">
        <v>149</v>
      </c>
      <c r="B152" s="50">
        <v>500000</v>
      </c>
      <c r="C152">
        <v>1</v>
      </c>
      <c r="D152">
        <v>1</v>
      </c>
      <c r="E152">
        <v>1</v>
      </c>
      <c r="F152" s="50">
        <f t="shared" si="44"/>
        <v>500000</v>
      </c>
      <c r="H152" s="47">
        <v>0</v>
      </c>
      <c r="I152" s="47">
        <f t="shared" si="46"/>
        <v>100000</v>
      </c>
      <c r="J152" s="47">
        <f t="shared" si="47"/>
        <v>100000</v>
      </c>
      <c r="K152" s="47">
        <f t="shared" si="47"/>
        <v>100000</v>
      </c>
    </row>
    <row r="153" spans="1:13" x14ac:dyDescent="0.25">
      <c r="A153" t="s">
        <v>151</v>
      </c>
      <c r="B153" s="50">
        <v>0</v>
      </c>
      <c r="C153">
        <v>0</v>
      </c>
      <c r="D153">
        <v>0</v>
      </c>
      <c r="E153">
        <v>0</v>
      </c>
      <c r="F153" s="50">
        <f t="shared" si="44"/>
        <v>0</v>
      </c>
      <c r="H153" s="47">
        <f t="shared" si="45"/>
        <v>0</v>
      </c>
      <c r="I153" s="47">
        <f t="shared" si="46"/>
        <v>0</v>
      </c>
      <c r="J153" s="47">
        <f t="shared" si="47"/>
        <v>0</v>
      </c>
      <c r="K153" s="47">
        <f t="shared" si="47"/>
        <v>0</v>
      </c>
    </row>
    <row r="154" spans="1:13" x14ac:dyDescent="0.25">
      <c r="A154" t="s">
        <v>166</v>
      </c>
      <c r="B154" s="50">
        <v>0</v>
      </c>
      <c r="C154">
        <v>0</v>
      </c>
      <c r="D154">
        <v>0</v>
      </c>
      <c r="E154">
        <v>0</v>
      </c>
      <c r="F154" s="50">
        <f t="shared" si="44"/>
        <v>0</v>
      </c>
      <c r="H154" s="47">
        <f t="shared" si="45"/>
        <v>0</v>
      </c>
      <c r="I154" s="47">
        <f t="shared" si="46"/>
        <v>0</v>
      </c>
      <c r="J154" s="47">
        <f t="shared" si="47"/>
        <v>0</v>
      </c>
      <c r="K154" s="47">
        <f t="shared" si="47"/>
        <v>0</v>
      </c>
      <c r="L154" s="29"/>
      <c r="M154" s="47">
        <f>L154/3</f>
        <v>0</v>
      </c>
    </row>
    <row r="155" spans="1:13" x14ac:dyDescent="0.25">
      <c r="A155" t="s">
        <v>170</v>
      </c>
      <c r="B155" s="50">
        <v>500000</v>
      </c>
      <c r="C155">
        <v>1</v>
      </c>
      <c r="D155">
        <v>1</v>
      </c>
      <c r="E155">
        <v>5</v>
      </c>
      <c r="F155" s="50">
        <f t="shared" si="44"/>
        <v>2500000</v>
      </c>
      <c r="H155" s="47">
        <v>700000</v>
      </c>
      <c r="I155" s="47">
        <v>666667</v>
      </c>
      <c r="J155" s="47">
        <f t="shared" si="47"/>
        <v>666667</v>
      </c>
      <c r="K155" s="47">
        <f t="shared" si="47"/>
        <v>666667</v>
      </c>
      <c r="L155" s="29"/>
    </row>
    <row r="156" spans="1:13" x14ac:dyDescent="0.25">
      <c r="A156" t="s">
        <v>156</v>
      </c>
      <c r="B156" s="50">
        <v>0</v>
      </c>
      <c r="C156">
        <v>0</v>
      </c>
      <c r="D156">
        <v>0</v>
      </c>
      <c r="E156">
        <v>0</v>
      </c>
      <c r="F156" s="50">
        <f t="shared" si="44"/>
        <v>0</v>
      </c>
      <c r="H156" s="47">
        <f t="shared" si="45"/>
        <v>0</v>
      </c>
      <c r="I156" s="47">
        <f t="shared" si="46"/>
        <v>0</v>
      </c>
      <c r="J156" s="47">
        <f t="shared" si="47"/>
        <v>0</v>
      </c>
      <c r="K156" s="47">
        <f t="shared" si="47"/>
        <v>0</v>
      </c>
    </row>
    <row r="157" spans="1:13" s="43" customFormat="1" ht="15.75" x14ac:dyDescent="0.25">
      <c r="A157" s="43" t="s">
        <v>121</v>
      </c>
      <c r="B157" s="52"/>
      <c r="F157" s="56">
        <f>SUM(F147:F156)</f>
        <v>12150000</v>
      </c>
      <c r="H157" s="44">
        <f>SUM(H147:H156)</f>
        <v>4360000</v>
      </c>
      <c r="I157" s="44">
        <f>SUM(I147:I156)</f>
        <v>2596667</v>
      </c>
      <c r="J157" s="44">
        <f t="shared" si="47"/>
        <v>2596667</v>
      </c>
      <c r="K157" s="44">
        <f t="shared" si="47"/>
        <v>2596667</v>
      </c>
    </row>
    <row r="158" spans="1:13" x14ac:dyDescent="0.25">
      <c r="B158" s="50"/>
      <c r="H158" s="29"/>
      <c r="I158" s="47"/>
      <c r="K158" s="47">
        <f>H157+I157+J157+K157</f>
        <v>12150001</v>
      </c>
    </row>
    <row r="159" spans="1:13" x14ac:dyDescent="0.25">
      <c r="A159" t="s">
        <v>175</v>
      </c>
      <c r="B159" s="50"/>
    </row>
    <row r="160" spans="1:13" x14ac:dyDescent="0.25">
      <c r="A160" t="s">
        <v>136</v>
      </c>
      <c r="B160" s="50" t="s">
        <v>137</v>
      </c>
      <c r="C160" t="s">
        <v>119</v>
      </c>
      <c r="D160" t="s">
        <v>138</v>
      </c>
      <c r="E160" t="s">
        <v>139</v>
      </c>
      <c r="F160" t="s">
        <v>140</v>
      </c>
      <c r="H160" t="s">
        <v>22</v>
      </c>
      <c r="I160" t="s">
        <v>112</v>
      </c>
      <c r="J160" t="s">
        <v>113</v>
      </c>
      <c r="K160" t="s">
        <v>114</v>
      </c>
    </row>
    <row r="161" spans="1:11" x14ac:dyDescent="0.25">
      <c r="A161" t="s">
        <v>143</v>
      </c>
      <c r="B161" s="50">
        <v>14000</v>
      </c>
      <c r="C161">
        <v>10</v>
      </c>
      <c r="D161">
        <v>3</v>
      </c>
      <c r="E161">
        <v>5</v>
      </c>
      <c r="F161" s="50">
        <f t="shared" ref="F161:F170" si="48">B161*C161*D161*E161</f>
        <v>2100000</v>
      </c>
      <c r="H161" s="47">
        <f>(F161/5)*2</f>
        <v>840000</v>
      </c>
      <c r="I161" s="47">
        <f>F161/5</f>
        <v>420000</v>
      </c>
      <c r="J161" s="47">
        <f>I161</f>
        <v>420000</v>
      </c>
      <c r="K161" s="47">
        <f>I161</f>
        <v>420000</v>
      </c>
    </row>
    <row r="162" spans="1:11" x14ac:dyDescent="0.25">
      <c r="A162" t="s">
        <v>145</v>
      </c>
      <c r="B162" s="50">
        <v>5000</v>
      </c>
      <c r="C162">
        <v>25</v>
      </c>
      <c r="D162">
        <v>3</v>
      </c>
      <c r="E162">
        <v>5</v>
      </c>
      <c r="F162" s="50">
        <f t="shared" si="48"/>
        <v>1875000</v>
      </c>
      <c r="H162" s="47">
        <f t="shared" ref="H162:H170" si="49">(F162/5)*2</f>
        <v>750000</v>
      </c>
      <c r="I162" s="47">
        <f t="shared" ref="I162:I170" si="50">F162/5</f>
        <v>375000</v>
      </c>
      <c r="J162" s="47">
        <f t="shared" ref="J162:J171" si="51">I162</f>
        <v>375000</v>
      </c>
      <c r="K162" s="47">
        <f t="shared" ref="K162:K171" si="52">I162</f>
        <v>375000</v>
      </c>
    </row>
    <row r="163" spans="1:11" x14ac:dyDescent="0.25">
      <c r="A163" t="s">
        <v>163</v>
      </c>
      <c r="B163" s="50">
        <v>2000</v>
      </c>
      <c r="C163">
        <v>10</v>
      </c>
      <c r="D163">
        <v>18</v>
      </c>
      <c r="E163">
        <v>5</v>
      </c>
      <c r="F163" s="50">
        <f t="shared" si="48"/>
        <v>1800000</v>
      </c>
      <c r="H163" s="47">
        <f t="shared" si="49"/>
        <v>720000</v>
      </c>
      <c r="I163" s="47">
        <f t="shared" si="50"/>
        <v>360000</v>
      </c>
      <c r="J163" s="47">
        <f t="shared" si="51"/>
        <v>360000</v>
      </c>
      <c r="K163" s="47">
        <f t="shared" si="52"/>
        <v>360000</v>
      </c>
    </row>
    <row r="164" spans="1:11" x14ac:dyDescent="0.25">
      <c r="A164" t="s">
        <v>162</v>
      </c>
      <c r="B164" s="50">
        <v>5000</v>
      </c>
      <c r="C164">
        <v>5</v>
      </c>
      <c r="D164">
        <v>3</v>
      </c>
      <c r="E164">
        <v>5</v>
      </c>
      <c r="F164" s="50">
        <f t="shared" si="48"/>
        <v>375000</v>
      </c>
      <c r="H164" s="47">
        <f t="shared" si="49"/>
        <v>150000</v>
      </c>
      <c r="I164" s="47">
        <f t="shared" si="50"/>
        <v>75000</v>
      </c>
      <c r="J164" s="47">
        <f t="shared" si="51"/>
        <v>75000</v>
      </c>
      <c r="K164" s="47">
        <f t="shared" si="52"/>
        <v>75000</v>
      </c>
    </row>
    <row r="165" spans="1:11" x14ac:dyDescent="0.25">
      <c r="A165" t="s">
        <v>147</v>
      </c>
      <c r="B165" s="50">
        <v>200</v>
      </c>
      <c r="C165">
        <v>85</v>
      </c>
      <c r="D165">
        <v>3</v>
      </c>
      <c r="E165">
        <v>5</v>
      </c>
      <c r="F165" s="50">
        <f t="shared" si="48"/>
        <v>255000</v>
      </c>
      <c r="H165" s="47">
        <f t="shared" si="49"/>
        <v>102000</v>
      </c>
      <c r="I165" s="47">
        <f t="shared" si="50"/>
        <v>51000</v>
      </c>
      <c r="J165" s="47">
        <f t="shared" si="51"/>
        <v>51000</v>
      </c>
      <c r="K165" s="47">
        <f t="shared" si="52"/>
        <v>51000</v>
      </c>
    </row>
    <row r="166" spans="1:11" x14ac:dyDescent="0.25">
      <c r="A166" t="s">
        <v>149</v>
      </c>
      <c r="B166" s="50">
        <v>500000</v>
      </c>
      <c r="C166">
        <v>1</v>
      </c>
      <c r="D166">
        <v>1</v>
      </c>
      <c r="E166">
        <v>1</v>
      </c>
      <c r="F166" s="50">
        <f t="shared" si="48"/>
        <v>500000</v>
      </c>
      <c r="H166" s="47">
        <f t="shared" si="49"/>
        <v>200000</v>
      </c>
      <c r="I166" s="47">
        <f t="shared" si="50"/>
        <v>100000</v>
      </c>
      <c r="J166" s="47">
        <f t="shared" si="51"/>
        <v>100000</v>
      </c>
      <c r="K166" s="47">
        <f t="shared" si="52"/>
        <v>100000</v>
      </c>
    </row>
    <row r="167" spans="1:11" x14ac:dyDescent="0.25">
      <c r="A167" t="s">
        <v>151</v>
      </c>
      <c r="B167" s="50">
        <v>0</v>
      </c>
      <c r="C167">
        <v>0</v>
      </c>
      <c r="D167">
        <v>0</v>
      </c>
      <c r="E167">
        <v>0</v>
      </c>
      <c r="F167" s="50">
        <f t="shared" si="48"/>
        <v>0</v>
      </c>
      <c r="H167" s="47">
        <f t="shared" si="49"/>
        <v>0</v>
      </c>
      <c r="I167" s="47">
        <f t="shared" si="50"/>
        <v>0</v>
      </c>
      <c r="J167" s="47">
        <f t="shared" si="51"/>
        <v>0</v>
      </c>
      <c r="K167" s="47">
        <f t="shared" si="52"/>
        <v>0</v>
      </c>
    </row>
    <row r="168" spans="1:11" x14ac:dyDescent="0.25">
      <c r="A168" t="s">
        <v>166</v>
      </c>
      <c r="B168" s="50">
        <v>0</v>
      </c>
      <c r="C168">
        <v>0</v>
      </c>
      <c r="D168">
        <v>0</v>
      </c>
      <c r="E168">
        <v>0</v>
      </c>
      <c r="F168" s="50">
        <f t="shared" si="48"/>
        <v>0</v>
      </c>
      <c r="H168" s="47">
        <f t="shared" si="49"/>
        <v>0</v>
      </c>
      <c r="I168" s="47">
        <f t="shared" si="50"/>
        <v>0</v>
      </c>
      <c r="J168" s="47">
        <f t="shared" si="51"/>
        <v>0</v>
      </c>
      <c r="K168" s="47">
        <f t="shared" si="52"/>
        <v>0</v>
      </c>
    </row>
    <row r="169" spans="1:11" x14ac:dyDescent="0.25">
      <c r="A169" t="s">
        <v>170</v>
      </c>
      <c r="B169" s="50">
        <v>0</v>
      </c>
      <c r="C169">
        <v>0</v>
      </c>
      <c r="D169">
        <v>0</v>
      </c>
      <c r="E169">
        <v>0</v>
      </c>
      <c r="F169" s="50">
        <f t="shared" si="48"/>
        <v>0</v>
      </c>
      <c r="H169" s="47">
        <f t="shared" si="49"/>
        <v>0</v>
      </c>
      <c r="I169" s="47">
        <f t="shared" si="50"/>
        <v>0</v>
      </c>
      <c r="J169" s="47">
        <f t="shared" si="51"/>
        <v>0</v>
      </c>
      <c r="K169" s="47">
        <f t="shared" si="52"/>
        <v>0</v>
      </c>
    </row>
    <row r="170" spans="1:11" x14ac:dyDescent="0.25">
      <c r="A170" t="s">
        <v>156</v>
      </c>
      <c r="B170" s="50">
        <v>0</v>
      </c>
      <c r="C170">
        <v>0</v>
      </c>
      <c r="D170">
        <v>0</v>
      </c>
      <c r="E170">
        <v>0</v>
      </c>
      <c r="F170" s="50">
        <f t="shared" si="48"/>
        <v>0</v>
      </c>
      <c r="H170" s="47">
        <f t="shared" si="49"/>
        <v>0</v>
      </c>
      <c r="I170" s="47">
        <f t="shared" si="50"/>
        <v>0</v>
      </c>
      <c r="J170" s="47">
        <f t="shared" si="51"/>
        <v>0</v>
      </c>
      <c r="K170" s="47">
        <f t="shared" si="52"/>
        <v>0</v>
      </c>
    </row>
    <row r="171" spans="1:11" s="43" customFormat="1" x14ac:dyDescent="0.25">
      <c r="A171" s="43" t="s">
        <v>121</v>
      </c>
      <c r="B171" s="52"/>
      <c r="F171" s="44">
        <f>SUM(F161:F170)</f>
        <v>6905000</v>
      </c>
      <c r="H171" s="44">
        <f>SUM(H161:H170)</f>
        <v>2762000</v>
      </c>
      <c r="I171" s="44">
        <f>SUM(I161:I170)</f>
        <v>1381000</v>
      </c>
      <c r="J171" s="44">
        <f t="shared" si="51"/>
        <v>1381000</v>
      </c>
      <c r="K171" s="44">
        <f t="shared" si="52"/>
        <v>1381000</v>
      </c>
    </row>
    <row r="172" spans="1:11" x14ac:dyDescent="0.25">
      <c r="B172" s="50"/>
      <c r="K172" s="47">
        <f>H171+I171+J171+K171</f>
        <v>6905000</v>
      </c>
    </row>
    <row r="173" spans="1:11" x14ac:dyDescent="0.25">
      <c r="A173" t="s">
        <v>176</v>
      </c>
      <c r="B173" s="50"/>
    </row>
    <row r="174" spans="1:11" x14ac:dyDescent="0.25">
      <c r="A174" t="s">
        <v>136</v>
      </c>
      <c r="B174" s="50" t="s">
        <v>137</v>
      </c>
      <c r="C174" t="s">
        <v>119</v>
      </c>
      <c r="D174" t="s">
        <v>138</v>
      </c>
      <c r="E174" t="s">
        <v>139</v>
      </c>
      <c r="F174" t="s">
        <v>140</v>
      </c>
      <c r="H174" t="s">
        <v>22</v>
      </c>
      <c r="I174" t="s">
        <v>112</v>
      </c>
      <c r="J174" t="s">
        <v>113</v>
      </c>
      <c r="K174" t="s">
        <v>114</v>
      </c>
    </row>
    <row r="175" spans="1:11" x14ac:dyDescent="0.25">
      <c r="A175" t="s">
        <v>143</v>
      </c>
      <c r="B175" s="50">
        <v>14000</v>
      </c>
      <c r="C175">
        <v>10</v>
      </c>
      <c r="D175">
        <v>5</v>
      </c>
      <c r="E175">
        <v>1</v>
      </c>
      <c r="F175" s="50">
        <f>B175*C175*D175*E175</f>
        <v>700000</v>
      </c>
      <c r="H175" s="47">
        <v>700000</v>
      </c>
      <c r="I175" s="47">
        <v>0</v>
      </c>
      <c r="J175">
        <v>0</v>
      </c>
      <c r="K175">
        <v>0</v>
      </c>
    </row>
    <row r="176" spans="1:11" x14ac:dyDescent="0.25">
      <c r="A176" t="s">
        <v>145</v>
      </c>
      <c r="B176" s="50">
        <v>5000</v>
      </c>
      <c r="C176">
        <v>10</v>
      </c>
      <c r="D176">
        <v>5</v>
      </c>
      <c r="E176">
        <v>1</v>
      </c>
      <c r="F176" s="50">
        <f>B176*C176*D176*E176</f>
        <v>250000</v>
      </c>
      <c r="H176" s="47">
        <v>250000</v>
      </c>
      <c r="I176" s="47">
        <v>0</v>
      </c>
      <c r="J176">
        <v>0</v>
      </c>
      <c r="K176">
        <v>0</v>
      </c>
    </row>
    <row r="177" spans="1:11" x14ac:dyDescent="0.25">
      <c r="A177" t="s">
        <v>147</v>
      </c>
      <c r="B177" s="50">
        <v>200</v>
      </c>
      <c r="C177">
        <v>85</v>
      </c>
      <c r="D177">
        <v>5</v>
      </c>
      <c r="E177">
        <v>1</v>
      </c>
      <c r="F177" s="50">
        <f>B177*C177*D177*E177</f>
        <v>85000</v>
      </c>
      <c r="H177" s="47">
        <v>85000</v>
      </c>
      <c r="I177" s="47"/>
      <c r="J177">
        <v>0</v>
      </c>
      <c r="K177">
        <v>0</v>
      </c>
    </row>
    <row r="178" spans="1:11" x14ac:dyDescent="0.25">
      <c r="A178" t="s">
        <v>149</v>
      </c>
      <c r="B178" s="50">
        <v>0</v>
      </c>
      <c r="C178">
        <v>0</v>
      </c>
      <c r="D178">
        <v>0</v>
      </c>
      <c r="E178">
        <v>0</v>
      </c>
      <c r="F178" s="50">
        <v>0</v>
      </c>
      <c r="H178" s="47">
        <f t="shared" ref="H178:H182" si="53">F178/2</f>
        <v>0</v>
      </c>
      <c r="I178" s="47">
        <f t="shared" ref="I178:I179" si="54">H178</f>
        <v>0</v>
      </c>
      <c r="J178">
        <v>0</v>
      </c>
      <c r="K178">
        <v>0</v>
      </c>
    </row>
    <row r="179" spans="1:11" x14ac:dyDescent="0.25">
      <c r="A179" t="s">
        <v>151</v>
      </c>
      <c r="B179" s="50">
        <v>0</v>
      </c>
      <c r="C179">
        <v>0</v>
      </c>
      <c r="D179">
        <v>0</v>
      </c>
      <c r="E179">
        <v>0</v>
      </c>
      <c r="F179" s="50">
        <f>B179*C179*D179*E179</f>
        <v>0</v>
      </c>
      <c r="H179" s="47">
        <f t="shared" si="53"/>
        <v>0</v>
      </c>
      <c r="I179" s="47">
        <f t="shared" si="54"/>
        <v>0</v>
      </c>
      <c r="J179">
        <v>0</v>
      </c>
      <c r="K179">
        <v>0</v>
      </c>
    </row>
    <row r="180" spans="1:11" x14ac:dyDescent="0.25">
      <c r="A180" t="s">
        <v>170</v>
      </c>
      <c r="B180" s="50">
        <v>2000000</v>
      </c>
      <c r="C180">
        <v>1</v>
      </c>
      <c r="D180">
        <v>1</v>
      </c>
      <c r="E180">
        <v>1</v>
      </c>
      <c r="F180" s="50">
        <f t="shared" ref="F180" si="55">B180*C180*D180*E180</f>
        <v>2000000</v>
      </c>
      <c r="H180" s="47">
        <v>179000</v>
      </c>
      <c r="I180" s="47">
        <f>F180-H180</f>
        <v>1821000</v>
      </c>
      <c r="J180">
        <v>0</v>
      </c>
      <c r="K180">
        <v>0</v>
      </c>
    </row>
    <row r="181" spans="1:11" x14ac:dyDescent="0.25">
      <c r="A181" t="s">
        <v>166</v>
      </c>
      <c r="B181" s="50">
        <v>0</v>
      </c>
      <c r="C181">
        <v>0</v>
      </c>
      <c r="D181">
        <v>0</v>
      </c>
      <c r="E181">
        <v>0</v>
      </c>
      <c r="F181" s="50">
        <f>B181*C181*D181*E181</f>
        <v>0</v>
      </c>
      <c r="H181" s="47">
        <f t="shared" si="53"/>
        <v>0</v>
      </c>
      <c r="I181">
        <v>0</v>
      </c>
      <c r="J181">
        <v>0</v>
      </c>
      <c r="K181">
        <v>0</v>
      </c>
    </row>
    <row r="182" spans="1:11" x14ac:dyDescent="0.25">
      <c r="A182" t="s">
        <v>156</v>
      </c>
      <c r="B182" s="50">
        <v>0</v>
      </c>
      <c r="C182">
        <v>0</v>
      </c>
      <c r="D182">
        <v>0</v>
      </c>
      <c r="E182">
        <v>0</v>
      </c>
      <c r="F182" s="50">
        <v>0</v>
      </c>
      <c r="H182" s="47">
        <f t="shared" si="53"/>
        <v>0</v>
      </c>
      <c r="I182">
        <v>0</v>
      </c>
      <c r="J182">
        <v>0</v>
      </c>
      <c r="K182">
        <v>0</v>
      </c>
    </row>
    <row r="183" spans="1:11" s="43" customFormat="1" x14ac:dyDescent="0.25">
      <c r="A183" s="43" t="s">
        <v>121</v>
      </c>
      <c r="B183" s="52"/>
      <c r="F183" s="44">
        <f>SUM(F175:F182)</f>
        <v>3035000</v>
      </c>
      <c r="H183" s="44">
        <f>SUM(H175:H182)</f>
        <v>1214000</v>
      </c>
      <c r="I183" s="44">
        <f>SUM(I175:I182)</f>
        <v>1821000</v>
      </c>
      <c r="J183" s="43">
        <v>0</v>
      </c>
      <c r="K183" s="43">
        <v>0</v>
      </c>
    </row>
    <row r="184" spans="1:11" x14ac:dyDescent="0.25">
      <c r="H184" s="47">
        <f>H183+I183</f>
        <v>3035000</v>
      </c>
    </row>
    <row r="185" spans="1:11" x14ac:dyDescent="0.25">
      <c r="I185" s="29"/>
    </row>
    <row r="186" spans="1:11" x14ac:dyDescent="0.25">
      <c r="B186" s="50"/>
      <c r="K186" s="47"/>
    </row>
    <row r="187" spans="1:11" x14ac:dyDescent="0.25">
      <c r="A187" t="s">
        <v>177</v>
      </c>
      <c r="B187" s="50"/>
    </row>
    <row r="188" spans="1:11" x14ac:dyDescent="0.25">
      <c r="A188" t="s">
        <v>136</v>
      </c>
      <c r="B188" s="50" t="s">
        <v>137</v>
      </c>
      <c r="C188" t="s">
        <v>119</v>
      </c>
      <c r="D188" t="s">
        <v>138</v>
      </c>
      <c r="E188" t="s">
        <v>139</v>
      </c>
      <c r="F188" t="s">
        <v>140</v>
      </c>
      <c r="H188" t="s">
        <v>22</v>
      </c>
      <c r="I188" t="s">
        <v>112</v>
      </c>
      <c r="J188" t="s">
        <v>113</v>
      </c>
      <c r="K188" t="s">
        <v>114</v>
      </c>
    </row>
    <row r="189" spans="1:11" x14ac:dyDescent="0.25">
      <c r="A189" t="s">
        <v>143</v>
      </c>
      <c r="B189" s="50">
        <v>14000</v>
      </c>
      <c r="C189">
        <v>10</v>
      </c>
      <c r="D189">
        <v>5</v>
      </c>
      <c r="E189">
        <v>5</v>
      </c>
      <c r="F189" s="50">
        <f>B189*C189*D189*E189</f>
        <v>3500000</v>
      </c>
      <c r="H189" s="47">
        <f>(F189/5)*2</f>
        <v>1400000</v>
      </c>
      <c r="I189" s="47">
        <f>F189/5</f>
        <v>700000</v>
      </c>
      <c r="J189" s="47">
        <f>I189</f>
        <v>700000</v>
      </c>
      <c r="K189" s="47">
        <f>J189</f>
        <v>700000</v>
      </c>
    </row>
    <row r="190" spans="1:11" x14ac:dyDescent="0.25">
      <c r="A190" t="s">
        <v>145</v>
      </c>
      <c r="B190" s="50">
        <v>0</v>
      </c>
      <c r="C190">
        <v>0</v>
      </c>
      <c r="D190">
        <v>0</v>
      </c>
      <c r="E190">
        <v>0</v>
      </c>
      <c r="F190" s="50">
        <f t="shared" ref="F190:F198" si="56">B190*C190*D190*E190</f>
        <v>0</v>
      </c>
      <c r="H190" s="47">
        <f t="shared" ref="H190:H198" si="57">(F190/5)*2</f>
        <v>0</v>
      </c>
      <c r="I190" s="47">
        <f t="shared" ref="I190:I198" si="58">F190/5</f>
        <v>0</v>
      </c>
      <c r="J190" s="47">
        <f t="shared" ref="J190:K199" si="59">I190</f>
        <v>0</v>
      </c>
      <c r="K190" s="47">
        <f t="shared" si="59"/>
        <v>0</v>
      </c>
    </row>
    <row r="191" spans="1:11" x14ac:dyDescent="0.25">
      <c r="A191" t="s">
        <v>163</v>
      </c>
      <c r="B191" s="50">
        <v>2000</v>
      </c>
      <c r="C191">
        <v>5</v>
      </c>
      <c r="D191">
        <v>30</v>
      </c>
      <c r="E191">
        <v>5</v>
      </c>
      <c r="F191" s="50">
        <f t="shared" si="56"/>
        <v>1500000</v>
      </c>
      <c r="H191" s="47">
        <f t="shared" si="57"/>
        <v>600000</v>
      </c>
      <c r="I191" s="47">
        <f t="shared" si="58"/>
        <v>300000</v>
      </c>
      <c r="J191" s="47">
        <f t="shared" si="59"/>
        <v>300000</v>
      </c>
      <c r="K191" s="47">
        <f t="shared" si="59"/>
        <v>300000</v>
      </c>
    </row>
    <row r="192" spans="1:11" x14ac:dyDescent="0.25">
      <c r="A192" t="s">
        <v>162</v>
      </c>
      <c r="B192" s="50">
        <v>2000</v>
      </c>
      <c r="C192">
        <v>20</v>
      </c>
      <c r="D192">
        <v>2</v>
      </c>
      <c r="E192">
        <v>5</v>
      </c>
      <c r="F192" s="50">
        <f t="shared" si="56"/>
        <v>400000</v>
      </c>
      <c r="H192" s="47">
        <f t="shared" si="57"/>
        <v>160000</v>
      </c>
      <c r="I192" s="47">
        <f t="shared" si="58"/>
        <v>80000</v>
      </c>
      <c r="J192" s="47">
        <f t="shared" si="59"/>
        <v>80000</v>
      </c>
      <c r="K192" s="47">
        <f t="shared" si="59"/>
        <v>80000</v>
      </c>
    </row>
    <row r="193" spans="1:11" x14ac:dyDescent="0.25">
      <c r="A193" t="s">
        <v>147</v>
      </c>
      <c r="B193" s="50">
        <v>200</v>
      </c>
      <c r="C193">
        <v>85</v>
      </c>
      <c r="D193">
        <v>5</v>
      </c>
      <c r="E193">
        <v>5</v>
      </c>
      <c r="F193" s="50">
        <f t="shared" si="56"/>
        <v>425000</v>
      </c>
      <c r="H193" s="47">
        <f t="shared" si="57"/>
        <v>170000</v>
      </c>
      <c r="I193" s="47">
        <f t="shared" si="58"/>
        <v>85000</v>
      </c>
      <c r="J193" s="47">
        <f t="shared" si="59"/>
        <v>85000</v>
      </c>
      <c r="K193" s="47">
        <f t="shared" si="59"/>
        <v>85000</v>
      </c>
    </row>
    <row r="194" spans="1:11" x14ac:dyDescent="0.25">
      <c r="A194" t="s">
        <v>149</v>
      </c>
      <c r="B194" s="50">
        <v>500000</v>
      </c>
      <c r="C194">
        <v>1</v>
      </c>
      <c r="D194">
        <v>1</v>
      </c>
      <c r="E194">
        <v>1</v>
      </c>
      <c r="F194" s="50">
        <f t="shared" si="56"/>
        <v>500000</v>
      </c>
      <c r="H194" s="47">
        <f t="shared" si="57"/>
        <v>200000</v>
      </c>
      <c r="I194" s="47">
        <f t="shared" si="58"/>
        <v>100000</v>
      </c>
      <c r="J194" s="47">
        <f t="shared" si="59"/>
        <v>100000</v>
      </c>
      <c r="K194" s="47">
        <f t="shared" si="59"/>
        <v>100000</v>
      </c>
    </row>
    <row r="195" spans="1:11" x14ac:dyDescent="0.25">
      <c r="A195" t="s">
        <v>151</v>
      </c>
      <c r="B195" s="50">
        <v>28000</v>
      </c>
      <c r="C195">
        <v>4</v>
      </c>
      <c r="D195">
        <v>1</v>
      </c>
      <c r="E195">
        <v>1</v>
      </c>
      <c r="F195" s="50">
        <f t="shared" si="56"/>
        <v>112000</v>
      </c>
      <c r="H195" s="47">
        <f t="shared" si="57"/>
        <v>44800</v>
      </c>
      <c r="I195" s="47">
        <f t="shared" si="58"/>
        <v>22400</v>
      </c>
      <c r="J195" s="47">
        <f t="shared" si="59"/>
        <v>22400</v>
      </c>
      <c r="K195" s="47">
        <f t="shared" si="59"/>
        <v>22400</v>
      </c>
    </row>
    <row r="196" spans="1:11" x14ac:dyDescent="0.25">
      <c r="A196" t="s">
        <v>166</v>
      </c>
      <c r="B196" s="50">
        <v>0</v>
      </c>
      <c r="C196">
        <v>0</v>
      </c>
      <c r="D196">
        <v>0</v>
      </c>
      <c r="E196">
        <v>0</v>
      </c>
      <c r="F196" s="50">
        <f t="shared" si="56"/>
        <v>0</v>
      </c>
      <c r="H196" s="47">
        <f t="shared" si="57"/>
        <v>0</v>
      </c>
      <c r="I196" s="47">
        <f t="shared" si="58"/>
        <v>0</v>
      </c>
      <c r="J196" s="47">
        <f t="shared" si="59"/>
        <v>0</v>
      </c>
      <c r="K196" s="47">
        <f t="shared" si="59"/>
        <v>0</v>
      </c>
    </row>
    <row r="197" spans="1:11" x14ac:dyDescent="0.25">
      <c r="A197" t="s">
        <v>170</v>
      </c>
      <c r="B197" s="50">
        <v>0</v>
      </c>
      <c r="C197">
        <v>0</v>
      </c>
      <c r="D197">
        <v>0</v>
      </c>
      <c r="E197">
        <v>0</v>
      </c>
      <c r="F197" s="50">
        <f t="shared" si="56"/>
        <v>0</v>
      </c>
      <c r="H197" s="47">
        <f t="shared" si="57"/>
        <v>0</v>
      </c>
      <c r="I197" s="47">
        <f t="shared" si="58"/>
        <v>0</v>
      </c>
      <c r="J197" s="47">
        <f t="shared" si="59"/>
        <v>0</v>
      </c>
      <c r="K197" s="47">
        <f t="shared" si="59"/>
        <v>0</v>
      </c>
    </row>
    <row r="198" spans="1:11" x14ac:dyDescent="0.25">
      <c r="A198" t="s">
        <v>156</v>
      </c>
      <c r="B198" s="50">
        <v>150000</v>
      </c>
      <c r="C198">
        <v>1</v>
      </c>
      <c r="D198">
        <v>1</v>
      </c>
      <c r="E198">
        <v>10</v>
      </c>
      <c r="F198" s="50">
        <f t="shared" si="56"/>
        <v>1500000</v>
      </c>
      <c r="H198" s="47">
        <f t="shared" si="57"/>
        <v>600000</v>
      </c>
      <c r="I198" s="47">
        <f t="shared" si="58"/>
        <v>300000</v>
      </c>
      <c r="J198" s="47">
        <f t="shared" si="59"/>
        <v>300000</v>
      </c>
      <c r="K198" s="47">
        <f t="shared" si="59"/>
        <v>300000</v>
      </c>
    </row>
    <row r="199" spans="1:11" s="43" customFormat="1" x14ac:dyDescent="0.25">
      <c r="A199" s="43" t="s">
        <v>121</v>
      </c>
      <c r="B199" s="52"/>
      <c r="F199" s="44">
        <f>SUM(F189:F198)</f>
        <v>7937000</v>
      </c>
      <c r="H199" s="44">
        <f>SUM(H189:H198)</f>
        <v>3174800</v>
      </c>
      <c r="I199" s="44">
        <f>SUM(I189:I198)</f>
        <v>1587400</v>
      </c>
      <c r="J199" s="44">
        <f t="shared" si="59"/>
        <v>1587400</v>
      </c>
      <c r="K199" s="44">
        <f t="shared" si="59"/>
        <v>1587400</v>
      </c>
    </row>
    <row r="200" spans="1:11" x14ac:dyDescent="0.25">
      <c r="B200" s="50"/>
      <c r="K200" s="47">
        <f>H199+I199+J199+K199</f>
        <v>7937000</v>
      </c>
    </row>
    <row r="201" spans="1:11" x14ac:dyDescent="0.25">
      <c r="B201" s="50"/>
    </row>
    <row r="202" spans="1:11" x14ac:dyDescent="0.25">
      <c r="A202" t="s">
        <v>178</v>
      </c>
      <c r="B202" s="50"/>
    </row>
    <row r="203" spans="1:11" x14ac:dyDescent="0.25">
      <c r="A203" t="s">
        <v>136</v>
      </c>
      <c r="B203" s="50" t="s">
        <v>137</v>
      </c>
      <c r="C203" t="s">
        <v>119</v>
      </c>
      <c r="D203" t="s">
        <v>138</v>
      </c>
      <c r="E203" t="s">
        <v>139</v>
      </c>
      <c r="F203" t="s">
        <v>140</v>
      </c>
      <c r="H203" t="s">
        <v>22</v>
      </c>
      <c r="I203" t="s">
        <v>112</v>
      </c>
      <c r="J203" t="s">
        <v>113</v>
      </c>
      <c r="K203" t="s">
        <v>114</v>
      </c>
    </row>
    <row r="204" spans="1:11" x14ac:dyDescent="0.25">
      <c r="A204" t="s">
        <v>143</v>
      </c>
      <c r="B204" s="50">
        <v>0</v>
      </c>
      <c r="C204">
        <v>0</v>
      </c>
      <c r="D204">
        <v>0</v>
      </c>
      <c r="E204">
        <v>0</v>
      </c>
      <c r="F204" s="50">
        <f>B204*C204*D204*E204</f>
        <v>0</v>
      </c>
      <c r="H204" s="47">
        <f>(F204/5)*2</f>
        <v>0</v>
      </c>
      <c r="I204" s="47">
        <f>F204/5</f>
        <v>0</v>
      </c>
      <c r="J204" s="47">
        <f>I204</f>
        <v>0</v>
      </c>
      <c r="K204" s="47">
        <f>J204</f>
        <v>0</v>
      </c>
    </row>
    <row r="205" spans="1:11" x14ac:dyDescent="0.25">
      <c r="A205" t="s">
        <v>145</v>
      </c>
      <c r="B205" s="50">
        <v>5000</v>
      </c>
      <c r="C205">
        <v>35</v>
      </c>
      <c r="D205">
        <v>6</v>
      </c>
      <c r="E205">
        <v>5</v>
      </c>
      <c r="F205" s="50">
        <f t="shared" ref="F205:F212" si="60">B205*C205*D205*E205</f>
        <v>5250000</v>
      </c>
      <c r="H205" s="47">
        <f t="shared" ref="H205:H212" si="61">(F205/5)*2</f>
        <v>2100000</v>
      </c>
      <c r="I205" s="47">
        <f t="shared" ref="I205:I212" si="62">F205/5</f>
        <v>1050000</v>
      </c>
      <c r="J205" s="47">
        <f t="shared" ref="J205:K213" si="63">I205</f>
        <v>1050000</v>
      </c>
      <c r="K205" s="47">
        <f t="shared" si="63"/>
        <v>1050000</v>
      </c>
    </row>
    <row r="206" spans="1:11" x14ac:dyDescent="0.25">
      <c r="A206" t="s">
        <v>147</v>
      </c>
      <c r="B206" s="50">
        <v>200</v>
      </c>
      <c r="C206">
        <v>85</v>
      </c>
      <c r="D206">
        <v>6</v>
      </c>
      <c r="E206">
        <v>5</v>
      </c>
      <c r="F206" s="50">
        <f t="shared" si="60"/>
        <v>510000</v>
      </c>
      <c r="H206" s="47">
        <f t="shared" si="61"/>
        <v>204000</v>
      </c>
      <c r="I206" s="47">
        <f t="shared" si="62"/>
        <v>102000</v>
      </c>
      <c r="J206" s="47">
        <f t="shared" si="63"/>
        <v>102000</v>
      </c>
      <c r="K206" s="47">
        <f t="shared" si="63"/>
        <v>102000</v>
      </c>
    </row>
    <row r="207" spans="1:11" x14ac:dyDescent="0.25">
      <c r="A207" t="s">
        <v>149</v>
      </c>
      <c r="B207" s="50">
        <v>0</v>
      </c>
      <c r="C207">
        <v>0</v>
      </c>
      <c r="D207">
        <v>0</v>
      </c>
      <c r="E207">
        <v>0</v>
      </c>
      <c r="F207" s="50">
        <f t="shared" si="60"/>
        <v>0</v>
      </c>
      <c r="H207" s="47">
        <f t="shared" si="61"/>
        <v>0</v>
      </c>
      <c r="I207" s="47">
        <f t="shared" si="62"/>
        <v>0</v>
      </c>
      <c r="J207" s="47">
        <f t="shared" si="63"/>
        <v>0</v>
      </c>
      <c r="K207" s="47">
        <f t="shared" si="63"/>
        <v>0</v>
      </c>
    </row>
    <row r="208" spans="1:11" x14ac:dyDescent="0.25">
      <c r="A208" t="s">
        <v>179</v>
      </c>
      <c r="B208" s="50">
        <v>2000</v>
      </c>
      <c r="C208">
        <v>20</v>
      </c>
      <c r="D208">
        <v>2</v>
      </c>
      <c r="E208">
        <v>5</v>
      </c>
      <c r="F208" s="50">
        <f t="shared" si="60"/>
        <v>400000</v>
      </c>
      <c r="H208" s="47">
        <f t="shared" si="61"/>
        <v>160000</v>
      </c>
      <c r="I208" s="47">
        <f t="shared" si="62"/>
        <v>80000</v>
      </c>
      <c r="J208" s="47">
        <f t="shared" si="63"/>
        <v>80000</v>
      </c>
      <c r="K208" s="47">
        <f t="shared" si="63"/>
        <v>80000</v>
      </c>
    </row>
    <row r="209" spans="1:11" x14ac:dyDescent="0.25">
      <c r="A209" t="s">
        <v>151</v>
      </c>
      <c r="B209" s="50">
        <v>0</v>
      </c>
      <c r="C209">
        <v>0</v>
      </c>
      <c r="D209">
        <v>0</v>
      </c>
      <c r="E209">
        <v>0</v>
      </c>
      <c r="F209" s="50">
        <f t="shared" si="60"/>
        <v>0</v>
      </c>
      <c r="H209" s="47">
        <f t="shared" si="61"/>
        <v>0</v>
      </c>
      <c r="I209" s="47">
        <f t="shared" si="62"/>
        <v>0</v>
      </c>
      <c r="J209" s="47">
        <f t="shared" si="63"/>
        <v>0</v>
      </c>
      <c r="K209" s="47">
        <f t="shared" si="63"/>
        <v>0</v>
      </c>
    </row>
    <row r="210" spans="1:11" x14ac:dyDescent="0.25">
      <c r="A210" t="s">
        <v>166</v>
      </c>
      <c r="B210" s="50">
        <v>0</v>
      </c>
      <c r="C210">
        <v>0</v>
      </c>
      <c r="D210">
        <v>0</v>
      </c>
      <c r="E210">
        <v>0</v>
      </c>
      <c r="F210" s="50">
        <f t="shared" si="60"/>
        <v>0</v>
      </c>
      <c r="H210" s="47">
        <f t="shared" si="61"/>
        <v>0</v>
      </c>
      <c r="I210" s="47">
        <f t="shared" si="62"/>
        <v>0</v>
      </c>
      <c r="J210" s="47">
        <f t="shared" si="63"/>
        <v>0</v>
      </c>
      <c r="K210" s="47">
        <f t="shared" si="63"/>
        <v>0</v>
      </c>
    </row>
    <row r="211" spans="1:11" x14ac:dyDescent="0.25">
      <c r="A211" t="s">
        <v>170</v>
      </c>
      <c r="B211" s="50">
        <v>100000</v>
      </c>
      <c r="C211">
        <v>1</v>
      </c>
      <c r="D211">
        <v>1</v>
      </c>
      <c r="E211">
        <v>1</v>
      </c>
      <c r="F211" s="50">
        <f t="shared" si="60"/>
        <v>100000</v>
      </c>
      <c r="H211" s="47">
        <f t="shared" si="61"/>
        <v>40000</v>
      </c>
      <c r="I211" s="47">
        <f t="shared" si="62"/>
        <v>20000</v>
      </c>
      <c r="J211" s="47">
        <f t="shared" si="63"/>
        <v>20000</v>
      </c>
      <c r="K211" s="47">
        <f t="shared" si="63"/>
        <v>20000</v>
      </c>
    </row>
    <row r="212" spans="1:11" x14ac:dyDescent="0.25">
      <c r="A212" t="s">
        <v>156</v>
      </c>
      <c r="B212" s="50">
        <v>0</v>
      </c>
      <c r="C212">
        <v>0</v>
      </c>
      <c r="D212">
        <v>0</v>
      </c>
      <c r="E212">
        <v>0</v>
      </c>
      <c r="F212" s="50">
        <f t="shared" si="60"/>
        <v>0</v>
      </c>
      <c r="H212" s="47">
        <f t="shared" si="61"/>
        <v>0</v>
      </c>
      <c r="I212" s="47">
        <f t="shared" si="62"/>
        <v>0</v>
      </c>
      <c r="J212" s="47">
        <f t="shared" si="63"/>
        <v>0</v>
      </c>
      <c r="K212" s="47">
        <f t="shared" si="63"/>
        <v>0</v>
      </c>
    </row>
    <row r="213" spans="1:11" s="43" customFormat="1" x14ac:dyDescent="0.25">
      <c r="A213" s="43" t="s">
        <v>121</v>
      </c>
      <c r="B213" s="52"/>
      <c r="F213" s="44">
        <f>SUM(F204:F212)</f>
        <v>6260000</v>
      </c>
      <c r="H213" s="44">
        <f>SUM(H204:H212)</f>
        <v>2504000</v>
      </c>
      <c r="I213" s="44">
        <f>SUM(I204:I212)</f>
        <v>1252000</v>
      </c>
      <c r="J213" s="44">
        <f t="shared" si="63"/>
        <v>1252000</v>
      </c>
      <c r="K213" s="44">
        <f t="shared" si="63"/>
        <v>1252000</v>
      </c>
    </row>
    <row r="214" spans="1:11" x14ac:dyDescent="0.25">
      <c r="B214" s="50"/>
      <c r="F214" s="47"/>
      <c r="K214" s="47">
        <f>H213+I213+J213+K213</f>
        <v>6260000</v>
      </c>
    </row>
    <row r="215" spans="1:11" x14ac:dyDescent="0.25">
      <c r="B215" s="50"/>
    </row>
    <row r="216" spans="1:11" x14ac:dyDescent="0.25">
      <c r="B216" s="50"/>
    </row>
    <row r="217" spans="1:11" x14ac:dyDescent="0.25">
      <c r="A217" t="s">
        <v>180</v>
      </c>
      <c r="B217" s="50"/>
    </row>
    <row r="218" spans="1:11" x14ac:dyDescent="0.25">
      <c r="A218" t="s">
        <v>136</v>
      </c>
      <c r="B218" s="50" t="s">
        <v>137</v>
      </c>
      <c r="C218" t="s">
        <v>119</v>
      </c>
      <c r="D218" t="s">
        <v>138</v>
      </c>
      <c r="E218" t="s">
        <v>139</v>
      </c>
      <c r="F218" t="s">
        <v>140</v>
      </c>
      <c r="H218" t="s">
        <v>22</v>
      </c>
      <c r="I218" t="s">
        <v>112</v>
      </c>
      <c r="J218" t="s">
        <v>113</v>
      </c>
      <c r="K218" t="s">
        <v>114</v>
      </c>
    </row>
    <row r="219" spans="1:11" x14ac:dyDescent="0.25">
      <c r="A219" t="s">
        <v>143</v>
      </c>
      <c r="B219" s="50">
        <v>0</v>
      </c>
      <c r="C219">
        <v>0</v>
      </c>
      <c r="D219">
        <v>0</v>
      </c>
      <c r="E219">
        <v>0</v>
      </c>
      <c r="F219" s="50">
        <f>B219*C219*D219*E219</f>
        <v>0</v>
      </c>
      <c r="H219" s="47">
        <f>(F219/5)*2</f>
        <v>0</v>
      </c>
      <c r="I219" s="47">
        <f>F219/5</f>
        <v>0</v>
      </c>
      <c r="J219" s="47">
        <f>I219</f>
        <v>0</v>
      </c>
      <c r="K219" s="47">
        <f>J219</f>
        <v>0</v>
      </c>
    </row>
    <row r="220" spans="1:11" x14ac:dyDescent="0.25">
      <c r="A220" t="s">
        <v>145</v>
      </c>
      <c r="B220" s="50">
        <v>0</v>
      </c>
      <c r="C220">
        <v>0</v>
      </c>
      <c r="D220">
        <v>0</v>
      </c>
      <c r="E220">
        <v>0</v>
      </c>
      <c r="F220" s="50">
        <f t="shared" ref="F220:F228" si="64">B220*C220*D220*E220</f>
        <v>0</v>
      </c>
      <c r="H220" s="47">
        <f t="shared" ref="H220:H228" si="65">(F220/5)*2</f>
        <v>0</v>
      </c>
      <c r="I220" s="47">
        <f t="shared" ref="I220:I221" si="66">F220/5</f>
        <v>0</v>
      </c>
      <c r="J220" s="47">
        <f t="shared" ref="J220:K229" si="67">I220</f>
        <v>0</v>
      </c>
      <c r="K220" s="47">
        <f t="shared" si="67"/>
        <v>0</v>
      </c>
    </row>
    <row r="221" spans="1:11" x14ac:dyDescent="0.25">
      <c r="A221" t="s">
        <v>163</v>
      </c>
      <c r="B221" s="50">
        <v>0</v>
      </c>
      <c r="C221">
        <v>0</v>
      </c>
      <c r="D221">
        <v>0</v>
      </c>
      <c r="E221">
        <v>0</v>
      </c>
      <c r="F221" s="50">
        <f t="shared" si="64"/>
        <v>0</v>
      </c>
      <c r="H221" s="47">
        <f t="shared" si="65"/>
        <v>0</v>
      </c>
      <c r="I221" s="47">
        <f t="shared" si="66"/>
        <v>0</v>
      </c>
      <c r="J221" s="47">
        <f t="shared" si="67"/>
        <v>0</v>
      </c>
      <c r="K221" s="47">
        <f t="shared" si="67"/>
        <v>0</v>
      </c>
    </row>
    <row r="222" spans="1:11" x14ac:dyDescent="0.25">
      <c r="A222" t="s">
        <v>162</v>
      </c>
      <c r="B222" s="50">
        <v>2000</v>
      </c>
      <c r="C222">
        <v>6</v>
      </c>
      <c r="D222">
        <v>3</v>
      </c>
      <c r="E222">
        <v>5</v>
      </c>
      <c r="F222" s="50">
        <f t="shared" si="64"/>
        <v>180000</v>
      </c>
      <c r="H222" s="47">
        <v>0</v>
      </c>
      <c r="I222" s="47">
        <f>F222/3</f>
        <v>60000</v>
      </c>
      <c r="J222" s="47">
        <f t="shared" si="67"/>
        <v>60000</v>
      </c>
      <c r="K222" s="47">
        <f t="shared" si="67"/>
        <v>60000</v>
      </c>
    </row>
    <row r="223" spans="1:11" x14ac:dyDescent="0.25">
      <c r="A223" t="s">
        <v>147</v>
      </c>
      <c r="B223" s="50">
        <v>200</v>
      </c>
      <c r="C223">
        <v>5</v>
      </c>
      <c r="D223">
        <v>90</v>
      </c>
      <c r="E223">
        <v>5</v>
      </c>
      <c r="F223" s="50">
        <f t="shared" si="64"/>
        <v>450000</v>
      </c>
      <c r="H223" s="47">
        <v>0</v>
      </c>
      <c r="I223" s="47">
        <f t="shared" ref="I223:I228" si="68">F223/3</f>
        <v>150000</v>
      </c>
      <c r="J223" s="47">
        <f t="shared" si="67"/>
        <v>150000</v>
      </c>
      <c r="K223" s="47">
        <f t="shared" si="67"/>
        <v>150000</v>
      </c>
    </row>
    <row r="224" spans="1:11" x14ac:dyDescent="0.25">
      <c r="A224" t="s">
        <v>149</v>
      </c>
      <c r="B224" s="50">
        <v>100000</v>
      </c>
      <c r="C224">
        <v>1</v>
      </c>
      <c r="D224">
        <v>3</v>
      </c>
      <c r="E224">
        <v>5</v>
      </c>
      <c r="F224" s="50">
        <f t="shared" si="64"/>
        <v>1500000</v>
      </c>
      <c r="H224" s="47">
        <v>0</v>
      </c>
      <c r="I224" s="47">
        <f t="shared" si="68"/>
        <v>500000</v>
      </c>
      <c r="J224" s="47">
        <f t="shared" si="67"/>
        <v>500000</v>
      </c>
      <c r="K224" s="47">
        <f t="shared" si="67"/>
        <v>500000</v>
      </c>
    </row>
    <row r="225" spans="1:11" x14ac:dyDescent="0.25">
      <c r="A225" t="s">
        <v>151</v>
      </c>
      <c r="B225" s="50">
        <v>0</v>
      </c>
      <c r="C225">
        <v>0</v>
      </c>
      <c r="D225">
        <v>0</v>
      </c>
      <c r="E225">
        <v>0</v>
      </c>
      <c r="F225" s="50">
        <f t="shared" si="64"/>
        <v>0</v>
      </c>
      <c r="H225" s="47">
        <f t="shared" si="65"/>
        <v>0</v>
      </c>
      <c r="I225" s="47">
        <f t="shared" si="68"/>
        <v>0</v>
      </c>
      <c r="J225" s="47">
        <f t="shared" si="67"/>
        <v>0</v>
      </c>
      <c r="K225" s="47">
        <f t="shared" si="67"/>
        <v>0</v>
      </c>
    </row>
    <row r="226" spans="1:11" x14ac:dyDescent="0.25">
      <c r="A226" t="s">
        <v>166</v>
      </c>
      <c r="B226" s="50">
        <v>0</v>
      </c>
      <c r="C226">
        <v>0</v>
      </c>
      <c r="D226">
        <v>0</v>
      </c>
      <c r="E226">
        <v>0</v>
      </c>
      <c r="F226" s="50">
        <f t="shared" si="64"/>
        <v>0</v>
      </c>
      <c r="H226" s="47">
        <f t="shared" si="65"/>
        <v>0</v>
      </c>
      <c r="I226" s="47">
        <f t="shared" si="68"/>
        <v>0</v>
      </c>
      <c r="J226" s="47">
        <f t="shared" si="67"/>
        <v>0</v>
      </c>
      <c r="K226" s="47">
        <f t="shared" si="67"/>
        <v>0</v>
      </c>
    </row>
    <row r="227" spans="1:11" x14ac:dyDescent="0.25">
      <c r="A227" t="s">
        <v>170</v>
      </c>
      <c r="B227" s="50">
        <v>0</v>
      </c>
      <c r="C227">
        <v>0</v>
      </c>
      <c r="D227">
        <v>0</v>
      </c>
      <c r="E227">
        <v>0</v>
      </c>
      <c r="F227" s="50">
        <f t="shared" si="64"/>
        <v>0</v>
      </c>
      <c r="H227" s="47">
        <f t="shared" si="65"/>
        <v>0</v>
      </c>
      <c r="I227" s="47">
        <f t="shared" si="68"/>
        <v>0</v>
      </c>
      <c r="J227" s="47">
        <f t="shared" si="67"/>
        <v>0</v>
      </c>
      <c r="K227" s="47">
        <f t="shared" si="67"/>
        <v>0</v>
      </c>
    </row>
    <row r="228" spans="1:11" x14ac:dyDescent="0.25">
      <c r="A228" t="s">
        <v>156</v>
      </c>
      <c r="B228" s="50">
        <v>0</v>
      </c>
      <c r="C228">
        <v>0</v>
      </c>
      <c r="D228">
        <v>0</v>
      </c>
      <c r="E228">
        <v>0</v>
      </c>
      <c r="F228" s="50">
        <f t="shared" si="64"/>
        <v>0</v>
      </c>
      <c r="H228" s="47">
        <f t="shared" si="65"/>
        <v>0</v>
      </c>
      <c r="I228" s="47">
        <f t="shared" si="68"/>
        <v>0</v>
      </c>
      <c r="J228" s="47">
        <f t="shared" si="67"/>
        <v>0</v>
      </c>
      <c r="K228" s="47">
        <f t="shared" si="67"/>
        <v>0</v>
      </c>
    </row>
    <row r="229" spans="1:11" s="43" customFormat="1" x14ac:dyDescent="0.25">
      <c r="A229" s="43" t="s">
        <v>121</v>
      </c>
      <c r="B229" s="52"/>
      <c r="F229" s="44">
        <f>SUM(F219:F228)</f>
        <v>2130000</v>
      </c>
      <c r="H229" s="44">
        <f>SUM(H219:H228)</f>
        <v>0</v>
      </c>
      <c r="I229" s="44">
        <f>SUM(I219:I228)</f>
        <v>710000</v>
      </c>
      <c r="J229" s="44">
        <f t="shared" si="67"/>
        <v>710000</v>
      </c>
      <c r="K229" s="44">
        <f t="shared" si="67"/>
        <v>710000</v>
      </c>
    </row>
    <row r="230" spans="1:11" x14ac:dyDescent="0.25">
      <c r="B230" s="50"/>
      <c r="K230" s="47">
        <f>H229+I229+J229+K229</f>
        <v>2130000</v>
      </c>
    </row>
    <row r="231" spans="1:11" x14ac:dyDescent="0.25">
      <c r="B231" s="50"/>
    </row>
    <row r="232" spans="1:11" x14ac:dyDescent="0.25">
      <c r="B232" s="50"/>
    </row>
    <row r="233" spans="1:11" x14ac:dyDescent="0.25">
      <c r="B233" s="50"/>
      <c r="E233" t="s">
        <v>111</v>
      </c>
      <c r="H233" t="s">
        <v>22</v>
      </c>
      <c r="I233" t="s">
        <v>112</v>
      </c>
      <c r="J233" t="s">
        <v>113</v>
      </c>
      <c r="K233" t="s">
        <v>114</v>
      </c>
    </row>
    <row r="234" spans="1:11" x14ac:dyDescent="0.25">
      <c r="H234" s="47">
        <f>H4+H21+H34+H51+H65+H79+H84+H98+H109+H121+H127+H139+H144+H157+H171+H183+H199+H213+H229</f>
        <v>47281516</v>
      </c>
      <c r="I234" s="47">
        <f>I4+I21+I34+I51+I65+I79+I84+I98+I109+I121+I127+I139+I144+I157+I171+I183+I199+I213+I229</f>
        <v>24029067</v>
      </c>
      <c r="J234" s="47">
        <f>J4+J21+J34+J51+J65+J79+J84+J98+J109+J121+J127+J139+J144+J157+J171+J183+J199+J213+J229</f>
        <v>22214067</v>
      </c>
      <c r="K234" s="47">
        <f>K4+K21+K34+K51+K65+K79+K84+K98+K109+K121+K127+K139+K144+K157+K171+K183+K199+K213+K229</f>
        <v>22214067</v>
      </c>
    </row>
    <row r="237" spans="1:11" x14ac:dyDescent="0.25">
      <c r="K237" s="47">
        <f>H234+I234+J234+K234</f>
        <v>115738717</v>
      </c>
    </row>
    <row r="240" spans="1:11" x14ac:dyDescent="0.25">
      <c r="I240" s="47">
        <f>K237-H234</f>
        <v>68457201</v>
      </c>
    </row>
    <row r="245" spans="2:2" x14ac:dyDescent="0.25">
      <c r="B245"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WP 24-25</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KIPRE-Finance</dc:creator>
  <cp:lastModifiedBy>Happiness</cp:lastModifiedBy>
  <dcterms:created xsi:type="dcterms:W3CDTF">2024-08-01T08:18:19Z</dcterms:created>
  <dcterms:modified xsi:type="dcterms:W3CDTF">2024-08-02T14:11:04Z</dcterms:modified>
</cp:coreProperties>
</file>