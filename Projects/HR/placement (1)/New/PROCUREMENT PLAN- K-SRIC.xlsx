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27FA371-3728-499F-8EA5-2FCFEE2C6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2" i="1" l="1"/>
  <c r="E123" i="1"/>
  <c r="E121" i="1"/>
  <c r="E130" i="1"/>
  <c r="E131" i="1"/>
  <c r="E132" i="1"/>
  <c r="E91" i="1"/>
  <c r="E201" i="1"/>
  <c r="E184" i="1"/>
  <c r="E183" i="1"/>
  <c r="E167" i="1"/>
  <c r="E159" i="1"/>
  <c r="E155" i="1"/>
  <c r="E152" i="1"/>
  <c r="E151" i="1"/>
  <c r="E141" i="1"/>
  <c r="E140" i="1"/>
  <c r="E139" i="1"/>
  <c r="E138" i="1"/>
  <c r="E137" i="1"/>
  <c r="E129" i="1"/>
  <c r="E70" i="1"/>
  <c r="E69" i="1"/>
  <c r="E15" i="1"/>
  <c r="E14" i="1"/>
  <c r="E13" i="1"/>
  <c r="E12" i="1"/>
  <c r="E11" i="1"/>
  <c r="E241" i="1" l="1"/>
</calcChain>
</file>

<file path=xl/sharedStrings.xml><?xml version="1.0" encoding="utf-8"?>
<sst xmlns="http://schemas.openxmlformats.org/spreadsheetml/2006/main" count="178" uniqueCount="112">
  <si>
    <t>PROCUREMENT PLAN TEMPLATE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</si>
  <si>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</si>
  <si>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</si>
  <si>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</si>
  <si>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</si>
  <si>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</si>
  <si>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</si>
  <si>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</si>
  <si>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</si>
  <si>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</si>
  <si>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</si>
  <si>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</si>
  <si>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</si>
  <si>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</si>
  <si>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</si>
  <si>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</si>
  <si>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</si>
  <si>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</si>
  <si>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2.Cartridges and Toners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</si>
  <si>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</si>
  <si>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</si>
  <si>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</si>
  <si>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</si>
  <si>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</si>
  <si>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</si>
  <si>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3.COMPUTER ACCESSORIES</t>
  </si>
  <si>
    <t>4.COMPUTER HARDWARE</t>
  </si>
  <si>
    <t>5. CONTRACTED SERVICES</t>
  </si>
  <si>
    <t>WIFI router for labs</t>
  </si>
  <si>
    <t>6. ADMISSION TICKETS</t>
  </si>
  <si>
    <t>7. Electricals</t>
  </si>
  <si>
    <t xml:space="preserve">Microwave -30Ltrs </t>
  </si>
  <si>
    <t>Power supply Extensions</t>
  </si>
  <si>
    <t>UPS</t>
  </si>
  <si>
    <t>Office consumables</t>
  </si>
  <si>
    <t>8.Furniture</t>
  </si>
  <si>
    <t>Lab Stools (LAB 1&amp;2)</t>
  </si>
  <si>
    <t>9.Motor Vehicle Expenses</t>
  </si>
  <si>
    <t>10.Janitorials</t>
  </si>
  <si>
    <t>11.Printing and duplication</t>
  </si>
  <si>
    <t xml:space="preserve">Printing papers </t>
  </si>
  <si>
    <t>13.Maintenance of Buildings</t>
  </si>
  <si>
    <t>Repair of Lab water taps</t>
  </si>
  <si>
    <t>14.Cage maintenence</t>
  </si>
  <si>
    <t>Repair and maintenance of the current snake vivariums ( fibreglass cages).</t>
  </si>
  <si>
    <t>Modification of locking mechanism for the venoms storage fridge.</t>
  </si>
  <si>
    <t>Mice cages - SMALL</t>
  </si>
  <si>
    <t>MEDIUM</t>
  </si>
  <si>
    <t>LARGE</t>
  </si>
  <si>
    <t>15. Maintenance of monuments</t>
  </si>
  <si>
    <t>16.Tools and Equipments new</t>
  </si>
  <si>
    <t>Purchase of 4 humidifiers to maintain correct humidity in snake rooms.</t>
  </si>
  <si>
    <t>Additional of Sistema plastic snake cages. ( 10 containers for 90 litres and 10 containers for 60 litres).</t>
  </si>
  <si>
    <t>Purchase of extra beakers for venom extractions.</t>
  </si>
  <si>
    <t>Ear Tag Applicator</t>
  </si>
  <si>
    <t>Ear tags and a permanent maker</t>
  </si>
  <si>
    <t>18.First Aid</t>
  </si>
  <si>
    <t>Fully equipped snakebite first aid kit.</t>
  </si>
  <si>
    <t> Antivenoms ( 30 vials of polyvalent and 5 vials monovalent for boomslang)</t>
  </si>
  <si>
    <t>19.. Staff Uniforms and protective clothing</t>
  </si>
  <si>
    <t>Provisions of standard face masks for venom handling and processing. (10 boxes).</t>
  </si>
  <si>
    <t>Staff uniform ( clothing and footwear)</t>
  </si>
  <si>
    <t>Safety dust coats and goggles for visitors too. (10 of each)</t>
  </si>
  <si>
    <t>20.Food  for Rations</t>
  </si>
  <si>
    <t>21. Air Fares</t>
  </si>
  <si>
    <t>22. Food for Primates</t>
  </si>
  <si>
    <t xml:space="preserve">wood savings </t>
  </si>
  <si>
    <t>Mineral salts for camels (magadi soda) -50kg</t>
  </si>
  <si>
    <t>23. Medical and Surgical supplies</t>
  </si>
  <si>
    <t>24. laboratory  Equipment</t>
  </si>
  <si>
    <t>Liquid Nitrogen Tank (34 or 50 ml)</t>
  </si>
  <si>
    <t>2ft Laminar flow hood (PCR clean bench)</t>
  </si>
  <si>
    <t>Weighing machine</t>
  </si>
  <si>
    <t>25.Laboratory chemicals and supplies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</si>
  <si>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</si>
  <si>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</si>
  <si>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</si>
  <si>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</si>
  <si>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</si>
  <si>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</si>
  <si>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</si>
  <si>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</si>
  <si>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</si>
  <si>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</si>
  <si>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</si>
  <si>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</si>
  <si>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</si>
  <si>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</si>
  <si>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Molecular water</t>
  </si>
  <si>
    <t>26. Conferences/ Retreats/  Training</t>
  </si>
  <si>
    <t>27. Gases</t>
  </si>
  <si>
    <t>28.Fertilizers</t>
  </si>
  <si>
    <t>29. Library Books / Journals</t>
  </si>
  <si>
    <t>RFQ</t>
  </si>
  <si>
    <t>GOK</t>
  </si>
  <si>
    <t>insurance of KCU 576Z</t>
  </si>
  <si>
    <t>insurance of KCZ 551B</t>
  </si>
  <si>
    <t>insurance of KCU 502Z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</si>
  <si>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</si>
  <si>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</si>
  <si>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</si>
  <si>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</si>
  <si>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</si>
  <si>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</si>
  <si>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</si>
  <si>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</si>
  <si>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</si>
  <si>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Cotton wool ( boxes)</t>
  </si>
  <si>
    <t xml:space="preserve">30 gauge insulin syringes </t>
  </si>
  <si>
    <t>dissecting kit</t>
  </si>
  <si>
    <t>formaldehyde 10L</t>
  </si>
  <si>
    <t xml:space="preserve">   surgical spirit(5L)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</si>
</sst>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22222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 vertical="top"/>
    </xf>
    <xf numFmtId="0" fontId="2" fillId="0" borderId="3" xfId="0" applyFont="1" applyBorder="1"/>
    <xf numFmtId="43" fontId="2" fillId="0" borderId="3" xfId="1" applyFont="1" applyBorder="1"/>
    <xf numFmtId="0" fontId="2" fillId="0" borderId="3" xfId="0" applyFont="1" applyBorder="1" applyAlignment="1">
      <alignment wrapText="1"/>
    </xf>
    <xf numFmtId="0" fontId="3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3" xfId="0" applyFont="1" applyBorder="1"/>
    <xf numFmtId="0" fontId="3" fillId="0" borderId="0" xfId="0" applyFont="1" applyAlignment="1">
      <alignment wrapText="1"/>
    </xf>
    <xf numFmtId="43" fontId="1" fillId="0" borderId="3" xfId="1" applyFont="1" applyBorder="1"/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0" fontId="5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41"/>
  <sheetViews>
    <sheetView tabSelected="1" workbookViewId="0">
      <selection activeCell="E226" sqref="E226"/>
    </sheetView>
  </sheetViews>
  <sheetFormatPr defaultColWidth="9" defaultRowHeight="13.8"/>
  <cols>
    <col min="1" max="1" width="9" style="2"/>
    <col min="2" max="2" width="35.88671875" style="2" customWidth="1"/>
    <col min="3" max="3" width="15.6640625" style="2" customWidth="1"/>
    <col min="4" max="4" width="12.6640625" style="2" customWidth="1"/>
    <col min="5" max="5" width="12.77734375" style="2" customWidth="1"/>
    <col min="6" max="6" width="9" style="2"/>
    <col min="7" max="7" width="11.6640625" style="2" customWidth="1"/>
    <col min="8" max="8" width="10" style="2" customWidth="1"/>
    <col min="9" max="16384" width="9" style="2"/>
  </cols>
  <sheetData>
    <row r="2" spans="1:16">
      <c r="A2" s="1" t="s">
        <v>0</v>
      </c>
      <c r="B2" s="1"/>
      <c r="C2" s="1"/>
      <c r="D2" s="1"/>
    </row>
    <row r="3" spans="1:16" ht="41.4">
      <c r="A3" s="3"/>
      <c r="B3" s="4" t="s">
        <v>1</v>
      </c>
      <c r="C3" s="5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26" t="s">
        <v>12</v>
      </c>
      <c r="N3" s="27"/>
      <c r="O3" s="27"/>
      <c r="P3" s="28"/>
    </row>
    <row r="4" spans="1:16">
      <c r="A4" s="3"/>
      <c r="B4" s="4"/>
      <c r="C4" s="5"/>
      <c r="D4" s="4"/>
      <c r="E4" s="4"/>
      <c r="F4" s="4"/>
      <c r="G4" s="4"/>
      <c r="H4" s="4"/>
      <c r="I4" s="5"/>
      <c r="J4" s="5"/>
      <c r="K4" s="5"/>
      <c r="L4" s="5"/>
      <c r="M4" s="12" t="s">
        <v>13</v>
      </c>
      <c r="N4" s="13" t="s">
        <v>14</v>
      </c>
      <c r="O4" s="13" t="s">
        <v>15</v>
      </c>
      <c r="P4" s="14" t="s">
        <v>16</v>
      </c>
    </row>
    <row r="5" spans="1:16">
      <c r="A5" s="6" t="s">
        <v>17</v>
      </c>
      <c r="B5" s="7"/>
      <c r="C5" s="8"/>
      <c r="D5" s="9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>
      <c r="A6" s="8">
        <v>1</v>
      </c>
      <c r="B6" s="8"/>
      <c r="C6" s="8"/>
      <c r="D6" s="9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8">
        <v>2</v>
      </c>
      <c r="B7" s="8"/>
      <c r="C7" s="8"/>
      <c r="D7" s="9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>
        <v>3</v>
      </c>
      <c r="B8" s="8"/>
      <c r="C8" s="8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>
        <v>4</v>
      </c>
      <c r="B9" s="8"/>
      <c r="C9" s="8"/>
      <c r="D9" s="9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6" t="s">
        <v>18</v>
      </c>
      <c r="B10" s="6"/>
      <c r="C10" s="8"/>
      <c r="D10" s="9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7.6">
      <c r="A11" s="8">
        <v>1</v>
      </c>
      <c r="B11" s="10" t="s">
        <v>19</v>
      </c>
      <c r="C11" s="8">
        <v>2</v>
      </c>
      <c r="D11" s="9">
        <v>18000</v>
      </c>
      <c r="E11" s="9">
        <f>SUM(C11*D11)</f>
        <v>36000</v>
      </c>
      <c r="F11" s="8" t="s">
        <v>20</v>
      </c>
      <c r="G11" s="8" t="s">
        <v>93</v>
      </c>
      <c r="H11" s="8" t="s">
        <v>94</v>
      </c>
      <c r="I11" s="8"/>
      <c r="J11" s="8"/>
      <c r="K11" s="8"/>
      <c r="L11" s="8"/>
      <c r="M11" s="8"/>
      <c r="N11" s="8"/>
      <c r="O11" s="8"/>
      <c r="P11" s="8"/>
    </row>
    <row r="12" spans="1:16" ht="27.6">
      <c r="A12" s="8">
        <v>2</v>
      </c>
      <c r="B12" s="10" t="s">
        <v>21</v>
      </c>
      <c r="C12" s="8">
        <v>2</v>
      </c>
      <c r="D12" s="9">
        <v>18000</v>
      </c>
      <c r="E12" s="9">
        <f>SUM(C12*D12)</f>
        <v>36000</v>
      </c>
      <c r="F12" s="8" t="s">
        <v>20</v>
      </c>
      <c r="G12" s="8" t="s">
        <v>93</v>
      </c>
      <c r="H12" s="8" t="s">
        <v>94</v>
      </c>
      <c r="I12" s="8"/>
      <c r="J12" s="8"/>
      <c r="K12" s="8"/>
      <c r="L12" s="8"/>
      <c r="M12" s="8"/>
      <c r="N12" s="8"/>
      <c r="O12" s="8"/>
      <c r="P12" s="8"/>
    </row>
    <row r="13" spans="1:16" ht="27.6">
      <c r="A13" s="8">
        <v>3</v>
      </c>
      <c r="B13" s="10" t="s">
        <v>22</v>
      </c>
      <c r="C13" s="8">
        <v>2</v>
      </c>
      <c r="D13" s="9">
        <v>18000</v>
      </c>
      <c r="E13" s="9">
        <f>SUM(C13*D13)</f>
        <v>36000</v>
      </c>
      <c r="F13" s="8" t="s">
        <v>20</v>
      </c>
      <c r="G13" s="8" t="s">
        <v>93</v>
      </c>
      <c r="H13" s="8" t="s">
        <v>94</v>
      </c>
      <c r="I13" s="8"/>
      <c r="J13" s="8"/>
      <c r="K13" s="8"/>
      <c r="L13" s="8"/>
      <c r="M13" s="8"/>
      <c r="N13" s="8"/>
      <c r="O13" s="8"/>
      <c r="P13" s="8"/>
    </row>
    <row r="14" spans="1:16" ht="27.6">
      <c r="A14" s="8">
        <v>4</v>
      </c>
      <c r="B14" s="10" t="s">
        <v>23</v>
      </c>
      <c r="C14" s="8">
        <v>2</v>
      </c>
      <c r="D14" s="9">
        <v>18000</v>
      </c>
      <c r="E14" s="9">
        <f>SUM(C14*D14)</f>
        <v>36000</v>
      </c>
      <c r="F14" s="8" t="s">
        <v>20</v>
      </c>
      <c r="G14" s="8" t="s">
        <v>93</v>
      </c>
      <c r="H14" s="8" t="s">
        <v>94</v>
      </c>
      <c r="I14" s="8"/>
      <c r="J14" s="8"/>
      <c r="K14" s="8"/>
      <c r="L14" s="8"/>
      <c r="M14" s="8"/>
      <c r="N14" s="8"/>
      <c r="O14" s="8"/>
      <c r="P14" s="8"/>
    </row>
    <row r="15" spans="1:16" ht="27.6">
      <c r="A15" s="8">
        <v>5</v>
      </c>
      <c r="B15" s="10" t="s">
        <v>24</v>
      </c>
      <c r="C15" s="8">
        <v>2</v>
      </c>
      <c r="D15" s="9">
        <v>18000</v>
      </c>
      <c r="E15" s="9">
        <f>SUM(C15*D15)</f>
        <v>36000</v>
      </c>
      <c r="F15" s="8" t="s">
        <v>20</v>
      </c>
      <c r="G15" s="8" t="s">
        <v>93</v>
      </c>
      <c r="H15" s="8" t="s">
        <v>94</v>
      </c>
      <c r="I15" s="8"/>
      <c r="J15" s="8"/>
      <c r="K15" s="8"/>
      <c r="L15" s="8"/>
      <c r="M15" s="8"/>
      <c r="N15" s="8"/>
      <c r="O15" s="8"/>
      <c r="P15" s="8"/>
    </row>
    <row r="16" spans="1:16">
      <c r="A16" s="6"/>
      <c r="B16" s="6"/>
      <c r="C16" s="8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6"/>
      <c r="B17" s="6"/>
      <c r="C17" s="8"/>
      <c r="D17" s="9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6"/>
      <c r="B18" s="6"/>
      <c r="C18" s="8"/>
      <c r="D18" s="9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6"/>
      <c r="B19" s="6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6"/>
      <c r="B20" s="6"/>
      <c r="C20" s="8"/>
      <c r="D20" s="9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6"/>
      <c r="B21" s="6"/>
      <c r="C21" s="8"/>
      <c r="D21" s="9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6"/>
      <c r="B22" s="6"/>
      <c r="C22" s="8"/>
      <c r="D22" s="9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6"/>
      <c r="B23" s="6"/>
      <c r="C23" s="8"/>
      <c r="D23" s="9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6"/>
      <c r="B24" s="6"/>
      <c r="C24" s="8"/>
      <c r="D24" s="9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6"/>
      <c r="B25" s="6"/>
      <c r="C25" s="8"/>
      <c r="D25" s="9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6" t="s">
        <v>25</v>
      </c>
      <c r="B26" s="6"/>
      <c r="C26" s="8"/>
      <c r="D26" s="9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15"/>
      <c r="P27" s="8"/>
    </row>
    <row r="28" spans="1:16">
      <c r="A28" s="8"/>
      <c r="B28" s="8"/>
      <c r="C28" s="8"/>
      <c r="D28" s="9"/>
      <c r="E28" s="9"/>
      <c r="F28" s="8"/>
      <c r="G28" s="8"/>
      <c r="H28" s="8"/>
      <c r="I28" s="8"/>
      <c r="J28" s="8"/>
      <c r="K28" s="8"/>
      <c r="L28" s="8"/>
      <c r="M28" s="8"/>
      <c r="N28" s="8"/>
      <c r="O28" s="15"/>
      <c r="P28" s="8"/>
    </row>
    <row r="29" spans="1:16">
      <c r="A29" s="8"/>
      <c r="B29" s="8"/>
      <c r="C29" s="8"/>
      <c r="D29" s="9"/>
      <c r="E29" s="9"/>
      <c r="F29" s="8"/>
      <c r="G29" s="8"/>
      <c r="H29" s="8"/>
      <c r="I29" s="8"/>
      <c r="J29" s="8"/>
      <c r="K29" s="8"/>
      <c r="L29" s="8"/>
      <c r="M29" s="8"/>
      <c r="N29" s="8"/>
      <c r="O29" s="15"/>
      <c r="P29" s="8"/>
    </row>
    <row r="30" spans="1:16">
      <c r="A30" s="8"/>
      <c r="B30" s="8"/>
      <c r="C30" s="8"/>
      <c r="D30" s="9"/>
      <c r="E30" s="9"/>
      <c r="F30" s="8"/>
      <c r="G30" s="8"/>
      <c r="H30" s="8"/>
      <c r="I30" s="8"/>
      <c r="J30" s="8"/>
      <c r="K30" s="8"/>
      <c r="L30" s="8"/>
      <c r="M30" s="8"/>
      <c r="N30" s="8"/>
      <c r="O30" s="15"/>
      <c r="P30" s="8"/>
    </row>
    <row r="31" spans="1:16">
      <c r="A31" s="8"/>
      <c r="B31" s="8"/>
      <c r="C31" s="8"/>
      <c r="D31" s="9"/>
      <c r="E31" s="9"/>
      <c r="F31" s="8"/>
      <c r="G31" s="8"/>
      <c r="H31" s="8"/>
      <c r="I31" s="8"/>
      <c r="J31" s="8"/>
      <c r="K31" s="8"/>
      <c r="L31" s="8"/>
      <c r="M31" s="8"/>
      <c r="N31" s="8"/>
      <c r="O31" s="15"/>
      <c r="P31" s="8"/>
    </row>
    <row r="32" spans="1:16">
      <c r="A32" s="8"/>
      <c r="B32" s="8"/>
      <c r="C32" s="8"/>
      <c r="D32" s="9"/>
      <c r="E32" s="9"/>
      <c r="F32" s="8"/>
      <c r="G32" s="8"/>
      <c r="H32" s="8"/>
      <c r="I32" s="8"/>
      <c r="J32" s="8"/>
      <c r="K32" s="8"/>
      <c r="L32" s="8"/>
      <c r="M32" s="8"/>
      <c r="N32" s="8"/>
      <c r="O32" s="15"/>
      <c r="P32" s="8"/>
    </row>
    <row r="33" spans="1:16">
      <c r="A33" s="8"/>
      <c r="B33" s="8"/>
      <c r="C33" s="8"/>
      <c r="D33" s="9"/>
      <c r="E33" s="9"/>
      <c r="F33" s="8"/>
      <c r="G33" s="8"/>
      <c r="H33" s="8"/>
      <c r="I33" s="8"/>
      <c r="J33" s="8"/>
      <c r="K33" s="8"/>
      <c r="L33" s="8"/>
      <c r="M33" s="8"/>
      <c r="N33" s="8"/>
      <c r="O33" s="15"/>
      <c r="P33" s="8"/>
    </row>
    <row r="34" spans="1:16">
      <c r="A34" s="8"/>
      <c r="B34" s="8"/>
      <c r="C34" s="8"/>
      <c r="D34" s="9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9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9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9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9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9"/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9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9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6" t="s">
        <v>26</v>
      </c>
      <c r="B42" s="6"/>
      <c r="C42" s="8"/>
      <c r="D42" s="9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9"/>
      <c r="E43" s="9"/>
      <c r="F43" s="8"/>
      <c r="G43" s="8"/>
      <c r="H43" s="8"/>
      <c r="I43" s="8"/>
      <c r="J43" s="8"/>
      <c r="K43" s="8"/>
      <c r="L43" s="8"/>
      <c r="M43" s="8"/>
      <c r="N43" s="8"/>
      <c r="O43" s="15"/>
      <c r="P43" s="8"/>
    </row>
    <row r="44" spans="1:16">
      <c r="A44" s="8"/>
      <c r="B44" s="8"/>
      <c r="C44" s="8"/>
      <c r="D44" s="9"/>
      <c r="E44" s="9"/>
      <c r="F44" s="8"/>
      <c r="G44" s="8"/>
      <c r="H44" s="8"/>
      <c r="I44" s="8"/>
      <c r="J44" s="8"/>
      <c r="K44" s="8"/>
      <c r="L44" s="8"/>
      <c r="M44" s="8"/>
      <c r="N44" s="8"/>
      <c r="O44" s="15"/>
      <c r="P44" s="8"/>
    </row>
    <row r="45" spans="1:16">
      <c r="A45" s="8"/>
      <c r="B45" s="8"/>
      <c r="C45" s="8"/>
      <c r="D45" s="9"/>
      <c r="E45" s="9"/>
      <c r="F45" s="8"/>
      <c r="G45" s="8"/>
      <c r="H45" s="8"/>
      <c r="I45" s="8"/>
      <c r="J45" s="8"/>
      <c r="K45" s="8"/>
      <c r="L45" s="8"/>
      <c r="M45" s="8"/>
      <c r="N45" s="8"/>
      <c r="O45" s="15"/>
      <c r="P45" s="8"/>
    </row>
    <row r="46" spans="1:16">
      <c r="A46" s="8"/>
      <c r="B46" s="8"/>
      <c r="C46" s="8"/>
      <c r="D46" s="9"/>
      <c r="E46" s="9"/>
      <c r="F46" s="8"/>
      <c r="G46" s="8"/>
      <c r="H46" s="8"/>
      <c r="I46" s="8"/>
      <c r="J46" s="8"/>
      <c r="K46" s="8"/>
      <c r="L46" s="8"/>
      <c r="M46" s="8"/>
      <c r="N46" s="8"/>
      <c r="O46" s="15"/>
      <c r="P46" s="8"/>
    </row>
    <row r="47" spans="1:16">
      <c r="A47" s="8"/>
      <c r="B47" s="8"/>
      <c r="C47" s="8"/>
      <c r="D47" s="9"/>
      <c r="E47" s="9"/>
      <c r="F47" s="8"/>
      <c r="G47" s="8"/>
      <c r="H47" s="8"/>
      <c r="I47" s="8"/>
      <c r="J47" s="8"/>
      <c r="K47" s="8"/>
      <c r="L47" s="8"/>
      <c r="M47" s="8"/>
      <c r="N47" s="8"/>
      <c r="O47" s="15"/>
      <c r="P47" s="8"/>
    </row>
    <row r="48" spans="1:16">
      <c r="A48" s="8"/>
      <c r="B48" s="8"/>
      <c r="C48" s="8"/>
      <c r="D48" s="9"/>
      <c r="E48" s="9"/>
      <c r="F48" s="8"/>
      <c r="G48" s="8"/>
      <c r="H48" s="8"/>
      <c r="I48" s="8"/>
      <c r="J48" s="8"/>
      <c r="K48" s="8"/>
      <c r="L48" s="8"/>
      <c r="M48" s="8"/>
      <c r="N48" s="8"/>
      <c r="O48" s="15"/>
      <c r="P48" s="8"/>
    </row>
    <row r="49" spans="1:16">
      <c r="A49" s="8"/>
      <c r="B49" s="8"/>
      <c r="C49" s="8"/>
      <c r="D49" s="9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9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9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9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6" t="s">
        <v>27</v>
      </c>
      <c r="B53" s="6"/>
      <c r="C53" s="8"/>
      <c r="D53" s="9"/>
      <c r="E53" s="9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5.6">
      <c r="A54" s="8">
        <v>1</v>
      </c>
      <c r="B54" s="11" t="s">
        <v>28</v>
      </c>
      <c r="C54" s="8">
        <v>1</v>
      </c>
      <c r="D54" s="9">
        <v>23000</v>
      </c>
      <c r="E54" s="9">
        <v>23000</v>
      </c>
      <c r="F54" s="8" t="s">
        <v>20</v>
      </c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9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9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9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9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9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9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9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6" t="s">
        <v>29</v>
      </c>
      <c r="B63" s="6"/>
      <c r="C63" s="8"/>
      <c r="D63" s="9"/>
      <c r="E63" s="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9"/>
      <c r="E64" s="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9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9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6" t="s">
        <v>30</v>
      </c>
      <c r="B67" s="6"/>
      <c r="C67" s="8"/>
      <c r="D67" s="9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>
        <v>1</v>
      </c>
      <c r="B68" s="8" t="s">
        <v>31</v>
      </c>
      <c r="C68" s="8">
        <v>1</v>
      </c>
      <c r="D68" s="9">
        <v>19000</v>
      </c>
      <c r="E68" s="9">
        <v>19000</v>
      </c>
      <c r="F68" s="8" t="s">
        <v>20</v>
      </c>
      <c r="G68" s="8"/>
      <c r="H68" s="8"/>
      <c r="I68" s="8"/>
      <c r="J68" s="8"/>
      <c r="K68" s="8"/>
      <c r="L68" s="8"/>
      <c r="M68" s="8"/>
      <c r="N68" s="8"/>
      <c r="O68" s="15"/>
      <c r="P68" s="8"/>
    </row>
    <row r="69" spans="1:16" ht="15.6">
      <c r="A69" s="8">
        <v>2</v>
      </c>
      <c r="B69" s="16" t="s">
        <v>32</v>
      </c>
      <c r="C69" s="8">
        <v>4</v>
      </c>
      <c r="D69" s="9">
        <v>2800</v>
      </c>
      <c r="E69" s="9">
        <f>SUM(C69*D69)</f>
        <v>11200</v>
      </c>
      <c r="F69" s="8" t="s">
        <v>20</v>
      </c>
      <c r="G69" s="8"/>
      <c r="H69" s="8"/>
      <c r="I69" s="8"/>
      <c r="J69" s="8"/>
      <c r="K69" s="8"/>
      <c r="L69" s="8"/>
      <c r="M69" s="8"/>
      <c r="N69" s="8"/>
      <c r="O69" s="15"/>
      <c r="P69" s="8"/>
    </row>
    <row r="70" spans="1:16">
      <c r="A70" s="8">
        <v>3</v>
      </c>
      <c r="B70" s="8" t="s">
        <v>33</v>
      </c>
      <c r="C70" s="8">
        <v>3</v>
      </c>
      <c r="D70" s="9">
        <v>30000</v>
      </c>
      <c r="E70" s="9">
        <f>SUM(C70*D70)</f>
        <v>90000</v>
      </c>
      <c r="F70" s="8" t="s">
        <v>20</v>
      </c>
      <c r="G70" s="8"/>
      <c r="H70" s="8"/>
      <c r="I70" s="8"/>
      <c r="J70" s="8"/>
      <c r="K70" s="8"/>
      <c r="L70" s="8"/>
      <c r="M70" s="8"/>
      <c r="N70" s="8"/>
      <c r="O70" s="15"/>
      <c r="P70" s="8"/>
    </row>
    <row r="71" spans="1:16">
      <c r="A71" s="8"/>
      <c r="B71" s="8"/>
      <c r="C71" s="8"/>
      <c r="D71" s="9"/>
      <c r="E71" s="9"/>
      <c r="F71" s="8"/>
      <c r="G71" s="8"/>
      <c r="H71" s="8"/>
      <c r="I71" s="8"/>
      <c r="J71" s="8"/>
      <c r="K71" s="8"/>
      <c r="L71" s="8"/>
      <c r="M71" s="8"/>
      <c r="N71" s="8"/>
      <c r="O71" s="15"/>
      <c r="P71" s="8"/>
    </row>
    <row r="72" spans="1:16">
      <c r="A72" s="8"/>
      <c r="B72" s="8"/>
      <c r="C72" s="8"/>
      <c r="D72" s="9"/>
      <c r="E72" s="9"/>
      <c r="F72" s="8"/>
      <c r="G72" s="8"/>
      <c r="H72" s="8"/>
      <c r="I72" s="8"/>
      <c r="J72" s="8"/>
      <c r="K72" s="8"/>
      <c r="L72" s="8"/>
      <c r="M72" s="8"/>
      <c r="N72" s="8"/>
      <c r="O72" s="15"/>
      <c r="P72" s="8"/>
    </row>
    <row r="73" spans="1:16">
      <c r="A73" s="8"/>
      <c r="B73" s="8"/>
      <c r="C73" s="8"/>
      <c r="D73" s="9"/>
      <c r="E73" s="9"/>
      <c r="F73" s="8"/>
      <c r="G73" s="8"/>
      <c r="H73" s="8"/>
      <c r="I73" s="8"/>
      <c r="J73" s="8"/>
      <c r="K73" s="8"/>
      <c r="L73" s="8"/>
      <c r="M73" s="8"/>
      <c r="N73" s="8"/>
      <c r="O73" s="15"/>
      <c r="P73" s="8"/>
    </row>
    <row r="74" spans="1:16">
      <c r="A74" s="8"/>
      <c r="B74" s="8"/>
      <c r="C74" s="8"/>
      <c r="D74" s="9"/>
      <c r="E74" s="9"/>
      <c r="F74" s="8"/>
      <c r="G74" s="8"/>
      <c r="H74" s="8"/>
      <c r="I74" s="8"/>
      <c r="J74" s="8"/>
      <c r="K74" s="8"/>
      <c r="L74" s="8"/>
      <c r="M74" s="8"/>
      <c r="N74" s="8"/>
      <c r="O74" s="15"/>
      <c r="P74" s="8"/>
    </row>
    <row r="75" spans="1:16">
      <c r="A75" s="8"/>
      <c r="B75" s="8"/>
      <c r="C75" s="8"/>
      <c r="D75" s="9"/>
      <c r="E75" s="9"/>
      <c r="F75" s="8"/>
      <c r="G75" s="8"/>
      <c r="H75" s="8"/>
      <c r="I75" s="8"/>
      <c r="J75" s="8"/>
      <c r="K75" s="8"/>
      <c r="L75" s="8"/>
      <c r="M75" s="8"/>
      <c r="N75" s="8"/>
      <c r="O75" s="15"/>
      <c r="P75" s="8"/>
    </row>
    <row r="76" spans="1:16">
      <c r="A76" s="8"/>
      <c r="B76" s="8"/>
      <c r="C76" s="8"/>
      <c r="D76" s="9"/>
      <c r="E76" s="9"/>
      <c r="F76" s="8"/>
      <c r="G76" s="8"/>
      <c r="H76" s="8"/>
      <c r="I76" s="8"/>
      <c r="J76" s="8"/>
      <c r="K76" s="8"/>
      <c r="L76" s="8"/>
      <c r="M76" s="8"/>
      <c r="N76" s="8"/>
      <c r="O76" s="15"/>
      <c r="P76" s="8"/>
    </row>
    <row r="77" spans="1:16">
      <c r="A77" s="8"/>
      <c r="B77" s="8"/>
      <c r="C77" s="8"/>
      <c r="D77" s="9"/>
      <c r="E77" s="9"/>
      <c r="F77" s="8"/>
      <c r="G77" s="8"/>
      <c r="H77" s="8"/>
      <c r="I77" s="8"/>
      <c r="J77" s="8"/>
      <c r="K77" s="8"/>
      <c r="L77" s="8"/>
      <c r="M77" s="8"/>
      <c r="N77" s="8"/>
      <c r="O77" s="15"/>
      <c r="P77" s="8"/>
    </row>
    <row r="78" spans="1:16">
      <c r="A78" s="8"/>
      <c r="B78" s="8"/>
      <c r="C78" s="8"/>
      <c r="D78" s="9"/>
      <c r="E78" s="9"/>
      <c r="F78" s="8"/>
      <c r="G78" s="8"/>
      <c r="H78" s="8"/>
      <c r="I78" s="8"/>
      <c r="J78" s="8"/>
      <c r="K78" s="8"/>
      <c r="L78" s="8"/>
      <c r="M78" s="8"/>
      <c r="N78" s="8"/>
      <c r="O78" s="15"/>
      <c r="P78" s="8"/>
    </row>
    <row r="79" spans="1:16">
      <c r="A79" s="8"/>
      <c r="B79" s="8"/>
      <c r="C79" s="8"/>
      <c r="D79" s="9"/>
      <c r="E79" s="9"/>
      <c r="F79" s="8"/>
      <c r="G79" s="8"/>
      <c r="H79" s="8"/>
      <c r="I79" s="8"/>
      <c r="J79" s="8"/>
      <c r="K79" s="8"/>
      <c r="L79" s="8"/>
      <c r="M79" s="8"/>
      <c r="N79" s="8"/>
      <c r="O79" s="15"/>
      <c r="P79" s="8"/>
    </row>
    <row r="80" spans="1:16">
      <c r="A80" s="29" t="s">
        <v>34</v>
      </c>
      <c r="B80" s="30"/>
      <c r="C80" s="8"/>
      <c r="D80" s="9"/>
      <c r="E80" s="9"/>
      <c r="F80" s="8"/>
      <c r="G80" s="8"/>
      <c r="H80" s="8"/>
      <c r="I80" s="8"/>
      <c r="J80" s="8"/>
      <c r="K80" s="8"/>
      <c r="L80" s="8"/>
      <c r="M80" s="8"/>
      <c r="N80" s="8"/>
      <c r="O80" s="15"/>
      <c r="P80" s="8"/>
    </row>
    <row r="81" spans="1:16">
      <c r="A81" s="8"/>
      <c r="B81" s="8"/>
      <c r="C81" s="8"/>
      <c r="D81" s="9"/>
      <c r="E81" s="9"/>
      <c r="F81" s="8"/>
      <c r="G81" s="8"/>
      <c r="H81" s="8"/>
      <c r="I81" s="8"/>
      <c r="J81" s="8"/>
      <c r="K81" s="8"/>
      <c r="L81" s="8"/>
      <c r="M81" s="8"/>
      <c r="N81" s="8"/>
      <c r="O81" s="15"/>
      <c r="P81" s="8"/>
    </row>
    <row r="82" spans="1:16">
      <c r="A82" s="8"/>
      <c r="B82" s="8"/>
      <c r="C82" s="8"/>
      <c r="D82" s="9"/>
      <c r="E82" s="9"/>
      <c r="F82" s="8"/>
      <c r="G82" s="8"/>
      <c r="H82" s="8"/>
      <c r="I82" s="8"/>
      <c r="J82" s="8"/>
      <c r="K82" s="8"/>
      <c r="L82" s="8"/>
      <c r="M82" s="8"/>
      <c r="N82" s="8"/>
      <c r="O82" s="15"/>
      <c r="P82" s="8"/>
    </row>
    <row r="83" spans="1:16">
      <c r="A83" s="8"/>
      <c r="B83" s="8"/>
      <c r="C83" s="8"/>
      <c r="D83" s="9"/>
      <c r="E83" s="9"/>
      <c r="F83" s="8"/>
      <c r="G83" s="8"/>
      <c r="H83" s="8"/>
      <c r="I83" s="8"/>
      <c r="J83" s="8"/>
      <c r="K83" s="8"/>
      <c r="L83" s="8"/>
      <c r="M83" s="8"/>
      <c r="N83" s="8"/>
      <c r="O83" s="15"/>
      <c r="P83" s="8"/>
    </row>
    <row r="84" spans="1:16">
      <c r="A84" s="8"/>
      <c r="B84" s="8"/>
      <c r="C84" s="8"/>
      <c r="D84" s="9"/>
      <c r="E84" s="9"/>
      <c r="F84" s="8"/>
      <c r="G84" s="8"/>
      <c r="H84" s="8"/>
      <c r="I84" s="8"/>
      <c r="J84" s="8"/>
      <c r="K84" s="8"/>
      <c r="L84" s="8"/>
      <c r="M84" s="8"/>
      <c r="N84" s="8"/>
      <c r="O84" s="15"/>
      <c r="P84" s="8"/>
    </row>
    <row r="85" spans="1:16">
      <c r="A85" s="8"/>
      <c r="B85" s="8"/>
      <c r="C85" s="8"/>
      <c r="D85" s="9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>
      <c r="A86" s="8"/>
      <c r="B86" s="8"/>
      <c r="C86" s="8"/>
      <c r="D86" s="9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>
      <c r="A87" s="8"/>
      <c r="B87" s="8"/>
      <c r="C87" s="8"/>
      <c r="D87" s="9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>
      <c r="A88" s="8"/>
      <c r="B88" s="8"/>
      <c r="C88" s="8"/>
      <c r="D88" s="9"/>
      <c r="E88" s="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>
      <c r="A89" s="8"/>
      <c r="B89" s="8"/>
      <c r="C89" s="8"/>
      <c r="D89" s="9"/>
      <c r="E89" s="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>
      <c r="A90" s="6" t="s">
        <v>35</v>
      </c>
      <c r="B90" s="6"/>
      <c r="C90" s="8"/>
      <c r="D90" s="9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ht="15.6">
      <c r="A91" s="8">
        <v>1</v>
      </c>
      <c r="B91" s="11" t="s">
        <v>36</v>
      </c>
      <c r="C91" s="8">
        <v>10</v>
      </c>
      <c r="D91" s="9">
        <v>3500</v>
      </c>
      <c r="E91" s="9">
        <f>C91*D91</f>
        <v>35000</v>
      </c>
      <c r="F91" s="8" t="s">
        <v>20</v>
      </c>
      <c r="G91" s="8"/>
      <c r="H91" s="8"/>
      <c r="I91" s="8"/>
      <c r="J91" s="8"/>
      <c r="K91" s="8"/>
      <c r="L91" s="8"/>
      <c r="M91" s="8"/>
      <c r="N91" s="8"/>
      <c r="O91" s="15"/>
      <c r="P91" s="8"/>
    </row>
    <row r="92" spans="1:16">
      <c r="A92" s="8"/>
      <c r="B92" s="8"/>
      <c r="C92" s="8"/>
      <c r="D92" s="9"/>
      <c r="E92" s="9"/>
      <c r="F92" s="8"/>
      <c r="G92" s="8"/>
      <c r="H92" s="8"/>
      <c r="I92" s="8"/>
      <c r="J92" s="8"/>
      <c r="K92" s="8"/>
      <c r="L92" s="8"/>
      <c r="M92" s="8"/>
      <c r="N92" s="8"/>
      <c r="O92" s="15"/>
      <c r="P92" s="8"/>
    </row>
    <row r="93" spans="1:16">
      <c r="A93" s="8"/>
      <c r="B93" s="8"/>
      <c r="C93" s="8"/>
      <c r="D93" s="9"/>
      <c r="E93" s="9"/>
      <c r="F93" s="8"/>
      <c r="G93" s="8"/>
      <c r="H93" s="8"/>
      <c r="I93" s="8"/>
      <c r="J93" s="8"/>
      <c r="K93" s="8"/>
      <c r="L93" s="8"/>
      <c r="M93" s="8"/>
      <c r="N93" s="8"/>
      <c r="O93" s="15"/>
      <c r="P93" s="8"/>
    </row>
    <row r="94" spans="1:16">
      <c r="A94" s="8"/>
      <c r="B94" s="8"/>
      <c r="C94" s="8"/>
      <c r="D94" s="9"/>
      <c r="E94" s="9"/>
      <c r="F94" s="8"/>
      <c r="G94" s="8"/>
      <c r="H94" s="8"/>
      <c r="I94" s="8"/>
      <c r="J94" s="8"/>
      <c r="K94" s="8"/>
      <c r="L94" s="8"/>
      <c r="M94" s="8"/>
      <c r="N94" s="8"/>
      <c r="O94" s="15"/>
      <c r="P94" s="8"/>
    </row>
    <row r="95" spans="1:16">
      <c r="A95" s="8"/>
      <c r="B95" s="8"/>
      <c r="C95" s="8"/>
      <c r="D95" s="9"/>
      <c r="E95" s="9"/>
      <c r="F95" s="8"/>
      <c r="G95" s="8"/>
      <c r="H95" s="8"/>
      <c r="I95" s="8"/>
      <c r="J95" s="8"/>
      <c r="K95" s="8"/>
      <c r="L95" s="8"/>
      <c r="M95" s="8"/>
      <c r="N95" s="8"/>
      <c r="O95" s="15"/>
      <c r="P95" s="8"/>
    </row>
    <row r="96" spans="1:16">
      <c r="A96" s="8"/>
      <c r="B96" s="8"/>
      <c r="C96" s="8"/>
      <c r="D96" s="9"/>
      <c r="E96" s="9"/>
      <c r="F96" s="8"/>
      <c r="G96" s="8"/>
      <c r="H96" s="8"/>
      <c r="I96" s="8"/>
      <c r="J96" s="8"/>
      <c r="K96" s="8"/>
      <c r="L96" s="8"/>
      <c r="M96" s="8"/>
      <c r="N96" s="8"/>
      <c r="O96" s="15"/>
      <c r="P96" s="8"/>
    </row>
    <row r="97" spans="1:16">
      <c r="A97" s="8"/>
      <c r="B97" s="8"/>
      <c r="C97" s="8"/>
      <c r="D97" s="9"/>
      <c r="E97" s="9"/>
      <c r="F97" s="8"/>
      <c r="G97" s="8"/>
      <c r="H97" s="8"/>
      <c r="I97" s="8"/>
      <c r="J97" s="8"/>
      <c r="K97" s="8"/>
      <c r="L97" s="8"/>
      <c r="M97" s="8"/>
      <c r="N97" s="8"/>
      <c r="O97" s="15"/>
      <c r="P97" s="8"/>
    </row>
    <row r="98" spans="1:16">
      <c r="A98" s="8"/>
      <c r="B98" s="8"/>
      <c r="C98" s="8"/>
      <c r="D98" s="9"/>
      <c r="E98" s="9"/>
      <c r="F98" s="8"/>
      <c r="G98" s="8"/>
      <c r="H98" s="8"/>
      <c r="I98" s="8"/>
      <c r="J98" s="8"/>
      <c r="K98" s="8"/>
      <c r="L98" s="8"/>
      <c r="M98" s="8"/>
      <c r="N98" s="8"/>
      <c r="O98" s="15"/>
      <c r="P98" s="8"/>
    </row>
    <row r="99" spans="1:16">
      <c r="A99" s="8"/>
      <c r="B99" s="8"/>
      <c r="C99" s="8"/>
      <c r="D99" s="9"/>
      <c r="E99" s="9"/>
      <c r="F99" s="8"/>
      <c r="G99" s="8"/>
      <c r="H99" s="8"/>
      <c r="I99" s="8"/>
      <c r="J99" s="8"/>
      <c r="K99" s="8"/>
      <c r="L99" s="8"/>
      <c r="M99" s="8"/>
      <c r="N99" s="8"/>
      <c r="O99" s="15"/>
      <c r="P99" s="8"/>
    </row>
    <row r="100" spans="1:16">
      <c r="A100" s="8"/>
      <c r="B100" s="8"/>
      <c r="C100" s="8"/>
      <c r="D100" s="9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15"/>
      <c r="P100" s="8"/>
    </row>
    <row r="101" spans="1:16">
      <c r="A101" s="8"/>
      <c r="B101" s="8"/>
      <c r="C101" s="8"/>
      <c r="D101" s="9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15"/>
      <c r="P101" s="8"/>
    </row>
    <row r="102" spans="1:16">
      <c r="A102" s="8"/>
      <c r="B102" s="8"/>
      <c r="C102" s="8"/>
      <c r="D102" s="9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15"/>
      <c r="P102" s="8"/>
    </row>
    <row r="103" spans="1:16">
      <c r="A103" s="8"/>
      <c r="B103" s="8"/>
      <c r="C103" s="8"/>
      <c r="D103" s="9"/>
      <c r="E103" s="9"/>
      <c r="F103" s="8"/>
      <c r="G103" s="8"/>
      <c r="H103" s="8"/>
      <c r="I103" s="8"/>
      <c r="J103" s="8"/>
      <c r="K103" s="8"/>
      <c r="L103" s="8"/>
      <c r="M103" s="8"/>
      <c r="N103" s="8"/>
      <c r="O103" s="15"/>
      <c r="P103" s="8"/>
    </row>
    <row r="104" spans="1:16">
      <c r="A104" s="8"/>
      <c r="B104" s="8"/>
      <c r="C104" s="8"/>
      <c r="D104" s="9"/>
      <c r="E104" s="9"/>
      <c r="F104" s="8"/>
      <c r="G104" s="8"/>
      <c r="H104" s="8"/>
      <c r="I104" s="8"/>
      <c r="J104" s="8"/>
      <c r="K104" s="8"/>
      <c r="L104" s="8"/>
      <c r="M104" s="8"/>
      <c r="N104" s="8"/>
      <c r="O104" s="15"/>
      <c r="P104" s="8"/>
    </row>
    <row r="105" spans="1:16">
      <c r="A105" s="8"/>
      <c r="B105" s="8"/>
      <c r="C105" s="8"/>
      <c r="D105" s="9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15"/>
      <c r="P105" s="8"/>
    </row>
    <row r="106" spans="1:16">
      <c r="A106" s="8"/>
      <c r="B106" s="8"/>
      <c r="C106" s="8"/>
      <c r="D106" s="9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15"/>
      <c r="P106" s="8"/>
    </row>
    <row r="107" spans="1:16">
      <c r="A107" s="8"/>
      <c r="B107" s="8"/>
      <c r="C107" s="8"/>
      <c r="D107" s="9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15"/>
      <c r="P107" s="8"/>
    </row>
    <row r="108" spans="1:16">
      <c r="A108" s="8"/>
      <c r="B108" s="8"/>
      <c r="C108" s="8"/>
      <c r="D108" s="9"/>
      <c r="E108" s="9"/>
      <c r="F108" s="8"/>
      <c r="G108" s="8"/>
      <c r="H108" s="8"/>
      <c r="I108" s="8"/>
      <c r="J108" s="8"/>
      <c r="K108" s="8"/>
      <c r="L108" s="8"/>
      <c r="M108" s="8"/>
      <c r="N108" s="8"/>
      <c r="O108" s="15"/>
      <c r="P108" s="8"/>
    </row>
    <row r="109" spans="1:16">
      <c r="A109" s="8"/>
      <c r="B109" s="8"/>
      <c r="C109" s="8"/>
      <c r="D109" s="9"/>
      <c r="E109" s="9"/>
      <c r="F109" s="8"/>
      <c r="G109" s="8"/>
      <c r="H109" s="8"/>
      <c r="I109" s="8"/>
      <c r="J109" s="8"/>
      <c r="K109" s="8"/>
      <c r="L109" s="8"/>
      <c r="M109" s="8"/>
      <c r="N109" s="8"/>
      <c r="O109" s="15"/>
      <c r="P109" s="8"/>
    </row>
    <row r="110" spans="1:16">
      <c r="A110" s="8"/>
      <c r="B110" s="8"/>
      <c r="C110" s="8"/>
      <c r="D110" s="9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15"/>
      <c r="P110" s="8"/>
    </row>
    <row r="111" spans="1:16">
      <c r="A111" s="8"/>
      <c r="B111" s="8"/>
      <c r="C111" s="8"/>
      <c r="D111" s="9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15"/>
      <c r="P111" s="8"/>
    </row>
    <row r="112" spans="1:16">
      <c r="A112" s="8"/>
      <c r="B112" s="8"/>
      <c r="C112" s="8"/>
      <c r="D112" s="9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15"/>
      <c r="P112" s="8"/>
    </row>
    <row r="113" spans="1:16">
      <c r="A113" s="8"/>
      <c r="B113" s="8"/>
      <c r="C113" s="8"/>
      <c r="D113" s="9"/>
      <c r="E113" s="9"/>
      <c r="F113" s="8"/>
      <c r="G113" s="8"/>
      <c r="H113" s="8"/>
      <c r="I113" s="8"/>
      <c r="J113" s="8"/>
      <c r="K113" s="8"/>
      <c r="L113" s="8"/>
      <c r="M113" s="8"/>
      <c r="N113" s="8"/>
      <c r="O113" s="15"/>
      <c r="P113" s="8"/>
    </row>
    <row r="114" spans="1:16">
      <c r="A114" s="8"/>
      <c r="B114" s="8"/>
      <c r="C114" s="8"/>
      <c r="D114" s="9"/>
      <c r="E114" s="9"/>
      <c r="F114" s="8"/>
      <c r="G114" s="8"/>
      <c r="H114" s="8"/>
      <c r="I114" s="8"/>
      <c r="J114" s="8"/>
      <c r="K114" s="8"/>
      <c r="L114" s="8"/>
      <c r="M114" s="8"/>
      <c r="N114" s="8"/>
      <c r="O114" s="15"/>
      <c r="P114" s="8"/>
    </row>
    <row r="115" spans="1:16">
      <c r="A115" s="8"/>
      <c r="B115" s="8"/>
      <c r="C115" s="8"/>
      <c r="D115" s="9"/>
      <c r="E115" s="9"/>
      <c r="F115" s="8"/>
      <c r="G115" s="8"/>
      <c r="H115" s="8"/>
      <c r="I115" s="8"/>
      <c r="J115" s="15"/>
      <c r="K115" s="8"/>
      <c r="L115" s="8"/>
      <c r="M115" s="8"/>
      <c r="N115" s="8"/>
      <c r="O115" s="15"/>
      <c r="P115" s="8"/>
    </row>
    <row r="116" spans="1:16">
      <c r="A116" s="8"/>
      <c r="B116" s="8"/>
      <c r="C116" s="8"/>
      <c r="D116" s="9"/>
      <c r="E116" s="9"/>
      <c r="F116" s="8"/>
      <c r="G116" s="8"/>
      <c r="H116" s="8"/>
      <c r="I116" s="8"/>
      <c r="J116" s="15"/>
      <c r="K116" s="8"/>
      <c r="L116" s="8"/>
      <c r="M116" s="8"/>
      <c r="N116" s="8"/>
      <c r="O116" s="15"/>
      <c r="P116" s="8"/>
    </row>
    <row r="117" spans="1:16">
      <c r="A117" s="8"/>
      <c r="B117" s="8"/>
      <c r="C117" s="8"/>
      <c r="D117" s="9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15"/>
      <c r="P117" s="8"/>
    </row>
    <row r="118" spans="1:16">
      <c r="A118" s="8"/>
      <c r="B118" s="8"/>
      <c r="C118" s="8"/>
      <c r="D118" s="9"/>
      <c r="E118" s="9"/>
      <c r="F118" s="8"/>
      <c r="G118" s="8"/>
      <c r="H118" s="8"/>
      <c r="I118" s="8"/>
      <c r="J118" s="8"/>
      <c r="K118" s="8"/>
      <c r="L118" s="8"/>
      <c r="M118" s="8"/>
      <c r="N118" s="8"/>
      <c r="O118" s="15"/>
      <c r="P118" s="8"/>
    </row>
    <row r="119" spans="1:16">
      <c r="A119" s="8"/>
      <c r="B119" s="8"/>
      <c r="C119" s="8"/>
      <c r="D119" s="9"/>
      <c r="E119" s="9"/>
      <c r="F119" s="8"/>
      <c r="G119" s="8"/>
      <c r="H119" s="8"/>
      <c r="I119" s="8"/>
      <c r="J119" s="8"/>
      <c r="K119" s="8"/>
      <c r="L119" s="8"/>
      <c r="M119" s="8"/>
      <c r="N119" s="8"/>
      <c r="O119" s="15"/>
      <c r="P119" s="8"/>
    </row>
    <row r="120" spans="1:16" s="1" customFormat="1">
      <c r="A120" s="6" t="s">
        <v>37</v>
      </c>
      <c r="B120" s="6"/>
      <c r="C120" s="6"/>
      <c r="D120" s="17"/>
      <c r="E120" s="17"/>
      <c r="F120" s="6"/>
      <c r="G120" s="6"/>
      <c r="H120" s="6"/>
      <c r="I120" s="6"/>
      <c r="J120" s="6"/>
      <c r="K120" s="6"/>
      <c r="L120" s="6"/>
      <c r="M120" s="6"/>
      <c r="N120" s="6"/>
      <c r="O120" s="15"/>
      <c r="P120" s="6"/>
    </row>
    <row r="121" spans="1:16">
      <c r="A121" s="8"/>
      <c r="B121" s="8" t="s">
        <v>95</v>
      </c>
      <c r="C121" s="8">
        <v>1</v>
      </c>
      <c r="D121" s="9">
        <v>150000</v>
      </c>
      <c r="E121" s="9">
        <f>C121*D121</f>
        <v>150000</v>
      </c>
      <c r="F121" s="8" t="s">
        <v>20</v>
      </c>
      <c r="G121" s="8"/>
      <c r="H121" s="8"/>
      <c r="I121" s="8"/>
      <c r="J121" s="8"/>
      <c r="K121" s="8"/>
      <c r="L121" s="15"/>
      <c r="M121" s="8"/>
      <c r="N121" s="8"/>
      <c r="O121" s="15"/>
      <c r="P121" s="8"/>
    </row>
    <row r="122" spans="1:16">
      <c r="A122" s="8"/>
      <c r="B122" s="8" t="s">
        <v>96</v>
      </c>
      <c r="C122" s="8">
        <v>1</v>
      </c>
      <c r="D122" s="9">
        <v>80000</v>
      </c>
      <c r="E122" s="9">
        <f t="shared" ref="E122:E123" si="0">C122*D122</f>
        <v>80000</v>
      </c>
      <c r="F122" s="8" t="s">
        <v>20</v>
      </c>
      <c r="G122" s="8"/>
      <c r="H122" s="8"/>
      <c r="I122" s="8"/>
      <c r="J122" s="8"/>
      <c r="K122" s="8"/>
      <c r="L122" s="15"/>
      <c r="M122" s="8"/>
      <c r="N122" s="8"/>
      <c r="O122" s="15"/>
      <c r="P122" s="8"/>
    </row>
    <row r="123" spans="1:16">
      <c r="A123" s="8"/>
      <c r="B123" s="8" t="s">
        <v>97</v>
      </c>
      <c r="C123" s="8">
        <v>1</v>
      </c>
      <c r="D123" s="9">
        <v>70000</v>
      </c>
      <c r="E123" s="9">
        <f t="shared" si="0"/>
        <v>70000</v>
      </c>
      <c r="F123" s="8" t="s">
        <v>20</v>
      </c>
      <c r="G123" s="8"/>
      <c r="H123" s="8"/>
      <c r="I123" s="8"/>
      <c r="J123" s="8"/>
      <c r="K123" s="8"/>
      <c r="L123" s="8"/>
      <c r="M123" s="8"/>
      <c r="N123" s="8"/>
      <c r="O123" s="15"/>
      <c r="P123" s="8"/>
    </row>
    <row r="124" spans="1:16">
      <c r="A124" s="8"/>
      <c r="B124" s="8"/>
      <c r="C124" s="8"/>
      <c r="D124" s="9"/>
      <c r="E124" s="9"/>
      <c r="F124" s="8"/>
      <c r="G124" s="8"/>
      <c r="H124" s="8"/>
      <c r="I124" s="8"/>
      <c r="J124" s="8"/>
      <c r="K124" s="8"/>
      <c r="L124" s="8"/>
      <c r="M124" s="8"/>
      <c r="N124" s="8"/>
      <c r="O124" s="15"/>
      <c r="P124" s="8"/>
    </row>
    <row r="125" spans="1:16">
      <c r="A125" s="8"/>
      <c r="B125" s="8"/>
      <c r="C125" s="8"/>
      <c r="D125" s="9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s="1" customFormat="1">
      <c r="A126" s="6" t="s">
        <v>38</v>
      </c>
      <c r="B126" s="6"/>
      <c r="C126" s="6"/>
      <c r="D126" s="17"/>
      <c r="E126" s="1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6"/>
      <c r="B127" s="6"/>
      <c r="C127" s="6"/>
      <c r="D127" s="9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>
      <c r="A128" s="6" t="s">
        <v>39</v>
      </c>
      <c r="B128" s="6"/>
      <c r="C128" s="6"/>
      <c r="D128" s="9"/>
      <c r="E128" s="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>
      <c r="A129" s="8">
        <v>1</v>
      </c>
      <c r="B129" s="8" t="s">
        <v>40</v>
      </c>
      <c r="C129" s="8">
        <v>10</v>
      </c>
      <c r="D129" s="9">
        <v>1000</v>
      </c>
      <c r="E129" s="9">
        <f>SUM(C129*D129)</f>
        <v>10000</v>
      </c>
      <c r="F129" s="8" t="s">
        <v>20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>
      <c r="A130" s="8">
        <v>2</v>
      </c>
      <c r="B130" s="8"/>
      <c r="C130" s="8"/>
      <c r="D130" s="9"/>
      <c r="E130" s="9">
        <f t="shared" ref="E130:E132" si="1">SUM(C130*D130)</f>
        <v>0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>
      <c r="A131" s="6" t="s">
        <v>41</v>
      </c>
      <c r="B131" s="6"/>
      <c r="C131" s="8"/>
      <c r="D131" s="9"/>
      <c r="E131" s="9">
        <f t="shared" si="1"/>
        <v>0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ht="15.6">
      <c r="A132" s="8">
        <v>2</v>
      </c>
      <c r="B132" s="19" t="s">
        <v>42</v>
      </c>
      <c r="C132" s="8">
        <v>4</v>
      </c>
      <c r="D132" s="9">
        <v>5000</v>
      </c>
      <c r="E132" s="9">
        <f t="shared" si="1"/>
        <v>20000</v>
      </c>
      <c r="F132" s="8" t="s">
        <v>20</v>
      </c>
      <c r="G132" s="8"/>
      <c r="H132" s="8"/>
      <c r="I132" s="8"/>
      <c r="J132" s="8"/>
      <c r="K132" s="8"/>
      <c r="L132" s="8"/>
      <c r="M132" s="8"/>
      <c r="N132" s="8"/>
      <c r="O132" s="15"/>
      <c r="P132" s="8"/>
    </row>
    <row r="133" spans="1:16">
      <c r="A133" s="8"/>
      <c r="B133" s="8"/>
      <c r="C133" s="8"/>
      <c r="D133" s="9"/>
      <c r="E133" s="9"/>
      <c r="F133" s="8"/>
      <c r="G133" s="8"/>
      <c r="H133" s="8"/>
      <c r="I133" s="8"/>
      <c r="J133" s="8"/>
      <c r="K133" s="8"/>
      <c r="L133" s="8"/>
      <c r="M133" s="8"/>
      <c r="N133" s="8"/>
      <c r="O133" s="15"/>
      <c r="P133" s="8"/>
    </row>
    <row r="134" spans="1:16">
      <c r="A134" s="8"/>
      <c r="B134" s="8"/>
      <c r="C134" s="8"/>
      <c r="D134" s="9"/>
      <c r="E134" s="9"/>
      <c r="F134" s="8"/>
      <c r="G134" s="8"/>
      <c r="H134" s="8"/>
      <c r="I134" s="8"/>
      <c r="J134" s="8"/>
      <c r="K134" s="8"/>
      <c r="L134" s="8"/>
      <c r="M134" s="8"/>
      <c r="N134" s="8"/>
      <c r="O134" s="15"/>
      <c r="P134" s="8"/>
    </row>
    <row r="135" spans="1:16">
      <c r="A135" s="8"/>
      <c r="B135" s="8"/>
      <c r="C135" s="8"/>
      <c r="D135" s="9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>
      <c r="A136" s="6" t="s">
        <v>43</v>
      </c>
      <c r="B136" s="6"/>
      <c r="C136" s="8"/>
      <c r="D136" s="9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ht="27.6">
      <c r="A137" s="8">
        <v>1</v>
      </c>
      <c r="B137" s="10" t="s">
        <v>44</v>
      </c>
      <c r="C137" s="8">
        <v>15</v>
      </c>
      <c r="D137" s="9">
        <v>2500</v>
      </c>
      <c r="E137" s="9">
        <f>SUM(C137*D137)</f>
        <v>37500</v>
      </c>
      <c r="F137" s="8" t="s">
        <v>20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ht="27.6">
      <c r="A138" s="8">
        <v>2</v>
      </c>
      <c r="B138" s="10" t="s">
        <v>45</v>
      </c>
      <c r="C138" s="8">
        <v>3</v>
      </c>
      <c r="D138" s="9">
        <v>3800</v>
      </c>
      <c r="E138" s="9">
        <f>SUM(C138*D138)</f>
        <v>11400</v>
      </c>
      <c r="F138" s="8" t="s">
        <v>20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>
      <c r="A139" s="8">
        <v>3</v>
      </c>
      <c r="B139" s="8" t="s">
        <v>46</v>
      </c>
      <c r="C139" s="8">
        <v>5</v>
      </c>
      <c r="D139" s="9">
        <v>25000</v>
      </c>
      <c r="E139" s="9">
        <f>SUM(C139*D139)</f>
        <v>125000</v>
      </c>
      <c r="F139" s="8" t="s">
        <v>20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>
      <c r="A140" s="8"/>
      <c r="B140" s="8" t="s">
        <v>47</v>
      </c>
      <c r="C140" s="8">
        <v>5</v>
      </c>
      <c r="D140" s="9">
        <v>25000</v>
      </c>
      <c r="E140" s="9">
        <f>SUM(C140*D140)</f>
        <v>125000</v>
      </c>
      <c r="F140" s="8" t="s">
        <v>20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>
      <c r="A141" s="6"/>
      <c r="B141" s="6" t="s">
        <v>48</v>
      </c>
      <c r="C141" s="8">
        <v>5</v>
      </c>
      <c r="D141" s="9">
        <v>25000</v>
      </c>
      <c r="E141" s="9">
        <f>SUM(C141*D141)</f>
        <v>125000</v>
      </c>
      <c r="F141" s="8" t="s">
        <v>20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>
      <c r="A142" s="6"/>
      <c r="B142" s="6"/>
      <c r="C142" s="6"/>
      <c r="D142" s="9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>
      <c r="A143" s="6"/>
      <c r="B143" s="6"/>
      <c r="C143" s="6"/>
      <c r="D143" s="9"/>
      <c r="E143" s="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spans="1:16">
      <c r="A144" s="6"/>
      <c r="B144" s="6"/>
      <c r="C144" s="6"/>
      <c r="D144" s="9"/>
      <c r="E144" s="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spans="1:16">
      <c r="A145" s="6"/>
      <c r="B145" s="6"/>
      <c r="C145" s="6"/>
      <c r="D145" s="9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spans="1:16">
      <c r="A146" s="6" t="s">
        <v>49</v>
      </c>
      <c r="B146" s="6"/>
      <c r="C146" s="6"/>
      <c r="D146" s="9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1:16">
      <c r="A147" s="8">
        <v>1</v>
      </c>
      <c r="B147" s="8"/>
      <c r="C147" s="8"/>
      <c r="D147" s="9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1:16">
      <c r="A148" s="8">
        <v>2</v>
      </c>
      <c r="B148" s="8"/>
      <c r="C148" s="8"/>
      <c r="D148" s="9"/>
      <c r="E148" s="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spans="1:16">
      <c r="A149" s="8">
        <v>3</v>
      </c>
      <c r="B149" s="8"/>
      <c r="C149" s="8"/>
      <c r="D149" s="9"/>
      <c r="E149" s="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spans="1:16">
      <c r="A150" s="6" t="s">
        <v>50</v>
      </c>
      <c r="B150" s="6"/>
      <c r="C150" s="6"/>
      <c r="D150" s="9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spans="1:16" ht="31.2">
      <c r="A151" s="8">
        <v>1</v>
      </c>
      <c r="B151" s="18" t="s">
        <v>51</v>
      </c>
      <c r="C151" s="8">
        <v>4</v>
      </c>
      <c r="D151" s="9">
        <v>40000</v>
      </c>
      <c r="E151" s="9">
        <f>SUM(D151*C151)</f>
        <v>160000</v>
      </c>
      <c r="F151" s="8" t="s">
        <v>20</v>
      </c>
      <c r="G151" s="8"/>
      <c r="H151" s="8"/>
      <c r="I151" s="8"/>
      <c r="J151" s="8"/>
      <c r="K151" s="8"/>
      <c r="L151" s="8"/>
      <c r="M151" s="8"/>
      <c r="N151" s="8"/>
      <c r="O151" s="15"/>
      <c r="P151" s="8"/>
    </row>
    <row r="152" spans="1:16" ht="41.4">
      <c r="A152" s="8">
        <v>4</v>
      </c>
      <c r="B152" s="10" t="s">
        <v>52</v>
      </c>
      <c r="C152" s="8">
        <v>20</v>
      </c>
      <c r="D152" s="9">
        <v>3500</v>
      </c>
      <c r="E152" s="9">
        <f>SUM(C152*D152)</f>
        <v>70000</v>
      </c>
      <c r="F152" s="8" t="s">
        <v>20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spans="1:16" ht="31.2">
      <c r="A153" s="8">
        <v>5</v>
      </c>
      <c r="B153" s="18" t="s">
        <v>53</v>
      </c>
      <c r="C153" s="8">
        <v>5</v>
      </c>
      <c r="D153" s="9"/>
      <c r="E153" s="9"/>
      <c r="F153" s="8" t="s">
        <v>20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spans="1:16" ht="15.6">
      <c r="A154" s="8">
        <v>6</v>
      </c>
      <c r="B154" s="20" t="s">
        <v>54</v>
      </c>
      <c r="C154" s="8">
        <v>1</v>
      </c>
      <c r="D154" s="9"/>
      <c r="E154" s="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1:16" ht="15.6">
      <c r="A155" s="8">
        <v>7</v>
      </c>
      <c r="B155" s="19" t="s">
        <v>55</v>
      </c>
      <c r="C155" s="8">
        <v>120</v>
      </c>
      <c r="D155" s="9">
        <v>100</v>
      </c>
      <c r="E155" s="9">
        <f>SUM(C155*D155)</f>
        <v>12000</v>
      </c>
      <c r="F155" s="8" t="s">
        <v>20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1:16">
      <c r="A156" s="8">
        <v>4</v>
      </c>
      <c r="B156" s="8"/>
      <c r="C156" s="8"/>
      <c r="D156" s="9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spans="1:16">
      <c r="A157" s="6" t="s">
        <v>56</v>
      </c>
      <c r="B157" s="6"/>
      <c r="C157" s="8"/>
      <c r="D157" s="9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spans="1:16" ht="15.6">
      <c r="A158" s="8">
        <v>1</v>
      </c>
      <c r="B158" s="21" t="s">
        <v>57</v>
      </c>
      <c r="C158" s="8">
        <v>2</v>
      </c>
      <c r="D158" s="9"/>
      <c r="E158" s="9"/>
      <c r="F158" s="8" t="s">
        <v>20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spans="1:16" ht="31.2">
      <c r="A159" s="8">
        <v>2</v>
      </c>
      <c r="B159" s="18" t="s">
        <v>58</v>
      </c>
      <c r="C159" s="8">
        <v>30</v>
      </c>
      <c r="D159" s="9">
        <v>6000</v>
      </c>
      <c r="E159" s="9">
        <f>SUM(C159*D159)</f>
        <v>180000</v>
      </c>
      <c r="F159" s="8" t="s">
        <v>20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spans="1:16" ht="15.6">
      <c r="A160" s="6"/>
      <c r="B160" s="20"/>
      <c r="C160" s="6"/>
      <c r="D160" s="1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spans="1:16">
      <c r="A161" s="6"/>
      <c r="B161" s="6"/>
      <c r="C161" s="6"/>
      <c r="D161" s="1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spans="1:16">
      <c r="A162" s="6"/>
      <c r="B162" s="6"/>
      <c r="C162" s="6"/>
      <c r="D162" s="1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spans="1:16">
      <c r="A163" s="6"/>
      <c r="B163" s="6"/>
      <c r="C163" s="6"/>
      <c r="D163" s="1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spans="1:16">
      <c r="A164" s="6"/>
      <c r="B164" s="6"/>
      <c r="C164" s="6"/>
      <c r="D164" s="1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spans="1:16">
      <c r="A165" s="6"/>
      <c r="B165" s="6"/>
      <c r="C165" s="6"/>
      <c r="D165" s="1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1:16">
      <c r="A166" s="6" t="s">
        <v>59</v>
      </c>
      <c r="B166" s="6"/>
      <c r="C166" s="6"/>
      <c r="D166" s="1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1:16" ht="46.8">
      <c r="A167" s="8">
        <v>1</v>
      </c>
      <c r="B167" s="18" t="s">
        <v>60</v>
      </c>
      <c r="C167" s="8">
        <v>10</v>
      </c>
      <c r="D167" s="9">
        <v>600</v>
      </c>
      <c r="E167" s="9">
        <f>SUM(C167*D167)</f>
        <v>6000</v>
      </c>
      <c r="F167" s="8" t="s">
        <v>20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1:16" ht="15.6">
      <c r="A168" s="8">
        <v>2</v>
      </c>
      <c r="B168" s="18" t="s">
        <v>61</v>
      </c>
      <c r="C168" s="8"/>
      <c r="D168" s="9"/>
      <c r="E168" s="9"/>
      <c r="F168" s="8" t="s">
        <v>20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1:16" ht="31.2">
      <c r="A169" s="8">
        <v>3</v>
      </c>
      <c r="B169" s="18" t="s">
        <v>62</v>
      </c>
      <c r="C169" s="8"/>
      <c r="D169" s="9"/>
      <c r="E169" s="9"/>
      <c r="F169" s="8" t="s">
        <v>20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spans="1:16">
      <c r="A170" s="6"/>
      <c r="B170" s="6"/>
      <c r="C170" s="8"/>
      <c r="D170" s="9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1:16">
      <c r="A171" s="6"/>
      <c r="B171" s="6"/>
      <c r="C171" s="8"/>
      <c r="D171" s="9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1:16">
      <c r="A172" s="6"/>
      <c r="B172" s="6"/>
      <c r="C172" s="8"/>
      <c r="D172" s="9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1:16">
      <c r="A173" s="6"/>
      <c r="B173" s="6"/>
      <c r="C173" s="8"/>
      <c r="D173" s="9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1:16">
      <c r="A174" s="6" t="s">
        <v>63</v>
      </c>
      <c r="B174" s="6"/>
      <c r="C174" s="8"/>
      <c r="D174" s="9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1:16">
      <c r="A175" s="8">
        <v>1</v>
      </c>
      <c r="B175" s="8"/>
      <c r="C175" s="8"/>
      <c r="D175" s="9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1:16">
      <c r="A176" s="8">
        <v>2</v>
      </c>
      <c r="B176" s="8"/>
      <c r="C176" s="8"/>
      <c r="D176" s="9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1:16">
      <c r="A177" s="8">
        <v>3</v>
      </c>
      <c r="B177" s="8"/>
      <c r="C177" s="8"/>
      <c r="D177" s="9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spans="1:16">
      <c r="A178" s="6" t="s">
        <v>64</v>
      </c>
      <c r="B178" s="6"/>
      <c r="C178" s="8"/>
      <c r="D178" s="9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1:16">
      <c r="A179" s="8">
        <v>1</v>
      </c>
      <c r="B179" s="8"/>
      <c r="C179" s="8"/>
      <c r="D179" s="9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1:16">
      <c r="A180" s="8">
        <v>2</v>
      </c>
      <c r="B180" s="8"/>
      <c r="C180" s="8"/>
      <c r="D180" s="9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1:16">
      <c r="A181" s="8">
        <v>3</v>
      </c>
      <c r="B181" s="8"/>
      <c r="C181" s="8"/>
      <c r="D181" s="9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1:16">
      <c r="A182" s="6" t="s">
        <v>65</v>
      </c>
      <c r="B182" s="6"/>
      <c r="C182" s="8"/>
      <c r="D182" s="9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spans="1:16">
      <c r="A183" s="8">
        <v>2</v>
      </c>
      <c r="B183" s="8" t="s">
        <v>66</v>
      </c>
      <c r="C183" s="8">
        <v>15</v>
      </c>
      <c r="D183" s="9">
        <v>800</v>
      </c>
      <c r="E183" s="9">
        <f>SUM(C183*D183)</f>
        <v>12000</v>
      </c>
      <c r="F183" s="8" t="s">
        <v>20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spans="1:16" ht="31.2">
      <c r="A184" s="6">
        <v>3</v>
      </c>
      <c r="B184" s="22" t="s">
        <v>67</v>
      </c>
      <c r="C184" s="23">
        <v>5</v>
      </c>
      <c r="D184" s="9">
        <v>2800</v>
      </c>
      <c r="E184" s="9">
        <f>SUM(C184*D184)</f>
        <v>14000</v>
      </c>
      <c r="F184" s="8" t="s">
        <v>20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spans="1:16">
      <c r="A185" s="6"/>
      <c r="B185" s="6"/>
      <c r="C185" s="6"/>
      <c r="D185" s="9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spans="1:16">
      <c r="A186" s="6" t="s">
        <v>68</v>
      </c>
      <c r="B186" s="6"/>
      <c r="C186" s="6"/>
      <c r="D186" s="9"/>
      <c r="E186" s="9"/>
      <c r="F186" s="8" t="s">
        <v>20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spans="1:16" ht="15.6">
      <c r="A187" s="8">
        <v>1</v>
      </c>
      <c r="B187" s="19" t="s">
        <v>98</v>
      </c>
      <c r="C187" s="19">
        <v>3</v>
      </c>
      <c r="D187" s="9"/>
      <c r="E187" s="9"/>
      <c r="F187" s="8" t="s">
        <v>20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ht="15.6">
      <c r="A188" s="8">
        <v>2</v>
      </c>
      <c r="B188" s="20" t="s">
        <v>99</v>
      </c>
      <c r="C188" s="19">
        <v>3</v>
      </c>
      <c r="D188" s="9"/>
      <c r="E188" s="9"/>
      <c r="F188" s="8" t="s">
        <v>20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ht="15.6">
      <c r="A189" s="8">
        <v>3</v>
      </c>
      <c r="B189" s="20" t="s">
        <v>100</v>
      </c>
      <c r="C189" s="8">
        <v>3</v>
      </c>
      <c r="D189" s="9"/>
      <c r="E189" s="9"/>
      <c r="F189" s="8" t="s">
        <v>20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 ht="15.6">
      <c r="A190" s="8">
        <v>4</v>
      </c>
      <c r="B190" s="20" t="s">
        <v>101</v>
      </c>
      <c r="C190" s="19">
        <v>4</v>
      </c>
      <c r="D190" s="9"/>
      <c r="E190" s="9"/>
      <c r="F190" s="8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 ht="15.6">
      <c r="A191" s="8">
        <v>5</v>
      </c>
      <c r="B191" s="20" t="s">
        <v>102</v>
      </c>
      <c r="C191" s="19">
        <v>4</v>
      </c>
      <c r="D191" s="9"/>
      <c r="E191" s="9"/>
      <c r="F191" s="8" t="s">
        <v>20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 ht="15.6">
      <c r="A192" s="8">
        <v>6</v>
      </c>
      <c r="B192" s="20" t="s">
        <v>103</v>
      </c>
      <c r="C192" s="20">
        <v>2</v>
      </c>
      <c r="D192" s="9"/>
      <c r="E192" s="9"/>
      <c r="F192" s="8" t="s">
        <v>20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1:16" ht="15.6">
      <c r="A193" s="8">
        <v>7</v>
      </c>
      <c r="B193" s="20" t="s">
        <v>104</v>
      </c>
      <c r="C193" s="24">
        <v>5</v>
      </c>
      <c r="D193" s="9"/>
      <c r="E193" s="9"/>
      <c r="F193" s="8" t="s">
        <v>20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1:16" ht="15.6">
      <c r="A194" s="8">
        <v>8</v>
      </c>
      <c r="B194" s="20" t="s">
        <v>105</v>
      </c>
      <c r="C194" s="20">
        <v>1</v>
      </c>
      <c r="D194" s="9"/>
      <c r="E194" s="9"/>
      <c r="F194" s="8" t="s">
        <v>20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1:16" ht="15.6">
      <c r="A195" s="8">
        <v>9</v>
      </c>
      <c r="B195" s="20" t="s">
        <v>106</v>
      </c>
      <c r="C195" s="20">
        <v>1</v>
      </c>
      <c r="D195" s="9"/>
      <c r="E195" s="9"/>
      <c r="F195" s="8" t="s">
        <v>20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1:16">
      <c r="A196" s="6"/>
      <c r="B196" s="6"/>
      <c r="C196" s="8"/>
      <c r="D196" s="9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1:16">
      <c r="A197" s="6"/>
      <c r="B197" s="6"/>
      <c r="C197" s="8"/>
      <c r="D197" s="9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1:16">
      <c r="A198" s="6"/>
      <c r="B198" s="6"/>
      <c r="C198" s="8"/>
      <c r="D198" s="9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1:16">
      <c r="A199" s="6"/>
      <c r="B199" s="6"/>
      <c r="C199" s="8"/>
      <c r="D199" s="9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1:16">
      <c r="A200" s="6" t="s">
        <v>69</v>
      </c>
      <c r="B200" s="6"/>
      <c r="C200" s="8"/>
      <c r="D200" s="9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1:16" ht="15.6">
      <c r="A201" s="8">
        <v>1</v>
      </c>
      <c r="B201" s="19" t="s">
        <v>70</v>
      </c>
      <c r="C201" s="8">
        <v>1</v>
      </c>
      <c r="D201" s="9">
        <v>150000</v>
      </c>
      <c r="E201" s="9">
        <f>SUM(C201*D201)</f>
        <v>150000</v>
      </c>
      <c r="F201" s="8" t="s">
        <v>20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1:16" ht="31.2">
      <c r="A202" s="8">
        <v>5</v>
      </c>
      <c r="B202" s="19" t="s">
        <v>71</v>
      </c>
      <c r="C202" s="8">
        <v>1</v>
      </c>
      <c r="D202" s="17"/>
      <c r="E202" s="9"/>
      <c r="F202" s="8" t="s">
        <v>20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1:16" ht="15.6">
      <c r="A203" s="8">
        <v>6</v>
      </c>
      <c r="B203" s="20" t="s">
        <v>72</v>
      </c>
      <c r="C203" s="8">
        <v>1</v>
      </c>
      <c r="D203" s="17"/>
      <c r="E203" s="9"/>
      <c r="F203" s="8" t="s">
        <v>20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1:16">
      <c r="A204" s="6"/>
      <c r="B204" s="6"/>
      <c r="C204" s="6"/>
      <c r="D204" s="1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>
      <c r="A205" s="6"/>
      <c r="B205" s="6"/>
      <c r="C205" s="6"/>
      <c r="D205" s="1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>
      <c r="A206" s="6" t="s">
        <v>73</v>
      </c>
      <c r="B206" s="6"/>
      <c r="C206" s="6"/>
      <c r="D206" s="1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 ht="15.6">
      <c r="A207" s="8">
        <v>1</v>
      </c>
      <c r="B207" s="19" t="s">
        <v>74</v>
      </c>
      <c r="C207" s="8">
        <v>1</v>
      </c>
      <c r="D207" s="9"/>
      <c r="E207" s="9"/>
      <c r="F207" s="8" t="s">
        <v>20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 ht="15.6">
      <c r="A208" s="8">
        <v>3</v>
      </c>
      <c r="B208" s="20" t="s">
        <v>75</v>
      </c>
      <c r="C208" s="8">
        <v>2</v>
      </c>
      <c r="D208" s="9"/>
      <c r="E208" s="9"/>
      <c r="F208" s="8" t="s">
        <v>20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ht="15.6">
      <c r="A209" s="8">
        <v>4</v>
      </c>
      <c r="B209" s="20" t="s">
        <v>76</v>
      </c>
      <c r="C209" s="8">
        <v>1</v>
      </c>
      <c r="D209" s="9"/>
      <c r="E209" s="9"/>
      <c r="F209" s="8" t="s">
        <v>20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ht="15.6">
      <c r="A210" s="8">
        <v>5</v>
      </c>
      <c r="B210" s="20" t="s">
        <v>77</v>
      </c>
      <c r="C210" s="8">
        <v>1</v>
      </c>
      <c r="D210" s="9"/>
      <c r="E210" s="9"/>
      <c r="F210" s="8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ht="15.6">
      <c r="A211" s="8">
        <v>6</v>
      </c>
      <c r="B211" s="19" t="s">
        <v>78</v>
      </c>
      <c r="C211" s="6"/>
      <c r="D211" s="9"/>
      <c r="E211" s="9"/>
      <c r="F211" s="8" t="s">
        <v>20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ht="15.6">
      <c r="A212" s="8">
        <v>7</v>
      </c>
      <c r="B212" s="20" t="s">
        <v>79</v>
      </c>
      <c r="C212" s="8">
        <v>10</v>
      </c>
      <c r="D212" s="9"/>
      <c r="E212" s="9"/>
      <c r="F212" s="8" t="s">
        <v>20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>
      <c r="A213" s="8">
        <v>8</v>
      </c>
      <c r="B213" s="8" t="s">
        <v>80</v>
      </c>
      <c r="C213" s="6">
        <v>1</v>
      </c>
      <c r="D213" s="9"/>
      <c r="E213" s="9"/>
      <c r="F213" s="8" t="s">
        <v>20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>
      <c r="A214" s="8">
        <v>9</v>
      </c>
      <c r="B214" s="8" t="s">
        <v>81</v>
      </c>
      <c r="C214" s="6">
        <v>1</v>
      </c>
      <c r="D214" s="9"/>
      <c r="E214" s="9"/>
      <c r="F214" s="8" t="s">
        <v>20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>
      <c r="A215" s="8">
        <v>10</v>
      </c>
      <c r="B215" s="8" t="s">
        <v>82</v>
      </c>
      <c r="C215" s="6">
        <v>1</v>
      </c>
      <c r="D215" s="9"/>
      <c r="E215" s="9"/>
      <c r="F215" s="8" t="s">
        <v>20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>
      <c r="A216" s="8">
        <v>11</v>
      </c>
      <c r="B216" s="8" t="s">
        <v>83</v>
      </c>
      <c r="C216" s="6">
        <v>1</v>
      </c>
      <c r="D216" s="9"/>
      <c r="E216" s="9"/>
      <c r="F216" s="8" t="s">
        <v>20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>
      <c r="A217" s="8">
        <v>12</v>
      </c>
      <c r="B217" s="8" t="s">
        <v>84</v>
      </c>
      <c r="C217" s="6">
        <v>1</v>
      </c>
      <c r="D217" s="9"/>
      <c r="E217" s="9"/>
      <c r="F217" s="8" t="s">
        <v>20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ht="13.8" customHeight="1">
      <c r="A218" s="8">
        <v>13</v>
      </c>
      <c r="B218" s="10" t="s">
        <v>85</v>
      </c>
      <c r="C218" s="6">
        <v>1</v>
      </c>
      <c r="D218" s="9"/>
      <c r="E218" s="9"/>
      <c r="F218" s="8" t="s">
        <v>20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>
      <c r="A219" s="8">
        <v>14</v>
      </c>
      <c r="B219" s="8" t="s">
        <v>86</v>
      </c>
      <c r="C219" s="6">
        <v>1</v>
      </c>
      <c r="D219" s="9"/>
      <c r="E219" s="9"/>
      <c r="F219" s="8" t="s">
        <v>20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>
      <c r="A220" s="8">
        <v>15</v>
      </c>
      <c r="B220" s="8" t="s">
        <v>87</v>
      </c>
      <c r="C220" s="6">
        <v>1</v>
      </c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ht="15.6">
      <c r="A221" s="8">
        <v>16</v>
      </c>
      <c r="B221" s="25" t="s">
        <v>111</v>
      </c>
      <c r="C221" s="6">
        <v>4</v>
      </c>
      <c r="D221" s="9"/>
      <c r="E221" s="9"/>
      <c r="F221" s="8" t="s">
        <v>20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ht="15.6">
      <c r="A222" s="8"/>
      <c r="B222" s="25" t="s">
        <v>108</v>
      </c>
      <c r="C222" s="6">
        <v>100</v>
      </c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ht="15.6">
      <c r="A223" s="8"/>
      <c r="B223" s="25" t="s">
        <v>107</v>
      </c>
      <c r="C223" s="6">
        <v>10</v>
      </c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ht="15.6">
      <c r="A224" s="8"/>
      <c r="B224" s="25" t="s">
        <v>109</v>
      </c>
      <c r="C224" s="6">
        <v>1</v>
      </c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ht="15.6">
      <c r="A225" s="8"/>
      <c r="B225" s="25" t="s">
        <v>110</v>
      </c>
      <c r="C225" s="6">
        <v>1</v>
      </c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>
      <c r="A226" s="6">
        <v>22</v>
      </c>
      <c r="B226" s="8" t="s">
        <v>88</v>
      </c>
      <c r="C226" s="8">
        <v>1</v>
      </c>
      <c r="D226" s="9"/>
      <c r="E226" s="9"/>
      <c r="F226" s="8" t="s">
        <v>20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>
      <c r="A227" s="6"/>
      <c r="B227" s="6"/>
      <c r="C227" s="6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>
      <c r="A228" s="6"/>
      <c r="B228" s="6"/>
      <c r="C228" s="6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>
      <c r="A229" s="6"/>
      <c r="B229" s="6"/>
      <c r="C229" s="6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>
      <c r="A230" s="6" t="s">
        <v>89</v>
      </c>
      <c r="B230" s="6"/>
      <c r="C230" s="6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>
      <c r="A231" s="8">
        <v>1</v>
      </c>
      <c r="B231" s="8"/>
      <c r="C231" s="8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>
      <c r="A232" s="8">
        <v>2</v>
      </c>
      <c r="B232" s="8"/>
      <c r="C232" s="8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>
      <c r="A233" s="6" t="s">
        <v>90</v>
      </c>
      <c r="B233" s="6"/>
      <c r="C233" s="8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>
      <c r="A234" s="8">
        <v>1</v>
      </c>
      <c r="B234" s="8"/>
      <c r="C234" s="8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>
      <c r="A235" s="8">
        <v>2</v>
      </c>
      <c r="B235" s="8"/>
      <c r="C235" s="8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>
      <c r="A236" s="8">
        <v>3</v>
      </c>
      <c r="B236" s="8"/>
      <c r="C236" s="8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>
      <c r="A237" s="6" t="s">
        <v>91</v>
      </c>
      <c r="B237" s="6"/>
      <c r="C237" s="8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>
      <c r="A238" s="8">
        <v>1</v>
      </c>
      <c r="B238" s="8"/>
      <c r="C238" s="8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>
      <c r="A239" s="8">
        <v>2</v>
      </c>
      <c r="B239" s="8"/>
      <c r="C239" s="8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>
      <c r="A240" s="8">
        <v>3</v>
      </c>
      <c r="B240" s="8"/>
      <c r="C240" s="8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>
      <c r="A241" s="6" t="s">
        <v>92</v>
      </c>
      <c r="B241" s="6"/>
      <c r="C241" s="6"/>
      <c r="D241" s="9"/>
      <c r="E241" s="9">
        <f>SUM(E1:E240)</f>
        <v>1716100</v>
      </c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</sheetData>
  <mergeCells count="2">
    <mergeCell ref="M3:P3"/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2024-02-28T09:29:00Z</dcterms:created>
  <dcterms:modified xsi:type="dcterms:W3CDTF">2024-05-31T13:56:19Z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84FCBA02EB754AECBD3E3CAD61FDADE2_12</vt:lpwstr>
  </property>
  <property fmtid="{D5CDD505-2E9C-101B-9397-08002B2CF9AE}" pid="3" name="KSOProductBuildVer">
    <vt:lpwstr>1033-12.2.0.16909</vt:lpwstr>
  </property>
</Properties>
</file>