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11460"/>
  </bookViews>
  <sheets>
    <sheet name="UPN" sheetId="4" r:id="rId1"/>
    <sheet name="Submit" sheetId="6" r:id="rId2"/>
  </sheets>
  <functionGroups builtInGroupCount="18"/>
  <calcPr calcId="152511"/>
</workbook>
</file>

<file path=xl/calcChain.xml><?xml version="1.0" encoding="utf-8"?>
<calcChain xmlns="http://schemas.openxmlformats.org/spreadsheetml/2006/main">
  <c r="K153" i="4" l="1"/>
  <c r="K148" i="4"/>
  <c r="K138" i="4"/>
  <c r="K114" i="4"/>
  <c r="K80" i="4"/>
  <c r="K8" i="4"/>
</calcChain>
</file>

<file path=xl/sharedStrings.xml><?xml version="1.0" encoding="utf-8"?>
<sst xmlns="http://schemas.openxmlformats.org/spreadsheetml/2006/main" count="1178" uniqueCount="771">
  <si>
    <t>RequestID</t>
  </si>
  <si>
    <t>SerialNum</t>
  </si>
  <si>
    <t>PayrollNum</t>
  </si>
  <si>
    <t>IdNum</t>
  </si>
  <si>
    <t>TaxPIN</t>
  </si>
  <si>
    <t>Salute</t>
  </si>
  <si>
    <t>Surname</t>
  </si>
  <si>
    <t>FirstName</t>
  </si>
  <si>
    <t>OtherNames</t>
  </si>
  <si>
    <t>BirthDate</t>
  </si>
  <si>
    <t>BirthCertNo</t>
  </si>
  <si>
    <t>Gender</t>
  </si>
  <si>
    <t>EthnicCode</t>
  </si>
  <si>
    <t>HCoutyCode</t>
  </si>
  <si>
    <t>HSCoutCode</t>
  </si>
  <si>
    <t>HCWardCode</t>
  </si>
  <si>
    <t>HVilagCode</t>
  </si>
  <si>
    <t>DateHired</t>
  </si>
  <si>
    <t>VoteCode</t>
  </si>
  <si>
    <t>PayGroup</t>
  </si>
  <si>
    <t>DesigCode</t>
  </si>
  <si>
    <t>JobGroup</t>
  </si>
  <si>
    <t>Engagecode</t>
  </si>
  <si>
    <t>PensonCode</t>
  </si>
  <si>
    <t>Email</t>
  </si>
  <si>
    <t>Cellphone</t>
  </si>
  <si>
    <t>ErrorCheck</t>
  </si>
  <si>
    <t>LeaveBlank</t>
  </si>
  <si>
    <r>
      <t xml:space="preserve">                                       </t>
    </r>
    <r>
      <rPr>
        <b/>
        <sz val="20"/>
        <color theme="1"/>
        <rFont val="Calibri"/>
        <family val="2"/>
        <scheme val="minor"/>
      </rPr>
      <t xml:space="preserve">        UPN Data Template: List of new Employee(s) </t>
    </r>
  </si>
  <si>
    <t>Dr.</t>
  </si>
  <si>
    <t>GICHUHI</t>
  </si>
  <si>
    <t>PETER</t>
  </si>
  <si>
    <t>MWETHERA</t>
  </si>
  <si>
    <t>M</t>
  </si>
  <si>
    <t>Mrs.</t>
  </si>
  <si>
    <t>GLADYS</t>
  </si>
  <si>
    <t>GATHONI</t>
  </si>
  <si>
    <t>F</t>
  </si>
  <si>
    <t>HASSAN</t>
  </si>
  <si>
    <t>HAMIDA</t>
  </si>
  <si>
    <t>A004034603Z</t>
  </si>
  <si>
    <t>A001247664Y</t>
  </si>
  <si>
    <t>A002870197E</t>
  </si>
  <si>
    <t>Mr.</t>
  </si>
  <si>
    <t>MANENE</t>
  </si>
  <si>
    <t>PATRICK</t>
  </si>
  <si>
    <t>OBINGE</t>
  </si>
  <si>
    <t>FRANCIS</t>
  </si>
  <si>
    <t>A002387730U</t>
  </si>
  <si>
    <t>KIMATHI</t>
  </si>
  <si>
    <t>ROTICH</t>
  </si>
  <si>
    <t>CELESTINE</t>
  </si>
  <si>
    <t>JEPKOECH</t>
  </si>
  <si>
    <t>23/11/1976</t>
  </si>
  <si>
    <t>A002870283Z</t>
  </si>
  <si>
    <t>A005485221H</t>
  </si>
  <si>
    <t>OKERO</t>
  </si>
  <si>
    <t>ACHIENG'</t>
  </si>
  <si>
    <t>20/7/1985</t>
  </si>
  <si>
    <t>CAROLINE</t>
  </si>
  <si>
    <t>NG'ANG'A</t>
  </si>
  <si>
    <t>ELIZABETH</t>
  </si>
  <si>
    <t>A003012082D</t>
  </si>
  <si>
    <t>A004052667P</t>
  </si>
  <si>
    <t>SABINA</t>
  </si>
  <si>
    <t>LITHIRA</t>
  </si>
  <si>
    <t>28/8/1973</t>
  </si>
  <si>
    <t>WATHUTA</t>
  </si>
  <si>
    <t>ESTHER</t>
  </si>
  <si>
    <t>WANGECHI</t>
  </si>
  <si>
    <t>17/4/1979</t>
  </si>
  <si>
    <t>A010392561N</t>
  </si>
  <si>
    <t>A003917660J</t>
  </si>
  <si>
    <t>KASSIM</t>
  </si>
  <si>
    <t>KULTUM</t>
  </si>
  <si>
    <t>MOHAMMED</t>
  </si>
  <si>
    <t>A00930366</t>
  </si>
  <si>
    <t>OWUOR</t>
  </si>
  <si>
    <t>JOHN</t>
  </si>
  <si>
    <t>ROBERT</t>
  </si>
  <si>
    <t>KOECH</t>
  </si>
  <si>
    <t>CHEBET</t>
  </si>
  <si>
    <t>BEATRICE</t>
  </si>
  <si>
    <t>19/05/1997</t>
  </si>
  <si>
    <t>A011423522C</t>
  </si>
  <si>
    <t>A002870273X</t>
  </si>
  <si>
    <t>ONDIBA</t>
  </si>
  <si>
    <t>STELLA</t>
  </si>
  <si>
    <t>NYAMBARIGA</t>
  </si>
  <si>
    <t>Ms.</t>
  </si>
  <si>
    <t>Miss.</t>
  </si>
  <si>
    <t>DIANA</t>
  </si>
  <si>
    <t>27/7/1991</t>
  </si>
  <si>
    <t>A007033551J</t>
  </si>
  <si>
    <t>MANYENGO</t>
  </si>
  <si>
    <t>INJENDI</t>
  </si>
  <si>
    <t>HALKANO</t>
  </si>
  <si>
    <t>GURACHO</t>
  </si>
  <si>
    <t>OSORO</t>
  </si>
  <si>
    <t>KERUBO</t>
  </si>
  <si>
    <t>EDNAR</t>
  </si>
  <si>
    <t>OJALL</t>
  </si>
  <si>
    <t>A0069050563L</t>
  </si>
  <si>
    <t>ZADDOCK</t>
  </si>
  <si>
    <t>OCHIEN'G</t>
  </si>
  <si>
    <t>MULO</t>
  </si>
  <si>
    <t>MUKAMI</t>
  </si>
  <si>
    <t>NJOGU</t>
  </si>
  <si>
    <t>28/5/1988</t>
  </si>
  <si>
    <t>A005089619W</t>
  </si>
  <si>
    <t>17/6/2009</t>
  </si>
  <si>
    <t>15/7/1984</t>
  </si>
  <si>
    <t>SALLA</t>
  </si>
  <si>
    <t>DAUDI</t>
  </si>
  <si>
    <t>KAMANDA</t>
  </si>
  <si>
    <t>CYNICAH</t>
  </si>
  <si>
    <t>NYAMBOKE</t>
  </si>
  <si>
    <t>15/2/1985</t>
  </si>
  <si>
    <t>A00732219620</t>
  </si>
  <si>
    <t>CECILIA</t>
  </si>
  <si>
    <t>MUSYOKA</t>
  </si>
  <si>
    <t>NDETHYA</t>
  </si>
  <si>
    <t>23/8/1984</t>
  </si>
  <si>
    <t>A011614682Y</t>
  </si>
  <si>
    <t>KAHETHU</t>
  </si>
  <si>
    <t>A001736703T</t>
  </si>
  <si>
    <t>KARIUKI</t>
  </si>
  <si>
    <t>NKARERO</t>
  </si>
  <si>
    <t>ANTONY</t>
  </si>
  <si>
    <t>NTIITA</t>
  </si>
  <si>
    <t>16/12/2020</t>
  </si>
  <si>
    <t>A011734547W</t>
  </si>
  <si>
    <t>A011418804Z</t>
  </si>
  <si>
    <t>AKAMA</t>
  </si>
  <si>
    <t>CHARLES</t>
  </si>
  <si>
    <t>OKIOMA</t>
  </si>
  <si>
    <t>15/7/2020</t>
  </si>
  <si>
    <t>SAMMY</t>
  </si>
  <si>
    <t>KIPLANGAT</t>
  </si>
  <si>
    <t>JOHNSON</t>
  </si>
  <si>
    <t>SING'OEI</t>
  </si>
  <si>
    <t>14/5/1998</t>
  </si>
  <si>
    <t>A011301049X</t>
  </si>
  <si>
    <t>FLORENCE</t>
  </si>
  <si>
    <t>MAKENA</t>
  </si>
  <si>
    <t>16/12/2021</t>
  </si>
  <si>
    <t>A007350062J</t>
  </si>
  <si>
    <t>A010342021T</t>
  </si>
  <si>
    <t>VINCENT</t>
  </si>
  <si>
    <t>KIRIMA</t>
  </si>
  <si>
    <t>A004058753Y</t>
  </si>
  <si>
    <t>MBOGORI</t>
  </si>
  <si>
    <t>LUCYLINE</t>
  </si>
  <si>
    <t>KINANU</t>
  </si>
  <si>
    <t>RODAH</t>
  </si>
  <si>
    <t>SYOMBUA</t>
  </si>
  <si>
    <t>17/10/1998</t>
  </si>
  <si>
    <t>A005569976X</t>
  </si>
  <si>
    <t>JOY</t>
  </si>
  <si>
    <t>MIDDI</t>
  </si>
  <si>
    <t>20/5/1977</t>
  </si>
  <si>
    <t>A006133920C</t>
  </si>
  <si>
    <t>A002911501D</t>
  </si>
  <si>
    <t>SARAH</t>
  </si>
  <si>
    <t>MUTHONI</t>
  </si>
  <si>
    <t>31/7/1980</t>
  </si>
  <si>
    <t>MUKUCHIA</t>
  </si>
  <si>
    <t>OYOO</t>
  </si>
  <si>
    <t>AMINA</t>
  </si>
  <si>
    <t>MACHARIA</t>
  </si>
  <si>
    <t>KENNETH</t>
  </si>
  <si>
    <t>A004401218V</t>
  </si>
  <si>
    <t>A002253255L</t>
  </si>
  <si>
    <t>22/3/1977</t>
  </si>
  <si>
    <t>KARANU</t>
  </si>
  <si>
    <t>NJOROGE</t>
  </si>
  <si>
    <t>18/71967</t>
  </si>
  <si>
    <t>A005803788L</t>
  </si>
  <si>
    <t>JUSTIN</t>
  </si>
  <si>
    <t>ONGONDO</t>
  </si>
  <si>
    <t>21/5/1981</t>
  </si>
  <si>
    <t>MURERI</t>
  </si>
  <si>
    <t>A004622195Z</t>
  </si>
  <si>
    <t>A006611106C</t>
  </si>
  <si>
    <t>A002718614V</t>
  </si>
  <si>
    <t>MEGA</t>
  </si>
  <si>
    <t>28/9/1979</t>
  </si>
  <si>
    <t>ASHANDA</t>
  </si>
  <si>
    <t>GARICHA</t>
  </si>
  <si>
    <t>NYAPALA</t>
  </si>
  <si>
    <t>LWOMBA</t>
  </si>
  <si>
    <t>JOEL</t>
  </si>
  <si>
    <t>MOHAMED</t>
  </si>
  <si>
    <t>NOOR</t>
  </si>
  <si>
    <t>ABDUBA</t>
  </si>
  <si>
    <t>VICTOR</t>
  </si>
  <si>
    <t>NTHIGA</t>
  </si>
  <si>
    <t>A002867192Z</t>
  </si>
  <si>
    <t>A003739189T</t>
  </si>
  <si>
    <t>A003835858N</t>
  </si>
  <si>
    <t>MAIMUNA</t>
  </si>
  <si>
    <t>JUMA</t>
  </si>
  <si>
    <t>ALHAMID</t>
  </si>
  <si>
    <t>NYANCHAMA</t>
  </si>
  <si>
    <t>HAPPINESS</t>
  </si>
  <si>
    <t>GITAHI</t>
  </si>
  <si>
    <t>ELIAS</t>
  </si>
  <si>
    <t>25/5/1981</t>
  </si>
  <si>
    <t>25/5/1995</t>
  </si>
  <si>
    <t>MUKUNDI</t>
  </si>
  <si>
    <t>OMANWA</t>
  </si>
  <si>
    <t>A004371002T</t>
  </si>
  <si>
    <t>A002576859N</t>
  </si>
  <si>
    <t>22/11/1975</t>
  </si>
  <si>
    <t>25/2/1975</t>
  </si>
  <si>
    <t>24/3/1989</t>
  </si>
  <si>
    <t>OLOO</t>
  </si>
  <si>
    <t>JOSEPH</t>
  </si>
  <si>
    <t>ODUORI</t>
  </si>
  <si>
    <t>KIOKO</t>
  </si>
  <si>
    <t>DAMIAN</t>
  </si>
  <si>
    <t>ADEWA</t>
  </si>
  <si>
    <t>22/8/2008</t>
  </si>
  <si>
    <t>OKELO</t>
  </si>
  <si>
    <t>KURUI</t>
  </si>
  <si>
    <t>KIBIEGON</t>
  </si>
  <si>
    <t>TITUS</t>
  </si>
  <si>
    <t>MONGO</t>
  </si>
  <si>
    <t>KIRUI</t>
  </si>
  <si>
    <t>NOAH</t>
  </si>
  <si>
    <t>SAMUEL</t>
  </si>
  <si>
    <t>MAINA</t>
  </si>
  <si>
    <t>MURAGE</t>
  </si>
  <si>
    <t>ASHONO</t>
  </si>
  <si>
    <t xml:space="preserve">SIMON </t>
  </si>
  <si>
    <t>KAITANO</t>
  </si>
  <si>
    <t>SINA</t>
  </si>
  <si>
    <t>MUTETI</t>
  </si>
  <si>
    <t>20/9/2005</t>
  </si>
  <si>
    <t>20/4/1968</t>
  </si>
  <si>
    <t>17/2/1975</t>
  </si>
  <si>
    <t>15/12/1999</t>
  </si>
  <si>
    <t>29/3/1972</t>
  </si>
  <si>
    <t>21/11/1975</t>
  </si>
  <si>
    <t>A004539125Y</t>
  </si>
  <si>
    <t>A012153194L</t>
  </si>
  <si>
    <t>A001967140B</t>
  </si>
  <si>
    <t>A002503870T</t>
  </si>
  <si>
    <t>A007297285K</t>
  </si>
  <si>
    <t>A004492795G</t>
  </si>
  <si>
    <t>A005599037I</t>
  </si>
  <si>
    <t>MUSEMBI</t>
  </si>
  <si>
    <t>MUTHOKA</t>
  </si>
  <si>
    <t>LANG'AT</t>
  </si>
  <si>
    <t>NICHOLAS</t>
  </si>
  <si>
    <t>MUIRURI</t>
  </si>
  <si>
    <t>SUSAN</t>
  </si>
  <si>
    <t>WAMBUI</t>
  </si>
  <si>
    <t>KIRINYA</t>
  </si>
  <si>
    <t>MOSES</t>
  </si>
  <si>
    <t>RUNGUMA</t>
  </si>
  <si>
    <t>MARTIN</t>
  </si>
  <si>
    <t>MUCHOKI</t>
  </si>
  <si>
    <t>JUSTUS</t>
  </si>
  <si>
    <t>MASIRA</t>
  </si>
  <si>
    <t>NYARIKI</t>
  </si>
  <si>
    <t>SMITH</t>
  </si>
  <si>
    <t>ITILA</t>
  </si>
  <si>
    <t>MULWA</t>
  </si>
  <si>
    <t>ISAAC</t>
  </si>
  <si>
    <t>KAVUTA</t>
  </si>
  <si>
    <t>KISIENYE</t>
  </si>
  <si>
    <t>TOBIAS</t>
  </si>
  <si>
    <t>KIVITE</t>
  </si>
  <si>
    <t>MAUNDU</t>
  </si>
  <si>
    <t>JOACHIM</t>
  </si>
  <si>
    <t>HARUN</t>
  </si>
  <si>
    <t>ANGOSI</t>
  </si>
  <si>
    <t>SHEM</t>
  </si>
  <si>
    <t>MAJENGO</t>
  </si>
  <si>
    <t>THIGE</t>
  </si>
  <si>
    <t>A009932076H</t>
  </si>
  <si>
    <t>A010262445H</t>
  </si>
  <si>
    <t>A012493766A</t>
  </si>
  <si>
    <t>A012139699H</t>
  </si>
  <si>
    <t>A003795673Z</t>
  </si>
  <si>
    <t>A003022064C</t>
  </si>
  <si>
    <t>A002583423Z</t>
  </si>
  <si>
    <t>A001675304Q</t>
  </si>
  <si>
    <t>A002378473F</t>
  </si>
  <si>
    <t>A004066727R</t>
  </si>
  <si>
    <t>A002016786X</t>
  </si>
  <si>
    <t>A001828332Z</t>
  </si>
  <si>
    <t>A001186956Y</t>
  </si>
  <si>
    <t>R001236547R</t>
  </si>
  <si>
    <t>14/11/1989</t>
  </si>
  <si>
    <t>23/07/1964</t>
  </si>
  <si>
    <t>23/1/2017</t>
  </si>
  <si>
    <t>PHILIP</t>
  </si>
  <si>
    <t>STYLO</t>
  </si>
  <si>
    <t>LENTUTA</t>
  </si>
  <si>
    <t>SAMSON</t>
  </si>
  <si>
    <t>OWANE</t>
  </si>
  <si>
    <t>JACKSON</t>
  </si>
  <si>
    <t>KAMAU</t>
  </si>
  <si>
    <t>CHIVATSI</t>
  </si>
  <si>
    <t>JANET</t>
  </si>
  <si>
    <t>WADIME</t>
  </si>
  <si>
    <t>WAVUMBAH</t>
  </si>
  <si>
    <t>ROSE</t>
  </si>
  <si>
    <t>KAVURANI</t>
  </si>
  <si>
    <t>WOCHE</t>
  </si>
  <si>
    <t>FATIMA</t>
  </si>
  <si>
    <t>GALGALLO</t>
  </si>
  <si>
    <t>JASON</t>
  </si>
  <si>
    <t>ALEMBI</t>
  </si>
  <si>
    <t>CORNELIOUS</t>
  </si>
  <si>
    <t>ASHIRA</t>
  </si>
  <si>
    <t>ADINO</t>
  </si>
  <si>
    <t>THOMAS</t>
  </si>
  <si>
    <t>AGUTU</t>
  </si>
  <si>
    <t>JERONO</t>
  </si>
  <si>
    <t>MERCY</t>
  </si>
  <si>
    <t>AKINYI</t>
  </si>
  <si>
    <t>A002891256X</t>
  </si>
  <si>
    <t>A005730408L</t>
  </si>
  <si>
    <t>A003609134X</t>
  </si>
  <si>
    <t>A002870012D</t>
  </si>
  <si>
    <t>A003340337E</t>
  </si>
  <si>
    <t>A016148975F</t>
  </si>
  <si>
    <t>A001186864X</t>
  </si>
  <si>
    <t>A001374483W</t>
  </si>
  <si>
    <t>27/4/1960</t>
  </si>
  <si>
    <t>31/1/1981</t>
  </si>
  <si>
    <t>17/3/1965</t>
  </si>
  <si>
    <t>23/7/1969</t>
  </si>
  <si>
    <t>21/8/1990</t>
  </si>
  <si>
    <t>25/2/2010</t>
  </si>
  <si>
    <t>DAISY</t>
  </si>
  <si>
    <t>JEBET</t>
  </si>
  <si>
    <t>KIMITI</t>
  </si>
  <si>
    <t>PRISCILLAH</t>
  </si>
  <si>
    <t>HILLARY</t>
  </si>
  <si>
    <t>OMONDI</t>
  </si>
  <si>
    <t>GITHINJI</t>
  </si>
  <si>
    <t>JAMES</t>
  </si>
  <si>
    <t>NAYOK</t>
  </si>
  <si>
    <t>MELUBO</t>
  </si>
  <si>
    <t>KIAGE</t>
  </si>
  <si>
    <t>WALTER</t>
  </si>
  <si>
    <t>MARY</t>
  </si>
  <si>
    <t>NZUVE</t>
  </si>
  <si>
    <t>FURAHA</t>
  </si>
  <si>
    <t>ALI</t>
  </si>
  <si>
    <t>GAHOYO</t>
  </si>
  <si>
    <t>POGHON</t>
  </si>
  <si>
    <t>ZIEBON</t>
  </si>
  <si>
    <t>AGGREY</t>
  </si>
  <si>
    <t>KARONGO</t>
  </si>
  <si>
    <t>STEPHEN</t>
  </si>
  <si>
    <t>IBRAHIM</t>
  </si>
  <si>
    <t>JAFFER</t>
  </si>
  <si>
    <t>KORIR</t>
  </si>
  <si>
    <t>NDUKA</t>
  </si>
  <si>
    <t>KENGO</t>
  </si>
  <si>
    <t>EDWARD</t>
  </si>
  <si>
    <t>NDUNGU</t>
  </si>
  <si>
    <t>KIMANI</t>
  </si>
  <si>
    <t>CLARE</t>
  </si>
  <si>
    <t>NJOKI</t>
  </si>
  <si>
    <t>THOYA</t>
  </si>
  <si>
    <t>GIFT</t>
  </si>
  <si>
    <t>KATANA</t>
  </si>
  <si>
    <t>MOINDE</t>
  </si>
  <si>
    <t>NANCY</t>
  </si>
  <si>
    <t>STANSLAUS</t>
  </si>
  <si>
    <t>KIVAI</t>
  </si>
  <si>
    <t>A006625392I</t>
  </si>
  <si>
    <t>A004737681N</t>
  </si>
  <si>
    <t>A004383341A</t>
  </si>
  <si>
    <t>A005916137D</t>
  </si>
  <si>
    <t>A002306083S</t>
  </si>
  <si>
    <t>A004521903E</t>
  </si>
  <si>
    <t>A004620431G</t>
  </si>
  <si>
    <t>A002363714F</t>
  </si>
  <si>
    <t>A002482220D</t>
  </si>
  <si>
    <t>A011045575U</t>
  </si>
  <si>
    <t>A001187101B</t>
  </si>
  <si>
    <t>A002275051N</t>
  </si>
  <si>
    <t>A004622043K</t>
  </si>
  <si>
    <t>A006470448Q</t>
  </si>
  <si>
    <t>A00393361E</t>
  </si>
  <si>
    <t>A001523916K</t>
  </si>
  <si>
    <t>A002509922Y</t>
  </si>
  <si>
    <t>A004324871U</t>
  </si>
  <si>
    <t>25/3/1981</t>
  </si>
  <si>
    <t>26/5/1975</t>
  </si>
  <si>
    <t>13/4/1976</t>
  </si>
  <si>
    <t>17/4/1969</t>
  </si>
  <si>
    <t>17/7/1968</t>
  </si>
  <si>
    <t>15/06/1966</t>
  </si>
  <si>
    <t>23/09/1981</t>
  </si>
  <si>
    <t>30/05/1988</t>
  </si>
  <si>
    <t>22/12/1992</t>
  </si>
  <si>
    <t>8//9/1998</t>
  </si>
  <si>
    <t>22/11/2017</t>
  </si>
  <si>
    <t>31/8/2006</t>
  </si>
  <si>
    <t>13/12/2007</t>
  </si>
  <si>
    <t>DANSON</t>
  </si>
  <si>
    <t>MWANGI</t>
  </si>
  <si>
    <t>HUSSEIN</t>
  </si>
  <si>
    <t>LYDIA</t>
  </si>
  <si>
    <t>TIMONA</t>
  </si>
  <si>
    <t>MURANDITSI</t>
  </si>
  <si>
    <t>PAULINE</t>
  </si>
  <si>
    <t>OTOLI</t>
  </si>
  <si>
    <t>NGALATU</t>
  </si>
  <si>
    <t>JONATHAN</t>
  </si>
  <si>
    <t>NYACHIEO</t>
  </si>
  <si>
    <t>ATUNGA</t>
  </si>
  <si>
    <t>PIUS</t>
  </si>
  <si>
    <t>AOKO</t>
  </si>
  <si>
    <t>ADOYO</t>
  </si>
  <si>
    <t>OBIERO</t>
  </si>
  <si>
    <t>JAEL</t>
  </si>
  <si>
    <t>APONDI</t>
  </si>
  <si>
    <t>IRUNGU</t>
  </si>
  <si>
    <t>ALMAS</t>
  </si>
  <si>
    <t>RAMADHAN</t>
  </si>
  <si>
    <t>KIULIA</t>
  </si>
  <si>
    <t>KUNYERA</t>
  </si>
  <si>
    <t>CHEROTICH</t>
  </si>
  <si>
    <t>SHARON</t>
  </si>
  <si>
    <t>HUSEIN</t>
  </si>
  <si>
    <t>OMOLO</t>
  </si>
  <si>
    <t>ERICK</t>
  </si>
  <si>
    <t>WAWERU</t>
  </si>
  <si>
    <t>MWAURA</t>
  </si>
  <si>
    <t>MUTURA</t>
  </si>
  <si>
    <t>KAMAWE</t>
  </si>
  <si>
    <t>ANYANGO</t>
  </si>
  <si>
    <t>ANGELA</t>
  </si>
  <si>
    <t xml:space="preserve">DAVID </t>
  </si>
  <si>
    <t>KIRAGU</t>
  </si>
  <si>
    <t>A002857303W</t>
  </si>
  <si>
    <t>A006910947A</t>
  </si>
  <si>
    <t>A002019029L</t>
  </si>
  <si>
    <t>A003780303I</t>
  </si>
  <si>
    <t>A006186646W</t>
  </si>
  <si>
    <t>A006087478H</t>
  </si>
  <si>
    <t>A003432614C</t>
  </si>
  <si>
    <t>A005380196V</t>
  </si>
  <si>
    <t>A007044963U</t>
  </si>
  <si>
    <t>A011738627D</t>
  </si>
  <si>
    <t>A001186827Q</t>
  </si>
  <si>
    <t>A0061315970</t>
  </si>
  <si>
    <t>A003747629J</t>
  </si>
  <si>
    <t>A009277138A</t>
  </si>
  <si>
    <t>A00701641L</t>
  </si>
  <si>
    <t>29/03/1977</t>
  </si>
  <si>
    <t>18/4/1976</t>
  </si>
  <si>
    <t>28/3/1969</t>
  </si>
  <si>
    <t>29/1/1988</t>
  </si>
  <si>
    <t>30/10/1974</t>
  </si>
  <si>
    <t>26/9/1984</t>
  </si>
  <si>
    <t>13/11/19087</t>
  </si>
  <si>
    <t>20/10/1965</t>
  </si>
  <si>
    <t>20/9/1989</t>
  </si>
  <si>
    <t>27/4/1974</t>
  </si>
  <si>
    <t>17/4/1995</t>
  </si>
  <si>
    <t>GALO</t>
  </si>
  <si>
    <t>NJERI</t>
  </si>
  <si>
    <t>CHEGE</t>
  </si>
  <si>
    <t>ORENG</t>
  </si>
  <si>
    <t>PURITY</t>
  </si>
  <si>
    <t>APIYO</t>
  </si>
  <si>
    <t>JEPKURUI</t>
  </si>
  <si>
    <t>IVY</t>
  </si>
  <si>
    <t>MUTAI</t>
  </si>
  <si>
    <t>WANGUI</t>
  </si>
  <si>
    <t>OZWARA</t>
  </si>
  <si>
    <t>HASTINGS</t>
  </si>
  <si>
    <t>OCHOLA</t>
  </si>
  <si>
    <t>LUCY</t>
  </si>
  <si>
    <t>FAITH</t>
  </si>
  <si>
    <t>ONDITI</t>
  </si>
  <si>
    <t>NYUNDO</t>
  </si>
  <si>
    <t>CHRISTOPHER</t>
  </si>
  <si>
    <t>NYAKUNDI</t>
  </si>
  <si>
    <t>RUTH</t>
  </si>
  <si>
    <t>AMBOGO</t>
  </si>
  <si>
    <t>WANJOHI</t>
  </si>
  <si>
    <t>ELEPHAS</t>
  </si>
  <si>
    <t>ALFRED</t>
  </si>
  <si>
    <t>MWANDIME</t>
  </si>
  <si>
    <t>MWALOKO</t>
  </si>
  <si>
    <t>NYAWIRA</t>
  </si>
  <si>
    <t>DAWN</t>
  </si>
  <si>
    <t>MARANGA</t>
  </si>
  <si>
    <t>AMBARA</t>
  </si>
  <si>
    <t>PERIS</t>
  </si>
  <si>
    <t>AUMA</t>
  </si>
  <si>
    <t>YVONNE</t>
  </si>
  <si>
    <t>KIMATA</t>
  </si>
  <si>
    <t>NGUDI</t>
  </si>
  <si>
    <t>COLLINS</t>
  </si>
  <si>
    <t>IRENE</t>
  </si>
  <si>
    <t>AKUNDA</t>
  </si>
  <si>
    <t>OKEYO</t>
  </si>
  <si>
    <t>ELISHA</t>
  </si>
  <si>
    <t>OPIYO</t>
  </si>
  <si>
    <t>KELLY</t>
  </si>
  <si>
    <t>NYAMCHAMA</t>
  </si>
  <si>
    <t>TABITHA</t>
  </si>
  <si>
    <t>AKUNGA</t>
  </si>
  <si>
    <t>NAFULA</t>
  </si>
  <si>
    <t>NANJALA</t>
  </si>
  <si>
    <t>AHOMO</t>
  </si>
  <si>
    <t>GEOFF</t>
  </si>
  <si>
    <t>HENDERSON</t>
  </si>
  <si>
    <t>A00116840N</t>
  </si>
  <si>
    <t>A005553360U</t>
  </si>
  <si>
    <t>A008114717E</t>
  </si>
  <si>
    <t>A009011895R</t>
  </si>
  <si>
    <t>A01337483N</t>
  </si>
  <si>
    <t>A0011622A</t>
  </si>
  <si>
    <t>A003044621B</t>
  </si>
  <si>
    <t>A003475995N</t>
  </si>
  <si>
    <t>A001187879G</t>
  </si>
  <si>
    <t>A003932445W</t>
  </si>
  <si>
    <t>A001186717K</t>
  </si>
  <si>
    <t>A001187071Q</t>
  </si>
  <si>
    <t>A005069146V</t>
  </si>
  <si>
    <t>A004693147Y</t>
  </si>
  <si>
    <t>A004440440D</t>
  </si>
  <si>
    <t>A008631709P</t>
  </si>
  <si>
    <t>A003754073A</t>
  </si>
  <si>
    <t>A006554046U</t>
  </si>
  <si>
    <t>A006079727A</t>
  </si>
  <si>
    <t>A016318917U</t>
  </si>
  <si>
    <t>A0013780956</t>
  </si>
  <si>
    <t>A008895911F</t>
  </si>
  <si>
    <t>A009242245L</t>
  </si>
  <si>
    <t>23/12/1966</t>
  </si>
  <si>
    <t>17/08/1994</t>
  </si>
  <si>
    <t>13/9/1998</t>
  </si>
  <si>
    <t>16/3/1967</t>
  </si>
  <si>
    <t>21/11/1982</t>
  </si>
  <si>
    <t>15/10/1982</t>
  </si>
  <si>
    <t>30/11/1969</t>
  </si>
  <si>
    <t>29/9/1989</t>
  </si>
  <si>
    <t>28/11/1984</t>
  </si>
  <si>
    <t>16/1/1980</t>
  </si>
  <si>
    <t>22/6/1993</t>
  </si>
  <si>
    <t>19/9/1988</t>
  </si>
  <si>
    <t>30/6/1997</t>
  </si>
  <si>
    <t>20/6/2018</t>
  </si>
  <si>
    <t>31/10/2017</t>
  </si>
  <si>
    <t>14/4/2020</t>
  </si>
  <si>
    <t>15/6/2006</t>
  </si>
  <si>
    <t>26/1/2022</t>
  </si>
  <si>
    <t>EVANS</t>
  </si>
  <si>
    <t>ONGATA</t>
  </si>
  <si>
    <t>NICK</t>
  </si>
  <si>
    <t>15/081990</t>
  </si>
  <si>
    <t>A003730861U</t>
  </si>
  <si>
    <t>SALIM</t>
  </si>
  <si>
    <t>WAUTTOH</t>
  </si>
  <si>
    <t>17/9/1985</t>
  </si>
  <si>
    <t>GEORGE</t>
  </si>
  <si>
    <t>NGARI</t>
  </si>
  <si>
    <t>WAIRIMU</t>
  </si>
  <si>
    <t>22/12/1989</t>
  </si>
  <si>
    <t>22/5/2018</t>
  </si>
  <si>
    <t>A005513597F</t>
  </si>
  <si>
    <t>A005432439O</t>
  </si>
  <si>
    <t>LORETA</t>
  </si>
  <si>
    <t>ANYANJE</t>
  </si>
  <si>
    <t>A010818286L</t>
  </si>
  <si>
    <t>STANLEY</t>
  </si>
  <si>
    <t>PARKURITO</t>
  </si>
  <si>
    <t>LETEIPAN</t>
  </si>
  <si>
    <t>18/8/1991</t>
  </si>
  <si>
    <t>ABISAI</t>
  </si>
  <si>
    <t>FREDRICK</t>
  </si>
  <si>
    <t>ANGOTE</t>
  </si>
  <si>
    <t>KEPHA</t>
  </si>
  <si>
    <t>GEOFREY</t>
  </si>
  <si>
    <t>A009215396E</t>
  </si>
  <si>
    <t>HANNINGTON</t>
  </si>
  <si>
    <t>MUSALIA</t>
  </si>
  <si>
    <t>MIHESO</t>
  </si>
  <si>
    <t>A007139103I</t>
  </si>
  <si>
    <t>OFWETE</t>
  </si>
  <si>
    <t>OCHIENG</t>
  </si>
  <si>
    <t>JACOB</t>
  </si>
  <si>
    <t>LUBUYA</t>
  </si>
  <si>
    <t>22/5/2020</t>
  </si>
  <si>
    <t>A007067741U</t>
  </si>
  <si>
    <t>KHASANDI</t>
  </si>
  <si>
    <t>PAMELA</t>
  </si>
  <si>
    <t>MUKWEYI</t>
  </si>
  <si>
    <t>A008595836K</t>
  </si>
  <si>
    <t xml:space="preserve">MUSAU </t>
  </si>
  <si>
    <t>BRIAN</t>
  </si>
  <si>
    <t>MUKELI</t>
  </si>
  <si>
    <t>OLUOCH</t>
  </si>
  <si>
    <t>EZEKIEL</t>
  </si>
  <si>
    <t>A015134557N</t>
  </si>
  <si>
    <t>A016753353Z</t>
  </si>
  <si>
    <t>TIYO</t>
  </si>
  <si>
    <t>LAWI</t>
  </si>
  <si>
    <t>TOTANA</t>
  </si>
  <si>
    <t>MAALIM</t>
  </si>
  <si>
    <t>ABASS</t>
  </si>
  <si>
    <t>MUSABYIMANA</t>
  </si>
  <si>
    <t>VALENTINE</t>
  </si>
  <si>
    <t>A013280457M</t>
  </si>
  <si>
    <t>A013340773N</t>
  </si>
  <si>
    <t>A010608841X</t>
  </si>
  <si>
    <t>SUROW</t>
  </si>
  <si>
    <t>EDIN</t>
  </si>
  <si>
    <t>13/10/1992</t>
  </si>
  <si>
    <t>19/12/1984</t>
  </si>
  <si>
    <t>SAITOTI</t>
  </si>
  <si>
    <t>ANNE</t>
  </si>
  <si>
    <t>SEIN</t>
  </si>
  <si>
    <t>MUNIRA</t>
  </si>
  <si>
    <t>SAID ABDULKARIM</t>
  </si>
  <si>
    <t>ANTAR</t>
  </si>
  <si>
    <t>EMMANUEL</t>
  </si>
  <si>
    <t>A004075469Z</t>
  </si>
  <si>
    <t>15/8/1974</t>
  </si>
  <si>
    <t>ISDORAH</t>
  </si>
  <si>
    <t>NJENGA</t>
  </si>
  <si>
    <t>ODHIAMBO</t>
  </si>
  <si>
    <t xml:space="preserve"> CHAI</t>
  </si>
  <si>
    <t>DANIEL</t>
  </si>
  <si>
    <t>WAITITU</t>
  </si>
  <si>
    <t>ABDI</t>
  </si>
  <si>
    <t>KALUCHU</t>
  </si>
  <si>
    <t>OTIENO</t>
  </si>
  <si>
    <t>MUNENE</t>
  </si>
  <si>
    <t>ASILA</t>
  </si>
  <si>
    <t>MBURU</t>
  </si>
  <si>
    <t>NYABOKE</t>
  </si>
  <si>
    <t>CHEPKWONY</t>
  </si>
  <si>
    <t>KAGASI</t>
  </si>
  <si>
    <t>KIRWA</t>
  </si>
  <si>
    <t>KIVWA</t>
  </si>
  <si>
    <t>WANGULU</t>
  </si>
  <si>
    <t>KINYANJUI</t>
  </si>
  <si>
    <t>DINAH</t>
  </si>
  <si>
    <t>OTENGO</t>
  </si>
  <si>
    <t>MWENDA</t>
  </si>
  <si>
    <t>MASIVA</t>
  </si>
  <si>
    <t>NYAMWEYA</t>
  </si>
  <si>
    <t>KARERI</t>
  </si>
  <si>
    <t>CHEPKEMOI</t>
  </si>
  <si>
    <t>LOITARENG</t>
  </si>
  <si>
    <t>NGUSYE</t>
  </si>
  <si>
    <t>WANGARI</t>
  </si>
  <si>
    <t>KIGEN</t>
  </si>
  <si>
    <t>OMARIBAH</t>
  </si>
  <si>
    <t>OWINO</t>
  </si>
  <si>
    <t>KAGO</t>
  </si>
  <si>
    <t>KURIA</t>
  </si>
  <si>
    <t>KIKAYA</t>
  </si>
  <si>
    <t>OKUMU</t>
  </si>
  <si>
    <t>KITONGA</t>
  </si>
  <si>
    <t>PRESTER</t>
  </si>
  <si>
    <t xml:space="preserve">              </t>
  </si>
  <si>
    <t>MUGAO</t>
  </si>
  <si>
    <t>KIPKORIR</t>
  </si>
  <si>
    <t>PORLYCARP</t>
  </si>
  <si>
    <t>NAHASHON</t>
  </si>
  <si>
    <t>WANJALA</t>
  </si>
  <si>
    <t>MICHAEL</t>
  </si>
  <si>
    <t>NDUNG'U</t>
  </si>
  <si>
    <t>ABDULLAHI</t>
  </si>
  <si>
    <t>AVIKOKE</t>
  </si>
  <si>
    <t>NYAMBURU</t>
  </si>
  <si>
    <t>MUKARIA</t>
  </si>
  <si>
    <t>INGASIANI</t>
  </si>
  <si>
    <t>ADAM</t>
  </si>
  <si>
    <t>NKOYAI</t>
  </si>
  <si>
    <t>NGALLA</t>
  </si>
  <si>
    <t>MGHAMBI</t>
  </si>
  <si>
    <t>NTHENYA</t>
  </si>
  <si>
    <t>MULU</t>
  </si>
  <si>
    <t>ATIENO</t>
  </si>
  <si>
    <t>A004850902N</t>
  </si>
  <si>
    <t>23/12/1996</t>
  </si>
  <si>
    <t>JILLANI</t>
  </si>
  <si>
    <t>SUBA</t>
  </si>
  <si>
    <t>FRED</t>
  </si>
  <si>
    <t>MUTHANGIA</t>
  </si>
  <si>
    <t>A001193944L</t>
  </si>
  <si>
    <t>28/2/1992</t>
  </si>
  <si>
    <t>31/12/1989</t>
  </si>
  <si>
    <t>18/8/2021</t>
  </si>
  <si>
    <t>A005605134R</t>
  </si>
  <si>
    <t>A0011976285</t>
  </si>
  <si>
    <t>A005436721R</t>
  </si>
  <si>
    <t>A017745285M</t>
  </si>
  <si>
    <t>A00199285I</t>
  </si>
  <si>
    <t>AOO0107561K</t>
  </si>
  <si>
    <t>A0040486698</t>
  </si>
  <si>
    <t>A0044257265</t>
  </si>
  <si>
    <t>A003214279S</t>
  </si>
  <si>
    <t>A0015691571</t>
  </si>
  <si>
    <t>A01175872L</t>
  </si>
  <si>
    <t>A0047572005</t>
  </si>
  <si>
    <t>A0046386865</t>
  </si>
  <si>
    <t>A0069598345</t>
  </si>
  <si>
    <t>CHAI</t>
  </si>
  <si>
    <t>18/02/1993</t>
  </si>
  <si>
    <t>14/02/1991</t>
  </si>
  <si>
    <t>21/10/1987</t>
  </si>
  <si>
    <t>A004051456F</t>
  </si>
  <si>
    <t>27/9/1975</t>
  </si>
  <si>
    <t>LUVYU</t>
  </si>
  <si>
    <t>15/2/2022</t>
  </si>
  <si>
    <t>24/1/2022</t>
  </si>
  <si>
    <t>jonangalatu@gmail.com</t>
  </si>
  <si>
    <t>adinothomas@primateresearch.org</t>
  </si>
  <si>
    <t>administrator@primateresearch.org</t>
  </si>
  <si>
    <t>akunda@primatereseach.org</t>
  </si>
  <si>
    <t>ali@primateresearch.org</t>
  </si>
  <si>
    <t>dlusike@primatereserch.org</t>
  </si>
  <si>
    <t>almas.juma@primateresearch.org</t>
  </si>
  <si>
    <t>angelajuma@primateresearch.org</t>
  </si>
  <si>
    <t>celestine@primateresearch.org</t>
  </si>
  <si>
    <t>cjerono@primateresearch.org</t>
  </si>
  <si>
    <t>chiskinya@primateresearch.org</t>
  </si>
  <si>
    <t>cndethya@primateresearch.org</t>
  </si>
  <si>
    <t>collins.melubo@primateresearch.org</t>
  </si>
  <si>
    <t>daudi@primateresearch.org</t>
  </si>
  <si>
    <t>dadewa@primateresearch.org</t>
  </si>
  <si>
    <t>dchai@primate.org</t>
  </si>
  <si>
    <t>directoripr@primateresearch.org</t>
  </si>
  <si>
    <t>gladys.gichuhi@primateresearch.org</t>
  </si>
  <si>
    <t>florence@primateresearch.org</t>
  </si>
  <si>
    <t>estherk@primateresearch.org</t>
  </si>
  <si>
    <t>esther.wangechi@primateresearch.org</t>
  </si>
  <si>
    <t>dmaranga@primateresearch.org</t>
  </si>
  <si>
    <t>dwafula@primateresearch.org</t>
  </si>
  <si>
    <t>elphasm@primateresearch.org</t>
  </si>
  <si>
    <t>esther.amina@primateresearch.org</t>
  </si>
  <si>
    <t xml:space="preserve">halkano.molu@primateresearch.org </t>
  </si>
  <si>
    <t>ircsecretary@primateresearch.org</t>
  </si>
  <si>
    <t>kulthum@primatereseaech.org</t>
  </si>
  <si>
    <t>emukami@primateresearch.org</t>
  </si>
  <si>
    <t>jkiplagat@primateresearch.org</t>
  </si>
  <si>
    <t>lmbogori@primateresearch.org</t>
  </si>
  <si>
    <t>jimiddii@primateresearch.org</t>
  </si>
  <si>
    <t>maimunaalhamid@primateresearch.org</t>
  </si>
  <si>
    <t>swauttoh@yahoo.com</t>
  </si>
  <si>
    <t>21/4/2010</t>
  </si>
  <si>
    <t>30/7/2011</t>
  </si>
  <si>
    <t xml:space="preserve">                                                                                                                                </t>
  </si>
  <si>
    <t>24 1729</t>
  </si>
  <si>
    <t>A004364936U</t>
  </si>
  <si>
    <t>19/09/1980</t>
  </si>
  <si>
    <t>A004143551G</t>
  </si>
  <si>
    <t>A001197623N</t>
  </si>
  <si>
    <t>A003848422C</t>
  </si>
  <si>
    <t>A006971382E</t>
  </si>
  <si>
    <t>21/10/2016</t>
  </si>
  <si>
    <t>24/12/1959</t>
  </si>
  <si>
    <t>26/02/1993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</si>
</sst>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;@"/>
    <numFmt numFmtId="165" formatCode="###0;###0"/>
  </numFmts>
  <fonts count="8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8"/>
      <color rgb="FF000000"/>
      <name val="Times New Roman"/>
      <family val="1"/>
    </font>
    <font>
      <b/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C0C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3" fontId="0" fillId="0" borderId="0" xfId="0" applyNumberFormat="1" applyFill="1" applyProtection="1">
      <protection locked="0"/>
    </xf>
    <xf numFmtId="0" fontId="0" fillId="0" borderId="0" xfId="0" applyAlignment="1">
      <alignment horizontal="center" wrapText="1"/>
    </xf>
    <xf numFmtId="0" fontId="2" fillId="0" borderId="0" xfId="0" applyFont="1" applyFill="1"/>
    <xf numFmtId="49" fontId="0" fillId="0" borderId="0" xfId="0" quotePrefix="1" applyNumberFormat="1" applyFill="1" applyProtection="1">
      <protection locked="0"/>
    </xf>
    <xf numFmtId="164" fontId="0" fillId="0" borderId="0" xfId="0" applyNumberFormat="1" applyFill="1" applyProtection="1">
      <protection locked="0"/>
    </xf>
    <xf numFmtId="14" fontId="0" fillId="0" borderId="0" xfId="0" applyNumberFormat="1" applyFill="1" applyProtection="1">
      <protection locked="0"/>
    </xf>
    <xf numFmtId="14" fontId="3" fillId="0" borderId="1" xfId="0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0" fillId="0" borderId="0" xfId="0" applyFill="1" applyAlignment="1" applyProtection="1">
      <alignment horizontal="left"/>
      <protection locked="0"/>
    </xf>
    <xf numFmtId="0" fontId="3" fillId="2" borderId="1" xfId="0" applyFont="1" applyFill="1" applyBorder="1" applyAlignment="1">
      <alignment horizontal="left" vertical="top"/>
    </xf>
    <xf numFmtId="0" fontId="4" fillId="0" borderId="0" xfId="1" applyFill="1" applyProtection="1">
      <protection locked="0"/>
    </xf>
    <xf numFmtId="0" fontId="4" fillId="0" borderId="0" xfId="1" applyFill="1"/>
    <xf numFmtId="0" fontId="7" fillId="3" borderId="1" xfId="0" applyFont="1" applyFill="1" applyBorder="1" applyAlignment="1">
      <alignment horizontal="left" vertical="top" wrapText="1"/>
    </xf>
    <xf numFmtId="0" fontId="6" fillId="0" borderId="1" xfId="0" applyFont="1" applyFill="1" applyBorder="1" applyAlignment="1">
      <alignment horizontal="left" vertical="top"/>
    </xf>
    <xf numFmtId="165" fontId="3" fillId="0" borderId="1" xfId="0" applyNumberFormat="1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0</xdr:col>
      <xdr:colOff>1552575</xdr:colOff>
      <xdr:row>0</xdr:row>
      <xdr:rowOff>1143000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0"/>
          <a:ext cx="1485900" cy="1143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295275</xdr:rowOff>
        </xdr:from>
        <xdr:to>
          <xdr:col>0</xdr:col>
          <xdr:colOff>5305425</xdr:colOff>
          <xdr:row>1</xdr:row>
          <xdr:rowOff>857250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this Button to VALIDATE the DATA you have Captured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2</xdr:row>
          <xdr:rowOff>219075</xdr:rowOff>
        </xdr:from>
        <xdr:to>
          <xdr:col>0</xdr:col>
          <xdr:colOff>5314950</xdr:colOff>
          <xdr:row>2</xdr:row>
          <xdr:rowOff>695325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This Button to Prepare the File for submission to GHRIS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ngelajuma@primateresearch.org" TargetMode="External"/><Relationship Id="rId13" Type="http://schemas.openxmlformats.org/officeDocument/2006/relationships/hyperlink" Target="mailto:collins.melubo@primateresearch.org" TargetMode="External"/><Relationship Id="rId18" Type="http://schemas.openxmlformats.org/officeDocument/2006/relationships/hyperlink" Target="mailto:gladys.gichuhi@primateresearch.org" TargetMode="External"/><Relationship Id="rId26" Type="http://schemas.openxmlformats.org/officeDocument/2006/relationships/hyperlink" Target="mailto:esther.amina@primateresearch.org" TargetMode="External"/><Relationship Id="rId3" Type="http://schemas.openxmlformats.org/officeDocument/2006/relationships/hyperlink" Target="mailto:administrator@primateresearch.org" TargetMode="External"/><Relationship Id="rId21" Type="http://schemas.openxmlformats.org/officeDocument/2006/relationships/hyperlink" Target="mailto:estherk@primateresearch.org" TargetMode="External"/><Relationship Id="rId34" Type="http://schemas.openxmlformats.org/officeDocument/2006/relationships/hyperlink" Target="mailto:maimunaalhamid@primateresearch.org" TargetMode="External"/><Relationship Id="rId7" Type="http://schemas.openxmlformats.org/officeDocument/2006/relationships/hyperlink" Target="mailto:almas.juma@primateresearch.org" TargetMode="External"/><Relationship Id="rId12" Type="http://schemas.openxmlformats.org/officeDocument/2006/relationships/hyperlink" Target="mailto:cndethya@primateresearch.org" TargetMode="External"/><Relationship Id="rId17" Type="http://schemas.openxmlformats.org/officeDocument/2006/relationships/hyperlink" Target="mailto:directoripr@primateresearch.org" TargetMode="External"/><Relationship Id="rId25" Type="http://schemas.openxmlformats.org/officeDocument/2006/relationships/hyperlink" Target="mailto:elphasm@primateresearch.org" TargetMode="External"/><Relationship Id="rId33" Type="http://schemas.openxmlformats.org/officeDocument/2006/relationships/hyperlink" Target="mailto:jimiddii@primateresearch.org" TargetMode="External"/><Relationship Id="rId2" Type="http://schemas.openxmlformats.org/officeDocument/2006/relationships/hyperlink" Target="mailto:adinothomas@primateresearch.org" TargetMode="External"/><Relationship Id="rId16" Type="http://schemas.openxmlformats.org/officeDocument/2006/relationships/hyperlink" Target="mailto:dchai@primate.org" TargetMode="External"/><Relationship Id="rId20" Type="http://schemas.openxmlformats.org/officeDocument/2006/relationships/hyperlink" Target="mailto:florence@primateresearch.org" TargetMode="External"/><Relationship Id="rId29" Type="http://schemas.openxmlformats.org/officeDocument/2006/relationships/hyperlink" Target="mailto:kulthum@primatereseaech.org" TargetMode="External"/><Relationship Id="rId1" Type="http://schemas.openxmlformats.org/officeDocument/2006/relationships/hyperlink" Target="mailto:jonangalatu@gmail.com" TargetMode="External"/><Relationship Id="rId6" Type="http://schemas.openxmlformats.org/officeDocument/2006/relationships/hyperlink" Target="mailto:dlusike@primatereserch.org" TargetMode="External"/><Relationship Id="rId11" Type="http://schemas.openxmlformats.org/officeDocument/2006/relationships/hyperlink" Target="mailto:chiskinya@primateresearch.org" TargetMode="External"/><Relationship Id="rId24" Type="http://schemas.openxmlformats.org/officeDocument/2006/relationships/hyperlink" Target="mailto:dwafula@primateresearch.org" TargetMode="External"/><Relationship Id="rId32" Type="http://schemas.openxmlformats.org/officeDocument/2006/relationships/hyperlink" Target="mailto:lmbogori@primateresearch.org" TargetMode="External"/><Relationship Id="rId5" Type="http://schemas.openxmlformats.org/officeDocument/2006/relationships/hyperlink" Target="mailto:ali@primateresearch.org" TargetMode="External"/><Relationship Id="rId15" Type="http://schemas.openxmlformats.org/officeDocument/2006/relationships/hyperlink" Target="mailto:dadewa@primateresearch.org" TargetMode="External"/><Relationship Id="rId23" Type="http://schemas.openxmlformats.org/officeDocument/2006/relationships/hyperlink" Target="mailto:dmaranga@primateresearch.org" TargetMode="External"/><Relationship Id="rId28" Type="http://schemas.openxmlformats.org/officeDocument/2006/relationships/hyperlink" Target="mailto:ircsecretary@primateresearch.org" TargetMode="External"/><Relationship Id="rId36" Type="http://schemas.openxmlformats.org/officeDocument/2006/relationships/printerSettings" Target="../printerSettings/printerSettings1.bin"/><Relationship Id="rId10" Type="http://schemas.openxmlformats.org/officeDocument/2006/relationships/hyperlink" Target="mailto:cjerono@primateresearch.org" TargetMode="External"/><Relationship Id="rId19" Type="http://schemas.openxmlformats.org/officeDocument/2006/relationships/hyperlink" Target="mailto:directoripr@primateresearch.org" TargetMode="External"/><Relationship Id="rId31" Type="http://schemas.openxmlformats.org/officeDocument/2006/relationships/hyperlink" Target="mailto:jkiplagat@primateresearch.org" TargetMode="External"/><Relationship Id="rId4" Type="http://schemas.openxmlformats.org/officeDocument/2006/relationships/hyperlink" Target="mailto:akunda@primatereseach.org" TargetMode="External"/><Relationship Id="rId9" Type="http://schemas.openxmlformats.org/officeDocument/2006/relationships/hyperlink" Target="mailto:celestine@primateresearch.org" TargetMode="External"/><Relationship Id="rId14" Type="http://schemas.openxmlformats.org/officeDocument/2006/relationships/hyperlink" Target="mailto:daudi@primateresearch.org" TargetMode="External"/><Relationship Id="rId22" Type="http://schemas.openxmlformats.org/officeDocument/2006/relationships/hyperlink" Target="mailto:esther.wangechi@primateresearch.org" TargetMode="External"/><Relationship Id="rId27" Type="http://schemas.openxmlformats.org/officeDocument/2006/relationships/hyperlink" Target="mailto:halkano.molu@primateresearch.org" TargetMode="External"/><Relationship Id="rId30" Type="http://schemas.openxmlformats.org/officeDocument/2006/relationships/hyperlink" Target="mailto:emukami@primateresearch.org" TargetMode="External"/><Relationship Id="rId35" Type="http://schemas.openxmlformats.org/officeDocument/2006/relationships/hyperlink" Target="mailto:swauttoh@yahoo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4253"/>
  <sheetViews>
    <sheetView tabSelected="1" zoomScale="78" zoomScaleNormal="78" workbookViewId="0">
      <pane ySplit="1" topLeftCell="A98" activePane="bottomLeft" state="frozen"/>
      <selection activeCell="G1" sqref="G1"/>
      <selection pane="bottomLeft" activeCell="D104" sqref="D104"/>
    </sheetView>
  </sheetViews>
  <sheetFormatPr defaultColWidth="0" defaultRowHeight="15" x14ac:dyDescent="0.25"/>
  <cols>
    <col min="1" max="1" width="10.42578125" style="2" customWidth="1"/>
    <col min="2" max="2" width="14.28515625" style="2" customWidth="1"/>
    <col min="3" max="3" width="8.5703125" style="10" customWidth="1"/>
    <col min="4" max="4" width="12.5703125" style="2" customWidth="1"/>
    <col min="5" max="5" width="14.42578125" style="2" customWidth="1"/>
    <col min="6" max="6" width="9.140625" style="2" customWidth="1"/>
    <col min="7" max="7" width="13.5703125" style="2" customWidth="1"/>
    <col min="8" max="8" width="15.140625" style="2" customWidth="1"/>
    <col min="9" max="9" width="21.140625" style="2" customWidth="1"/>
    <col min="10" max="10" width="17" style="7" customWidth="1"/>
    <col min="11" max="11" width="12.28515625" style="2" customWidth="1"/>
    <col min="12" max="12" width="9.140625" style="2" customWidth="1"/>
    <col min="13" max="13" width="12.42578125" style="2" customWidth="1"/>
    <col min="14" max="14" width="14" style="2" customWidth="1"/>
    <col min="15" max="15" width="12" style="2" bestFit="1" customWidth="1"/>
    <col min="16" max="16" width="12.7109375" style="2" bestFit="1" customWidth="1"/>
    <col min="17" max="17" width="11.28515625" style="2" bestFit="1" customWidth="1"/>
    <col min="18" max="18" width="15.42578125" style="7" customWidth="1"/>
    <col min="19" max="20" width="11.28515625" style="2" customWidth="1"/>
    <col min="21" max="21" width="13.140625" style="2" customWidth="1"/>
    <col min="22" max="22" width="9.140625" style="2" customWidth="1"/>
    <col min="23" max="23" width="13" style="2" customWidth="1"/>
    <col min="24" max="24" width="12.7109375" style="2" customWidth="1"/>
    <col min="25" max="25" width="37" style="2" customWidth="1"/>
    <col min="26" max="26" width="12.140625" style="2" customWidth="1"/>
    <col min="27" max="28" width="13.5703125" style="2" customWidth="1"/>
    <col min="29" max="29" width="11.28515625" style="2" customWidth="1"/>
    <col min="30" max="16384" width="9.140625" style="2" hidden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7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7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27</v>
      </c>
    </row>
    <row r="2" spans="1:29" x14ac:dyDescent="0.25">
      <c r="B2" s="2">
        <v>1</v>
      </c>
      <c r="C2" s="16">
        <v>172007</v>
      </c>
      <c r="D2" s="10">
        <v>3731123</v>
      </c>
      <c r="E2" s="10" t="s">
        <v>41</v>
      </c>
      <c r="F2" s="2" t="s">
        <v>29</v>
      </c>
      <c r="G2" s="2" t="s">
        <v>30</v>
      </c>
      <c r="H2" s="2" t="s">
        <v>31</v>
      </c>
      <c r="I2" s="2" t="s">
        <v>32</v>
      </c>
      <c r="J2" s="9">
        <v>23654</v>
      </c>
      <c r="K2" s="10">
        <v>293210</v>
      </c>
      <c r="L2" s="2" t="s">
        <v>33</v>
      </c>
      <c r="M2" s="2">
        <v>4</v>
      </c>
      <c r="N2" s="2">
        <v>19</v>
      </c>
      <c r="R2" s="9">
        <v>32908</v>
      </c>
      <c r="W2" s="2">
        <v>3</v>
      </c>
      <c r="Y2" s="15" t="s">
        <v>740</v>
      </c>
      <c r="Z2" s="10">
        <v>722530334</v>
      </c>
    </row>
    <row r="3" spans="1:29" x14ac:dyDescent="0.25">
      <c r="B3" s="2">
        <v>2</v>
      </c>
      <c r="C3" s="16">
        <v>143032</v>
      </c>
      <c r="D3" s="10">
        <v>20143022</v>
      </c>
      <c r="E3" s="10" t="s">
        <v>40</v>
      </c>
      <c r="F3" s="2" t="s">
        <v>34</v>
      </c>
      <c r="G3" s="2" t="s">
        <v>30</v>
      </c>
      <c r="H3" s="2" t="s">
        <v>35</v>
      </c>
      <c r="I3" s="2" t="s">
        <v>36</v>
      </c>
      <c r="J3" s="9">
        <v>28491</v>
      </c>
      <c r="K3" s="10"/>
      <c r="L3" s="2" t="s">
        <v>37</v>
      </c>
      <c r="M3" s="2">
        <v>4</v>
      </c>
      <c r="N3" s="2">
        <v>22</v>
      </c>
      <c r="R3" s="9">
        <v>39088</v>
      </c>
      <c r="W3" s="2">
        <v>3</v>
      </c>
      <c r="Y3" s="15" t="s">
        <v>741</v>
      </c>
      <c r="Z3" s="10">
        <v>722387137</v>
      </c>
    </row>
    <row r="4" spans="1:29" x14ac:dyDescent="0.25">
      <c r="B4" s="2">
        <v>3</v>
      </c>
      <c r="C4" s="16">
        <v>146015</v>
      </c>
      <c r="D4" s="10">
        <v>12701644</v>
      </c>
      <c r="E4" s="10" t="s">
        <v>42</v>
      </c>
      <c r="F4" s="2" t="s">
        <v>34</v>
      </c>
      <c r="G4" s="2" t="s">
        <v>38</v>
      </c>
      <c r="H4" s="2" t="s">
        <v>39</v>
      </c>
      <c r="I4" s="2" t="s">
        <v>684</v>
      </c>
      <c r="J4" s="10" t="s">
        <v>632</v>
      </c>
      <c r="K4" s="10"/>
      <c r="L4" s="2" t="s">
        <v>37</v>
      </c>
      <c r="N4" s="2">
        <v>21</v>
      </c>
      <c r="R4" s="9">
        <v>36167</v>
      </c>
      <c r="W4" s="2">
        <v>3</v>
      </c>
      <c r="Y4" s="15" t="s">
        <v>740</v>
      </c>
      <c r="Z4" s="10">
        <v>722932653</v>
      </c>
    </row>
    <row r="5" spans="1:29" x14ac:dyDescent="0.25">
      <c r="B5" s="2">
        <v>4</v>
      </c>
      <c r="C5" s="16">
        <v>171212</v>
      </c>
      <c r="D5" s="12">
        <v>13361887</v>
      </c>
      <c r="E5" s="10" t="s">
        <v>764</v>
      </c>
      <c r="F5" s="2" t="s">
        <v>43</v>
      </c>
      <c r="G5" s="2" t="s">
        <v>44</v>
      </c>
      <c r="H5" s="2" t="s">
        <v>45</v>
      </c>
      <c r="I5" s="2" t="s">
        <v>49</v>
      </c>
      <c r="J5" s="9">
        <v>26665</v>
      </c>
      <c r="K5" s="10">
        <v>403372</v>
      </c>
      <c r="L5" s="2" t="s">
        <v>33</v>
      </c>
      <c r="M5" s="2">
        <v>6</v>
      </c>
      <c r="N5" s="2">
        <v>12</v>
      </c>
      <c r="R5" s="9">
        <v>40546</v>
      </c>
      <c r="W5" s="2">
        <v>95</v>
      </c>
      <c r="Z5" s="10">
        <v>722176491</v>
      </c>
    </row>
    <row r="6" spans="1:29" x14ac:dyDescent="0.25">
      <c r="B6" s="2">
        <v>5</v>
      </c>
      <c r="C6" s="16">
        <v>183042</v>
      </c>
      <c r="D6" s="10">
        <v>10809560</v>
      </c>
      <c r="E6" s="10" t="s">
        <v>48</v>
      </c>
      <c r="F6" s="2" t="s">
        <v>43</v>
      </c>
      <c r="G6" s="2" t="s">
        <v>46</v>
      </c>
      <c r="H6" s="2" t="s">
        <v>47</v>
      </c>
      <c r="I6" s="2" t="s">
        <v>167</v>
      </c>
      <c r="J6" s="9">
        <v>25360</v>
      </c>
      <c r="K6" s="10">
        <v>2654600</v>
      </c>
      <c r="L6" s="2" t="s">
        <v>33</v>
      </c>
      <c r="M6" s="2">
        <v>22</v>
      </c>
      <c r="N6" s="2">
        <v>42</v>
      </c>
      <c r="R6" s="9">
        <v>36172</v>
      </c>
      <c r="W6" s="2">
        <v>3</v>
      </c>
      <c r="Y6" s="5"/>
      <c r="Z6" s="10">
        <v>725290712</v>
      </c>
    </row>
    <row r="7" spans="1:29" x14ac:dyDescent="0.25">
      <c r="B7" s="2">
        <v>7</v>
      </c>
      <c r="C7" s="16">
        <v>199007</v>
      </c>
      <c r="D7" s="10">
        <v>20257607</v>
      </c>
      <c r="E7" s="10" t="s">
        <v>54</v>
      </c>
      <c r="F7" s="2" t="s">
        <v>34</v>
      </c>
      <c r="G7" s="2" t="s">
        <v>50</v>
      </c>
      <c r="H7" s="2" t="s">
        <v>51</v>
      </c>
      <c r="I7" s="2" t="s">
        <v>52</v>
      </c>
      <c r="J7" s="10" t="s">
        <v>53</v>
      </c>
      <c r="K7" s="10">
        <v>359646</v>
      </c>
      <c r="L7" s="2" t="s">
        <v>37</v>
      </c>
      <c r="M7" s="2">
        <v>23</v>
      </c>
      <c r="N7" s="2">
        <v>28</v>
      </c>
      <c r="R7" s="9">
        <v>36197</v>
      </c>
      <c r="W7" s="2">
        <v>3</v>
      </c>
      <c r="Y7" s="14" t="s">
        <v>732</v>
      </c>
      <c r="Z7" s="10">
        <v>722805550</v>
      </c>
    </row>
    <row r="8" spans="1:29" x14ac:dyDescent="0.25">
      <c r="B8" s="2">
        <v>8</v>
      </c>
      <c r="C8" s="16">
        <v>241093</v>
      </c>
      <c r="D8" s="10">
        <v>25138933</v>
      </c>
      <c r="E8" s="10" t="s">
        <v>55</v>
      </c>
      <c r="F8" s="2" t="s">
        <v>34</v>
      </c>
      <c r="G8" s="2" t="s">
        <v>56</v>
      </c>
      <c r="H8" s="2" t="s">
        <v>59</v>
      </c>
      <c r="I8" s="2" t="s">
        <v>57</v>
      </c>
      <c r="J8" s="10" t="s">
        <v>58</v>
      </c>
      <c r="K8" s="10" t="str">
        <f>"0"&amp;475017</f>
        <v>0475017</v>
      </c>
      <c r="L8" s="2" t="s">
        <v>37</v>
      </c>
      <c r="M8" s="2">
        <v>22</v>
      </c>
      <c r="N8" s="2">
        <v>47</v>
      </c>
      <c r="R8" s="9">
        <v>42010</v>
      </c>
      <c r="W8" s="2">
        <v>5</v>
      </c>
      <c r="Z8" s="10">
        <v>726211113</v>
      </c>
    </row>
    <row r="9" spans="1:29" x14ac:dyDescent="0.25">
      <c r="B9" s="2">
        <v>9</v>
      </c>
      <c r="C9" s="16">
        <v>176072</v>
      </c>
      <c r="D9" s="10">
        <v>10998397</v>
      </c>
      <c r="E9" s="10" t="s">
        <v>62</v>
      </c>
      <c r="F9" s="2" t="s">
        <v>34</v>
      </c>
      <c r="G9" s="2" t="s">
        <v>60</v>
      </c>
      <c r="H9" s="2" t="s">
        <v>61</v>
      </c>
      <c r="I9" s="2" t="s">
        <v>164</v>
      </c>
      <c r="J9" s="9">
        <v>25934</v>
      </c>
      <c r="K9" s="10">
        <v>9101792</v>
      </c>
      <c r="L9" s="2" t="s">
        <v>37</v>
      </c>
      <c r="M9" s="2">
        <v>4</v>
      </c>
      <c r="N9" s="2">
        <v>22</v>
      </c>
      <c r="R9" s="9">
        <v>34335</v>
      </c>
      <c r="W9" s="2">
        <v>3</v>
      </c>
      <c r="Z9" s="10">
        <v>724953922</v>
      </c>
    </row>
    <row r="10" spans="1:29" x14ac:dyDescent="0.25">
      <c r="B10" s="2">
        <v>10</v>
      </c>
      <c r="C10" s="16">
        <v>168004</v>
      </c>
      <c r="D10" s="10">
        <v>13133273</v>
      </c>
      <c r="E10" s="10" t="s">
        <v>63</v>
      </c>
      <c r="F10" s="2" t="s">
        <v>34</v>
      </c>
      <c r="G10" s="2" t="s">
        <v>65</v>
      </c>
      <c r="H10" s="2" t="s">
        <v>64</v>
      </c>
      <c r="I10" s="2" t="s">
        <v>685</v>
      </c>
      <c r="J10" s="10" t="s">
        <v>66</v>
      </c>
      <c r="K10" s="10">
        <v>8802144</v>
      </c>
      <c r="L10" s="2" t="s">
        <v>37</v>
      </c>
      <c r="M10" s="2">
        <v>6</v>
      </c>
      <c r="N10" s="2">
        <v>12</v>
      </c>
      <c r="R10" s="9">
        <v>39083</v>
      </c>
      <c r="W10" s="2">
        <v>3</v>
      </c>
      <c r="Z10" s="10">
        <v>722912414</v>
      </c>
    </row>
    <row r="11" spans="1:29" x14ac:dyDescent="0.25">
      <c r="B11" s="2">
        <v>11</v>
      </c>
      <c r="C11" s="16">
        <v>241276</v>
      </c>
      <c r="D11" s="10">
        <v>22318929</v>
      </c>
      <c r="E11" s="10" t="s">
        <v>71</v>
      </c>
      <c r="F11" s="2" t="s">
        <v>34</v>
      </c>
      <c r="G11" s="2" t="s">
        <v>67</v>
      </c>
      <c r="H11" s="2" t="s">
        <v>68</v>
      </c>
      <c r="I11" s="2" t="s">
        <v>69</v>
      </c>
      <c r="J11" s="10" t="s">
        <v>70</v>
      </c>
      <c r="K11" s="10"/>
      <c r="L11" s="2" t="s">
        <v>37</v>
      </c>
      <c r="M11" s="2">
        <v>3</v>
      </c>
      <c r="N11" s="2">
        <v>17</v>
      </c>
      <c r="R11" s="9">
        <v>42684</v>
      </c>
      <c r="W11" s="2">
        <v>5</v>
      </c>
      <c r="Y11" s="14" t="s">
        <v>744</v>
      </c>
      <c r="Z11" s="10">
        <v>71622020</v>
      </c>
    </row>
    <row r="12" spans="1:29" x14ac:dyDescent="0.25">
      <c r="B12" s="2">
        <v>12</v>
      </c>
      <c r="C12" s="16">
        <v>161156</v>
      </c>
      <c r="D12" s="10">
        <v>11625899</v>
      </c>
      <c r="E12" s="10" t="s">
        <v>72</v>
      </c>
      <c r="F12" s="2" t="s">
        <v>34</v>
      </c>
      <c r="G12" s="2" t="s">
        <v>73</v>
      </c>
      <c r="H12" s="2" t="s">
        <v>74</v>
      </c>
      <c r="I12" s="2" t="s">
        <v>75</v>
      </c>
      <c r="J12" s="9">
        <v>26303</v>
      </c>
      <c r="K12" s="10">
        <v>192501</v>
      </c>
      <c r="L12" s="2" t="s">
        <v>37</v>
      </c>
      <c r="M12" s="2">
        <v>1</v>
      </c>
      <c r="N12" s="2">
        <v>3</v>
      </c>
      <c r="R12" s="9">
        <v>39083</v>
      </c>
      <c r="W12" s="2">
        <v>3</v>
      </c>
      <c r="Y12" s="14" t="s">
        <v>751</v>
      </c>
      <c r="Z12" s="10">
        <v>722333307</v>
      </c>
    </row>
    <row r="13" spans="1:29" x14ac:dyDescent="0.25">
      <c r="B13" s="2">
        <v>13</v>
      </c>
      <c r="C13" s="16">
        <v>241715</v>
      </c>
      <c r="D13" s="10">
        <v>31860798</v>
      </c>
      <c r="E13" s="10" t="s">
        <v>76</v>
      </c>
      <c r="F13" s="2" t="s">
        <v>43</v>
      </c>
      <c r="G13" s="2" t="s">
        <v>77</v>
      </c>
      <c r="H13" s="2" t="s">
        <v>78</v>
      </c>
      <c r="I13" s="2" t="s">
        <v>79</v>
      </c>
      <c r="J13" s="9">
        <v>34676</v>
      </c>
      <c r="K13" s="10">
        <v>9338646</v>
      </c>
      <c r="L13" s="2" t="s">
        <v>33</v>
      </c>
      <c r="M13" s="2">
        <v>22</v>
      </c>
      <c r="N13" s="2">
        <v>42</v>
      </c>
      <c r="R13" s="9">
        <v>44563</v>
      </c>
      <c r="W13" s="2">
        <v>5</v>
      </c>
      <c r="Z13" s="10">
        <v>740339991</v>
      </c>
    </row>
    <row r="14" spans="1:29" x14ac:dyDescent="0.25">
      <c r="B14" s="2">
        <v>14</v>
      </c>
      <c r="C14" s="16">
        <v>241717</v>
      </c>
      <c r="D14" s="10">
        <v>35698228</v>
      </c>
      <c r="E14" s="10" t="s">
        <v>84</v>
      </c>
      <c r="F14" s="2" t="s">
        <v>90</v>
      </c>
      <c r="G14" s="2" t="s">
        <v>80</v>
      </c>
      <c r="H14" s="2" t="s">
        <v>82</v>
      </c>
      <c r="I14" s="2" t="s">
        <v>81</v>
      </c>
      <c r="J14" s="10" t="s">
        <v>83</v>
      </c>
      <c r="K14" s="10">
        <v>278108</v>
      </c>
      <c r="L14" s="2" t="s">
        <v>37</v>
      </c>
      <c r="M14" s="2">
        <v>23</v>
      </c>
      <c r="N14" s="2">
        <v>36</v>
      </c>
      <c r="R14" s="9">
        <v>44563</v>
      </c>
      <c r="W14" s="2">
        <v>5</v>
      </c>
      <c r="Z14" s="10">
        <v>791403696</v>
      </c>
    </row>
    <row r="15" spans="1:29" x14ac:dyDescent="0.25">
      <c r="B15" s="2">
        <v>15</v>
      </c>
      <c r="C15" s="16">
        <v>176050</v>
      </c>
      <c r="D15" s="10">
        <v>13819220</v>
      </c>
      <c r="E15" s="10" t="s">
        <v>85</v>
      </c>
      <c r="F15" s="2" t="s">
        <v>34</v>
      </c>
      <c r="G15" s="2" t="s">
        <v>86</v>
      </c>
      <c r="H15" s="2" t="s">
        <v>87</v>
      </c>
      <c r="I15" s="2" t="s">
        <v>88</v>
      </c>
      <c r="J15" s="9">
        <v>27551</v>
      </c>
      <c r="K15" s="10">
        <v>818815</v>
      </c>
      <c r="L15" s="2" t="s">
        <v>37</v>
      </c>
      <c r="M15" s="2">
        <v>11</v>
      </c>
      <c r="N15" s="2">
        <v>46</v>
      </c>
      <c r="R15" s="9">
        <v>36169</v>
      </c>
      <c r="W15" s="2">
        <v>3</v>
      </c>
      <c r="Z15" s="10">
        <v>723862368</v>
      </c>
    </row>
    <row r="16" spans="1:29" x14ac:dyDescent="0.25">
      <c r="B16" s="2">
        <v>16</v>
      </c>
      <c r="C16" s="16">
        <v>241269</v>
      </c>
      <c r="D16" s="10">
        <v>28499739</v>
      </c>
      <c r="E16" s="2" t="s">
        <v>93</v>
      </c>
      <c r="F16" s="2" t="s">
        <v>90</v>
      </c>
      <c r="G16" s="2" t="s">
        <v>94</v>
      </c>
      <c r="H16" s="2" t="s">
        <v>91</v>
      </c>
      <c r="I16" s="2" t="s">
        <v>95</v>
      </c>
      <c r="J16" s="10" t="s">
        <v>92</v>
      </c>
      <c r="K16" s="10">
        <v>503997</v>
      </c>
      <c r="L16" s="2" t="s">
        <v>37</v>
      </c>
      <c r="M16" s="2">
        <v>14</v>
      </c>
      <c r="N16" s="2">
        <v>37</v>
      </c>
      <c r="R16" s="9">
        <v>42377</v>
      </c>
      <c r="W16" s="2">
        <v>5</v>
      </c>
      <c r="Z16" s="10">
        <v>714898640</v>
      </c>
    </row>
    <row r="17" spans="2:26" x14ac:dyDescent="0.25">
      <c r="B17" s="2">
        <v>17</v>
      </c>
      <c r="C17" s="16">
        <v>185052</v>
      </c>
      <c r="D17" s="10">
        <v>21898292</v>
      </c>
      <c r="E17" s="10"/>
      <c r="F17" s="2" t="s">
        <v>34</v>
      </c>
      <c r="G17" s="2" t="s">
        <v>98</v>
      </c>
      <c r="H17" s="2" t="s">
        <v>100</v>
      </c>
      <c r="I17" s="2" t="s">
        <v>99</v>
      </c>
      <c r="J17" s="10"/>
      <c r="K17" s="10"/>
      <c r="L17" s="2" t="s">
        <v>37</v>
      </c>
      <c r="M17" s="2">
        <v>11</v>
      </c>
      <c r="R17" s="9">
        <v>42714</v>
      </c>
      <c r="W17" s="2">
        <v>3</v>
      </c>
      <c r="Z17" s="10"/>
    </row>
    <row r="18" spans="2:26" x14ac:dyDescent="0.25">
      <c r="B18" s="2">
        <v>18</v>
      </c>
      <c r="C18" s="16">
        <v>241249</v>
      </c>
      <c r="D18" s="10">
        <v>24938714</v>
      </c>
      <c r="E18" s="10" t="s">
        <v>102</v>
      </c>
      <c r="F18" s="2" t="s">
        <v>43</v>
      </c>
      <c r="G18" s="2" t="s">
        <v>101</v>
      </c>
      <c r="H18" s="2" t="s">
        <v>103</v>
      </c>
      <c r="I18" s="2" t="s">
        <v>104</v>
      </c>
      <c r="J18" s="9">
        <v>31900</v>
      </c>
      <c r="K18" s="10">
        <v>756807</v>
      </c>
      <c r="L18" s="2" t="s">
        <v>33</v>
      </c>
      <c r="M18" s="2">
        <v>22</v>
      </c>
      <c r="N18" s="2">
        <v>47</v>
      </c>
      <c r="R18" s="9">
        <v>42377</v>
      </c>
      <c r="W18" s="2">
        <v>5</v>
      </c>
      <c r="Z18" s="10">
        <v>720123418</v>
      </c>
    </row>
    <row r="19" spans="2:26" x14ac:dyDescent="0.25">
      <c r="B19" s="2">
        <v>19</v>
      </c>
      <c r="C19" s="16">
        <v>241298</v>
      </c>
      <c r="D19" s="10">
        <v>24137197</v>
      </c>
      <c r="E19" s="10" t="s">
        <v>691</v>
      </c>
      <c r="F19" s="2" t="s">
        <v>43</v>
      </c>
      <c r="G19" s="2" t="s">
        <v>105</v>
      </c>
      <c r="H19" s="2" t="s">
        <v>96</v>
      </c>
      <c r="I19" s="2" t="s">
        <v>97</v>
      </c>
      <c r="J19" s="10" t="s">
        <v>111</v>
      </c>
      <c r="K19" s="10">
        <v>91159</v>
      </c>
      <c r="L19" s="2" t="s">
        <v>33</v>
      </c>
      <c r="M19" s="2">
        <v>31</v>
      </c>
      <c r="N19" s="2">
        <v>10</v>
      </c>
      <c r="R19" s="9">
        <v>42714</v>
      </c>
      <c r="W19" s="2">
        <v>5</v>
      </c>
      <c r="Y19" s="14" t="s">
        <v>749</v>
      </c>
      <c r="Z19" s="10">
        <v>726823816</v>
      </c>
    </row>
    <row r="20" spans="2:26" x14ac:dyDescent="0.25">
      <c r="B20" s="2">
        <v>20</v>
      </c>
      <c r="C20" s="16">
        <v>175191</v>
      </c>
      <c r="D20" s="10">
        <v>25394414</v>
      </c>
      <c r="E20" s="10" t="s">
        <v>109</v>
      </c>
      <c r="F20" s="2" t="s">
        <v>90</v>
      </c>
      <c r="G20" s="2" t="s">
        <v>107</v>
      </c>
      <c r="H20" s="2" t="s">
        <v>68</v>
      </c>
      <c r="I20" s="2" t="s">
        <v>106</v>
      </c>
      <c r="J20" s="10" t="s">
        <v>108</v>
      </c>
      <c r="K20" s="10">
        <v>318235</v>
      </c>
      <c r="L20" s="2" t="s">
        <v>37</v>
      </c>
      <c r="M20" s="2">
        <v>4</v>
      </c>
      <c r="N20" s="2">
        <v>47</v>
      </c>
      <c r="R20" s="10" t="s">
        <v>110</v>
      </c>
      <c r="W20" s="2">
        <v>3</v>
      </c>
      <c r="Y20" s="14" t="s">
        <v>752</v>
      </c>
      <c r="Z20" s="10">
        <v>721134712</v>
      </c>
    </row>
    <row r="21" spans="2:26" x14ac:dyDescent="0.25">
      <c r="B21" s="2">
        <v>21</v>
      </c>
      <c r="C21" s="16">
        <v>126001</v>
      </c>
      <c r="D21" s="12">
        <v>8735350</v>
      </c>
      <c r="E21" s="10" t="s">
        <v>697</v>
      </c>
      <c r="F21" s="2" t="s">
        <v>43</v>
      </c>
      <c r="G21" s="2" t="s">
        <v>192</v>
      </c>
      <c r="H21" s="2" t="s">
        <v>112</v>
      </c>
      <c r="I21" s="2" t="s">
        <v>113</v>
      </c>
      <c r="J21" s="9">
        <v>24297</v>
      </c>
      <c r="K21" s="10">
        <v>448976</v>
      </c>
      <c r="L21" s="2" t="s">
        <v>33</v>
      </c>
      <c r="M21" s="2">
        <v>36</v>
      </c>
      <c r="N21" s="2">
        <v>10</v>
      </c>
      <c r="R21" s="10" t="s">
        <v>698</v>
      </c>
      <c r="W21" s="2">
        <v>3</v>
      </c>
      <c r="Y21" s="14" t="s">
        <v>737</v>
      </c>
      <c r="Z21" s="10">
        <v>720664489</v>
      </c>
    </row>
    <row r="22" spans="2:26" x14ac:dyDescent="0.25">
      <c r="B22" s="2">
        <v>22</v>
      </c>
      <c r="C22" s="16">
        <v>241539</v>
      </c>
      <c r="D22" s="10">
        <v>24212658</v>
      </c>
      <c r="E22" s="10" t="s">
        <v>118</v>
      </c>
      <c r="F22" s="2" t="s">
        <v>34</v>
      </c>
      <c r="G22" s="2" t="s">
        <v>114</v>
      </c>
      <c r="H22" s="2" t="s">
        <v>115</v>
      </c>
      <c r="I22" s="2" t="s">
        <v>116</v>
      </c>
      <c r="J22" s="10" t="s">
        <v>117</v>
      </c>
      <c r="K22" s="10">
        <v>9599612</v>
      </c>
      <c r="L22" s="2" t="s">
        <v>37</v>
      </c>
      <c r="M22" s="2">
        <v>11</v>
      </c>
      <c r="N22" s="2">
        <v>45</v>
      </c>
      <c r="R22" s="9">
        <v>44204</v>
      </c>
      <c r="W22" s="2">
        <v>5</v>
      </c>
      <c r="Z22" s="10">
        <v>724450870</v>
      </c>
    </row>
    <row r="23" spans="2:26" x14ac:dyDescent="0.25">
      <c r="B23" s="2">
        <v>23</v>
      </c>
      <c r="C23" s="16">
        <v>241360</v>
      </c>
      <c r="D23" s="10">
        <v>24146874</v>
      </c>
      <c r="E23" s="10" t="s">
        <v>123</v>
      </c>
      <c r="F23" s="2" t="s">
        <v>34</v>
      </c>
      <c r="G23" s="2" t="s">
        <v>120</v>
      </c>
      <c r="H23" s="2" t="s">
        <v>119</v>
      </c>
      <c r="I23" s="2" t="s">
        <v>121</v>
      </c>
      <c r="J23" s="10" t="s">
        <v>122</v>
      </c>
      <c r="K23" s="10">
        <v>267717</v>
      </c>
      <c r="L23" s="2" t="s">
        <v>37</v>
      </c>
      <c r="M23" s="2">
        <v>3</v>
      </c>
      <c r="N23" s="2">
        <v>15</v>
      </c>
      <c r="R23" s="9">
        <v>43313</v>
      </c>
      <c r="W23" s="2">
        <v>5</v>
      </c>
      <c r="Y23" s="14" t="s">
        <v>735</v>
      </c>
      <c r="Z23" s="10">
        <v>711370017</v>
      </c>
    </row>
    <row r="24" spans="2:26" x14ac:dyDescent="0.25">
      <c r="B24" s="2">
        <v>24</v>
      </c>
      <c r="C24" s="16">
        <v>161092</v>
      </c>
      <c r="D24" s="10">
        <v>8107003</v>
      </c>
      <c r="E24" s="10" t="s">
        <v>125</v>
      </c>
      <c r="F24" s="2" t="s">
        <v>43</v>
      </c>
      <c r="G24" s="2" t="s">
        <v>124</v>
      </c>
      <c r="H24" s="2" t="s">
        <v>47</v>
      </c>
      <c r="I24" s="2" t="s">
        <v>126</v>
      </c>
      <c r="J24" s="9">
        <v>24150</v>
      </c>
      <c r="K24" s="10">
        <v>3241598</v>
      </c>
      <c r="L24" s="2" t="s">
        <v>33</v>
      </c>
      <c r="M24" s="2">
        <v>3</v>
      </c>
      <c r="N24" s="2">
        <v>19</v>
      </c>
      <c r="R24" s="9">
        <v>33250</v>
      </c>
      <c r="W24" s="2">
        <v>3</v>
      </c>
      <c r="Z24" s="10">
        <v>723717302</v>
      </c>
    </row>
    <row r="25" spans="2:26" x14ac:dyDescent="0.25">
      <c r="B25" s="2">
        <v>25</v>
      </c>
      <c r="C25" s="16">
        <v>241614</v>
      </c>
      <c r="D25" s="10">
        <v>31621426</v>
      </c>
      <c r="E25" s="10" t="s">
        <v>131</v>
      </c>
      <c r="F25" s="2" t="s">
        <v>43</v>
      </c>
      <c r="G25" s="2" t="s">
        <v>127</v>
      </c>
      <c r="H25" s="2" t="s">
        <v>128</v>
      </c>
      <c r="I25" s="2" t="s">
        <v>129</v>
      </c>
      <c r="J25" s="9">
        <v>34400</v>
      </c>
      <c r="K25" s="10">
        <v>743542</v>
      </c>
      <c r="L25" s="2" t="s">
        <v>33</v>
      </c>
      <c r="M25" s="2">
        <v>25</v>
      </c>
      <c r="N25" s="2">
        <v>34</v>
      </c>
      <c r="R25" s="10" t="s">
        <v>130</v>
      </c>
      <c r="W25" s="2">
        <v>5</v>
      </c>
      <c r="Z25" s="10">
        <v>725256013</v>
      </c>
    </row>
    <row r="26" spans="2:26" x14ac:dyDescent="0.25">
      <c r="B26" s="2">
        <v>26</v>
      </c>
      <c r="C26" s="16">
        <v>241505</v>
      </c>
      <c r="D26" s="10">
        <v>33171966</v>
      </c>
      <c r="E26" s="10" t="s">
        <v>132</v>
      </c>
      <c r="F26" s="2" t="s">
        <v>43</v>
      </c>
      <c r="G26" s="2" t="s">
        <v>133</v>
      </c>
      <c r="H26" s="2" t="s">
        <v>134</v>
      </c>
      <c r="I26" s="2" t="s">
        <v>135</v>
      </c>
      <c r="J26" s="9">
        <v>34711</v>
      </c>
      <c r="K26" s="10">
        <v>653619</v>
      </c>
      <c r="L26" s="2" t="s">
        <v>33</v>
      </c>
      <c r="M26" s="2">
        <v>11</v>
      </c>
      <c r="N26" s="2">
        <v>46</v>
      </c>
      <c r="R26" s="10" t="s">
        <v>136</v>
      </c>
      <c r="W26" s="2">
        <v>12</v>
      </c>
      <c r="Y26" s="14" t="s">
        <v>726</v>
      </c>
      <c r="Z26" s="10">
        <v>717395661</v>
      </c>
    </row>
    <row r="27" spans="2:26" x14ac:dyDescent="0.25">
      <c r="B27" s="2">
        <v>28</v>
      </c>
      <c r="C27" s="16" t="s">
        <v>761</v>
      </c>
      <c r="D27" s="10">
        <v>35685292</v>
      </c>
      <c r="E27" s="10" t="s">
        <v>142</v>
      </c>
      <c r="F27" s="2" t="s">
        <v>43</v>
      </c>
      <c r="G27" s="2" t="s">
        <v>140</v>
      </c>
      <c r="H27" s="2" t="s">
        <v>139</v>
      </c>
      <c r="I27" s="2" t="s">
        <v>138</v>
      </c>
      <c r="J27" s="10" t="s">
        <v>141</v>
      </c>
      <c r="K27" s="10">
        <v>351441</v>
      </c>
      <c r="L27" s="2" t="s">
        <v>33</v>
      </c>
      <c r="M27" s="2">
        <v>23</v>
      </c>
      <c r="N27" s="2">
        <v>29</v>
      </c>
      <c r="R27" s="9">
        <v>44167</v>
      </c>
      <c r="W27" s="2">
        <v>5</v>
      </c>
      <c r="Y27" s="14" t="s">
        <v>753</v>
      </c>
      <c r="Z27" s="10">
        <v>799820615</v>
      </c>
    </row>
    <row r="28" spans="2:26" x14ac:dyDescent="0.25">
      <c r="B28" s="2">
        <v>29</v>
      </c>
      <c r="C28" s="16">
        <v>241669</v>
      </c>
      <c r="D28" s="10">
        <v>28075095</v>
      </c>
      <c r="E28" s="10" t="s">
        <v>146</v>
      </c>
      <c r="F28" s="2" t="s">
        <v>34</v>
      </c>
      <c r="G28" s="2" t="s">
        <v>671</v>
      </c>
      <c r="H28" s="2" t="s">
        <v>143</v>
      </c>
      <c r="I28" s="2" t="s">
        <v>144</v>
      </c>
      <c r="J28" s="9">
        <v>33361</v>
      </c>
      <c r="K28" s="10">
        <v>438912</v>
      </c>
      <c r="L28" s="2" t="s">
        <v>37</v>
      </c>
      <c r="M28" s="2">
        <v>6</v>
      </c>
      <c r="N28" s="2">
        <v>12</v>
      </c>
      <c r="R28" s="10" t="s">
        <v>145</v>
      </c>
      <c r="W28" s="2">
        <v>5</v>
      </c>
      <c r="Y28" s="14" t="s">
        <v>742</v>
      </c>
      <c r="Z28" s="11">
        <v>715233910</v>
      </c>
    </row>
    <row r="29" spans="2:26" x14ac:dyDescent="0.25">
      <c r="B29" s="2">
        <v>30</v>
      </c>
      <c r="C29" s="16">
        <v>241502</v>
      </c>
      <c r="D29" s="10">
        <v>30408351</v>
      </c>
      <c r="E29" s="10" t="s">
        <v>147</v>
      </c>
      <c r="F29" s="2" t="s">
        <v>43</v>
      </c>
      <c r="G29" s="2" t="s">
        <v>654</v>
      </c>
      <c r="H29" s="2" t="s">
        <v>148</v>
      </c>
      <c r="I29" s="2" t="s">
        <v>149</v>
      </c>
      <c r="J29" s="9">
        <v>34122</v>
      </c>
      <c r="K29" s="10">
        <v>2318993</v>
      </c>
      <c r="L29" s="2" t="s">
        <v>33</v>
      </c>
      <c r="M29" s="2">
        <v>6</v>
      </c>
      <c r="N29" s="2">
        <v>12</v>
      </c>
      <c r="R29" s="9">
        <v>43837</v>
      </c>
      <c r="W29" s="2">
        <v>5</v>
      </c>
      <c r="Z29" s="10">
        <v>797663214</v>
      </c>
    </row>
    <row r="30" spans="2:26" x14ac:dyDescent="0.25">
      <c r="B30" s="2">
        <v>31</v>
      </c>
      <c r="C30" s="16">
        <v>241706</v>
      </c>
      <c r="D30" s="10">
        <v>30050596</v>
      </c>
      <c r="E30" s="10" t="s">
        <v>704</v>
      </c>
      <c r="F30" s="2" t="s">
        <v>43</v>
      </c>
      <c r="G30" s="2" t="s">
        <v>715</v>
      </c>
      <c r="H30" s="2" t="s">
        <v>442</v>
      </c>
      <c r="I30" s="2" t="s">
        <v>305</v>
      </c>
      <c r="J30" s="9" t="s">
        <v>716</v>
      </c>
      <c r="K30" s="10">
        <v>551822</v>
      </c>
      <c r="L30" s="2" t="s">
        <v>33</v>
      </c>
      <c r="M30" s="2">
        <v>16</v>
      </c>
      <c r="N30" s="2">
        <v>3</v>
      </c>
      <c r="R30" s="9" t="s">
        <v>145</v>
      </c>
      <c r="W30" s="2">
        <v>5</v>
      </c>
      <c r="Z30" s="10">
        <v>712438404</v>
      </c>
    </row>
    <row r="31" spans="2:26" x14ac:dyDescent="0.25">
      <c r="B31" s="2">
        <v>32</v>
      </c>
      <c r="C31" s="16">
        <v>174046</v>
      </c>
      <c r="D31" s="10">
        <v>1375443</v>
      </c>
      <c r="E31" s="10" t="s">
        <v>150</v>
      </c>
      <c r="F31" s="2" t="s">
        <v>89</v>
      </c>
      <c r="G31" s="2" t="s">
        <v>151</v>
      </c>
      <c r="H31" s="2" t="s">
        <v>152</v>
      </c>
      <c r="I31" s="2" t="s">
        <v>153</v>
      </c>
      <c r="J31" s="9">
        <v>27738</v>
      </c>
      <c r="K31" s="10">
        <v>156453</v>
      </c>
      <c r="L31" s="2" t="s">
        <v>37</v>
      </c>
      <c r="M31" s="2">
        <v>6</v>
      </c>
      <c r="N31" s="2">
        <v>12</v>
      </c>
      <c r="R31" s="9">
        <v>38720</v>
      </c>
      <c r="W31" s="2">
        <v>3</v>
      </c>
      <c r="Y31" s="14" t="s">
        <v>754</v>
      </c>
      <c r="Z31" s="10">
        <v>722823069</v>
      </c>
    </row>
    <row r="32" spans="2:26" x14ac:dyDescent="0.25">
      <c r="B32" s="2">
        <v>33</v>
      </c>
      <c r="C32" s="16">
        <v>241703</v>
      </c>
      <c r="D32" s="10">
        <v>25786319</v>
      </c>
      <c r="E32" s="10" t="s">
        <v>157</v>
      </c>
      <c r="F32" s="2" t="s">
        <v>89</v>
      </c>
      <c r="G32" s="2" t="s">
        <v>649</v>
      </c>
      <c r="H32" s="2" t="s">
        <v>154</v>
      </c>
      <c r="I32" s="2" t="s">
        <v>155</v>
      </c>
      <c r="J32" s="10" t="s">
        <v>156</v>
      </c>
      <c r="K32" s="10">
        <v>959823</v>
      </c>
      <c r="L32" s="2" t="s">
        <v>37</v>
      </c>
      <c r="M32" s="2">
        <v>3</v>
      </c>
      <c r="N32" s="2">
        <v>29</v>
      </c>
      <c r="R32" s="9">
        <v>44563</v>
      </c>
      <c r="W32" s="2">
        <v>5</v>
      </c>
      <c r="Z32" s="10">
        <v>721958179</v>
      </c>
    </row>
    <row r="33" spans="1:26" x14ac:dyDescent="0.25">
      <c r="B33" s="2">
        <v>34</v>
      </c>
      <c r="C33" s="16">
        <v>241118</v>
      </c>
      <c r="D33" s="10">
        <v>20793936</v>
      </c>
      <c r="E33" s="10" t="s">
        <v>161</v>
      </c>
      <c r="F33" s="2" t="s">
        <v>89</v>
      </c>
      <c r="H33" s="2" t="s">
        <v>158</v>
      </c>
      <c r="I33" s="2" t="s">
        <v>159</v>
      </c>
      <c r="J33" s="10" t="s">
        <v>160</v>
      </c>
      <c r="K33" s="10">
        <v>170153</v>
      </c>
      <c r="L33" s="2" t="s">
        <v>37</v>
      </c>
      <c r="M33" s="2">
        <v>22</v>
      </c>
      <c r="N33" s="2">
        <v>43</v>
      </c>
      <c r="R33" s="9">
        <v>42375</v>
      </c>
      <c r="W33" s="2">
        <v>5</v>
      </c>
      <c r="Y33" s="14" t="s">
        <v>755</v>
      </c>
      <c r="Z33" s="10">
        <v>733515700</v>
      </c>
    </row>
    <row r="34" spans="1:26" x14ac:dyDescent="0.25">
      <c r="B34" s="2">
        <v>35</v>
      </c>
      <c r="C34" s="16">
        <v>175177</v>
      </c>
      <c r="D34" s="10">
        <v>21955124</v>
      </c>
      <c r="E34" s="10" t="s">
        <v>162</v>
      </c>
      <c r="F34" s="2" t="s">
        <v>89</v>
      </c>
      <c r="G34" s="2" t="s">
        <v>166</v>
      </c>
      <c r="H34" s="2" t="s">
        <v>163</v>
      </c>
      <c r="I34" s="2" t="s">
        <v>164</v>
      </c>
      <c r="J34" s="10" t="s">
        <v>165</v>
      </c>
      <c r="K34" s="10">
        <v>8802083</v>
      </c>
      <c r="L34" s="2" t="s">
        <v>37</v>
      </c>
      <c r="M34" s="2">
        <v>6</v>
      </c>
      <c r="N34" s="2">
        <v>12</v>
      </c>
      <c r="R34" s="9">
        <v>36170</v>
      </c>
      <c r="W34" s="2">
        <v>3</v>
      </c>
      <c r="Z34" s="10">
        <v>727488088</v>
      </c>
    </row>
    <row r="35" spans="1:26" x14ac:dyDescent="0.25">
      <c r="B35" s="2">
        <v>36</v>
      </c>
      <c r="C35" s="16">
        <v>241607</v>
      </c>
      <c r="D35" s="10">
        <v>22043370</v>
      </c>
      <c r="E35" s="10" t="s">
        <v>762</v>
      </c>
      <c r="F35" s="2" t="s">
        <v>89</v>
      </c>
      <c r="G35" s="2" t="s">
        <v>167</v>
      </c>
      <c r="H35" s="2" t="s">
        <v>68</v>
      </c>
      <c r="I35" s="2" t="s">
        <v>168</v>
      </c>
      <c r="J35" s="10" t="s">
        <v>763</v>
      </c>
      <c r="K35" s="10"/>
      <c r="L35" s="2" t="s">
        <v>37</v>
      </c>
      <c r="M35" s="2">
        <v>22</v>
      </c>
      <c r="N35" s="2">
        <v>43</v>
      </c>
      <c r="R35" s="10" t="s">
        <v>723</v>
      </c>
      <c r="W35" s="2">
        <v>95</v>
      </c>
      <c r="Y35" s="14" t="s">
        <v>748</v>
      </c>
      <c r="Z35" s="10">
        <v>722445844</v>
      </c>
    </row>
    <row r="36" spans="1:26" x14ac:dyDescent="0.25">
      <c r="B36" s="2">
        <v>37</v>
      </c>
      <c r="C36" s="16">
        <v>171194</v>
      </c>
      <c r="D36" s="10">
        <v>14740020</v>
      </c>
      <c r="E36" s="10" t="s">
        <v>171</v>
      </c>
      <c r="F36" s="2" t="s">
        <v>43</v>
      </c>
      <c r="G36" s="2" t="s">
        <v>169</v>
      </c>
      <c r="H36" s="2" t="s">
        <v>170</v>
      </c>
      <c r="I36" s="2" t="s">
        <v>644</v>
      </c>
      <c r="J36" s="10" t="s">
        <v>173</v>
      </c>
      <c r="K36" s="10">
        <v>901169</v>
      </c>
      <c r="L36" s="2" t="s">
        <v>33</v>
      </c>
      <c r="M36" s="2">
        <v>4</v>
      </c>
      <c r="N36" s="2">
        <v>47</v>
      </c>
      <c r="R36" s="9">
        <v>43103</v>
      </c>
      <c r="W36" s="2">
        <v>3</v>
      </c>
      <c r="Z36" s="10">
        <v>708727123</v>
      </c>
    </row>
    <row r="37" spans="1:26" x14ac:dyDescent="0.25">
      <c r="B37" s="2">
        <v>38</v>
      </c>
      <c r="C37" s="16">
        <v>179032</v>
      </c>
      <c r="D37" s="10">
        <v>9124859</v>
      </c>
      <c r="E37" s="10" t="s">
        <v>172</v>
      </c>
      <c r="F37" s="2" t="s">
        <v>43</v>
      </c>
      <c r="G37" s="2" t="s">
        <v>174</v>
      </c>
      <c r="H37" s="2" t="s">
        <v>31</v>
      </c>
      <c r="I37" s="2" t="s">
        <v>175</v>
      </c>
      <c r="J37" s="10" t="s">
        <v>176</v>
      </c>
      <c r="K37" s="10">
        <v>563237</v>
      </c>
      <c r="L37" s="2" t="s">
        <v>33</v>
      </c>
      <c r="M37" s="2">
        <v>4</v>
      </c>
      <c r="N37" s="2">
        <v>32</v>
      </c>
      <c r="R37" s="9">
        <v>39821</v>
      </c>
      <c r="W37" s="2">
        <v>3</v>
      </c>
      <c r="Z37" s="10">
        <v>708727123</v>
      </c>
    </row>
    <row r="38" spans="1:26" x14ac:dyDescent="0.25">
      <c r="B38" s="2">
        <v>39</v>
      </c>
      <c r="C38" s="16">
        <v>184046</v>
      </c>
      <c r="D38" s="10">
        <v>22266918</v>
      </c>
      <c r="E38" s="10" t="s">
        <v>177</v>
      </c>
      <c r="F38" s="2" t="s">
        <v>43</v>
      </c>
      <c r="G38" s="2" t="s">
        <v>179</v>
      </c>
      <c r="H38" s="2" t="s">
        <v>178</v>
      </c>
      <c r="I38" s="2" t="s">
        <v>656</v>
      </c>
      <c r="J38" s="10" t="s">
        <v>180</v>
      </c>
      <c r="K38" s="10">
        <v>9225751</v>
      </c>
      <c r="L38" s="2" t="s">
        <v>33</v>
      </c>
      <c r="M38" s="2">
        <v>11</v>
      </c>
      <c r="N38" s="2">
        <v>45</v>
      </c>
      <c r="R38" s="9">
        <v>40188</v>
      </c>
      <c r="W38" s="2">
        <v>3</v>
      </c>
      <c r="Z38" s="10">
        <v>720715583</v>
      </c>
    </row>
    <row r="39" spans="1:26" x14ac:dyDescent="0.25">
      <c r="B39" s="2">
        <v>40</v>
      </c>
      <c r="C39" s="16">
        <v>161094</v>
      </c>
      <c r="D39" s="10">
        <v>10550840</v>
      </c>
      <c r="E39" s="10" t="s">
        <v>705</v>
      </c>
      <c r="F39" s="2" t="s">
        <v>43</v>
      </c>
      <c r="G39" s="2" t="s">
        <v>181</v>
      </c>
      <c r="H39" s="2" t="s">
        <v>78</v>
      </c>
      <c r="I39" s="2" t="s">
        <v>126</v>
      </c>
      <c r="J39" s="9">
        <v>26207</v>
      </c>
      <c r="K39" s="10">
        <v>689635</v>
      </c>
      <c r="L39" s="2" t="s">
        <v>33</v>
      </c>
      <c r="M39" s="2">
        <v>4</v>
      </c>
      <c r="N39" s="2">
        <v>47</v>
      </c>
      <c r="R39" s="9">
        <v>33979</v>
      </c>
      <c r="W39" s="2">
        <v>3</v>
      </c>
      <c r="Z39" s="10">
        <v>720169855</v>
      </c>
    </row>
    <row r="40" spans="1:26" x14ac:dyDescent="0.25">
      <c r="B40" s="2">
        <v>41</v>
      </c>
      <c r="C40" s="16">
        <v>111041</v>
      </c>
      <c r="D40" s="10">
        <v>8735475</v>
      </c>
      <c r="E40" s="10" t="s">
        <v>182</v>
      </c>
      <c r="F40" s="2" t="s">
        <v>43</v>
      </c>
      <c r="G40" s="2" t="s">
        <v>187</v>
      </c>
      <c r="H40" s="2" t="s">
        <v>188</v>
      </c>
      <c r="I40" s="2" t="s">
        <v>185</v>
      </c>
      <c r="J40" s="9">
        <v>25421</v>
      </c>
      <c r="K40" s="10">
        <v>9144889</v>
      </c>
      <c r="L40" s="2" t="s">
        <v>33</v>
      </c>
      <c r="M40" s="2">
        <v>31</v>
      </c>
      <c r="N40" s="2">
        <v>10</v>
      </c>
      <c r="R40" s="9">
        <v>36893</v>
      </c>
      <c r="W40" s="2">
        <v>3</v>
      </c>
      <c r="Z40" s="10">
        <v>724514669</v>
      </c>
    </row>
    <row r="41" spans="1:26" x14ac:dyDescent="0.25">
      <c r="B41" s="2">
        <v>42</v>
      </c>
      <c r="C41" s="16">
        <v>241015</v>
      </c>
      <c r="D41" s="10">
        <v>26038175</v>
      </c>
      <c r="E41" s="10" t="s">
        <v>183</v>
      </c>
      <c r="F41" s="2" t="s">
        <v>43</v>
      </c>
      <c r="G41" s="2" t="s">
        <v>189</v>
      </c>
      <c r="H41" s="2" t="s">
        <v>191</v>
      </c>
      <c r="I41" s="2" t="s">
        <v>190</v>
      </c>
      <c r="J41" s="9">
        <v>31329</v>
      </c>
      <c r="K41" s="10">
        <v>2589203</v>
      </c>
      <c r="L41" s="2" t="s">
        <v>33</v>
      </c>
      <c r="M41" s="2">
        <v>22</v>
      </c>
      <c r="N41" s="2">
        <v>44</v>
      </c>
      <c r="R41" s="9">
        <v>40915</v>
      </c>
      <c r="W41" s="2">
        <v>5</v>
      </c>
      <c r="Z41" s="10">
        <v>795800873</v>
      </c>
    </row>
    <row r="42" spans="1:26" x14ac:dyDescent="0.25">
      <c r="A42" s="2" t="s">
        <v>760</v>
      </c>
      <c r="B42" s="2">
        <v>43</v>
      </c>
      <c r="C42" s="16">
        <v>111053</v>
      </c>
      <c r="D42" s="10">
        <v>22353089</v>
      </c>
      <c r="E42" s="10" t="s">
        <v>184</v>
      </c>
      <c r="F42" s="2" t="s">
        <v>43</v>
      </c>
      <c r="G42" s="2" t="s">
        <v>192</v>
      </c>
      <c r="H42" s="2" t="s">
        <v>193</v>
      </c>
      <c r="I42" s="2" t="s">
        <v>194</v>
      </c>
      <c r="J42" s="10" t="s">
        <v>186</v>
      </c>
      <c r="K42" s="10">
        <v>8893632</v>
      </c>
      <c r="L42" s="2" t="s">
        <v>33</v>
      </c>
      <c r="M42" s="2">
        <v>31</v>
      </c>
      <c r="N42" s="2">
        <v>11</v>
      </c>
      <c r="R42" s="9">
        <v>40545</v>
      </c>
      <c r="W42" s="2">
        <v>3</v>
      </c>
      <c r="Z42" s="10">
        <v>721666337</v>
      </c>
    </row>
    <row r="43" spans="1:26" x14ac:dyDescent="0.25">
      <c r="B43" s="2">
        <v>44</v>
      </c>
      <c r="C43" s="16">
        <v>175131</v>
      </c>
      <c r="D43" s="10">
        <v>13494695</v>
      </c>
      <c r="E43" s="10" t="s">
        <v>197</v>
      </c>
      <c r="F43" s="2" t="s">
        <v>43</v>
      </c>
      <c r="G43" s="2" t="s">
        <v>672</v>
      </c>
      <c r="H43" s="2" t="s">
        <v>195</v>
      </c>
      <c r="I43" s="2" t="s">
        <v>196</v>
      </c>
      <c r="J43" s="9">
        <v>27395</v>
      </c>
      <c r="K43" s="10">
        <v>8969617</v>
      </c>
      <c r="L43" s="2" t="s">
        <v>33</v>
      </c>
      <c r="M43" s="2">
        <v>6</v>
      </c>
      <c r="N43" s="2">
        <v>12</v>
      </c>
      <c r="R43" s="9">
        <v>35014</v>
      </c>
      <c r="W43" s="2">
        <v>3</v>
      </c>
      <c r="Z43" s="10">
        <v>722362688</v>
      </c>
    </row>
    <row r="44" spans="1:26" x14ac:dyDescent="0.25">
      <c r="B44" s="2">
        <v>45</v>
      </c>
      <c r="C44" s="16">
        <v>113037</v>
      </c>
      <c r="D44" s="10">
        <v>23888972</v>
      </c>
      <c r="E44" s="10" t="s">
        <v>198</v>
      </c>
      <c r="F44" s="2" t="s">
        <v>43</v>
      </c>
      <c r="G44" s="2" t="s">
        <v>200</v>
      </c>
      <c r="H44" s="2" t="s">
        <v>201</v>
      </c>
      <c r="I44" s="2" t="s">
        <v>202</v>
      </c>
      <c r="J44" s="10" t="s">
        <v>207</v>
      </c>
      <c r="K44" s="10">
        <v>797149</v>
      </c>
      <c r="L44" s="2" t="s">
        <v>33</v>
      </c>
      <c r="M44" s="2">
        <v>1</v>
      </c>
      <c r="N44" s="2">
        <v>1</v>
      </c>
      <c r="R44" s="9">
        <v>39058</v>
      </c>
      <c r="W44" s="2">
        <v>3</v>
      </c>
      <c r="Y44" s="14" t="s">
        <v>756</v>
      </c>
      <c r="Z44" s="10">
        <v>722955573</v>
      </c>
    </row>
    <row r="45" spans="1:26" x14ac:dyDescent="0.25">
      <c r="B45" s="2">
        <v>46</v>
      </c>
      <c r="C45" s="16">
        <v>181037</v>
      </c>
      <c r="D45" s="10">
        <v>23616610</v>
      </c>
      <c r="E45" s="10" t="s">
        <v>199</v>
      </c>
      <c r="F45" s="2" t="s">
        <v>89</v>
      </c>
      <c r="G45" s="2" t="s">
        <v>210</v>
      </c>
      <c r="H45" s="2" t="s">
        <v>204</v>
      </c>
      <c r="I45" s="2" t="s">
        <v>203</v>
      </c>
      <c r="J45" s="9">
        <v>31080</v>
      </c>
      <c r="K45" s="10">
        <v>993607</v>
      </c>
      <c r="L45" s="2" t="s">
        <v>37</v>
      </c>
      <c r="M45" s="2">
        <v>11</v>
      </c>
      <c r="N45" s="2">
        <v>46</v>
      </c>
      <c r="R45" s="9">
        <v>38729</v>
      </c>
      <c r="W45" s="2">
        <v>3</v>
      </c>
      <c r="Z45" s="10">
        <v>725257473</v>
      </c>
    </row>
    <row r="46" spans="1:26" x14ac:dyDescent="0.25">
      <c r="B46" s="2">
        <v>47</v>
      </c>
      <c r="C46" s="16">
        <v>143022</v>
      </c>
      <c r="D46" s="10">
        <v>14519207</v>
      </c>
      <c r="E46" s="10" t="s">
        <v>247</v>
      </c>
      <c r="F46" s="2" t="s">
        <v>43</v>
      </c>
      <c r="G46" s="2" t="s">
        <v>205</v>
      </c>
      <c r="H46" s="2" t="s">
        <v>206</v>
      </c>
      <c r="I46" s="2" t="s">
        <v>209</v>
      </c>
      <c r="J46" s="9">
        <v>27030</v>
      </c>
      <c r="K46" s="10">
        <v>868588</v>
      </c>
      <c r="L46" s="2" t="s">
        <v>33</v>
      </c>
      <c r="M46" s="2">
        <v>4</v>
      </c>
      <c r="N46" s="2">
        <v>19</v>
      </c>
      <c r="R46" s="10" t="s">
        <v>208</v>
      </c>
      <c r="W46" s="2">
        <v>3</v>
      </c>
      <c r="Z46" s="10">
        <v>720712444</v>
      </c>
    </row>
    <row r="47" spans="1:26" x14ac:dyDescent="0.25">
      <c r="B47" s="2">
        <v>48</v>
      </c>
      <c r="C47" s="16">
        <v>184042</v>
      </c>
      <c r="D47" s="10">
        <v>13878750</v>
      </c>
      <c r="E47" s="10" t="s">
        <v>211</v>
      </c>
      <c r="F47" s="2" t="s">
        <v>43</v>
      </c>
      <c r="G47" s="2" t="s">
        <v>216</v>
      </c>
      <c r="H47" s="2" t="s">
        <v>217</v>
      </c>
      <c r="I47" s="2" t="s">
        <v>218</v>
      </c>
      <c r="J47" s="10" t="s">
        <v>213</v>
      </c>
      <c r="K47" s="10">
        <v>831602</v>
      </c>
      <c r="L47" s="2" t="s">
        <v>33</v>
      </c>
      <c r="M47" s="2">
        <v>22</v>
      </c>
      <c r="N47" s="2">
        <v>40</v>
      </c>
      <c r="R47" s="10" t="s">
        <v>222</v>
      </c>
      <c r="W47" s="2">
        <v>3</v>
      </c>
      <c r="Z47" s="10">
        <v>724900104</v>
      </c>
    </row>
    <row r="48" spans="1:26" x14ac:dyDescent="0.25">
      <c r="B48" s="2">
        <v>49</v>
      </c>
      <c r="C48" s="16">
        <v>163149</v>
      </c>
      <c r="D48" s="10">
        <v>13783232</v>
      </c>
      <c r="E48" s="10" t="s">
        <v>212</v>
      </c>
      <c r="F48" s="2" t="s">
        <v>43</v>
      </c>
      <c r="G48" s="2" t="s">
        <v>669</v>
      </c>
      <c r="H48" s="2" t="s">
        <v>670</v>
      </c>
      <c r="I48" s="2" t="s">
        <v>219</v>
      </c>
      <c r="J48" s="10" t="s">
        <v>214</v>
      </c>
      <c r="K48" s="10">
        <v>84575</v>
      </c>
      <c r="L48" s="2" t="s">
        <v>33</v>
      </c>
      <c r="M48" s="2">
        <v>3</v>
      </c>
      <c r="N48" s="2">
        <v>15</v>
      </c>
      <c r="R48" s="9">
        <v>40913</v>
      </c>
      <c r="W48" s="2">
        <v>3</v>
      </c>
      <c r="Z48" s="10">
        <v>727280749</v>
      </c>
    </row>
    <row r="49" spans="2:26" x14ac:dyDescent="0.25">
      <c r="B49" s="2">
        <v>50</v>
      </c>
      <c r="C49" s="16">
        <v>241273</v>
      </c>
      <c r="D49" s="10">
        <v>29236121</v>
      </c>
      <c r="E49" s="10" t="s">
        <v>248</v>
      </c>
      <c r="F49" s="2" t="s">
        <v>43</v>
      </c>
      <c r="G49" s="2" t="s">
        <v>221</v>
      </c>
      <c r="H49" s="2" t="s">
        <v>220</v>
      </c>
      <c r="I49" s="2" t="s">
        <v>223</v>
      </c>
      <c r="J49" s="10" t="s">
        <v>215</v>
      </c>
      <c r="K49" s="10">
        <v>9955194</v>
      </c>
      <c r="L49" s="2" t="s">
        <v>33</v>
      </c>
      <c r="M49" s="2">
        <v>22</v>
      </c>
      <c r="N49" s="2">
        <v>41</v>
      </c>
      <c r="R49" s="9">
        <v>42379</v>
      </c>
      <c r="W49" s="2">
        <v>3</v>
      </c>
      <c r="Y49" s="14" t="s">
        <v>738</v>
      </c>
      <c r="Z49" s="10">
        <v>724062154</v>
      </c>
    </row>
    <row r="50" spans="2:26" x14ac:dyDescent="0.25">
      <c r="B50" s="2">
        <v>51</v>
      </c>
      <c r="C50" s="16">
        <v>163124</v>
      </c>
      <c r="D50" s="10">
        <v>9194224</v>
      </c>
      <c r="E50" s="10"/>
      <c r="F50" s="2" t="s">
        <v>43</v>
      </c>
      <c r="G50" s="2" t="s">
        <v>225</v>
      </c>
      <c r="H50" s="2" t="s">
        <v>79</v>
      </c>
      <c r="I50" s="2" t="s">
        <v>224</v>
      </c>
      <c r="J50" s="10" t="s">
        <v>239</v>
      </c>
      <c r="K50" s="10"/>
      <c r="L50" s="2" t="s">
        <v>33</v>
      </c>
      <c r="M50" s="2">
        <v>23</v>
      </c>
      <c r="N50" s="2">
        <v>33</v>
      </c>
      <c r="R50" s="10" t="s">
        <v>238</v>
      </c>
      <c r="W50" s="2">
        <v>95</v>
      </c>
      <c r="Z50" s="10">
        <v>721718091</v>
      </c>
    </row>
    <row r="51" spans="2:26" x14ac:dyDescent="0.25">
      <c r="B51" s="2">
        <v>52</v>
      </c>
      <c r="C51" s="16">
        <v>174055</v>
      </c>
      <c r="D51" s="10">
        <v>20124396</v>
      </c>
      <c r="E51" s="10" t="s">
        <v>244</v>
      </c>
      <c r="F51" s="2" t="s">
        <v>43</v>
      </c>
      <c r="G51" s="2" t="s">
        <v>648</v>
      </c>
      <c r="H51" s="2" t="s">
        <v>226</v>
      </c>
      <c r="I51" s="2" t="s">
        <v>227</v>
      </c>
      <c r="J51" s="10" t="s">
        <v>240</v>
      </c>
      <c r="K51" s="10">
        <v>8700787</v>
      </c>
      <c r="L51" s="2" t="s">
        <v>33</v>
      </c>
      <c r="M51" s="2">
        <v>23</v>
      </c>
      <c r="N51" s="2">
        <v>30</v>
      </c>
      <c r="R51" s="9">
        <v>41275</v>
      </c>
      <c r="W51" s="2">
        <v>95</v>
      </c>
      <c r="Z51" s="10">
        <v>721449292</v>
      </c>
    </row>
    <row r="52" spans="2:26" x14ac:dyDescent="0.25">
      <c r="B52" s="2">
        <v>53</v>
      </c>
      <c r="C52" s="16">
        <v>241709</v>
      </c>
      <c r="D52" s="10">
        <v>36692455</v>
      </c>
      <c r="E52" s="10" t="s">
        <v>245</v>
      </c>
      <c r="F52" s="2" t="s">
        <v>43</v>
      </c>
      <c r="G52" s="2" t="s">
        <v>673</v>
      </c>
      <c r="H52" s="2" t="s">
        <v>229</v>
      </c>
      <c r="I52" s="2" t="s">
        <v>228</v>
      </c>
      <c r="J52" s="10" t="s">
        <v>241</v>
      </c>
      <c r="K52" s="10">
        <v>290109</v>
      </c>
      <c r="L52" s="2" t="s">
        <v>33</v>
      </c>
      <c r="M52" s="2">
        <v>23</v>
      </c>
      <c r="N52" s="2">
        <v>36</v>
      </c>
      <c r="R52" s="10" t="s">
        <v>145</v>
      </c>
      <c r="W52" s="2">
        <v>5</v>
      </c>
      <c r="Z52" s="10">
        <v>719266120</v>
      </c>
    </row>
    <row r="53" spans="2:26" x14ac:dyDescent="0.25">
      <c r="B53" s="2">
        <v>54</v>
      </c>
      <c r="C53" s="16">
        <v>175204</v>
      </c>
      <c r="D53" s="10">
        <v>22469478</v>
      </c>
      <c r="E53" s="10" t="s">
        <v>250</v>
      </c>
      <c r="F53" s="2" t="s">
        <v>43</v>
      </c>
      <c r="G53" s="2" t="s">
        <v>232</v>
      </c>
      <c r="H53" s="2" t="s">
        <v>230</v>
      </c>
      <c r="I53" s="2" t="s">
        <v>231</v>
      </c>
      <c r="J53" s="9">
        <v>29932</v>
      </c>
      <c r="K53" s="10">
        <v>3888941</v>
      </c>
      <c r="L53" s="2" t="s">
        <v>33</v>
      </c>
      <c r="M53" s="2">
        <v>4</v>
      </c>
      <c r="N53" s="2">
        <v>19</v>
      </c>
      <c r="R53" s="9">
        <v>40545</v>
      </c>
      <c r="W53" s="2">
        <v>3</v>
      </c>
      <c r="Z53" s="10">
        <v>722734025</v>
      </c>
    </row>
    <row r="54" spans="2:26" x14ac:dyDescent="0.25">
      <c r="B54" s="2">
        <v>55</v>
      </c>
      <c r="C54" s="16">
        <v>161152</v>
      </c>
      <c r="D54" s="10">
        <v>11305223</v>
      </c>
      <c r="E54" s="10" t="s">
        <v>246</v>
      </c>
      <c r="F54" s="2" t="s">
        <v>43</v>
      </c>
      <c r="G54" s="2" t="s">
        <v>233</v>
      </c>
      <c r="H54" s="2" t="s">
        <v>234</v>
      </c>
      <c r="I54" s="2" t="s">
        <v>235</v>
      </c>
      <c r="J54" s="10" t="s">
        <v>242</v>
      </c>
      <c r="K54" s="10">
        <v>9350138</v>
      </c>
      <c r="L54" s="2" t="s">
        <v>33</v>
      </c>
      <c r="M54" s="2">
        <v>14</v>
      </c>
      <c r="N54" s="2">
        <v>37</v>
      </c>
      <c r="R54" s="9">
        <v>39083</v>
      </c>
      <c r="W54" s="2">
        <v>3</v>
      </c>
      <c r="Z54" s="10">
        <v>721555316</v>
      </c>
    </row>
    <row r="55" spans="2:26" x14ac:dyDescent="0.25">
      <c r="B55" s="2">
        <v>56</v>
      </c>
      <c r="C55" s="16">
        <v>175209</v>
      </c>
      <c r="D55" s="10">
        <v>14425020</v>
      </c>
      <c r="E55" s="10" t="s">
        <v>249</v>
      </c>
      <c r="F55" s="2" t="s">
        <v>43</v>
      </c>
      <c r="G55" s="2" t="s">
        <v>237</v>
      </c>
      <c r="H55" s="2" t="s">
        <v>47</v>
      </c>
      <c r="I55" s="2" t="s">
        <v>236</v>
      </c>
      <c r="J55" s="10" t="s">
        <v>243</v>
      </c>
      <c r="K55" s="10">
        <v>3678534</v>
      </c>
      <c r="L55" s="2" t="s">
        <v>33</v>
      </c>
      <c r="M55" s="2">
        <v>3</v>
      </c>
      <c r="N55" s="2">
        <v>17</v>
      </c>
      <c r="R55" s="9">
        <v>40551</v>
      </c>
      <c r="W55" s="2">
        <v>3</v>
      </c>
      <c r="Z55" s="10">
        <v>796116256</v>
      </c>
    </row>
    <row r="56" spans="2:26" x14ac:dyDescent="0.25">
      <c r="B56" s="2">
        <v>57</v>
      </c>
      <c r="C56" s="16">
        <v>241311</v>
      </c>
      <c r="D56" s="10">
        <v>27532666</v>
      </c>
      <c r="E56" s="10" t="s">
        <v>281</v>
      </c>
      <c r="F56" s="2" t="s">
        <v>43</v>
      </c>
      <c r="G56" s="2" t="s">
        <v>251</v>
      </c>
      <c r="I56" s="2" t="s">
        <v>252</v>
      </c>
      <c r="J56" s="10" t="s">
        <v>295</v>
      </c>
      <c r="K56" s="10">
        <v>659712</v>
      </c>
      <c r="L56" s="2" t="s">
        <v>33</v>
      </c>
      <c r="M56" s="2">
        <v>3</v>
      </c>
      <c r="N56" s="2">
        <v>17</v>
      </c>
      <c r="R56" s="10" t="s">
        <v>297</v>
      </c>
      <c r="W56" s="2">
        <v>5</v>
      </c>
      <c r="Z56" s="10">
        <v>715619869</v>
      </c>
    </row>
    <row r="57" spans="2:26" x14ac:dyDescent="0.25">
      <c r="B57" s="2">
        <v>58</v>
      </c>
      <c r="C57" s="16">
        <v>241611</v>
      </c>
      <c r="D57" s="10">
        <v>27532666</v>
      </c>
      <c r="E57" s="10" t="s">
        <v>282</v>
      </c>
      <c r="F57" s="2" t="s">
        <v>89</v>
      </c>
      <c r="G57" s="2" t="s">
        <v>255</v>
      </c>
      <c r="H57" s="2" t="s">
        <v>256</v>
      </c>
      <c r="I57" s="2" t="s">
        <v>257</v>
      </c>
      <c r="J57" s="9">
        <v>33420</v>
      </c>
      <c r="K57" s="10">
        <v>9385358</v>
      </c>
      <c r="L57" s="2" t="s">
        <v>37</v>
      </c>
      <c r="M57" s="2">
        <v>4</v>
      </c>
      <c r="N57" s="2">
        <v>21</v>
      </c>
      <c r="R57" s="9">
        <v>44621</v>
      </c>
      <c r="W57" s="2">
        <v>5</v>
      </c>
      <c r="Z57" s="10">
        <v>713904706</v>
      </c>
    </row>
    <row r="58" spans="2:26" x14ac:dyDescent="0.25">
      <c r="B58" s="2">
        <v>59</v>
      </c>
      <c r="C58" s="16">
        <v>241722</v>
      </c>
      <c r="D58" s="10">
        <v>29105215</v>
      </c>
      <c r="E58" s="10" t="s">
        <v>283</v>
      </c>
      <c r="F58" s="2" t="s">
        <v>43</v>
      </c>
      <c r="G58" s="2" t="s">
        <v>260</v>
      </c>
      <c r="H58" s="2" t="s">
        <v>259</v>
      </c>
      <c r="I58" s="2" t="s">
        <v>258</v>
      </c>
      <c r="J58" s="9">
        <v>32874</v>
      </c>
      <c r="K58" s="10">
        <v>270607</v>
      </c>
      <c r="L58" s="2" t="s">
        <v>33</v>
      </c>
      <c r="M58" s="2">
        <v>6</v>
      </c>
      <c r="N58" s="2">
        <v>13</v>
      </c>
      <c r="R58" s="9" t="s">
        <v>722</v>
      </c>
      <c r="W58" s="2">
        <v>5</v>
      </c>
      <c r="Z58" s="10">
        <v>723331998</v>
      </c>
    </row>
    <row r="59" spans="2:26" x14ac:dyDescent="0.25">
      <c r="B59" s="2">
        <v>60</v>
      </c>
      <c r="C59" s="16">
        <v>241716</v>
      </c>
      <c r="D59" s="10">
        <v>26091118</v>
      </c>
      <c r="E59" s="10" t="s">
        <v>284</v>
      </c>
      <c r="F59" s="2" t="s">
        <v>43</v>
      </c>
      <c r="G59" s="2" t="s">
        <v>666</v>
      </c>
      <c r="H59" s="2" t="s">
        <v>261</v>
      </c>
      <c r="I59" s="2" t="s">
        <v>262</v>
      </c>
      <c r="J59" s="10">
        <v>1989</v>
      </c>
      <c r="K59" s="10">
        <v>9205553</v>
      </c>
      <c r="L59" s="2" t="s">
        <v>33</v>
      </c>
      <c r="M59" s="2">
        <v>4</v>
      </c>
      <c r="N59" s="2">
        <v>19</v>
      </c>
      <c r="R59" s="9">
        <v>44594</v>
      </c>
      <c r="W59" s="2">
        <v>5</v>
      </c>
      <c r="Z59" s="10">
        <v>706777829</v>
      </c>
    </row>
    <row r="60" spans="2:26" x14ac:dyDescent="0.25">
      <c r="B60" s="2">
        <v>61</v>
      </c>
      <c r="C60" s="16">
        <v>241113</v>
      </c>
      <c r="D60" s="10">
        <v>23111970</v>
      </c>
      <c r="E60" s="10" t="s">
        <v>285</v>
      </c>
      <c r="F60" s="2" t="s">
        <v>43</v>
      </c>
      <c r="G60" s="2" t="s">
        <v>253</v>
      </c>
      <c r="H60" s="2" t="s">
        <v>254</v>
      </c>
      <c r="J60" s="10">
        <v>1982</v>
      </c>
      <c r="K60" s="10">
        <v>157944</v>
      </c>
      <c r="L60" s="2" t="s">
        <v>33</v>
      </c>
      <c r="M60" s="2">
        <v>23</v>
      </c>
      <c r="N60" s="2">
        <v>33</v>
      </c>
      <c r="R60" s="9">
        <v>40545</v>
      </c>
      <c r="W60" s="2">
        <v>95</v>
      </c>
      <c r="Z60" s="10">
        <v>723972559</v>
      </c>
    </row>
    <row r="61" spans="2:26" x14ac:dyDescent="0.25">
      <c r="B61" s="2">
        <v>62</v>
      </c>
      <c r="C61" s="16">
        <v>171173</v>
      </c>
      <c r="D61" s="10">
        <v>22672402</v>
      </c>
      <c r="E61" s="10" t="s">
        <v>286</v>
      </c>
      <c r="F61" s="2" t="s">
        <v>43</v>
      </c>
      <c r="G61" s="2" t="s">
        <v>264</v>
      </c>
      <c r="H61" s="2" t="s">
        <v>263</v>
      </c>
      <c r="I61" s="2" t="s">
        <v>265</v>
      </c>
      <c r="J61" s="9">
        <v>30471</v>
      </c>
      <c r="K61" s="10">
        <v>9600939</v>
      </c>
      <c r="L61" s="2" t="s">
        <v>33</v>
      </c>
      <c r="M61" s="2">
        <v>11</v>
      </c>
      <c r="N61" s="2">
        <v>46</v>
      </c>
      <c r="R61" s="9">
        <v>2005</v>
      </c>
      <c r="W61" s="2">
        <v>3</v>
      </c>
      <c r="Z61" s="10">
        <v>704872309</v>
      </c>
    </row>
    <row r="62" spans="2:26" x14ac:dyDescent="0.25">
      <c r="B62" s="2">
        <v>63</v>
      </c>
      <c r="C62" s="16">
        <v>152003</v>
      </c>
      <c r="D62" s="10">
        <v>12631708</v>
      </c>
      <c r="E62" s="10" t="s">
        <v>287</v>
      </c>
      <c r="F62" s="2" t="s">
        <v>43</v>
      </c>
      <c r="G62" s="2" t="s">
        <v>267</v>
      </c>
      <c r="H62" s="2" t="s">
        <v>266</v>
      </c>
      <c r="J62" s="10">
        <v>1974</v>
      </c>
      <c r="K62" s="10">
        <v>483644</v>
      </c>
      <c r="L62" s="2" t="s">
        <v>33</v>
      </c>
      <c r="M62" s="2">
        <v>3</v>
      </c>
      <c r="N62" s="2">
        <v>15</v>
      </c>
      <c r="R62" s="9">
        <v>38729</v>
      </c>
      <c r="W62" s="2">
        <v>3</v>
      </c>
      <c r="Z62" s="10">
        <v>722682791</v>
      </c>
    </row>
    <row r="63" spans="2:26" x14ac:dyDescent="0.25">
      <c r="B63" s="2">
        <v>64</v>
      </c>
      <c r="C63" s="16">
        <v>241559</v>
      </c>
      <c r="D63" s="12">
        <v>27446977</v>
      </c>
      <c r="E63" s="10" t="s">
        <v>703</v>
      </c>
      <c r="F63" s="2" t="s">
        <v>43</v>
      </c>
      <c r="G63" s="2" t="s">
        <v>696</v>
      </c>
      <c r="H63" s="2" t="s">
        <v>170</v>
      </c>
      <c r="I63" s="2" t="s">
        <v>674</v>
      </c>
      <c r="J63" s="10" t="s">
        <v>699</v>
      </c>
      <c r="K63" s="10">
        <v>136310</v>
      </c>
      <c r="L63" s="2" t="s">
        <v>33</v>
      </c>
      <c r="M63" s="2">
        <v>3</v>
      </c>
      <c r="N63" s="2">
        <v>15</v>
      </c>
      <c r="R63" s="10" t="s">
        <v>700</v>
      </c>
      <c r="W63" s="2">
        <v>5</v>
      </c>
      <c r="Z63" s="10">
        <v>721728831</v>
      </c>
    </row>
    <row r="64" spans="2:26" x14ac:dyDescent="0.25">
      <c r="B64" s="2">
        <v>65</v>
      </c>
      <c r="C64" s="16">
        <v>161083</v>
      </c>
      <c r="D64" s="10">
        <v>9084722</v>
      </c>
      <c r="E64" s="10" t="s">
        <v>288</v>
      </c>
      <c r="F64" s="2" t="s">
        <v>43</v>
      </c>
      <c r="G64" s="2" t="s">
        <v>270</v>
      </c>
      <c r="H64" s="2" t="s">
        <v>269</v>
      </c>
      <c r="I64" s="2" t="s">
        <v>268</v>
      </c>
      <c r="J64" s="10">
        <v>1966</v>
      </c>
      <c r="K64" s="10">
        <v>9102335</v>
      </c>
      <c r="L64" s="2" t="s">
        <v>33</v>
      </c>
      <c r="M64" s="2">
        <v>3</v>
      </c>
      <c r="N64" s="2">
        <v>15</v>
      </c>
      <c r="R64" s="9">
        <v>33580</v>
      </c>
      <c r="W64" s="2">
        <v>3</v>
      </c>
      <c r="Z64" s="10">
        <v>721397379</v>
      </c>
    </row>
    <row r="65" spans="2:26" x14ac:dyDescent="0.25">
      <c r="B65" s="2">
        <v>66</v>
      </c>
      <c r="C65" s="16">
        <v>163125</v>
      </c>
      <c r="D65" s="10">
        <v>7113809</v>
      </c>
      <c r="E65" s="10" t="s">
        <v>289</v>
      </c>
      <c r="F65" s="2" t="s">
        <v>43</v>
      </c>
      <c r="G65" s="2" t="s">
        <v>271</v>
      </c>
      <c r="H65" s="2" t="s">
        <v>272</v>
      </c>
      <c r="I65" s="2" t="s">
        <v>668</v>
      </c>
      <c r="J65" s="10" t="s">
        <v>296</v>
      </c>
      <c r="K65" s="10">
        <v>566596</v>
      </c>
      <c r="L65" s="2" t="s">
        <v>33</v>
      </c>
      <c r="M65" s="2">
        <v>22</v>
      </c>
      <c r="N65" s="2">
        <v>41</v>
      </c>
      <c r="R65" s="9">
        <v>38967</v>
      </c>
      <c r="W65" s="2">
        <v>3</v>
      </c>
      <c r="Z65" s="10">
        <v>722590375</v>
      </c>
    </row>
    <row r="66" spans="2:26" x14ac:dyDescent="0.25">
      <c r="B66" s="2">
        <v>67</v>
      </c>
      <c r="C66" s="16">
        <v>170012</v>
      </c>
      <c r="D66" s="10">
        <v>9429717</v>
      </c>
      <c r="E66" s="10" t="s">
        <v>290</v>
      </c>
      <c r="F66" s="2" t="s">
        <v>43</v>
      </c>
      <c r="G66" s="2" t="s">
        <v>721</v>
      </c>
      <c r="H66" s="2" t="s">
        <v>78</v>
      </c>
      <c r="I66" s="2" t="s">
        <v>219</v>
      </c>
      <c r="J66" s="9">
        <v>24838</v>
      </c>
      <c r="K66" s="10">
        <v>3098381</v>
      </c>
      <c r="L66" s="2" t="s">
        <v>33</v>
      </c>
      <c r="M66" s="2">
        <v>3</v>
      </c>
      <c r="N66" s="2">
        <v>16</v>
      </c>
      <c r="R66" s="10"/>
      <c r="W66" s="2">
        <v>3</v>
      </c>
      <c r="Z66" s="10">
        <v>728626487</v>
      </c>
    </row>
    <row r="67" spans="2:26" x14ac:dyDescent="0.25">
      <c r="B67" s="2">
        <v>68</v>
      </c>
      <c r="C67" s="16">
        <v>163079</v>
      </c>
      <c r="D67" s="10">
        <v>8966122</v>
      </c>
      <c r="E67" s="10" t="s">
        <v>291</v>
      </c>
      <c r="F67" s="2" t="s">
        <v>43</v>
      </c>
      <c r="G67" s="2" t="s">
        <v>273</v>
      </c>
      <c r="H67" s="2" t="s">
        <v>275</v>
      </c>
      <c r="I67" s="2" t="s">
        <v>274</v>
      </c>
      <c r="J67" s="9">
        <v>24473</v>
      </c>
      <c r="K67" s="10">
        <v>2094357</v>
      </c>
      <c r="L67" s="2" t="s">
        <v>33</v>
      </c>
      <c r="M67" s="2">
        <v>3</v>
      </c>
      <c r="N67" s="2">
        <v>17</v>
      </c>
      <c r="R67" s="9">
        <v>33976</v>
      </c>
      <c r="W67" s="2">
        <v>3</v>
      </c>
      <c r="Z67" s="10">
        <v>726715055</v>
      </c>
    </row>
    <row r="68" spans="2:26" x14ac:dyDescent="0.25">
      <c r="B68" s="2">
        <v>69</v>
      </c>
      <c r="C68" s="16">
        <v>114020</v>
      </c>
      <c r="D68" s="10">
        <v>10024181</v>
      </c>
      <c r="E68" s="10" t="s">
        <v>292</v>
      </c>
      <c r="F68" s="2" t="s">
        <v>43</v>
      </c>
      <c r="G68" s="2" t="s">
        <v>277</v>
      </c>
      <c r="H68" s="2" t="s">
        <v>276</v>
      </c>
      <c r="I68" s="2" t="s">
        <v>667</v>
      </c>
      <c r="J68" s="9">
        <v>24752</v>
      </c>
      <c r="K68" s="10">
        <v>8590072</v>
      </c>
      <c r="L68" s="2" t="s">
        <v>33</v>
      </c>
      <c r="M68" s="2">
        <v>14</v>
      </c>
      <c r="N68" s="2">
        <v>44</v>
      </c>
      <c r="R68" s="10">
        <v>2008</v>
      </c>
      <c r="W68" s="2">
        <v>3</v>
      </c>
      <c r="Z68" s="10">
        <v>729051721</v>
      </c>
    </row>
    <row r="69" spans="2:26" x14ac:dyDescent="0.25">
      <c r="B69" s="2">
        <v>70</v>
      </c>
      <c r="C69" s="16">
        <v>183022</v>
      </c>
      <c r="D69" s="10">
        <v>5304829</v>
      </c>
      <c r="E69" s="10" t="s">
        <v>293</v>
      </c>
      <c r="F69" s="2" t="s">
        <v>43</v>
      </c>
      <c r="G69" s="2" t="s">
        <v>641</v>
      </c>
      <c r="H69" s="2" t="s">
        <v>278</v>
      </c>
      <c r="I69" s="2" t="s">
        <v>279</v>
      </c>
      <c r="J69" s="9">
        <v>23743</v>
      </c>
      <c r="K69" s="10">
        <v>9377910</v>
      </c>
      <c r="L69" s="2" t="s">
        <v>33</v>
      </c>
      <c r="M69" s="2">
        <v>14</v>
      </c>
      <c r="N69" s="2">
        <v>38</v>
      </c>
      <c r="R69" s="9">
        <v>31423</v>
      </c>
      <c r="W69" s="2">
        <v>3</v>
      </c>
      <c r="Z69" s="10">
        <v>722458535</v>
      </c>
    </row>
    <row r="70" spans="2:26" x14ac:dyDescent="0.25">
      <c r="B70" s="2">
        <v>71</v>
      </c>
      <c r="C70" s="16">
        <v>221059</v>
      </c>
      <c r="D70" s="10">
        <v>11357609</v>
      </c>
      <c r="E70" s="10" t="s">
        <v>294</v>
      </c>
      <c r="F70" s="2" t="s">
        <v>43</v>
      </c>
      <c r="G70" s="2" t="s">
        <v>479</v>
      </c>
      <c r="H70" s="2" t="s">
        <v>134</v>
      </c>
      <c r="I70" s="2" t="s">
        <v>280</v>
      </c>
      <c r="J70" s="9">
        <v>26391</v>
      </c>
      <c r="K70" s="10">
        <v>7551586</v>
      </c>
      <c r="L70" s="2" t="s">
        <v>33</v>
      </c>
      <c r="M70" s="2">
        <v>4</v>
      </c>
      <c r="N70" s="2">
        <v>22</v>
      </c>
      <c r="R70" s="9">
        <v>33976</v>
      </c>
      <c r="W70" s="2">
        <v>3</v>
      </c>
      <c r="Z70" s="10">
        <v>720773654</v>
      </c>
    </row>
    <row r="71" spans="2:26" x14ac:dyDescent="0.25">
      <c r="B71" s="2">
        <v>72</v>
      </c>
      <c r="C71" s="16">
        <v>167008</v>
      </c>
      <c r="D71" s="10">
        <v>11642748</v>
      </c>
      <c r="E71" s="10" t="s">
        <v>631</v>
      </c>
      <c r="F71" s="2" t="s">
        <v>43</v>
      </c>
      <c r="G71" s="2" t="s">
        <v>300</v>
      </c>
      <c r="H71" s="2" t="s">
        <v>298</v>
      </c>
      <c r="I71" s="2" t="s">
        <v>299</v>
      </c>
      <c r="J71" s="9">
        <v>26299</v>
      </c>
      <c r="K71" s="10">
        <v>9602828</v>
      </c>
      <c r="L71" s="2" t="s">
        <v>33</v>
      </c>
      <c r="M71" s="2">
        <v>28</v>
      </c>
      <c r="N71" s="2">
        <v>25</v>
      </c>
      <c r="R71" s="9">
        <v>35013</v>
      </c>
      <c r="W71" s="2">
        <v>3</v>
      </c>
      <c r="Z71" s="10">
        <v>792194229</v>
      </c>
    </row>
    <row r="72" spans="2:26" x14ac:dyDescent="0.25">
      <c r="B72" s="2">
        <v>73</v>
      </c>
      <c r="C72" s="16">
        <v>181035</v>
      </c>
      <c r="D72" s="10">
        <v>20460243</v>
      </c>
      <c r="E72" s="10" t="s">
        <v>324</v>
      </c>
      <c r="F72" s="2" t="s">
        <v>43</v>
      </c>
      <c r="G72" s="2" t="s">
        <v>650</v>
      </c>
      <c r="H72" s="2" t="s">
        <v>301</v>
      </c>
      <c r="I72" s="2" t="s">
        <v>302</v>
      </c>
      <c r="J72" s="9">
        <v>28281</v>
      </c>
      <c r="K72" s="10">
        <v>3951845</v>
      </c>
      <c r="L72" s="2" t="s">
        <v>33</v>
      </c>
      <c r="M72" s="2">
        <v>22</v>
      </c>
      <c r="N72" s="2">
        <v>42</v>
      </c>
      <c r="R72" s="9">
        <v>36537</v>
      </c>
      <c r="W72" s="2">
        <v>3</v>
      </c>
      <c r="Z72" s="10">
        <v>729995131</v>
      </c>
    </row>
    <row r="73" spans="2:26" x14ac:dyDescent="0.25">
      <c r="B73" s="2">
        <v>74</v>
      </c>
      <c r="C73" s="16">
        <v>161185</v>
      </c>
      <c r="D73" s="10">
        <v>21027957</v>
      </c>
      <c r="E73" s="10" t="s">
        <v>325</v>
      </c>
      <c r="F73" s="2" t="s">
        <v>43</v>
      </c>
      <c r="G73" s="2" t="s">
        <v>304</v>
      </c>
      <c r="H73" s="2" t="s">
        <v>303</v>
      </c>
      <c r="I73" s="2" t="s">
        <v>665</v>
      </c>
      <c r="J73" s="9">
        <v>28524</v>
      </c>
      <c r="K73" s="10">
        <v>9608874</v>
      </c>
      <c r="L73" s="2" t="s">
        <v>33</v>
      </c>
      <c r="M73" s="2">
        <v>4</v>
      </c>
      <c r="N73" s="2">
        <v>32</v>
      </c>
      <c r="R73" s="9">
        <v>40337</v>
      </c>
      <c r="W73" s="2">
        <v>3</v>
      </c>
      <c r="Z73" s="10">
        <v>718977378</v>
      </c>
    </row>
    <row r="74" spans="2:26" x14ac:dyDescent="0.25">
      <c r="B74" s="2">
        <v>75</v>
      </c>
      <c r="C74" s="16">
        <v>123007</v>
      </c>
      <c r="D74" s="10">
        <v>5336502</v>
      </c>
      <c r="E74" s="10" t="s">
        <v>706</v>
      </c>
      <c r="F74" s="2" t="s">
        <v>29</v>
      </c>
      <c r="G74" s="2" t="s">
        <v>637</v>
      </c>
      <c r="H74" s="2" t="s">
        <v>636</v>
      </c>
      <c r="I74" s="2" t="s">
        <v>305</v>
      </c>
      <c r="J74" s="10" t="s">
        <v>332</v>
      </c>
      <c r="K74" s="10">
        <v>674281</v>
      </c>
      <c r="L74" s="2" t="s">
        <v>33</v>
      </c>
      <c r="M74" s="2">
        <v>16</v>
      </c>
      <c r="N74" s="2">
        <v>3</v>
      </c>
      <c r="R74" s="9">
        <v>31814</v>
      </c>
      <c r="W74" s="2">
        <v>5</v>
      </c>
      <c r="Y74" s="14" t="s">
        <v>739</v>
      </c>
      <c r="Z74" s="10">
        <v>710257414</v>
      </c>
    </row>
    <row r="75" spans="2:26" x14ac:dyDescent="0.25">
      <c r="B75" s="2">
        <v>76</v>
      </c>
      <c r="C75" s="16">
        <v>113040</v>
      </c>
      <c r="D75" s="10">
        <v>21963939</v>
      </c>
      <c r="E75" s="10" t="s">
        <v>326</v>
      </c>
      <c r="F75" s="2" t="s">
        <v>29</v>
      </c>
      <c r="G75" s="2" t="s">
        <v>502</v>
      </c>
      <c r="H75" s="2" t="s">
        <v>322</v>
      </c>
      <c r="I75" s="2" t="s">
        <v>323</v>
      </c>
      <c r="J75" s="10" t="s">
        <v>333</v>
      </c>
      <c r="K75" s="10">
        <v>647468</v>
      </c>
      <c r="L75" s="2" t="s">
        <v>37</v>
      </c>
      <c r="M75" s="2">
        <v>22</v>
      </c>
      <c r="N75" s="2">
        <v>41</v>
      </c>
      <c r="R75" s="9">
        <v>39427</v>
      </c>
      <c r="W75" s="2">
        <v>3</v>
      </c>
      <c r="Z75" s="10">
        <v>722394428</v>
      </c>
    </row>
    <row r="76" spans="2:26" x14ac:dyDescent="0.25">
      <c r="B76" s="2">
        <v>77</v>
      </c>
      <c r="C76" s="16">
        <v>241337</v>
      </c>
      <c r="D76" s="10">
        <v>28189079</v>
      </c>
      <c r="E76" s="10" t="s">
        <v>701</v>
      </c>
      <c r="F76" s="2" t="s">
        <v>29</v>
      </c>
      <c r="G76" s="2" t="s">
        <v>307</v>
      </c>
      <c r="H76" s="2" t="s">
        <v>306</v>
      </c>
      <c r="I76" s="2" t="s">
        <v>687</v>
      </c>
      <c r="J76" s="10" t="s">
        <v>717</v>
      </c>
      <c r="K76" s="10">
        <v>293761</v>
      </c>
      <c r="L76" s="2" t="s">
        <v>37</v>
      </c>
      <c r="M76" s="2">
        <v>19</v>
      </c>
      <c r="N76" s="2">
        <v>47</v>
      </c>
      <c r="R76" s="9">
        <v>42747</v>
      </c>
      <c r="W76" s="2">
        <v>5</v>
      </c>
      <c r="Z76" s="10">
        <v>715614868</v>
      </c>
    </row>
    <row r="77" spans="2:26" x14ac:dyDescent="0.25">
      <c r="B77" s="2">
        <v>78</v>
      </c>
      <c r="C77" s="16">
        <v>241336</v>
      </c>
      <c r="D77" s="10"/>
      <c r="E77" s="10"/>
      <c r="F77" s="2" t="s">
        <v>29</v>
      </c>
      <c r="G77" s="2" t="s">
        <v>308</v>
      </c>
      <c r="H77" s="2" t="s">
        <v>675</v>
      </c>
      <c r="I77" s="2" t="s">
        <v>676</v>
      </c>
      <c r="J77" s="10"/>
      <c r="K77" s="10"/>
      <c r="L77" s="2" t="s">
        <v>33</v>
      </c>
      <c r="M77" s="2">
        <v>14</v>
      </c>
      <c r="R77" s="9">
        <v>42747</v>
      </c>
      <c r="W77" s="2">
        <v>5</v>
      </c>
      <c r="Z77" s="10"/>
    </row>
    <row r="78" spans="2:26" x14ac:dyDescent="0.25">
      <c r="B78" s="2">
        <v>79</v>
      </c>
      <c r="C78" s="16">
        <v>161139</v>
      </c>
      <c r="D78" s="10">
        <v>13634152</v>
      </c>
      <c r="E78" s="10" t="s">
        <v>327</v>
      </c>
      <c r="F78" s="2" t="s">
        <v>89</v>
      </c>
      <c r="G78" s="2" t="s">
        <v>310</v>
      </c>
      <c r="H78" s="2" t="s">
        <v>309</v>
      </c>
      <c r="I78" s="2" t="s">
        <v>664</v>
      </c>
      <c r="J78" s="9">
        <v>27395</v>
      </c>
      <c r="K78" s="10">
        <v>2956653</v>
      </c>
      <c r="L78" s="2" t="s">
        <v>37</v>
      </c>
      <c r="M78" s="2">
        <v>14</v>
      </c>
      <c r="N78" s="2">
        <v>38</v>
      </c>
      <c r="R78" s="9">
        <v>36896</v>
      </c>
      <c r="W78" s="2">
        <v>3</v>
      </c>
      <c r="Z78" s="10">
        <v>727764565</v>
      </c>
    </row>
    <row r="79" spans="2:26" x14ac:dyDescent="0.25">
      <c r="B79" s="2">
        <v>80</v>
      </c>
      <c r="C79" s="16">
        <v>161141</v>
      </c>
      <c r="D79" s="10">
        <v>20742989</v>
      </c>
      <c r="E79" s="10" t="s">
        <v>328</v>
      </c>
      <c r="F79" s="2" t="s">
        <v>43</v>
      </c>
      <c r="G79" s="2" t="s">
        <v>126</v>
      </c>
      <c r="H79" s="2" t="s">
        <v>170</v>
      </c>
      <c r="I79" s="2" t="s">
        <v>638</v>
      </c>
      <c r="J79" s="9">
        <v>28408</v>
      </c>
      <c r="K79" s="10">
        <v>25940</v>
      </c>
      <c r="L79" s="2" t="s">
        <v>37</v>
      </c>
      <c r="M79" s="2">
        <v>4</v>
      </c>
      <c r="N79" s="2">
        <v>26</v>
      </c>
      <c r="R79" s="9">
        <v>37689</v>
      </c>
      <c r="W79" s="2">
        <v>3</v>
      </c>
      <c r="Z79" s="10">
        <v>725269207</v>
      </c>
    </row>
    <row r="80" spans="2:26" x14ac:dyDescent="0.25">
      <c r="B80" s="2">
        <v>81</v>
      </c>
      <c r="C80" s="16">
        <v>241725</v>
      </c>
      <c r="D80" s="10">
        <v>34811881</v>
      </c>
      <c r="E80" s="10" t="s">
        <v>329</v>
      </c>
      <c r="F80" s="2" t="s">
        <v>89</v>
      </c>
      <c r="G80" s="2" t="s">
        <v>313</v>
      </c>
      <c r="H80" s="2" t="s">
        <v>312</v>
      </c>
      <c r="I80" s="2" t="s">
        <v>311</v>
      </c>
      <c r="J80" s="9">
        <v>35705</v>
      </c>
      <c r="K80" s="10" t="str">
        <f>"0"&amp;97749</f>
        <v>097749</v>
      </c>
      <c r="L80" s="2" t="s">
        <v>37</v>
      </c>
      <c r="M80" s="2">
        <v>36</v>
      </c>
      <c r="N80" s="2">
        <v>10</v>
      </c>
      <c r="R80" s="9" t="s">
        <v>145</v>
      </c>
      <c r="W80" s="2">
        <v>5</v>
      </c>
      <c r="Z80" s="10">
        <v>702862469</v>
      </c>
    </row>
    <row r="81" spans="2:26" x14ac:dyDescent="0.25">
      <c r="B81" s="2">
        <v>82</v>
      </c>
      <c r="C81" s="16">
        <v>112023</v>
      </c>
      <c r="D81" s="10">
        <v>13501715</v>
      </c>
      <c r="E81" s="10" t="s">
        <v>707</v>
      </c>
      <c r="F81" s="2" t="s">
        <v>43</v>
      </c>
      <c r="G81" s="2" t="s">
        <v>315</v>
      </c>
      <c r="H81" s="2" t="s">
        <v>314</v>
      </c>
      <c r="I81" s="2" t="s">
        <v>630</v>
      </c>
      <c r="J81" s="9"/>
      <c r="K81" s="10">
        <v>346383</v>
      </c>
      <c r="L81" s="2" t="s">
        <v>33</v>
      </c>
      <c r="M81" s="2">
        <v>14</v>
      </c>
      <c r="N81" s="2">
        <v>38</v>
      </c>
      <c r="R81" s="9">
        <v>38907</v>
      </c>
      <c r="W81" s="2">
        <v>3</v>
      </c>
      <c r="Z81" s="10">
        <v>723338645</v>
      </c>
    </row>
    <row r="82" spans="2:26" x14ac:dyDescent="0.25">
      <c r="B82" s="2">
        <v>83</v>
      </c>
      <c r="C82" s="16">
        <v>113016</v>
      </c>
      <c r="D82" s="10">
        <v>9789715</v>
      </c>
      <c r="E82" s="10" t="s">
        <v>330</v>
      </c>
      <c r="F82" s="2" t="s">
        <v>43</v>
      </c>
      <c r="G82" s="2" t="s">
        <v>317</v>
      </c>
      <c r="H82" s="2" t="s">
        <v>316</v>
      </c>
      <c r="I82" s="2" t="s">
        <v>635</v>
      </c>
      <c r="J82" s="10" t="s">
        <v>334</v>
      </c>
      <c r="K82" s="10"/>
      <c r="L82" s="2" t="s">
        <v>33</v>
      </c>
      <c r="M82" s="2">
        <v>14</v>
      </c>
      <c r="N82" s="2">
        <v>37</v>
      </c>
      <c r="R82" s="10" t="s">
        <v>336</v>
      </c>
      <c r="W82" s="2">
        <v>3</v>
      </c>
      <c r="Y82" s="14" t="s">
        <v>729</v>
      </c>
      <c r="Z82" s="10">
        <v>722827459</v>
      </c>
    </row>
    <row r="83" spans="2:26" x14ac:dyDescent="0.25">
      <c r="B83" s="2">
        <v>84</v>
      </c>
      <c r="C83" s="16">
        <v>113044</v>
      </c>
      <c r="D83" s="10">
        <v>10344158</v>
      </c>
      <c r="E83" s="10" t="s">
        <v>331</v>
      </c>
      <c r="F83" s="2" t="s">
        <v>43</v>
      </c>
      <c r="G83" s="2" t="s">
        <v>318</v>
      </c>
      <c r="H83" s="2" t="s">
        <v>319</v>
      </c>
      <c r="I83" s="2" t="s">
        <v>320</v>
      </c>
      <c r="J83" s="10" t="s">
        <v>335</v>
      </c>
      <c r="K83" s="10">
        <v>9224962</v>
      </c>
      <c r="L83" s="2" t="s">
        <v>33</v>
      </c>
      <c r="M83" s="2">
        <v>22</v>
      </c>
      <c r="N83" s="2">
        <v>41</v>
      </c>
      <c r="R83" s="10" t="s">
        <v>337</v>
      </c>
      <c r="W83" s="2">
        <v>3</v>
      </c>
      <c r="Y83" s="14" t="s">
        <v>725</v>
      </c>
      <c r="Z83" s="10">
        <v>723446028</v>
      </c>
    </row>
    <row r="84" spans="2:26" x14ac:dyDescent="0.25">
      <c r="B84" s="2">
        <v>85</v>
      </c>
      <c r="C84" s="16">
        <v>241071</v>
      </c>
      <c r="D84" s="10">
        <v>26426983</v>
      </c>
      <c r="E84" s="10" t="s">
        <v>377</v>
      </c>
      <c r="F84" s="2" t="s">
        <v>89</v>
      </c>
      <c r="G84" s="2" t="s">
        <v>321</v>
      </c>
      <c r="H84" s="2" t="s">
        <v>59</v>
      </c>
      <c r="J84" s="9">
        <v>32421</v>
      </c>
      <c r="K84" s="10">
        <v>646458</v>
      </c>
      <c r="L84" s="2" t="s">
        <v>37</v>
      </c>
      <c r="M84" s="2">
        <v>23</v>
      </c>
      <c r="N84" s="2">
        <v>29</v>
      </c>
      <c r="R84" s="9">
        <v>41640</v>
      </c>
      <c r="W84" s="2">
        <v>3</v>
      </c>
      <c r="Y84" s="14" t="s">
        <v>733</v>
      </c>
      <c r="Z84" s="10">
        <v>710799448</v>
      </c>
    </row>
    <row r="85" spans="2:26" x14ac:dyDescent="0.25">
      <c r="B85" s="2">
        <v>86</v>
      </c>
      <c r="C85" s="16">
        <v>241318</v>
      </c>
      <c r="D85" s="10">
        <v>22538194</v>
      </c>
      <c r="E85" s="10" t="s">
        <v>378</v>
      </c>
      <c r="F85" s="2" t="s">
        <v>89</v>
      </c>
      <c r="G85" s="2" t="s">
        <v>662</v>
      </c>
      <c r="H85" s="2" t="s">
        <v>338</v>
      </c>
      <c r="I85" s="2" t="s">
        <v>339</v>
      </c>
      <c r="J85" s="10" t="s">
        <v>395</v>
      </c>
      <c r="K85" s="10">
        <v>42772</v>
      </c>
      <c r="L85" s="2" t="s">
        <v>37</v>
      </c>
      <c r="M85" s="2">
        <v>23</v>
      </c>
      <c r="N85" s="2">
        <v>30</v>
      </c>
      <c r="R85" s="9">
        <v>42771</v>
      </c>
      <c r="W85" s="2">
        <v>5</v>
      </c>
      <c r="Z85" s="10">
        <v>721804929</v>
      </c>
    </row>
    <row r="86" spans="2:26" x14ac:dyDescent="0.25">
      <c r="B86" s="2">
        <v>87</v>
      </c>
      <c r="C86" s="16">
        <v>163130</v>
      </c>
      <c r="D86" s="10">
        <v>22245948</v>
      </c>
      <c r="E86" s="10" t="s">
        <v>379</v>
      </c>
      <c r="F86" s="2" t="s">
        <v>89</v>
      </c>
      <c r="G86" s="2" t="s">
        <v>340</v>
      </c>
      <c r="H86" s="2" t="s">
        <v>341</v>
      </c>
      <c r="I86" s="2" t="s">
        <v>661</v>
      </c>
      <c r="J86" s="9">
        <v>28678</v>
      </c>
      <c r="K86" s="10">
        <v>398567</v>
      </c>
      <c r="L86" s="2" t="s">
        <v>37</v>
      </c>
      <c r="M86" s="2">
        <v>4</v>
      </c>
      <c r="N86" s="2">
        <v>19</v>
      </c>
      <c r="R86" s="9">
        <v>39153</v>
      </c>
      <c r="W86" s="2">
        <v>3</v>
      </c>
      <c r="Z86" s="10">
        <v>720212245</v>
      </c>
    </row>
    <row r="87" spans="2:26" x14ac:dyDescent="0.25">
      <c r="B87" s="2">
        <v>88</v>
      </c>
      <c r="C87" s="16">
        <v>241112</v>
      </c>
      <c r="D87" s="10">
        <v>25584197</v>
      </c>
      <c r="E87" s="10" t="s">
        <v>380</v>
      </c>
      <c r="F87" s="2" t="s">
        <v>43</v>
      </c>
      <c r="G87" s="2" t="s">
        <v>343</v>
      </c>
      <c r="H87" s="2" t="s">
        <v>342</v>
      </c>
      <c r="I87" s="2" t="s">
        <v>594</v>
      </c>
      <c r="J87" s="9">
        <v>31963</v>
      </c>
      <c r="K87" s="10">
        <v>3308404</v>
      </c>
      <c r="L87" s="2" t="s">
        <v>33</v>
      </c>
      <c r="M87" s="2">
        <v>22</v>
      </c>
      <c r="N87" s="2">
        <v>43</v>
      </c>
      <c r="R87" s="9">
        <v>40544</v>
      </c>
      <c r="W87" s="2">
        <v>5</v>
      </c>
      <c r="Z87" s="10">
        <v>724890127</v>
      </c>
    </row>
    <row r="88" spans="2:26" x14ac:dyDescent="0.25">
      <c r="B88" s="2">
        <v>89</v>
      </c>
      <c r="C88" s="16">
        <v>143016</v>
      </c>
      <c r="D88" s="10">
        <v>11652898</v>
      </c>
      <c r="E88" s="10" t="s">
        <v>381</v>
      </c>
      <c r="F88" s="2" t="s">
        <v>43</v>
      </c>
      <c r="G88" s="2" t="s">
        <v>344</v>
      </c>
      <c r="H88" s="2" t="s">
        <v>345</v>
      </c>
      <c r="I88" s="2" t="s">
        <v>366</v>
      </c>
      <c r="J88" s="9">
        <v>25204</v>
      </c>
      <c r="K88" s="10">
        <v>510151</v>
      </c>
      <c r="L88" s="2" t="s">
        <v>33</v>
      </c>
      <c r="M88" s="2">
        <v>4</v>
      </c>
      <c r="N88" s="2">
        <v>31</v>
      </c>
      <c r="R88" s="10" t="s">
        <v>403</v>
      </c>
      <c r="W88" s="2">
        <v>3</v>
      </c>
      <c r="Z88" s="10">
        <v>721449316</v>
      </c>
    </row>
    <row r="89" spans="2:26" x14ac:dyDescent="0.25">
      <c r="B89" s="2">
        <v>90</v>
      </c>
      <c r="C89" s="16">
        <v>172019</v>
      </c>
      <c r="D89" s="10">
        <v>22657472</v>
      </c>
      <c r="E89" s="10" t="s">
        <v>382</v>
      </c>
      <c r="F89" s="2" t="s">
        <v>43</v>
      </c>
      <c r="G89" s="2" t="s">
        <v>347</v>
      </c>
      <c r="H89" s="2" t="s">
        <v>505</v>
      </c>
      <c r="I89" s="2" t="s">
        <v>346</v>
      </c>
      <c r="J89" s="9">
        <v>28704</v>
      </c>
      <c r="K89" s="10">
        <v>9049649</v>
      </c>
      <c r="L89" s="2" t="s">
        <v>33</v>
      </c>
      <c r="M89" s="2">
        <v>25</v>
      </c>
      <c r="N89" s="2">
        <v>34</v>
      </c>
      <c r="R89" s="9">
        <v>39083</v>
      </c>
      <c r="W89" s="2">
        <v>3</v>
      </c>
      <c r="Y89" s="14" t="s">
        <v>736</v>
      </c>
      <c r="Z89" s="10">
        <v>727018227</v>
      </c>
    </row>
    <row r="90" spans="2:26" x14ac:dyDescent="0.25">
      <c r="B90" s="2">
        <v>91</v>
      </c>
      <c r="C90" s="16">
        <v>163134</v>
      </c>
      <c r="D90" s="10">
        <v>22145871</v>
      </c>
      <c r="E90" s="10" t="s">
        <v>383</v>
      </c>
      <c r="F90" s="2" t="s">
        <v>43</v>
      </c>
      <c r="G90" s="2" t="s">
        <v>348</v>
      </c>
      <c r="H90" s="2" t="s">
        <v>349</v>
      </c>
      <c r="I90" s="2" t="s">
        <v>663</v>
      </c>
      <c r="J90" s="9">
        <v>29321</v>
      </c>
      <c r="K90" s="10">
        <v>608222</v>
      </c>
      <c r="L90" s="2" t="s">
        <v>33</v>
      </c>
      <c r="M90" s="2">
        <v>11</v>
      </c>
      <c r="N90" s="2">
        <v>46</v>
      </c>
      <c r="R90" s="9">
        <v>39454</v>
      </c>
      <c r="W90" s="2">
        <v>3</v>
      </c>
      <c r="Z90" s="10">
        <v>780179543</v>
      </c>
    </row>
    <row r="91" spans="2:26" x14ac:dyDescent="0.25">
      <c r="B91" s="2">
        <v>92</v>
      </c>
      <c r="C91" s="16">
        <v>180035</v>
      </c>
      <c r="D91" s="10">
        <v>13706972</v>
      </c>
      <c r="E91" s="10" t="s">
        <v>384</v>
      </c>
      <c r="F91" s="2" t="s">
        <v>89</v>
      </c>
      <c r="G91" s="2" t="s">
        <v>351</v>
      </c>
      <c r="H91" s="2" t="s">
        <v>350</v>
      </c>
      <c r="I91" s="2" t="s">
        <v>660</v>
      </c>
      <c r="J91" s="10" t="s">
        <v>396</v>
      </c>
      <c r="K91" s="10">
        <v>548112</v>
      </c>
      <c r="L91" s="2" t="s">
        <v>37</v>
      </c>
      <c r="M91" s="2">
        <v>3</v>
      </c>
      <c r="N91" s="2">
        <v>16</v>
      </c>
      <c r="R91" s="10" t="s">
        <v>404</v>
      </c>
      <c r="W91" s="2">
        <v>3</v>
      </c>
      <c r="Z91" s="10">
        <v>721685844</v>
      </c>
    </row>
    <row r="92" spans="2:26" x14ac:dyDescent="0.25">
      <c r="B92" s="2">
        <v>93</v>
      </c>
      <c r="C92" s="16">
        <v>241563</v>
      </c>
      <c r="D92" s="10">
        <v>14620321</v>
      </c>
      <c r="E92" s="10" t="s">
        <v>385</v>
      </c>
      <c r="F92" s="2" t="s">
        <v>43</v>
      </c>
      <c r="G92" s="2" t="s">
        <v>352</v>
      </c>
      <c r="H92" s="2" t="s">
        <v>353</v>
      </c>
      <c r="I92" s="2" t="s">
        <v>354</v>
      </c>
      <c r="J92" s="10" t="s">
        <v>397</v>
      </c>
      <c r="K92" s="10">
        <v>776724</v>
      </c>
      <c r="L92" s="2" t="s">
        <v>33</v>
      </c>
      <c r="M92" s="2">
        <v>16</v>
      </c>
      <c r="N92" s="2">
        <v>1</v>
      </c>
      <c r="R92" s="9">
        <v>44205</v>
      </c>
      <c r="W92" s="2">
        <v>5</v>
      </c>
      <c r="Z92" s="10">
        <v>723789436</v>
      </c>
    </row>
    <row r="93" spans="2:26" x14ac:dyDescent="0.25">
      <c r="B93" s="2">
        <v>94</v>
      </c>
      <c r="C93" s="16">
        <v>241338</v>
      </c>
      <c r="D93" s="10">
        <v>35374930</v>
      </c>
      <c r="E93" s="10" t="s">
        <v>386</v>
      </c>
      <c r="F93" s="2" t="s">
        <v>43</v>
      </c>
      <c r="G93" s="2" t="s">
        <v>659</v>
      </c>
      <c r="H93" s="2" t="s">
        <v>137</v>
      </c>
      <c r="I93" s="2" t="s">
        <v>355</v>
      </c>
      <c r="J93" s="9">
        <v>33856</v>
      </c>
      <c r="K93" s="10">
        <v>490922</v>
      </c>
      <c r="L93" s="2" t="s">
        <v>33</v>
      </c>
      <c r="M93" s="2">
        <v>25</v>
      </c>
      <c r="N93" s="2">
        <v>25</v>
      </c>
      <c r="R93" s="10" t="s">
        <v>405</v>
      </c>
      <c r="W93" s="2">
        <v>5</v>
      </c>
      <c r="Z93" s="10">
        <v>707028936</v>
      </c>
    </row>
    <row r="94" spans="2:26" x14ac:dyDescent="0.25">
      <c r="B94" s="2">
        <v>95</v>
      </c>
      <c r="C94" s="16">
        <v>238002</v>
      </c>
      <c r="D94" s="10">
        <v>6641254</v>
      </c>
      <c r="E94" s="10" t="s">
        <v>387</v>
      </c>
      <c r="F94" s="2" t="s">
        <v>43</v>
      </c>
      <c r="G94" s="2" t="s">
        <v>655</v>
      </c>
      <c r="H94" s="2" t="s">
        <v>356</v>
      </c>
      <c r="I94" s="2" t="s">
        <v>357</v>
      </c>
      <c r="J94" s="9">
        <v>23743</v>
      </c>
      <c r="K94" s="10">
        <v>9049646</v>
      </c>
      <c r="L94" s="2" t="s">
        <v>33</v>
      </c>
      <c r="M94" s="2">
        <v>14</v>
      </c>
      <c r="N94" s="2">
        <v>38</v>
      </c>
      <c r="R94" s="9">
        <v>32516</v>
      </c>
      <c r="W94" s="2">
        <v>3</v>
      </c>
      <c r="Z94" s="10">
        <v>716309119</v>
      </c>
    </row>
    <row r="95" spans="2:26" x14ac:dyDescent="0.25">
      <c r="B95" s="2">
        <v>96</v>
      </c>
      <c r="C95" s="16">
        <v>161137</v>
      </c>
      <c r="D95" s="10">
        <v>10141052</v>
      </c>
      <c r="E95" s="10" t="s">
        <v>388</v>
      </c>
      <c r="F95" s="2" t="s">
        <v>43</v>
      </c>
      <c r="G95" s="2" t="s">
        <v>358</v>
      </c>
      <c r="H95" s="2" t="s">
        <v>359</v>
      </c>
      <c r="I95" s="2" t="s">
        <v>651</v>
      </c>
      <c r="J95" s="10" t="s">
        <v>398</v>
      </c>
      <c r="K95" s="10">
        <v>3852914</v>
      </c>
      <c r="L95" s="2" t="s">
        <v>33</v>
      </c>
      <c r="M95" s="2">
        <v>4</v>
      </c>
      <c r="N95" s="2">
        <v>22</v>
      </c>
      <c r="R95" s="10">
        <v>1992</v>
      </c>
      <c r="W95" s="2">
        <v>3</v>
      </c>
      <c r="Z95" s="10">
        <v>720275536</v>
      </c>
    </row>
    <row r="96" spans="2:26" x14ac:dyDescent="0.25">
      <c r="B96" s="2">
        <v>97</v>
      </c>
      <c r="C96" s="16">
        <v>143029</v>
      </c>
      <c r="D96" s="10">
        <v>21717357</v>
      </c>
      <c r="E96" s="10" t="s">
        <v>389</v>
      </c>
      <c r="F96" s="2" t="s">
        <v>43</v>
      </c>
      <c r="G96" s="2" t="s">
        <v>30</v>
      </c>
      <c r="H96" s="2" t="s">
        <v>361</v>
      </c>
      <c r="I96" s="2" t="s">
        <v>360</v>
      </c>
      <c r="J96" s="9">
        <v>28678</v>
      </c>
      <c r="K96" s="10"/>
      <c r="L96" s="2" t="s">
        <v>33</v>
      </c>
      <c r="M96" s="2">
        <v>4</v>
      </c>
      <c r="N96" s="2">
        <v>34</v>
      </c>
      <c r="R96" s="10" t="s">
        <v>406</v>
      </c>
      <c r="W96" s="2">
        <v>3</v>
      </c>
      <c r="Z96" s="10">
        <v>700699022</v>
      </c>
    </row>
    <row r="97" spans="2:26" x14ac:dyDescent="0.25">
      <c r="B97" s="2">
        <v>98</v>
      </c>
      <c r="C97" s="16">
        <v>241081</v>
      </c>
      <c r="D97" s="10">
        <v>26041520</v>
      </c>
      <c r="E97" s="10" t="s">
        <v>390</v>
      </c>
      <c r="F97" s="2" t="s">
        <v>89</v>
      </c>
      <c r="G97" s="2" t="s">
        <v>362</v>
      </c>
      <c r="H97" s="2" t="s">
        <v>35</v>
      </c>
      <c r="I97" s="2" t="s">
        <v>658</v>
      </c>
      <c r="J97" s="9">
        <v>36155</v>
      </c>
      <c r="K97" s="10">
        <v>12853</v>
      </c>
      <c r="L97" s="2" t="s">
        <v>37</v>
      </c>
      <c r="M97" s="2">
        <v>23</v>
      </c>
      <c r="N97" s="2">
        <v>36</v>
      </c>
      <c r="R97" s="9">
        <v>41640</v>
      </c>
      <c r="W97" s="2">
        <v>3</v>
      </c>
      <c r="Z97" s="10">
        <v>796903454</v>
      </c>
    </row>
    <row r="98" spans="2:26" x14ac:dyDescent="0.25">
      <c r="B98" s="2">
        <v>99</v>
      </c>
      <c r="C98" s="16">
        <v>241011</v>
      </c>
      <c r="D98" s="10">
        <v>10164110</v>
      </c>
      <c r="E98" s="10" t="s">
        <v>391</v>
      </c>
      <c r="F98" s="2" t="s">
        <v>43</v>
      </c>
      <c r="G98" s="2" t="s">
        <v>364</v>
      </c>
      <c r="H98" s="2" t="s">
        <v>269</v>
      </c>
      <c r="I98" s="2" t="s">
        <v>363</v>
      </c>
      <c r="J98" s="10" t="s">
        <v>399</v>
      </c>
      <c r="K98" s="10">
        <v>8628909</v>
      </c>
      <c r="L98" s="2" t="s">
        <v>33</v>
      </c>
      <c r="M98" s="2">
        <v>14</v>
      </c>
      <c r="N98" s="2">
        <v>38</v>
      </c>
      <c r="R98" s="9">
        <v>40915</v>
      </c>
      <c r="W98" s="2">
        <v>3</v>
      </c>
      <c r="Z98" s="10">
        <v>711366734</v>
      </c>
    </row>
    <row r="99" spans="2:26" x14ac:dyDescent="0.25">
      <c r="B99" s="2">
        <v>100</v>
      </c>
      <c r="C99" s="16">
        <v>158002</v>
      </c>
      <c r="D99" s="10">
        <v>8456642</v>
      </c>
      <c r="E99" s="10" t="s">
        <v>392</v>
      </c>
      <c r="F99" s="2" t="s">
        <v>29</v>
      </c>
      <c r="G99" s="2" t="s">
        <v>365</v>
      </c>
      <c r="H99" s="2" t="s">
        <v>693</v>
      </c>
      <c r="I99" s="2" t="s">
        <v>686</v>
      </c>
      <c r="J99" s="10" t="s">
        <v>400</v>
      </c>
      <c r="K99" s="10">
        <v>735029</v>
      </c>
      <c r="L99" s="2" t="s">
        <v>33</v>
      </c>
      <c r="M99" s="2">
        <v>16</v>
      </c>
      <c r="N99" s="2">
        <v>3</v>
      </c>
      <c r="R99" s="9">
        <v>34705</v>
      </c>
      <c r="W99" s="2">
        <v>5</v>
      </c>
      <c r="Z99" s="10">
        <v>701123823</v>
      </c>
    </row>
    <row r="100" spans="2:26" x14ac:dyDescent="0.25">
      <c r="B100" s="2">
        <v>101</v>
      </c>
      <c r="C100" s="16">
        <v>180039</v>
      </c>
      <c r="D100" s="10">
        <v>7466013</v>
      </c>
      <c r="E100" s="10" t="s">
        <v>393</v>
      </c>
      <c r="F100" s="2" t="s">
        <v>29</v>
      </c>
      <c r="G100" s="2" t="s">
        <v>678</v>
      </c>
      <c r="H100" s="2" t="s">
        <v>677</v>
      </c>
      <c r="I100" s="2" t="s">
        <v>634</v>
      </c>
      <c r="J100" s="9">
        <v>23812</v>
      </c>
      <c r="K100" s="10"/>
      <c r="L100" s="2" t="s">
        <v>33</v>
      </c>
      <c r="M100" s="2">
        <v>4</v>
      </c>
      <c r="N100" s="2">
        <v>47</v>
      </c>
      <c r="R100" s="9">
        <v>35072</v>
      </c>
      <c r="W100" s="2">
        <v>3</v>
      </c>
      <c r="Z100" s="10">
        <v>721332835</v>
      </c>
    </row>
    <row r="101" spans="2:26" x14ac:dyDescent="0.25">
      <c r="B101" s="2">
        <v>102</v>
      </c>
      <c r="C101" s="16">
        <v>163132</v>
      </c>
      <c r="D101" s="10">
        <v>23837529</v>
      </c>
      <c r="E101" s="10" t="s">
        <v>708</v>
      </c>
      <c r="F101" s="2" t="s">
        <v>29</v>
      </c>
      <c r="G101" s="2" t="s">
        <v>367</v>
      </c>
      <c r="H101" s="2" t="s">
        <v>368</v>
      </c>
      <c r="I101" s="2" t="s">
        <v>369</v>
      </c>
      <c r="J101" s="10" t="s">
        <v>401</v>
      </c>
      <c r="K101" s="10"/>
      <c r="L101" s="2" t="s">
        <v>37</v>
      </c>
      <c r="M101" s="2">
        <v>4</v>
      </c>
      <c r="N101" s="2">
        <v>22</v>
      </c>
      <c r="R101" s="9">
        <v>39450</v>
      </c>
      <c r="W101" s="2">
        <v>3</v>
      </c>
      <c r="Z101" s="10">
        <v>722596362</v>
      </c>
    </row>
    <row r="102" spans="2:26" x14ac:dyDescent="0.25">
      <c r="B102" s="2">
        <v>103</v>
      </c>
      <c r="C102" s="16">
        <v>161165</v>
      </c>
      <c r="D102" s="10">
        <v>26202665</v>
      </c>
      <c r="E102" s="10" t="s">
        <v>394</v>
      </c>
      <c r="F102" s="2" t="s">
        <v>43</v>
      </c>
      <c r="G102" s="2" t="s">
        <v>372</v>
      </c>
      <c r="H102" s="2" t="s">
        <v>371</v>
      </c>
      <c r="I102" s="2" t="s">
        <v>370</v>
      </c>
      <c r="J102" s="10" t="s">
        <v>402</v>
      </c>
      <c r="K102" s="10">
        <v>729542</v>
      </c>
      <c r="L102" s="2" t="s">
        <v>33</v>
      </c>
      <c r="M102" s="2">
        <v>16</v>
      </c>
      <c r="N102" s="2">
        <v>3</v>
      </c>
      <c r="R102" s="10" t="s">
        <v>407</v>
      </c>
      <c r="W102" s="2">
        <v>3</v>
      </c>
      <c r="Z102" s="10">
        <v>721384048</v>
      </c>
    </row>
    <row r="103" spans="2:26" x14ac:dyDescent="0.25">
      <c r="B103" s="2">
        <v>104</v>
      </c>
      <c r="C103" s="16">
        <v>174024</v>
      </c>
      <c r="D103" s="10">
        <v>10645638</v>
      </c>
      <c r="E103" s="10" t="s">
        <v>765</v>
      </c>
      <c r="F103" s="2" t="s">
        <v>29</v>
      </c>
      <c r="G103" s="2" t="s">
        <v>373</v>
      </c>
      <c r="H103" s="2" t="s">
        <v>374</v>
      </c>
      <c r="I103" s="2" t="s">
        <v>688</v>
      </c>
      <c r="J103" s="9">
        <v>25331</v>
      </c>
      <c r="K103" s="10">
        <v>80590</v>
      </c>
      <c r="L103" s="2" t="s">
        <v>37</v>
      </c>
      <c r="M103" s="2">
        <v>3</v>
      </c>
      <c r="N103" s="2">
        <v>16</v>
      </c>
      <c r="R103" s="9">
        <v>33976</v>
      </c>
      <c r="W103" s="2">
        <v>3</v>
      </c>
      <c r="Z103" s="10">
        <v>716333300</v>
      </c>
    </row>
    <row r="104" spans="2:26" x14ac:dyDescent="0.25">
      <c r="B104" s="2">
        <v>105</v>
      </c>
      <c r="C104" s="16">
        <v>163120</v>
      </c>
      <c r="D104" s="10">
        <v>20503332</v>
      </c>
      <c r="E104" s="10" t="s">
        <v>709</v>
      </c>
      <c r="F104" s="2" t="s">
        <v>29</v>
      </c>
      <c r="G104" s="2" t="s">
        <v>376</v>
      </c>
      <c r="H104" s="2" t="s">
        <v>375</v>
      </c>
      <c r="I104" s="2" t="s">
        <v>689</v>
      </c>
      <c r="J104" s="9">
        <v>28071</v>
      </c>
      <c r="K104" s="10"/>
      <c r="L104" s="2" t="s">
        <v>33</v>
      </c>
      <c r="M104" s="2">
        <v>3</v>
      </c>
      <c r="R104" s="9">
        <v>39089</v>
      </c>
      <c r="W104" s="2">
        <v>3</v>
      </c>
      <c r="Z104" s="10">
        <v>721470420</v>
      </c>
    </row>
    <row r="105" spans="2:26" x14ac:dyDescent="0.25">
      <c r="B105" s="2">
        <v>106</v>
      </c>
      <c r="C105" s="16">
        <v>171162</v>
      </c>
      <c r="D105" s="10">
        <v>21301415</v>
      </c>
      <c r="E105" s="10" t="s">
        <v>444</v>
      </c>
      <c r="F105" s="2" t="s">
        <v>29</v>
      </c>
      <c r="G105" s="2" t="s">
        <v>409</v>
      </c>
      <c r="H105" s="2" t="s">
        <v>408</v>
      </c>
      <c r="I105" s="2" t="s">
        <v>657</v>
      </c>
      <c r="J105" s="10" t="s">
        <v>459</v>
      </c>
      <c r="K105" s="10">
        <v>829908</v>
      </c>
      <c r="L105" s="2" t="s">
        <v>33</v>
      </c>
      <c r="M105" s="2">
        <v>4</v>
      </c>
      <c r="N105" s="2">
        <v>21</v>
      </c>
      <c r="R105" s="9">
        <v>37264</v>
      </c>
      <c r="W105" s="2">
        <v>3</v>
      </c>
      <c r="Z105" s="10">
        <v>722594878</v>
      </c>
    </row>
    <row r="106" spans="2:26" x14ac:dyDescent="0.25">
      <c r="B106" s="2">
        <v>107</v>
      </c>
      <c r="C106" s="16">
        <v>146019</v>
      </c>
      <c r="D106" s="10"/>
      <c r="E106" s="10"/>
      <c r="F106" s="2" t="s">
        <v>43</v>
      </c>
      <c r="G106" s="2" t="s">
        <v>410</v>
      </c>
      <c r="H106" s="2" t="s">
        <v>353</v>
      </c>
      <c r="I106" s="2" t="s">
        <v>679</v>
      </c>
      <c r="J106" s="10"/>
      <c r="K106" s="10"/>
      <c r="L106" s="2" t="s">
        <v>33</v>
      </c>
      <c r="R106" s="10"/>
      <c r="W106" s="2">
        <v>3</v>
      </c>
      <c r="Y106" s="14" t="s">
        <v>728</v>
      </c>
      <c r="Z106" s="10"/>
    </row>
    <row r="107" spans="2:26" x14ac:dyDescent="0.25">
      <c r="B107" s="2">
        <v>108</v>
      </c>
      <c r="C107" s="16">
        <v>208012</v>
      </c>
      <c r="D107" s="10"/>
      <c r="E107" s="10"/>
      <c r="F107" s="2" t="s">
        <v>89</v>
      </c>
      <c r="G107" s="2" t="s">
        <v>680</v>
      </c>
      <c r="H107" s="2" t="s">
        <v>411</v>
      </c>
      <c r="I107" s="2" t="s">
        <v>412</v>
      </c>
      <c r="J107" s="10"/>
      <c r="K107" s="10"/>
      <c r="L107" s="2" t="s">
        <v>37</v>
      </c>
      <c r="M107" s="2">
        <v>14</v>
      </c>
      <c r="R107" s="13"/>
      <c r="W107" s="2">
        <v>3</v>
      </c>
      <c r="Z107" s="10"/>
    </row>
    <row r="108" spans="2:26" x14ac:dyDescent="0.25">
      <c r="B108" s="2">
        <v>109</v>
      </c>
      <c r="C108" s="16">
        <v>241625</v>
      </c>
      <c r="D108" s="10">
        <v>28782265</v>
      </c>
      <c r="E108" s="10" t="s">
        <v>445</v>
      </c>
      <c r="F108" s="2" t="s">
        <v>89</v>
      </c>
      <c r="G108" s="2" t="s">
        <v>415</v>
      </c>
      <c r="H108" s="2" t="s">
        <v>414</v>
      </c>
      <c r="I108" s="2" t="s">
        <v>413</v>
      </c>
      <c r="J108" s="9">
        <v>33429</v>
      </c>
      <c r="K108" s="10">
        <v>660722</v>
      </c>
      <c r="L108" s="2" t="s">
        <v>37</v>
      </c>
      <c r="M108" s="2">
        <v>14</v>
      </c>
      <c r="N108" s="2">
        <v>37</v>
      </c>
      <c r="R108" s="9">
        <v>44621</v>
      </c>
      <c r="W108" s="2">
        <v>5</v>
      </c>
      <c r="Z108" s="10">
        <v>713058079</v>
      </c>
    </row>
    <row r="109" spans="2:26" x14ac:dyDescent="0.25">
      <c r="B109" s="2">
        <v>110</v>
      </c>
      <c r="C109" s="16">
        <v>180031</v>
      </c>
      <c r="D109" s="10">
        <v>9225573</v>
      </c>
      <c r="E109" s="10" t="s">
        <v>446</v>
      </c>
      <c r="F109" s="2" t="s">
        <v>43</v>
      </c>
      <c r="G109" s="2" t="s">
        <v>416</v>
      </c>
      <c r="H109" s="2" t="s">
        <v>417</v>
      </c>
      <c r="I109" s="2" t="s">
        <v>416</v>
      </c>
      <c r="J109" s="9">
        <v>24838</v>
      </c>
      <c r="K109" s="10">
        <v>9515618</v>
      </c>
      <c r="L109" s="2" t="s">
        <v>33</v>
      </c>
      <c r="M109" s="2">
        <v>3</v>
      </c>
      <c r="N109" s="2">
        <v>16</v>
      </c>
      <c r="R109" s="10">
        <v>1992</v>
      </c>
      <c r="W109" s="2">
        <v>3</v>
      </c>
      <c r="Y109" s="14" t="s">
        <v>724</v>
      </c>
      <c r="Z109" s="10">
        <v>702111582</v>
      </c>
    </row>
    <row r="110" spans="2:26" x14ac:dyDescent="0.25">
      <c r="B110" s="2">
        <v>111</v>
      </c>
      <c r="C110" s="16">
        <v>176081</v>
      </c>
      <c r="D110" s="10">
        <v>14450937</v>
      </c>
      <c r="E110" s="10" t="s">
        <v>447</v>
      </c>
      <c r="F110" s="2" t="s">
        <v>29</v>
      </c>
      <c r="H110" s="2" t="s">
        <v>419</v>
      </c>
      <c r="I110" s="2" t="s">
        <v>418</v>
      </c>
      <c r="J110" s="10" t="s">
        <v>460</v>
      </c>
      <c r="K110" s="10">
        <v>230812</v>
      </c>
      <c r="L110" s="2" t="s">
        <v>33</v>
      </c>
      <c r="M110" s="2">
        <v>11</v>
      </c>
      <c r="N110" s="2">
        <v>46</v>
      </c>
      <c r="R110" s="9">
        <v>40182</v>
      </c>
      <c r="W110" s="2">
        <v>3</v>
      </c>
      <c r="Z110" s="10">
        <v>724306688</v>
      </c>
    </row>
    <row r="111" spans="2:26" x14ac:dyDescent="0.25">
      <c r="B111" s="2">
        <v>112</v>
      </c>
      <c r="C111" s="16">
        <v>114006</v>
      </c>
      <c r="D111" s="10">
        <v>3988162</v>
      </c>
      <c r="E111" s="10" t="s">
        <v>702</v>
      </c>
      <c r="F111" s="2" t="s">
        <v>29</v>
      </c>
      <c r="G111" s="2" t="s">
        <v>422</v>
      </c>
      <c r="H111" s="2" t="s">
        <v>420</v>
      </c>
      <c r="I111" s="2" t="s">
        <v>421</v>
      </c>
      <c r="J111" s="9" t="s">
        <v>769</v>
      </c>
      <c r="K111" s="10">
        <v>946884</v>
      </c>
      <c r="L111" s="2" t="s">
        <v>33</v>
      </c>
      <c r="M111" s="2">
        <v>22</v>
      </c>
      <c r="N111" s="2">
        <v>42</v>
      </c>
      <c r="R111" s="10" t="s">
        <v>718</v>
      </c>
      <c r="W111" s="2">
        <v>3</v>
      </c>
      <c r="Z111" s="10">
        <v>722459266</v>
      </c>
    </row>
    <row r="112" spans="2:26" x14ac:dyDescent="0.25">
      <c r="B112" s="2">
        <v>113</v>
      </c>
      <c r="C112" s="16">
        <v>183052</v>
      </c>
      <c r="D112" s="10">
        <v>9759334</v>
      </c>
      <c r="E112" s="10" t="s">
        <v>710</v>
      </c>
      <c r="F112" s="2" t="s">
        <v>29</v>
      </c>
      <c r="G112" s="2" t="s">
        <v>423</v>
      </c>
      <c r="H112" s="2" t="s">
        <v>424</v>
      </c>
      <c r="I112" s="2" t="s">
        <v>425</v>
      </c>
      <c r="J112" s="10" t="s">
        <v>461</v>
      </c>
      <c r="K112" s="10">
        <v>327288</v>
      </c>
      <c r="L112" s="2" t="s">
        <v>37</v>
      </c>
      <c r="M112" s="2">
        <v>22</v>
      </c>
      <c r="N112" s="2">
        <v>41</v>
      </c>
      <c r="R112" s="9">
        <v>39091</v>
      </c>
      <c r="W112" s="2">
        <v>3</v>
      </c>
      <c r="Z112" s="10">
        <v>722332037</v>
      </c>
    </row>
    <row r="113" spans="2:26" x14ac:dyDescent="0.25">
      <c r="B113" s="2">
        <v>114</v>
      </c>
      <c r="C113" s="16">
        <v>241339</v>
      </c>
      <c r="D113" s="10">
        <v>2376027</v>
      </c>
      <c r="E113" s="10" t="s">
        <v>448</v>
      </c>
      <c r="F113" s="2" t="s">
        <v>29</v>
      </c>
      <c r="G113" s="2" t="s">
        <v>426</v>
      </c>
      <c r="H113" s="2" t="s">
        <v>87</v>
      </c>
      <c r="I113" s="2" t="s">
        <v>681</v>
      </c>
      <c r="J113" s="9">
        <v>31385</v>
      </c>
      <c r="K113" s="10">
        <v>858981</v>
      </c>
      <c r="L113" s="2" t="s">
        <v>37</v>
      </c>
      <c r="M113" s="2">
        <v>2</v>
      </c>
      <c r="N113" s="2">
        <v>14</v>
      </c>
      <c r="R113" s="10" t="s">
        <v>556</v>
      </c>
      <c r="W113" s="2">
        <v>3</v>
      </c>
      <c r="Z113" s="10">
        <v>722912543</v>
      </c>
    </row>
    <row r="114" spans="2:26" x14ac:dyDescent="0.25">
      <c r="B114" s="2">
        <v>115</v>
      </c>
      <c r="C114" s="16">
        <v>241693</v>
      </c>
      <c r="D114" s="10">
        <v>27925378</v>
      </c>
      <c r="E114" s="10" t="s">
        <v>449</v>
      </c>
      <c r="F114" s="2" t="s">
        <v>29</v>
      </c>
      <c r="G114" s="2" t="s">
        <v>201</v>
      </c>
      <c r="H114" s="2" t="s">
        <v>427</v>
      </c>
      <c r="I114" s="2" t="s">
        <v>428</v>
      </c>
      <c r="J114" s="10" t="s">
        <v>462</v>
      </c>
      <c r="K114" s="10" t="str">
        <f>"0"&amp;94925</f>
        <v>094925</v>
      </c>
      <c r="L114" s="2" t="s">
        <v>37</v>
      </c>
      <c r="M114" s="2">
        <v>4</v>
      </c>
      <c r="N114" s="2">
        <v>47</v>
      </c>
      <c r="R114" s="9">
        <v>44562</v>
      </c>
      <c r="W114" s="2">
        <v>5</v>
      </c>
      <c r="Y114" s="14" t="s">
        <v>730</v>
      </c>
      <c r="Z114" s="10">
        <v>725007000</v>
      </c>
    </row>
    <row r="115" spans="2:26" x14ac:dyDescent="0.25">
      <c r="B115" s="2">
        <v>116</v>
      </c>
      <c r="C115" s="16">
        <v>175157</v>
      </c>
      <c r="D115" s="10">
        <v>13646789</v>
      </c>
      <c r="E115" s="10" t="s">
        <v>450</v>
      </c>
      <c r="F115" s="2" t="s">
        <v>29</v>
      </c>
      <c r="G115" s="2" t="s">
        <v>255</v>
      </c>
      <c r="H115" s="2" t="s">
        <v>217</v>
      </c>
      <c r="I115" s="2" t="s">
        <v>304</v>
      </c>
      <c r="J115" s="10" t="s">
        <v>463</v>
      </c>
      <c r="K115" s="10">
        <v>127682</v>
      </c>
      <c r="L115" s="2" t="s">
        <v>33</v>
      </c>
      <c r="M115" s="2">
        <v>4</v>
      </c>
      <c r="N115" s="2">
        <v>18</v>
      </c>
      <c r="R115" s="9">
        <v>38725</v>
      </c>
      <c r="W115" s="2">
        <v>3</v>
      </c>
      <c r="Z115" s="10">
        <v>723432901</v>
      </c>
    </row>
    <row r="116" spans="2:26" x14ac:dyDescent="0.25">
      <c r="B116" s="2">
        <v>117</v>
      </c>
      <c r="C116" s="16">
        <v>163126</v>
      </c>
      <c r="D116" s="10">
        <v>22153547</v>
      </c>
      <c r="E116" s="10" t="s">
        <v>766</v>
      </c>
      <c r="F116" s="2" t="s">
        <v>43</v>
      </c>
      <c r="G116" s="2" t="s">
        <v>429</v>
      </c>
      <c r="H116" s="2" t="s">
        <v>254</v>
      </c>
      <c r="I116" s="2" t="s">
        <v>682</v>
      </c>
      <c r="J116" s="10">
        <v>1980</v>
      </c>
      <c r="K116" s="10"/>
      <c r="L116" s="2" t="s">
        <v>33</v>
      </c>
      <c r="M116" s="2">
        <v>6</v>
      </c>
      <c r="N116" s="2">
        <v>12</v>
      </c>
      <c r="R116" s="9"/>
      <c r="W116" s="2">
        <v>3</v>
      </c>
      <c r="Z116" s="10">
        <v>722419983</v>
      </c>
    </row>
    <row r="117" spans="2:26" x14ac:dyDescent="0.25">
      <c r="B117" s="2">
        <v>118</v>
      </c>
      <c r="C117" s="16">
        <v>165019</v>
      </c>
      <c r="D117" s="10">
        <v>23575227</v>
      </c>
      <c r="E117" s="10" t="s">
        <v>451</v>
      </c>
      <c r="F117" s="2" t="s">
        <v>43</v>
      </c>
      <c r="G117" s="2" t="s">
        <v>430</v>
      </c>
      <c r="H117" s="2" t="s">
        <v>79</v>
      </c>
      <c r="I117" s="2" t="s">
        <v>409</v>
      </c>
      <c r="J117" s="10">
        <v>1983</v>
      </c>
      <c r="K117" s="10">
        <v>867267</v>
      </c>
      <c r="L117" s="2" t="s">
        <v>33</v>
      </c>
      <c r="M117" s="2">
        <v>4</v>
      </c>
      <c r="N117" s="2">
        <v>18</v>
      </c>
      <c r="R117" s="9">
        <v>36903</v>
      </c>
      <c r="W117" s="2">
        <v>3</v>
      </c>
      <c r="Z117" s="10">
        <v>722287593</v>
      </c>
    </row>
    <row r="118" spans="2:26" x14ac:dyDescent="0.25">
      <c r="B118" s="2">
        <v>119</v>
      </c>
      <c r="C118" s="16">
        <v>241158</v>
      </c>
      <c r="D118" s="10">
        <v>24946509</v>
      </c>
      <c r="E118" s="10" t="s">
        <v>452</v>
      </c>
      <c r="F118" s="2" t="s">
        <v>89</v>
      </c>
      <c r="G118" s="2" t="s">
        <v>646</v>
      </c>
      <c r="H118" s="2" t="s">
        <v>432</v>
      </c>
      <c r="I118" s="2" t="s">
        <v>431</v>
      </c>
      <c r="J118" s="10" t="s">
        <v>464</v>
      </c>
      <c r="K118" s="10">
        <v>5477074</v>
      </c>
      <c r="L118" s="2" t="s">
        <v>37</v>
      </c>
      <c r="M118" s="2">
        <v>23</v>
      </c>
      <c r="N118" s="2">
        <v>26</v>
      </c>
      <c r="R118" s="9">
        <v>42740</v>
      </c>
      <c r="W118" s="2">
        <v>3</v>
      </c>
      <c r="Z118" s="10">
        <v>726174225</v>
      </c>
    </row>
    <row r="119" spans="2:26" x14ac:dyDescent="0.25">
      <c r="B119" s="2">
        <v>120</v>
      </c>
      <c r="C119" s="16">
        <v>241332</v>
      </c>
      <c r="D119" s="10">
        <v>10032595</v>
      </c>
      <c r="E119" s="10" t="s">
        <v>453</v>
      </c>
      <c r="F119" s="2" t="s">
        <v>89</v>
      </c>
      <c r="G119" s="2" t="s">
        <v>433</v>
      </c>
      <c r="H119" s="2" t="s">
        <v>312</v>
      </c>
      <c r="I119" s="2" t="s">
        <v>38</v>
      </c>
      <c r="J119" s="10" t="s">
        <v>465</v>
      </c>
      <c r="K119" s="10"/>
      <c r="L119" s="2" t="s">
        <v>37</v>
      </c>
      <c r="M119" s="2">
        <v>44</v>
      </c>
      <c r="N119" s="2">
        <v>47</v>
      </c>
      <c r="R119" s="10" t="s">
        <v>557</v>
      </c>
      <c r="W119" s="2">
        <v>5</v>
      </c>
      <c r="Z119" s="10">
        <v>724770371</v>
      </c>
    </row>
    <row r="120" spans="2:26" x14ac:dyDescent="0.25">
      <c r="B120" s="2">
        <v>121</v>
      </c>
      <c r="C120" s="16">
        <v>184008</v>
      </c>
      <c r="D120" s="10">
        <v>4023126</v>
      </c>
      <c r="E120" s="10" t="s">
        <v>454</v>
      </c>
      <c r="F120" s="2" t="s">
        <v>43</v>
      </c>
      <c r="G120" s="2" t="s">
        <v>434</v>
      </c>
      <c r="H120" s="2" t="s">
        <v>435</v>
      </c>
      <c r="I120" s="2" t="s">
        <v>641</v>
      </c>
      <c r="J120" s="10" t="s">
        <v>466</v>
      </c>
      <c r="K120" s="10">
        <v>222668</v>
      </c>
      <c r="L120" s="2" t="s">
        <v>33</v>
      </c>
      <c r="M120" s="2">
        <v>22</v>
      </c>
      <c r="N120" s="2">
        <v>43</v>
      </c>
      <c r="R120" s="9">
        <v>31473</v>
      </c>
      <c r="W120" s="2">
        <v>3</v>
      </c>
      <c r="Z120" s="10">
        <v>722615945</v>
      </c>
    </row>
    <row r="121" spans="2:26" x14ac:dyDescent="0.25">
      <c r="B121" s="2">
        <v>122</v>
      </c>
      <c r="C121" s="16">
        <v>241523</v>
      </c>
      <c r="D121" s="10">
        <v>28561000</v>
      </c>
      <c r="E121" s="10" t="s">
        <v>455</v>
      </c>
      <c r="F121" s="2" t="s">
        <v>43</v>
      </c>
      <c r="G121" s="2" t="s">
        <v>437</v>
      </c>
      <c r="H121" s="2" t="s">
        <v>45</v>
      </c>
      <c r="I121" s="2" t="s">
        <v>436</v>
      </c>
      <c r="J121" s="10" t="s">
        <v>467</v>
      </c>
      <c r="K121" s="10">
        <v>6374399</v>
      </c>
      <c r="L121" s="2" t="s">
        <v>33</v>
      </c>
      <c r="M121" s="2">
        <v>4</v>
      </c>
      <c r="N121" s="2">
        <v>18</v>
      </c>
      <c r="R121" s="10" t="s">
        <v>558</v>
      </c>
      <c r="W121" s="2">
        <v>5</v>
      </c>
      <c r="Z121" s="10">
        <v>741527254</v>
      </c>
    </row>
    <row r="122" spans="2:26" x14ac:dyDescent="0.25">
      <c r="B122" s="2">
        <v>123</v>
      </c>
      <c r="C122" s="16">
        <v>175169</v>
      </c>
      <c r="D122" s="10">
        <v>12710851</v>
      </c>
      <c r="E122" s="10" t="s">
        <v>456</v>
      </c>
      <c r="F122" s="2" t="s">
        <v>43</v>
      </c>
      <c r="G122" s="2" t="s">
        <v>438</v>
      </c>
      <c r="H122" s="2" t="s">
        <v>301</v>
      </c>
      <c r="I122" s="2" t="s">
        <v>439</v>
      </c>
      <c r="J122" s="10" t="s">
        <v>468</v>
      </c>
      <c r="K122" s="10">
        <v>800013</v>
      </c>
      <c r="L122" s="2" t="s">
        <v>33</v>
      </c>
      <c r="M122" s="2">
        <v>3</v>
      </c>
      <c r="N122" s="2">
        <v>22</v>
      </c>
      <c r="R122" s="9">
        <v>38725</v>
      </c>
      <c r="W122" s="2">
        <v>3</v>
      </c>
      <c r="Z122" s="10">
        <v>799003266</v>
      </c>
    </row>
    <row r="123" spans="2:26" x14ac:dyDescent="0.25">
      <c r="B123" s="2">
        <v>124</v>
      </c>
      <c r="C123" s="16">
        <v>241569</v>
      </c>
      <c r="D123" s="10">
        <v>32689152</v>
      </c>
      <c r="E123" s="10" t="s">
        <v>457</v>
      </c>
      <c r="F123" s="2" t="s">
        <v>89</v>
      </c>
      <c r="G123" s="2" t="s">
        <v>201</v>
      </c>
      <c r="H123" s="2" t="s">
        <v>441</v>
      </c>
      <c r="I123" s="2" t="s">
        <v>440</v>
      </c>
      <c r="J123" s="10" t="s">
        <v>469</v>
      </c>
      <c r="K123" s="10">
        <v>751800</v>
      </c>
      <c r="L123" s="2" t="s">
        <v>37</v>
      </c>
      <c r="M123" s="2">
        <v>22</v>
      </c>
      <c r="N123" s="2">
        <v>42</v>
      </c>
      <c r="R123" s="9">
        <v>44205</v>
      </c>
      <c r="W123" s="2">
        <v>5</v>
      </c>
      <c r="Y123" s="14" t="s">
        <v>731</v>
      </c>
      <c r="Z123" s="10">
        <v>717395206</v>
      </c>
    </row>
    <row r="124" spans="2:26" x14ac:dyDescent="0.25">
      <c r="B124" s="2">
        <v>125</v>
      </c>
      <c r="C124" s="16">
        <v>241600</v>
      </c>
      <c r="D124" s="10">
        <v>29609713</v>
      </c>
      <c r="E124" s="10" t="s">
        <v>458</v>
      </c>
      <c r="F124" s="2" t="s">
        <v>43</v>
      </c>
      <c r="G124" s="2" t="s">
        <v>437</v>
      </c>
      <c r="H124" s="2" t="s">
        <v>442</v>
      </c>
      <c r="I124" s="2" t="s">
        <v>443</v>
      </c>
      <c r="J124" s="10" t="s">
        <v>770</v>
      </c>
      <c r="K124" s="10">
        <v>782955</v>
      </c>
      <c r="L124" s="2" t="s">
        <v>33</v>
      </c>
      <c r="M124" s="2">
        <v>4</v>
      </c>
      <c r="N124" s="2">
        <v>34</v>
      </c>
      <c r="R124" s="9">
        <v>44562</v>
      </c>
      <c r="W124" s="2">
        <v>5</v>
      </c>
      <c r="Z124" s="10">
        <v>723124258</v>
      </c>
    </row>
    <row r="125" spans="2:26" x14ac:dyDescent="0.25">
      <c r="B125" s="2">
        <v>126</v>
      </c>
      <c r="C125" s="16">
        <v>141008</v>
      </c>
      <c r="D125" s="10">
        <v>8341746</v>
      </c>
      <c r="E125" s="10" t="s">
        <v>520</v>
      </c>
      <c r="F125" s="2" t="s">
        <v>89</v>
      </c>
      <c r="G125" s="2" t="s">
        <v>470</v>
      </c>
      <c r="H125" s="2" t="s">
        <v>350</v>
      </c>
      <c r="I125" s="2" t="s">
        <v>683</v>
      </c>
      <c r="J125" s="10" t="s">
        <v>543</v>
      </c>
      <c r="K125" s="10">
        <v>198398</v>
      </c>
      <c r="L125" s="10" t="s">
        <v>37</v>
      </c>
      <c r="M125" s="2">
        <v>14</v>
      </c>
      <c r="N125" s="2">
        <v>38</v>
      </c>
      <c r="O125" s="11"/>
      <c r="R125" s="10" t="s">
        <v>692</v>
      </c>
      <c r="W125" s="2">
        <v>3</v>
      </c>
      <c r="Z125" s="10">
        <v>714498009</v>
      </c>
    </row>
    <row r="126" spans="2:26" x14ac:dyDescent="0.25">
      <c r="B126" s="2">
        <v>127</v>
      </c>
      <c r="C126" s="16">
        <v>241562</v>
      </c>
      <c r="D126" s="10">
        <v>27819882</v>
      </c>
      <c r="E126" s="10" t="s">
        <v>521</v>
      </c>
      <c r="F126" s="2" t="s">
        <v>89</v>
      </c>
      <c r="G126" s="2" t="s">
        <v>472</v>
      </c>
      <c r="H126" s="2" t="s">
        <v>350</v>
      </c>
      <c r="I126" s="2" t="s">
        <v>471</v>
      </c>
      <c r="J126" s="9">
        <v>32910</v>
      </c>
      <c r="K126" s="10">
        <v>562521</v>
      </c>
      <c r="L126" s="10" t="s">
        <v>37</v>
      </c>
      <c r="M126" s="2">
        <v>4</v>
      </c>
      <c r="N126" s="2">
        <v>22</v>
      </c>
      <c r="O126" s="11"/>
      <c r="R126" s="9">
        <v>44416</v>
      </c>
      <c r="W126" s="2">
        <v>12</v>
      </c>
      <c r="Z126" s="10">
        <v>717144177</v>
      </c>
    </row>
    <row r="127" spans="2:26" x14ac:dyDescent="0.25">
      <c r="B127" s="2">
        <v>128</v>
      </c>
      <c r="C127" s="16">
        <v>241504</v>
      </c>
      <c r="D127" s="10">
        <v>32747838</v>
      </c>
      <c r="E127" s="10" t="s">
        <v>522</v>
      </c>
      <c r="F127" s="2" t="s">
        <v>89</v>
      </c>
      <c r="G127" s="2" t="s">
        <v>473</v>
      </c>
      <c r="H127" s="2" t="s">
        <v>474</v>
      </c>
      <c r="I127" s="2" t="s">
        <v>475</v>
      </c>
      <c r="J127" s="9">
        <v>34949</v>
      </c>
      <c r="K127" s="10">
        <v>35649</v>
      </c>
      <c r="L127" s="10" t="s">
        <v>37</v>
      </c>
      <c r="M127" s="2">
        <v>22</v>
      </c>
      <c r="N127" s="2">
        <v>47</v>
      </c>
      <c r="O127" s="11"/>
      <c r="R127" s="9">
        <v>44205</v>
      </c>
      <c r="W127" s="2">
        <v>12</v>
      </c>
      <c r="Z127" s="10">
        <v>710239309</v>
      </c>
    </row>
    <row r="128" spans="2:26" x14ac:dyDescent="0.25">
      <c r="B128" s="2">
        <v>129</v>
      </c>
      <c r="C128" s="16">
        <v>241560</v>
      </c>
      <c r="D128" s="10">
        <v>31141408</v>
      </c>
      <c r="E128" s="10" t="s">
        <v>523</v>
      </c>
      <c r="F128" s="2" t="s">
        <v>89</v>
      </c>
      <c r="G128" s="2" t="s">
        <v>478</v>
      </c>
      <c r="H128" s="2" t="s">
        <v>477</v>
      </c>
      <c r="I128" s="2" t="s">
        <v>476</v>
      </c>
      <c r="J128" s="10" t="s">
        <v>544</v>
      </c>
      <c r="K128" s="10">
        <v>374020</v>
      </c>
      <c r="L128" s="10" t="s">
        <v>37</v>
      </c>
      <c r="M128" s="2">
        <v>23</v>
      </c>
      <c r="N128" s="2">
        <v>32</v>
      </c>
      <c r="O128" s="11"/>
      <c r="R128" s="9">
        <v>44416</v>
      </c>
      <c r="W128" s="2">
        <v>5</v>
      </c>
      <c r="Z128" s="10">
        <v>707882964</v>
      </c>
    </row>
    <row r="129" spans="2:26" x14ac:dyDescent="0.25">
      <c r="B129" s="2">
        <v>130</v>
      </c>
      <c r="C129" s="16">
        <v>241745</v>
      </c>
      <c r="D129" s="10">
        <v>35658919</v>
      </c>
      <c r="E129" s="10" t="s">
        <v>524</v>
      </c>
      <c r="F129" s="2" t="s">
        <v>89</v>
      </c>
      <c r="G129" s="2" t="s">
        <v>30</v>
      </c>
      <c r="H129" s="2" t="s">
        <v>374</v>
      </c>
      <c r="I129" s="2" t="s">
        <v>479</v>
      </c>
      <c r="J129" s="10" t="s">
        <v>545</v>
      </c>
      <c r="K129" s="10">
        <v>428092</v>
      </c>
      <c r="L129" s="10" t="s">
        <v>37</v>
      </c>
      <c r="M129" s="2">
        <v>4</v>
      </c>
      <c r="N129" s="2">
        <v>47</v>
      </c>
      <c r="O129" s="11"/>
      <c r="R129" s="9">
        <v>44928</v>
      </c>
      <c r="W129" s="2">
        <v>12</v>
      </c>
      <c r="Z129" s="10">
        <v>723399165</v>
      </c>
    </row>
    <row r="130" spans="2:26" x14ac:dyDescent="0.25">
      <c r="B130" s="2">
        <v>131</v>
      </c>
      <c r="C130" s="16">
        <v>204008</v>
      </c>
      <c r="D130" s="10">
        <v>8821281</v>
      </c>
      <c r="E130" s="10" t="s">
        <v>525</v>
      </c>
      <c r="F130" s="2" t="s">
        <v>29</v>
      </c>
      <c r="G130" s="2" t="s">
        <v>480</v>
      </c>
      <c r="H130" s="2" t="s">
        <v>481</v>
      </c>
      <c r="I130" s="2" t="s">
        <v>694</v>
      </c>
      <c r="J130" s="10" t="s">
        <v>546</v>
      </c>
      <c r="K130" s="10">
        <v>829913</v>
      </c>
      <c r="L130" s="10" t="s">
        <v>33</v>
      </c>
      <c r="M130" s="2">
        <v>14</v>
      </c>
      <c r="N130" s="2">
        <v>44</v>
      </c>
      <c r="O130" s="11"/>
      <c r="R130" s="9">
        <v>35072</v>
      </c>
      <c r="W130" s="2">
        <v>3</v>
      </c>
      <c r="Z130" s="10">
        <v>721483326</v>
      </c>
    </row>
    <row r="131" spans="2:26" x14ac:dyDescent="0.25">
      <c r="B131" s="2">
        <v>132</v>
      </c>
      <c r="C131" s="16">
        <v>241050</v>
      </c>
      <c r="D131" s="10">
        <v>23482428</v>
      </c>
      <c r="E131" s="10" t="s">
        <v>526</v>
      </c>
      <c r="F131" s="2" t="s">
        <v>29</v>
      </c>
      <c r="G131" s="2" t="s">
        <v>482</v>
      </c>
      <c r="H131" s="2" t="s">
        <v>483</v>
      </c>
      <c r="I131" s="2" t="s">
        <v>690</v>
      </c>
      <c r="J131" s="9">
        <v>27555</v>
      </c>
      <c r="K131" s="10">
        <v>342</v>
      </c>
      <c r="L131" s="10" t="s">
        <v>37</v>
      </c>
      <c r="M131" s="2">
        <v>22</v>
      </c>
      <c r="N131" s="2">
        <v>43</v>
      </c>
      <c r="O131" s="11"/>
      <c r="R131" s="10" t="s">
        <v>758</v>
      </c>
      <c r="W131" s="2">
        <v>3</v>
      </c>
      <c r="Z131" s="10">
        <v>721486000</v>
      </c>
    </row>
    <row r="132" spans="2:26" x14ac:dyDescent="0.25">
      <c r="B132" s="2">
        <v>133</v>
      </c>
      <c r="C132" s="16">
        <v>181044</v>
      </c>
      <c r="D132" s="10">
        <v>22569012</v>
      </c>
      <c r="E132" s="10" t="s">
        <v>527</v>
      </c>
      <c r="F132" s="2" t="s">
        <v>29</v>
      </c>
      <c r="G132" s="2" t="s">
        <v>485</v>
      </c>
      <c r="H132" s="2" t="s">
        <v>484</v>
      </c>
      <c r="I132" s="2" t="s">
        <v>633</v>
      </c>
      <c r="J132" s="10" t="s">
        <v>547</v>
      </c>
      <c r="K132" s="10">
        <v>876031</v>
      </c>
      <c r="L132" s="10" t="s">
        <v>37</v>
      </c>
      <c r="M132" s="2">
        <v>22</v>
      </c>
      <c r="N132" s="2">
        <v>47</v>
      </c>
      <c r="O132" s="11"/>
      <c r="R132" s="10" t="s">
        <v>759</v>
      </c>
      <c r="W132" s="2">
        <v>3</v>
      </c>
      <c r="Z132" s="10">
        <v>722993666</v>
      </c>
    </row>
    <row r="133" spans="2:26" x14ac:dyDescent="0.25">
      <c r="B133" s="2">
        <v>134</v>
      </c>
      <c r="C133" s="16">
        <v>180022</v>
      </c>
      <c r="D133" s="10">
        <v>8527439</v>
      </c>
      <c r="E133" s="10" t="s">
        <v>528</v>
      </c>
      <c r="F133" s="2" t="s">
        <v>43</v>
      </c>
      <c r="G133" s="2" t="s">
        <v>486</v>
      </c>
      <c r="H133" s="2" t="s">
        <v>695</v>
      </c>
      <c r="I133" s="2" t="s">
        <v>640</v>
      </c>
      <c r="J133" s="9">
        <v>23834</v>
      </c>
      <c r="K133" s="10">
        <v>505055</v>
      </c>
      <c r="L133" s="10" t="s">
        <v>33</v>
      </c>
      <c r="M133" s="2">
        <v>16</v>
      </c>
      <c r="N133" s="2">
        <v>3</v>
      </c>
      <c r="O133" s="11"/>
      <c r="R133" s="9">
        <v>31695</v>
      </c>
      <c r="W133" s="2">
        <v>3</v>
      </c>
      <c r="Z133" s="10">
        <v>722945935</v>
      </c>
    </row>
    <row r="134" spans="2:26" x14ac:dyDescent="0.25">
      <c r="B134" s="2">
        <v>135</v>
      </c>
      <c r="C134" s="16">
        <v>161161</v>
      </c>
      <c r="D134" s="10">
        <v>8527439</v>
      </c>
      <c r="E134" s="10" t="s">
        <v>529</v>
      </c>
      <c r="F134" s="2" t="s">
        <v>29</v>
      </c>
      <c r="G134" s="2" t="s">
        <v>126</v>
      </c>
      <c r="H134" s="2" t="s">
        <v>487</v>
      </c>
      <c r="I134" s="2" t="s">
        <v>651</v>
      </c>
      <c r="J134" s="10" t="s">
        <v>548</v>
      </c>
      <c r="K134" s="10">
        <v>5748041</v>
      </c>
      <c r="L134" s="10" t="s">
        <v>33</v>
      </c>
      <c r="M134" s="2">
        <v>4</v>
      </c>
      <c r="N134" s="2">
        <v>47</v>
      </c>
      <c r="O134" s="11"/>
      <c r="R134" s="9">
        <v>39451</v>
      </c>
      <c r="W134" s="2">
        <v>3</v>
      </c>
      <c r="Y134" s="14" t="s">
        <v>734</v>
      </c>
      <c r="Z134" s="10">
        <v>743420804</v>
      </c>
    </row>
    <row r="135" spans="2:26" x14ac:dyDescent="0.25">
      <c r="B135" s="2">
        <v>136</v>
      </c>
      <c r="C135" s="18">
        <v>180052</v>
      </c>
      <c r="D135" s="10">
        <v>8527439</v>
      </c>
      <c r="E135" s="10" t="s">
        <v>719</v>
      </c>
      <c r="F135" s="2" t="s">
        <v>89</v>
      </c>
      <c r="G135" s="2" t="s">
        <v>488</v>
      </c>
      <c r="H135" s="2" t="s">
        <v>489</v>
      </c>
      <c r="I135" s="2" t="s">
        <v>99</v>
      </c>
      <c r="J135" s="10" t="s">
        <v>720</v>
      </c>
      <c r="K135" s="10">
        <v>434648</v>
      </c>
      <c r="L135" s="10" t="s">
        <v>37</v>
      </c>
      <c r="M135" s="2">
        <v>11</v>
      </c>
      <c r="N135" s="2">
        <v>46</v>
      </c>
      <c r="O135" s="11"/>
      <c r="R135" s="9">
        <v>38726</v>
      </c>
      <c r="W135" s="2">
        <v>3</v>
      </c>
      <c r="Z135" s="10">
        <v>701943090</v>
      </c>
    </row>
    <row r="136" spans="2:26" x14ac:dyDescent="0.25">
      <c r="B136" s="2">
        <v>137</v>
      </c>
      <c r="C136" s="18">
        <v>114010</v>
      </c>
      <c r="D136" s="10">
        <v>8527439</v>
      </c>
      <c r="E136" s="10" t="s">
        <v>530</v>
      </c>
      <c r="F136" s="2" t="s">
        <v>89</v>
      </c>
      <c r="G136" s="2" t="s">
        <v>490</v>
      </c>
      <c r="H136" s="2" t="s">
        <v>68</v>
      </c>
      <c r="I136" s="2" t="s">
        <v>647</v>
      </c>
      <c r="J136" s="10" t="s">
        <v>549</v>
      </c>
      <c r="K136" s="10">
        <v>356896</v>
      </c>
      <c r="L136" s="10" t="s">
        <v>37</v>
      </c>
      <c r="M136" s="2">
        <v>14</v>
      </c>
      <c r="N136" s="2">
        <v>38</v>
      </c>
      <c r="O136" s="11"/>
      <c r="R136" s="9">
        <v>33612</v>
      </c>
      <c r="W136" s="2">
        <v>3</v>
      </c>
      <c r="Y136" s="14" t="s">
        <v>743</v>
      </c>
      <c r="Z136" s="10">
        <v>795030349</v>
      </c>
    </row>
    <row r="137" spans="2:26" x14ac:dyDescent="0.25">
      <c r="B137" s="2">
        <v>138</v>
      </c>
      <c r="C137" s="18">
        <v>221055</v>
      </c>
      <c r="D137" s="10">
        <v>8527439</v>
      </c>
      <c r="E137" s="10" t="s">
        <v>531</v>
      </c>
      <c r="F137" s="2" t="s">
        <v>43</v>
      </c>
      <c r="G137" s="2" t="s">
        <v>491</v>
      </c>
      <c r="H137" s="2" t="s">
        <v>492</v>
      </c>
      <c r="I137" s="2" t="s">
        <v>642</v>
      </c>
      <c r="J137" s="10">
        <v>1966</v>
      </c>
      <c r="K137" s="10">
        <v>189257</v>
      </c>
      <c r="L137" s="10" t="s">
        <v>33</v>
      </c>
      <c r="M137" s="2">
        <v>4</v>
      </c>
      <c r="N137" s="2">
        <v>20</v>
      </c>
      <c r="O137" s="11"/>
      <c r="R137" s="10">
        <v>1991</v>
      </c>
      <c r="W137" s="2">
        <v>3</v>
      </c>
      <c r="Y137" s="14" t="s">
        <v>747</v>
      </c>
      <c r="Z137" s="10">
        <v>722678944</v>
      </c>
    </row>
    <row r="138" spans="2:26" x14ac:dyDescent="0.25">
      <c r="B138" s="2">
        <v>139</v>
      </c>
      <c r="C138" s="18">
        <v>241465</v>
      </c>
      <c r="D138" s="10">
        <v>8527439</v>
      </c>
      <c r="E138" s="10" t="s">
        <v>532</v>
      </c>
      <c r="F138" s="2" t="s">
        <v>43</v>
      </c>
      <c r="G138" s="2" t="s">
        <v>343</v>
      </c>
      <c r="H138" s="2" t="s">
        <v>261</v>
      </c>
      <c r="I138" s="2" t="s">
        <v>493</v>
      </c>
      <c r="J138" s="10" t="s">
        <v>550</v>
      </c>
      <c r="K138" s="10" t="str">
        <f>"0"&amp;213562</f>
        <v>0213562</v>
      </c>
      <c r="L138" s="10" t="s">
        <v>33</v>
      </c>
      <c r="M138" s="2">
        <v>22</v>
      </c>
      <c r="N138" s="2">
        <v>42</v>
      </c>
      <c r="O138" s="11"/>
      <c r="R138" s="9">
        <v>43625</v>
      </c>
      <c r="W138" s="2">
        <v>5</v>
      </c>
      <c r="Z138" s="10">
        <v>701060312</v>
      </c>
    </row>
    <row r="139" spans="2:26" x14ac:dyDescent="0.25">
      <c r="B139" s="2">
        <v>140</v>
      </c>
      <c r="C139" s="18">
        <v>171197</v>
      </c>
      <c r="D139" s="10">
        <v>8527439</v>
      </c>
      <c r="E139" s="10" t="s">
        <v>533</v>
      </c>
      <c r="F139" s="2" t="s">
        <v>43</v>
      </c>
      <c r="G139" s="2" t="s">
        <v>494</v>
      </c>
      <c r="H139" s="2" t="s">
        <v>195</v>
      </c>
      <c r="I139" s="2" t="s">
        <v>495</v>
      </c>
      <c r="J139" s="9">
        <v>30716</v>
      </c>
      <c r="K139" s="10">
        <v>287614</v>
      </c>
      <c r="L139" s="10" t="s">
        <v>33</v>
      </c>
      <c r="M139" s="2">
        <v>19</v>
      </c>
      <c r="N139" s="2">
        <v>47</v>
      </c>
      <c r="O139" s="11"/>
      <c r="R139" s="9">
        <v>40547</v>
      </c>
      <c r="W139" s="2">
        <v>3</v>
      </c>
      <c r="Z139" s="10">
        <v>724780091</v>
      </c>
    </row>
    <row r="140" spans="2:26" x14ac:dyDescent="0.25">
      <c r="B140" s="2">
        <v>141</v>
      </c>
      <c r="C140" s="18">
        <v>241033</v>
      </c>
      <c r="D140" s="10">
        <v>8527439</v>
      </c>
      <c r="E140" s="10" t="s">
        <v>767</v>
      </c>
      <c r="F140" s="2" t="s">
        <v>89</v>
      </c>
      <c r="G140" s="2" t="s">
        <v>498</v>
      </c>
      <c r="H140" s="2" t="s">
        <v>497</v>
      </c>
      <c r="I140" s="2" t="s">
        <v>496</v>
      </c>
      <c r="J140" s="9">
        <v>31999</v>
      </c>
      <c r="K140" s="10"/>
      <c r="L140" s="10" t="s">
        <v>37</v>
      </c>
      <c r="M140" s="2">
        <v>4</v>
      </c>
      <c r="N140" s="2">
        <v>47</v>
      </c>
      <c r="O140" s="11"/>
      <c r="R140" s="9" t="s">
        <v>768</v>
      </c>
      <c r="W140" s="2">
        <v>3</v>
      </c>
      <c r="Y140" s="14" t="s">
        <v>745</v>
      </c>
      <c r="Z140" s="10">
        <v>722554641</v>
      </c>
    </row>
    <row r="141" spans="2:26" x14ac:dyDescent="0.25">
      <c r="B141" s="2">
        <v>142</v>
      </c>
      <c r="C141" s="18">
        <v>113045</v>
      </c>
      <c r="D141" s="10">
        <v>8527439</v>
      </c>
      <c r="E141" s="10" t="s">
        <v>534</v>
      </c>
      <c r="F141" s="2" t="s">
        <v>29</v>
      </c>
      <c r="G141" s="2" t="s">
        <v>499</v>
      </c>
      <c r="H141" s="2" t="s">
        <v>500</v>
      </c>
      <c r="I141" s="2" t="s">
        <v>501</v>
      </c>
      <c r="J141" s="10" t="s">
        <v>551</v>
      </c>
      <c r="K141" s="10"/>
      <c r="L141" s="10" t="s">
        <v>37</v>
      </c>
      <c r="M141" s="2">
        <v>22</v>
      </c>
      <c r="N141" s="2">
        <v>41</v>
      </c>
      <c r="O141" s="11"/>
      <c r="R141" s="9">
        <v>43833</v>
      </c>
      <c r="W141" s="2">
        <v>3</v>
      </c>
      <c r="Y141" s="14" t="s">
        <v>750</v>
      </c>
      <c r="Z141" s="10">
        <v>722341125</v>
      </c>
    </row>
    <row r="142" spans="2:26" x14ac:dyDescent="0.25">
      <c r="B142" s="2">
        <v>143</v>
      </c>
      <c r="C142" s="18">
        <v>241537</v>
      </c>
      <c r="D142" s="10">
        <v>8527439</v>
      </c>
      <c r="E142" s="10" t="s">
        <v>535</v>
      </c>
      <c r="F142" s="2" t="s">
        <v>43</v>
      </c>
      <c r="G142" s="2" t="s">
        <v>503</v>
      </c>
      <c r="H142" s="2" t="s">
        <v>502</v>
      </c>
      <c r="I142" s="2" t="s">
        <v>106</v>
      </c>
      <c r="J142" s="9">
        <v>33032</v>
      </c>
      <c r="K142" s="10">
        <v>907724</v>
      </c>
      <c r="L142" s="10" t="s">
        <v>37</v>
      </c>
      <c r="M142" s="2">
        <v>4</v>
      </c>
      <c r="N142" s="2">
        <v>19</v>
      </c>
      <c r="O142" s="11"/>
      <c r="R142" s="9">
        <v>44384</v>
      </c>
      <c r="W142" s="2">
        <v>5</v>
      </c>
      <c r="Z142" s="10">
        <v>725300294</v>
      </c>
    </row>
    <row r="143" spans="2:26" x14ac:dyDescent="0.25">
      <c r="B143" s="2">
        <v>144</v>
      </c>
      <c r="C143" s="18">
        <v>182029</v>
      </c>
      <c r="D143" s="10">
        <v>8527439</v>
      </c>
      <c r="E143" s="10" t="s">
        <v>536</v>
      </c>
      <c r="F143" s="2" t="s">
        <v>43</v>
      </c>
      <c r="G143" s="2" t="s">
        <v>504</v>
      </c>
      <c r="H143" s="2" t="s">
        <v>505</v>
      </c>
      <c r="I143" s="2" t="s">
        <v>653</v>
      </c>
      <c r="J143" s="10" t="s">
        <v>552</v>
      </c>
      <c r="K143" s="10">
        <v>964634</v>
      </c>
      <c r="L143" s="10" t="s">
        <v>33</v>
      </c>
      <c r="M143" s="2">
        <v>22</v>
      </c>
      <c r="N143" s="2">
        <v>44</v>
      </c>
      <c r="O143" s="11"/>
      <c r="R143" s="10" t="s">
        <v>559</v>
      </c>
      <c r="W143" s="2">
        <v>3</v>
      </c>
      <c r="Z143" s="10">
        <v>725708750</v>
      </c>
    </row>
    <row r="144" spans="2:26" x14ac:dyDescent="0.25">
      <c r="B144" s="2">
        <v>145</v>
      </c>
      <c r="C144" s="18">
        <v>241359</v>
      </c>
      <c r="D144" s="10">
        <v>8527439</v>
      </c>
      <c r="E144" s="10" t="s">
        <v>537</v>
      </c>
      <c r="F144" s="2" t="s">
        <v>89</v>
      </c>
      <c r="H144" s="2" t="s">
        <v>506</v>
      </c>
      <c r="I144" s="2" t="s">
        <v>507</v>
      </c>
      <c r="J144" s="10" t="s">
        <v>553</v>
      </c>
      <c r="K144" s="10">
        <v>416123</v>
      </c>
      <c r="L144" s="10" t="s">
        <v>37</v>
      </c>
      <c r="M144" s="2">
        <v>11</v>
      </c>
      <c r="N144" s="2">
        <v>3</v>
      </c>
      <c r="O144" s="11"/>
      <c r="R144" s="9">
        <v>43101</v>
      </c>
      <c r="W144" s="2">
        <v>12</v>
      </c>
      <c r="Y144" s="14" t="s">
        <v>727</v>
      </c>
      <c r="Z144" s="10">
        <v>702352079</v>
      </c>
    </row>
    <row r="145" spans="2:26" x14ac:dyDescent="0.25">
      <c r="B145" s="2">
        <v>146</v>
      </c>
      <c r="C145" s="18">
        <v>241525</v>
      </c>
      <c r="D145" s="10">
        <v>8527439</v>
      </c>
      <c r="E145" s="10" t="s">
        <v>538</v>
      </c>
      <c r="F145" s="2" t="s">
        <v>43</v>
      </c>
      <c r="G145" s="2" t="s">
        <v>510</v>
      </c>
      <c r="H145" s="2" t="s">
        <v>509</v>
      </c>
      <c r="I145" s="2" t="s">
        <v>508</v>
      </c>
      <c r="J145" s="10" t="s">
        <v>554</v>
      </c>
      <c r="K145" s="10">
        <v>537927</v>
      </c>
      <c r="L145" s="10" t="s">
        <v>33</v>
      </c>
      <c r="M145" s="2">
        <v>22</v>
      </c>
      <c r="N145" s="2">
        <v>42</v>
      </c>
      <c r="O145" s="11"/>
      <c r="R145" s="9">
        <v>44534</v>
      </c>
      <c r="W145" s="2">
        <v>12</v>
      </c>
      <c r="Z145" s="10">
        <v>720234563</v>
      </c>
    </row>
    <row r="146" spans="2:26" x14ac:dyDescent="0.25">
      <c r="B146" s="2">
        <v>147</v>
      </c>
      <c r="C146" s="18">
        <v>241651</v>
      </c>
      <c r="D146" s="10">
        <v>8527439</v>
      </c>
      <c r="E146" s="10" t="s">
        <v>539</v>
      </c>
      <c r="F146" s="2" t="s">
        <v>89</v>
      </c>
      <c r="H146" s="2" t="s">
        <v>511</v>
      </c>
      <c r="I146" s="2" t="s">
        <v>512</v>
      </c>
      <c r="J146" s="10" t="s">
        <v>555</v>
      </c>
      <c r="K146" s="10">
        <v>282729</v>
      </c>
      <c r="L146" s="10" t="s">
        <v>37</v>
      </c>
      <c r="M146" s="2">
        <v>4</v>
      </c>
      <c r="N146" s="2">
        <v>14</v>
      </c>
      <c r="O146" s="11"/>
      <c r="R146" s="10" t="s">
        <v>560</v>
      </c>
      <c r="W146" s="2">
        <v>5</v>
      </c>
      <c r="Z146" s="10">
        <v>713599222</v>
      </c>
    </row>
    <row r="147" spans="2:26" x14ac:dyDescent="0.25">
      <c r="B147" s="2">
        <v>148</v>
      </c>
      <c r="C147" s="18">
        <v>115016</v>
      </c>
      <c r="D147" s="10">
        <v>8527439</v>
      </c>
      <c r="E147" s="10" t="s">
        <v>540</v>
      </c>
      <c r="F147" s="2" t="s">
        <v>89</v>
      </c>
      <c r="G147" s="2" t="s">
        <v>514</v>
      </c>
      <c r="H147" s="2" t="s">
        <v>513</v>
      </c>
      <c r="I147" s="2" t="s">
        <v>645</v>
      </c>
      <c r="J147" s="10">
        <v>1966</v>
      </c>
      <c r="K147" s="10">
        <v>9273032</v>
      </c>
      <c r="L147" s="10" t="s">
        <v>37</v>
      </c>
      <c r="M147" s="2">
        <v>11</v>
      </c>
      <c r="N147" s="2">
        <v>46</v>
      </c>
      <c r="O147" s="11"/>
      <c r="R147" s="9">
        <v>32882</v>
      </c>
      <c r="W147" s="2">
        <v>3</v>
      </c>
      <c r="Z147" s="10">
        <v>721204475</v>
      </c>
    </row>
    <row r="148" spans="2:26" x14ac:dyDescent="0.25">
      <c r="B148" s="2">
        <v>149</v>
      </c>
      <c r="C148" s="10">
        <v>241138</v>
      </c>
      <c r="D148" s="10">
        <v>8527439</v>
      </c>
      <c r="E148" s="10" t="s">
        <v>541</v>
      </c>
      <c r="F148" s="2" t="s">
        <v>43</v>
      </c>
      <c r="G148" s="2" t="s">
        <v>516</v>
      </c>
      <c r="H148" s="2" t="s">
        <v>652</v>
      </c>
      <c r="I148" s="2" t="s">
        <v>515</v>
      </c>
      <c r="J148" s="9">
        <v>32302</v>
      </c>
      <c r="K148" s="10" t="str">
        <f>"0"&amp;36879</f>
        <v>036879</v>
      </c>
      <c r="L148" s="10" t="s">
        <v>37</v>
      </c>
      <c r="M148" s="2">
        <v>14</v>
      </c>
      <c r="N148" s="2">
        <v>39</v>
      </c>
      <c r="O148" s="11"/>
      <c r="R148" s="9">
        <v>42132</v>
      </c>
      <c r="W148" s="2">
        <v>3</v>
      </c>
      <c r="Y148" s="14" t="s">
        <v>746</v>
      </c>
      <c r="Z148" s="10">
        <v>712900467</v>
      </c>
    </row>
    <row r="149" spans="2:26" x14ac:dyDescent="0.25">
      <c r="B149" s="2">
        <v>150</v>
      </c>
      <c r="C149" s="18">
        <v>241601</v>
      </c>
      <c r="D149" s="10">
        <v>8527439</v>
      </c>
      <c r="E149" s="10" t="s">
        <v>542</v>
      </c>
      <c r="F149" s="2" t="s">
        <v>43</v>
      </c>
      <c r="G149" s="2" t="s">
        <v>517</v>
      </c>
      <c r="H149" s="2" t="s">
        <v>518</v>
      </c>
      <c r="I149" s="2" t="s">
        <v>519</v>
      </c>
      <c r="J149" s="9">
        <v>34617</v>
      </c>
      <c r="K149" s="10">
        <v>208784</v>
      </c>
      <c r="L149" s="10" t="s">
        <v>33</v>
      </c>
      <c r="M149" s="2">
        <v>22</v>
      </c>
      <c r="N149" s="2">
        <v>41</v>
      </c>
      <c r="O149" s="11"/>
      <c r="R149" s="10" t="s">
        <v>145</v>
      </c>
      <c r="W149" s="2">
        <v>5</v>
      </c>
      <c r="Z149" s="10">
        <v>768985416</v>
      </c>
    </row>
    <row r="150" spans="2:26" x14ac:dyDescent="0.25">
      <c r="B150" s="2">
        <v>151</v>
      </c>
      <c r="C150" s="18">
        <v>241274</v>
      </c>
      <c r="D150" s="10">
        <v>8527439</v>
      </c>
      <c r="E150" s="10" t="s">
        <v>394</v>
      </c>
      <c r="F150" s="2" t="s">
        <v>43</v>
      </c>
      <c r="G150" s="2" t="s">
        <v>562</v>
      </c>
      <c r="H150" s="2" t="s">
        <v>561</v>
      </c>
      <c r="I150" s="2" t="s">
        <v>563</v>
      </c>
      <c r="J150" s="10" t="s">
        <v>564</v>
      </c>
      <c r="K150" s="10">
        <v>285799</v>
      </c>
      <c r="L150" s="10" t="s">
        <v>33</v>
      </c>
      <c r="M150" s="2">
        <v>22</v>
      </c>
      <c r="N150" s="2">
        <v>43</v>
      </c>
      <c r="R150" s="9">
        <v>42653</v>
      </c>
      <c r="W150" s="2">
        <v>5</v>
      </c>
      <c r="Z150" s="10">
        <v>706044735</v>
      </c>
    </row>
    <row r="151" spans="2:26" x14ac:dyDescent="0.25">
      <c r="B151" s="2">
        <v>152</v>
      </c>
      <c r="C151" s="18">
        <v>151022</v>
      </c>
      <c r="D151" s="10">
        <v>8527439</v>
      </c>
      <c r="E151" s="10" t="s">
        <v>565</v>
      </c>
      <c r="F151" s="2" t="s">
        <v>43</v>
      </c>
      <c r="G151" s="2" t="s">
        <v>567</v>
      </c>
      <c r="H151" s="2" t="s">
        <v>566</v>
      </c>
      <c r="I151" s="2" t="s">
        <v>360</v>
      </c>
      <c r="J151" s="9">
        <v>31564</v>
      </c>
      <c r="K151" s="10">
        <v>558281</v>
      </c>
      <c r="L151" s="10" t="s">
        <v>33</v>
      </c>
      <c r="M151" s="2">
        <v>16</v>
      </c>
      <c r="N151" s="2">
        <v>1</v>
      </c>
      <c r="R151" s="10" t="s">
        <v>407</v>
      </c>
      <c r="W151" s="2">
        <v>3</v>
      </c>
      <c r="Y151" s="14" t="s">
        <v>757</v>
      </c>
      <c r="Z151" s="10">
        <v>721627827</v>
      </c>
    </row>
    <row r="152" spans="2:26" x14ac:dyDescent="0.25">
      <c r="B152" s="2">
        <v>153</v>
      </c>
      <c r="C152" s="18">
        <v>241026</v>
      </c>
      <c r="D152" s="10">
        <v>8527439</v>
      </c>
      <c r="E152" s="10" t="s">
        <v>574</v>
      </c>
      <c r="F152" s="2" t="s">
        <v>29</v>
      </c>
      <c r="G152" s="2" t="s">
        <v>343</v>
      </c>
      <c r="H152" s="2" t="s">
        <v>569</v>
      </c>
      <c r="I152" s="2" t="s">
        <v>606</v>
      </c>
      <c r="J152" s="10" t="s">
        <v>568</v>
      </c>
      <c r="K152" s="10">
        <v>694967</v>
      </c>
      <c r="L152" s="10" t="s">
        <v>33</v>
      </c>
      <c r="M152" s="2">
        <v>22</v>
      </c>
      <c r="N152" s="2">
        <v>41</v>
      </c>
      <c r="R152" s="9">
        <v>40916</v>
      </c>
      <c r="W152" s="2">
        <v>3</v>
      </c>
      <c r="Z152" s="10">
        <v>725422041</v>
      </c>
    </row>
    <row r="153" spans="2:26" x14ac:dyDescent="0.25">
      <c r="B153" s="2">
        <v>154</v>
      </c>
      <c r="C153" s="18">
        <v>241402</v>
      </c>
      <c r="D153" s="10">
        <v>8527439</v>
      </c>
      <c r="E153" s="10" t="s">
        <v>575</v>
      </c>
      <c r="F153" s="2" t="s">
        <v>89</v>
      </c>
      <c r="G153" s="2" t="s">
        <v>570</v>
      </c>
      <c r="H153" s="2" t="s">
        <v>119</v>
      </c>
      <c r="I153" s="2" t="s">
        <v>571</v>
      </c>
      <c r="J153" s="10" t="s">
        <v>572</v>
      </c>
      <c r="K153" s="10" t="str">
        <f>"00"&amp;31353</f>
        <v>0031353</v>
      </c>
      <c r="L153" s="10" t="s">
        <v>37</v>
      </c>
      <c r="M153" s="2">
        <v>4</v>
      </c>
      <c r="N153" s="2">
        <v>31</v>
      </c>
      <c r="R153" s="10" t="s">
        <v>573</v>
      </c>
      <c r="W153" s="2">
        <v>5</v>
      </c>
      <c r="Z153" s="10">
        <v>721973492</v>
      </c>
    </row>
    <row r="154" spans="2:26" x14ac:dyDescent="0.25">
      <c r="B154" s="2">
        <v>155</v>
      </c>
      <c r="C154" s="10">
        <v>241666</v>
      </c>
      <c r="D154" s="10">
        <v>8527439</v>
      </c>
      <c r="E154" s="10"/>
      <c r="F154" s="2" t="s">
        <v>89</v>
      </c>
      <c r="G154" s="2" t="s">
        <v>577</v>
      </c>
      <c r="H154" s="2" t="s">
        <v>576</v>
      </c>
      <c r="I154" s="2" t="s">
        <v>643</v>
      </c>
      <c r="J154" s="9">
        <v>32544</v>
      </c>
      <c r="K154" s="10">
        <v>840662</v>
      </c>
      <c r="L154" s="10" t="s">
        <v>37</v>
      </c>
      <c r="M154" s="2">
        <v>14</v>
      </c>
      <c r="N154" s="2">
        <v>47</v>
      </c>
      <c r="R154" s="10" t="s">
        <v>145</v>
      </c>
      <c r="W154" s="2">
        <v>5</v>
      </c>
      <c r="Z154" s="10">
        <v>713448018</v>
      </c>
    </row>
    <row r="155" spans="2:26" x14ac:dyDescent="0.25">
      <c r="B155" s="2">
        <v>156</v>
      </c>
      <c r="C155" s="18">
        <v>241404</v>
      </c>
      <c r="D155" s="10">
        <v>8527439</v>
      </c>
      <c r="E155" s="10" t="s">
        <v>578</v>
      </c>
      <c r="F155" s="2" t="s">
        <v>43</v>
      </c>
      <c r="G155" s="2" t="s">
        <v>580</v>
      </c>
      <c r="H155" s="2" t="s">
        <v>579</v>
      </c>
      <c r="I155" s="2" t="s">
        <v>581</v>
      </c>
      <c r="J155" s="10" t="s">
        <v>582</v>
      </c>
      <c r="K155" s="10">
        <v>51818</v>
      </c>
      <c r="L155" s="10" t="s">
        <v>33</v>
      </c>
      <c r="M155" s="2">
        <v>4</v>
      </c>
      <c r="N155" s="2">
        <v>34</v>
      </c>
      <c r="R155" s="10" t="s">
        <v>573</v>
      </c>
      <c r="W155" s="2">
        <v>12</v>
      </c>
      <c r="Z155" s="10">
        <v>702573050</v>
      </c>
    </row>
    <row r="156" spans="2:26" x14ac:dyDescent="0.25">
      <c r="B156" s="2">
        <v>157</v>
      </c>
      <c r="C156" s="18">
        <v>241385</v>
      </c>
      <c r="D156" s="10">
        <v>8527439</v>
      </c>
      <c r="E156" s="10" t="s">
        <v>711</v>
      </c>
      <c r="F156" s="2" t="s">
        <v>43</v>
      </c>
      <c r="G156" s="2" t="s">
        <v>583</v>
      </c>
      <c r="H156" s="2" t="s">
        <v>584</v>
      </c>
      <c r="I156" s="2" t="s">
        <v>585</v>
      </c>
      <c r="J156" s="9">
        <v>35466</v>
      </c>
      <c r="K156" s="10">
        <v>646393</v>
      </c>
      <c r="L156" s="10" t="s">
        <v>33</v>
      </c>
      <c r="M156" s="2">
        <v>14</v>
      </c>
      <c r="N156" s="2">
        <v>44</v>
      </c>
      <c r="R156" s="9">
        <v>43133</v>
      </c>
      <c r="W156" s="2">
        <v>12</v>
      </c>
      <c r="Z156" s="10">
        <v>702764863</v>
      </c>
    </row>
    <row r="157" spans="2:26" x14ac:dyDescent="0.25">
      <c r="B157" s="2">
        <v>158</v>
      </c>
      <c r="C157" s="18">
        <v>241384</v>
      </c>
      <c r="D157" s="10">
        <v>8527439</v>
      </c>
      <c r="E157" s="10" t="s">
        <v>712</v>
      </c>
      <c r="F157" s="2" t="s">
        <v>43</v>
      </c>
      <c r="G157" s="2" t="s">
        <v>586</v>
      </c>
      <c r="H157" s="2" t="s">
        <v>587</v>
      </c>
      <c r="I157" s="2" t="s">
        <v>498</v>
      </c>
      <c r="J157" s="9">
        <v>29993</v>
      </c>
      <c r="K157" s="10">
        <v>4985296</v>
      </c>
      <c r="L157" s="10" t="s">
        <v>33</v>
      </c>
      <c r="M157" s="2">
        <v>11</v>
      </c>
      <c r="N157" s="2">
        <v>45</v>
      </c>
      <c r="R157" s="9">
        <v>43102</v>
      </c>
      <c r="W157" s="2">
        <v>5</v>
      </c>
      <c r="Z157" s="10">
        <v>725996640</v>
      </c>
    </row>
    <row r="158" spans="2:26" x14ac:dyDescent="0.25">
      <c r="B158" s="2">
        <v>159</v>
      </c>
      <c r="C158" s="18">
        <v>241459</v>
      </c>
      <c r="D158" s="10">
        <v>8527439</v>
      </c>
      <c r="E158" s="10" t="s">
        <v>588</v>
      </c>
      <c r="F158" s="2" t="s">
        <v>43</v>
      </c>
      <c r="G158" s="2" t="s">
        <v>591</v>
      </c>
      <c r="H158" s="2" t="s">
        <v>589</v>
      </c>
      <c r="I158" s="2" t="s">
        <v>590</v>
      </c>
      <c r="J158" s="9">
        <v>29346</v>
      </c>
      <c r="K158" s="10">
        <v>302748</v>
      </c>
      <c r="L158" s="10" t="s">
        <v>33</v>
      </c>
      <c r="M158" s="2">
        <v>14</v>
      </c>
      <c r="N158" s="2">
        <v>38</v>
      </c>
      <c r="R158" s="9">
        <v>43471</v>
      </c>
      <c r="W158" s="2">
        <v>12</v>
      </c>
      <c r="Z158" s="10">
        <v>729729703</v>
      </c>
    </row>
    <row r="159" spans="2:26" x14ac:dyDescent="0.25">
      <c r="B159" s="2">
        <v>160</v>
      </c>
      <c r="C159" s="18">
        <v>241462</v>
      </c>
      <c r="D159" s="10">
        <v>8527439</v>
      </c>
      <c r="E159" s="10" t="s">
        <v>592</v>
      </c>
      <c r="F159" s="2" t="s">
        <v>43</v>
      </c>
      <c r="G159" s="2" t="s">
        <v>594</v>
      </c>
      <c r="H159" s="2" t="s">
        <v>79</v>
      </c>
      <c r="I159" s="2" t="s">
        <v>593</v>
      </c>
      <c r="J159" s="9">
        <v>34132</v>
      </c>
      <c r="K159" s="10">
        <v>699210</v>
      </c>
      <c r="L159" s="10" t="s">
        <v>33</v>
      </c>
      <c r="M159" s="2">
        <v>22</v>
      </c>
      <c r="N159" s="2">
        <v>47</v>
      </c>
      <c r="R159" s="9">
        <v>44621</v>
      </c>
      <c r="W159" s="2">
        <v>5</v>
      </c>
      <c r="Z159" s="10">
        <v>700469234</v>
      </c>
    </row>
    <row r="160" spans="2:26" x14ac:dyDescent="0.25">
      <c r="B160" s="2">
        <v>161</v>
      </c>
      <c r="C160" s="18">
        <v>241506</v>
      </c>
      <c r="D160" s="10">
        <v>8527439</v>
      </c>
      <c r="E160" s="10" t="s">
        <v>598</v>
      </c>
      <c r="F160" s="2" t="s">
        <v>43</v>
      </c>
      <c r="G160" s="2" t="s">
        <v>596</v>
      </c>
      <c r="H160" s="2" t="s">
        <v>595</v>
      </c>
      <c r="J160" s="9">
        <v>33611</v>
      </c>
      <c r="K160" s="10">
        <v>117011</v>
      </c>
      <c r="L160" s="10" t="s">
        <v>33</v>
      </c>
      <c r="M160" s="2">
        <v>14</v>
      </c>
      <c r="N160" s="2">
        <v>38</v>
      </c>
      <c r="R160" s="10" t="s">
        <v>597</v>
      </c>
      <c r="W160" s="2">
        <v>12</v>
      </c>
      <c r="Z160" s="10">
        <v>708320728</v>
      </c>
    </row>
    <row r="161" spans="2:26" x14ac:dyDescent="0.25">
      <c r="B161" s="2">
        <v>162</v>
      </c>
      <c r="C161" s="18">
        <v>241509</v>
      </c>
      <c r="D161" s="10">
        <v>8527439</v>
      </c>
      <c r="E161" s="10" t="s">
        <v>713</v>
      </c>
      <c r="F161" s="2" t="s">
        <v>89</v>
      </c>
      <c r="G161" s="2" t="s">
        <v>599</v>
      </c>
      <c r="H161" s="2" t="s">
        <v>600</v>
      </c>
      <c r="I161" s="2" t="s">
        <v>601</v>
      </c>
      <c r="J161" s="9">
        <v>31968</v>
      </c>
      <c r="K161" s="10">
        <v>6597050</v>
      </c>
      <c r="L161" s="10" t="s">
        <v>37</v>
      </c>
      <c r="M161" s="2">
        <v>14</v>
      </c>
      <c r="N161" s="2">
        <v>37</v>
      </c>
      <c r="R161" s="10" t="s">
        <v>130</v>
      </c>
      <c r="W161" s="2">
        <v>12</v>
      </c>
      <c r="Z161" s="10">
        <v>718560818</v>
      </c>
    </row>
    <row r="162" spans="2:26" x14ac:dyDescent="0.25">
      <c r="B162" s="2">
        <v>163</v>
      </c>
      <c r="C162" s="10">
        <v>241550</v>
      </c>
      <c r="D162" s="10">
        <v>8527439</v>
      </c>
      <c r="E162" s="10" t="s">
        <v>602</v>
      </c>
      <c r="F162" s="2" t="s">
        <v>43</v>
      </c>
      <c r="G162" s="2" t="s">
        <v>603</v>
      </c>
      <c r="H162" s="2" t="s">
        <v>604</v>
      </c>
      <c r="I162" s="2" t="s">
        <v>605</v>
      </c>
      <c r="J162" s="9">
        <v>34523</v>
      </c>
      <c r="K162" s="10">
        <v>5973165</v>
      </c>
      <c r="L162" s="10" t="s">
        <v>33</v>
      </c>
      <c r="M162" s="2">
        <v>3</v>
      </c>
      <c r="N162" s="2">
        <v>3</v>
      </c>
      <c r="R162" s="9">
        <v>44206</v>
      </c>
      <c r="W162" s="2">
        <v>12</v>
      </c>
      <c r="Z162" s="10">
        <v>710379545</v>
      </c>
    </row>
    <row r="163" spans="2:26" x14ac:dyDescent="0.25">
      <c r="B163" s="2">
        <v>164</v>
      </c>
      <c r="C163" s="10">
        <v>241550</v>
      </c>
      <c r="D163" s="10">
        <v>8527439</v>
      </c>
      <c r="E163" s="10" t="s">
        <v>608</v>
      </c>
      <c r="F163" s="2" t="s">
        <v>43</v>
      </c>
      <c r="G163" s="2" t="s">
        <v>606</v>
      </c>
      <c r="H163" s="2" t="s">
        <v>607</v>
      </c>
      <c r="I163" s="2" t="s">
        <v>318</v>
      </c>
      <c r="J163" s="9">
        <v>34036</v>
      </c>
      <c r="K163" s="10">
        <v>487592</v>
      </c>
      <c r="L163" s="10" t="s">
        <v>33</v>
      </c>
      <c r="M163" s="2">
        <v>22</v>
      </c>
      <c r="N163" s="2">
        <v>41</v>
      </c>
      <c r="R163" s="9">
        <v>44205</v>
      </c>
      <c r="W163" s="2">
        <v>12</v>
      </c>
      <c r="Z163" s="10">
        <v>730040022</v>
      </c>
    </row>
    <row r="164" spans="2:26" x14ac:dyDescent="0.25">
      <c r="B164" s="2">
        <v>165</v>
      </c>
      <c r="C164" s="10">
        <v>241550</v>
      </c>
      <c r="D164" s="10">
        <v>8527439</v>
      </c>
      <c r="E164" s="10"/>
      <c r="F164" s="2" t="s">
        <v>43</v>
      </c>
      <c r="G164" s="2" t="s">
        <v>610</v>
      </c>
      <c r="H164" s="2" t="s">
        <v>611</v>
      </c>
      <c r="I164" s="2" t="s">
        <v>612</v>
      </c>
      <c r="J164" s="9">
        <v>26852</v>
      </c>
      <c r="K164" s="10"/>
      <c r="L164" s="10" t="s">
        <v>33</v>
      </c>
      <c r="M164" s="2">
        <v>25</v>
      </c>
      <c r="N164" s="2">
        <v>33</v>
      </c>
      <c r="R164" s="10"/>
      <c r="W164" s="2">
        <v>12</v>
      </c>
      <c r="Z164" s="10">
        <v>7120229040</v>
      </c>
    </row>
    <row r="165" spans="2:26" x14ac:dyDescent="0.25">
      <c r="B165" s="2">
        <v>166</v>
      </c>
      <c r="C165" s="10">
        <v>241550</v>
      </c>
      <c r="D165" s="10">
        <v>8527439</v>
      </c>
      <c r="E165" s="10" t="s">
        <v>609</v>
      </c>
      <c r="F165" s="2" t="s">
        <v>43</v>
      </c>
      <c r="G165" s="2" t="s">
        <v>613</v>
      </c>
      <c r="H165" s="2" t="s">
        <v>410</v>
      </c>
      <c r="I165" s="2" t="s">
        <v>614</v>
      </c>
      <c r="J165" s="9">
        <v>35431</v>
      </c>
      <c r="K165" s="10"/>
      <c r="L165" s="10" t="s">
        <v>33</v>
      </c>
      <c r="M165" s="2">
        <v>44</v>
      </c>
      <c r="N165" s="2">
        <v>9</v>
      </c>
      <c r="R165" s="9">
        <v>44204</v>
      </c>
      <c r="W165" s="2">
        <v>12</v>
      </c>
      <c r="Z165" s="10">
        <v>728906994</v>
      </c>
    </row>
    <row r="166" spans="2:26" x14ac:dyDescent="0.25">
      <c r="B166" s="2">
        <v>167</v>
      </c>
      <c r="C166" s="10">
        <v>241550</v>
      </c>
      <c r="D166" s="10">
        <v>8527439</v>
      </c>
      <c r="E166" s="10" t="s">
        <v>617</v>
      </c>
      <c r="F166" s="2" t="s">
        <v>89</v>
      </c>
      <c r="G166" s="2" t="s">
        <v>615</v>
      </c>
      <c r="H166" s="2" t="s">
        <v>616</v>
      </c>
      <c r="J166" s="9">
        <v>35225</v>
      </c>
      <c r="K166" s="10">
        <v>311122</v>
      </c>
      <c r="L166" s="10" t="s">
        <v>37</v>
      </c>
      <c r="N166" s="2">
        <v>22</v>
      </c>
      <c r="R166" s="9">
        <v>44205</v>
      </c>
      <c r="W166" s="2">
        <v>12</v>
      </c>
      <c r="Z166" s="10">
        <v>712221837</v>
      </c>
    </row>
    <row r="167" spans="2:26" x14ac:dyDescent="0.25">
      <c r="B167" s="2">
        <v>168</v>
      </c>
      <c r="C167" s="10">
        <v>241550</v>
      </c>
      <c r="D167" s="10">
        <v>8527439</v>
      </c>
      <c r="E167" s="10" t="s">
        <v>618</v>
      </c>
      <c r="F167" s="2" t="s">
        <v>43</v>
      </c>
      <c r="G167" s="2" t="s">
        <v>620</v>
      </c>
      <c r="H167" s="2" t="s">
        <v>621</v>
      </c>
      <c r="I167" s="2" t="s">
        <v>639</v>
      </c>
      <c r="J167" s="9">
        <v>32143</v>
      </c>
      <c r="K167" s="10"/>
      <c r="L167" s="10" t="s">
        <v>33</v>
      </c>
      <c r="M167" s="2">
        <v>44</v>
      </c>
      <c r="N167" s="2">
        <v>8</v>
      </c>
      <c r="R167" s="9">
        <v>44204</v>
      </c>
      <c r="W167" s="2">
        <v>12</v>
      </c>
      <c r="Z167" s="10">
        <v>722140489</v>
      </c>
    </row>
    <row r="168" spans="2:26" x14ac:dyDescent="0.25">
      <c r="B168" s="2">
        <v>169</v>
      </c>
      <c r="C168" s="10">
        <v>241550</v>
      </c>
      <c r="D168" s="10">
        <v>8527439</v>
      </c>
      <c r="E168" s="10" t="s">
        <v>619</v>
      </c>
      <c r="F168" s="2" t="s">
        <v>89</v>
      </c>
      <c r="G168" s="2" t="s">
        <v>624</v>
      </c>
      <c r="H168" s="2" t="s">
        <v>625</v>
      </c>
      <c r="I168" s="2" t="s">
        <v>626</v>
      </c>
      <c r="J168" s="10" t="s">
        <v>622</v>
      </c>
      <c r="K168" s="10">
        <v>316662</v>
      </c>
      <c r="L168" s="10" t="s">
        <v>37</v>
      </c>
      <c r="M168" s="2">
        <v>25</v>
      </c>
      <c r="N168" s="2">
        <v>34</v>
      </c>
      <c r="R168" s="10" t="s">
        <v>145</v>
      </c>
      <c r="W168" s="2">
        <v>12</v>
      </c>
      <c r="Z168" s="10">
        <v>719762068</v>
      </c>
    </row>
    <row r="169" spans="2:26" x14ac:dyDescent="0.25">
      <c r="B169" s="2">
        <v>170</v>
      </c>
      <c r="C169" s="10">
        <v>241550</v>
      </c>
      <c r="D169" s="10">
        <v>8527439</v>
      </c>
      <c r="E169" s="10" t="s">
        <v>714</v>
      </c>
      <c r="F169" s="2" t="s">
        <v>89</v>
      </c>
      <c r="G169" s="2" t="s">
        <v>627</v>
      </c>
      <c r="H169" s="2" t="s">
        <v>628</v>
      </c>
      <c r="I169" s="2" t="s">
        <v>629</v>
      </c>
      <c r="J169" s="10" t="s">
        <v>623</v>
      </c>
      <c r="K169" s="10">
        <v>418901</v>
      </c>
      <c r="L169" s="10" t="s">
        <v>37</v>
      </c>
      <c r="M169" s="2">
        <v>49</v>
      </c>
      <c r="N169" s="2">
        <v>1</v>
      </c>
      <c r="R169" s="10" t="s">
        <v>145</v>
      </c>
      <c r="W169" s="2">
        <v>12</v>
      </c>
      <c r="Z169" s="10">
        <v>722410018</v>
      </c>
    </row>
    <row r="170" spans="2:26" x14ac:dyDescent="0.25">
      <c r="C170" s="17"/>
      <c r="J170" s="8"/>
      <c r="R170" s="8"/>
      <c r="Z170" s="6"/>
    </row>
    <row r="171" spans="2:26" x14ac:dyDescent="0.25">
      <c r="C171" s="17"/>
      <c r="J171" s="8"/>
      <c r="R171" s="8"/>
      <c r="Z171" s="6"/>
    </row>
    <row r="172" spans="2:26" x14ac:dyDescent="0.25">
      <c r="C172" s="17"/>
      <c r="J172" s="8"/>
      <c r="R172" s="8"/>
      <c r="Z172" s="6"/>
    </row>
    <row r="173" spans="2:26" x14ac:dyDescent="0.25">
      <c r="C173" s="17"/>
      <c r="J173" s="8"/>
      <c r="R173" s="8"/>
      <c r="Z173" s="6"/>
    </row>
    <row r="174" spans="2:26" x14ac:dyDescent="0.25">
      <c r="J174" s="8"/>
      <c r="R174" s="8"/>
      <c r="Z174" s="6"/>
    </row>
    <row r="175" spans="2:26" x14ac:dyDescent="0.25">
      <c r="C175" s="2"/>
      <c r="J175" s="8"/>
      <c r="R175" s="8"/>
      <c r="Z175" s="6"/>
    </row>
    <row r="176" spans="2:26" x14ac:dyDescent="0.25">
      <c r="C176" s="2"/>
      <c r="J176" s="8"/>
      <c r="R176" s="8"/>
      <c r="Z176" s="6"/>
    </row>
    <row r="177" spans="3:26" x14ac:dyDescent="0.25">
      <c r="C177" s="2"/>
      <c r="J177" s="8"/>
      <c r="R177" s="8"/>
      <c r="Z177" s="6"/>
    </row>
    <row r="178" spans="3:26" x14ac:dyDescent="0.25">
      <c r="C178" s="2"/>
      <c r="J178" s="8"/>
      <c r="R178" s="8"/>
      <c r="Z178" s="6"/>
    </row>
    <row r="179" spans="3:26" x14ac:dyDescent="0.25">
      <c r="C179" s="2"/>
      <c r="J179" s="8"/>
      <c r="R179" s="8"/>
      <c r="Z179" s="6"/>
    </row>
    <row r="180" spans="3:26" x14ac:dyDescent="0.25">
      <c r="C180" s="2"/>
      <c r="J180" s="8"/>
      <c r="R180" s="8"/>
      <c r="Z180" s="6"/>
    </row>
    <row r="181" spans="3:26" x14ac:dyDescent="0.25">
      <c r="C181" s="2"/>
      <c r="J181" s="8"/>
      <c r="R181" s="8"/>
      <c r="Z181" s="6"/>
    </row>
    <row r="182" spans="3:26" x14ac:dyDescent="0.25">
      <c r="C182" s="2"/>
      <c r="J182" s="8"/>
      <c r="R182" s="8"/>
      <c r="Z182" s="6"/>
    </row>
    <row r="183" spans="3:26" x14ac:dyDescent="0.25">
      <c r="C183" s="2"/>
      <c r="J183" s="8"/>
      <c r="R183" s="8"/>
      <c r="Z183" s="6"/>
    </row>
    <row r="184" spans="3:26" x14ac:dyDescent="0.25">
      <c r="C184" s="2"/>
      <c r="J184" s="8"/>
      <c r="R184" s="8"/>
      <c r="Z184" s="6"/>
    </row>
    <row r="185" spans="3:26" x14ac:dyDescent="0.25">
      <c r="C185" s="2"/>
      <c r="J185" s="8"/>
      <c r="R185" s="8"/>
      <c r="Z185" s="6"/>
    </row>
    <row r="186" spans="3:26" x14ac:dyDescent="0.25">
      <c r="C186" s="2"/>
      <c r="J186" s="8"/>
      <c r="R186" s="8"/>
      <c r="Z186" s="6"/>
    </row>
    <row r="187" spans="3:26" x14ac:dyDescent="0.25">
      <c r="C187" s="2"/>
      <c r="J187" s="8"/>
      <c r="R187" s="8"/>
      <c r="Z187" s="6"/>
    </row>
    <row r="188" spans="3:26" x14ac:dyDescent="0.25">
      <c r="C188" s="2"/>
      <c r="J188" s="8"/>
      <c r="R188" s="8"/>
      <c r="Z188" s="6"/>
    </row>
    <row r="189" spans="3:26" x14ac:dyDescent="0.25">
      <c r="C189" s="2"/>
      <c r="J189" s="8"/>
      <c r="R189" s="8"/>
      <c r="Z189" s="6"/>
    </row>
    <row r="190" spans="3:26" x14ac:dyDescent="0.25">
      <c r="C190" s="2"/>
      <c r="J190" s="8"/>
      <c r="R190" s="8"/>
      <c r="Z190" s="6"/>
    </row>
    <row r="191" spans="3:26" x14ac:dyDescent="0.25">
      <c r="C191" s="2"/>
      <c r="J191" s="8"/>
      <c r="R191" s="8"/>
      <c r="Z191" s="6"/>
    </row>
    <row r="192" spans="3:26" x14ac:dyDescent="0.25">
      <c r="C192" s="2"/>
      <c r="J192" s="8"/>
      <c r="R192" s="8"/>
      <c r="Z192" s="6"/>
    </row>
    <row r="193" spans="3:26" x14ac:dyDescent="0.25">
      <c r="C193" s="2"/>
      <c r="J193" s="8"/>
      <c r="R193" s="8"/>
      <c r="Z193" s="6"/>
    </row>
    <row r="194" spans="3:26" x14ac:dyDescent="0.25">
      <c r="C194" s="2"/>
      <c r="J194" s="8"/>
      <c r="R194" s="8"/>
      <c r="Z194" s="6"/>
    </row>
    <row r="195" spans="3:26" x14ac:dyDescent="0.25">
      <c r="C195" s="2"/>
      <c r="J195" s="8"/>
      <c r="R195" s="8"/>
      <c r="Z195" s="6"/>
    </row>
    <row r="196" spans="3:26" x14ac:dyDescent="0.25">
      <c r="C196" s="2"/>
      <c r="J196" s="8"/>
      <c r="R196" s="8"/>
      <c r="Z196" s="6"/>
    </row>
    <row r="197" spans="3:26" x14ac:dyDescent="0.25">
      <c r="C197" s="2"/>
      <c r="J197" s="8"/>
      <c r="R197" s="8"/>
      <c r="Z197" s="6"/>
    </row>
    <row r="198" spans="3:26" x14ac:dyDescent="0.25">
      <c r="C198" s="2"/>
      <c r="J198" s="8"/>
      <c r="R198" s="8"/>
      <c r="Z198" s="6"/>
    </row>
    <row r="199" spans="3:26" x14ac:dyDescent="0.25">
      <c r="C199" s="2"/>
      <c r="J199" s="8"/>
      <c r="R199" s="8"/>
      <c r="Z199" s="6"/>
    </row>
    <row r="200" spans="3:26" x14ac:dyDescent="0.25">
      <c r="C200" s="2"/>
      <c r="J200" s="8"/>
      <c r="R200" s="8"/>
      <c r="Z200" s="6"/>
    </row>
    <row r="201" spans="3:26" x14ac:dyDescent="0.25">
      <c r="C201" s="2"/>
      <c r="J201" s="8"/>
      <c r="R201" s="8"/>
      <c r="Z201" s="6"/>
    </row>
    <row r="202" spans="3:26" x14ac:dyDescent="0.25">
      <c r="C202" s="2"/>
      <c r="J202" s="8"/>
      <c r="R202" s="8"/>
      <c r="Z202" s="6"/>
    </row>
    <row r="203" spans="3:26" x14ac:dyDescent="0.25">
      <c r="C203" s="2"/>
      <c r="J203" s="8"/>
      <c r="R203" s="8"/>
      <c r="Z203" s="6"/>
    </row>
    <row r="204" spans="3:26" x14ac:dyDescent="0.25">
      <c r="C204" s="2"/>
      <c r="J204" s="8"/>
      <c r="R204" s="8"/>
      <c r="Z204" s="6"/>
    </row>
    <row r="205" spans="3:26" x14ac:dyDescent="0.25">
      <c r="C205" s="2"/>
      <c r="J205" s="8"/>
      <c r="R205" s="8"/>
      <c r="Z205" s="6"/>
    </row>
    <row r="206" spans="3:26" x14ac:dyDescent="0.25">
      <c r="C206" s="2"/>
      <c r="J206" s="8"/>
      <c r="R206" s="8"/>
      <c r="Z206" s="6"/>
    </row>
    <row r="207" spans="3:26" x14ac:dyDescent="0.25">
      <c r="C207" s="2"/>
      <c r="J207" s="8"/>
      <c r="R207" s="8"/>
      <c r="Z207" s="6"/>
    </row>
    <row r="208" spans="3:26" x14ac:dyDescent="0.25">
      <c r="C208" s="2"/>
      <c r="J208" s="8"/>
      <c r="R208" s="8"/>
      <c r="Z208" s="6"/>
    </row>
    <row r="209" spans="3:26" x14ac:dyDescent="0.25">
      <c r="C209" s="2"/>
      <c r="J209" s="8"/>
      <c r="R209" s="8"/>
      <c r="Z209" s="6"/>
    </row>
    <row r="210" spans="3:26" x14ac:dyDescent="0.25">
      <c r="C210" s="2"/>
      <c r="J210" s="8"/>
      <c r="R210" s="8"/>
      <c r="Z210" s="6"/>
    </row>
    <row r="211" spans="3:26" x14ac:dyDescent="0.25">
      <c r="C211" s="2"/>
      <c r="J211" s="8"/>
      <c r="R211" s="8"/>
      <c r="Z211" s="6"/>
    </row>
    <row r="212" spans="3:26" x14ac:dyDescent="0.25">
      <c r="C212" s="2"/>
      <c r="J212" s="8"/>
      <c r="R212" s="8"/>
      <c r="Z212" s="6"/>
    </row>
    <row r="213" spans="3:26" x14ac:dyDescent="0.25">
      <c r="C213" s="2"/>
      <c r="J213" s="8"/>
      <c r="R213" s="8"/>
      <c r="Z213" s="6"/>
    </row>
    <row r="214" spans="3:26" x14ac:dyDescent="0.25">
      <c r="C214" s="2"/>
      <c r="J214" s="8"/>
      <c r="R214" s="8"/>
      <c r="Z214" s="6"/>
    </row>
    <row r="215" spans="3:26" x14ac:dyDescent="0.25">
      <c r="C215" s="2"/>
      <c r="J215" s="8"/>
      <c r="R215" s="8"/>
      <c r="Z215" s="6"/>
    </row>
    <row r="216" spans="3:26" x14ac:dyDescent="0.25">
      <c r="C216" s="2"/>
      <c r="J216" s="8"/>
      <c r="R216" s="8"/>
      <c r="Z216" s="6"/>
    </row>
    <row r="217" spans="3:26" x14ac:dyDescent="0.25">
      <c r="C217" s="2"/>
      <c r="J217" s="8"/>
      <c r="R217" s="8"/>
      <c r="Z217" s="6"/>
    </row>
    <row r="218" spans="3:26" x14ac:dyDescent="0.25">
      <c r="C218" s="2"/>
      <c r="J218" s="8"/>
      <c r="R218" s="8"/>
      <c r="Z218" s="6"/>
    </row>
    <row r="219" spans="3:26" x14ac:dyDescent="0.25">
      <c r="C219" s="2"/>
      <c r="J219" s="8"/>
      <c r="R219" s="8"/>
      <c r="Z219" s="6"/>
    </row>
    <row r="220" spans="3:26" x14ac:dyDescent="0.25">
      <c r="C220" s="2"/>
      <c r="J220" s="8"/>
      <c r="R220" s="8"/>
      <c r="Z220" s="6"/>
    </row>
    <row r="221" spans="3:26" x14ac:dyDescent="0.25">
      <c r="C221" s="2"/>
      <c r="J221" s="8"/>
      <c r="R221" s="8"/>
      <c r="Z221" s="6"/>
    </row>
    <row r="222" spans="3:26" x14ac:dyDescent="0.25">
      <c r="C222" s="2"/>
      <c r="J222" s="8"/>
      <c r="R222" s="8"/>
      <c r="Z222" s="6"/>
    </row>
    <row r="223" spans="3:26" x14ac:dyDescent="0.25">
      <c r="C223" s="2"/>
      <c r="J223" s="8"/>
      <c r="R223" s="8"/>
      <c r="Z223" s="6"/>
    </row>
    <row r="224" spans="3:26" x14ac:dyDescent="0.25">
      <c r="C224" s="2"/>
      <c r="J224" s="8"/>
      <c r="R224" s="8"/>
      <c r="Z224" s="6"/>
    </row>
    <row r="225" spans="3:26" x14ac:dyDescent="0.25">
      <c r="C225" s="2"/>
      <c r="J225" s="8"/>
      <c r="R225" s="8"/>
      <c r="Z225" s="6"/>
    </row>
    <row r="226" spans="3:26" x14ac:dyDescent="0.25">
      <c r="C226" s="2"/>
      <c r="J226" s="8"/>
      <c r="R226" s="8"/>
      <c r="Z226" s="6"/>
    </row>
    <row r="227" spans="3:26" x14ac:dyDescent="0.25">
      <c r="C227" s="2"/>
      <c r="J227" s="8"/>
      <c r="R227" s="8"/>
      <c r="Z227" s="6"/>
    </row>
    <row r="228" spans="3:26" x14ac:dyDescent="0.25">
      <c r="C228" s="2"/>
      <c r="J228" s="8"/>
      <c r="R228" s="8"/>
      <c r="Z228" s="6"/>
    </row>
    <row r="229" spans="3:26" x14ac:dyDescent="0.25">
      <c r="C229" s="2"/>
      <c r="J229" s="8"/>
      <c r="R229" s="8"/>
      <c r="Z229" s="6"/>
    </row>
    <row r="230" spans="3:26" x14ac:dyDescent="0.25">
      <c r="C230" s="2"/>
      <c r="J230" s="8"/>
      <c r="R230" s="8"/>
      <c r="Z230" s="6"/>
    </row>
    <row r="231" spans="3:26" x14ac:dyDescent="0.25">
      <c r="C231" s="2"/>
      <c r="J231" s="8"/>
      <c r="R231" s="8"/>
      <c r="Z231" s="6"/>
    </row>
    <row r="232" spans="3:26" x14ac:dyDescent="0.25">
      <c r="C232" s="2"/>
      <c r="J232" s="8"/>
      <c r="R232" s="8"/>
      <c r="Z232" s="6"/>
    </row>
    <row r="233" spans="3:26" x14ac:dyDescent="0.25">
      <c r="C233" s="2"/>
      <c r="J233" s="8"/>
      <c r="R233" s="8"/>
      <c r="Z233" s="6"/>
    </row>
    <row r="234" spans="3:26" x14ac:dyDescent="0.25">
      <c r="C234" s="2"/>
      <c r="J234" s="8"/>
      <c r="R234" s="8"/>
      <c r="Z234" s="6"/>
    </row>
    <row r="235" spans="3:26" x14ac:dyDescent="0.25">
      <c r="C235" s="2"/>
      <c r="J235" s="8"/>
      <c r="R235" s="8"/>
      <c r="Z235" s="6"/>
    </row>
    <row r="236" spans="3:26" x14ac:dyDescent="0.25">
      <c r="C236" s="2"/>
      <c r="J236" s="8"/>
      <c r="R236" s="8"/>
      <c r="Z236" s="6"/>
    </row>
    <row r="237" spans="3:26" x14ac:dyDescent="0.25">
      <c r="C237" s="2"/>
      <c r="J237" s="8"/>
      <c r="R237" s="8"/>
      <c r="Z237" s="6"/>
    </row>
    <row r="238" spans="3:26" x14ac:dyDescent="0.25">
      <c r="C238" s="2"/>
      <c r="J238" s="8"/>
      <c r="R238" s="8"/>
      <c r="Z238" s="6"/>
    </row>
    <row r="239" spans="3:26" x14ac:dyDescent="0.25">
      <c r="C239" s="2"/>
      <c r="J239" s="8"/>
      <c r="R239" s="8"/>
      <c r="Z239" s="6"/>
    </row>
    <row r="240" spans="3:26" x14ac:dyDescent="0.25">
      <c r="C240" s="2"/>
      <c r="J240" s="8"/>
      <c r="R240" s="8"/>
      <c r="Z240" s="6"/>
    </row>
    <row r="241" spans="3:26" x14ac:dyDescent="0.25">
      <c r="C241" s="2"/>
      <c r="J241" s="8"/>
      <c r="R241" s="8"/>
      <c r="Z241" s="6"/>
    </row>
    <row r="242" spans="3:26" x14ac:dyDescent="0.25">
      <c r="C242" s="2"/>
      <c r="J242" s="8"/>
      <c r="R242" s="8"/>
      <c r="Z242" s="6"/>
    </row>
    <row r="243" spans="3:26" x14ac:dyDescent="0.25">
      <c r="C243" s="2"/>
      <c r="J243" s="8"/>
      <c r="R243" s="8"/>
      <c r="Z243" s="6"/>
    </row>
    <row r="244" spans="3:26" x14ac:dyDescent="0.25">
      <c r="C244" s="2"/>
      <c r="J244" s="8"/>
      <c r="R244" s="8"/>
      <c r="Z244" s="6"/>
    </row>
    <row r="245" spans="3:26" x14ac:dyDescent="0.25">
      <c r="C245" s="2"/>
      <c r="J245" s="8"/>
      <c r="R245" s="8"/>
      <c r="Z245" s="6"/>
    </row>
    <row r="246" spans="3:26" x14ac:dyDescent="0.25">
      <c r="C246" s="2"/>
      <c r="J246" s="8"/>
      <c r="R246" s="8"/>
      <c r="Z246" s="6"/>
    </row>
    <row r="247" spans="3:26" x14ac:dyDescent="0.25">
      <c r="C247" s="2"/>
      <c r="J247" s="8"/>
      <c r="R247" s="8"/>
      <c r="Z247" s="6"/>
    </row>
    <row r="248" spans="3:26" x14ac:dyDescent="0.25">
      <c r="C248" s="2"/>
      <c r="J248" s="8"/>
      <c r="R248" s="8"/>
      <c r="Z248" s="6"/>
    </row>
    <row r="249" spans="3:26" x14ac:dyDescent="0.25">
      <c r="C249" s="2"/>
      <c r="J249" s="8"/>
      <c r="R249" s="8"/>
      <c r="Z249" s="6"/>
    </row>
    <row r="250" spans="3:26" x14ac:dyDescent="0.25">
      <c r="C250" s="2"/>
      <c r="J250" s="8"/>
      <c r="R250" s="8"/>
      <c r="Z250" s="6"/>
    </row>
    <row r="251" spans="3:26" x14ac:dyDescent="0.25">
      <c r="C251" s="2"/>
      <c r="J251" s="8"/>
      <c r="R251" s="8"/>
      <c r="Z251" s="6"/>
    </row>
    <row r="252" spans="3:26" x14ac:dyDescent="0.25">
      <c r="C252" s="2"/>
      <c r="J252" s="8"/>
      <c r="R252" s="8"/>
      <c r="Z252" s="6"/>
    </row>
    <row r="253" spans="3:26" x14ac:dyDescent="0.25">
      <c r="C253" s="2"/>
      <c r="J253" s="8"/>
      <c r="R253" s="8"/>
      <c r="Z253" s="6"/>
    </row>
    <row r="254" spans="3:26" x14ac:dyDescent="0.25">
      <c r="C254" s="2"/>
      <c r="J254" s="8"/>
      <c r="R254" s="8"/>
      <c r="Z254" s="6"/>
    </row>
    <row r="255" spans="3:26" x14ac:dyDescent="0.25">
      <c r="C255" s="2"/>
      <c r="J255" s="8"/>
      <c r="R255" s="8"/>
      <c r="Z255" s="6"/>
    </row>
    <row r="256" spans="3:26" x14ac:dyDescent="0.25">
      <c r="C256" s="2"/>
      <c r="J256" s="8"/>
      <c r="R256" s="8"/>
      <c r="Z256" s="6"/>
    </row>
    <row r="257" spans="3:26" x14ac:dyDescent="0.25">
      <c r="C257" s="2"/>
      <c r="J257" s="8"/>
      <c r="R257" s="8"/>
      <c r="Z257" s="6"/>
    </row>
    <row r="258" spans="3:26" x14ac:dyDescent="0.25">
      <c r="C258" s="2"/>
      <c r="J258" s="8"/>
      <c r="R258" s="8"/>
      <c r="Z258" s="6"/>
    </row>
    <row r="259" spans="3:26" x14ac:dyDescent="0.25">
      <c r="C259" s="2"/>
      <c r="J259" s="8"/>
      <c r="R259" s="8"/>
      <c r="Z259" s="6"/>
    </row>
    <row r="260" spans="3:26" x14ac:dyDescent="0.25">
      <c r="C260" s="2"/>
      <c r="J260" s="8"/>
      <c r="R260" s="8"/>
      <c r="Z260" s="6"/>
    </row>
    <row r="261" spans="3:26" x14ac:dyDescent="0.25">
      <c r="C261" s="2"/>
      <c r="J261" s="8"/>
      <c r="R261" s="8"/>
      <c r="Z261" s="6"/>
    </row>
    <row r="262" spans="3:26" x14ac:dyDescent="0.25">
      <c r="C262" s="2"/>
      <c r="J262" s="8"/>
      <c r="R262" s="8"/>
      <c r="Z262" s="6"/>
    </row>
    <row r="263" spans="3:26" x14ac:dyDescent="0.25">
      <c r="C263" s="2"/>
      <c r="J263" s="8"/>
      <c r="R263" s="8"/>
      <c r="Z263" s="6"/>
    </row>
    <row r="264" spans="3:26" x14ac:dyDescent="0.25">
      <c r="C264" s="2"/>
      <c r="J264" s="8"/>
      <c r="R264" s="8"/>
      <c r="Z264" s="6"/>
    </row>
    <row r="265" spans="3:26" x14ac:dyDescent="0.25">
      <c r="C265" s="2"/>
      <c r="J265" s="8"/>
      <c r="R265" s="8"/>
      <c r="Z265" s="6"/>
    </row>
    <row r="266" spans="3:26" x14ac:dyDescent="0.25">
      <c r="C266" s="2"/>
      <c r="J266" s="8"/>
      <c r="R266" s="8"/>
      <c r="Z266" s="6"/>
    </row>
    <row r="267" spans="3:26" x14ac:dyDescent="0.25">
      <c r="C267" s="2"/>
      <c r="J267" s="8"/>
      <c r="R267" s="8"/>
      <c r="Z267" s="6"/>
    </row>
    <row r="268" spans="3:26" x14ac:dyDescent="0.25">
      <c r="C268" s="2"/>
      <c r="J268" s="8"/>
      <c r="R268" s="8"/>
      <c r="Z268" s="6"/>
    </row>
    <row r="269" spans="3:26" x14ac:dyDescent="0.25">
      <c r="C269" s="2"/>
      <c r="J269" s="8"/>
      <c r="R269" s="8"/>
      <c r="Z269" s="6"/>
    </row>
    <row r="270" spans="3:26" x14ac:dyDescent="0.25">
      <c r="C270" s="2"/>
      <c r="J270" s="8"/>
      <c r="R270" s="8"/>
      <c r="Z270" s="6"/>
    </row>
    <row r="271" spans="3:26" x14ac:dyDescent="0.25">
      <c r="C271" s="2"/>
      <c r="J271" s="8"/>
      <c r="R271" s="8"/>
      <c r="Z271" s="6"/>
    </row>
    <row r="272" spans="3:26" x14ac:dyDescent="0.25">
      <c r="C272" s="2"/>
      <c r="J272" s="8"/>
      <c r="R272" s="8"/>
      <c r="Z272" s="6"/>
    </row>
    <row r="273" spans="3:26" x14ac:dyDescent="0.25">
      <c r="C273" s="2"/>
      <c r="J273" s="8"/>
      <c r="R273" s="8"/>
      <c r="Z273" s="6"/>
    </row>
    <row r="274" spans="3:26" x14ac:dyDescent="0.25">
      <c r="C274" s="2"/>
      <c r="J274" s="8"/>
      <c r="R274" s="8"/>
      <c r="Z274" s="6"/>
    </row>
    <row r="275" spans="3:26" x14ac:dyDescent="0.25">
      <c r="C275" s="2"/>
      <c r="J275" s="8"/>
      <c r="R275" s="8"/>
      <c r="Z275" s="6"/>
    </row>
    <row r="276" spans="3:26" x14ac:dyDescent="0.25">
      <c r="C276" s="2"/>
      <c r="J276" s="8"/>
      <c r="R276" s="8"/>
      <c r="Z276" s="6"/>
    </row>
    <row r="277" spans="3:26" x14ac:dyDescent="0.25">
      <c r="C277" s="2"/>
      <c r="J277" s="8"/>
      <c r="R277" s="8"/>
      <c r="Z277" s="6"/>
    </row>
    <row r="278" spans="3:26" x14ac:dyDescent="0.25">
      <c r="C278" s="2"/>
      <c r="J278" s="8"/>
      <c r="R278" s="8"/>
      <c r="Z278" s="6"/>
    </row>
    <row r="279" spans="3:26" x14ac:dyDescent="0.25">
      <c r="C279" s="2"/>
      <c r="J279" s="8"/>
      <c r="R279" s="8"/>
      <c r="Z279" s="6"/>
    </row>
    <row r="280" spans="3:26" x14ac:dyDescent="0.25">
      <c r="C280" s="2"/>
      <c r="J280" s="8"/>
      <c r="R280" s="8"/>
      <c r="Z280" s="6"/>
    </row>
    <row r="281" spans="3:26" x14ac:dyDescent="0.25">
      <c r="C281" s="2"/>
      <c r="J281" s="8"/>
      <c r="R281" s="8"/>
      <c r="Z281" s="6"/>
    </row>
    <row r="282" spans="3:26" x14ac:dyDescent="0.25">
      <c r="C282" s="2"/>
      <c r="J282" s="8"/>
      <c r="R282" s="8"/>
      <c r="Z282" s="6"/>
    </row>
    <row r="283" spans="3:26" x14ac:dyDescent="0.25">
      <c r="C283" s="2"/>
      <c r="J283" s="8"/>
      <c r="R283" s="8"/>
      <c r="Z283" s="6"/>
    </row>
    <row r="284" spans="3:26" x14ac:dyDescent="0.25">
      <c r="C284" s="2"/>
      <c r="J284" s="8"/>
      <c r="R284" s="8"/>
      <c r="Z284" s="6"/>
    </row>
    <row r="285" spans="3:26" x14ac:dyDescent="0.25">
      <c r="C285" s="2"/>
      <c r="J285" s="8"/>
      <c r="R285" s="8"/>
      <c r="Z285" s="6"/>
    </row>
    <row r="286" spans="3:26" x14ac:dyDescent="0.25">
      <c r="C286" s="2"/>
      <c r="J286" s="8"/>
      <c r="R286" s="8"/>
      <c r="Z286" s="6"/>
    </row>
    <row r="287" spans="3:26" x14ac:dyDescent="0.25">
      <c r="C287" s="2"/>
      <c r="J287" s="8"/>
      <c r="R287" s="8"/>
      <c r="Z287" s="6"/>
    </row>
    <row r="288" spans="3:26" x14ac:dyDescent="0.25">
      <c r="C288" s="2"/>
      <c r="J288" s="8"/>
      <c r="R288" s="8"/>
      <c r="Z288" s="6"/>
    </row>
    <row r="289" spans="3:26" x14ac:dyDescent="0.25">
      <c r="C289" s="2"/>
      <c r="J289" s="8"/>
      <c r="R289" s="8"/>
      <c r="Z289" s="6"/>
    </row>
    <row r="290" spans="3:26" x14ac:dyDescent="0.25">
      <c r="C290" s="2"/>
      <c r="J290" s="8"/>
      <c r="R290" s="8"/>
      <c r="Z290" s="6"/>
    </row>
    <row r="291" spans="3:26" x14ac:dyDescent="0.25">
      <c r="C291" s="2"/>
      <c r="J291" s="8"/>
      <c r="R291" s="8"/>
      <c r="Z291" s="6"/>
    </row>
    <row r="292" spans="3:26" x14ac:dyDescent="0.25">
      <c r="C292" s="2"/>
      <c r="J292" s="8"/>
      <c r="R292" s="8"/>
      <c r="Z292" s="6"/>
    </row>
    <row r="293" spans="3:26" x14ac:dyDescent="0.25">
      <c r="C293" s="2"/>
      <c r="J293" s="8"/>
      <c r="R293" s="8"/>
      <c r="Z293" s="6"/>
    </row>
    <row r="294" spans="3:26" x14ac:dyDescent="0.25">
      <c r="C294" s="2"/>
      <c r="J294" s="8"/>
      <c r="R294" s="8"/>
      <c r="Z294" s="6"/>
    </row>
    <row r="295" spans="3:26" x14ac:dyDescent="0.25">
      <c r="C295" s="2"/>
      <c r="J295" s="8"/>
      <c r="R295" s="8"/>
      <c r="Z295" s="6"/>
    </row>
    <row r="296" spans="3:26" x14ac:dyDescent="0.25">
      <c r="C296" s="2"/>
      <c r="J296" s="8"/>
      <c r="R296" s="8"/>
      <c r="Z296" s="6"/>
    </row>
    <row r="297" spans="3:26" x14ac:dyDescent="0.25">
      <c r="C297" s="2"/>
      <c r="J297" s="8"/>
      <c r="R297" s="8"/>
      <c r="Z297" s="6"/>
    </row>
    <row r="298" spans="3:26" x14ac:dyDescent="0.25">
      <c r="C298" s="2"/>
      <c r="J298" s="8"/>
      <c r="R298" s="8"/>
      <c r="Z298" s="6"/>
    </row>
    <row r="299" spans="3:26" x14ac:dyDescent="0.25">
      <c r="C299" s="2"/>
      <c r="J299" s="8"/>
      <c r="R299" s="8"/>
      <c r="Z299" s="6"/>
    </row>
    <row r="300" spans="3:26" x14ac:dyDescent="0.25">
      <c r="C300" s="2"/>
      <c r="J300" s="8"/>
      <c r="R300" s="8"/>
      <c r="Z300" s="6"/>
    </row>
    <row r="301" spans="3:26" x14ac:dyDescent="0.25">
      <c r="C301" s="2"/>
      <c r="J301" s="8"/>
      <c r="R301" s="8"/>
      <c r="Z301" s="6"/>
    </row>
    <row r="302" spans="3:26" x14ac:dyDescent="0.25">
      <c r="C302" s="2"/>
      <c r="J302" s="8"/>
      <c r="R302" s="8"/>
      <c r="Z302" s="6"/>
    </row>
    <row r="303" spans="3:26" x14ac:dyDescent="0.25">
      <c r="C303" s="2"/>
      <c r="J303" s="8"/>
      <c r="R303" s="8"/>
      <c r="Z303" s="6"/>
    </row>
    <row r="304" spans="3:26" x14ac:dyDescent="0.25">
      <c r="C304" s="2"/>
      <c r="J304" s="8"/>
      <c r="R304" s="8"/>
      <c r="Z304" s="6"/>
    </row>
    <row r="305" spans="3:26" x14ac:dyDescent="0.25">
      <c r="C305" s="2"/>
      <c r="J305" s="8"/>
      <c r="R305" s="8"/>
      <c r="Z305" s="6"/>
    </row>
    <row r="306" spans="3:26" x14ac:dyDescent="0.25">
      <c r="C306" s="2"/>
      <c r="J306" s="8"/>
      <c r="R306" s="8"/>
      <c r="Z306" s="6"/>
    </row>
    <row r="307" spans="3:26" x14ac:dyDescent="0.25">
      <c r="C307" s="2"/>
      <c r="J307" s="8"/>
      <c r="R307" s="8"/>
      <c r="Z307" s="6"/>
    </row>
    <row r="308" spans="3:26" x14ac:dyDescent="0.25">
      <c r="C308" s="2"/>
      <c r="J308" s="8"/>
      <c r="R308" s="8"/>
      <c r="Z308" s="6"/>
    </row>
    <row r="309" spans="3:26" x14ac:dyDescent="0.25">
      <c r="C309" s="2"/>
      <c r="J309" s="8"/>
      <c r="R309" s="8"/>
      <c r="Z309" s="6"/>
    </row>
    <row r="310" spans="3:26" x14ac:dyDescent="0.25">
      <c r="C310" s="2"/>
      <c r="J310" s="8"/>
      <c r="R310" s="8"/>
      <c r="Z310" s="6"/>
    </row>
    <row r="311" spans="3:26" x14ac:dyDescent="0.25">
      <c r="C311" s="2"/>
      <c r="J311" s="8"/>
      <c r="R311" s="8"/>
      <c r="Z311" s="6"/>
    </row>
    <row r="312" spans="3:26" x14ac:dyDescent="0.25">
      <c r="C312" s="2"/>
      <c r="J312" s="8"/>
      <c r="R312" s="8"/>
      <c r="Z312" s="6"/>
    </row>
    <row r="313" spans="3:26" x14ac:dyDescent="0.25">
      <c r="C313" s="2"/>
      <c r="J313" s="8"/>
      <c r="R313" s="8"/>
      <c r="Z313" s="6"/>
    </row>
    <row r="314" spans="3:26" x14ac:dyDescent="0.25">
      <c r="C314" s="2"/>
      <c r="J314" s="8"/>
      <c r="R314" s="8"/>
      <c r="Z314" s="6"/>
    </row>
    <row r="315" spans="3:26" x14ac:dyDescent="0.25">
      <c r="C315" s="2"/>
      <c r="J315" s="8"/>
      <c r="R315" s="8"/>
      <c r="Z315" s="6"/>
    </row>
    <row r="316" spans="3:26" x14ac:dyDescent="0.25">
      <c r="C316" s="2"/>
      <c r="J316" s="8"/>
      <c r="R316" s="8"/>
      <c r="Z316" s="6"/>
    </row>
    <row r="317" spans="3:26" x14ac:dyDescent="0.25">
      <c r="C317" s="2"/>
      <c r="J317" s="8"/>
      <c r="R317" s="8"/>
      <c r="Z317" s="6"/>
    </row>
    <row r="318" spans="3:26" x14ac:dyDescent="0.25">
      <c r="C318" s="2"/>
      <c r="J318" s="8"/>
      <c r="R318" s="8"/>
      <c r="Z318" s="6"/>
    </row>
    <row r="319" spans="3:26" x14ac:dyDescent="0.25">
      <c r="C319" s="2"/>
      <c r="J319" s="8"/>
      <c r="R319" s="8"/>
      <c r="Z319" s="6"/>
    </row>
    <row r="320" spans="3:26" x14ac:dyDescent="0.25">
      <c r="C320" s="2"/>
      <c r="J320" s="8"/>
      <c r="R320" s="8"/>
      <c r="Z320" s="6"/>
    </row>
    <row r="321" spans="3:26" x14ac:dyDescent="0.25">
      <c r="C321" s="2"/>
      <c r="J321" s="8"/>
      <c r="R321" s="8"/>
      <c r="Z321" s="6"/>
    </row>
    <row r="322" spans="3:26" x14ac:dyDescent="0.25">
      <c r="C322" s="2"/>
      <c r="J322" s="8"/>
      <c r="R322" s="8"/>
      <c r="Z322" s="6"/>
    </row>
    <row r="323" spans="3:26" x14ac:dyDescent="0.25">
      <c r="C323" s="2"/>
      <c r="J323" s="8"/>
      <c r="R323" s="8"/>
      <c r="Z323" s="6"/>
    </row>
    <row r="324" spans="3:26" x14ac:dyDescent="0.25">
      <c r="C324" s="2"/>
      <c r="J324" s="8"/>
      <c r="R324" s="8"/>
      <c r="Z324" s="6"/>
    </row>
    <row r="325" spans="3:26" x14ac:dyDescent="0.25">
      <c r="C325" s="2"/>
      <c r="J325" s="8"/>
      <c r="R325" s="8"/>
      <c r="Z325" s="6"/>
    </row>
    <row r="326" spans="3:26" x14ac:dyDescent="0.25">
      <c r="C326" s="2"/>
      <c r="J326" s="8"/>
      <c r="R326" s="8"/>
      <c r="Z326" s="6"/>
    </row>
    <row r="327" spans="3:26" x14ac:dyDescent="0.25">
      <c r="C327" s="2"/>
      <c r="J327" s="8"/>
      <c r="R327" s="8"/>
      <c r="Z327" s="6"/>
    </row>
    <row r="328" spans="3:26" x14ac:dyDescent="0.25">
      <c r="C328" s="2"/>
      <c r="J328" s="8"/>
      <c r="R328" s="8"/>
      <c r="Z328" s="6"/>
    </row>
    <row r="329" spans="3:26" x14ac:dyDescent="0.25">
      <c r="C329" s="2"/>
      <c r="J329" s="8"/>
      <c r="R329" s="8"/>
      <c r="Z329" s="6"/>
    </row>
    <row r="330" spans="3:26" x14ac:dyDescent="0.25">
      <c r="C330" s="2"/>
      <c r="J330" s="8"/>
      <c r="R330" s="8"/>
      <c r="Z330" s="6"/>
    </row>
    <row r="331" spans="3:26" x14ac:dyDescent="0.25">
      <c r="C331" s="2"/>
      <c r="J331" s="8"/>
      <c r="R331" s="8"/>
      <c r="Z331" s="6"/>
    </row>
    <row r="332" spans="3:26" x14ac:dyDescent="0.25">
      <c r="C332" s="2"/>
      <c r="J332" s="8"/>
      <c r="R332" s="8"/>
      <c r="Z332" s="6"/>
    </row>
    <row r="333" spans="3:26" x14ac:dyDescent="0.25">
      <c r="C333" s="2"/>
      <c r="J333" s="8"/>
      <c r="R333" s="8"/>
      <c r="Z333" s="6"/>
    </row>
    <row r="334" spans="3:26" x14ac:dyDescent="0.25">
      <c r="C334" s="2"/>
      <c r="J334" s="8"/>
      <c r="R334" s="8"/>
      <c r="Z334" s="6"/>
    </row>
    <row r="335" spans="3:26" x14ac:dyDescent="0.25">
      <c r="C335" s="2"/>
      <c r="J335" s="8"/>
      <c r="R335" s="8"/>
      <c r="Z335" s="6"/>
    </row>
    <row r="336" spans="3:26" x14ac:dyDescent="0.25">
      <c r="C336" s="2"/>
      <c r="J336" s="8"/>
      <c r="R336" s="8"/>
      <c r="Z336" s="6"/>
    </row>
    <row r="337" spans="3:26" x14ac:dyDescent="0.25">
      <c r="C337" s="2"/>
      <c r="J337" s="8"/>
      <c r="R337" s="8"/>
      <c r="Z337" s="6"/>
    </row>
    <row r="338" spans="3:26" x14ac:dyDescent="0.25">
      <c r="C338" s="2"/>
      <c r="J338" s="8"/>
      <c r="R338" s="8"/>
      <c r="Z338" s="6"/>
    </row>
    <row r="339" spans="3:26" x14ac:dyDescent="0.25">
      <c r="C339" s="2"/>
      <c r="J339" s="8"/>
      <c r="R339" s="8"/>
      <c r="Z339" s="6"/>
    </row>
    <row r="340" spans="3:26" x14ac:dyDescent="0.25">
      <c r="C340" s="2"/>
      <c r="J340" s="8"/>
      <c r="R340" s="8"/>
      <c r="Z340" s="6"/>
    </row>
    <row r="341" spans="3:26" x14ac:dyDescent="0.25">
      <c r="C341" s="2"/>
      <c r="J341" s="8"/>
      <c r="R341" s="8"/>
      <c r="Z341" s="6"/>
    </row>
    <row r="342" spans="3:26" x14ac:dyDescent="0.25">
      <c r="C342" s="2"/>
      <c r="J342" s="8"/>
      <c r="R342" s="8"/>
      <c r="Z342" s="6"/>
    </row>
    <row r="343" spans="3:26" x14ac:dyDescent="0.25">
      <c r="C343" s="2"/>
      <c r="J343" s="8"/>
      <c r="R343" s="8"/>
      <c r="Z343" s="6"/>
    </row>
    <row r="344" spans="3:26" x14ac:dyDescent="0.25">
      <c r="C344" s="2"/>
      <c r="J344" s="8"/>
      <c r="R344" s="8"/>
      <c r="Z344" s="6"/>
    </row>
    <row r="345" spans="3:26" x14ac:dyDescent="0.25">
      <c r="C345" s="2"/>
      <c r="J345" s="8"/>
      <c r="R345" s="8"/>
      <c r="Z345" s="6"/>
    </row>
    <row r="346" spans="3:26" x14ac:dyDescent="0.25">
      <c r="C346" s="2"/>
      <c r="J346" s="8"/>
      <c r="R346" s="8"/>
      <c r="Z346" s="6"/>
    </row>
    <row r="347" spans="3:26" x14ac:dyDescent="0.25">
      <c r="C347" s="2"/>
      <c r="J347" s="8"/>
      <c r="R347" s="8"/>
      <c r="Z347" s="6"/>
    </row>
    <row r="348" spans="3:26" x14ac:dyDescent="0.25">
      <c r="C348" s="2"/>
      <c r="J348" s="8"/>
      <c r="R348" s="8"/>
      <c r="Z348" s="6"/>
    </row>
    <row r="349" spans="3:26" x14ac:dyDescent="0.25">
      <c r="C349" s="2"/>
      <c r="J349" s="8"/>
      <c r="R349" s="8"/>
      <c r="Z349" s="6"/>
    </row>
    <row r="350" spans="3:26" x14ac:dyDescent="0.25">
      <c r="C350" s="2"/>
      <c r="J350" s="8"/>
      <c r="R350" s="8"/>
      <c r="Z350" s="6"/>
    </row>
    <row r="351" spans="3:26" x14ac:dyDescent="0.25">
      <c r="C351" s="2"/>
      <c r="J351" s="8"/>
      <c r="R351" s="8"/>
      <c r="Z351" s="6"/>
    </row>
    <row r="352" spans="3:26" x14ac:dyDescent="0.25">
      <c r="C352" s="2"/>
      <c r="J352" s="8"/>
      <c r="R352" s="8"/>
      <c r="Z352" s="6"/>
    </row>
    <row r="353" spans="3:26" x14ac:dyDescent="0.25">
      <c r="C353" s="2"/>
      <c r="J353" s="8"/>
      <c r="R353" s="8"/>
      <c r="Z353" s="6"/>
    </row>
    <row r="354" spans="3:26" x14ac:dyDescent="0.25">
      <c r="C354" s="2"/>
      <c r="J354" s="8"/>
      <c r="R354" s="8"/>
      <c r="Z354" s="6"/>
    </row>
    <row r="355" spans="3:26" x14ac:dyDescent="0.25">
      <c r="C355" s="2"/>
      <c r="J355" s="8"/>
      <c r="R355" s="8"/>
      <c r="Z355" s="6"/>
    </row>
    <row r="356" spans="3:26" x14ac:dyDescent="0.25">
      <c r="C356" s="2"/>
      <c r="J356" s="8"/>
      <c r="R356" s="8"/>
      <c r="Z356" s="6"/>
    </row>
    <row r="357" spans="3:26" x14ac:dyDescent="0.25">
      <c r="C357" s="2"/>
      <c r="J357" s="8"/>
      <c r="R357" s="8"/>
      <c r="Z357" s="6"/>
    </row>
    <row r="358" spans="3:26" x14ac:dyDescent="0.25">
      <c r="C358" s="2"/>
      <c r="J358" s="8"/>
      <c r="R358" s="8"/>
      <c r="Z358" s="6"/>
    </row>
    <row r="359" spans="3:26" x14ac:dyDescent="0.25">
      <c r="C359" s="2"/>
      <c r="J359" s="8"/>
      <c r="R359" s="8"/>
      <c r="Z359" s="6"/>
    </row>
    <row r="360" spans="3:26" x14ac:dyDescent="0.25">
      <c r="C360" s="2"/>
      <c r="J360" s="8"/>
      <c r="R360" s="8"/>
      <c r="Z360" s="6"/>
    </row>
    <row r="361" spans="3:26" x14ac:dyDescent="0.25">
      <c r="C361" s="2"/>
      <c r="J361" s="8"/>
      <c r="R361" s="8"/>
      <c r="Z361" s="6"/>
    </row>
    <row r="362" spans="3:26" x14ac:dyDescent="0.25">
      <c r="C362" s="2"/>
      <c r="J362" s="8"/>
      <c r="R362" s="8"/>
      <c r="Z362" s="6"/>
    </row>
    <row r="363" spans="3:26" x14ac:dyDescent="0.25">
      <c r="C363" s="2"/>
      <c r="J363" s="8"/>
      <c r="R363" s="8"/>
      <c r="Z363" s="6"/>
    </row>
    <row r="364" spans="3:26" x14ac:dyDescent="0.25">
      <c r="C364" s="2"/>
      <c r="J364" s="8"/>
      <c r="R364" s="8"/>
      <c r="Z364" s="6"/>
    </row>
    <row r="365" spans="3:26" x14ac:dyDescent="0.25">
      <c r="C365" s="2"/>
      <c r="J365" s="8"/>
      <c r="R365" s="8"/>
      <c r="Z365" s="6"/>
    </row>
    <row r="366" spans="3:26" x14ac:dyDescent="0.25">
      <c r="C366" s="2"/>
      <c r="J366" s="8"/>
      <c r="R366" s="8"/>
      <c r="Z366" s="6"/>
    </row>
    <row r="367" spans="3:26" x14ac:dyDescent="0.25">
      <c r="C367" s="2"/>
      <c r="J367" s="8"/>
      <c r="R367" s="8"/>
      <c r="Z367" s="6"/>
    </row>
    <row r="368" spans="3:26" x14ac:dyDescent="0.25">
      <c r="C368" s="2"/>
      <c r="J368" s="8"/>
      <c r="R368" s="8"/>
      <c r="Z368" s="6"/>
    </row>
    <row r="369" spans="3:26" x14ac:dyDescent="0.25">
      <c r="C369" s="2"/>
      <c r="J369" s="8"/>
      <c r="R369" s="8"/>
      <c r="Z369" s="6"/>
    </row>
    <row r="370" spans="3:26" x14ac:dyDescent="0.25">
      <c r="C370" s="2"/>
      <c r="J370" s="8"/>
      <c r="R370" s="8"/>
      <c r="Z370" s="6"/>
    </row>
    <row r="371" spans="3:26" x14ac:dyDescent="0.25">
      <c r="C371" s="2"/>
      <c r="J371" s="8"/>
      <c r="R371" s="8"/>
      <c r="Z371" s="6"/>
    </row>
    <row r="372" spans="3:26" x14ac:dyDescent="0.25">
      <c r="C372" s="2"/>
      <c r="J372" s="8"/>
      <c r="R372" s="8"/>
      <c r="Z372" s="6"/>
    </row>
    <row r="373" spans="3:26" x14ac:dyDescent="0.25">
      <c r="C373" s="2"/>
      <c r="J373" s="8"/>
      <c r="R373" s="8"/>
      <c r="Z373" s="6"/>
    </row>
    <row r="374" spans="3:26" x14ac:dyDescent="0.25">
      <c r="C374" s="2"/>
      <c r="J374" s="8"/>
      <c r="R374" s="8"/>
      <c r="Z374" s="6"/>
    </row>
    <row r="375" spans="3:26" x14ac:dyDescent="0.25">
      <c r="C375" s="2"/>
      <c r="J375" s="8"/>
      <c r="R375" s="8"/>
      <c r="Z375" s="6"/>
    </row>
    <row r="376" spans="3:26" x14ac:dyDescent="0.25">
      <c r="C376" s="2"/>
      <c r="J376" s="8"/>
      <c r="R376" s="8"/>
      <c r="Z376" s="6"/>
    </row>
    <row r="377" spans="3:26" x14ac:dyDescent="0.25">
      <c r="C377" s="2"/>
      <c r="J377" s="8"/>
      <c r="R377" s="8"/>
      <c r="Z377" s="6"/>
    </row>
    <row r="378" spans="3:26" x14ac:dyDescent="0.25">
      <c r="C378" s="2"/>
      <c r="J378" s="8"/>
      <c r="R378" s="8"/>
      <c r="Z378" s="6"/>
    </row>
    <row r="379" spans="3:26" x14ac:dyDescent="0.25">
      <c r="C379" s="2"/>
      <c r="J379" s="8"/>
      <c r="R379" s="8"/>
      <c r="Z379" s="6"/>
    </row>
    <row r="380" spans="3:26" x14ac:dyDescent="0.25">
      <c r="C380" s="2"/>
      <c r="J380" s="8"/>
      <c r="R380" s="8"/>
      <c r="Z380" s="6"/>
    </row>
    <row r="381" spans="3:26" x14ac:dyDescent="0.25">
      <c r="C381" s="2"/>
      <c r="J381" s="8"/>
      <c r="R381" s="8"/>
      <c r="Z381" s="6"/>
    </row>
    <row r="382" spans="3:26" x14ac:dyDescent="0.25">
      <c r="C382" s="2"/>
      <c r="J382" s="8"/>
      <c r="R382" s="8"/>
      <c r="Z382" s="6"/>
    </row>
    <row r="383" spans="3:26" x14ac:dyDescent="0.25">
      <c r="C383" s="2"/>
      <c r="J383" s="8"/>
      <c r="R383" s="8"/>
      <c r="Z383" s="6"/>
    </row>
    <row r="384" spans="3:26" x14ac:dyDescent="0.25">
      <c r="C384" s="2"/>
      <c r="J384" s="8"/>
      <c r="R384" s="8"/>
      <c r="Z384" s="6"/>
    </row>
    <row r="385" spans="3:26" x14ac:dyDescent="0.25">
      <c r="C385" s="2"/>
      <c r="J385" s="8"/>
      <c r="R385" s="8"/>
      <c r="Z385" s="6"/>
    </row>
    <row r="386" spans="3:26" x14ac:dyDescent="0.25">
      <c r="C386" s="2"/>
      <c r="J386" s="8"/>
      <c r="R386" s="8"/>
      <c r="Z386" s="6"/>
    </row>
    <row r="387" spans="3:26" x14ac:dyDescent="0.25">
      <c r="C387" s="2"/>
      <c r="J387" s="8"/>
      <c r="R387" s="8"/>
      <c r="Z387" s="6"/>
    </row>
    <row r="388" spans="3:26" x14ac:dyDescent="0.25">
      <c r="C388" s="2"/>
      <c r="J388" s="8"/>
      <c r="R388" s="8"/>
      <c r="Z388" s="6"/>
    </row>
    <row r="389" spans="3:26" x14ac:dyDescent="0.25">
      <c r="C389" s="2"/>
      <c r="J389" s="8"/>
      <c r="R389" s="8"/>
      <c r="Z389" s="6"/>
    </row>
    <row r="390" spans="3:26" x14ac:dyDescent="0.25">
      <c r="C390" s="2"/>
      <c r="J390" s="8"/>
      <c r="R390" s="8"/>
      <c r="Z390" s="6"/>
    </row>
    <row r="391" spans="3:26" x14ac:dyDescent="0.25">
      <c r="C391" s="2"/>
      <c r="J391" s="8"/>
      <c r="R391" s="8"/>
      <c r="Z391" s="6"/>
    </row>
    <row r="392" spans="3:26" x14ac:dyDescent="0.25">
      <c r="C392" s="2"/>
      <c r="J392" s="8"/>
      <c r="R392" s="8"/>
      <c r="Z392" s="6"/>
    </row>
    <row r="393" spans="3:26" x14ac:dyDescent="0.25">
      <c r="C393" s="2"/>
      <c r="J393" s="8"/>
      <c r="R393" s="8"/>
      <c r="Z393" s="6"/>
    </row>
    <row r="394" spans="3:26" x14ac:dyDescent="0.25">
      <c r="C394" s="2"/>
      <c r="J394" s="8"/>
      <c r="R394" s="8"/>
      <c r="Z394" s="6"/>
    </row>
    <row r="395" spans="3:26" x14ac:dyDescent="0.25">
      <c r="C395" s="2"/>
      <c r="J395" s="8"/>
      <c r="R395" s="8"/>
      <c r="Z395" s="6"/>
    </row>
    <row r="396" spans="3:26" x14ac:dyDescent="0.25">
      <c r="C396" s="2"/>
      <c r="J396" s="8"/>
      <c r="R396" s="8"/>
      <c r="Z396" s="6"/>
    </row>
    <row r="397" spans="3:26" x14ac:dyDescent="0.25">
      <c r="C397" s="2"/>
      <c r="J397" s="8"/>
      <c r="R397" s="8"/>
      <c r="Z397" s="6"/>
    </row>
    <row r="398" spans="3:26" x14ac:dyDescent="0.25">
      <c r="C398" s="2"/>
      <c r="J398" s="8"/>
      <c r="R398" s="8"/>
      <c r="Z398" s="6"/>
    </row>
    <row r="399" spans="3:26" x14ac:dyDescent="0.25">
      <c r="C399" s="2"/>
      <c r="J399" s="8"/>
      <c r="R399" s="8"/>
      <c r="Z399" s="6"/>
    </row>
    <row r="400" spans="3:26" x14ac:dyDescent="0.25">
      <c r="C400" s="2"/>
      <c r="J400" s="8"/>
      <c r="R400" s="8"/>
      <c r="Z400" s="6"/>
    </row>
    <row r="401" spans="3:26" x14ac:dyDescent="0.25">
      <c r="C401" s="2"/>
      <c r="J401" s="8"/>
      <c r="R401" s="8"/>
      <c r="Z401" s="6"/>
    </row>
    <row r="402" spans="3:26" x14ac:dyDescent="0.25">
      <c r="C402" s="2"/>
      <c r="J402" s="8"/>
      <c r="R402" s="8"/>
      <c r="Z402" s="6"/>
    </row>
    <row r="403" spans="3:26" x14ac:dyDescent="0.25">
      <c r="C403" s="2"/>
      <c r="J403" s="8"/>
      <c r="R403" s="8"/>
      <c r="Z403" s="6"/>
    </row>
    <row r="404" spans="3:26" x14ac:dyDescent="0.25">
      <c r="C404" s="2"/>
      <c r="J404" s="8"/>
      <c r="R404" s="8"/>
      <c r="Z404" s="6"/>
    </row>
    <row r="405" spans="3:26" x14ac:dyDescent="0.25">
      <c r="C405" s="2"/>
      <c r="J405" s="8"/>
      <c r="R405" s="8"/>
      <c r="Z405" s="6"/>
    </row>
    <row r="406" spans="3:26" x14ac:dyDescent="0.25">
      <c r="C406" s="2"/>
      <c r="J406" s="8"/>
      <c r="R406" s="8"/>
      <c r="Z406" s="6"/>
    </row>
    <row r="407" spans="3:26" x14ac:dyDescent="0.25">
      <c r="C407" s="2"/>
      <c r="J407" s="8"/>
      <c r="R407" s="8"/>
      <c r="Z407" s="6"/>
    </row>
    <row r="408" spans="3:26" x14ac:dyDescent="0.25">
      <c r="C408" s="2"/>
      <c r="J408" s="8"/>
      <c r="R408" s="8"/>
      <c r="Z408" s="6"/>
    </row>
    <row r="409" spans="3:26" x14ac:dyDescent="0.25">
      <c r="C409" s="2"/>
      <c r="J409" s="8"/>
      <c r="R409" s="8"/>
      <c r="Z409" s="6"/>
    </row>
    <row r="410" spans="3:26" x14ac:dyDescent="0.25">
      <c r="C410" s="2"/>
      <c r="J410" s="8"/>
      <c r="R410" s="8"/>
      <c r="Z410" s="6"/>
    </row>
    <row r="411" spans="3:26" x14ac:dyDescent="0.25">
      <c r="C411" s="2"/>
      <c r="J411" s="8"/>
      <c r="R411" s="8"/>
      <c r="Z411" s="6"/>
    </row>
    <row r="412" spans="3:26" x14ac:dyDescent="0.25">
      <c r="C412" s="2"/>
      <c r="J412" s="8"/>
      <c r="R412" s="8"/>
      <c r="Z412" s="6"/>
    </row>
    <row r="413" spans="3:26" x14ac:dyDescent="0.25">
      <c r="C413" s="2"/>
      <c r="J413" s="8"/>
      <c r="R413" s="8"/>
      <c r="Z413" s="6"/>
    </row>
    <row r="414" spans="3:26" x14ac:dyDescent="0.25">
      <c r="C414" s="2"/>
      <c r="J414" s="8"/>
      <c r="R414" s="8"/>
      <c r="Z414" s="6"/>
    </row>
    <row r="415" spans="3:26" x14ac:dyDescent="0.25">
      <c r="C415" s="2"/>
      <c r="J415" s="8"/>
      <c r="R415" s="8"/>
      <c r="Z415" s="6"/>
    </row>
    <row r="416" spans="3:26" x14ac:dyDescent="0.25">
      <c r="C416" s="2"/>
      <c r="J416" s="8"/>
      <c r="R416" s="8"/>
      <c r="Z416" s="6"/>
    </row>
    <row r="417" spans="3:26" x14ac:dyDescent="0.25">
      <c r="C417" s="2"/>
      <c r="J417" s="8"/>
      <c r="R417" s="8"/>
      <c r="Z417" s="6"/>
    </row>
    <row r="418" spans="3:26" x14ac:dyDescent="0.25">
      <c r="C418" s="2"/>
      <c r="J418" s="8"/>
      <c r="R418" s="8"/>
      <c r="Z418" s="6"/>
    </row>
    <row r="419" spans="3:26" x14ac:dyDescent="0.25">
      <c r="C419" s="2"/>
      <c r="J419" s="8"/>
      <c r="R419" s="8"/>
      <c r="Z419" s="6"/>
    </row>
    <row r="420" spans="3:26" x14ac:dyDescent="0.25">
      <c r="C420" s="2"/>
      <c r="J420" s="8"/>
      <c r="R420" s="8"/>
      <c r="Z420" s="6"/>
    </row>
    <row r="421" spans="3:26" x14ac:dyDescent="0.25">
      <c r="C421" s="2"/>
      <c r="J421" s="8"/>
      <c r="R421" s="8"/>
      <c r="Z421" s="6"/>
    </row>
    <row r="422" spans="3:26" x14ac:dyDescent="0.25">
      <c r="C422" s="2"/>
      <c r="J422" s="8"/>
      <c r="R422" s="8"/>
      <c r="Z422" s="6"/>
    </row>
    <row r="423" spans="3:26" x14ac:dyDescent="0.25">
      <c r="C423" s="2"/>
      <c r="J423" s="8"/>
      <c r="R423" s="8"/>
      <c r="Z423" s="6"/>
    </row>
    <row r="424" spans="3:26" x14ac:dyDescent="0.25">
      <c r="C424" s="2"/>
      <c r="J424" s="8"/>
      <c r="R424" s="8"/>
      <c r="Z424" s="6"/>
    </row>
    <row r="425" spans="3:26" x14ac:dyDescent="0.25">
      <c r="C425" s="2"/>
      <c r="J425" s="8"/>
      <c r="R425" s="8"/>
      <c r="Z425" s="6"/>
    </row>
    <row r="426" spans="3:26" x14ac:dyDescent="0.25">
      <c r="C426" s="2"/>
      <c r="J426" s="8"/>
      <c r="R426" s="8"/>
      <c r="Z426" s="6"/>
    </row>
    <row r="427" spans="3:26" x14ac:dyDescent="0.25">
      <c r="C427" s="2"/>
      <c r="J427" s="8"/>
      <c r="R427" s="8"/>
      <c r="Z427" s="6"/>
    </row>
    <row r="428" spans="3:26" x14ac:dyDescent="0.25">
      <c r="C428" s="2"/>
      <c r="J428" s="8"/>
      <c r="R428" s="8"/>
      <c r="Z428" s="6"/>
    </row>
    <row r="429" spans="3:26" x14ac:dyDescent="0.25">
      <c r="C429" s="2"/>
      <c r="J429" s="8"/>
      <c r="R429" s="8"/>
      <c r="Z429" s="6"/>
    </row>
    <row r="430" spans="3:26" x14ac:dyDescent="0.25">
      <c r="C430" s="2"/>
      <c r="J430" s="8"/>
      <c r="R430" s="8"/>
      <c r="Z430" s="6"/>
    </row>
    <row r="431" spans="3:26" x14ac:dyDescent="0.25">
      <c r="C431" s="2"/>
      <c r="J431" s="8"/>
      <c r="R431" s="8"/>
      <c r="Z431" s="6"/>
    </row>
    <row r="432" spans="3:26" x14ac:dyDescent="0.25">
      <c r="C432" s="2"/>
      <c r="J432" s="8"/>
      <c r="R432" s="8"/>
      <c r="Z432" s="6"/>
    </row>
    <row r="433" spans="3:26" x14ac:dyDescent="0.25">
      <c r="C433" s="2"/>
      <c r="J433" s="8"/>
      <c r="R433" s="8"/>
      <c r="Z433" s="6"/>
    </row>
    <row r="434" spans="3:26" x14ac:dyDescent="0.25">
      <c r="C434" s="2"/>
      <c r="J434" s="8"/>
      <c r="R434" s="8"/>
      <c r="Z434" s="6"/>
    </row>
    <row r="435" spans="3:26" x14ac:dyDescent="0.25">
      <c r="C435" s="2"/>
      <c r="J435" s="8"/>
      <c r="R435" s="8"/>
      <c r="Z435" s="6"/>
    </row>
    <row r="436" spans="3:26" x14ac:dyDescent="0.25">
      <c r="C436" s="2"/>
      <c r="J436" s="8"/>
      <c r="R436" s="8"/>
      <c r="Z436" s="6"/>
    </row>
    <row r="437" spans="3:26" x14ac:dyDescent="0.25">
      <c r="C437" s="2"/>
      <c r="J437" s="8"/>
      <c r="R437" s="8"/>
      <c r="Z437" s="6"/>
    </row>
    <row r="438" spans="3:26" x14ac:dyDescent="0.25">
      <c r="C438" s="2"/>
      <c r="J438" s="8"/>
      <c r="R438" s="8"/>
      <c r="Z438" s="6"/>
    </row>
    <row r="439" spans="3:26" x14ac:dyDescent="0.25">
      <c r="C439" s="2"/>
      <c r="J439" s="8"/>
      <c r="R439" s="8"/>
      <c r="Z439" s="6"/>
    </row>
    <row r="440" spans="3:26" x14ac:dyDescent="0.25">
      <c r="C440" s="2"/>
      <c r="J440" s="8"/>
      <c r="R440" s="8"/>
      <c r="Z440" s="6"/>
    </row>
    <row r="441" spans="3:26" x14ac:dyDescent="0.25">
      <c r="C441" s="2"/>
      <c r="J441" s="8"/>
      <c r="R441" s="8"/>
      <c r="Z441" s="6"/>
    </row>
    <row r="442" spans="3:26" x14ac:dyDescent="0.25">
      <c r="C442" s="2"/>
      <c r="J442" s="8"/>
      <c r="R442" s="8"/>
      <c r="Z442" s="6"/>
    </row>
    <row r="443" spans="3:26" x14ac:dyDescent="0.25">
      <c r="C443" s="2"/>
      <c r="J443" s="8"/>
      <c r="R443" s="8"/>
      <c r="Z443" s="6"/>
    </row>
    <row r="444" spans="3:26" x14ac:dyDescent="0.25">
      <c r="C444" s="2"/>
      <c r="J444" s="8"/>
      <c r="R444" s="8"/>
      <c r="Z444" s="6"/>
    </row>
    <row r="445" spans="3:26" x14ac:dyDescent="0.25">
      <c r="C445" s="2"/>
      <c r="J445" s="8"/>
      <c r="R445" s="8"/>
      <c r="Z445" s="6"/>
    </row>
    <row r="446" spans="3:26" x14ac:dyDescent="0.25">
      <c r="C446" s="2"/>
      <c r="J446" s="8"/>
      <c r="R446" s="8"/>
      <c r="Z446" s="6"/>
    </row>
    <row r="447" spans="3:26" x14ac:dyDescent="0.25">
      <c r="C447" s="2"/>
      <c r="J447" s="8"/>
      <c r="R447" s="8"/>
      <c r="Z447" s="6"/>
    </row>
    <row r="448" spans="3:26" x14ac:dyDescent="0.25">
      <c r="C448" s="2"/>
      <c r="J448" s="8"/>
      <c r="R448" s="8"/>
      <c r="Z448" s="6"/>
    </row>
    <row r="449" spans="3:26" x14ac:dyDescent="0.25">
      <c r="C449" s="2"/>
      <c r="J449" s="8"/>
      <c r="R449" s="8"/>
      <c r="Z449" s="6"/>
    </row>
    <row r="450" spans="3:26" x14ac:dyDescent="0.25">
      <c r="C450" s="2"/>
      <c r="J450" s="8"/>
      <c r="R450" s="8"/>
      <c r="Z450" s="6"/>
    </row>
    <row r="451" spans="3:26" x14ac:dyDescent="0.25">
      <c r="C451" s="2"/>
      <c r="J451" s="8"/>
      <c r="R451" s="8"/>
      <c r="Z451" s="6"/>
    </row>
    <row r="452" spans="3:26" x14ac:dyDescent="0.25">
      <c r="C452" s="2"/>
      <c r="J452" s="8"/>
      <c r="R452" s="8"/>
      <c r="Z452" s="6"/>
    </row>
    <row r="453" spans="3:26" x14ac:dyDescent="0.25">
      <c r="C453" s="2"/>
      <c r="J453" s="8"/>
      <c r="R453" s="8"/>
      <c r="Z453" s="6"/>
    </row>
    <row r="454" spans="3:26" x14ac:dyDescent="0.25">
      <c r="C454" s="2"/>
      <c r="J454" s="8"/>
      <c r="R454" s="8"/>
      <c r="Z454" s="6"/>
    </row>
    <row r="455" spans="3:26" x14ac:dyDescent="0.25">
      <c r="C455" s="2"/>
      <c r="J455" s="8"/>
      <c r="R455" s="8"/>
      <c r="Z455" s="6"/>
    </row>
    <row r="456" spans="3:26" x14ac:dyDescent="0.25">
      <c r="C456" s="2"/>
      <c r="J456" s="8"/>
      <c r="R456" s="8"/>
      <c r="Z456" s="6"/>
    </row>
    <row r="457" spans="3:26" x14ac:dyDescent="0.25">
      <c r="C457" s="2"/>
      <c r="J457" s="8"/>
      <c r="R457" s="8"/>
      <c r="Z457" s="6"/>
    </row>
    <row r="458" spans="3:26" x14ac:dyDescent="0.25">
      <c r="C458" s="2"/>
      <c r="J458" s="8"/>
      <c r="R458" s="8"/>
      <c r="Z458" s="6"/>
    </row>
    <row r="459" spans="3:26" x14ac:dyDescent="0.25">
      <c r="C459" s="2"/>
      <c r="J459" s="8"/>
      <c r="R459" s="8"/>
      <c r="Z459" s="6"/>
    </row>
    <row r="460" spans="3:26" x14ac:dyDescent="0.25">
      <c r="C460" s="2"/>
      <c r="J460" s="8"/>
      <c r="R460" s="8"/>
      <c r="Z460" s="6"/>
    </row>
    <row r="461" spans="3:26" x14ac:dyDescent="0.25">
      <c r="C461" s="2"/>
      <c r="J461" s="8"/>
      <c r="R461" s="8"/>
      <c r="Z461" s="6"/>
    </row>
    <row r="462" spans="3:26" x14ac:dyDescent="0.25">
      <c r="C462" s="2"/>
      <c r="J462" s="8"/>
      <c r="R462" s="8"/>
      <c r="Z462" s="6"/>
    </row>
    <row r="463" spans="3:26" x14ac:dyDescent="0.25">
      <c r="C463" s="2"/>
      <c r="J463" s="8"/>
      <c r="R463" s="8"/>
      <c r="Z463" s="6"/>
    </row>
    <row r="464" spans="3:26" x14ac:dyDescent="0.25">
      <c r="C464" s="2"/>
      <c r="J464" s="8"/>
      <c r="R464" s="8"/>
      <c r="Z464" s="6"/>
    </row>
    <row r="465" spans="3:26" x14ac:dyDescent="0.25">
      <c r="C465" s="2"/>
      <c r="J465" s="8"/>
      <c r="R465" s="8"/>
      <c r="Z465" s="6"/>
    </row>
    <row r="466" spans="3:26" x14ac:dyDescent="0.25">
      <c r="C466" s="2"/>
      <c r="J466" s="8"/>
      <c r="R466" s="8"/>
      <c r="Z466" s="6"/>
    </row>
    <row r="467" spans="3:26" x14ac:dyDescent="0.25">
      <c r="C467" s="2"/>
      <c r="J467" s="8"/>
      <c r="R467" s="8"/>
      <c r="Z467" s="6"/>
    </row>
    <row r="468" spans="3:26" x14ac:dyDescent="0.25">
      <c r="C468" s="2"/>
      <c r="J468" s="8"/>
      <c r="R468" s="8"/>
      <c r="Z468" s="6"/>
    </row>
    <row r="469" spans="3:26" x14ac:dyDescent="0.25">
      <c r="C469" s="2"/>
      <c r="J469" s="8"/>
      <c r="R469" s="8"/>
      <c r="Z469" s="6"/>
    </row>
    <row r="470" spans="3:26" x14ac:dyDescent="0.25">
      <c r="C470" s="2"/>
      <c r="J470" s="8"/>
      <c r="R470" s="8"/>
      <c r="Z470" s="6"/>
    </row>
    <row r="471" spans="3:26" x14ac:dyDescent="0.25">
      <c r="C471" s="2"/>
      <c r="J471" s="8"/>
      <c r="R471" s="8"/>
      <c r="Z471" s="6"/>
    </row>
    <row r="472" spans="3:26" x14ac:dyDescent="0.25">
      <c r="C472" s="2"/>
      <c r="J472" s="8"/>
      <c r="R472" s="8"/>
      <c r="Z472" s="6"/>
    </row>
    <row r="473" spans="3:26" x14ac:dyDescent="0.25">
      <c r="C473" s="2"/>
      <c r="J473" s="8"/>
      <c r="R473" s="8"/>
      <c r="Z473" s="6"/>
    </row>
    <row r="474" spans="3:26" x14ac:dyDescent="0.25">
      <c r="C474" s="2"/>
      <c r="J474" s="8"/>
      <c r="R474" s="8"/>
      <c r="Y474" s="3"/>
      <c r="Z474" s="6"/>
    </row>
    <row r="475" spans="3:26" x14ac:dyDescent="0.25">
      <c r="C475" s="2"/>
      <c r="J475" s="8"/>
      <c r="R475" s="8"/>
      <c r="Z475" s="6"/>
    </row>
    <row r="476" spans="3:26" x14ac:dyDescent="0.25">
      <c r="C476" s="2"/>
      <c r="J476" s="8"/>
      <c r="R476" s="8"/>
      <c r="Z476" s="6"/>
    </row>
    <row r="477" spans="3:26" x14ac:dyDescent="0.25">
      <c r="C477" s="2"/>
      <c r="J477" s="8"/>
      <c r="R477" s="8"/>
      <c r="Z477" s="6"/>
    </row>
    <row r="478" spans="3:26" x14ac:dyDescent="0.25">
      <c r="C478" s="2"/>
      <c r="J478" s="8"/>
      <c r="R478" s="8"/>
      <c r="Z478" s="6"/>
    </row>
    <row r="479" spans="3:26" x14ac:dyDescent="0.25">
      <c r="C479" s="2"/>
      <c r="J479" s="8"/>
      <c r="R479" s="8"/>
      <c r="Z479" s="6"/>
    </row>
    <row r="480" spans="3:26" x14ac:dyDescent="0.25">
      <c r="C480" s="2"/>
      <c r="J480" s="8"/>
      <c r="R480" s="8"/>
      <c r="Z480" s="6"/>
    </row>
    <row r="481" spans="3:26" x14ac:dyDescent="0.25">
      <c r="C481" s="2"/>
      <c r="J481" s="8"/>
      <c r="R481" s="8"/>
      <c r="Z481" s="6"/>
    </row>
    <row r="482" spans="3:26" x14ac:dyDescent="0.25">
      <c r="C482" s="2"/>
      <c r="J482" s="8"/>
      <c r="R482" s="8"/>
      <c r="Z482" s="6"/>
    </row>
    <row r="483" spans="3:26" x14ac:dyDescent="0.25">
      <c r="C483" s="2"/>
      <c r="J483" s="8"/>
      <c r="R483" s="8"/>
      <c r="Z483" s="6"/>
    </row>
    <row r="484" spans="3:26" x14ac:dyDescent="0.25">
      <c r="C484" s="2"/>
      <c r="J484" s="8"/>
      <c r="R484" s="8"/>
      <c r="Z484" s="6"/>
    </row>
    <row r="485" spans="3:26" x14ac:dyDescent="0.25">
      <c r="C485" s="2"/>
      <c r="J485" s="8"/>
      <c r="R485" s="8"/>
      <c r="Z485" s="6"/>
    </row>
    <row r="486" spans="3:26" x14ac:dyDescent="0.25">
      <c r="C486" s="2"/>
      <c r="J486" s="8"/>
      <c r="R486" s="8"/>
      <c r="Z486" s="6"/>
    </row>
    <row r="487" spans="3:26" x14ac:dyDescent="0.25">
      <c r="C487" s="2"/>
      <c r="J487" s="8"/>
      <c r="R487" s="8"/>
      <c r="Z487" s="6"/>
    </row>
    <row r="488" spans="3:26" x14ac:dyDescent="0.25">
      <c r="C488" s="2"/>
      <c r="J488" s="8"/>
      <c r="R488" s="8"/>
      <c r="Z488" s="6"/>
    </row>
    <row r="489" spans="3:26" x14ac:dyDescent="0.25">
      <c r="C489" s="2"/>
      <c r="J489" s="8"/>
      <c r="R489" s="8"/>
      <c r="Z489" s="6"/>
    </row>
    <row r="490" spans="3:26" x14ac:dyDescent="0.25">
      <c r="C490" s="2"/>
      <c r="J490" s="8"/>
      <c r="R490" s="8"/>
      <c r="Z490" s="6"/>
    </row>
    <row r="491" spans="3:26" x14ac:dyDescent="0.25">
      <c r="C491" s="2"/>
      <c r="J491" s="8"/>
      <c r="R491" s="8"/>
      <c r="Z491" s="6"/>
    </row>
    <row r="492" spans="3:26" x14ac:dyDescent="0.25">
      <c r="C492" s="2"/>
      <c r="J492" s="8"/>
      <c r="R492" s="8"/>
      <c r="Z492" s="6"/>
    </row>
    <row r="493" spans="3:26" x14ac:dyDescent="0.25">
      <c r="C493" s="2"/>
      <c r="J493" s="8"/>
      <c r="R493" s="8"/>
      <c r="Z493" s="6"/>
    </row>
    <row r="494" spans="3:26" x14ac:dyDescent="0.25">
      <c r="C494" s="2"/>
      <c r="J494" s="8"/>
      <c r="R494" s="8"/>
      <c r="Z494" s="6"/>
    </row>
    <row r="495" spans="3:26" x14ac:dyDescent="0.25">
      <c r="C495" s="2"/>
      <c r="J495" s="8"/>
      <c r="R495" s="8"/>
      <c r="Z495" s="6"/>
    </row>
    <row r="496" spans="3:26" x14ac:dyDescent="0.25">
      <c r="C496" s="2"/>
      <c r="J496" s="8"/>
      <c r="R496" s="8"/>
      <c r="Z496" s="6"/>
    </row>
    <row r="497" spans="3:26" x14ac:dyDescent="0.25">
      <c r="C497" s="2"/>
      <c r="J497" s="8"/>
      <c r="R497" s="8"/>
      <c r="Z497" s="6"/>
    </row>
    <row r="498" spans="3:26" x14ac:dyDescent="0.25">
      <c r="C498" s="2"/>
      <c r="J498" s="8"/>
      <c r="R498" s="8"/>
      <c r="Z498" s="6"/>
    </row>
    <row r="499" spans="3:26" x14ac:dyDescent="0.25">
      <c r="C499" s="2"/>
      <c r="J499" s="8"/>
      <c r="R499" s="8"/>
      <c r="Z499" s="6"/>
    </row>
    <row r="500" spans="3:26" x14ac:dyDescent="0.25">
      <c r="C500" s="2"/>
      <c r="J500" s="8"/>
      <c r="R500" s="8"/>
      <c r="Z500" s="6"/>
    </row>
    <row r="501" spans="3:26" x14ac:dyDescent="0.25">
      <c r="C501" s="2"/>
      <c r="J501" s="8"/>
      <c r="R501" s="8"/>
      <c r="Z501" s="6"/>
    </row>
    <row r="502" spans="3:26" x14ac:dyDescent="0.25">
      <c r="C502" s="2"/>
      <c r="J502" s="8"/>
      <c r="R502" s="8"/>
      <c r="Z502" s="6"/>
    </row>
    <row r="503" spans="3:26" x14ac:dyDescent="0.25">
      <c r="C503" s="2"/>
      <c r="J503" s="8"/>
      <c r="R503" s="8"/>
      <c r="Z503" s="6"/>
    </row>
    <row r="504" spans="3:26" x14ac:dyDescent="0.25">
      <c r="C504" s="2"/>
      <c r="J504" s="8"/>
      <c r="R504" s="8"/>
      <c r="Z504" s="6"/>
    </row>
    <row r="505" spans="3:26" x14ac:dyDescent="0.25">
      <c r="C505" s="2"/>
      <c r="J505" s="8"/>
      <c r="R505" s="8"/>
      <c r="Z505" s="6"/>
    </row>
    <row r="506" spans="3:26" x14ac:dyDescent="0.25">
      <c r="C506" s="2"/>
      <c r="J506" s="8"/>
      <c r="R506" s="8"/>
      <c r="Z506" s="6"/>
    </row>
    <row r="507" spans="3:26" x14ac:dyDescent="0.25">
      <c r="C507" s="2"/>
      <c r="J507" s="8"/>
      <c r="R507" s="8"/>
      <c r="Z507" s="6"/>
    </row>
    <row r="508" spans="3:26" x14ac:dyDescent="0.25">
      <c r="C508" s="2"/>
      <c r="J508" s="8"/>
      <c r="R508" s="8"/>
      <c r="Z508" s="6"/>
    </row>
    <row r="509" spans="3:26" x14ac:dyDescent="0.25">
      <c r="C509" s="2"/>
      <c r="J509" s="8"/>
      <c r="R509" s="8"/>
      <c r="Z509" s="6"/>
    </row>
    <row r="510" spans="3:26" x14ac:dyDescent="0.25">
      <c r="C510" s="2"/>
      <c r="J510" s="8"/>
      <c r="R510" s="8"/>
      <c r="Z510" s="6"/>
    </row>
    <row r="511" spans="3:26" x14ac:dyDescent="0.25">
      <c r="C511" s="2"/>
      <c r="J511" s="8"/>
      <c r="R511" s="8"/>
      <c r="Z511" s="6"/>
    </row>
    <row r="512" spans="3:26" x14ac:dyDescent="0.25">
      <c r="C512" s="2"/>
      <c r="J512" s="8"/>
      <c r="R512" s="8"/>
      <c r="Z512" s="6"/>
    </row>
    <row r="513" spans="3:26" x14ac:dyDescent="0.25">
      <c r="C513" s="2"/>
      <c r="J513" s="8"/>
      <c r="R513" s="8"/>
      <c r="Z513" s="6"/>
    </row>
    <row r="514" spans="3:26" x14ac:dyDescent="0.25">
      <c r="C514" s="2"/>
      <c r="J514" s="8"/>
      <c r="R514" s="8"/>
      <c r="Z514" s="6"/>
    </row>
    <row r="515" spans="3:26" x14ac:dyDescent="0.25">
      <c r="C515" s="2"/>
      <c r="J515" s="8"/>
      <c r="R515" s="8"/>
      <c r="Z515" s="6"/>
    </row>
    <row r="516" spans="3:26" x14ac:dyDescent="0.25">
      <c r="C516" s="2"/>
      <c r="J516" s="8"/>
      <c r="R516" s="8"/>
      <c r="Z516" s="6"/>
    </row>
    <row r="517" spans="3:26" x14ac:dyDescent="0.25">
      <c r="C517" s="2"/>
      <c r="J517" s="8"/>
      <c r="R517" s="8"/>
      <c r="Z517" s="6"/>
    </row>
    <row r="518" spans="3:26" x14ac:dyDescent="0.25">
      <c r="C518" s="2"/>
      <c r="J518" s="8"/>
      <c r="R518" s="8"/>
      <c r="Z518" s="6"/>
    </row>
    <row r="519" spans="3:26" x14ac:dyDescent="0.25">
      <c r="C519" s="2"/>
      <c r="J519" s="8"/>
      <c r="R519" s="8"/>
      <c r="Z519" s="6"/>
    </row>
    <row r="520" spans="3:26" x14ac:dyDescent="0.25">
      <c r="C520" s="2"/>
      <c r="J520" s="8"/>
      <c r="R520" s="8"/>
      <c r="Z520" s="6"/>
    </row>
    <row r="521" spans="3:26" x14ac:dyDescent="0.25">
      <c r="C521" s="2"/>
      <c r="J521" s="8"/>
      <c r="R521" s="8"/>
      <c r="Z521" s="6"/>
    </row>
    <row r="522" spans="3:26" x14ac:dyDescent="0.25">
      <c r="C522" s="2"/>
      <c r="J522" s="8"/>
      <c r="R522" s="8"/>
      <c r="Z522" s="6"/>
    </row>
    <row r="523" spans="3:26" x14ac:dyDescent="0.25">
      <c r="C523" s="2"/>
      <c r="J523" s="8"/>
      <c r="R523" s="8"/>
      <c r="Z523" s="6"/>
    </row>
    <row r="524" spans="3:26" x14ac:dyDescent="0.25">
      <c r="C524" s="2"/>
      <c r="J524" s="8"/>
      <c r="R524" s="8"/>
      <c r="Z524" s="6"/>
    </row>
    <row r="525" spans="3:26" x14ac:dyDescent="0.25">
      <c r="C525" s="2"/>
      <c r="J525" s="8"/>
      <c r="R525" s="8"/>
      <c r="Z525" s="6"/>
    </row>
    <row r="526" spans="3:26" x14ac:dyDescent="0.25">
      <c r="C526" s="2"/>
      <c r="J526" s="8"/>
      <c r="R526" s="8"/>
      <c r="Z526" s="6"/>
    </row>
    <row r="527" spans="3:26" x14ac:dyDescent="0.25">
      <c r="C527" s="2"/>
      <c r="J527" s="8"/>
      <c r="R527" s="8"/>
      <c r="Z527" s="6"/>
    </row>
    <row r="528" spans="3:26" x14ac:dyDescent="0.25">
      <c r="C528" s="2"/>
      <c r="J528" s="8"/>
      <c r="R528" s="8"/>
      <c r="Z528" s="6"/>
    </row>
    <row r="529" spans="3:26" x14ac:dyDescent="0.25">
      <c r="C529" s="2"/>
      <c r="J529" s="8"/>
      <c r="R529" s="8"/>
      <c r="Z529" s="6"/>
    </row>
    <row r="530" spans="3:26" x14ac:dyDescent="0.25">
      <c r="C530" s="2"/>
      <c r="J530" s="8"/>
      <c r="R530" s="8"/>
      <c r="Z530" s="6"/>
    </row>
    <row r="531" spans="3:26" x14ac:dyDescent="0.25">
      <c r="C531" s="2"/>
      <c r="J531" s="8"/>
      <c r="R531" s="8"/>
      <c r="Z531" s="6"/>
    </row>
    <row r="532" spans="3:26" x14ac:dyDescent="0.25">
      <c r="C532" s="2"/>
      <c r="J532" s="8"/>
      <c r="R532" s="8"/>
      <c r="Z532" s="6"/>
    </row>
    <row r="533" spans="3:26" x14ac:dyDescent="0.25">
      <c r="C533" s="2"/>
      <c r="J533" s="8"/>
      <c r="R533" s="8"/>
      <c r="Z533" s="6"/>
    </row>
    <row r="534" spans="3:26" x14ac:dyDescent="0.25">
      <c r="C534" s="2"/>
      <c r="J534" s="8"/>
      <c r="R534" s="8"/>
      <c r="Z534" s="6"/>
    </row>
    <row r="535" spans="3:26" x14ac:dyDescent="0.25">
      <c r="C535" s="2"/>
      <c r="J535" s="8"/>
      <c r="R535" s="8"/>
      <c r="Z535" s="6"/>
    </row>
    <row r="536" spans="3:26" x14ac:dyDescent="0.25">
      <c r="C536" s="2"/>
      <c r="J536" s="8"/>
      <c r="R536" s="8"/>
      <c r="Z536" s="6"/>
    </row>
    <row r="537" spans="3:26" x14ac:dyDescent="0.25">
      <c r="C537" s="2"/>
      <c r="J537" s="8"/>
      <c r="R537" s="8"/>
      <c r="Z537" s="6"/>
    </row>
    <row r="538" spans="3:26" x14ac:dyDescent="0.25">
      <c r="C538" s="2"/>
      <c r="J538" s="8"/>
      <c r="R538" s="8"/>
      <c r="Z538" s="6"/>
    </row>
    <row r="539" spans="3:26" x14ac:dyDescent="0.25">
      <c r="C539" s="2"/>
      <c r="J539" s="8"/>
      <c r="R539" s="8"/>
      <c r="Z539" s="6"/>
    </row>
    <row r="540" spans="3:26" x14ac:dyDescent="0.25">
      <c r="C540" s="2"/>
      <c r="J540" s="8"/>
      <c r="R540" s="8"/>
      <c r="Z540" s="6"/>
    </row>
    <row r="541" spans="3:26" x14ac:dyDescent="0.25">
      <c r="C541" s="2"/>
      <c r="J541" s="8"/>
      <c r="R541" s="8"/>
      <c r="Z541" s="6"/>
    </row>
    <row r="542" spans="3:26" x14ac:dyDescent="0.25">
      <c r="C542" s="2"/>
      <c r="J542" s="8"/>
      <c r="R542" s="8"/>
      <c r="Z542" s="6"/>
    </row>
    <row r="543" spans="3:26" x14ac:dyDescent="0.25">
      <c r="C543" s="2"/>
      <c r="J543" s="8"/>
      <c r="R543" s="8"/>
      <c r="Z543" s="6"/>
    </row>
    <row r="544" spans="3:26" x14ac:dyDescent="0.25">
      <c r="C544" s="2"/>
      <c r="J544" s="8"/>
      <c r="R544" s="8"/>
      <c r="Z544" s="6"/>
    </row>
    <row r="545" spans="3:26" x14ac:dyDescent="0.25">
      <c r="C545" s="2"/>
      <c r="J545" s="8"/>
      <c r="R545" s="8"/>
      <c r="Z545" s="6"/>
    </row>
    <row r="546" spans="3:26" x14ac:dyDescent="0.25">
      <c r="C546" s="2"/>
      <c r="J546" s="8"/>
      <c r="R546" s="8"/>
      <c r="Z546" s="6"/>
    </row>
    <row r="547" spans="3:26" x14ac:dyDescent="0.25">
      <c r="C547" s="2"/>
      <c r="J547" s="8"/>
      <c r="R547" s="8"/>
      <c r="Z547" s="6"/>
    </row>
    <row r="548" spans="3:26" x14ac:dyDescent="0.25">
      <c r="C548" s="2"/>
      <c r="J548" s="8"/>
      <c r="R548" s="8"/>
      <c r="Z548" s="6"/>
    </row>
    <row r="549" spans="3:26" x14ac:dyDescent="0.25">
      <c r="C549" s="2"/>
      <c r="J549" s="8"/>
      <c r="R549" s="8"/>
      <c r="Z549" s="6"/>
    </row>
    <row r="550" spans="3:26" x14ac:dyDescent="0.25">
      <c r="C550" s="2"/>
      <c r="J550" s="8"/>
      <c r="R550" s="8"/>
      <c r="Z550" s="6"/>
    </row>
    <row r="551" spans="3:26" x14ac:dyDescent="0.25">
      <c r="C551" s="2"/>
      <c r="J551" s="8"/>
      <c r="R551" s="8"/>
      <c r="Z551" s="6"/>
    </row>
    <row r="552" spans="3:26" x14ac:dyDescent="0.25">
      <c r="C552" s="2"/>
      <c r="J552" s="8"/>
      <c r="R552" s="8"/>
      <c r="Z552" s="6"/>
    </row>
    <row r="553" spans="3:26" x14ac:dyDescent="0.25">
      <c r="C553" s="2"/>
      <c r="J553" s="8"/>
      <c r="R553" s="8"/>
      <c r="Z553" s="6"/>
    </row>
    <row r="554" spans="3:26" x14ac:dyDescent="0.25">
      <c r="C554" s="2"/>
      <c r="J554" s="8"/>
      <c r="R554" s="8"/>
      <c r="Z554" s="6"/>
    </row>
    <row r="555" spans="3:26" x14ac:dyDescent="0.25">
      <c r="C555" s="2"/>
      <c r="J555" s="8"/>
      <c r="R555" s="8"/>
      <c r="Z555" s="6"/>
    </row>
    <row r="556" spans="3:26" x14ac:dyDescent="0.25">
      <c r="C556" s="2"/>
      <c r="J556" s="8"/>
      <c r="R556" s="8"/>
      <c r="Z556" s="6"/>
    </row>
    <row r="557" spans="3:26" x14ac:dyDescent="0.25">
      <c r="C557" s="2"/>
      <c r="J557" s="8"/>
      <c r="R557" s="8"/>
      <c r="Z557" s="6"/>
    </row>
    <row r="558" spans="3:26" x14ac:dyDescent="0.25">
      <c r="C558" s="2"/>
      <c r="J558" s="8"/>
      <c r="R558" s="8"/>
      <c r="Z558" s="6"/>
    </row>
    <row r="559" spans="3:26" x14ac:dyDescent="0.25">
      <c r="C559" s="2"/>
      <c r="J559" s="8"/>
      <c r="R559" s="8"/>
      <c r="Z559" s="6"/>
    </row>
    <row r="560" spans="3:26" x14ac:dyDescent="0.25">
      <c r="C560" s="2"/>
      <c r="J560" s="8"/>
      <c r="R560" s="8"/>
      <c r="Z560" s="6"/>
    </row>
    <row r="561" spans="3:26" x14ac:dyDescent="0.25">
      <c r="C561" s="2"/>
      <c r="J561" s="8"/>
      <c r="R561" s="8"/>
      <c r="Z561" s="6"/>
    </row>
    <row r="562" spans="3:26" x14ac:dyDescent="0.25">
      <c r="C562" s="2"/>
      <c r="J562" s="8"/>
      <c r="R562" s="8"/>
      <c r="Z562" s="6"/>
    </row>
    <row r="563" spans="3:26" x14ac:dyDescent="0.25">
      <c r="C563" s="2"/>
      <c r="J563" s="8"/>
      <c r="R563" s="8"/>
      <c r="Z563" s="6"/>
    </row>
    <row r="564" spans="3:26" x14ac:dyDescent="0.25">
      <c r="C564" s="2"/>
      <c r="J564" s="8"/>
      <c r="R564" s="8"/>
      <c r="Z564" s="6"/>
    </row>
    <row r="565" spans="3:26" x14ac:dyDescent="0.25">
      <c r="C565" s="2"/>
      <c r="J565" s="8"/>
      <c r="R565" s="8"/>
      <c r="Z565" s="6"/>
    </row>
    <row r="566" spans="3:26" x14ac:dyDescent="0.25">
      <c r="C566" s="2"/>
      <c r="J566" s="8"/>
      <c r="R566" s="8"/>
      <c r="Z566" s="6"/>
    </row>
    <row r="567" spans="3:26" x14ac:dyDescent="0.25">
      <c r="C567" s="2"/>
      <c r="J567" s="8"/>
      <c r="R567" s="8"/>
      <c r="Z567" s="6"/>
    </row>
    <row r="568" spans="3:26" x14ac:dyDescent="0.25">
      <c r="C568" s="2"/>
      <c r="J568" s="8"/>
      <c r="R568" s="8"/>
      <c r="Z568" s="6"/>
    </row>
    <row r="569" spans="3:26" x14ac:dyDescent="0.25">
      <c r="C569" s="2"/>
      <c r="J569" s="8"/>
      <c r="R569" s="8"/>
      <c r="Z569" s="6"/>
    </row>
    <row r="570" spans="3:26" x14ac:dyDescent="0.25">
      <c r="C570" s="2"/>
      <c r="J570" s="8"/>
      <c r="R570" s="8"/>
      <c r="Z570" s="6"/>
    </row>
    <row r="571" spans="3:26" x14ac:dyDescent="0.25">
      <c r="C571" s="2"/>
      <c r="J571" s="8"/>
      <c r="R571" s="8"/>
      <c r="Z571" s="6"/>
    </row>
    <row r="572" spans="3:26" x14ac:dyDescent="0.25">
      <c r="C572" s="2"/>
      <c r="J572" s="8"/>
      <c r="R572" s="8"/>
      <c r="Z572" s="6"/>
    </row>
    <row r="573" spans="3:26" x14ac:dyDescent="0.25">
      <c r="C573" s="2"/>
      <c r="J573" s="8"/>
      <c r="R573" s="8"/>
      <c r="Z573" s="6"/>
    </row>
    <row r="574" spans="3:26" x14ac:dyDescent="0.25">
      <c r="C574" s="2"/>
      <c r="J574" s="8"/>
      <c r="R574" s="8"/>
      <c r="Z574" s="6"/>
    </row>
    <row r="575" spans="3:26" x14ac:dyDescent="0.25">
      <c r="C575" s="2"/>
      <c r="J575" s="8"/>
      <c r="R575" s="8"/>
      <c r="Z575" s="6"/>
    </row>
    <row r="576" spans="3:26" x14ac:dyDescent="0.25">
      <c r="C576" s="2"/>
      <c r="J576" s="8"/>
      <c r="R576" s="8"/>
      <c r="Z576" s="6"/>
    </row>
    <row r="577" spans="3:26" x14ac:dyDescent="0.25">
      <c r="C577" s="2"/>
      <c r="J577" s="8"/>
      <c r="R577" s="8"/>
      <c r="Z577" s="6"/>
    </row>
    <row r="578" spans="3:26" x14ac:dyDescent="0.25">
      <c r="C578" s="2"/>
      <c r="J578" s="8"/>
      <c r="R578" s="8"/>
      <c r="Z578" s="6"/>
    </row>
    <row r="579" spans="3:26" x14ac:dyDescent="0.25">
      <c r="C579" s="2"/>
      <c r="J579" s="8"/>
      <c r="R579" s="8"/>
      <c r="Z579" s="6"/>
    </row>
    <row r="580" spans="3:26" x14ac:dyDescent="0.25">
      <c r="C580" s="2"/>
      <c r="J580" s="8"/>
      <c r="R580" s="8"/>
      <c r="Z580" s="6"/>
    </row>
    <row r="581" spans="3:26" x14ac:dyDescent="0.25">
      <c r="C581" s="2"/>
      <c r="J581" s="8"/>
      <c r="R581" s="8"/>
      <c r="Z581" s="6"/>
    </row>
    <row r="582" spans="3:26" x14ac:dyDescent="0.25">
      <c r="C582" s="2"/>
      <c r="J582" s="8"/>
      <c r="R582" s="8"/>
      <c r="Z582" s="6"/>
    </row>
    <row r="583" spans="3:26" x14ac:dyDescent="0.25">
      <c r="C583" s="2"/>
      <c r="J583" s="8"/>
      <c r="R583" s="8"/>
      <c r="Z583" s="6"/>
    </row>
    <row r="584" spans="3:26" x14ac:dyDescent="0.25">
      <c r="C584" s="2"/>
      <c r="J584" s="8"/>
      <c r="R584" s="8"/>
      <c r="Z584" s="6"/>
    </row>
    <row r="585" spans="3:26" x14ac:dyDescent="0.25">
      <c r="C585" s="2"/>
      <c r="J585" s="8"/>
      <c r="R585" s="8"/>
      <c r="Z585" s="6"/>
    </row>
    <row r="586" spans="3:26" x14ac:dyDescent="0.25">
      <c r="C586" s="2"/>
      <c r="J586" s="8"/>
      <c r="R586" s="8"/>
      <c r="Z586" s="6"/>
    </row>
    <row r="587" spans="3:26" x14ac:dyDescent="0.25">
      <c r="C587" s="2"/>
      <c r="J587" s="8"/>
      <c r="R587" s="8"/>
      <c r="Z587" s="6"/>
    </row>
    <row r="588" spans="3:26" x14ac:dyDescent="0.25">
      <c r="C588" s="2"/>
      <c r="J588" s="8"/>
      <c r="R588" s="8"/>
      <c r="Z588" s="6"/>
    </row>
    <row r="589" spans="3:26" x14ac:dyDescent="0.25">
      <c r="C589" s="2"/>
      <c r="J589" s="8"/>
      <c r="R589" s="8"/>
      <c r="Z589" s="6"/>
    </row>
    <row r="590" spans="3:26" x14ac:dyDescent="0.25">
      <c r="C590" s="2"/>
      <c r="J590" s="8"/>
      <c r="R590" s="8"/>
      <c r="Z590" s="6"/>
    </row>
    <row r="591" spans="3:26" x14ac:dyDescent="0.25">
      <c r="C591" s="2"/>
      <c r="J591" s="8"/>
      <c r="R591" s="8"/>
      <c r="Z591" s="6"/>
    </row>
    <row r="592" spans="3:26" x14ac:dyDescent="0.25">
      <c r="C592" s="2"/>
      <c r="J592" s="8"/>
      <c r="R592" s="8"/>
      <c r="Z592" s="6"/>
    </row>
    <row r="593" spans="3:26" x14ac:dyDescent="0.25">
      <c r="C593" s="2"/>
      <c r="J593" s="8"/>
      <c r="R593" s="8"/>
      <c r="Z593" s="6"/>
    </row>
    <row r="594" spans="3:26" x14ac:dyDescent="0.25">
      <c r="C594" s="2"/>
      <c r="J594" s="8"/>
      <c r="R594" s="8"/>
      <c r="Z594" s="6"/>
    </row>
    <row r="595" spans="3:26" x14ac:dyDescent="0.25">
      <c r="C595" s="2"/>
      <c r="J595" s="8"/>
      <c r="R595" s="8"/>
      <c r="Z595" s="6"/>
    </row>
    <row r="596" spans="3:26" x14ac:dyDescent="0.25">
      <c r="C596" s="2"/>
      <c r="J596" s="8"/>
      <c r="R596" s="8"/>
      <c r="Z596" s="6"/>
    </row>
    <row r="597" spans="3:26" x14ac:dyDescent="0.25">
      <c r="C597" s="2"/>
      <c r="J597" s="8"/>
      <c r="R597" s="8"/>
      <c r="Z597" s="6"/>
    </row>
    <row r="598" spans="3:26" x14ac:dyDescent="0.25">
      <c r="C598" s="2"/>
      <c r="J598" s="8"/>
      <c r="R598" s="8"/>
      <c r="Z598" s="6"/>
    </row>
    <row r="599" spans="3:26" x14ac:dyDescent="0.25">
      <c r="C599" s="2"/>
      <c r="J599" s="8"/>
      <c r="R599" s="8"/>
      <c r="Z599" s="6"/>
    </row>
    <row r="600" spans="3:26" x14ac:dyDescent="0.25">
      <c r="C600" s="2"/>
      <c r="J600" s="8"/>
      <c r="R600" s="8"/>
      <c r="Z600" s="6"/>
    </row>
    <row r="601" spans="3:26" x14ac:dyDescent="0.25">
      <c r="C601" s="2"/>
      <c r="J601" s="8"/>
      <c r="R601" s="8"/>
      <c r="Z601" s="6"/>
    </row>
    <row r="602" spans="3:26" x14ac:dyDescent="0.25">
      <c r="C602" s="2"/>
      <c r="J602" s="8"/>
      <c r="R602" s="8"/>
      <c r="Z602" s="6"/>
    </row>
    <row r="603" spans="3:26" x14ac:dyDescent="0.25">
      <c r="C603" s="2"/>
      <c r="J603" s="8"/>
      <c r="R603" s="8"/>
      <c r="Z603" s="6"/>
    </row>
    <row r="604" spans="3:26" x14ac:dyDescent="0.25">
      <c r="C604" s="2"/>
      <c r="J604" s="8"/>
      <c r="R604" s="8"/>
      <c r="Z604" s="6"/>
    </row>
    <row r="605" spans="3:26" x14ac:dyDescent="0.25">
      <c r="C605" s="2"/>
      <c r="J605" s="8"/>
      <c r="R605" s="8"/>
      <c r="Z605" s="6"/>
    </row>
    <row r="606" spans="3:26" x14ac:dyDescent="0.25">
      <c r="C606" s="2"/>
      <c r="J606" s="8"/>
      <c r="R606" s="8"/>
      <c r="Y606" s="3"/>
      <c r="Z606" s="6"/>
    </row>
    <row r="607" spans="3:26" x14ac:dyDescent="0.25">
      <c r="C607" s="2"/>
      <c r="J607" s="8"/>
      <c r="R607" s="8"/>
      <c r="Z607" s="6"/>
    </row>
    <row r="608" spans="3:26" x14ac:dyDescent="0.25">
      <c r="C608" s="2"/>
      <c r="J608" s="8"/>
      <c r="R608" s="8"/>
      <c r="Y608" s="3"/>
      <c r="Z608" s="6"/>
    </row>
    <row r="609" spans="3:26" x14ac:dyDescent="0.25">
      <c r="C609" s="2"/>
      <c r="J609" s="8"/>
      <c r="R609" s="8"/>
      <c r="Z609" s="6"/>
    </row>
    <row r="610" spans="3:26" x14ac:dyDescent="0.25">
      <c r="C610" s="2"/>
      <c r="J610" s="8"/>
      <c r="R610" s="8"/>
      <c r="Z610" s="6"/>
    </row>
    <row r="611" spans="3:26" x14ac:dyDescent="0.25">
      <c r="C611" s="2"/>
      <c r="J611" s="8"/>
      <c r="R611" s="8"/>
      <c r="Z611" s="6"/>
    </row>
    <row r="612" spans="3:26" x14ac:dyDescent="0.25">
      <c r="C612" s="2"/>
      <c r="J612" s="8"/>
      <c r="R612" s="8"/>
      <c r="Y612" s="3"/>
      <c r="Z612" s="6"/>
    </row>
    <row r="613" spans="3:26" x14ac:dyDescent="0.25">
      <c r="C613" s="2"/>
      <c r="J613" s="8"/>
      <c r="R613" s="8"/>
      <c r="Z613" s="6"/>
    </row>
    <row r="614" spans="3:26" x14ac:dyDescent="0.25">
      <c r="C614" s="2"/>
      <c r="J614" s="8"/>
      <c r="R614" s="8"/>
      <c r="Z614" s="6"/>
    </row>
    <row r="615" spans="3:26" x14ac:dyDescent="0.25">
      <c r="C615" s="2"/>
      <c r="J615" s="8"/>
      <c r="R615" s="8"/>
      <c r="Z615" s="6"/>
    </row>
    <row r="616" spans="3:26" x14ac:dyDescent="0.25">
      <c r="C616" s="2"/>
      <c r="J616" s="8"/>
      <c r="R616" s="8"/>
      <c r="Z616" s="6"/>
    </row>
    <row r="617" spans="3:26" x14ac:dyDescent="0.25">
      <c r="C617" s="2"/>
      <c r="J617" s="8"/>
      <c r="R617" s="8"/>
      <c r="Z617" s="6"/>
    </row>
    <row r="618" spans="3:26" x14ac:dyDescent="0.25">
      <c r="C618" s="2"/>
      <c r="J618" s="8"/>
      <c r="R618" s="8"/>
      <c r="Z618" s="6"/>
    </row>
    <row r="619" spans="3:26" x14ac:dyDescent="0.25">
      <c r="C619" s="2"/>
      <c r="J619" s="8"/>
      <c r="R619" s="8"/>
      <c r="Z619" s="6"/>
    </row>
    <row r="620" spans="3:26" x14ac:dyDescent="0.25">
      <c r="C620" s="2"/>
      <c r="J620" s="8"/>
      <c r="R620" s="8"/>
      <c r="Z620" s="6"/>
    </row>
    <row r="621" spans="3:26" x14ac:dyDescent="0.25">
      <c r="C621" s="2"/>
      <c r="J621" s="8"/>
      <c r="R621" s="8"/>
      <c r="Z621" s="6"/>
    </row>
    <row r="622" spans="3:26" x14ac:dyDescent="0.25">
      <c r="C622" s="2"/>
      <c r="J622" s="8"/>
      <c r="R622" s="8"/>
      <c r="Z622" s="6"/>
    </row>
    <row r="623" spans="3:26" x14ac:dyDescent="0.25">
      <c r="C623" s="2"/>
      <c r="J623" s="8"/>
      <c r="R623" s="8"/>
      <c r="Z623" s="6"/>
    </row>
    <row r="624" spans="3:26" x14ac:dyDescent="0.25">
      <c r="C624" s="2"/>
      <c r="J624" s="8"/>
      <c r="R624" s="8"/>
      <c r="Z624" s="6"/>
    </row>
    <row r="625" spans="3:26" x14ac:dyDescent="0.25">
      <c r="C625" s="2"/>
      <c r="J625" s="8"/>
      <c r="R625" s="8"/>
      <c r="Z625" s="6"/>
    </row>
    <row r="626" spans="3:26" x14ac:dyDescent="0.25">
      <c r="C626" s="2"/>
      <c r="J626" s="8"/>
      <c r="R626" s="8"/>
      <c r="Z626" s="6"/>
    </row>
    <row r="627" spans="3:26" x14ac:dyDescent="0.25">
      <c r="C627" s="2"/>
      <c r="J627" s="8"/>
      <c r="R627" s="8"/>
      <c r="Z627" s="6"/>
    </row>
    <row r="628" spans="3:26" x14ac:dyDescent="0.25">
      <c r="C628" s="2"/>
      <c r="J628" s="8"/>
      <c r="R628" s="8"/>
      <c r="Z628" s="6"/>
    </row>
    <row r="629" spans="3:26" x14ac:dyDescent="0.25">
      <c r="C629" s="2"/>
      <c r="J629" s="8"/>
      <c r="R629" s="8"/>
      <c r="Z629" s="6"/>
    </row>
    <row r="630" spans="3:26" x14ac:dyDescent="0.25">
      <c r="C630" s="2"/>
      <c r="J630" s="8"/>
      <c r="R630" s="8"/>
      <c r="Z630" s="6"/>
    </row>
    <row r="631" spans="3:26" x14ac:dyDescent="0.25">
      <c r="C631" s="2"/>
      <c r="J631" s="8"/>
      <c r="R631" s="8"/>
      <c r="Z631" s="6"/>
    </row>
    <row r="632" spans="3:26" x14ac:dyDescent="0.25">
      <c r="C632" s="2"/>
      <c r="J632" s="8"/>
      <c r="R632" s="8"/>
      <c r="Z632" s="6"/>
    </row>
    <row r="633" spans="3:26" x14ac:dyDescent="0.25">
      <c r="C633" s="2"/>
      <c r="J633" s="8"/>
      <c r="R633" s="8"/>
      <c r="Z633" s="6"/>
    </row>
    <row r="634" spans="3:26" x14ac:dyDescent="0.25">
      <c r="C634" s="2"/>
      <c r="J634" s="8"/>
      <c r="R634" s="8"/>
      <c r="Z634" s="6"/>
    </row>
    <row r="635" spans="3:26" x14ac:dyDescent="0.25">
      <c r="C635" s="2"/>
      <c r="J635" s="8"/>
      <c r="R635" s="8"/>
      <c r="Z635" s="6"/>
    </row>
    <row r="636" spans="3:26" x14ac:dyDescent="0.25">
      <c r="C636" s="2"/>
      <c r="J636" s="8"/>
      <c r="R636" s="8"/>
      <c r="Z636" s="6"/>
    </row>
    <row r="637" spans="3:26" x14ac:dyDescent="0.25">
      <c r="C637" s="2"/>
      <c r="J637" s="8"/>
      <c r="R637" s="8"/>
      <c r="Z637" s="6"/>
    </row>
    <row r="638" spans="3:26" x14ac:dyDescent="0.25">
      <c r="C638" s="2"/>
      <c r="J638" s="8"/>
      <c r="R638" s="8"/>
      <c r="Z638" s="6"/>
    </row>
    <row r="639" spans="3:26" x14ac:dyDescent="0.25">
      <c r="C639" s="2"/>
      <c r="J639" s="8"/>
      <c r="R639" s="8"/>
      <c r="Z639" s="6"/>
    </row>
    <row r="640" spans="3:26" x14ac:dyDescent="0.25">
      <c r="C640" s="2"/>
      <c r="J640" s="8"/>
      <c r="R640" s="8"/>
      <c r="Z640" s="6"/>
    </row>
    <row r="641" spans="3:26" x14ac:dyDescent="0.25">
      <c r="C641" s="2"/>
      <c r="J641" s="8"/>
      <c r="R641" s="8"/>
      <c r="Z641" s="6"/>
    </row>
    <row r="642" spans="3:26" x14ac:dyDescent="0.25">
      <c r="C642" s="2"/>
      <c r="J642" s="8"/>
      <c r="R642" s="8"/>
      <c r="Z642" s="6"/>
    </row>
    <row r="643" spans="3:26" x14ac:dyDescent="0.25">
      <c r="C643" s="2"/>
      <c r="J643" s="8"/>
      <c r="R643" s="8"/>
      <c r="Z643" s="6"/>
    </row>
    <row r="644" spans="3:26" x14ac:dyDescent="0.25">
      <c r="C644" s="2"/>
      <c r="J644" s="8"/>
      <c r="R644" s="8"/>
      <c r="Z644" s="6"/>
    </row>
    <row r="645" spans="3:26" x14ac:dyDescent="0.25">
      <c r="C645" s="2"/>
      <c r="J645" s="8"/>
      <c r="R645" s="8"/>
      <c r="Z645" s="6"/>
    </row>
    <row r="646" spans="3:26" x14ac:dyDescent="0.25">
      <c r="C646" s="2"/>
      <c r="J646" s="8"/>
      <c r="R646" s="8"/>
      <c r="Z646" s="6"/>
    </row>
    <row r="647" spans="3:26" x14ac:dyDescent="0.25">
      <c r="C647" s="2"/>
      <c r="J647" s="8"/>
      <c r="R647" s="8"/>
      <c r="Z647" s="6"/>
    </row>
    <row r="648" spans="3:26" x14ac:dyDescent="0.25">
      <c r="C648" s="2"/>
      <c r="J648" s="8"/>
      <c r="R648" s="8"/>
      <c r="Z648" s="6"/>
    </row>
    <row r="649" spans="3:26" x14ac:dyDescent="0.25">
      <c r="C649" s="2"/>
      <c r="J649" s="8"/>
      <c r="R649" s="8"/>
      <c r="Z649" s="6"/>
    </row>
    <row r="650" spans="3:26" x14ac:dyDescent="0.25">
      <c r="C650" s="2"/>
      <c r="J650" s="8"/>
      <c r="R650" s="8"/>
      <c r="Z650" s="6"/>
    </row>
    <row r="651" spans="3:26" x14ac:dyDescent="0.25">
      <c r="C651" s="2"/>
      <c r="J651" s="8"/>
      <c r="R651" s="8"/>
      <c r="Z651" s="6"/>
    </row>
    <row r="652" spans="3:26" x14ac:dyDescent="0.25">
      <c r="C652" s="2"/>
      <c r="J652" s="8"/>
      <c r="R652" s="8"/>
      <c r="Z652" s="6"/>
    </row>
    <row r="653" spans="3:26" x14ac:dyDescent="0.25">
      <c r="C653" s="2"/>
      <c r="J653" s="8"/>
      <c r="R653" s="8"/>
      <c r="Z653" s="6"/>
    </row>
    <row r="654" spans="3:26" x14ac:dyDescent="0.25">
      <c r="C654" s="2"/>
      <c r="J654" s="8"/>
      <c r="R654" s="8"/>
      <c r="Z654" s="6"/>
    </row>
    <row r="655" spans="3:26" x14ac:dyDescent="0.25">
      <c r="C655" s="2"/>
      <c r="J655" s="8"/>
      <c r="R655" s="8"/>
      <c r="Z655" s="6"/>
    </row>
    <row r="656" spans="3:26" x14ac:dyDescent="0.25">
      <c r="C656" s="2"/>
      <c r="J656" s="8"/>
      <c r="R656" s="8"/>
      <c r="Z656" s="6"/>
    </row>
    <row r="657" spans="3:26" x14ac:dyDescent="0.25">
      <c r="C657" s="2"/>
      <c r="J657" s="8"/>
      <c r="R657" s="8"/>
      <c r="Z657" s="6"/>
    </row>
    <row r="658" spans="3:26" x14ac:dyDescent="0.25">
      <c r="C658" s="2"/>
      <c r="J658" s="8"/>
      <c r="R658" s="8"/>
      <c r="Z658" s="6"/>
    </row>
    <row r="659" spans="3:26" x14ac:dyDescent="0.25">
      <c r="C659" s="2"/>
      <c r="J659" s="8"/>
      <c r="R659" s="8"/>
      <c r="Z659" s="6"/>
    </row>
    <row r="660" spans="3:26" x14ac:dyDescent="0.25">
      <c r="C660" s="2"/>
      <c r="J660" s="8"/>
      <c r="R660" s="8"/>
      <c r="Z660" s="6"/>
    </row>
    <row r="661" spans="3:26" x14ac:dyDescent="0.25">
      <c r="C661" s="2"/>
      <c r="J661" s="8"/>
      <c r="R661" s="8"/>
      <c r="Z661" s="6"/>
    </row>
    <row r="662" spans="3:26" x14ac:dyDescent="0.25">
      <c r="C662" s="2"/>
      <c r="J662" s="8"/>
      <c r="R662" s="8"/>
      <c r="Z662" s="6"/>
    </row>
    <row r="663" spans="3:26" x14ac:dyDescent="0.25">
      <c r="C663" s="2"/>
      <c r="J663" s="8"/>
      <c r="R663" s="8"/>
      <c r="Z663" s="6"/>
    </row>
    <row r="664" spans="3:26" x14ac:dyDescent="0.25">
      <c r="C664" s="2"/>
      <c r="J664" s="8"/>
      <c r="R664" s="8"/>
      <c r="Z664" s="6"/>
    </row>
    <row r="665" spans="3:26" x14ac:dyDescent="0.25">
      <c r="C665" s="2"/>
      <c r="J665" s="8"/>
      <c r="R665" s="8"/>
      <c r="Z665" s="6"/>
    </row>
    <row r="666" spans="3:26" x14ac:dyDescent="0.25">
      <c r="C666" s="2"/>
      <c r="J666" s="8"/>
      <c r="R666" s="8"/>
      <c r="Z666" s="6"/>
    </row>
    <row r="667" spans="3:26" x14ac:dyDescent="0.25">
      <c r="C667" s="2"/>
      <c r="J667" s="8"/>
      <c r="R667" s="8"/>
      <c r="Z667" s="6"/>
    </row>
    <row r="668" spans="3:26" x14ac:dyDescent="0.25">
      <c r="C668" s="2"/>
      <c r="J668" s="8"/>
      <c r="R668" s="8"/>
      <c r="Z668" s="6"/>
    </row>
    <row r="669" spans="3:26" x14ac:dyDescent="0.25">
      <c r="C669" s="2"/>
      <c r="J669" s="8"/>
      <c r="R669" s="8"/>
      <c r="Z669" s="6"/>
    </row>
    <row r="670" spans="3:26" x14ac:dyDescent="0.25">
      <c r="C670" s="2"/>
      <c r="J670" s="8"/>
      <c r="R670" s="8"/>
      <c r="Z670" s="6"/>
    </row>
    <row r="671" spans="3:26" x14ac:dyDescent="0.25">
      <c r="C671" s="2"/>
      <c r="J671" s="8"/>
      <c r="R671" s="8"/>
      <c r="Z671" s="6"/>
    </row>
    <row r="672" spans="3:26" x14ac:dyDescent="0.25">
      <c r="C672" s="2"/>
      <c r="J672" s="8"/>
      <c r="R672" s="8"/>
      <c r="Z672" s="6"/>
    </row>
    <row r="673" spans="3:26" x14ac:dyDescent="0.25">
      <c r="C673" s="2"/>
      <c r="J673" s="8"/>
      <c r="R673" s="8"/>
      <c r="Z673" s="6"/>
    </row>
    <row r="674" spans="3:26" x14ac:dyDescent="0.25">
      <c r="C674" s="2"/>
      <c r="J674" s="8"/>
      <c r="R674" s="8"/>
      <c r="Z674" s="6"/>
    </row>
    <row r="675" spans="3:26" x14ac:dyDescent="0.25">
      <c r="C675" s="2"/>
      <c r="J675" s="8"/>
      <c r="R675" s="8"/>
      <c r="Z675" s="6"/>
    </row>
    <row r="676" spans="3:26" x14ac:dyDescent="0.25">
      <c r="C676" s="2"/>
      <c r="J676" s="8"/>
      <c r="R676" s="8"/>
      <c r="Z676" s="6"/>
    </row>
    <row r="677" spans="3:26" x14ac:dyDescent="0.25">
      <c r="C677" s="2"/>
      <c r="J677" s="8"/>
      <c r="R677" s="8"/>
      <c r="Z677" s="6"/>
    </row>
    <row r="678" spans="3:26" x14ac:dyDescent="0.25">
      <c r="C678" s="2"/>
      <c r="J678" s="8"/>
      <c r="R678" s="8"/>
      <c r="Z678" s="6"/>
    </row>
    <row r="679" spans="3:26" x14ac:dyDescent="0.25">
      <c r="C679" s="2"/>
      <c r="J679" s="8"/>
      <c r="R679" s="8"/>
      <c r="Z679" s="6"/>
    </row>
    <row r="680" spans="3:26" x14ac:dyDescent="0.25">
      <c r="C680" s="2"/>
      <c r="J680" s="8"/>
      <c r="R680" s="8"/>
      <c r="Z680" s="6"/>
    </row>
    <row r="681" spans="3:26" x14ac:dyDescent="0.25">
      <c r="C681" s="2"/>
      <c r="J681" s="8"/>
      <c r="R681" s="8"/>
      <c r="Z681" s="6"/>
    </row>
    <row r="682" spans="3:26" x14ac:dyDescent="0.25">
      <c r="C682" s="2"/>
      <c r="J682" s="8"/>
      <c r="R682" s="8"/>
      <c r="Z682" s="6"/>
    </row>
    <row r="683" spans="3:26" x14ac:dyDescent="0.25">
      <c r="C683" s="2"/>
      <c r="J683" s="8"/>
      <c r="R683" s="8"/>
      <c r="Z683" s="6"/>
    </row>
    <row r="684" spans="3:26" x14ac:dyDescent="0.25">
      <c r="C684" s="2"/>
      <c r="J684" s="8"/>
      <c r="R684" s="8"/>
      <c r="Z684" s="6"/>
    </row>
    <row r="685" spans="3:26" x14ac:dyDescent="0.25">
      <c r="C685" s="2"/>
      <c r="J685" s="8"/>
      <c r="R685" s="8"/>
      <c r="Z685" s="6"/>
    </row>
    <row r="686" spans="3:26" x14ac:dyDescent="0.25">
      <c r="C686" s="2"/>
      <c r="J686" s="8"/>
      <c r="R686" s="8"/>
      <c r="Z686" s="6"/>
    </row>
    <row r="687" spans="3:26" x14ac:dyDescent="0.25">
      <c r="C687" s="2"/>
      <c r="J687" s="8"/>
      <c r="R687" s="8"/>
      <c r="Z687" s="6"/>
    </row>
    <row r="688" spans="3:26" x14ac:dyDescent="0.25">
      <c r="C688" s="2"/>
      <c r="J688" s="8"/>
      <c r="R688" s="8"/>
      <c r="Z688" s="6"/>
    </row>
    <row r="689" spans="3:26" x14ac:dyDescent="0.25">
      <c r="C689" s="2"/>
      <c r="J689" s="8"/>
      <c r="R689" s="8"/>
      <c r="Z689" s="6"/>
    </row>
    <row r="690" spans="3:26" x14ac:dyDescent="0.25">
      <c r="C690" s="2"/>
      <c r="J690" s="8"/>
      <c r="R690" s="8"/>
      <c r="Z690" s="6"/>
    </row>
    <row r="691" spans="3:26" x14ac:dyDescent="0.25">
      <c r="C691" s="2"/>
      <c r="J691" s="8"/>
      <c r="R691" s="8"/>
      <c r="Z691" s="6"/>
    </row>
    <row r="692" spans="3:26" x14ac:dyDescent="0.25">
      <c r="C692" s="2"/>
      <c r="J692" s="8"/>
      <c r="R692" s="8"/>
      <c r="Z692" s="6"/>
    </row>
    <row r="693" spans="3:26" x14ac:dyDescent="0.25">
      <c r="C693" s="2"/>
      <c r="J693" s="8"/>
      <c r="R693" s="8"/>
      <c r="Z693" s="6"/>
    </row>
    <row r="694" spans="3:26" x14ac:dyDescent="0.25">
      <c r="C694" s="2"/>
      <c r="J694" s="8"/>
      <c r="R694" s="8"/>
      <c r="Z694" s="6"/>
    </row>
    <row r="695" spans="3:26" x14ac:dyDescent="0.25">
      <c r="C695" s="2"/>
      <c r="J695" s="8"/>
      <c r="R695" s="8"/>
      <c r="Z695" s="6"/>
    </row>
    <row r="696" spans="3:26" x14ac:dyDescent="0.25">
      <c r="C696" s="2"/>
      <c r="J696" s="8"/>
      <c r="R696" s="8"/>
      <c r="Z696" s="6"/>
    </row>
    <row r="697" spans="3:26" x14ac:dyDescent="0.25">
      <c r="C697" s="2"/>
      <c r="J697" s="8"/>
      <c r="R697" s="8"/>
      <c r="Z697" s="6"/>
    </row>
    <row r="698" spans="3:26" x14ac:dyDescent="0.25">
      <c r="C698" s="2"/>
      <c r="J698" s="8"/>
      <c r="R698" s="8"/>
      <c r="Z698" s="6"/>
    </row>
    <row r="699" spans="3:26" x14ac:dyDescent="0.25">
      <c r="C699" s="2"/>
      <c r="J699" s="8"/>
      <c r="R699" s="8"/>
      <c r="Z699" s="6"/>
    </row>
    <row r="700" spans="3:26" x14ac:dyDescent="0.25">
      <c r="C700" s="2"/>
      <c r="J700" s="8"/>
      <c r="R700" s="8"/>
      <c r="Z700" s="6"/>
    </row>
    <row r="701" spans="3:26" x14ac:dyDescent="0.25">
      <c r="C701" s="2"/>
      <c r="J701" s="8"/>
      <c r="R701" s="8"/>
      <c r="Z701" s="6"/>
    </row>
    <row r="702" spans="3:26" x14ac:dyDescent="0.25">
      <c r="C702" s="2"/>
      <c r="J702" s="8"/>
      <c r="R702" s="8"/>
      <c r="Z702" s="6"/>
    </row>
    <row r="703" spans="3:26" x14ac:dyDescent="0.25">
      <c r="C703" s="2"/>
      <c r="J703" s="8"/>
      <c r="R703" s="8"/>
      <c r="Z703" s="6"/>
    </row>
    <row r="704" spans="3:26" x14ac:dyDescent="0.25">
      <c r="C704" s="2"/>
      <c r="J704" s="8"/>
      <c r="R704" s="8"/>
      <c r="Z704" s="6"/>
    </row>
    <row r="705" spans="3:26" x14ac:dyDescent="0.25">
      <c r="C705" s="2"/>
      <c r="J705" s="8"/>
      <c r="R705" s="8"/>
      <c r="Z705" s="6"/>
    </row>
    <row r="706" spans="3:26" x14ac:dyDescent="0.25">
      <c r="C706" s="2"/>
      <c r="J706" s="8"/>
      <c r="R706" s="8"/>
      <c r="Z706" s="6"/>
    </row>
    <row r="707" spans="3:26" x14ac:dyDescent="0.25">
      <c r="C707" s="2"/>
      <c r="J707" s="8"/>
      <c r="R707" s="8"/>
      <c r="Z707" s="6"/>
    </row>
    <row r="708" spans="3:26" x14ac:dyDescent="0.25">
      <c r="C708" s="2"/>
      <c r="J708" s="8"/>
      <c r="R708" s="8"/>
      <c r="Z708" s="6"/>
    </row>
    <row r="709" spans="3:26" x14ac:dyDescent="0.25">
      <c r="C709" s="2"/>
      <c r="J709" s="8"/>
      <c r="R709" s="8"/>
      <c r="Z709" s="6"/>
    </row>
    <row r="710" spans="3:26" x14ac:dyDescent="0.25">
      <c r="C710" s="2"/>
      <c r="J710" s="8"/>
      <c r="R710" s="8"/>
      <c r="Z710" s="6"/>
    </row>
    <row r="711" spans="3:26" x14ac:dyDescent="0.25">
      <c r="C711" s="2"/>
      <c r="J711" s="8"/>
      <c r="R711" s="8"/>
      <c r="Z711" s="6"/>
    </row>
    <row r="712" spans="3:26" x14ac:dyDescent="0.25">
      <c r="C712" s="2"/>
      <c r="J712" s="8"/>
      <c r="R712" s="8"/>
      <c r="Z712" s="6"/>
    </row>
    <row r="713" spans="3:26" x14ac:dyDescent="0.25">
      <c r="C713" s="2"/>
      <c r="J713" s="8"/>
      <c r="R713" s="8"/>
      <c r="Z713" s="6"/>
    </row>
    <row r="714" spans="3:26" x14ac:dyDescent="0.25">
      <c r="C714" s="2"/>
      <c r="J714" s="8"/>
      <c r="R714" s="8"/>
      <c r="Z714" s="6"/>
    </row>
    <row r="715" spans="3:26" x14ac:dyDescent="0.25">
      <c r="C715" s="2"/>
      <c r="J715" s="8"/>
      <c r="R715" s="8"/>
      <c r="Z715" s="6"/>
    </row>
    <row r="716" spans="3:26" x14ac:dyDescent="0.25">
      <c r="C716" s="2"/>
      <c r="J716" s="8"/>
      <c r="R716" s="8"/>
      <c r="Z716" s="6"/>
    </row>
    <row r="717" spans="3:26" x14ac:dyDescent="0.25">
      <c r="C717" s="2"/>
      <c r="J717" s="8"/>
      <c r="R717" s="8"/>
      <c r="Z717" s="6"/>
    </row>
    <row r="718" spans="3:26" x14ac:dyDescent="0.25">
      <c r="C718" s="2"/>
      <c r="J718" s="8"/>
      <c r="R718" s="8"/>
      <c r="Z718" s="6"/>
    </row>
    <row r="719" spans="3:26" x14ac:dyDescent="0.25">
      <c r="C719" s="2"/>
      <c r="J719" s="8"/>
      <c r="R719" s="8"/>
      <c r="Z719" s="6"/>
    </row>
    <row r="720" spans="3:26" x14ac:dyDescent="0.25">
      <c r="C720" s="2"/>
      <c r="J720" s="8"/>
      <c r="R720" s="8"/>
      <c r="Z720" s="6"/>
    </row>
    <row r="721" spans="3:26" x14ac:dyDescent="0.25">
      <c r="C721" s="2"/>
      <c r="J721" s="8"/>
      <c r="R721" s="8"/>
      <c r="Z721" s="6"/>
    </row>
    <row r="722" spans="3:26" x14ac:dyDescent="0.25">
      <c r="C722" s="2"/>
      <c r="J722" s="8"/>
      <c r="R722" s="8"/>
      <c r="Z722" s="6"/>
    </row>
    <row r="723" spans="3:26" x14ac:dyDescent="0.25">
      <c r="C723" s="2"/>
      <c r="J723" s="8"/>
      <c r="R723" s="8"/>
      <c r="Z723" s="6"/>
    </row>
    <row r="724" spans="3:26" x14ac:dyDescent="0.25">
      <c r="C724" s="2"/>
      <c r="J724" s="8"/>
      <c r="R724" s="8"/>
      <c r="Z724" s="6"/>
    </row>
    <row r="725" spans="3:26" x14ac:dyDescent="0.25">
      <c r="C725" s="2"/>
      <c r="J725" s="8"/>
      <c r="R725" s="8"/>
      <c r="Z725" s="6"/>
    </row>
    <row r="726" spans="3:26" x14ac:dyDescent="0.25">
      <c r="C726" s="2"/>
      <c r="J726" s="8"/>
      <c r="R726" s="8"/>
      <c r="Z726" s="6"/>
    </row>
    <row r="727" spans="3:26" x14ac:dyDescent="0.25">
      <c r="C727" s="2"/>
      <c r="J727" s="8"/>
      <c r="R727" s="8"/>
      <c r="Z727" s="6"/>
    </row>
    <row r="728" spans="3:26" x14ac:dyDescent="0.25">
      <c r="C728" s="2"/>
      <c r="J728" s="8"/>
      <c r="R728" s="8"/>
      <c r="Z728" s="6"/>
    </row>
    <row r="729" spans="3:26" x14ac:dyDescent="0.25">
      <c r="C729" s="2"/>
      <c r="J729" s="8"/>
      <c r="R729" s="8"/>
      <c r="Z729" s="6"/>
    </row>
    <row r="730" spans="3:26" x14ac:dyDescent="0.25">
      <c r="C730" s="2"/>
      <c r="J730" s="8"/>
      <c r="R730" s="8"/>
      <c r="Z730" s="6"/>
    </row>
    <row r="731" spans="3:26" x14ac:dyDescent="0.25">
      <c r="C731" s="2"/>
      <c r="J731" s="8"/>
      <c r="R731" s="8"/>
      <c r="Z731" s="6"/>
    </row>
    <row r="732" spans="3:26" x14ac:dyDescent="0.25">
      <c r="C732" s="2"/>
      <c r="J732" s="8"/>
      <c r="R732" s="8"/>
      <c r="Z732" s="6"/>
    </row>
    <row r="733" spans="3:26" x14ac:dyDescent="0.25">
      <c r="C733" s="2"/>
      <c r="J733" s="8"/>
      <c r="R733" s="8"/>
      <c r="Z733" s="6"/>
    </row>
    <row r="734" spans="3:26" x14ac:dyDescent="0.25">
      <c r="C734" s="2"/>
      <c r="J734" s="8"/>
      <c r="R734" s="8"/>
      <c r="Z734" s="6"/>
    </row>
    <row r="735" spans="3:26" x14ac:dyDescent="0.25">
      <c r="C735" s="2"/>
      <c r="J735" s="8"/>
      <c r="R735" s="8"/>
      <c r="Z735" s="6"/>
    </row>
    <row r="736" spans="3:26" x14ac:dyDescent="0.25">
      <c r="C736" s="2"/>
      <c r="J736" s="8"/>
      <c r="R736" s="8"/>
      <c r="Z736" s="6"/>
    </row>
    <row r="737" spans="3:26" x14ac:dyDescent="0.25">
      <c r="C737" s="2"/>
      <c r="J737" s="8"/>
      <c r="R737" s="8"/>
      <c r="Z737" s="6"/>
    </row>
    <row r="738" spans="3:26" x14ac:dyDescent="0.25">
      <c r="C738" s="2"/>
      <c r="J738" s="8"/>
      <c r="R738" s="8"/>
      <c r="Z738" s="6"/>
    </row>
    <row r="739" spans="3:26" x14ac:dyDescent="0.25">
      <c r="C739" s="2"/>
      <c r="J739" s="8"/>
      <c r="R739" s="8"/>
      <c r="Z739" s="6"/>
    </row>
    <row r="740" spans="3:26" x14ac:dyDescent="0.25">
      <c r="C740" s="2"/>
      <c r="J740" s="8"/>
      <c r="R740" s="8"/>
      <c r="Z740" s="6"/>
    </row>
    <row r="741" spans="3:26" x14ac:dyDescent="0.25">
      <c r="C741" s="2"/>
      <c r="J741" s="8"/>
      <c r="R741" s="8"/>
      <c r="Z741" s="6"/>
    </row>
    <row r="742" spans="3:26" x14ac:dyDescent="0.25">
      <c r="C742" s="2"/>
      <c r="J742" s="8"/>
      <c r="R742" s="8"/>
      <c r="Z742" s="6"/>
    </row>
    <row r="743" spans="3:26" x14ac:dyDescent="0.25">
      <c r="C743" s="2"/>
      <c r="J743" s="8"/>
      <c r="R743" s="8"/>
      <c r="Z743" s="6"/>
    </row>
    <row r="744" spans="3:26" x14ac:dyDescent="0.25">
      <c r="C744" s="2"/>
      <c r="J744" s="8"/>
      <c r="R744" s="8"/>
      <c r="Z744" s="6"/>
    </row>
    <row r="745" spans="3:26" x14ac:dyDescent="0.25">
      <c r="C745" s="2"/>
      <c r="J745" s="8"/>
      <c r="R745" s="8"/>
      <c r="Z745" s="6"/>
    </row>
    <row r="746" spans="3:26" x14ac:dyDescent="0.25">
      <c r="C746" s="2"/>
      <c r="J746" s="8"/>
      <c r="R746" s="8"/>
      <c r="Z746" s="6"/>
    </row>
    <row r="747" spans="3:26" x14ac:dyDescent="0.25">
      <c r="C747" s="2"/>
      <c r="J747" s="8"/>
      <c r="R747" s="8"/>
      <c r="Z747" s="6"/>
    </row>
    <row r="748" spans="3:26" x14ac:dyDescent="0.25">
      <c r="C748" s="2"/>
      <c r="J748" s="8"/>
      <c r="R748" s="8"/>
      <c r="Z748" s="6"/>
    </row>
    <row r="749" spans="3:26" x14ac:dyDescent="0.25">
      <c r="C749" s="2"/>
      <c r="J749" s="8"/>
      <c r="R749" s="8"/>
      <c r="Z749" s="6"/>
    </row>
    <row r="750" spans="3:26" x14ac:dyDescent="0.25">
      <c r="C750" s="2"/>
      <c r="J750" s="8"/>
      <c r="R750" s="8"/>
      <c r="Z750" s="6"/>
    </row>
    <row r="751" spans="3:26" x14ac:dyDescent="0.25">
      <c r="C751" s="2"/>
      <c r="J751" s="8"/>
      <c r="R751" s="8"/>
      <c r="Z751" s="6"/>
    </row>
    <row r="752" spans="3:26" x14ac:dyDescent="0.25">
      <c r="C752" s="2"/>
      <c r="J752" s="8"/>
      <c r="R752" s="8"/>
      <c r="Z752" s="6"/>
    </row>
    <row r="753" spans="3:26" x14ac:dyDescent="0.25">
      <c r="C753" s="2"/>
      <c r="J753" s="8"/>
      <c r="R753" s="8"/>
      <c r="Z753" s="6"/>
    </row>
    <row r="754" spans="3:26" x14ac:dyDescent="0.25">
      <c r="C754" s="2"/>
      <c r="J754" s="8"/>
      <c r="R754" s="8"/>
      <c r="Z754" s="6"/>
    </row>
    <row r="755" spans="3:26" x14ac:dyDescent="0.25">
      <c r="C755" s="2"/>
      <c r="J755" s="8"/>
      <c r="R755" s="8"/>
      <c r="Z755" s="6"/>
    </row>
    <row r="756" spans="3:26" x14ac:dyDescent="0.25">
      <c r="C756" s="2"/>
      <c r="J756" s="8"/>
      <c r="R756" s="8"/>
      <c r="Z756" s="6"/>
    </row>
    <row r="757" spans="3:26" x14ac:dyDescent="0.25">
      <c r="C757" s="2"/>
      <c r="J757" s="8"/>
      <c r="R757" s="8"/>
      <c r="Z757" s="6"/>
    </row>
    <row r="758" spans="3:26" x14ac:dyDescent="0.25">
      <c r="C758" s="2"/>
      <c r="J758" s="8"/>
      <c r="R758" s="8"/>
      <c r="Z758" s="6"/>
    </row>
    <row r="759" spans="3:26" x14ac:dyDescent="0.25">
      <c r="C759" s="2"/>
      <c r="J759" s="8"/>
      <c r="R759" s="8"/>
      <c r="Z759" s="6"/>
    </row>
    <row r="760" spans="3:26" x14ac:dyDescent="0.25">
      <c r="C760" s="2"/>
      <c r="J760" s="8"/>
      <c r="R760" s="8"/>
      <c r="Z760" s="6"/>
    </row>
    <row r="761" spans="3:26" x14ac:dyDescent="0.25">
      <c r="C761" s="2"/>
      <c r="J761" s="8"/>
      <c r="R761" s="8"/>
      <c r="Z761" s="6"/>
    </row>
    <row r="762" spans="3:26" x14ac:dyDescent="0.25">
      <c r="C762" s="2"/>
      <c r="J762" s="8"/>
      <c r="R762" s="8"/>
      <c r="Y762" s="3"/>
      <c r="Z762" s="6"/>
    </row>
    <row r="763" spans="3:26" x14ac:dyDescent="0.25">
      <c r="C763" s="2"/>
      <c r="J763" s="8"/>
      <c r="R763" s="8"/>
      <c r="Z763" s="6"/>
    </row>
    <row r="764" spans="3:26" x14ac:dyDescent="0.25">
      <c r="C764" s="2"/>
      <c r="J764" s="8"/>
      <c r="R764" s="8"/>
      <c r="Z764" s="6"/>
    </row>
    <row r="765" spans="3:26" x14ac:dyDescent="0.25">
      <c r="C765" s="2"/>
      <c r="J765" s="8"/>
      <c r="R765" s="8"/>
      <c r="Z765" s="6"/>
    </row>
    <row r="766" spans="3:26" x14ac:dyDescent="0.25">
      <c r="C766" s="2"/>
      <c r="J766" s="8"/>
      <c r="R766" s="8"/>
      <c r="Z766" s="6"/>
    </row>
    <row r="767" spans="3:26" x14ac:dyDescent="0.25">
      <c r="C767" s="2"/>
      <c r="J767" s="8"/>
      <c r="R767" s="8"/>
      <c r="Z767" s="6"/>
    </row>
    <row r="768" spans="3:26" x14ac:dyDescent="0.25">
      <c r="C768" s="2"/>
      <c r="J768" s="8"/>
      <c r="R768" s="8"/>
      <c r="Z768" s="6"/>
    </row>
    <row r="769" spans="3:26" x14ac:dyDescent="0.25">
      <c r="C769" s="2"/>
      <c r="J769" s="8"/>
      <c r="R769" s="8"/>
      <c r="Z769" s="6"/>
    </row>
    <row r="770" spans="3:26" x14ac:dyDescent="0.25">
      <c r="C770" s="2"/>
      <c r="J770" s="8"/>
      <c r="R770" s="8"/>
      <c r="Z770" s="6"/>
    </row>
    <row r="771" spans="3:26" x14ac:dyDescent="0.25">
      <c r="C771" s="2"/>
      <c r="J771" s="8"/>
      <c r="R771" s="8"/>
      <c r="Z771" s="6"/>
    </row>
    <row r="772" spans="3:26" x14ac:dyDescent="0.25">
      <c r="C772" s="2"/>
      <c r="J772" s="8"/>
      <c r="R772" s="8"/>
      <c r="Z772" s="6"/>
    </row>
    <row r="773" spans="3:26" x14ac:dyDescent="0.25">
      <c r="C773" s="2"/>
      <c r="J773" s="8"/>
      <c r="R773" s="8"/>
      <c r="Z773" s="6"/>
    </row>
    <row r="774" spans="3:26" x14ac:dyDescent="0.25">
      <c r="C774" s="2"/>
      <c r="J774" s="8"/>
      <c r="R774" s="8"/>
      <c r="Z774" s="6"/>
    </row>
    <row r="775" spans="3:26" x14ac:dyDescent="0.25">
      <c r="C775" s="2"/>
      <c r="J775" s="8"/>
      <c r="R775" s="8"/>
      <c r="Z775" s="6"/>
    </row>
    <row r="776" spans="3:26" x14ac:dyDescent="0.25">
      <c r="C776" s="2"/>
      <c r="J776" s="8"/>
      <c r="R776" s="8"/>
      <c r="Z776" s="6"/>
    </row>
    <row r="777" spans="3:26" x14ac:dyDescent="0.25">
      <c r="C777" s="2"/>
      <c r="J777" s="8"/>
      <c r="R777" s="8"/>
      <c r="Z777" s="6"/>
    </row>
    <row r="778" spans="3:26" x14ac:dyDescent="0.25">
      <c r="C778" s="2"/>
      <c r="J778" s="8"/>
      <c r="R778" s="8"/>
      <c r="Z778" s="6"/>
    </row>
    <row r="779" spans="3:26" x14ac:dyDescent="0.25">
      <c r="C779" s="2"/>
      <c r="J779" s="8"/>
      <c r="R779" s="8"/>
      <c r="Z779" s="6"/>
    </row>
    <row r="780" spans="3:26" x14ac:dyDescent="0.25">
      <c r="C780" s="2"/>
      <c r="J780" s="8"/>
      <c r="R780" s="8"/>
      <c r="Z780" s="6"/>
    </row>
    <row r="781" spans="3:26" x14ac:dyDescent="0.25">
      <c r="C781" s="2"/>
      <c r="J781" s="8"/>
      <c r="R781" s="8"/>
      <c r="Z781" s="6"/>
    </row>
    <row r="782" spans="3:26" x14ac:dyDescent="0.25">
      <c r="C782" s="2"/>
      <c r="J782" s="8"/>
      <c r="R782" s="8"/>
      <c r="Z782" s="6"/>
    </row>
    <row r="783" spans="3:26" x14ac:dyDescent="0.25">
      <c r="C783" s="2"/>
      <c r="J783" s="8"/>
      <c r="R783" s="8"/>
      <c r="Z783" s="6"/>
    </row>
    <row r="784" spans="3:26" x14ac:dyDescent="0.25">
      <c r="C784" s="2"/>
      <c r="J784" s="8"/>
      <c r="R784" s="8"/>
      <c r="Z784" s="6"/>
    </row>
    <row r="785" spans="3:26" x14ac:dyDescent="0.25">
      <c r="C785" s="2"/>
      <c r="J785" s="8"/>
      <c r="R785" s="8"/>
      <c r="Z785" s="6"/>
    </row>
    <row r="786" spans="3:26" x14ac:dyDescent="0.25">
      <c r="C786" s="2"/>
      <c r="J786" s="8"/>
      <c r="R786" s="8"/>
      <c r="Z786" s="6"/>
    </row>
    <row r="787" spans="3:26" x14ac:dyDescent="0.25">
      <c r="C787" s="2"/>
      <c r="J787" s="8"/>
      <c r="R787" s="8"/>
      <c r="Z787" s="6"/>
    </row>
    <row r="788" spans="3:26" x14ac:dyDescent="0.25">
      <c r="C788" s="2"/>
      <c r="J788" s="8"/>
      <c r="R788" s="8"/>
      <c r="Z788" s="6"/>
    </row>
    <row r="789" spans="3:26" x14ac:dyDescent="0.25">
      <c r="C789" s="2"/>
      <c r="J789" s="8"/>
      <c r="R789" s="8"/>
      <c r="Z789" s="6"/>
    </row>
    <row r="790" spans="3:26" x14ac:dyDescent="0.25">
      <c r="C790" s="2"/>
      <c r="J790" s="8"/>
      <c r="R790" s="8"/>
      <c r="Z790" s="6"/>
    </row>
    <row r="791" spans="3:26" x14ac:dyDescent="0.25">
      <c r="C791" s="2"/>
      <c r="J791" s="8"/>
      <c r="R791" s="8"/>
      <c r="Z791" s="6"/>
    </row>
    <row r="792" spans="3:26" x14ac:dyDescent="0.25">
      <c r="C792" s="2"/>
      <c r="J792" s="8"/>
      <c r="R792" s="8"/>
      <c r="Z792" s="6"/>
    </row>
    <row r="793" spans="3:26" x14ac:dyDescent="0.25">
      <c r="C793" s="2"/>
      <c r="J793" s="8"/>
      <c r="R793" s="8"/>
      <c r="Z793" s="6"/>
    </row>
    <row r="794" spans="3:26" x14ac:dyDescent="0.25">
      <c r="C794" s="2"/>
      <c r="J794" s="8"/>
      <c r="R794" s="8"/>
      <c r="Z794" s="6"/>
    </row>
    <row r="795" spans="3:26" x14ac:dyDescent="0.25">
      <c r="C795" s="2"/>
      <c r="J795" s="8"/>
      <c r="R795" s="8"/>
      <c r="Z795" s="6"/>
    </row>
    <row r="796" spans="3:26" x14ac:dyDescent="0.25">
      <c r="C796" s="2"/>
      <c r="J796" s="8"/>
      <c r="R796" s="8"/>
      <c r="Z796" s="6"/>
    </row>
    <row r="797" spans="3:26" x14ac:dyDescent="0.25">
      <c r="C797" s="2"/>
      <c r="J797" s="8"/>
      <c r="R797" s="8"/>
      <c r="Z797" s="6"/>
    </row>
    <row r="798" spans="3:26" x14ac:dyDescent="0.25">
      <c r="C798" s="2"/>
      <c r="J798" s="8"/>
      <c r="R798" s="8"/>
      <c r="Z798" s="6"/>
    </row>
    <row r="799" spans="3:26" x14ac:dyDescent="0.25">
      <c r="C799" s="2"/>
      <c r="J799" s="8"/>
      <c r="R799" s="8"/>
      <c r="Z799" s="6"/>
    </row>
    <row r="800" spans="3:26" x14ac:dyDescent="0.25">
      <c r="C800" s="2"/>
      <c r="J800" s="8"/>
      <c r="R800" s="8"/>
      <c r="Z800" s="6"/>
    </row>
    <row r="801" spans="3:26" x14ac:dyDescent="0.25">
      <c r="C801" s="2"/>
      <c r="J801" s="8"/>
      <c r="R801" s="8"/>
      <c r="Z801" s="6"/>
    </row>
    <row r="802" spans="3:26" x14ac:dyDescent="0.25">
      <c r="C802" s="2"/>
      <c r="J802" s="8"/>
      <c r="R802" s="8"/>
      <c r="Z802" s="6"/>
    </row>
    <row r="803" spans="3:26" x14ac:dyDescent="0.25">
      <c r="C803" s="2"/>
      <c r="J803" s="8"/>
      <c r="R803" s="8"/>
      <c r="Z803" s="6"/>
    </row>
    <row r="804" spans="3:26" x14ac:dyDescent="0.25">
      <c r="C804" s="2"/>
      <c r="J804" s="8"/>
      <c r="R804" s="8"/>
      <c r="Z804" s="6"/>
    </row>
    <row r="805" spans="3:26" x14ac:dyDescent="0.25">
      <c r="C805" s="2"/>
      <c r="J805" s="8"/>
      <c r="R805" s="8"/>
      <c r="Z805" s="6"/>
    </row>
    <row r="806" spans="3:26" x14ac:dyDescent="0.25">
      <c r="C806" s="2"/>
      <c r="J806" s="8"/>
      <c r="R806" s="8"/>
      <c r="Z806" s="6"/>
    </row>
    <row r="807" spans="3:26" x14ac:dyDescent="0.25">
      <c r="C807" s="2"/>
      <c r="J807" s="8"/>
      <c r="R807" s="8"/>
      <c r="Z807" s="6"/>
    </row>
    <row r="808" spans="3:26" x14ac:dyDescent="0.25">
      <c r="C808" s="2"/>
      <c r="J808" s="8"/>
      <c r="R808" s="8"/>
      <c r="Z808" s="6"/>
    </row>
    <row r="809" spans="3:26" x14ac:dyDescent="0.25">
      <c r="C809" s="2"/>
      <c r="J809" s="8"/>
      <c r="R809" s="8"/>
      <c r="Z809" s="6"/>
    </row>
    <row r="810" spans="3:26" x14ac:dyDescent="0.25">
      <c r="C810" s="2"/>
      <c r="J810" s="8"/>
      <c r="R810" s="8"/>
      <c r="Z810" s="6"/>
    </row>
    <row r="811" spans="3:26" x14ac:dyDescent="0.25">
      <c r="C811" s="2"/>
      <c r="J811" s="8"/>
      <c r="R811" s="8"/>
      <c r="Z811" s="6"/>
    </row>
    <row r="812" spans="3:26" x14ac:dyDescent="0.25">
      <c r="C812" s="2"/>
      <c r="J812" s="8"/>
      <c r="R812" s="8"/>
      <c r="Z812" s="6"/>
    </row>
    <row r="813" spans="3:26" x14ac:dyDescent="0.25">
      <c r="C813" s="2"/>
      <c r="J813" s="8"/>
      <c r="R813" s="8"/>
      <c r="Z813" s="6"/>
    </row>
    <row r="814" spans="3:26" x14ac:dyDescent="0.25">
      <c r="C814" s="2"/>
      <c r="J814" s="8"/>
      <c r="R814" s="8"/>
      <c r="Z814" s="6"/>
    </row>
    <row r="815" spans="3:26" x14ac:dyDescent="0.25">
      <c r="C815" s="2"/>
      <c r="J815" s="8"/>
      <c r="R815" s="8"/>
      <c r="Z815" s="6"/>
    </row>
    <row r="816" spans="3:26" x14ac:dyDescent="0.25">
      <c r="C816" s="2"/>
      <c r="J816" s="8"/>
      <c r="R816" s="8"/>
      <c r="Z816" s="6"/>
    </row>
    <row r="817" spans="3:26" x14ac:dyDescent="0.25">
      <c r="C817" s="2"/>
      <c r="J817" s="8"/>
      <c r="R817" s="8"/>
      <c r="Z817" s="6"/>
    </row>
    <row r="818" spans="3:26" x14ac:dyDescent="0.25">
      <c r="C818" s="2"/>
      <c r="J818" s="8"/>
      <c r="R818" s="8"/>
      <c r="Z818" s="6"/>
    </row>
    <row r="819" spans="3:26" x14ac:dyDescent="0.25">
      <c r="C819" s="2"/>
      <c r="J819" s="8"/>
      <c r="R819" s="8"/>
      <c r="Z819" s="6"/>
    </row>
    <row r="820" spans="3:26" x14ac:dyDescent="0.25">
      <c r="C820" s="2"/>
      <c r="J820" s="8"/>
      <c r="R820" s="8"/>
      <c r="Z820" s="6"/>
    </row>
    <row r="821" spans="3:26" x14ac:dyDescent="0.25">
      <c r="C821" s="2"/>
      <c r="J821" s="8"/>
      <c r="R821" s="8"/>
      <c r="Z821" s="6"/>
    </row>
    <row r="822" spans="3:26" x14ac:dyDescent="0.25">
      <c r="C822" s="2"/>
      <c r="J822" s="8"/>
      <c r="R822" s="8"/>
      <c r="Z822" s="6"/>
    </row>
    <row r="823" spans="3:26" x14ac:dyDescent="0.25">
      <c r="C823" s="2"/>
      <c r="J823" s="8"/>
      <c r="R823" s="8"/>
      <c r="Z823" s="6"/>
    </row>
    <row r="824" spans="3:26" x14ac:dyDescent="0.25">
      <c r="C824" s="2"/>
      <c r="J824" s="8"/>
      <c r="R824" s="8"/>
      <c r="Z824" s="6"/>
    </row>
    <row r="825" spans="3:26" x14ac:dyDescent="0.25">
      <c r="C825" s="2"/>
      <c r="J825" s="8"/>
      <c r="R825" s="8"/>
      <c r="Z825" s="6"/>
    </row>
    <row r="826" spans="3:26" x14ac:dyDescent="0.25">
      <c r="C826" s="2"/>
      <c r="J826" s="8"/>
      <c r="R826" s="8"/>
      <c r="Z826" s="6"/>
    </row>
    <row r="827" spans="3:26" x14ac:dyDescent="0.25">
      <c r="C827" s="2"/>
      <c r="J827" s="8"/>
      <c r="R827" s="8"/>
      <c r="Z827" s="6"/>
    </row>
    <row r="828" spans="3:26" x14ac:dyDescent="0.25">
      <c r="C828" s="2"/>
      <c r="J828" s="8"/>
      <c r="R828" s="8"/>
      <c r="Z828" s="6"/>
    </row>
    <row r="829" spans="3:26" x14ac:dyDescent="0.25">
      <c r="C829" s="2"/>
      <c r="J829" s="8"/>
      <c r="R829" s="8"/>
      <c r="Z829" s="6"/>
    </row>
    <row r="830" spans="3:26" x14ac:dyDescent="0.25">
      <c r="C830" s="2"/>
      <c r="J830" s="8"/>
      <c r="R830" s="8"/>
      <c r="Z830" s="6"/>
    </row>
    <row r="831" spans="3:26" x14ac:dyDescent="0.25">
      <c r="C831" s="2"/>
      <c r="J831" s="8"/>
      <c r="R831" s="8"/>
      <c r="Z831" s="6"/>
    </row>
    <row r="832" spans="3:26" x14ac:dyDescent="0.25">
      <c r="C832" s="2"/>
      <c r="J832" s="8"/>
      <c r="R832" s="8"/>
      <c r="Z832" s="6"/>
    </row>
    <row r="833" spans="3:26" x14ac:dyDescent="0.25">
      <c r="C833" s="2"/>
      <c r="J833" s="8"/>
      <c r="R833" s="8"/>
      <c r="Z833" s="6"/>
    </row>
    <row r="834" spans="3:26" x14ac:dyDescent="0.25">
      <c r="C834" s="2"/>
      <c r="J834" s="8"/>
      <c r="R834" s="8"/>
      <c r="Z834" s="6"/>
    </row>
    <row r="835" spans="3:26" x14ac:dyDescent="0.25">
      <c r="C835" s="2"/>
      <c r="J835" s="8"/>
      <c r="R835" s="8"/>
      <c r="Z835" s="6"/>
    </row>
    <row r="836" spans="3:26" x14ac:dyDescent="0.25">
      <c r="C836" s="2"/>
      <c r="J836" s="8"/>
      <c r="R836" s="8"/>
      <c r="Z836" s="6"/>
    </row>
    <row r="837" spans="3:26" x14ac:dyDescent="0.25">
      <c r="C837" s="2"/>
      <c r="J837" s="8"/>
      <c r="R837" s="8"/>
      <c r="Z837" s="6"/>
    </row>
    <row r="838" spans="3:26" x14ac:dyDescent="0.25">
      <c r="C838" s="2"/>
      <c r="J838" s="8"/>
      <c r="R838" s="8"/>
      <c r="Z838" s="6"/>
    </row>
    <row r="839" spans="3:26" x14ac:dyDescent="0.25">
      <c r="C839" s="2"/>
      <c r="J839" s="8"/>
      <c r="R839" s="8"/>
      <c r="Z839" s="6"/>
    </row>
    <row r="840" spans="3:26" x14ac:dyDescent="0.25">
      <c r="C840" s="2"/>
      <c r="J840" s="8"/>
      <c r="R840" s="8"/>
      <c r="Z840" s="6"/>
    </row>
    <row r="841" spans="3:26" x14ac:dyDescent="0.25">
      <c r="C841" s="2"/>
      <c r="J841" s="8"/>
      <c r="R841" s="8"/>
      <c r="Z841" s="6"/>
    </row>
    <row r="842" spans="3:26" x14ac:dyDescent="0.25">
      <c r="C842" s="2"/>
      <c r="J842" s="8"/>
      <c r="R842" s="8"/>
      <c r="Z842" s="6"/>
    </row>
    <row r="843" spans="3:26" x14ac:dyDescent="0.25">
      <c r="C843" s="2"/>
      <c r="J843" s="8"/>
      <c r="R843" s="8"/>
      <c r="Z843" s="6"/>
    </row>
    <row r="844" spans="3:26" x14ac:dyDescent="0.25">
      <c r="C844" s="2"/>
      <c r="J844" s="8"/>
      <c r="R844" s="8"/>
      <c r="Z844" s="6"/>
    </row>
    <row r="845" spans="3:26" x14ac:dyDescent="0.25">
      <c r="C845" s="2"/>
      <c r="J845" s="8"/>
      <c r="R845" s="8"/>
      <c r="Z845" s="6"/>
    </row>
    <row r="846" spans="3:26" x14ac:dyDescent="0.25">
      <c r="C846" s="2"/>
      <c r="J846" s="8"/>
      <c r="R846" s="8"/>
      <c r="Z846" s="6"/>
    </row>
    <row r="847" spans="3:26" x14ac:dyDescent="0.25">
      <c r="C847" s="2"/>
      <c r="J847" s="8"/>
      <c r="R847" s="8"/>
      <c r="Z847" s="6"/>
    </row>
    <row r="848" spans="3:26" x14ac:dyDescent="0.25">
      <c r="C848" s="2"/>
      <c r="J848" s="8"/>
      <c r="R848" s="8"/>
      <c r="Z848" s="6"/>
    </row>
    <row r="849" spans="3:26" x14ac:dyDescent="0.25">
      <c r="C849" s="2"/>
      <c r="J849" s="8"/>
      <c r="R849" s="8"/>
      <c r="Z849" s="6"/>
    </row>
    <row r="850" spans="3:26" x14ac:dyDescent="0.25">
      <c r="C850" s="2"/>
      <c r="J850" s="8"/>
      <c r="R850" s="8"/>
      <c r="Z850" s="6"/>
    </row>
    <row r="851" spans="3:26" x14ac:dyDescent="0.25">
      <c r="C851" s="2"/>
      <c r="J851" s="8"/>
      <c r="R851" s="8"/>
      <c r="Z851" s="6"/>
    </row>
    <row r="852" spans="3:26" x14ac:dyDescent="0.25">
      <c r="C852" s="2"/>
      <c r="J852" s="8"/>
      <c r="R852" s="8"/>
      <c r="Z852" s="6"/>
    </row>
    <row r="853" spans="3:26" x14ac:dyDescent="0.25">
      <c r="C853" s="2"/>
      <c r="J853" s="8"/>
      <c r="R853" s="8"/>
      <c r="Z853" s="6"/>
    </row>
    <row r="854" spans="3:26" x14ac:dyDescent="0.25">
      <c r="C854" s="2"/>
      <c r="J854" s="8"/>
      <c r="R854" s="8"/>
      <c r="Z854" s="6"/>
    </row>
    <row r="855" spans="3:26" x14ac:dyDescent="0.25">
      <c r="C855" s="2"/>
      <c r="J855" s="8"/>
      <c r="R855" s="8"/>
      <c r="Z855" s="6"/>
    </row>
    <row r="856" spans="3:26" x14ac:dyDescent="0.25">
      <c r="C856" s="2"/>
      <c r="J856" s="8"/>
      <c r="R856" s="8"/>
      <c r="Z856" s="6"/>
    </row>
    <row r="857" spans="3:26" x14ac:dyDescent="0.25">
      <c r="C857" s="2"/>
      <c r="J857" s="8"/>
      <c r="R857" s="8"/>
      <c r="Z857" s="6"/>
    </row>
    <row r="858" spans="3:26" x14ac:dyDescent="0.25">
      <c r="C858" s="2"/>
      <c r="J858" s="8"/>
      <c r="R858" s="8"/>
      <c r="Z858" s="6"/>
    </row>
    <row r="859" spans="3:26" x14ac:dyDescent="0.25">
      <c r="C859" s="2"/>
      <c r="J859" s="8"/>
      <c r="R859" s="8"/>
      <c r="Z859" s="6"/>
    </row>
    <row r="860" spans="3:26" x14ac:dyDescent="0.25">
      <c r="C860" s="2"/>
      <c r="J860" s="8"/>
      <c r="R860" s="8"/>
      <c r="Z860" s="6"/>
    </row>
    <row r="861" spans="3:26" x14ac:dyDescent="0.25">
      <c r="C861" s="2"/>
      <c r="J861" s="8"/>
      <c r="R861" s="8"/>
      <c r="Z861" s="6"/>
    </row>
    <row r="862" spans="3:26" x14ac:dyDescent="0.25">
      <c r="C862" s="2"/>
      <c r="J862" s="8"/>
      <c r="R862" s="8"/>
      <c r="Z862" s="6"/>
    </row>
    <row r="863" spans="3:26" x14ac:dyDescent="0.25">
      <c r="C863" s="2"/>
      <c r="J863" s="8"/>
      <c r="R863" s="8"/>
      <c r="Z863" s="6"/>
    </row>
    <row r="864" spans="3:26" x14ac:dyDescent="0.25">
      <c r="C864" s="2"/>
      <c r="J864" s="8"/>
      <c r="R864" s="8"/>
      <c r="Z864" s="6"/>
    </row>
    <row r="865" spans="3:26" x14ac:dyDescent="0.25">
      <c r="C865" s="2"/>
      <c r="J865" s="8"/>
      <c r="R865" s="8"/>
      <c r="Z865" s="6"/>
    </row>
    <row r="866" spans="3:26" x14ac:dyDescent="0.25">
      <c r="C866" s="2"/>
      <c r="J866" s="8"/>
      <c r="R866" s="8"/>
      <c r="Z866" s="6"/>
    </row>
    <row r="867" spans="3:26" x14ac:dyDescent="0.25">
      <c r="C867" s="2"/>
      <c r="J867" s="8"/>
      <c r="R867" s="8"/>
      <c r="Z867" s="6"/>
    </row>
    <row r="868" spans="3:26" x14ac:dyDescent="0.25">
      <c r="C868" s="2"/>
      <c r="J868" s="8"/>
      <c r="R868" s="8"/>
      <c r="Z868" s="6"/>
    </row>
    <row r="869" spans="3:26" x14ac:dyDescent="0.25">
      <c r="C869" s="2"/>
      <c r="J869" s="8"/>
      <c r="R869" s="8"/>
      <c r="Z869" s="6"/>
    </row>
    <row r="870" spans="3:26" x14ac:dyDescent="0.25">
      <c r="C870" s="2"/>
      <c r="J870" s="8"/>
      <c r="R870" s="8"/>
      <c r="Z870" s="6"/>
    </row>
    <row r="871" spans="3:26" x14ac:dyDescent="0.25">
      <c r="C871" s="2"/>
      <c r="J871" s="8"/>
      <c r="R871" s="8"/>
      <c r="Z871" s="6"/>
    </row>
    <row r="872" spans="3:26" x14ac:dyDescent="0.25">
      <c r="C872" s="2"/>
      <c r="J872" s="8"/>
      <c r="R872" s="8"/>
      <c r="Z872" s="6"/>
    </row>
    <row r="873" spans="3:26" x14ac:dyDescent="0.25">
      <c r="C873" s="2"/>
      <c r="J873" s="8"/>
      <c r="R873" s="8"/>
      <c r="Z873" s="6"/>
    </row>
    <row r="874" spans="3:26" x14ac:dyDescent="0.25">
      <c r="C874" s="2"/>
      <c r="J874" s="8"/>
      <c r="R874" s="8"/>
      <c r="Z874" s="6"/>
    </row>
    <row r="875" spans="3:26" x14ac:dyDescent="0.25">
      <c r="C875" s="2"/>
      <c r="J875" s="8"/>
      <c r="R875" s="8"/>
      <c r="Z875" s="6"/>
    </row>
    <row r="876" spans="3:26" x14ac:dyDescent="0.25">
      <c r="C876" s="2"/>
      <c r="J876" s="8"/>
      <c r="R876" s="8"/>
      <c r="Z876" s="6"/>
    </row>
    <row r="877" spans="3:26" x14ac:dyDescent="0.25">
      <c r="C877" s="2"/>
      <c r="J877" s="8"/>
      <c r="R877" s="8"/>
      <c r="Z877" s="6"/>
    </row>
    <row r="878" spans="3:26" x14ac:dyDescent="0.25">
      <c r="C878" s="2"/>
      <c r="J878" s="8"/>
      <c r="R878" s="8"/>
      <c r="Z878" s="6"/>
    </row>
    <row r="879" spans="3:26" x14ac:dyDescent="0.25">
      <c r="C879" s="2"/>
      <c r="J879" s="8"/>
      <c r="R879" s="8"/>
      <c r="Z879" s="6"/>
    </row>
    <row r="880" spans="3:26" x14ac:dyDescent="0.25">
      <c r="C880" s="2"/>
      <c r="J880" s="8"/>
      <c r="R880" s="8"/>
      <c r="Z880" s="6"/>
    </row>
    <row r="881" spans="3:26" x14ac:dyDescent="0.25">
      <c r="C881" s="2"/>
      <c r="J881" s="8"/>
      <c r="R881" s="8"/>
      <c r="Z881" s="6"/>
    </row>
    <row r="882" spans="3:26" x14ac:dyDescent="0.25">
      <c r="C882" s="2"/>
      <c r="J882" s="8"/>
      <c r="R882" s="8"/>
      <c r="Z882" s="6"/>
    </row>
    <row r="883" spans="3:26" x14ac:dyDescent="0.25">
      <c r="C883" s="2"/>
      <c r="J883" s="8"/>
      <c r="R883" s="8"/>
      <c r="Z883" s="6"/>
    </row>
    <row r="884" spans="3:26" x14ac:dyDescent="0.25">
      <c r="C884" s="2"/>
      <c r="J884" s="8"/>
      <c r="R884" s="8"/>
      <c r="Z884" s="6"/>
    </row>
    <row r="885" spans="3:26" x14ac:dyDescent="0.25">
      <c r="C885" s="2"/>
      <c r="J885" s="8"/>
      <c r="R885" s="8"/>
      <c r="Z885" s="6"/>
    </row>
    <row r="886" spans="3:26" x14ac:dyDescent="0.25">
      <c r="C886" s="2"/>
      <c r="J886" s="8"/>
      <c r="R886" s="8"/>
      <c r="Z886" s="6"/>
    </row>
    <row r="887" spans="3:26" x14ac:dyDescent="0.25">
      <c r="C887" s="2"/>
      <c r="J887" s="8"/>
      <c r="R887" s="8"/>
      <c r="Z887" s="6"/>
    </row>
    <row r="888" spans="3:26" x14ac:dyDescent="0.25">
      <c r="C888" s="2"/>
      <c r="J888" s="8"/>
      <c r="R888" s="8"/>
      <c r="Z888" s="6"/>
    </row>
    <row r="889" spans="3:26" x14ac:dyDescent="0.25">
      <c r="C889" s="2"/>
      <c r="J889" s="8"/>
      <c r="R889" s="8"/>
      <c r="Z889" s="6"/>
    </row>
    <row r="890" spans="3:26" x14ac:dyDescent="0.25">
      <c r="C890" s="2"/>
      <c r="J890" s="8"/>
      <c r="R890" s="8"/>
      <c r="Z890" s="6"/>
    </row>
    <row r="891" spans="3:26" x14ac:dyDescent="0.25">
      <c r="C891" s="2"/>
      <c r="J891" s="8"/>
      <c r="R891" s="8"/>
      <c r="Z891" s="6"/>
    </row>
    <row r="892" spans="3:26" x14ac:dyDescent="0.25">
      <c r="C892" s="2"/>
      <c r="J892" s="8"/>
      <c r="R892" s="8"/>
      <c r="Z892" s="6"/>
    </row>
    <row r="893" spans="3:26" x14ac:dyDescent="0.25">
      <c r="C893" s="2"/>
      <c r="J893" s="8"/>
      <c r="R893" s="8"/>
      <c r="Z893" s="6"/>
    </row>
    <row r="894" spans="3:26" x14ac:dyDescent="0.25">
      <c r="C894" s="2"/>
      <c r="J894" s="8"/>
      <c r="R894" s="8"/>
      <c r="Z894" s="6"/>
    </row>
    <row r="895" spans="3:26" x14ac:dyDescent="0.25">
      <c r="C895" s="2"/>
      <c r="J895" s="8"/>
      <c r="R895" s="8"/>
      <c r="Z895" s="6"/>
    </row>
    <row r="896" spans="3:26" x14ac:dyDescent="0.25">
      <c r="C896" s="2"/>
      <c r="J896" s="8"/>
      <c r="R896" s="8"/>
      <c r="Z896" s="6"/>
    </row>
    <row r="897" spans="3:26" x14ac:dyDescent="0.25">
      <c r="C897" s="2"/>
      <c r="J897" s="8"/>
      <c r="R897" s="8"/>
      <c r="Z897" s="6"/>
    </row>
    <row r="898" spans="3:26" x14ac:dyDescent="0.25">
      <c r="C898" s="2"/>
      <c r="J898" s="8"/>
      <c r="R898" s="8"/>
      <c r="Z898" s="6"/>
    </row>
    <row r="899" spans="3:26" x14ac:dyDescent="0.25">
      <c r="C899" s="2"/>
      <c r="J899" s="8"/>
      <c r="R899" s="8"/>
      <c r="Z899" s="6"/>
    </row>
    <row r="900" spans="3:26" x14ac:dyDescent="0.25">
      <c r="C900" s="2"/>
      <c r="J900" s="8"/>
      <c r="R900" s="8"/>
      <c r="Z900" s="6"/>
    </row>
    <row r="901" spans="3:26" x14ac:dyDescent="0.25">
      <c r="C901" s="2"/>
      <c r="J901" s="8"/>
      <c r="R901" s="8"/>
      <c r="Z901" s="6"/>
    </row>
    <row r="902" spans="3:26" x14ac:dyDescent="0.25">
      <c r="C902" s="2"/>
      <c r="J902" s="8"/>
      <c r="R902" s="8"/>
      <c r="Z902" s="6"/>
    </row>
    <row r="903" spans="3:26" x14ac:dyDescent="0.25">
      <c r="C903" s="2"/>
      <c r="J903" s="8"/>
      <c r="R903" s="8"/>
      <c r="Z903" s="6"/>
    </row>
    <row r="904" spans="3:26" x14ac:dyDescent="0.25">
      <c r="C904" s="2"/>
      <c r="J904" s="8"/>
      <c r="R904" s="8"/>
      <c r="Z904" s="6"/>
    </row>
    <row r="905" spans="3:26" x14ac:dyDescent="0.25">
      <c r="C905" s="2"/>
      <c r="J905" s="8"/>
      <c r="R905" s="8"/>
      <c r="Z905" s="6"/>
    </row>
    <row r="906" spans="3:26" x14ac:dyDescent="0.25">
      <c r="C906" s="2"/>
      <c r="J906" s="8"/>
      <c r="R906" s="8"/>
      <c r="Z906" s="6"/>
    </row>
    <row r="907" spans="3:26" x14ac:dyDescent="0.25">
      <c r="C907" s="2"/>
      <c r="J907" s="8"/>
      <c r="R907" s="8"/>
      <c r="Z907" s="6"/>
    </row>
    <row r="908" spans="3:26" x14ac:dyDescent="0.25">
      <c r="C908" s="2"/>
      <c r="J908" s="8"/>
      <c r="R908" s="8"/>
      <c r="Z908" s="6"/>
    </row>
    <row r="909" spans="3:26" x14ac:dyDescent="0.25">
      <c r="C909" s="2"/>
      <c r="J909" s="8"/>
      <c r="R909" s="8"/>
      <c r="Z909" s="6"/>
    </row>
    <row r="910" spans="3:26" x14ac:dyDescent="0.25">
      <c r="C910" s="2"/>
      <c r="J910" s="8"/>
      <c r="R910" s="8"/>
      <c r="Z910" s="6"/>
    </row>
    <row r="911" spans="3:26" x14ac:dyDescent="0.25">
      <c r="C911" s="2"/>
      <c r="J911" s="8"/>
      <c r="R911" s="8"/>
      <c r="Z911" s="6"/>
    </row>
    <row r="912" spans="3:26" x14ac:dyDescent="0.25">
      <c r="C912" s="2"/>
      <c r="J912" s="8"/>
      <c r="R912" s="8"/>
      <c r="Z912" s="6"/>
    </row>
    <row r="913" spans="3:26" x14ac:dyDescent="0.25">
      <c r="C913" s="2"/>
      <c r="J913" s="8"/>
      <c r="R913" s="8"/>
      <c r="Z913" s="6"/>
    </row>
    <row r="914" spans="3:26" x14ac:dyDescent="0.25">
      <c r="C914" s="2"/>
      <c r="J914" s="8"/>
      <c r="R914" s="8"/>
      <c r="Z914" s="6"/>
    </row>
    <row r="915" spans="3:26" x14ac:dyDescent="0.25">
      <c r="C915" s="2"/>
      <c r="J915" s="8"/>
      <c r="R915" s="8"/>
      <c r="Z915" s="6"/>
    </row>
    <row r="916" spans="3:26" x14ac:dyDescent="0.25">
      <c r="C916" s="2"/>
      <c r="J916" s="8"/>
      <c r="R916" s="8"/>
      <c r="Z916" s="6"/>
    </row>
    <row r="917" spans="3:26" x14ac:dyDescent="0.25">
      <c r="C917" s="2"/>
      <c r="J917" s="8"/>
      <c r="R917" s="8"/>
      <c r="Z917" s="6"/>
    </row>
    <row r="918" spans="3:26" x14ac:dyDescent="0.25">
      <c r="C918" s="2"/>
      <c r="J918" s="8"/>
      <c r="R918" s="8"/>
      <c r="Z918" s="6"/>
    </row>
    <row r="919" spans="3:26" x14ac:dyDescent="0.25">
      <c r="C919" s="2"/>
      <c r="J919" s="8"/>
      <c r="R919" s="8"/>
      <c r="Z919" s="6"/>
    </row>
    <row r="920" spans="3:26" x14ac:dyDescent="0.25">
      <c r="C920" s="2"/>
      <c r="J920" s="8"/>
      <c r="R920" s="8"/>
      <c r="Z920" s="6"/>
    </row>
    <row r="921" spans="3:26" x14ac:dyDescent="0.25">
      <c r="C921" s="2"/>
      <c r="J921" s="8"/>
      <c r="R921" s="8"/>
      <c r="Z921" s="6"/>
    </row>
    <row r="922" spans="3:26" x14ac:dyDescent="0.25">
      <c r="C922" s="2"/>
      <c r="J922" s="8"/>
      <c r="R922" s="8"/>
      <c r="Z922" s="6"/>
    </row>
    <row r="923" spans="3:26" x14ac:dyDescent="0.25">
      <c r="C923" s="2"/>
      <c r="J923" s="8"/>
      <c r="R923" s="8"/>
      <c r="Z923" s="6"/>
    </row>
    <row r="924" spans="3:26" x14ac:dyDescent="0.25">
      <c r="C924" s="2"/>
      <c r="J924" s="8"/>
      <c r="R924" s="8"/>
      <c r="Z924" s="6"/>
    </row>
    <row r="925" spans="3:26" x14ac:dyDescent="0.25">
      <c r="C925" s="2"/>
      <c r="J925" s="8"/>
      <c r="R925" s="8"/>
      <c r="Z925" s="6"/>
    </row>
    <row r="926" spans="3:26" x14ac:dyDescent="0.25">
      <c r="C926" s="2"/>
      <c r="J926" s="8"/>
      <c r="R926" s="8"/>
      <c r="Z926" s="6"/>
    </row>
    <row r="927" spans="3:26" x14ac:dyDescent="0.25">
      <c r="C927" s="2"/>
      <c r="J927" s="8"/>
      <c r="R927" s="8"/>
      <c r="Z927" s="6"/>
    </row>
    <row r="928" spans="3:26" x14ac:dyDescent="0.25">
      <c r="C928" s="2"/>
      <c r="J928" s="8"/>
      <c r="R928" s="8"/>
      <c r="Z928" s="6"/>
    </row>
    <row r="929" spans="3:26" x14ac:dyDescent="0.25">
      <c r="C929" s="2"/>
      <c r="J929" s="8"/>
      <c r="R929" s="8"/>
      <c r="Z929" s="6"/>
    </row>
    <row r="930" spans="3:26" x14ac:dyDescent="0.25">
      <c r="C930" s="2"/>
      <c r="J930" s="8"/>
      <c r="R930" s="8"/>
      <c r="Z930" s="6"/>
    </row>
    <row r="931" spans="3:26" x14ac:dyDescent="0.25">
      <c r="C931" s="2"/>
      <c r="J931" s="8"/>
      <c r="R931" s="8"/>
      <c r="Z931" s="6"/>
    </row>
    <row r="932" spans="3:26" x14ac:dyDescent="0.25">
      <c r="C932" s="2"/>
      <c r="J932" s="8"/>
      <c r="R932" s="8"/>
      <c r="Z932" s="6"/>
    </row>
    <row r="933" spans="3:26" x14ac:dyDescent="0.25">
      <c r="C933" s="2"/>
      <c r="J933" s="8"/>
      <c r="R933" s="8"/>
      <c r="Z933" s="6"/>
    </row>
    <row r="934" spans="3:26" x14ac:dyDescent="0.25">
      <c r="C934" s="2"/>
      <c r="J934" s="8"/>
      <c r="R934" s="8"/>
      <c r="Z934" s="6"/>
    </row>
    <row r="935" spans="3:26" x14ac:dyDescent="0.25">
      <c r="C935" s="2"/>
      <c r="J935" s="8"/>
      <c r="R935" s="8"/>
      <c r="Z935" s="6"/>
    </row>
    <row r="936" spans="3:26" x14ac:dyDescent="0.25">
      <c r="C936" s="2"/>
      <c r="J936" s="8"/>
      <c r="R936" s="8"/>
      <c r="Z936" s="6"/>
    </row>
    <row r="937" spans="3:26" x14ac:dyDescent="0.25">
      <c r="C937" s="2"/>
      <c r="J937" s="8"/>
      <c r="R937" s="8"/>
      <c r="Z937" s="6"/>
    </row>
    <row r="938" spans="3:26" x14ac:dyDescent="0.25">
      <c r="C938" s="2"/>
      <c r="J938" s="8"/>
      <c r="R938" s="8"/>
      <c r="Z938" s="6"/>
    </row>
    <row r="939" spans="3:26" x14ac:dyDescent="0.25">
      <c r="C939" s="2"/>
      <c r="J939" s="8"/>
      <c r="R939" s="8"/>
      <c r="Z939" s="6"/>
    </row>
    <row r="940" spans="3:26" x14ac:dyDescent="0.25">
      <c r="C940" s="2"/>
      <c r="J940" s="8"/>
      <c r="R940" s="8"/>
      <c r="Z940" s="6"/>
    </row>
    <row r="941" spans="3:26" x14ac:dyDescent="0.25">
      <c r="C941" s="2"/>
      <c r="J941" s="8"/>
      <c r="R941" s="8"/>
      <c r="Z941" s="6"/>
    </row>
    <row r="942" spans="3:26" x14ac:dyDescent="0.25">
      <c r="C942" s="2"/>
      <c r="J942" s="8"/>
      <c r="R942" s="8"/>
      <c r="Z942" s="6"/>
    </row>
    <row r="943" spans="3:26" x14ac:dyDescent="0.25">
      <c r="C943" s="2"/>
      <c r="J943" s="8"/>
      <c r="R943" s="8"/>
      <c r="Z943" s="6"/>
    </row>
    <row r="944" spans="3:26" x14ac:dyDescent="0.25">
      <c r="C944" s="2"/>
      <c r="J944" s="8"/>
      <c r="R944" s="8"/>
      <c r="Z944" s="6"/>
    </row>
    <row r="945" spans="3:26" x14ac:dyDescent="0.25">
      <c r="C945" s="2"/>
      <c r="J945" s="8"/>
      <c r="R945" s="8"/>
      <c r="Z945" s="6"/>
    </row>
    <row r="946" spans="3:26" x14ac:dyDescent="0.25">
      <c r="C946" s="2"/>
      <c r="J946" s="8"/>
      <c r="R946" s="8"/>
      <c r="Z946" s="6"/>
    </row>
    <row r="947" spans="3:26" x14ac:dyDescent="0.25">
      <c r="C947" s="2"/>
      <c r="J947" s="8"/>
      <c r="R947" s="8"/>
      <c r="Z947" s="6"/>
    </row>
    <row r="948" spans="3:26" x14ac:dyDescent="0.25">
      <c r="C948" s="2"/>
      <c r="J948" s="8"/>
      <c r="R948" s="8"/>
      <c r="Z948" s="6"/>
    </row>
    <row r="949" spans="3:26" x14ac:dyDescent="0.25">
      <c r="C949" s="2"/>
      <c r="J949" s="8"/>
      <c r="R949" s="8"/>
      <c r="Z949" s="6"/>
    </row>
    <row r="950" spans="3:26" x14ac:dyDescent="0.25">
      <c r="C950" s="2"/>
      <c r="J950" s="8"/>
      <c r="R950" s="8"/>
      <c r="Z950" s="6"/>
    </row>
    <row r="951" spans="3:26" x14ac:dyDescent="0.25">
      <c r="C951" s="2"/>
      <c r="J951" s="8"/>
      <c r="R951" s="8"/>
      <c r="Z951" s="6"/>
    </row>
    <row r="952" spans="3:26" x14ac:dyDescent="0.25">
      <c r="C952" s="2"/>
      <c r="J952" s="8"/>
      <c r="R952" s="8"/>
      <c r="Z952" s="6"/>
    </row>
    <row r="953" spans="3:26" x14ac:dyDescent="0.25">
      <c r="C953" s="2"/>
      <c r="J953" s="8"/>
      <c r="R953" s="8"/>
      <c r="Z953" s="6"/>
    </row>
    <row r="954" spans="3:26" x14ac:dyDescent="0.25">
      <c r="C954" s="2"/>
      <c r="J954" s="8"/>
      <c r="R954" s="8"/>
      <c r="Z954" s="6"/>
    </row>
    <row r="955" spans="3:26" x14ac:dyDescent="0.25">
      <c r="C955" s="2"/>
      <c r="J955" s="8"/>
      <c r="R955" s="8"/>
      <c r="Z955" s="6"/>
    </row>
    <row r="956" spans="3:26" x14ac:dyDescent="0.25">
      <c r="C956" s="2"/>
      <c r="J956" s="8"/>
      <c r="R956" s="8"/>
      <c r="Z956" s="6"/>
    </row>
    <row r="957" spans="3:26" x14ac:dyDescent="0.25">
      <c r="C957" s="2"/>
      <c r="J957" s="8"/>
      <c r="R957" s="8"/>
      <c r="Z957" s="6"/>
    </row>
    <row r="958" spans="3:26" x14ac:dyDescent="0.25">
      <c r="C958" s="2"/>
      <c r="J958" s="8"/>
      <c r="R958" s="8"/>
      <c r="Z958" s="6"/>
    </row>
    <row r="959" spans="3:26" x14ac:dyDescent="0.25">
      <c r="C959" s="2"/>
      <c r="J959" s="8"/>
      <c r="R959" s="8"/>
      <c r="Z959" s="6"/>
    </row>
    <row r="960" spans="3:26" x14ac:dyDescent="0.25">
      <c r="C960" s="2"/>
      <c r="J960" s="8"/>
      <c r="R960" s="8"/>
      <c r="Z960" s="6"/>
    </row>
    <row r="961" spans="3:26" x14ac:dyDescent="0.25">
      <c r="C961" s="2"/>
      <c r="J961" s="8"/>
      <c r="R961" s="8"/>
      <c r="Z961" s="6"/>
    </row>
    <row r="962" spans="3:26" x14ac:dyDescent="0.25">
      <c r="C962" s="2"/>
      <c r="J962" s="8"/>
      <c r="R962" s="8"/>
      <c r="Z962" s="6"/>
    </row>
    <row r="963" spans="3:26" x14ac:dyDescent="0.25">
      <c r="C963" s="2"/>
      <c r="J963" s="8"/>
      <c r="R963" s="8"/>
      <c r="Z963" s="6"/>
    </row>
    <row r="964" spans="3:26" x14ac:dyDescent="0.25">
      <c r="C964" s="2"/>
      <c r="J964" s="8"/>
      <c r="R964" s="8"/>
      <c r="Z964" s="6"/>
    </row>
    <row r="965" spans="3:26" x14ac:dyDescent="0.25">
      <c r="C965" s="2"/>
      <c r="J965" s="8"/>
      <c r="R965" s="8"/>
      <c r="Z965" s="6"/>
    </row>
    <row r="966" spans="3:26" x14ac:dyDescent="0.25">
      <c r="C966" s="2"/>
      <c r="J966" s="8"/>
      <c r="R966" s="8"/>
      <c r="Z966" s="6"/>
    </row>
    <row r="967" spans="3:26" x14ac:dyDescent="0.25">
      <c r="C967" s="2"/>
      <c r="J967" s="8"/>
      <c r="R967" s="8"/>
      <c r="Z967" s="6"/>
    </row>
    <row r="968" spans="3:26" x14ac:dyDescent="0.25">
      <c r="C968" s="2"/>
      <c r="J968" s="8"/>
      <c r="R968" s="8"/>
      <c r="Z968" s="6"/>
    </row>
    <row r="969" spans="3:26" x14ac:dyDescent="0.25">
      <c r="C969" s="2"/>
      <c r="J969" s="8"/>
      <c r="R969" s="8"/>
      <c r="Z969" s="6"/>
    </row>
    <row r="970" spans="3:26" x14ac:dyDescent="0.25">
      <c r="C970" s="2"/>
      <c r="J970" s="8"/>
      <c r="R970" s="8"/>
      <c r="Z970" s="6"/>
    </row>
    <row r="971" spans="3:26" x14ac:dyDescent="0.25">
      <c r="C971" s="2"/>
      <c r="J971" s="8"/>
      <c r="R971" s="8"/>
      <c r="Z971" s="6"/>
    </row>
    <row r="972" spans="3:26" x14ac:dyDescent="0.25">
      <c r="C972" s="2"/>
      <c r="J972" s="8"/>
      <c r="R972" s="8"/>
      <c r="Z972" s="6"/>
    </row>
    <row r="973" spans="3:26" x14ac:dyDescent="0.25">
      <c r="C973" s="2"/>
      <c r="J973" s="8"/>
      <c r="R973" s="8"/>
      <c r="Z973" s="6"/>
    </row>
    <row r="974" spans="3:26" x14ac:dyDescent="0.25">
      <c r="C974" s="2"/>
      <c r="J974" s="8"/>
      <c r="R974" s="8"/>
      <c r="Z974" s="6"/>
    </row>
    <row r="975" spans="3:26" x14ac:dyDescent="0.25">
      <c r="C975" s="2"/>
      <c r="J975" s="8"/>
      <c r="R975" s="8"/>
      <c r="Z975" s="6"/>
    </row>
    <row r="976" spans="3:26" x14ac:dyDescent="0.25">
      <c r="C976" s="2"/>
      <c r="J976" s="8"/>
      <c r="R976" s="8"/>
      <c r="Z976" s="6"/>
    </row>
    <row r="977" spans="3:26" x14ac:dyDescent="0.25">
      <c r="C977" s="2"/>
      <c r="J977" s="8"/>
      <c r="R977" s="8"/>
      <c r="Z977" s="6"/>
    </row>
    <row r="978" spans="3:26" x14ac:dyDescent="0.25">
      <c r="C978" s="2"/>
      <c r="J978" s="8"/>
      <c r="R978" s="8"/>
      <c r="Z978" s="6"/>
    </row>
    <row r="979" spans="3:26" x14ac:dyDescent="0.25">
      <c r="C979" s="2"/>
      <c r="J979" s="8"/>
      <c r="R979" s="8"/>
      <c r="Z979" s="6"/>
    </row>
    <row r="980" spans="3:26" x14ac:dyDescent="0.25">
      <c r="C980" s="2"/>
      <c r="J980" s="8"/>
      <c r="R980" s="8"/>
      <c r="Z980" s="6"/>
    </row>
    <row r="981" spans="3:26" x14ac:dyDescent="0.25">
      <c r="C981" s="2"/>
      <c r="J981" s="8"/>
      <c r="R981" s="8"/>
      <c r="Z981" s="6"/>
    </row>
    <row r="982" spans="3:26" x14ac:dyDescent="0.25">
      <c r="C982" s="2"/>
      <c r="J982" s="8"/>
      <c r="R982" s="8"/>
      <c r="Z982" s="6"/>
    </row>
    <row r="983" spans="3:26" x14ac:dyDescent="0.25">
      <c r="C983" s="2"/>
      <c r="J983" s="8"/>
      <c r="R983" s="8"/>
      <c r="Z983" s="6"/>
    </row>
    <row r="984" spans="3:26" x14ac:dyDescent="0.25">
      <c r="C984" s="2"/>
      <c r="J984" s="8"/>
      <c r="R984" s="8"/>
      <c r="Z984" s="6"/>
    </row>
    <row r="985" spans="3:26" x14ac:dyDescent="0.25">
      <c r="C985" s="2"/>
      <c r="J985" s="8"/>
      <c r="R985" s="8"/>
      <c r="Z985" s="6"/>
    </row>
    <row r="986" spans="3:26" x14ac:dyDescent="0.25">
      <c r="C986" s="2"/>
      <c r="J986" s="8"/>
      <c r="R986" s="8"/>
      <c r="Z986" s="6"/>
    </row>
    <row r="987" spans="3:26" x14ac:dyDescent="0.25">
      <c r="C987" s="2"/>
      <c r="J987" s="8"/>
      <c r="R987" s="8"/>
      <c r="Z987" s="6"/>
    </row>
    <row r="988" spans="3:26" x14ac:dyDescent="0.25">
      <c r="C988" s="2"/>
      <c r="J988" s="8"/>
      <c r="R988" s="8"/>
      <c r="Z988" s="6"/>
    </row>
    <row r="989" spans="3:26" x14ac:dyDescent="0.25">
      <c r="C989" s="2"/>
      <c r="J989" s="8"/>
      <c r="R989" s="8"/>
      <c r="Z989" s="6"/>
    </row>
    <row r="990" spans="3:26" x14ac:dyDescent="0.25">
      <c r="C990" s="2"/>
      <c r="J990" s="8"/>
      <c r="R990" s="8"/>
      <c r="Z990" s="6"/>
    </row>
    <row r="991" spans="3:26" x14ac:dyDescent="0.25">
      <c r="C991" s="2"/>
      <c r="J991" s="8"/>
      <c r="R991" s="8"/>
      <c r="Z991" s="6"/>
    </row>
    <row r="992" spans="3:26" x14ac:dyDescent="0.25">
      <c r="C992" s="2"/>
      <c r="J992" s="8"/>
      <c r="R992" s="8"/>
      <c r="Z992" s="6"/>
    </row>
    <row r="993" spans="3:26" x14ac:dyDescent="0.25">
      <c r="C993" s="2"/>
      <c r="J993" s="8"/>
      <c r="R993" s="8"/>
      <c r="Z993" s="6"/>
    </row>
    <row r="994" spans="3:26" x14ac:dyDescent="0.25">
      <c r="C994" s="2"/>
      <c r="J994" s="8"/>
      <c r="R994" s="8"/>
      <c r="Z994" s="6"/>
    </row>
    <row r="995" spans="3:26" x14ac:dyDescent="0.25">
      <c r="C995" s="2"/>
      <c r="J995" s="8"/>
      <c r="R995" s="8"/>
      <c r="Z995" s="6"/>
    </row>
    <row r="996" spans="3:26" x14ac:dyDescent="0.25">
      <c r="C996" s="2"/>
      <c r="J996" s="8"/>
      <c r="R996" s="8"/>
      <c r="Z996" s="6"/>
    </row>
    <row r="997" spans="3:26" x14ac:dyDescent="0.25">
      <c r="C997" s="2"/>
      <c r="J997" s="8"/>
      <c r="R997" s="8"/>
      <c r="Z997" s="6"/>
    </row>
    <row r="998" spans="3:26" x14ac:dyDescent="0.25">
      <c r="C998" s="2"/>
      <c r="J998" s="8"/>
      <c r="R998" s="8"/>
      <c r="Z998" s="6"/>
    </row>
    <row r="999" spans="3:26" x14ac:dyDescent="0.25">
      <c r="C999" s="2"/>
      <c r="J999" s="8"/>
      <c r="R999" s="8"/>
      <c r="Z999" s="6"/>
    </row>
    <row r="1000" spans="3:26" x14ac:dyDescent="0.25">
      <c r="C1000" s="2"/>
      <c r="J1000" s="8"/>
      <c r="R1000" s="8"/>
      <c r="Z1000" s="6"/>
    </row>
    <row r="1001" spans="3:26" x14ac:dyDescent="0.25">
      <c r="C1001" s="2"/>
      <c r="J1001" s="8"/>
      <c r="R1001" s="8"/>
      <c r="Z1001" s="6"/>
    </row>
    <row r="1002" spans="3:26" x14ac:dyDescent="0.25">
      <c r="C1002" s="2"/>
      <c r="J1002" s="8"/>
      <c r="R1002" s="8"/>
      <c r="Z1002" s="6"/>
    </row>
    <row r="1003" spans="3:26" x14ac:dyDescent="0.25">
      <c r="C1003" s="2"/>
      <c r="J1003" s="8"/>
      <c r="R1003" s="8"/>
      <c r="Z1003" s="6"/>
    </row>
    <row r="1004" spans="3:26" x14ac:dyDescent="0.25">
      <c r="C1004" s="2"/>
      <c r="J1004" s="8"/>
      <c r="R1004" s="8"/>
      <c r="Z1004" s="6"/>
    </row>
    <row r="1005" spans="3:26" x14ac:dyDescent="0.25">
      <c r="C1005" s="2"/>
      <c r="J1005" s="8"/>
      <c r="R1005" s="8"/>
      <c r="Z1005" s="6"/>
    </row>
    <row r="1006" spans="3:26" x14ac:dyDescent="0.25">
      <c r="C1006" s="2"/>
      <c r="J1006" s="8"/>
      <c r="R1006" s="8"/>
      <c r="Z1006" s="6"/>
    </row>
    <row r="1007" spans="3:26" x14ac:dyDescent="0.25">
      <c r="C1007" s="2"/>
      <c r="J1007" s="8"/>
      <c r="R1007" s="8"/>
      <c r="Z1007" s="6"/>
    </row>
    <row r="1008" spans="3:26" x14ac:dyDescent="0.25">
      <c r="C1008" s="2"/>
      <c r="J1008" s="8"/>
      <c r="R1008" s="8"/>
      <c r="Z1008" s="6"/>
    </row>
    <row r="1009" spans="3:26" x14ac:dyDescent="0.25">
      <c r="C1009" s="2"/>
      <c r="J1009" s="8"/>
      <c r="R1009" s="8"/>
      <c r="Z1009" s="6"/>
    </row>
    <row r="1010" spans="3:26" x14ac:dyDescent="0.25">
      <c r="C1010" s="2"/>
      <c r="J1010" s="8"/>
      <c r="R1010" s="8"/>
      <c r="Z1010" s="6"/>
    </row>
    <row r="1011" spans="3:26" x14ac:dyDescent="0.25">
      <c r="C1011" s="2"/>
      <c r="J1011" s="8"/>
      <c r="R1011" s="8"/>
      <c r="Z1011" s="6"/>
    </row>
    <row r="1012" spans="3:26" x14ac:dyDescent="0.25">
      <c r="C1012" s="2"/>
      <c r="J1012" s="8"/>
      <c r="R1012" s="8"/>
      <c r="Z1012" s="6"/>
    </row>
    <row r="1013" spans="3:26" x14ac:dyDescent="0.25">
      <c r="C1013" s="2"/>
      <c r="J1013" s="8"/>
      <c r="R1013" s="8"/>
      <c r="Z1013" s="6"/>
    </row>
    <row r="1014" spans="3:26" x14ac:dyDescent="0.25">
      <c r="C1014" s="2"/>
      <c r="J1014" s="8"/>
      <c r="R1014" s="8"/>
      <c r="Z1014" s="6"/>
    </row>
    <row r="1015" spans="3:26" x14ac:dyDescent="0.25">
      <c r="C1015" s="2"/>
      <c r="J1015" s="8"/>
      <c r="R1015" s="8"/>
      <c r="Z1015" s="6"/>
    </row>
    <row r="1016" spans="3:26" x14ac:dyDescent="0.25">
      <c r="C1016" s="2"/>
      <c r="J1016" s="8"/>
      <c r="R1016" s="8"/>
      <c r="Z1016" s="6"/>
    </row>
    <row r="1017" spans="3:26" x14ac:dyDescent="0.25">
      <c r="C1017" s="2"/>
      <c r="J1017" s="8"/>
      <c r="R1017" s="8"/>
      <c r="Z1017" s="6"/>
    </row>
    <row r="1018" spans="3:26" x14ac:dyDescent="0.25">
      <c r="C1018" s="2"/>
      <c r="J1018" s="8"/>
      <c r="R1018" s="8"/>
      <c r="Z1018" s="6"/>
    </row>
    <row r="1019" spans="3:26" x14ac:dyDescent="0.25">
      <c r="C1019" s="2"/>
      <c r="J1019" s="8"/>
      <c r="R1019" s="8"/>
      <c r="Z1019" s="6"/>
    </row>
    <row r="1020" spans="3:26" x14ac:dyDescent="0.25">
      <c r="C1020" s="2"/>
      <c r="J1020" s="8"/>
      <c r="R1020" s="8"/>
      <c r="Z1020" s="6"/>
    </row>
    <row r="1021" spans="3:26" x14ac:dyDescent="0.25">
      <c r="C1021" s="2"/>
      <c r="J1021" s="8"/>
      <c r="R1021" s="8"/>
      <c r="Z1021" s="6"/>
    </row>
    <row r="1022" spans="3:26" x14ac:dyDescent="0.25">
      <c r="C1022" s="2"/>
      <c r="J1022" s="8"/>
      <c r="R1022" s="8"/>
      <c r="Z1022" s="6"/>
    </row>
    <row r="1023" spans="3:26" x14ac:dyDescent="0.25">
      <c r="C1023" s="2"/>
      <c r="J1023" s="8"/>
      <c r="R1023" s="8"/>
      <c r="Z1023" s="6"/>
    </row>
    <row r="1024" spans="3:26" x14ac:dyDescent="0.25">
      <c r="C1024" s="2"/>
      <c r="J1024" s="8"/>
      <c r="R1024" s="8"/>
      <c r="Z1024" s="6"/>
    </row>
    <row r="1025" spans="3:26" x14ac:dyDescent="0.25">
      <c r="C1025" s="2"/>
      <c r="J1025" s="8"/>
      <c r="R1025" s="8"/>
      <c r="Z1025" s="6"/>
    </row>
    <row r="1026" spans="3:26" x14ac:dyDescent="0.25">
      <c r="C1026" s="2"/>
      <c r="J1026" s="8"/>
      <c r="R1026" s="8"/>
      <c r="Z1026" s="6"/>
    </row>
    <row r="1027" spans="3:26" x14ac:dyDescent="0.25">
      <c r="C1027" s="2"/>
      <c r="J1027" s="8"/>
      <c r="R1027" s="8"/>
      <c r="Z1027" s="6"/>
    </row>
    <row r="1028" spans="3:26" x14ac:dyDescent="0.25">
      <c r="C1028" s="2"/>
      <c r="J1028" s="8"/>
      <c r="R1028" s="8"/>
      <c r="Z1028" s="6"/>
    </row>
    <row r="1029" spans="3:26" x14ac:dyDescent="0.25">
      <c r="C1029" s="2"/>
      <c r="J1029" s="8"/>
      <c r="R1029" s="8"/>
      <c r="Z1029" s="6"/>
    </row>
    <row r="1030" spans="3:26" x14ac:dyDescent="0.25">
      <c r="C1030" s="2"/>
      <c r="J1030" s="8"/>
      <c r="R1030" s="8"/>
      <c r="Z1030" s="6"/>
    </row>
    <row r="1031" spans="3:26" x14ac:dyDescent="0.25">
      <c r="C1031" s="2"/>
      <c r="J1031" s="8"/>
      <c r="R1031" s="8"/>
      <c r="Z1031" s="6"/>
    </row>
    <row r="1032" spans="3:26" x14ac:dyDescent="0.25">
      <c r="C1032" s="2"/>
      <c r="J1032" s="8"/>
      <c r="R1032" s="8"/>
      <c r="Z1032" s="6"/>
    </row>
    <row r="1033" spans="3:26" x14ac:dyDescent="0.25">
      <c r="C1033" s="2"/>
      <c r="J1033" s="8"/>
      <c r="R1033" s="8"/>
      <c r="Z1033" s="6"/>
    </row>
    <row r="1034" spans="3:26" x14ac:dyDescent="0.25">
      <c r="C1034" s="2"/>
      <c r="J1034" s="8"/>
      <c r="R1034" s="8"/>
      <c r="Z1034" s="6"/>
    </row>
    <row r="1035" spans="3:26" x14ac:dyDescent="0.25">
      <c r="C1035" s="2"/>
      <c r="J1035" s="8"/>
      <c r="R1035" s="8"/>
      <c r="Z1035" s="6"/>
    </row>
    <row r="1036" spans="3:26" x14ac:dyDescent="0.25">
      <c r="C1036" s="2"/>
      <c r="J1036" s="8"/>
      <c r="R1036" s="8"/>
      <c r="Z1036" s="6"/>
    </row>
    <row r="1037" spans="3:26" x14ac:dyDescent="0.25">
      <c r="C1037" s="2"/>
      <c r="J1037" s="8"/>
      <c r="R1037" s="8"/>
      <c r="Z1037" s="6"/>
    </row>
    <row r="1038" spans="3:26" x14ac:dyDescent="0.25">
      <c r="C1038" s="2"/>
      <c r="J1038" s="8"/>
      <c r="R1038" s="8"/>
      <c r="Z1038" s="6"/>
    </row>
    <row r="1039" spans="3:26" x14ac:dyDescent="0.25">
      <c r="C1039" s="2"/>
      <c r="J1039" s="8"/>
      <c r="R1039" s="8"/>
      <c r="Z1039" s="6"/>
    </row>
    <row r="1040" spans="3:26" x14ac:dyDescent="0.25">
      <c r="C1040" s="2"/>
      <c r="J1040" s="8"/>
      <c r="R1040" s="8"/>
      <c r="Z1040" s="6"/>
    </row>
    <row r="1041" spans="3:26" x14ac:dyDescent="0.25">
      <c r="C1041" s="2"/>
      <c r="J1041" s="8"/>
      <c r="R1041" s="8"/>
      <c r="Z1041" s="6"/>
    </row>
    <row r="1042" spans="3:26" x14ac:dyDescent="0.25">
      <c r="C1042" s="2"/>
      <c r="J1042" s="8"/>
      <c r="R1042" s="8"/>
      <c r="Z1042" s="6"/>
    </row>
    <row r="1043" spans="3:26" x14ac:dyDescent="0.25">
      <c r="C1043" s="2"/>
      <c r="J1043" s="8"/>
      <c r="R1043" s="8"/>
      <c r="Z1043" s="6"/>
    </row>
    <row r="1044" spans="3:26" x14ac:dyDescent="0.25">
      <c r="C1044" s="2"/>
      <c r="J1044" s="8"/>
      <c r="R1044" s="8"/>
      <c r="Z1044" s="6"/>
    </row>
    <row r="1045" spans="3:26" x14ac:dyDescent="0.25">
      <c r="C1045" s="2"/>
      <c r="J1045" s="8"/>
      <c r="R1045" s="8"/>
      <c r="Z1045" s="6"/>
    </row>
    <row r="1046" spans="3:26" x14ac:dyDescent="0.25">
      <c r="C1046" s="2"/>
      <c r="J1046" s="8"/>
      <c r="R1046" s="8"/>
      <c r="Z1046" s="6"/>
    </row>
    <row r="1047" spans="3:26" x14ac:dyDescent="0.25">
      <c r="C1047" s="2"/>
      <c r="J1047" s="8"/>
      <c r="R1047" s="8"/>
      <c r="Z1047" s="6"/>
    </row>
    <row r="1048" spans="3:26" x14ac:dyDescent="0.25">
      <c r="C1048" s="2"/>
      <c r="J1048" s="8"/>
      <c r="R1048" s="8"/>
      <c r="Z1048" s="6"/>
    </row>
    <row r="1049" spans="3:26" x14ac:dyDescent="0.25">
      <c r="C1049" s="2"/>
      <c r="J1049" s="8"/>
      <c r="R1049" s="8"/>
      <c r="Z1049" s="6"/>
    </row>
    <row r="1050" spans="3:26" x14ac:dyDescent="0.25">
      <c r="C1050" s="2"/>
      <c r="J1050" s="8"/>
      <c r="R1050" s="8"/>
      <c r="Z1050" s="6"/>
    </row>
    <row r="1051" spans="3:26" x14ac:dyDescent="0.25">
      <c r="C1051" s="2"/>
      <c r="J1051" s="8"/>
      <c r="R1051" s="8"/>
      <c r="Z1051" s="6"/>
    </row>
    <row r="1052" spans="3:26" x14ac:dyDescent="0.25">
      <c r="C1052" s="2"/>
      <c r="J1052" s="8"/>
      <c r="R1052" s="8"/>
      <c r="Z1052" s="6"/>
    </row>
    <row r="1053" spans="3:26" x14ac:dyDescent="0.25">
      <c r="C1053" s="2"/>
      <c r="J1053" s="8"/>
      <c r="R1053" s="8"/>
      <c r="Z1053" s="6"/>
    </row>
    <row r="1054" spans="3:26" x14ac:dyDescent="0.25">
      <c r="C1054" s="2"/>
      <c r="J1054" s="8"/>
      <c r="R1054" s="8"/>
      <c r="Z1054" s="6"/>
    </row>
    <row r="1055" spans="3:26" x14ac:dyDescent="0.25">
      <c r="C1055" s="2"/>
      <c r="J1055" s="8"/>
      <c r="R1055" s="8"/>
      <c r="Z1055" s="6"/>
    </row>
    <row r="1056" spans="3:26" x14ac:dyDescent="0.25">
      <c r="C1056" s="2"/>
      <c r="J1056" s="8"/>
      <c r="R1056" s="8"/>
      <c r="Z1056" s="6"/>
    </row>
    <row r="1057" spans="3:26" x14ac:dyDescent="0.25">
      <c r="C1057" s="2"/>
      <c r="J1057" s="8"/>
      <c r="R1057" s="8"/>
      <c r="Z1057" s="6"/>
    </row>
    <row r="1058" spans="3:26" x14ac:dyDescent="0.25">
      <c r="C1058" s="2"/>
      <c r="J1058" s="8"/>
      <c r="R1058" s="8"/>
      <c r="Z1058" s="6"/>
    </row>
    <row r="1059" spans="3:26" x14ac:dyDescent="0.25">
      <c r="C1059" s="2"/>
      <c r="J1059" s="8"/>
      <c r="R1059" s="8"/>
      <c r="Z1059" s="6"/>
    </row>
    <row r="1060" spans="3:26" x14ac:dyDescent="0.25">
      <c r="C1060" s="2"/>
      <c r="J1060" s="8"/>
      <c r="R1060" s="8"/>
      <c r="Z1060" s="6"/>
    </row>
    <row r="1061" spans="3:26" x14ac:dyDescent="0.25">
      <c r="C1061" s="2"/>
      <c r="J1061" s="8"/>
      <c r="R1061" s="8"/>
      <c r="Z1061" s="6"/>
    </row>
    <row r="1062" spans="3:26" x14ac:dyDescent="0.25">
      <c r="C1062" s="2"/>
      <c r="J1062" s="8"/>
      <c r="R1062" s="8"/>
      <c r="Z1062" s="6"/>
    </row>
    <row r="1063" spans="3:26" x14ac:dyDescent="0.25">
      <c r="C1063" s="2"/>
      <c r="J1063" s="8"/>
      <c r="R1063" s="8"/>
      <c r="Z1063" s="6"/>
    </row>
    <row r="1064" spans="3:26" x14ac:dyDescent="0.25">
      <c r="C1064" s="2"/>
      <c r="J1064" s="8"/>
      <c r="R1064" s="8"/>
      <c r="Z1064" s="6"/>
    </row>
    <row r="1065" spans="3:26" x14ac:dyDescent="0.25">
      <c r="C1065" s="2"/>
      <c r="J1065" s="8"/>
      <c r="R1065" s="8"/>
      <c r="Z1065" s="6"/>
    </row>
    <row r="1066" spans="3:26" x14ac:dyDescent="0.25">
      <c r="C1066" s="2"/>
      <c r="J1066" s="8"/>
      <c r="R1066" s="8"/>
      <c r="Z1066" s="6"/>
    </row>
    <row r="1067" spans="3:26" x14ac:dyDescent="0.25">
      <c r="C1067" s="2"/>
      <c r="J1067" s="8"/>
      <c r="R1067" s="8"/>
      <c r="Z1067" s="6"/>
    </row>
    <row r="1068" spans="3:26" x14ac:dyDescent="0.25">
      <c r="C1068" s="2"/>
      <c r="J1068" s="8"/>
      <c r="R1068" s="8"/>
      <c r="Z1068" s="6"/>
    </row>
    <row r="1069" spans="3:26" x14ac:dyDescent="0.25">
      <c r="C1069" s="2"/>
      <c r="J1069" s="8"/>
      <c r="R1069" s="8"/>
      <c r="Z1069" s="6"/>
    </row>
    <row r="1070" spans="3:26" x14ac:dyDescent="0.25">
      <c r="C1070" s="2"/>
      <c r="J1070" s="8"/>
      <c r="R1070" s="8"/>
      <c r="Z1070" s="6"/>
    </row>
    <row r="1071" spans="3:26" x14ac:dyDescent="0.25">
      <c r="C1071" s="2"/>
      <c r="J1071" s="8"/>
      <c r="R1071" s="8"/>
      <c r="Z1071" s="6"/>
    </row>
    <row r="1072" spans="3:26" x14ac:dyDescent="0.25">
      <c r="C1072" s="2"/>
      <c r="J1072" s="8"/>
      <c r="R1072" s="8"/>
      <c r="Z1072" s="6"/>
    </row>
    <row r="1073" spans="3:26" x14ac:dyDescent="0.25">
      <c r="C1073" s="2"/>
      <c r="J1073" s="8"/>
      <c r="R1073" s="8"/>
      <c r="Z1073" s="6"/>
    </row>
    <row r="1074" spans="3:26" x14ac:dyDescent="0.25">
      <c r="C1074" s="2"/>
      <c r="J1074" s="8"/>
      <c r="R1074" s="8"/>
      <c r="Z1074" s="6"/>
    </row>
    <row r="1075" spans="3:26" x14ac:dyDescent="0.25">
      <c r="C1075" s="2"/>
      <c r="J1075" s="8"/>
      <c r="R1075" s="8"/>
      <c r="Z1075" s="6"/>
    </row>
    <row r="1076" spans="3:26" x14ac:dyDescent="0.25">
      <c r="C1076" s="2"/>
      <c r="J1076" s="8"/>
      <c r="R1076" s="8"/>
      <c r="Z1076" s="6"/>
    </row>
    <row r="1077" spans="3:26" x14ac:dyDescent="0.25">
      <c r="C1077" s="2"/>
      <c r="J1077" s="8"/>
      <c r="R1077" s="8"/>
      <c r="Z1077" s="6"/>
    </row>
    <row r="1078" spans="3:26" x14ac:dyDescent="0.25">
      <c r="C1078" s="2"/>
      <c r="J1078" s="8"/>
      <c r="R1078" s="8"/>
      <c r="Z1078" s="6"/>
    </row>
    <row r="1079" spans="3:26" x14ac:dyDescent="0.25">
      <c r="C1079" s="2"/>
      <c r="J1079" s="8"/>
      <c r="R1079" s="8"/>
      <c r="Z1079" s="6"/>
    </row>
    <row r="1080" spans="3:26" x14ac:dyDescent="0.25">
      <c r="C1080" s="2"/>
      <c r="J1080" s="8"/>
      <c r="R1080" s="8"/>
      <c r="Z1080" s="6"/>
    </row>
    <row r="1081" spans="3:26" x14ac:dyDescent="0.25">
      <c r="C1081" s="2"/>
      <c r="J1081" s="8"/>
      <c r="R1081" s="8"/>
      <c r="Z1081" s="6"/>
    </row>
    <row r="1082" spans="3:26" x14ac:dyDescent="0.25">
      <c r="C1082" s="2"/>
      <c r="J1082" s="8"/>
      <c r="R1082" s="8"/>
      <c r="Z1082" s="6"/>
    </row>
    <row r="1083" spans="3:26" x14ac:dyDescent="0.25">
      <c r="C1083" s="2"/>
      <c r="J1083" s="8"/>
      <c r="R1083" s="8"/>
      <c r="Z1083" s="6"/>
    </row>
    <row r="1084" spans="3:26" x14ac:dyDescent="0.25">
      <c r="C1084" s="2"/>
      <c r="J1084" s="8"/>
      <c r="R1084" s="8"/>
      <c r="Z1084" s="6"/>
    </row>
    <row r="1085" spans="3:26" x14ac:dyDescent="0.25">
      <c r="C1085" s="2"/>
      <c r="J1085" s="8"/>
      <c r="R1085" s="8"/>
      <c r="Z1085" s="6"/>
    </row>
    <row r="1086" spans="3:26" x14ac:dyDescent="0.25">
      <c r="C1086" s="2"/>
      <c r="J1086" s="8"/>
      <c r="R1086" s="8"/>
      <c r="Z1086" s="6"/>
    </row>
    <row r="1087" spans="3:26" x14ac:dyDescent="0.25">
      <c r="C1087" s="2"/>
      <c r="J1087" s="8"/>
      <c r="R1087" s="8"/>
      <c r="Z1087" s="6"/>
    </row>
    <row r="1088" spans="3:26" x14ac:dyDescent="0.25">
      <c r="C1088" s="2"/>
      <c r="J1088" s="8"/>
      <c r="R1088" s="8"/>
      <c r="Z1088" s="6"/>
    </row>
    <row r="1089" spans="3:26" x14ac:dyDescent="0.25">
      <c r="C1089" s="2"/>
      <c r="J1089" s="8"/>
      <c r="R1089" s="8"/>
      <c r="Z1089" s="6"/>
    </row>
    <row r="1090" spans="3:26" x14ac:dyDescent="0.25">
      <c r="C1090" s="2"/>
      <c r="J1090" s="8"/>
      <c r="R1090" s="8"/>
      <c r="Z1090" s="6"/>
    </row>
    <row r="1091" spans="3:26" x14ac:dyDescent="0.25">
      <c r="C1091" s="2"/>
      <c r="J1091" s="8"/>
      <c r="R1091" s="8"/>
      <c r="Z1091" s="6"/>
    </row>
    <row r="1092" spans="3:26" x14ac:dyDescent="0.25">
      <c r="C1092" s="2"/>
      <c r="J1092" s="8"/>
      <c r="R1092" s="8"/>
      <c r="Z1092" s="6"/>
    </row>
    <row r="1093" spans="3:26" x14ac:dyDescent="0.25">
      <c r="C1093" s="2"/>
      <c r="J1093" s="8"/>
      <c r="R1093" s="8"/>
      <c r="Z1093" s="6"/>
    </row>
    <row r="1094" spans="3:26" x14ac:dyDescent="0.25">
      <c r="C1094" s="2"/>
      <c r="J1094" s="8"/>
      <c r="R1094" s="8"/>
      <c r="Z1094" s="6"/>
    </row>
    <row r="1095" spans="3:26" x14ac:dyDescent="0.25">
      <c r="C1095" s="2"/>
      <c r="J1095" s="8"/>
      <c r="R1095" s="8"/>
      <c r="Z1095" s="6"/>
    </row>
    <row r="1096" spans="3:26" x14ac:dyDescent="0.25">
      <c r="C1096" s="2"/>
      <c r="J1096" s="8"/>
      <c r="R1096" s="8"/>
      <c r="Z1096" s="6"/>
    </row>
    <row r="1097" spans="3:26" x14ac:dyDescent="0.25">
      <c r="C1097" s="2"/>
      <c r="J1097" s="8"/>
      <c r="R1097" s="8"/>
      <c r="Z1097" s="6"/>
    </row>
    <row r="1098" spans="3:26" x14ac:dyDescent="0.25">
      <c r="C1098" s="2"/>
      <c r="J1098" s="8"/>
      <c r="R1098" s="8"/>
      <c r="Z1098" s="6"/>
    </row>
    <row r="1099" spans="3:26" x14ac:dyDescent="0.25">
      <c r="C1099" s="2"/>
      <c r="J1099" s="8"/>
      <c r="R1099" s="8"/>
      <c r="Z1099" s="6"/>
    </row>
    <row r="1100" spans="3:26" x14ac:dyDescent="0.25">
      <c r="C1100" s="2"/>
      <c r="J1100" s="8"/>
      <c r="R1100" s="8"/>
      <c r="Z1100" s="6"/>
    </row>
    <row r="1101" spans="3:26" x14ac:dyDescent="0.25">
      <c r="C1101" s="2"/>
      <c r="J1101" s="8"/>
      <c r="R1101" s="8"/>
      <c r="Z1101" s="6"/>
    </row>
    <row r="1102" spans="3:26" x14ac:dyDescent="0.25">
      <c r="C1102" s="2"/>
      <c r="J1102" s="8"/>
      <c r="R1102" s="8"/>
      <c r="Z1102" s="6"/>
    </row>
    <row r="1103" spans="3:26" x14ac:dyDescent="0.25">
      <c r="C1103" s="2"/>
      <c r="J1103" s="8"/>
      <c r="R1103" s="8"/>
      <c r="Z1103" s="6"/>
    </row>
    <row r="1104" spans="3:26" x14ac:dyDescent="0.25">
      <c r="C1104" s="2"/>
      <c r="J1104" s="8"/>
      <c r="R1104" s="8"/>
      <c r="Z1104" s="6"/>
    </row>
    <row r="1105" spans="3:26" x14ac:dyDescent="0.25">
      <c r="C1105" s="2"/>
      <c r="J1105" s="8"/>
      <c r="R1105" s="8"/>
      <c r="Z1105" s="6"/>
    </row>
    <row r="1106" spans="3:26" x14ac:dyDescent="0.25">
      <c r="C1106" s="2"/>
      <c r="J1106" s="8"/>
      <c r="R1106" s="8"/>
      <c r="Z1106" s="6"/>
    </row>
    <row r="1107" spans="3:26" x14ac:dyDescent="0.25">
      <c r="C1107" s="2"/>
      <c r="J1107" s="8"/>
      <c r="R1107" s="8"/>
      <c r="Z1107" s="6"/>
    </row>
    <row r="1108" spans="3:26" x14ac:dyDescent="0.25">
      <c r="C1108" s="2"/>
      <c r="J1108" s="8"/>
      <c r="R1108" s="8"/>
      <c r="Z1108" s="6"/>
    </row>
    <row r="1109" spans="3:26" x14ac:dyDescent="0.25">
      <c r="C1109" s="2"/>
      <c r="J1109" s="8"/>
      <c r="R1109" s="8"/>
      <c r="Z1109" s="6"/>
    </row>
    <row r="1110" spans="3:26" x14ac:dyDescent="0.25">
      <c r="C1110" s="2"/>
      <c r="J1110" s="8"/>
      <c r="R1110" s="8"/>
      <c r="Z1110" s="6"/>
    </row>
    <row r="1111" spans="3:26" x14ac:dyDescent="0.25">
      <c r="C1111" s="2"/>
      <c r="J1111" s="8"/>
      <c r="R1111" s="8"/>
      <c r="Z1111" s="6"/>
    </row>
    <row r="1112" spans="3:26" x14ac:dyDescent="0.25">
      <c r="C1112" s="2"/>
      <c r="J1112" s="8"/>
      <c r="R1112" s="8"/>
      <c r="Z1112" s="6"/>
    </row>
    <row r="1113" spans="3:26" x14ac:dyDescent="0.25">
      <c r="C1113" s="2"/>
      <c r="J1113" s="8"/>
      <c r="R1113" s="8"/>
      <c r="Z1113" s="6"/>
    </row>
    <row r="1114" spans="3:26" x14ac:dyDescent="0.25">
      <c r="C1114" s="2"/>
      <c r="J1114" s="8"/>
      <c r="R1114" s="8"/>
      <c r="Z1114" s="6"/>
    </row>
    <row r="1115" spans="3:26" x14ac:dyDescent="0.25">
      <c r="C1115" s="2"/>
      <c r="J1115" s="8"/>
      <c r="R1115" s="8"/>
      <c r="Z1115" s="6"/>
    </row>
    <row r="1116" spans="3:26" x14ac:dyDescent="0.25">
      <c r="C1116" s="2"/>
      <c r="J1116" s="8"/>
      <c r="R1116" s="8"/>
      <c r="Z1116" s="6"/>
    </row>
    <row r="1117" spans="3:26" x14ac:dyDescent="0.25">
      <c r="C1117" s="2"/>
      <c r="J1117" s="8"/>
      <c r="R1117" s="8"/>
      <c r="Z1117" s="6"/>
    </row>
    <row r="1118" spans="3:26" x14ac:dyDescent="0.25">
      <c r="C1118" s="2"/>
      <c r="J1118" s="8"/>
      <c r="R1118" s="8"/>
      <c r="Z1118" s="6"/>
    </row>
    <row r="1119" spans="3:26" x14ac:dyDescent="0.25">
      <c r="C1119" s="2"/>
      <c r="J1119" s="8"/>
      <c r="R1119" s="8"/>
      <c r="Z1119" s="6"/>
    </row>
    <row r="1120" spans="3:26" x14ac:dyDescent="0.25">
      <c r="C1120" s="2"/>
      <c r="J1120" s="8"/>
      <c r="R1120" s="8"/>
      <c r="Z1120" s="6"/>
    </row>
    <row r="1121" spans="3:26" x14ac:dyDescent="0.25">
      <c r="C1121" s="2"/>
      <c r="J1121" s="8"/>
      <c r="R1121" s="8"/>
      <c r="Z1121" s="6"/>
    </row>
    <row r="1122" spans="3:26" x14ac:dyDescent="0.25">
      <c r="C1122" s="2"/>
      <c r="J1122" s="8"/>
      <c r="R1122" s="8"/>
      <c r="Z1122" s="6"/>
    </row>
    <row r="1123" spans="3:26" x14ac:dyDescent="0.25">
      <c r="C1123" s="2"/>
      <c r="J1123" s="8"/>
      <c r="R1123" s="8"/>
      <c r="Z1123" s="6"/>
    </row>
    <row r="1124" spans="3:26" x14ac:dyDescent="0.25">
      <c r="C1124" s="2"/>
      <c r="J1124" s="8"/>
      <c r="R1124" s="8"/>
      <c r="Z1124" s="6"/>
    </row>
    <row r="1125" spans="3:26" x14ac:dyDescent="0.25">
      <c r="C1125" s="2"/>
      <c r="J1125" s="8"/>
      <c r="R1125" s="8"/>
      <c r="Z1125" s="6"/>
    </row>
    <row r="1126" spans="3:26" x14ac:dyDescent="0.25">
      <c r="C1126" s="2"/>
      <c r="J1126" s="8"/>
      <c r="R1126" s="8"/>
      <c r="Z1126" s="6"/>
    </row>
    <row r="1127" spans="3:26" x14ac:dyDescent="0.25">
      <c r="C1127" s="2"/>
      <c r="J1127" s="8"/>
      <c r="R1127" s="8"/>
      <c r="Z1127" s="6"/>
    </row>
    <row r="1128" spans="3:26" x14ac:dyDescent="0.25">
      <c r="C1128" s="2"/>
      <c r="J1128" s="8"/>
      <c r="R1128" s="8"/>
      <c r="Z1128" s="6"/>
    </row>
    <row r="1129" spans="3:26" x14ac:dyDescent="0.25">
      <c r="C1129" s="2"/>
      <c r="J1129" s="8"/>
      <c r="R1129" s="8"/>
      <c r="Z1129" s="6"/>
    </row>
    <row r="1130" spans="3:26" x14ac:dyDescent="0.25">
      <c r="C1130" s="2"/>
      <c r="J1130" s="8"/>
      <c r="R1130" s="8"/>
      <c r="Z1130" s="6"/>
    </row>
    <row r="1131" spans="3:26" x14ac:dyDescent="0.25">
      <c r="C1131" s="2"/>
      <c r="J1131" s="8"/>
      <c r="R1131" s="8"/>
      <c r="Z1131" s="6"/>
    </row>
    <row r="1132" spans="3:26" x14ac:dyDescent="0.25">
      <c r="C1132" s="2"/>
      <c r="J1132" s="8"/>
      <c r="R1132" s="8"/>
      <c r="Z1132" s="6"/>
    </row>
    <row r="1133" spans="3:26" x14ac:dyDescent="0.25">
      <c r="C1133" s="2"/>
      <c r="J1133" s="8"/>
      <c r="R1133" s="8"/>
      <c r="Z1133" s="6"/>
    </row>
    <row r="1134" spans="3:26" x14ac:dyDescent="0.25">
      <c r="C1134" s="2"/>
      <c r="J1134" s="8"/>
      <c r="R1134" s="8"/>
      <c r="Z1134" s="6"/>
    </row>
    <row r="1135" spans="3:26" x14ac:dyDescent="0.25">
      <c r="C1135" s="2"/>
      <c r="J1135" s="8"/>
      <c r="R1135" s="8"/>
      <c r="Z1135" s="6"/>
    </row>
    <row r="1136" spans="3:26" x14ac:dyDescent="0.25">
      <c r="C1136" s="2"/>
      <c r="J1136" s="8"/>
      <c r="R1136" s="8"/>
      <c r="Z1136" s="6"/>
    </row>
    <row r="1137" spans="3:26" x14ac:dyDescent="0.25">
      <c r="C1137" s="2"/>
      <c r="J1137" s="8"/>
      <c r="R1137" s="8"/>
      <c r="Z1137" s="6"/>
    </row>
    <row r="1138" spans="3:26" x14ac:dyDescent="0.25">
      <c r="C1138" s="2"/>
      <c r="J1138" s="8"/>
      <c r="R1138" s="8"/>
      <c r="Z1138" s="6"/>
    </row>
    <row r="1139" spans="3:26" x14ac:dyDescent="0.25">
      <c r="C1139" s="2"/>
      <c r="J1139" s="8"/>
      <c r="R1139" s="8"/>
      <c r="Z1139" s="6"/>
    </row>
    <row r="1140" spans="3:26" x14ac:dyDescent="0.25">
      <c r="C1140" s="2"/>
      <c r="J1140" s="8"/>
      <c r="R1140" s="8"/>
      <c r="Z1140" s="6"/>
    </row>
    <row r="1141" spans="3:26" x14ac:dyDescent="0.25">
      <c r="C1141" s="2"/>
      <c r="J1141" s="8"/>
      <c r="R1141" s="8"/>
      <c r="Z1141" s="6"/>
    </row>
    <row r="1142" spans="3:26" x14ac:dyDescent="0.25">
      <c r="C1142" s="2"/>
      <c r="J1142" s="8"/>
      <c r="R1142" s="8"/>
      <c r="Z1142" s="6"/>
    </row>
    <row r="1143" spans="3:26" x14ac:dyDescent="0.25">
      <c r="C1143" s="2"/>
      <c r="J1143" s="8"/>
      <c r="R1143" s="8"/>
      <c r="Z1143" s="6"/>
    </row>
    <row r="1144" spans="3:26" x14ac:dyDescent="0.25">
      <c r="C1144" s="2"/>
      <c r="J1144" s="8"/>
      <c r="R1144" s="8"/>
      <c r="Z1144" s="6"/>
    </row>
    <row r="1145" spans="3:26" x14ac:dyDescent="0.25">
      <c r="C1145" s="2"/>
      <c r="J1145" s="8"/>
      <c r="R1145" s="8"/>
      <c r="Z1145" s="6"/>
    </row>
    <row r="1146" spans="3:26" x14ac:dyDescent="0.25">
      <c r="C1146" s="2"/>
      <c r="J1146" s="8"/>
      <c r="R1146" s="8"/>
      <c r="Z1146" s="6"/>
    </row>
    <row r="1147" spans="3:26" x14ac:dyDescent="0.25">
      <c r="C1147" s="2"/>
      <c r="J1147" s="8"/>
      <c r="R1147" s="8"/>
      <c r="Z1147" s="6"/>
    </row>
    <row r="1148" spans="3:26" x14ac:dyDescent="0.25">
      <c r="C1148" s="2"/>
      <c r="J1148" s="8"/>
      <c r="R1148" s="8"/>
      <c r="Z1148" s="6"/>
    </row>
    <row r="1149" spans="3:26" x14ac:dyDescent="0.25">
      <c r="C1149" s="2"/>
      <c r="J1149" s="8"/>
      <c r="R1149" s="8"/>
      <c r="Z1149" s="6"/>
    </row>
    <row r="1150" spans="3:26" x14ac:dyDescent="0.25">
      <c r="C1150" s="2"/>
      <c r="J1150" s="8"/>
      <c r="R1150" s="8"/>
      <c r="Z1150" s="6"/>
    </row>
    <row r="1151" spans="3:26" x14ac:dyDescent="0.25">
      <c r="C1151" s="2"/>
      <c r="J1151" s="8"/>
      <c r="R1151" s="8"/>
      <c r="Z1151" s="6"/>
    </row>
    <row r="1152" spans="3:26" x14ac:dyDescent="0.25">
      <c r="C1152" s="2"/>
      <c r="J1152" s="8"/>
      <c r="R1152" s="8"/>
      <c r="Z1152" s="6"/>
    </row>
    <row r="1153" spans="3:26" x14ac:dyDescent="0.25">
      <c r="C1153" s="2"/>
      <c r="J1153" s="8"/>
      <c r="R1153" s="8"/>
      <c r="Z1153" s="6"/>
    </row>
    <row r="1154" spans="3:26" x14ac:dyDescent="0.25">
      <c r="C1154" s="2"/>
      <c r="J1154" s="8"/>
      <c r="R1154" s="8"/>
      <c r="Z1154" s="6"/>
    </row>
    <row r="1155" spans="3:26" x14ac:dyDescent="0.25">
      <c r="C1155" s="2"/>
      <c r="J1155" s="8"/>
      <c r="R1155" s="8"/>
      <c r="Z1155" s="6"/>
    </row>
    <row r="1156" spans="3:26" x14ac:dyDescent="0.25">
      <c r="C1156" s="2"/>
      <c r="J1156" s="8"/>
      <c r="R1156" s="8"/>
      <c r="Z1156" s="6"/>
    </row>
    <row r="1157" spans="3:26" x14ac:dyDescent="0.25">
      <c r="C1157" s="2"/>
      <c r="J1157" s="8"/>
      <c r="R1157" s="8"/>
      <c r="Z1157" s="6"/>
    </row>
    <row r="1158" spans="3:26" x14ac:dyDescent="0.25">
      <c r="C1158" s="2"/>
      <c r="J1158" s="8"/>
      <c r="R1158" s="8"/>
      <c r="Z1158" s="6"/>
    </row>
    <row r="1159" spans="3:26" x14ac:dyDescent="0.25">
      <c r="C1159" s="2"/>
      <c r="J1159" s="8"/>
      <c r="R1159" s="8"/>
      <c r="Z1159" s="6"/>
    </row>
    <row r="1160" spans="3:26" x14ac:dyDescent="0.25">
      <c r="C1160" s="2"/>
      <c r="J1160" s="8"/>
      <c r="R1160" s="8"/>
      <c r="Z1160" s="6"/>
    </row>
    <row r="1161" spans="3:26" x14ac:dyDescent="0.25">
      <c r="C1161" s="2"/>
      <c r="J1161" s="8"/>
      <c r="R1161" s="8"/>
      <c r="Z1161" s="6"/>
    </row>
    <row r="1162" spans="3:26" x14ac:dyDescent="0.25">
      <c r="C1162" s="2"/>
      <c r="J1162" s="8"/>
      <c r="R1162" s="8"/>
      <c r="Z1162" s="6"/>
    </row>
    <row r="1163" spans="3:26" x14ac:dyDescent="0.25">
      <c r="C1163" s="2"/>
      <c r="J1163" s="8"/>
      <c r="R1163" s="8"/>
      <c r="Z1163" s="6"/>
    </row>
    <row r="1164" spans="3:26" x14ac:dyDescent="0.25">
      <c r="C1164" s="2"/>
      <c r="J1164" s="8"/>
      <c r="R1164" s="8"/>
      <c r="Z1164" s="6"/>
    </row>
    <row r="1165" spans="3:26" x14ac:dyDescent="0.25">
      <c r="C1165" s="2"/>
      <c r="J1165" s="8"/>
      <c r="R1165" s="8"/>
      <c r="Z1165" s="6"/>
    </row>
    <row r="1166" spans="3:26" x14ac:dyDescent="0.25">
      <c r="C1166" s="2"/>
      <c r="J1166" s="8"/>
      <c r="R1166" s="8"/>
      <c r="Z1166" s="6"/>
    </row>
    <row r="1167" spans="3:26" x14ac:dyDescent="0.25">
      <c r="C1167" s="2"/>
      <c r="J1167" s="8"/>
      <c r="R1167" s="8"/>
      <c r="Z1167" s="6"/>
    </row>
    <row r="1168" spans="3:26" x14ac:dyDescent="0.25">
      <c r="C1168" s="2"/>
      <c r="J1168" s="8"/>
      <c r="R1168" s="8"/>
      <c r="Z1168" s="6"/>
    </row>
    <row r="1169" spans="3:26" x14ac:dyDescent="0.25">
      <c r="C1169" s="2"/>
      <c r="J1169" s="8"/>
      <c r="R1169" s="8"/>
      <c r="Z1169" s="6"/>
    </row>
    <row r="1170" spans="3:26" x14ac:dyDescent="0.25">
      <c r="C1170" s="2"/>
      <c r="J1170" s="8"/>
      <c r="R1170" s="8"/>
      <c r="Z1170" s="6"/>
    </row>
    <row r="1171" spans="3:26" x14ac:dyDescent="0.25">
      <c r="C1171" s="2"/>
      <c r="J1171" s="8"/>
      <c r="R1171" s="8"/>
      <c r="Z1171" s="6"/>
    </row>
    <row r="1172" spans="3:26" x14ac:dyDescent="0.25">
      <c r="C1172" s="2"/>
      <c r="J1172" s="8"/>
      <c r="R1172" s="8"/>
      <c r="Z1172" s="6"/>
    </row>
    <row r="1173" spans="3:26" x14ac:dyDescent="0.25">
      <c r="C1173" s="2"/>
      <c r="J1173" s="8"/>
      <c r="R1173" s="8"/>
      <c r="Z1173" s="6"/>
    </row>
    <row r="1174" spans="3:26" x14ac:dyDescent="0.25">
      <c r="C1174" s="2"/>
      <c r="J1174" s="8"/>
      <c r="R1174" s="8"/>
      <c r="Z1174" s="6"/>
    </row>
    <row r="1175" spans="3:26" x14ac:dyDescent="0.25">
      <c r="C1175" s="2"/>
      <c r="J1175" s="8"/>
      <c r="R1175" s="8"/>
      <c r="Z1175" s="6"/>
    </row>
    <row r="1176" spans="3:26" x14ac:dyDescent="0.25">
      <c r="C1176" s="2"/>
      <c r="J1176" s="8"/>
      <c r="R1176" s="8"/>
      <c r="Z1176" s="6"/>
    </row>
    <row r="1177" spans="3:26" x14ac:dyDescent="0.25">
      <c r="C1177" s="2"/>
      <c r="J1177" s="8"/>
      <c r="R1177" s="8"/>
      <c r="Z1177" s="6"/>
    </row>
    <row r="1178" spans="3:26" x14ac:dyDescent="0.25">
      <c r="C1178" s="2"/>
      <c r="J1178" s="8"/>
      <c r="R1178" s="8"/>
      <c r="Z1178" s="6"/>
    </row>
    <row r="1179" spans="3:26" x14ac:dyDescent="0.25">
      <c r="C1179" s="2"/>
      <c r="J1179" s="8"/>
      <c r="R1179" s="8"/>
      <c r="Z1179" s="6"/>
    </row>
    <row r="1180" spans="3:26" x14ac:dyDescent="0.25">
      <c r="C1180" s="2"/>
      <c r="J1180" s="8"/>
      <c r="R1180" s="8"/>
      <c r="Z1180" s="6"/>
    </row>
    <row r="1181" spans="3:26" x14ac:dyDescent="0.25">
      <c r="C1181" s="2"/>
      <c r="J1181" s="8"/>
      <c r="R1181" s="8"/>
      <c r="Z1181" s="6"/>
    </row>
    <row r="1182" spans="3:26" x14ac:dyDescent="0.25">
      <c r="C1182" s="2"/>
      <c r="J1182" s="8"/>
      <c r="R1182" s="8"/>
      <c r="Z1182" s="6"/>
    </row>
    <row r="1183" spans="3:26" x14ac:dyDescent="0.25">
      <c r="C1183" s="2"/>
      <c r="J1183" s="8"/>
      <c r="R1183" s="8"/>
      <c r="Z1183" s="6"/>
    </row>
    <row r="1184" spans="3:26" x14ac:dyDescent="0.25">
      <c r="C1184" s="2"/>
      <c r="J1184" s="8"/>
      <c r="R1184" s="8"/>
      <c r="Z1184" s="6"/>
    </row>
    <row r="1185" spans="3:26" x14ac:dyDescent="0.25">
      <c r="C1185" s="2"/>
      <c r="J1185" s="8"/>
      <c r="R1185" s="8"/>
      <c r="Z1185" s="6"/>
    </row>
    <row r="1186" spans="3:26" x14ac:dyDescent="0.25">
      <c r="C1186" s="2"/>
      <c r="J1186" s="8"/>
      <c r="R1186" s="8"/>
      <c r="Z1186" s="6"/>
    </row>
    <row r="1187" spans="3:26" x14ac:dyDescent="0.25">
      <c r="C1187" s="2"/>
      <c r="J1187" s="8"/>
      <c r="R1187" s="8"/>
      <c r="Z1187" s="6"/>
    </row>
    <row r="1188" spans="3:26" x14ac:dyDescent="0.25">
      <c r="C1188" s="2"/>
      <c r="J1188" s="8"/>
      <c r="R1188" s="8"/>
      <c r="Z1188" s="6"/>
    </row>
    <row r="1189" spans="3:26" x14ac:dyDescent="0.25">
      <c r="C1189" s="2"/>
      <c r="J1189" s="8"/>
      <c r="R1189" s="8"/>
      <c r="Z1189" s="6"/>
    </row>
    <row r="1190" spans="3:26" x14ac:dyDescent="0.25">
      <c r="C1190" s="2"/>
      <c r="J1190" s="8"/>
      <c r="R1190" s="8"/>
      <c r="Z1190" s="6"/>
    </row>
    <row r="1191" spans="3:26" x14ac:dyDescent="0.25">
      <c r="C1191" s="2"/>
      <c r="J1191" s="8"/>
      <c r="R1191" s="8"/>
      <c r="Z1191" s="6"/>
    </row>
    <row r="1192" spans="3:26" x14ac:dyDescent="0.25">
      <c r="C1192" s="2"/>
      <c r="J1192" s="8"/>
      <c r="R1192" s="8"/>
      <c r="Z1192" s="6"/>
    </row>
    <row r="1193" spans="3:26" x14ac:dyDescent="0.25">
      <c r="C1193" s="2"/>
      <c r="J1193" s="8"/>
      <c r="R1193" s="8"/>
      <c r="Z1193" s="6"/>
    </row>
    <row r="1194" spans="3:26" x14ac:dyDescent="0.25">
      <c r="C1194" s="2"/>
      <c r="J1194" s="8"/>
      <c r="R1194" s="8"/>
      <c r="Z1194" s="6"/>
    </row>
    <row r="1195" spans="3:26" x14ac:dyDescent="0.25">
      <c r="C1195" s="2"/>
      <c r="J1195" s="8"/>
      <c r="R1195" s="8"/>
      <c r="Z1195" s="6"/>
    </row>
    <row r="1196" spans="3:26" x14ac:dyDescent="0.25">
      <c r="C1196" s="2"/>
      <c r="J1196" s="8"/>
      <c r="R1196" s="8"/>
      <c r="Z1196" s="6"/>
    </row>
    <row r="1197" spans="3:26" x14ac:dyDescent="0.25">
      <c r="C1197" s="2"/>
      <c r="J1197" s="8"/>
      <c r="R1197" s="8"/>
      <c r="Z1197" s="6"/>
    </row>
    <row r="1198" spans="3:26" x14ac:dyDescent="0.25">
      <c r="C1198" s="2"/>
      <c r="J1198" s="8"/>
      <c r="R1198" s="8"/>
      <c r="Z1198" s="6"/>
    </row>
    <row r="1199" spans="3:26" x14ac:dyDescent="0.25">
      <c r="C1199" s="2"/>
      <c r="J1199" s="8"/>
      <c r="R1199" s="8"/>
      <c r="Z1199" s="6"/>
    </row>
    <row r="1200" spans="3:26" x14ac:dyDescent="0.25">
      <c r="C1200" s="2"/>
      <c r="J1200" s="8"/>
      <c r="R1200" s="8"/>
      <c r="Z1200" s="6"/>
    </row>
    <row r="1201" spans="3:26" x14ac:dyDescent="0.25">
      <c r="C1201" s="2"/>
      <c r="J1201" s="8"/>
      <c r="R1201" s="8"/>
      <c r="Z1201" s="6"/>
    </row>
    <row r="1202" spans="3:26" x14ac:dyDescent="0.25">
      <c r="C1202" s="2"/>
      <c r="J1202" s="8"/>
      <c r="R1202" s="8"/>
      <c r="Z1202" s="6"/>
    </row>
    <row r="1203" spans="3:26" x14ac:dyDescent="0.25">
      <c r="C1203" s="2"/>
      <c r="J1203" s="8"/>
      <c r="R1203" s="8"/>
      <c r="Z1203" s="6"/>
    </row>
    <row r="1204" spans="3:26" x14ac:dyDescent="0.25">
      <c r="C1204" s="2"/>
      <c r="J1204" s="8"/>
      <c r="R1204" s="8"/>
      <c r="Z1204" s="6"/>
    </row>
    <row r="1205" spans="3:26" x14ac:dyDescent="0.25">
      <c r="C1205" s="2"/>
      <c r="J1205" s="8"/>
      <c r="R1205" s="8"/>
      <c r="Z1205" s="6"/>
    </row>
    <row r="1206" spans="3:26" x14ac:dyDescent="0.25">
      <c r="C1206" s="2"/>
      <c r="J1206" s="8"/>
      <c r="R1206" s="8"/>
      <c r="Z1206" s="6"/>
    </row>
    <row r="1207" spans="3:26" x14ac:dyDescent="0.25">
      <c r="C1207" s="2"/>
      <c r="J1207" s="8"/>
      <c r="R1207" s="8"/>
      <c r="Z1207" s="6"/>
    </row>
    <row r="1208" spans="3:26" x14ac:dyDescent="0.25">
      <c r="C1208" s="2"/>
      <c r="J1208" s="8"/>
      <c r="R1208" s="8"/>
      <c r="Z1208" s="6"/>
    </row>
    <row r="1209" spans="3:26" x14ac:dyDescent="0.25">
      <c r="C1209" s="2"/>
      <c r="J1209" s="8"/>
      <c r="R1209" s="8"/>
      <c r="Z1209" s="6"/>
    </row>
    <row r="1210" spans="3:26" x14ac:dyDescent="0.25">
      <c r="C1210" s="2"/>
      <c r="J1210" s="8"/>
      <c r="R1210" s="8"/>
      <c r="Z1210" s="6"/>
    </row>
    <row r="1211" spans="3:26" x14ac:dyDescent="0.25">
      <c r="C1211" s="2"/>
      <c r="J1211" s="8"/>
      <c r="R1211" s="8"/>
      <c r="Z1211" s="6"/>
    </row>
    <row r="1212" spans="3:26" x14ac:dyDescent="0.25">
      <c r="C1212" s="2"/>
      <c r="J1212" s="8"/>
      <c r="R1212" s="8"/>
      <c r="Z1212" s="6"/>
    </row>
    <row r="1213" spans="3:26" x14ac:dyDescent="0.25">
      <c r="C1213" s="2"/>
      <c r="J1213" s="8"/>
      <c r="R1213" s="8"/>
      <c r="Z1213" s="6"/>
    </row>
    <row r="1214" spans="3:26" x14ac:dyDescent="0.25">
      <c r="C1214" s="2"/>
      <c r="J1214" s="8"/>
      <c r="R1214" s="8"/>
      <c r="Z1214" s="6"/>
    </row>
    <row r="1215" spans="3:26" x14ac:dyDescent="0.25">
      <c r="C1215" s="2"/>
      <c r="J1215" s="8"/>
      <c r="R1215" s="8"/>
      <c r="Z1215" s="6"/>
    </row>
    <row r="1216" spans="3:26" x14ac:dyDescent="0.25">
      <c r="C1216" s="2"/>
      <c r="J1216" s="8"/>
      <c r="R1216" s="8"/>
      <c r="Z1216" s="6"/>
    </row>
    <row r="1217" spans="3:26" x14ac:dyDescent="0.25">
      <c r="C1217" s="2"/>
      <c r="J1217" s="8"/>
      <c r="R1217" s="8"/>
      <c r="Z1217" s="6"/>
    </row>
    <row r="1218" spans="3:26" x14ac:dyDescent="0.25">
      <c r="C1218" s="2"/>
      <c r="J1218" s="8"/>
      <c r="R1218" s="8"/>
      <c r="Z1218" s="6"/>
    </row>
    <row r="1219" spans="3:26" x14ac:dyDescent="0.25">
      <c r="C1219" s="2"/>
      <c r="J1219" s="8"/>
      <c r="R1219" s="8"/>
      <c r="Z1219" s="6"/>
    </row>
    <row r="1220" spans="3:26" x14ac:dyDescent="0.25">
      <c r="C1220" s="2"/>
      <c r="J1220" s="8"/>
      <c r="R1220" s="8"/>
      <c r="Z1220" s="6"/>
    </row>
    <row r="1221" spans="3:26" x14ac:dyDescent="0.25">
      <c r="C1221" s="2"/>
      <c r="J1221" s="8"/>
      <c r="R1221" s="8"/>
      <c r="Z1221" s="6"/>
    </row>
    <row r="1222" spans="3:26" x14ac:dyDescent="0.25">
      <c r="C1222" s="2"/>
      <c r="J1222" s="8"/>
      <c r="R1222" s="8"/>
      <c r="Z1222" s="6"/>
    </row>
    <row r="1223" spans="3:26" x14ac:dyDescent="0.25">
      <c r="C1223" s="2"/>
      <c r="J1223" s="8"/>
      <c r="R1223" s="8"/>
      <c r="Z1223" s="6"/>
    </row>
    <row r="1224" spans="3:26" x14ac:dyDescent="0.25">
      <c r="C1224" s="2"/>
      <c r="J1224" s="8"/>
      <c r="R1224" s="8"/>
      <c r="Z1224" s="6"/>
    </row>
    <row r="1225" spans="3:26" x14ac:dyDescent="0.25">
      <c r="C1225" s="2"/>
      <c r="J1225" s="8"/>
      <c r="R1225" s="8"/>
      <c r="Z1225" s="6"/>
    </row>
    <row r="1226" spans="3:26" x14ac:dyDescent="0.25">
      <c r="C1226" s="2"/>
      <c r="J1226" s="8"/>
      <c r="R1226" s="8"/>
      <c r="Z1226" s="6"/>
    </row>
    <row r="1227" spans="3:26" x14ac:dyDescent="0.25">
      <c r="C1227" s="2"/>
      <c r="J1227" s="8"/>
      <c r="R1227" s="8"/>
      <c r="Z1227" s="6"/>
    </row>
    <row r="1228" spans="3:26" x14ac:dyDescent="0.25">
      <c r="C1228" s="2"/>
      <c r="J1228" s="8"/>
      <c r="R1228" s="8"/>
      <c r="Z1228" s="6"/>
    </row>
    <row r="1229" spans="3:26" x14ac:dyDescent="0.25">
      <c r="C1229" s="2"/>
      <c r="J1229" s="8"/>
      <c r="R1229" s="8"/>
      <c r="Z1229" s="6"/>
    </row>
    <row r="1230" spans="3:26" x14ac:dyDescent="0.25">
      <c r="C1230" s="2"/>
      <c r="J1230" s="8"/>
      <c r="R1230" s="8"/>
      <c r="Z1230" s="6"/>
    </row>
    <row r="1231" spans="3:26" x14ac:dyDescent="0.25">
      <c r="C1231" s="2"/>
      <c r="J1231" s="8"/>
      <c r="R1231" s="8"/>
      <c r="Z1231" s="6"/>
    </row>
    <row r="1232" spans="3:26" x14ac:dyDescent="0.25">
      <c r="C1232" s="2"/>
      <c r="J1232" s="8"/>
      <c r="R1232" s="8"/>
      <c r="Z1232" s="6"/>
    </row>
    <row r="1233" spans="3:26" x14ac:dyDescent="0.25">
      <c r="C1233" s="2"/>
      <c r="J1233" s="8"/>
      <c r="R1233" s="8"/>
      <c r="Z1233" s="6"/>
    </row>
    <row r="1234" spans="3:26" x14ac:dyDescent="0.25">
      <c r="C1234" s="2"/>
      <c r="J1234" s="8"/>
      <c r="R1234" s="8"/>
      <c r="Z1234" s="6"/>
    </row>
    <row r="1235" spans="3:26" x14ac:dyDescent="0.25">
      <c r="C1235" s="2"/>
      <c r="J1235" s="8"/>
      <c r="R1235" s="8"/>
      <c r="Z1235" s="6"/>
    </row>
    <row r="1236" spans="3:26" x14ac:dyDescent="0.25">
      <c r="C1236" s="2"/>
      <c r="J1236" s="8"/>
      <c r="R1236" s="8"/>
      <c r="Z1236" s="6"/>
    </row>
    <row r="1237" spans="3:26" x14ac:dyDescent="0.25">
      <c r="C1237" s="2"/>
      <c r="J1237" s="8"/>
      <c r="R1237" s="8"/>
      <c r="Z1237" s="6"/>
    </row>
    <row r="1238" spans="3:26" x14ac:dyDescent="0.25">
      <c r="C1238" s="2"/>
      <c r="J1238" s="8"/>
      <c r="R1238" s="8"/>
      <c r="Z1238" s="6"/>
    </row>
    <row r="1239" spans="3:26" x14ac:dyDescent="0.25">
      <c r="C1239" s="2"/>
      <c r="J1239" s="8"/>
      <c r="R1239" s="8"/>
      <c r="Z1239" s="6"/>
    </row>
    <row r="1240" spans="3:26" x14ac:dyDescent="0.25">
      <c r="C1240" s="2"/>
      <c r="J1240" s="8"/>
      <c r="R1240" s="8"/>
      <c r="Z1240" s="6"/>
    </row>
    <row r="1241" spans="3:26" x14ac:dyDescent="0.25">
      <c r="C1241" s="2"/>
      <c r="J1241" s="8"/>
      <c r="R1241" s="8"/>
      <c r="Z1241" s="6"/>
    </row>
    <row r="1242" spans="3:26" x14ac:dyDescent="0.25">
      <c r="C1242" s="2"/>
      <c r="J1242" s="8"/>
      <c r="R1242" s="8"/>
      <c r="Z1242" s="6"/>
    </row>
    <row r="1243" spans="3:26" x14ac:dyDescent="0.25">
      <c r="C1243" s="2"/>
      <c r="J1243" s="8"/>
      <c r="R1243" s="8"/>
      <c r="Z1243" s="6"/>
    </row>
    <row r="1244" spans="3:26" x14ac:dyDescent="0.25">
      <c r="C1244" s="2"/>
      <c r="J1244" s="8"/>
      <c r="R1244" s="8"/>
      <c r="Z1244" s="6"/>
    </row>
    <row r="1245" spans="3:26" x14ac:dyDescent="0.25">
      <c r="C1245" s="2"/>
      <c r="J1245" s="8"/>
      <c r="R1245" s="8"/>
      <c r="Z1245" s="6"/>
    </row>
    <row r="1246" spans="3:26" x14ac:dyDescent="0.25">
      <c r="C1246" s="2"/>
      <c r="J1246" s="8"/>
      <c r="R1246" s="8"/>
      <c r="Z1246" s="6"/>
    </row>
    <row r="1247" spans="3:26" x14ac:dyDescent="0.25">
      <c r="C1247" s="2"/>
      <c r="J1247" s="8"/>
      <c r="R1247" s="8"/>
      <c r="Z1247" s="6"/>
    </row>
    <row r="1248" spans="3:26" x14ac:dyDescent="0.25">
      <c r="C1248" s="2"/>
      <c r="J1248" s="8"/>
      <c r="R1248" s="8"/>
      <c r="Z1248" s="6"/>
    </row>
    <row r="1249" spans="3:26" x14ac:dyDescent="0.25">
      <c r="C1249" s="2"/>
      <c r="J1249" s="8"/>
      <c r="R1249" s="8"/>
      <c r="Z1249" s="6"/>
    </row>
    <row r="1250" spans="3:26" x14ac:dyDescent="0.25">
      <c r="C1250" s="2"/>
      <c r="J1250" s="8"/>
      <c r="R1250" s="8"/>
      <c r="Z1250" s="6"/>
    </row>
    <row r="1251" spans="3:26" x14ac:dyDescent="0.25">
      <c r="C1251" s="2"/>
      <c r="J1251" s="8"/>
      <c r="R1251" s="8"/>
      <c r="Z1251" s="6"/>
    </row>
    <row r="1252" spans="3:26" x14ac:dyDescent="0.25">
      <c r="C1252" s="2"/>
      <c r="J1252" s="8"/>
      <c r="R1252" s="8"/>
      <c r="Z1252" s="6"/>
    </row>
    <row r="1253" spans="3:26" x14ac:dyDescent="0.25">
      <c r="C1253" s="2"/>
      <c r="J1253" s="8"/>
      <c r="R1253" s="8"/>
      <c r="Z1253" s="6"/>
    </row>
    <row r="1254" spans="3:26" x14ac:dyDescent="0.25">
      <c r="C1254" s="2"/>
      <c r="J1254" s="8"/>
      <c r="R1254" s="8"/>
      <c r="Z1254" s="6"/>
    </row>
    <row r="1255" spans="3:26" x14ac:dyDescent="0.25">
      <c r="C1255" s="2"/>
      <c r="J1255" s="8"/>
      <c r="R1255" s="8"/>
      <c r="Z1255" s="6"/>
    </row>
    <row r="1256" spans="3:26" x14ac:dyDescent="0.25">
      <c r="C1256" s="2"/>
      <c r="J1256" s="8"/>
      <c r="R1256" s="8"/>
      <c r="Z1256" s="6"/>
    </row>
    <row r="1257" spans="3:26" x14ac:dyDescent="0.25">
      <c r="C1257" s="2"/>
      <c r="J1257" s="8"/>
      <c r="R1257" s="8"/>
      <c r="Z1257" s="6"/>
    </row>
    <row r="1258" spans="3:26" x14ac:dyDescent="0.25">
      <c r="C1258" s="2"/>
      <c r="J1258" s="8"/>
      <c r="R1258" s="8"/>
      <c r="Z1258" s="6"/>
    </row>
    <row r="1259" spans="3:26" x14ac:dyDescent="0.25">
      <c r="C1259" s="2"/>
      <c r="J1259" s="8"/>
      <c r="R1259" s="8"/>
      <c r="Z1259" s="6"/>
    </row>
    <row r="1260" spans="3:26" x14ac:dyDescent="0.25">
      <c r="C1260" s="2"/>
      <c r="J1260" s="8"/>
      <c r="R1260" s="8"/>
      <c r="Z1260" s="6"/>
    </row>
    <row r="1261" spans="3:26" x14ac:dyDescent="0.25">
      <c r="C1261" s="2"/>
      <c r="J1261" s="8"/>
      <c r="R1261" s="8"/>
      <c r="Z1261" s="6"/>
    </row>
    <row r="1262" spans="3:26" x14ac:dyDescent="0.25">
      <c r="C1262" s="2"/>
      <c r="J1262" s="8"/>
      <c r="R1262" s="8"/>
      <c r="Z1262" s="6"/>
    </row>
    <row r="1263" spans="3:26" x14ac:dyDescent="0.25">
      <c r="C1263" s="2"/>
      <c r="J1263" s="8"/>
      <c r="R1263" s="8"/>
      <c r="Z1263" s="6"/>
    </row>
    <row r="1264" spans="3:26" x14ac:dyDescent="0.25">
      <c r="C1264" s="2"/>
      <c r="J1264" s="8"/>
      <c r="R1264" s="8"/>
      <c r="Z1264" s="6"/>
    </row>
    <row r="1265" spans="3:26" x14ac:dyDescent="0.25">
      <c r="C1265" s="2"/>
      <c r="J1265" s="8"/>
      <c r="R1265" s="8"/>
      <c r="Z1265" s="6"/>
    </row>
    <row r="1266" spans="3:26" x14ac:dyDescent="0.25">
      <c r="C1266" s="2"/>
      <c r="J1266" s="8"/>
      <c r="R1266" s="8"/>
      <c r="Z1266" s="6"/>
    </row>
    <row r="1267" spans="3:26" x14ac:dyDescent="0.25">
      <c r="C1267" s="2"/>
      <c r="J1267" s="8"/>
      <c r="R1267" s="8"/>
      <c r="Z1267" s="6"/>
    </row>
    <row r="1268" spans="3:26" x14ac:dyDescent="0.25">
      <c r="C1268" s="2"/>
      <c r="J1268" s="8"/>
      <c r="R1268" s="8"/>
      <c r="Z1268" s="6"/>
    </row>
    <row r="1269" spans="3:26" x14ac:dyDescent="0.25">
      <c r="C1269" s="2"/>
      <c r="J1269" s="8"/>
      <c r="R1269" s="8"/>
      <c r="Z1269" s="6"/>
    </row>
    <row r="1270" spans="3:26" x14ac:dyDescent="0.25">
      <c r="C1270" s="2"/>
      <c r="J1270" s="8"/>
      <c r="R1270" s="8"/>
      <c r="Z1270" s="6"/>
    </row>
    <row r="1271" spans="3:26" x14ac:dyDescent="0.25">
      <c r="C1271" s="2"/>
      <c r="J1271" s="8"/>
      <c r="R1271" s="8"/>
      <c r="Z1271" s="6"/>
    </row>
    <row r="1272" spans="3:26" x14ac:dyDescent="0.25">
      <c r="C1272" s="2"/>
      <c r="J1272" s="8"/>
      <c r="R1272" s="8"/>
      <c r="Z1272" s="6"/>
    </row>
    <row r="1273" spans="3:26" x14ac:dyDescent="0.25">
      <c r="C1273" s="2"/>
      <c r="J1273" s="8"/>
      <c r="R1273" s="8"/>
      <c r="Z1273" s="6"/>
    </row>
    <row r="1274" spans="3:26" x14ac:dyDescent="0.25">
      <c r="C1274" s="2"/>
      <c r="J1274" s="8"/>
      <c r="R1274" s="8"/>
      <c r="Z1274" s="6"/>
    </row>
    <row r="1275" spans="3:26" x14ac:dyDescent="0.25">
      <c r="C1275" s="2"/>
      <c r="J1275" s="8"/>
      <c r="R1275" s="8"/>
      <c r="Z1275" s="6"/>
    </row>
    <row r="1276" spans="3:26" x14ac:dyDescent="0.25">
      <c r="C1276" s="2"/>
      <c r="J1276" s="8"/>
      <c r="R1276" s="8"/>
      <c r="Z1276" s="6"/>
    </row>
    <row r="1277" spans="3:26" x14ac:dyDescent="0.25">
      <c r="C1277" s="2"/>
      <c r="J1277" s="8"/>
      <c r="R1277" s="8"/>
      <c r="Z1277" s="6"/>
    </row>
    <row r="1278" spans="3:26" x14ac:dyDescent="0.25">
      <c r="C1278" s="2"/>
      <c r="J1278" s="8"/>
      <c r="R1278" s="8"/>
      <c r="Z1278" s="6"/>
    </row>
    <row r="1279" spans="3:26" x14ac:dyDescent="0.25">
      <c r="C1279" s="2"/>
      <c r="J1279" s="8"/>
      <c r="R1279" s="8"/>
      <c r="Z1279" s="6"/>
    </row>
    <row r="1280" spans="3:26" x14ac:dyDescent="0.25">
      <c r="C1280" s="2"/>
      <c r="J1280" s="8"/>
      <c r="R1280" s="8"/>
      <c r="Z1280" s="6"/>
    </row>
    <row r="1281" spans="3:26" x14ac:dyDescent="0.25">
      <c r="C1281" s="2"/>
      <c r="J1281" s="8"/>
      <c r="R1281" s="8"/>
      <c r="Z1281" s="6"/>
    </row>
    <row r="1282" spans="3:26" x14ac:dyDescent="0.25">
      <c r="C1282" s="2"/>
      <c r="J1282" s="8"/>
      <c r="R1282" s="8"/>
      <c r="Z1282" s="6"/>
    </row>
    <row r="1283" spans="3:26" x14ac:dyDescent="0.25">
      <c r="C1283" s="2"/>
      <c r="J1283" s="8"/>
      <c r="R1283" s="8"/>
      <c r="Z1283" s="6"/>
    </row>
    <row r="1284" spans="3:26" x14ac:dyDescent="0.25">
      <c r="C1284" s="2"/>
      <c r="J1284" s="8"/>
      <c r="R1284" s="8"/>
      <c r="Z1284" s="6"/>
    </row>
    <row r="1285" spans="3:26" x14ac:dyDescent="0.25">
      <c r="C1285" s="2"/>
      <c r="J1285" s="8"/>
      <c r="R1285" s="8"/>
      <c r="Z1285" s="6"/>
    </row>
    <row r="1286" spans="3:26" x14ac:dyDescent="0.25">
      <c r="C1286" s="2"/>
      <c r="J1286" s="8"/>
      <c r="R1286" s="8"/>
      <c r="Z1286" s="6"/>
    </row>
    <row r="1287" spans="3:26" x14ac:dyDescent="0.25">
      <c r="C1287" s="2"/>
      <c r="J1287" s="8"/>
      <c r="R1287" s="8"/>
      <c r="Z1287" s="6"/>
    </row>
    <row r="1288" spans="3:26" x14ac:dyDescent="0.25">
      <c r="C1288" s="2"/>
      <c r="J1288" s="8"/>
      <c r="R1288" s="8"/>
      <c r="Z1288" s="6"/>
    </row>
    <row r="1289" spans="3:26" x14ac:dyDescent="0.25">
      <c r="C1289" s="2"/>
      <c r="J1289" s="8"/>
      <c r="R1289" s="8"/>
      <c r="Z1289" s="6"/>
    </row>
    <row r="1290" spans="3:26" x14ac:dyDescent="0.25">
      <c r="C1290" s="2"/>
      <c r="J1290" s="8"/>
      <c r="R1290" s="8"/>
      <c r="Z1290" s="6"/>
    </row>
    <row r="1291" spans="3:26" x14ac:dyDescent="0.25">
      <c r="C1291" s="2"/>
      <c r="J1291" s="8"/>
      <c r="R1291" s="8"/>
      <c r="Z1291" s="6"/>
    </row>
    <row r="1292" spans="3:26" x14ac:dyDescent="0.25">
      <c r="C1292" s="2"/>
      <c r="J1292" s="8"/>
      <c r="R1292" s="8"/>
      <c r="Z1292" s="6"/>
    </row>
    <row r="1293" spans="3:26" x14ac:dyDescent="0.25">
      <c r="C1293" s="2"/>
      <c r="J1293" s="8"/>
      <c r="R1293" s="8"/>
      <c r="Z1293" s="6"/>
    </row>
    <row r="1294" spans="3:26" x14ac:dyDescent="0.25">
      <c r="C1294" s="2"/>
      <c r="J1294" s="8"/>
      <c r="R1294" s="8"/>
      <c r="Z1294" s="6"/>
    </row>
    <row r="1295" spans="3:26" x14ac:dyDescent="0.25">
      <c r="C1295" s="2"/>
      <c r="J1295" s="8"/>
      <c r="R1295" s="8"/>
      <c r="Z1295" s="6"/>
    </row>
    <row r="1296" spans="3:26" x14ac:dyDescent="0.25">
      <c r="C1296" s="2"/>
      <c r="J1296" s="8"/>
      <c r="R1296" s="8"/>
      <c r="Z1296" s="6"/>
    </row>
    <row r="1297" spans="3:26" x14ac:dyDescent="0.25">
      <c r="C1297" s="2"/>
      <c r="J1297" s="8"/>
      <c r="R1297" s="8"/>
      <c r="Z1297" s="6"/>
    </row>
    <row r="1298" spans="3:26" x14ac:dyDescent="0.25">
      <c r="C1298" s="2"/>
      <c r="J1298" s="8"/>
      <c r="R1298" s="8"/>
      <c r="Z1298" s="6"/>
    </row>
    <row r="1299" spans="3:26" x14ac:dyDescent="0.25">
      <c r="C1299" s="2"/>
      <c r="J1299" s="8"/>
      <c r="R1299" s="8"/>
      <c r="Z1299" s="6"/>
    </row>
    <row r="1300" spans="3:26" x14ac:dyDescent="0.25">
      <c r="C1300" s="2"/>
      <c r="J1300" s="8"/>
      <c r="R1300" s="8"/>
      <c r="Z1300" s="6"/>
    </row>
    <row r="1301" spans="3:26" x14ac:dyDescent="0.25">
      <c r="C1301" s="2"/>
      <c r="J1301" s="8"/>
      <c r="R1301" s="8"/>
      <c r="Z1301" s="6"/>
    </row>
    <row r="1302" spans="3:26" x14ac:dyDescent="0.25">
      <c r="C1302" s="2"/>
      <c r="J1302" s="8"/>
      <c r="R1302" s="8"/>
      <c r="Z1302" s="6"/>
    </row>
    <row r="1303" spans="3:26" x14ac:dyDescent="0.25">
      <c r="C1303" s="2"/>
      <c r="J1303" s="8"/>
      <c r="R1303" s="8"/>
      <c r="Z1303" s="6"/>
    </row>
    <row r="1304" spans="3:26" x14ac:dyDescent="0.25">
      <c r="C1304" s="2"/>
      <c r="J1304" s="8"/>
      <c r="R1304" s="8"/>
      <c r="Z1304" s="6"/>
    </row>
    <row r="1305" spans="3:26" x14ac:dyDescent="0.25">
      <c r="C1305" s="2"/>
      <c r="J1305" s="8"/>
      <c r="R1305" s="8"/>
      <c r="Z1305" s="6"/>
    </row>
    <row r="1306" spans="3:26" x14ac:dyDescent="0.25">
      <c r="C1306" s="2"/>
      <c r="J1306" s="8"/>
      <c r="R1306" s="8"/>
      <c r="Z1306" s="6"/>
    </row>
    <row r="1307" spans="3:26" x14ac:dyDescent="0.25">
      <c r="C1307" s="2"/>
      <c r="J1307" s="8"/>
      <c r="R1307" s="8"/>
      <c r="Z1307" s="6"/>
    </row>
    <row r="1308" spans="3:26" x14ac:dyDescent="0.25">
      <c r="C1308" s="2"/>
      <c r="J1308" s="8"/>
      <c r="R1308" s="8"/>
      <c r="Z1308" s="6"/>
    </row>
    <row r="1309" spans="3:26" x14ac:dyDescent="0.25">
      <c r="C1309" s="2"/>
      <c r="J1309" s="8"/>
      <c r="R1309" s="8"/>
      <c r="Z1309" s="6"/>
    </row>
    <row r="1310" spans="3:26" x14ac:dyDescent="0.25">
      <c r="C1310" s="2"/>
      <c r="J1310" s="8"/>
      <c r="R1310" s="8"/>
      <c r="Z1310" s="6"/>
    </row>
    <row r="1311" spans="3:26" x14ac:dyDescent="0.25">
      <c r="C1311" s="2"/>
      <c r="J1311" s="8"/>
      <c r="R1311" s="8"/>
      <c r="Z1311" s="6"/>
    </row>
    <row r="1312" spans="3:26" x14ac:dyDescent="0.25">
      <c r="C1312" s="2"/>
      <c r="J1312" s="8"/>
      <c r="R1312" s="8"/>
      <c r="Z1312" s="6"/>
    </row>
    <row r="1313" spans="3:26" x14ac:dyDescent="0.25">
      <c r="C1313" s="2"/>
      <c r="J1313" s="8"/>
      <c r="R1313" s="8"/>
      <c r="Z1313" s="6"/>
    </row>
    <row r="1314" spans="3:26" x14ac:dyDescent="0.25">
      <c r="C1314" s="2"/>
      <c r="J1314" s="8"/>
      <c r="R1314" s="8"/>
      <c r="Z1314" s="6"/>
    </row>
    <row r="1315" spans="3:26" x14ac:dyDescent="0.25">
      <c r="C1315" s="2"/>
      <c r="J1315" s="8"/>
      <c r="R1315" s="8"/>
      <c r="Z1315" s="6"/>
    </row>
    <row r="1316" spans="3:26" x14ac:dyDescent="0.25">
      <c r="C1316" s="2"/>
      <c r="J1316" s="8"/>
      <c r="R1316" s="8"/>
      <c r="Z1316" s="6"/>
    </row>
    <row r="1317" spans="3:26" x14ac:dyDescent="0.25">
      <c r="C1317" s="2"/>
      <c r="J1317" s="8"/>
      <c r="R1317" s="8"/>
      <c r="Z1317" s="6"/>
    </row>
    <row r="1318" spans="3:26" x14ac:dyDescent="0.25">
      <c r="C1318" s="2"/>
      <c r="J1318" s="8"/>
      <c r="R1318" s="8"/>
      <c r="Z1318" s="6"/>
    </row>
    <row r="1319" spans="3:26" x14ac:dyDescent="0.25">
      <c r="C1319" s="2"/>
      <c r="J1319" s="8"/>
      <c r="R1319" s="8"/>
      <c r="Z1319" s="6"/>
    </row>
    <row r="1320" spans="3:26" x14ac:dyDescent="0.25">
      <c r="C1320" s="2"/>
      <c r="J1320" s="8"/>
      <c r="R1320" s="8"/>
      <c r="Z1320" s="6"/>
    </row>
    <row r="1321" spans="3:26" x14ac:dyDescent="0.25">
      <c r="C1321" s="2"/>
      <c r="J1321" s="8"/>
      <c r="R1321" s="8"/>
      <c r="Z1321" s="6"/>
    </row>
    <row r="1322" spans="3:26" x14ac:dyDescent="0.25">
      <c r="C1322" s="2"/>
      <c r="J1322" s="8"/>
      <c r="R1322" s="8"/>
      <c r="Z1322" s="6"/>
    </row>
    <row r="1323" spans="3:26" x14ac:dyDescent="0.25">
      <c r="C1323" s="2"/>
      <c r="J1323" s="8"/>
      <c r="R1323" s="8"/>
      <c r="Z1323" s="6"/>
    </row>
    <row r="1324" spans="3:26" x14ac:dyDescent="0.25">
      <c r="C1324" s="2"/>
      <c r="J1324" s="8"/>
      <c r="R1324" s="8"/>
      <c r="Z1324" s="6"/>
    </row>
    <row r="1325" spans="3:26" x14ac:dyDescent="0.25">
      <c r="C1325" s="2"/>
      <c r="J1325" s="8"/>
      <c r="R1325" s="8"/>
      <c r="Z1325" s="6"/>
    </row>
    <row r="1326" spans="3:26" x14ac:dyDescent="0.25">
      <c r="C1326" s="2"/>
      <c r="J1326" s="8"/>
      <c r="R1326" s="8"/>
      <c r="Z1326" s="6"/>
    </row>
    <row r="1327" spans="3:26" x14ac:dyDescent="0.25">
      <c r="C1327" s="2"/>
      <c r="J1327" s="8"/>
      <c r="R1327" s="8"/>
      <c r="Z1327" s="6"/>
    </row>
    <row r="1328" spans="3:26" x14ac:dyDescent="0.25">
      <c r="C1328" s="2"/>
      <c r="J1328" s="8"/>
      <c r="R1328" s="8"/>
      <c r="Z1328" s="6"/>
    </row>
    <row r="1329" spans="3:26" x14ac:dyDescent="0.25">
      <c r="C1329" s="2"/>
      <c r="J1329" s="8"/>
      <c r="R1329" s="8"/>
      <c r="Z1329" s="6"/>
    </row>
    <row r="1330" spans="3:26" x14ac:dyDescent="0.25">
      <c r="C1330" s="2"/>
      <c r="J1330" s="8"/>
      <c r="R1330" s="8"/>
      <c r="Z1330" s="6"/>
    </row>
    <row r="1331" spans="3:26" x14ac:dyDescent="0.25">
      <c r="C1331" s="2"/>
      <c r="J1331" s="8"/>
      <c r="R1331" s="8"/>
      <c r="Z1331" s="6"/>
    </row>
    <row r="1332" spans="3:26" x14ac:dyDescent="0.25">
      <c r="C1332" s="2"/>
      <c r="J1332" s="8"/>
      <c r="R1332" s="8"/>
      <c r="Z1332" s="6"/>
    </row>
    <row r="1333" spans="3:26" x14ac:dyDescent="0.25">
      <c r="C1333" s="2"/>
      <c r="J1333" s="8"/>
      <c r="R1333" s="8"/>
      <c r="Z1333" s="6"/>
    </row>
    <row r="1334" spans="3:26" x14ac:dyDescent="0.25">
      <c r="C1334" s="2"/>
      <c r="J1334" s="8"/>
      <c r="R1334" s="8"/>
      <c r="Z1334" s="6"/>
    </row>
    <row r="1335" spans="3:26" x14ac:dyDescent="0.25">
      <c r="C1335" s="2"/>
      <c r="J1335" s="8"/>
      <c r="R1335" s="8"/>
      <c r="Z1335" s="6"/>
    </row>
    <row r="1336" spans="3:26" x14ac:dyDescent="0.25">
      <c r="C1336" s="2"/>
      <c r="J1336" s="8"/>
      <c r="R1336" s="8"/>
      <c r="Z1336" s="6"/>
    </row>
    <row r="1337" spans="3:26" x14ac:dyDescent="0.25">
      <c r="C1337" s="2"/>
      <c r="J1337" s="8"/>
      <c r="R1337" s="8"/>
      <c r="Z1337" s="6"/>
    </row>
    <row r="1338" spans="3:26" x14ac:dyDescent="0.25">
      <c r="C1338" s="2"/>
      <c r="J1338" s="8"/>
      <c r="R1338" s="8"/>
      <c r="Z1338" s="6"/>
    </row>
    <row r="1339" spans="3:26" x14ac:dyDescent="0.25">
      <c r="C1339" s="2"/>
      <c r="J1339" s="8"/>
      <c r="R1339" s="8"/>
      <c r="Z1339" s="6"/>
    </row>
    <row r="1340" spans="3:26" x14ac:dyDescent="0.25">
      <c r="C1340" s="2"/>
      <c r="J1340" s="8"/>
      <c r="R1340" s="8"/>
      <c r="Z1340" s="6"/>
    </row>
    <row r="1341" spans="3:26" x14ac:dyDescent="0.25">
      <c r="C1341" s="2"/>
      <c r="J1341" s="8"/>
      <c r="R1341" s="8"/>
      <c r="Z1341" s="6"/>
    </row>
    <row r="1342" spans="3:26" x14ac:dyDescent="0.25">
      <c r="C1342" s="2"/>
      <c r="J1342" s="8"/>
      <c r="R1342" s="8"/>
      <c r="Z1342" s="6"/>
    </row>
    <row r="1343" spans="3:26" x14ac:dyDescent="0.25">
      <c r="C1343" s="2"/>
      <c r="J1343" s="8"/>
      <c r="R1343" s="8"/>
      <c r="Z1343" s="6"/>
    </row>
    <row r="1344" spans="3:26" x14ac:dyDescent="0.25">
      <c r="C1344" s="2"/>
      <c r="J1344" s="8"/>
      <c r="R1344" s="8"/>
      <c r="Z1344" s="6"/>
    </row>
    <row r="1345" spans="3:26" x14ac:dyDescent="0.25">
      <c r="C1345" s="2"/>
      <c r="J1345" s="8"/>
      <c r="R1345" s="8"/>
      <c r="Z1345" s="6"/>
    </row>
    <row r="1346" spans="3:26" x14ac:dyDescent="0.25">
      <c r="C1346" s="2"/>
      <c r="J1346" s="8"/>
      <c r="R1346" s="8"/>
      <c r="Z1346" s="6"/>
    </row>
    <row r="1347" spans="3:26" x14ac:dyDescent="0.25">
      <c r="C1347" s="2"/>
      <c r="J1347" s="8"/>
      <c r="R1347" s="8"/>
      <c r="Z1347" s="6"/>
    </row>
    <row r="1348" spans="3:26" x14ac:dyDescent="0.25">
      <c r="C1348" s="2"/>
      <c r="J1348" s="8"/>
      <c r="R1348" s="8"/>
      <c r="Z1348" s="6"/>
    </row>
    <row r="1349" spans="3:26" x14ac:dyDescent="0.25">
      <c r="C1349" s="2"/>
      <c r="J1349" s="8"/>
      <c r="R1349" s="8"/>
      <c r="Z1349" s="6"/>
    </row>
    <row r="1350" spans="3:26" x14ac:dyDescent="0.25">
      <c r="C1350" s="2"/>
      <c r="J1350" s="8"/>
      <c r="R1350" s="8"/>
      <c r="Z1350" s="6"/>
    </row>
    <row r="1351" spans="3:26" x14ac:dyDescent="0.25">
      <c r="C1351" s="2"/>
      <c r="J1351" s="8"/>
      <c r="R1351" s="8"/>
      <c r="Z1351" s="6"/>
    </row>
    <row r="1352" spans="3:26" x14ac:dyDescent="0.25">
      <c r="C1352" s="2"/>
      <c r="J1352" s="8"/>
      <c r="R1352" s="8"/>
      <c r="Z1352" s="6"/>
    </row>
    <row r="1353" spans="3:26" x14ac:dyDescent="0.25">
      <c r="C1353" s="2"/>
      <c r="J1353" s="8"/>
      <c r="R1353" s="8"/>
      <c r="Z1353" s="6"/>
    </row>
    <row r="1354" spans="3:26" x14ac:dyDescent="0.25">
      <c r="C1354" s="2"/>
      <c r="J1354" s="8"/>
      <c r="R1354" s="8"/>
      <c r="Z1354" s="6"/>
    </row>
    <row r="1355" spans="3:26" x14ac:dyDescent="0.25">
      <c r="C1355" s="2"/>
      <c r="J1355" s="8"/>
      <c r="R1355" s="8"/>
      <c r="Z1355" s="6"/>
    </row>
    <row r="1356" spans="3:26" x14ac:dyDescent="0.25">
      <c r="C1356" s="2"/>
      <c r="J1356" s="8"/>
      <c r="R1356" s="8"/>
      <c r="Z1356" s="6"/>
    </row>
    <row r="1357" spans="3:26" x14ac:dyDescent="0.25">
      <c r="C1357" s="2"/>
      <c r="J1357" s="8"/>
      <c r="R1357" s="8"/>
      <c r="Z1357" s="6"/>
    </row>
    <row r="1358" spans="3:26" x14ac:dyDescent="0.25">
      <c r="C1358" s="2"/>
      <c r="J1358" s="8"/>
      <c r="R1358" s="8"/>
      <c r="Z1358" s="6"/>
    </row>
    <row r="1359" spans="3:26" x14ac:dyDescent="0.25">
      <c r="C1359" s="2"/>
      <c r="J1359" s="8"/>
      <c r="R1359" s="8"/>
      <c r="Z1359" s="6"/>
    </row>
    <row r="1360" spans="3:26" x14ac:dyDescent="0.25">
      <c r="C1360" s="2"/>
      <c r="J1360" s="8"/>
      <c r="R1360" s="8"/>
      <c r="Z1360" s="6"/>
    </row>
    <row r="1361" spans="3:26" x14ac:dyDescent="0.25">
      <c r="C1361" s="2"/>
      <c r="J1361" s="8"/>
      <c r="R1361" s="8"/>
      <c r="Z1361" s="6"/>
    </row>
    <row r="1362" spans="3:26" x14ac:dyDescent="0.25">
      <c r="C1362" s="2"/>
      <c r="J1362" s="8"/>
      <c r="R1362" s="8"/>
      <c r="Z1362" s="6"/>
    </row>
    <row r="1363" spans="3:26" x14ac:dyDescent="0.25">
      <c r="C1363" s="2"/>
      <c r="J1363" s="8"/>
      <c r="R1363" s="8"/>
      <c r="Z1363" s="6"/>
    </row>
    <row r="1364" spans="3:26" x14ac:dyDescent="0.25">
      <c r="C1364" s="2"/>
      <c r="J1364" s="8"/>
      <c r="R1364" s="8"/>
      <c r="Z1364" s="6"/>
    </row>
    <row r="1365" spans="3:26" x14ac:dyDescent="0.25">
      <c r="C1365" s="2"/>
      <c r="J1365" s="8"/>
      <c r="R1365" s="8"/>
      <c r="Z1365" s="6"/>
    </row>
    <row r="1366" spans="3:26" x14ac:dyDescent="0.25">
      <c r="C1366" s="2"/>
      <c r="J1366" s="8"/>
      <c r="R1366" s="8"/>
      <c r="Z1366" s="6"/>
    </row>
    <row r="1367" spans="3:26" x14ac:dyDescent="0.25">
      <c r="C1367" s="2"/>
      <c r="J1367" s="8"/>
      <c r="R1367" s="8"/>
      <c r="Z1367" s="6"/>
    </row>
    <row r="1368" spans="3:26" x14ac:dyDescent="0.25">
      <c r="C1368" s="2"/>
      <c r="J1368" s="8"/>
      <c r="R1368" s="8"/>
      <c r="Z1368" s="6"/>
    </row>
    <row r="1369" spans="3:26" x14ac:dyDescent="0.25">
      <c r="C1369" s="2"/>
      <c r="J1369" s="8"/>
      <c r="R1369" s="8"/>
      <c r="Z1369" s="6"/>
    </row>
    <row r="1370" spans="3:26" x14ac:dyDescent="0.25">
      <c r="C1370" s="2"/>
      <c r="J1370" s="8"/>
      <c r="R1370" s="8"/>
      <c r="Z1370" s="6"/>
    </row>
    <row r="1371" spans="3:26" x14ac:dyDescent="0.25">
      <c r="C1371" s="2"/>
      <c r="J1371" s="8"/>
      <c r="R1371" s="8"/>
      <c r="Z1371" s="6"/>
    </row>
    <row r="1372" spans="3:26" x14ac:dyDescent="0.25">
      <c r="C1372" s="2"/>
      <c r="J1372" s="8"/>
      <c r="R1372" s="8"/>
      <c r="Z1372" s="6"/>
    </row>
    <row r="1373" spans="3:26" x14ac:dyDescent="0.25">
      <c r="C1373" s="2"/>
      <c r="J1373" s="8"/>
      <c r="R1373" s="8"/>
      <c r="Z1373" s="6"/>
    </row>
    <row r="1374" spans="3:26" x14ac:dyDescent="0.25">
      <c r="C1374" s="2"/>
      <c r="J1374" s="8"/>
      <c r="R1374" s="8"/>
      <c r="Z1374" s="6"/>
    </row>
    <row r="1375" spans="3:26" x14ac:dyDescent="0.25">
      <c r="C1375" s="2"/>
      <c r="J1375" s="8"/>
      <c r="R1375" s="8"/>
      <c r="Z1375" s="6"/>
    </row>
    <row r="1376" spans="3:26" x14ac:dyDescent="0.25">
      <c r="C1376" s="2"/>
      <c r="J1376" s="8"/>
      <c r="R1376" s="8"/>
      <c r="Z1376" s="6"/>
    </row>
    <row r="1377" spans="3:26" x14ac:dyDescent="0.25">
      <c r="C1377" s="2"/>
      <c r="J1377" s="8"/>
      <c r="R1377" s="8"/>
      <c r="Z1377" s="6"/>
    </row>
    <row r="1378" spans="3:26" x14ac:dyDescent="0.25">
      <c r="C1378" s="2"/>
      <c r="J1378" s="8"/>
      <c r="R1378" s="8"/>
      <c r="Z1378" s="6"/>
    </row>
    <row r="1379" spans="3:26" x14ac:dyDescent="0.25">
      <c r="C1379" s="2"/>
      <c r="J1379" s="8"/>
      <c r="R1379" s="8"/>
      <c r="Z1379" s="6"/>
    </row>
    <row r="1380" spans="3:26" x14ac:dyDescent="0.25">
      <c r="C1380" s="2"/>
      <c r="J1380" s="8"/>
      <c r="R1380" s="8"/>
      <c r="Z1380" s="6"/>
    </row>
    <row r="1381" spans="3:26" x14ac:dyDescent="0.25">
      <c r="C1381" s="2"/>
      <c r="J1381" s="8"/>
      <c r="R1381" s="8"/>
      <c r="Z1381" s="6"/>
    </row>
    <row r="1382" spans="3:26" x14ac:dyDescent="0.25">
      <c r="C1382" s="2"/>
      <c r="J1382" s="8"/>
      <c r="R1382" s="8"/>
      <c r="Z1382" s="6"/>
    </row>
    <row r="1383" spans="3:26" x14ac:dyDescent="0.25">
      <c r="C1383" s="2"/>
      <c r="J1383" s="8"/>
      <c r="R1383" s="8"/>
      <c r="Z1383" s="6"/>
    </row>
    <row r="1384" spans="3:26" x14ac:dyDescent="0.25">
      <c r="C1384" s="2"/>
      <c r="J1384" s="8"/>
      <c r="R1384" s="8"/>
      <c r="Z1384" s="6"/>
    </row>
    <row r="1385" spans="3:26" x14ac:dyDescent="0.25">
      <c r="C1385" s="2"/>
      <c r="J1385" s="8"/>
      <c r="R1385" s="8"/>
      <c r="Z1385" s="6"/>
    </row>
    <row r="1386" spans="3:26" x14ac:dyDescent="0.25">
      <c r="C1386" s="2"/>
      <c r="J1386" s="8"/>
      <c r="R1386" s="8"/>
      <c r="Z1386" s="6"/>
    </row>
    <row r="1387" spans="3:26" x14ac:dyDescent="0.25">
      <c r="C1387" s="2"/>
      <c r="J1387" s="8"/>
      <c r="R1387" s="8"/>
      <c r="Z1387" s="6"/>
    </row>
    <row r="1388" spans="3:26" x14ac:dyDescent="0.25">
      <c r="C1388" s="2"/>
      <c r="J1388" s="8"/>
      <c r="R1388" s="8"/>
      <c r="Z1388" s="6"/>
    </row>
    <row r="1389" spans="3:26" x14ac:dyDescent="0.25">
      <c r="C1389" s="2"/>
      <c r="J1389" s="8"/>
      <c r="R1389" s="8"/>
      <c r="Z1389" s="6"/>
    </row>
    <row r="1390" spans="3:26" x14ac:dyDescent="0.25">
      <c r="C1390" s="2"/>
      <c r="J1390" s="8"/>
      <c r="R1390" s="8"/>
      <c r="Z1390" s="6"/>
    </row>
    <row r="1391" spans="3:26" x14ac:dyDescent="0.25">
      <c r="C1391" s="2"/>
      <c r="J1391" s="8"/>
      <c r="R1391" s="8"/>
      <c r="Z1391" s="6"/>
    </row>
    <row r="1392" spans="3:26" x14ac:dyDescent="0.25">
      <c r="C1392" s="2"/>
      <c r="J1392" s="8"/>
      <c r="R1392" s="8"/>
      <c r="Z1392" s="6"/>
    </row>
    <row r="1393" spans="3:26" x14ac:dyDescent="0.25">
      <c r="C1393" s="2"/>
      <c r="J1393" s="8"/>
      <c r="R1393" s="8"/>
      <c r="Z1393" s="6"/>
    </row>
    <row r="1394" spans="3:26" x14ac:dyDescent="0.25">
      <c r="C1394" s="2"/>
      <c r="J1394" s="8"/>
      <c r="R1394" s="8"/>
      <c r="Z1394" s="6"/>
    </row>
    <row r="1395" spans="3:26" x14ac:dyDescent="0.25">
      <c r="C1395" s="2"/>
      <c r="J1395" s="8"/>
      <c r="R1395" s="8"/>
      <c r="Z1395" s="6"/>
    </row>
    <row r="1396" spans="3:26" x14ac:dyDescent="0.25">
      <c r="C1396" s="2"/>
      <c r="J1396" s="8"/>
      <c r="R1396" s="8"/>
      <c r="Z1396" s="6"/>
    </row>
    <row r="1397" spans="3:26" x14ac:dyDescent="0.25">
      <c r="C1397" s="2"/>
      <c r="J1397" s="8"/>
      <c r="R1397" s="8"/>
      <c r="Z1397" s="6"/>
    </row>
    <row r="1398" spans="3:26" x14ac:dyDescent="0.25">
      <c r="C1398" s="2"/>
      <c r="J1398" s="8"/>
      <c r="R1398" s="8"/>
      <c r="Z1398" s="6"/>
    </row>
    <row r="1399" spans="3:26" x14ac:dyDescent="0.25">
      <c r="C1399" s="2"/>
      <c r="J1399" s="8"/>
      <c r="R1399" s="8"/>
      <c r="Z1399" s="6"/>
    </row>
    <row r="1400" spans="3:26" x14ac:dyDescent="0.25">
      <c r="C1400" s="2"/>
      <c r="J1400" s="8"/>
      <c r="R1400" s="8"/>
      <c r="Z1400" s="6"/>
    </row>
    <row r="1401" spans="3:26" x14ac:dyDescent="0.25">
      <c r="C1401" s="2"/>
      <c r="J1401" s="8"/>
      <c r="R1401" s="8"/>
      <c r="Z1401" s="6"/>
    </row>
    <row r="1402" spans="3:26" x14ac:dyDescent="0.25">
      <c r="C1402" s="2"/>
      <c r="J1402" s="8"/>
      <c r="R1402" s="8"/>
      <c r="Z1402" s="6"/>
    </row>
    <row r="1403" spans="3:26" x14ac:dyDescent="0.25">
      <c r="C1403" s="2"/>
      <c r="J1403" s="8"/>
      <c r="R1403" s="8"/>
      <c r="Z1403" s="6"/>
    </row>
    <row r="1404" spans="3:26" x14ac:dyDescent="0.25">
      <c r="C1404" s="2"/>
      <c r="J1404" s="8"/>
      <c r="R1404" s="8"/>
      <c r="Z1404" s="6"/>
    </row>
    <row r="1405" spans="3:26" x14ac:dyDescent="0.25">
      <c r="C1405" s="2"/>
      <c r="J1405" s="8"/>
      <c r="R1405" s="8"/>
      <c r="Z1405" s="6"/>
    </row>
    <row r="1406" spans="3:26" x14ac:dyDescent="0.25">
      <c r="C1406" s="2"/>
      <c r="J1406" s="8"/>
      <c r="R1406" s="8"/>
      <c r="Z1406" s="6"/>
    </row>
    <row r="1407" spans="3:26" x14ac:dyDescent="0.25">
      <c r="C1407" s="2"/>
      <c r="J1407" s="8"/>
      <c r="R1407" s="8"/>
      <c r="Z1407" s="6"/>
    </row>
    <row r="1408" spans="3:26" x14ac:dyDescent="0.25">
      <c r="C1408" s="2"/>
      <c r="J1408" s="8"/>
      <c r="R1408" s="8"/>
      <c r="Z1408" s="6"/>
    </row>
    <row r="1409" spans="3:26" x14ac:dyDescent="0.25">
      <c r="C1409" s="2"/>
      <c r="J1409" s="8"/>
      <c r="R1409" s="8"/>
      <c r="Z1409" s="6"/>
    </row>
    <row r="1410" spans="3:26" x14ac:dyDescent="0.25">
      <c r="C1410" s="2"/>
      <c r="J1410" s="8"/>
      <c r="R1410" s="8"/>
      <c r="Z1410" s="6"/>
    </row>
    <row r="1411" spans="3:26" x14ac:dyDescent="0.25">
      <c r="C1411" s="2"/>
      <c r="J1411" s="8"/>
      <c r="R1411" s="8"/>
      <c r="Z1411" s="6"/>
    </row>
    <row r="1412" spans="3:26" x14ac:dyDescent="0.25">
      <c r="C1412" s="2"/>
      <c r="J1412" s="8"/>
      <c r="R1412" s="8"/>
      <c r="Z1412" s="6"/>
    </row>
    <row r="1413" spans="3:26" x14ac:dyDescent="0.25">
      <c r="C1413" s="2"/>
      <c r="J1413" s="8"/>
      <c r="R1413" s="8"/>
      <c r="Z1413" s="6"/>
    </row>
    <row r="1414" spans="3:26" x14ac:dyDescent="0.25">
      <c r="C1414" s="2"/>
      <c r="J1414" s="8"/>
      <c r="R1414" s="8"/>
      <c r="Z1414" s="6"/>
    </row>
    <row r="1415" spans="3:26" x14ac:dyDescent="0.25">
      <c r="C1415" s="2"/>
      <c r="J1415" s="8"/>
      <c r="R1415" s="8"/>
      <c r="Z1415" s="6"/>
    </row>
    <row r="1416" spans="3:26" x14ac:dyDescent="0.25">
      <c r="C1416" s="2"/>
      <c r="J1416" s="8"/>
      <c r="R1416" s="8"/>
      <c r="Z1416" s="6"/>
    </row>
    <row r="1417" spans="3:26" x14ac:dyDescent="0.25">
      <c r="C1417" s="2"/>
      <c r="J1417" s="8"/>
      <c r="R1417" s="8"/>
      <c r="Z1417" s="6"/>
    </row>
    <row r="1418" spans="3:26" x14ac:dyDescent="0.25">
      <c r="C1418" s="2"/>
      <c r="J1418" s="8"/>
      <c r="R1418" s="8"/>
      <c r="Z1418" s="6"/>
    </row>
    <row r="1419" spans="3:26" x14ac:dyDescent="0.25">
      <c r="C1419" s="2"/>
      <c r="J1419" s="8"/>
      <c r="R1419" s="8"/>
      <c r="Z1419" s="6"/>
    </row>
    <row r="1420" spans="3:26" x14ac:dyDescent="0.25">
      <c r="C1420" s="2"/>
      <c r="J1420" s="8"/>
      <c r="R1420" s="8"/>
      <c r="Z1420" s="6"/>
    </row>
    <row r="1421" spans="3:26" x14ac:dyDescent="0.25">
      <c r="C1421" s="2"/>
      <c r="J1421" s="8"/>
      <c r="R1421" s="8"/>
      <c r="Z1421" s="6"/>
    </row>
    <row r="1422" spans="3:26" x14ac:dyDescent="0.25">
      <c r="C1422" s="2"/>
      <c r="J1422" s="8"/>
      <c r="R1422" s="8"/>
      <c r="Z1422" s="6"/>
    </row>
    <row r="1423" spans="3:26" x14ac:dyDescent="0.25">
      <c r="C1423" s="2"/>
      <c r="J1423" s="8"/>
      <c r="R1423" s="8"/>
      <c r="Z1423" s="6"/>
    </row>
    <row r="1424" spans="3:26" x14ac:dyDescent="0.25">
      <c r="C1424" s="2"/>
      <c r="J1424" s="8"/>
      <c r="R1424" s="8"/>
      <c r="Z1424" s="6"/>
    </row>
    <row r="1425" spans="3:26" x14ac:dyDescent="0.25">
      <c r="C1425" s="2"/>
      <c r="J1425" s="8"/>
      <c r="R1425" s="8"/>
      <c r="Z1425" s="6"/>
    </row>
    <row r="1426" spans="3:26" x14ac:dyDescent="0.25">
      <c r="C1426" s="2"/>
      <c r="J1426" s="8"/>
      <c r="R1426" s="8"/>
      <c r="Z1426" s="6"/>
    </row>
    <row r="1427" spans="3:26" x14ac:dyDescent="0.25">
      <c r="C1427" s="2"/>
      <c r="J1427" s="8"/>
      <c r="R1427" s="8"/>
      <c r="Z1427" s="6"/>
    </row>
    <row r="1428" spans="3:26" x14ac:dyDescent="0.25">
      <c r="C1428" s="2"/>
      <c r="J1428" s="8"/>
      <c r="R1428" s="8"/>
      <c r="Z1428" s="6"/>
    </row>
    <row r="1429" spans="3:26" x14ac:dyDescent="0.25">
      <c r="C1429" s="2"/>
      <c r="J1429" s="8"/>
      <c r="R1429" s="8"/>
      <c r="Z1429" s="6"/>
    </row>
    <row r="1430" spans="3:26" x14ac:dyDescent="0.25">
      <c r="C1430" s="2"/>
      <c r="J1430" s="8"/>
      <c r="R1430" s="8"/>
      <c r="Z1430" s="6"/>
    </row>
    <row r="1431" spans="3:26" x14ac:dyDescent="0.25">
      <c r="C1431" s="2"/>
      <c r="J1431" s="8"/>
      <c r="R1431" s="8"/>
      <c r="Z1431" s="6"/>
    </row>
    <row r="1432" spans="3:26" x14ac:dyDescent="0.25">
      <c r="C1432" s="2"/>
      <c r="J1432" s="8"/>
      <c r="R1432" s="8"/>
      <c r="Z1432" s="6"/>
    </row>
    <row r="1433" spans="3:26" x14ac:dyDescent="0.25">
      <c r="C1433" s="2"/>
      <c r="J1433" s="8"/>
      <c r="R1433" s="8"/>
      <c r="Z1433" s="6"/>
    </row>
    <row r="1434" spans="3:26" x14ac:dyDescent="0.25">
      <c r="C1434" s="2"/>
      <c r="J1434" s="8"/>
      <c r="R1434" s="8"/>
      <c r="Z1434" s="6"/>
    </row>
    <row r="1435" spans="3:26" x14ac:dyDescent="0.25">
      <c r="C1435" s="2"/>
      <c r="J1435" s="8"/>
      <c r="R1435" s="8"/>
      <c r="Z1435" s="6"/>
    </row>
    <row r="1436" spans="3:26" x14ac:dyDescent="0.25">
      <c r="C1436" s="2"/>
      <c r="J1436" s="8"/>
      <c r="R1436" s="8"/>
      <c r="Z1436" s="6"/>
    </row>
    <row r="1437" spans="3:26" x14ac:dyDescent="0.25">
      <c r="C1437" s="2"/>
      <c r="J1437" s="8"/>
      <c r="R1437" s="8"/>
      <c r="Z1437" s="6"/>
    </row>
    <row r="1438" spans="3:26" x14ac:dyDescent="0.25">
      <c r="C1438" s="2"/>
      <c r="J1438" s="8"/>
      <c r="R1438" s="8"/>
      <c r="Z1438" s="6"/>
    </row>
    <row r="1439" spans="3:26" x14ac:dyDescent="0.25">
      <c r="C1439" s="2"/>
      <c r="J1439" s="8"/>
      <c r="R1439" s="8"/>
      <c r="Z1439" s="6"/>
    </row>
    <row r="1440" spans="3:26" x14ac:dyDescent="0.25">
      <c r="C1440" s="2"/>
      <c r="J1440" s="8"/>
      <c r="R1440" s="8"/>
      <c r="Z1440" s="6"/>
    </row>
    <row r="1441" spans="3:26" x14ac:dyDescent="0.25">
      <c r="C1441" s="2"/>
      <c r="J1441" s="8"/>
      <c r="R1441" s="8"/>
      <c r="Z1441" s="6"/>
    </row>
    <row r="1442" spans="3:26" x14ac:dyDescent="0.25">
      <c r="C1442" s="2"/>
      <c r="J1442" s="8"/>
      <c r="R1442" s="8"/>
      <c r="Z1442" s="6"/>
    </row>
    <row r="1443" spans="3:26" x14ac:dyDescent="0.25">
      <c r="C1443" s="2"/>
      <c r="J1443" s="8"/>
      <c r="R1443" s="8"/>
      <c r="Z1443" s="6"/>
    </row>
    <row r="1444" spans="3:26" x14ac:dyDescent="0.25">
      <c r="C1444" s="2"/>
      <c r="J1444" s="8"/>
      <c r="R1444" s="8"/>
      <c r="Z1444" s="6"/>
    </row>
    <row r="1445" spans="3:26" x14ac:dyDescent="0.25">
      <c r="C1445" s="2"/>
      <c r="J1445" s="8"/>
      <c r="R1445" s="8"/>
      <c r="Z1445" s="6"/>
    </row>
    <row r="1446" spans="3:26" x14ac:dyDescent="0.25">
      <c r="C1446" s="2"/>
      <c r="J1446" s="8"/>
      <c r="R1446" s="8"/>
      <c r="Z1446" s="6"/>
    </row>
    <row r="1447" spans="3:26" x14ac:dyDescent="0.25">
      <c r="C1447" s="2"/>
      <c r="J1447" s="8"/>
      <c r="R1447" s="8"/>
      <c r="Z1447" s="6"/>
    </row>
    <row r="1448" spans="3:26" x14ac:dyDescent="0.25">
      <c r="C1448" s="2"/>
      <c r="J1448" s="8"/>
      <c r="R1448" s="8"/>
      <c r="Z1448" s="6"/>
    </row>
    <row r="1449" spans="3:26" x14ac:dyDescent="0.25">
      <c r="C1449" s="2"/>
      <c r="J1449" s="8"/>
      <c r="R1449" s="8"/>
      <c r="Z1449" s="6"/>
    </row>
    <row r="1450" spans="3:26" x14ac:dyDescent="0.25">
      <c r="C1450" s="2"/>
      <c r="J1450" s="8"/>
      <c r="R1450" s="8"/>
      <c r="Z1450" s="6"/>
    </row>
    <row r="1451" spans="3:26" x14ac:dyDescent="0.25">
      <c r="C1451" s="2"/>
      <c r="J1451" s="8"/>
      <c r="R1451" s="8"/>
      <c r="Z1451" s="6"/>
    </row>
    <row r="1452" spans="3:26" x14ac:dyDescent="0.25">
      <c r="C1452" s="2"/>
      <c r="J1452" s="8"/>
      <c r="R1452" s="8"/>
      <c r="Z1452" s="6"/>
    </row>
    <row r="1453" spans="3:26" x14ac:dyDescent="0.25">
      <c r="C1453" s="2"/>
      <c r="J1453" s="8"/>
      <c r="R1453" s="8"/>
      <c r="Z1453" s="6"/>
    </row>
    <row r="1454" spans="3:26" x14ac:dyDescent="0.25">
      <c r="C1454" s="2"/>
      <c r="J1454" s="8"/>
      <c r="R1454" s="8"/>
      <c r="Z1454" s="6"/>
    </row>
    <row r="1455" spans="3:26" x14ac:dyDescent="0.25">
      <c r="C1455" s="2"/>
      <c r="J1455" s="8"/>
      <c r="R1455" s="8"/>
      <c r="Z1455" s="6"/>
    </row>
    <row r="1456" spans="3:26" x14ac:dyDescent="0.25">
      <c r="C1456" s="2"/>
      <c r="J1456" s="8"/>
      <c r="R1456" s="8"/>
      <c r="Z1456" s="6"/>
    </row>
    <row r="1457" spans="3:26" x14ac:dyDescent="0.25">
      <c r="C1457" s="2"/>
      <c r="J1457" s="8"/>
      <c r="R1457" s="8"/>
      <c r="Z1457" s="6"/>
    </row>
    <row r="1458" spans="3:26" x14ac:dyDescent="0.25">
      <c r="C1458" s="2"/>
      <c r="J1458" s="8"/>
      <c r="R1458" s="8"/>
      <c r="Z1458" s="6"/>
    </row>
    <row r="1459" spans="3:26" x14ac:dyDescent="0.25">
      <c r="C1459" s="2"/>
      <c r="J1459" s="8"/>
      <c r="R1459" s="8"/>
      <c r="Z1459" s="6"/>
    </row>
    <row r="1460" spans="3:26" x14ac:dyDescent="0.25">
      <c r="C1460" s="2"/>
      <c r="J1460" s="8"/>
      <c r="R1460" s="8"/>
      <c r="Z1460" s="6"/>
    </row>
    <row r="1461" spans="3:26" x14ac:dyDescent="0.25">
      <c r="C1461" s="2"/>
      <c r="J1461" s="8"/>
      <c r="R1461" s="8"/>
      <c r="Z1461" s="6"/>
    </row>
    <row r="1462" spans="3:26" x14ac:dyDescent="0.25">
      <c r="C1462" s="2"/>
      <c r="J1462" s="8"/>
      <c r="R1462" s="8"/>
      <c r="Z1462" s="6"/>
    </row>
    <row r="1463" spans="3:26" x14ac:dyDescent="0.25">
      <c r="C1463" s="2"/>
      <c r="J1463" s="8"/>
      <c r="R1463" s="8"/>
      <c r="Z1463" s="6"/>
    </row>
    <row r="1464" spans="3:26" x14ac:dyDescent="0.25">
      <c r="C1464" s="2"/>
      <c r="J1464" s="8"/>
      <c r="R1464" s="8"/>
      <c r="Z1464" s="6"/>
    </row>
    <row r="1465" spans="3:26" x14ac:dyDescent="0.25">
      <c r="C1465" s="2"/>
      <c r="J1465" s="8"/>
      <c r="R1465" s="8"/>
      <c r="Z1465" s="6"/>
    </row>
    <row r="1466" spans="3:26" x14ac:dyDescent="0.25">
      <c r="C1466" s="2"/>
      <c r="J1466" s="8"/>
      <c r="R1466" s="8"/>
      <c r="Z1466" s="6"/>
    </row>
    <row r="1467" spans="3:26" x14ac:dyDescent="0.25">
      <c r="C1467" s="2"/>
      <c r="J1467" s="8"/>
      <c r="R1467" s="8"/>
      <c r="Z1467" s="6"/>
    </row>
    <row r="1468" spans="3:26" x14ac:dyDescent="0.25">
      <c r="C1468" s="2"/>
      <c r="J1468" s="8"/>
      <c r="R1468" s="8"/>
      <c r="Z1468" s="6"/>
    </row>
    <row r="1469" spans="3:26" x14ac:dyDescent="0.25">
      <c r="C1469" s="2"/>
      <c r="J1469" s="8"/>
      <c r="R1469" s="8"/>
      <c r="Z1469" s="6"/>
    </row>
    <row r="1470" spans="3:26" x14ac:dyDescent="0.25">
      <c r="C1470" s="2"/>
      <c r="J1470" s="8"/>
      <c r="R1470" s="8"/>
      <c r="Z1470" s="6"/>
    </row>
    <row r="1471" spans="3:26" x14ac:dyDescent="0.25">
      <c r="C1471" s="2"/>
      <c r="J1471" s="8"/>
      <c r="R1471" s="8"/>
      <c r="Z1471" s="6"/>
    </row>
    <row r="1472" spans="3:26" x14ac:dyDescent="0.25">
      <c r="C1472" s="2"/>
      <c r="J1472" s="8"/>
      <c r="R1472" s="8"/>
      <c r="Z1472" s="6"/>
    </row>
    <row r="1473" spans="3:26" x14ac:dyDescent="0.25">
      <c r="C1473" s="2"/>
      <c r="J1473" s="8"/>
      <c r="R1473" s="8"/>
      <c r="Z1473" s="6"/>
    </row>
    <row r="1474" spans="3:26" x14ac:dyDescent="0.25">
      <c r="C1474" s="2"/>
      <c r="J1474" s="8"/>
      <c r="R1474" s="8"/>
      <c r="Z1474" s="6"/>
    </row>
    <row r="1475" spans="3:26" x14ac:dyDescent="0.25">
      <c r="C1475" s="2"/>
      <c r="J1475" s="8"/>
      <c r="R1475" s="8"/>
      <c r="Z1475" s="6"/>
    </row>
    <row r="1476" spans="3:26" x14ac:dyDescent="0.25">
      <c r="C1476" s="2"/>
      <c r="J1476" s="8"/>
      <c r="R1476" s="8"/>
      <c r="Z1476" s="6"/>
    </row>
    <row r="1477" spans="3:26" x14ac:dyDescent="0.25">
      <c r="C1477" s="2"/>
      <c r="J1477" s="8"/>
      <c r="R1477" s="8"/>
      <c r="Z1477" s="6"/>
    </row>
    <row r="1478" spans="3:26" x14ac:dyDescent="0.25">
      <c r="C1478" s="2"/>
      <c r="J1478" s="8"/>
      <c r="R1478" s="8"/>
      <c r="Z1478" s="6"/>
    </row>
    <row r="1479" spans="3:26" x14ac:dyDescent="0.25">
      <c r="C1479" s="2"/>
      <c r="J1479" s="8"/>
      <c r="R1479" s="8"/>
      <c r="Z1479" s="6"/>
    </row>
    <row r="1480" spans="3:26" x14ac:dyDescent="0.25">
      <c r="C1480" s="2"/>
      <c r="J1480" s="8"/>
      <c r="R1480" s="8"/>
      <c r="Z1480" s="6"/>
    </row>
    <row r="1481" spans="3:26" x14ac:dyDescent="0.25">
      <c r="C1481" s="2"/>
      <c r="J1481" s="8"/>
      <c r="R1481" s="8"/>
      <c r="Z1481" s="6"/>
    </row>
    <row r="1482" spans="3:26" x14ac:dyDescent="0.25">
      <c r="C1482" s="2"/>
      <c r="J1482" s="8"/>
      <c r="R1482" s="8"/>
      <c r="Z1482" s="6"/>
    </row>
    <row r="1483" spans="3:26" x14ac:dyDescent="0.25">
      <c r="C1483" s="2"/>
      <c r="J1483" s="8"/>
      <c r="R1483" s="8"/>
      <c r="Z1483" s="6"/>
    </row>
    <row r="1484" spans="3:26" x14ac:dyDescent="0.25">
      <c r="C1484" s="2"/>
      <c r="J1484" s="8"/>
      <c r="R1484" s="8"/>
      <c r="Z1484" s="6"/>
    </row>
    <row r="1485" spans="3:26" x14ac:dyDescent="0.25">
      <c r="C1485" s="2"/>
      <c r="J1485" s="8"/>
      <c r="R1485" s="8"/>
      <c r="Z1485" s="6"/>
    </row>
    <row r="1486" spans="3:26" x14ac:dyDescent="0.25">
      <c r="C1486" s="2"/>
      <c r="J1486" s="8"/>
      <c r="R1486" s="8"/>
      <c r="Z1486" s="6"/>
    </row>
    <row r="1487" spans="3:26" x14ac:dyDescent="0.25">
      <c r="C1487" s="2"/>
      <c r="J1487" s="8"/>
      <c r="R1487" s="8"/>
      <c r="Z1487" s="6"/>
    </row>
    <row r="1488" spans="3:26" x14ac:dyDescent="0.25">
      <c r="C1488" s="2"/>
      <c r="J1488" s="8"/>
      <c r="R1488" s="8"/>
      <c r="Z1488" s="6"/>
    </row>
    <row r="1489" spans="3:26" x14ac:dyDescent="0.25">
      <c r="C1489" s="2"/>
      <c r="J1489" s="8"/>
      <c r="R1489" s="8"/>
      <c r="Z1489" s="6"/>
    </row>
    <row r="1490" spans="3:26" x14ac:dyDescent="0.25">
      <c r="C1490" s="2"/>
      <c r="J1490" s="8"/>
      <c r="R1490" s="8"/>
      <c r="Z1490" s="6"/>
    </row>
    <row r="1491" spans="3:26" x14ac:dyDescent="0.25">
      <c r="C1491" s="2"/>
      <c r="J1491" s="8"/>
      <c r="R1491" s="8"/>
      <c r="Z1491" s="6"/>
    </row>
    <row r="1492" spans="3:26" x14ac:dyDescent="0.25">
      <c r="C1492" s="2"/>
      <c r="J1492" s="8"/>
      <c r="R1492" s="8"/>
      <c r="Z1492" s="6"/>
    </row>
    <row r="1493" spans="3:26" x14ac:dyDescent="0.25">
      <c r="C1493" s="2"/>
      <c r="J1493" s="8"/>
      <c r="R1493" s="8"/>
      <c r="Z1493" s="6"/>
    </row>
    <row r="1494" spans="3:26" x14ac:dyDescent="0.25">
      <c r="C1494" s="2"/>
      <c r="J1494" s="8"/>
      <c r="R1494" s="8"/>
      <c r="Z1494" s="6"/>
    </row>
    <row r="1495" spans="3:26" x14ac:dyDescent="0.25">
      <c r="C1495" s="2"/>
      <c r="J1495" s="8"/>
      <c r="R1495" s="8"/>
      <c r="Z1495" s="6"/>
    </row>
    <row r="1496" spans="3:26" x14ac:dyDescent="0.25">
      <c r="C1496" s="2"/>
      <c r="J1496" s="8"/>
      <c r="R1496" s="8"/>
      <c r="Z1496" s="6"/>
    </row>
    <row r="1497" spans="3:26" x14ac:dyDescent="0.25">
      <c r="C1497" s="2"/>
      <c r="J1497" s="8"/>
      <c r="R1497" s="8"/>
      <c r="Z1497" s="6"/>
    </row>
    <row r="1498" spans="3:26" x14ac:dyDescent="0.25">
      <c r="C1498" s="2"/>
      <c r="J1498" s="8"/>
      <c r="R1498" s="8"/>
      <c r="Z1498" s="6"/>
    </row>
    <row r="1499" spans="3:26" x14ac:dyDescent="0.25">
      <c r="C1499" s="2"/>
      <c r="J1499" s="8"/>
      <c r="R1499" s="8"/>
      <c r="Z1499" s="6"/>
    </row>
    <row r="1500" spans="3:26" x14ac:dyDescent="0.25">
      <c r="C1500" s="2"/>
      <c r="J1500" s="8"/>
      <c r="R1500" s="8"/>
      <c r="Z1500" s="6"/>
    </row>
    <row r="1501" spans="3:26" x14ac:dyDescent="0.25">
      <c r="C1501" s="2"/>
      <c r="J1501" s="8"/>
      <c r="R1501" s="8"/>
      <c r="Z1501" s="6"/>
    </row>
    <row r="1502" spans="3:26" x14ac:dyDescent="0.25">
      <c r="C1502" s="2"/>
      <c r="J1502" s="8"/>
      <c r="R1502" s="8"/>
      <c r="Z1502" s="6"/>
    </row>
    <row r="1503" spans="3:26" x14ac:dyDescent="0.25">
      <c r="C1503" s="2"/>
      <c r="J1503" s="8"/>
      <c r="R1503" s="8"/>
      <c r="Z1503" s="6"/>
    </row>
    <row r="1504" spans="3:26" x14ac:dyDescent="0.25">
      <c r="C1504" s="2"/>
      <c r="J1504" s="8"/>
      <c r="R1504" s="8"/>
      <c r="Z1504" s="6"/>
    </row>
    <row r="1505" spans="3:26" x14ac:dyDescent="0.25">
      <c r="C1505" s="2"/>
      <c r="J1505" s="8"/>
      <c r="R1505" s="8"/>
      <c r="Z1505" s="6"/>
    </row>
    <row r="1506" spans="3:26" x14ac:dyDescent="0.25">
      <c r="C1506" s="2"/>
      <c r="J1506" s="8"/>
      <c r="R1506" s="8"/>
      <c r="Z1506" s="6"/>
    </row>
    <row r="1507" spans="3:26" x14ac:dyDescent="0.25">
      <c r="C1507" s="2"/>
      <c r="J1507" s="8"/>
      <c r="R1507" s="8"/>
      <c r="Y1507" s="3"/>
      <c r="Z1507" s="6"/>
    </row>
    <row r="1508" spans="3:26" x14ac:dyDescent="0.25">
      <c r="C1508" s="2"/>
      <c r="J1508" s="8"/>
      <c r="R1508" s="8"/>
      <c r="Z1508" s="6"/>
    </row>
    <row r="1509" spans="3:26" x14ac:dyDescent="0.25">
      <c r="C1509" s="2"/>
      <c r="J1509" s="8"/>
      <c r="R1509" s="8"/>
      <c r="Z1509" s="6"/>
    </row>
    <row r="1510" spans="3:26" x14ac:dyDescent="0.25">
      <c r="C1510" s="2"/>
      <c r="J1510" s="8"/>
      <c r="R1510" s="8"/>
      <c r="Z1510" s="6"/>
    </row>
    <row r="1511" spans="3:26" x14ac:dyDescent="0.25">
      <c r="C1511" s="2"/>
      <c r="J1511" s="8"/>
      <c r="R1511" s="8"/>
      <c r="Z1511" s="6"/>
    </row>
    <row r="1512" spans="3:26" x14ac:dyDescent="0.25">
      <c r="C1512" s="2"/>
      <c r="J1512" s="8"/>
      <c r="R1512" s="8"/>
      <c r="Z1512" s="6"/>
    </row>
    <row r="1513" spans="3:26" x14ac:dyDescent="0.25">
      <c r="C1513" s="2"/>
      <c r="J1513" s="8"/>
      <c r="R1513" s="8"/>
      <c r="Z1513" s="6"/>
    </row>
    <row r="1514" spans="3:26" x14ac:dyDescent="0.25">
      <c r="C1514" s="2"/>
      <c r="J1514" s="8"/>
      <c r="R1514" s="8"/>
      <c r="Z1514" s="6"/>
    </row>
    <row r="1515" spans="3:26" x14ac:dyDescent="0.25">
      <c r="C1515" s="2"/>
      <c r="J1515" s="8"/>
      <c r="R1515" s="8"/>
      <c r="Z1515" s="6"/>
    </row>
    <row r="1516" spans="3:26" x14ac:dyDescent="0.25">
      <c r="C1516" s="2"/>
      <c r="J1516" s="8"/>
      <c r="R1516" s="8"/>
      <c r="Z1516" s="6"/>
    </row>
    <row r="1517" spans="3:26" x14ac:dyDescent="0.25">
      <c r="C1517" s="2"/>
      <c r="J1517" s="8"/>
      <c r="R1517" s="8"/>
      <c r="Z1517" s="6"/>
    </row>
    <row r="1518" spans="3:26" x14ac:dyDescent="0.25">
      <c r="C1518" s="2"/>
      <c r="J1518" s="8"/>
      <c r="R1518" s="8"/>
      <c r="Z1518" s="6"/>
    </row>
    <row r="1519" spans="3:26" x14ac:dyDescent="0.25">
      <c r="C1519" s="2"/>
      <c r="J1519" s="8"/>
      <c r="R1519" s="8"/>
      <c r="Z1519" s="6"/>
    </row>
    <row r="1520" spans="3:26" x14ac:dyDescent="0.25">
      <c r="C1520" s="2"/>
      <c r="J1520" s="8"/>
      <c r="R1520" s="8"/>
      <c r="Z1520" s="6"/>
    </row>
    <row r="1521" spans="3:26" x14ac:dyDescent="0.25">
      <c r="C1521" s="2"/>
      <c r="J1521" s="8"/>
      <c r="R1521" s="8"/>
      <c r="Z1521" s="6"/>
    </row>
    <row r="1522" spans="3:26" x14ac:dyDescent="0.25">
      <c r="C1522" s="2"/>
      <c r="J1522" s="8"/>
      <c r="R1522" s="8"/>
      <c r="Z1522" s="6"/>
    </row>
    <row r="1523" spans="3:26" x14ac:dyDescent="0.25">
      <c r="C1523" s="2"/>
      <c r="J1523" s="8"/>
      <c r="R1523" s="8"/>
      <c r="Z1523" s="6"/>
    </row>
    <row r="1524" spans="3:26" x14ac:dyDescent="0.25">
      <c r="C1524" s="2"/>
      <c r="J1524" s="8"/>
      <c r="R1524" s="8"/>
      <c r="Z1524" s="6"/>
    </row>
    <row r="1525" spans="3:26" x14ac:dyDescent="0.25">
      <c r="C1525" s="2"/>
      <c r="J1525" s="8"/>
      <c r="R1525" s="8"/>
      <c r="Z1525" s="6"/>
    </row>
    <row r="1526" spans="3:26" x14ac:dyDescent="0.25">
      <c r="C1526" s="2"/>
      <c r="J1526" s="8"/>
      <c r="R1526" s="8"/>
      <c r="Z1526" s="6"/>
    </row>
    <row r="1527" spans="3:26" x14ac:dyDescent="0.25">
      <c r="C1527" s="2"/>
      <c r="J1527" s="8"/>
      <c r="R1527" s="8"/>
      <c r="Z1527" s="6"/>
    </row>
    <row r="1528" spans="3:26" x14ac:dyDescent="0.25">
      <c r="C1528" s="2"/>
      <c r="J1528" s="8"/>
      <c r="R1528" s="8"/>
      <c r="Z1528" s="6"/>
    </row>
    <row r="1529" spans="3:26" x14ac:dyDescent="0.25">
      <c r="C1529" s="2"/>
      <c r="J1529" s="8"/>
      <c r="R1529" s="8"/>
      <c r="Z1529" s="6"/>
    </row>
    <row r="1530" spans="3:26" x14ac:dyDescent="0.25">
      <c r="C1530" s="2"/>
      <c r="J1530" s="8"/>
      <c r="R1530" s="8"/>
      <c r="Z1530" s="6"/>
    </row>
    <row r="1531" spans="3:26" x14ac:dyDescent="0.25">
      <c r="C1531" s="2"/>
      <c r="J1531" s="8"/>
      <c r="R1531" s="8"/>
      <c r="Z1531" s="6"/>
    </row>
    <row r="1532" spans="3:26" x14ac:dyDescent="0.25">
      <c r="C1532" s="2"/>
      <c r="J1532" s="8"/>
      <c r="R1532" s="8"/>
      <c r="Z1532" s="6"/>
    </row>
    <row r="1533" spans="3:26" x14ac:dyDescent="0.25">
      <c r="C1533" s="2"/>
      <c r="J1533" s="8"/>
      <c r="R1533" s="8"/>
      <c r="Z1533" s="6"/>
    </row>
    <row r="1534" spans="3:26" x14ac:dyDescent="0.25">
      <c r="C1534" s="2"/>
      <c r="J1534" s="8"/>
      <c r="R1534" s="8"/>
      <c r="Z1534" s="6"/>
    </row>
    <row r="1535" spans="3:26" x14ac:dyDescent="0.25">
      <c r="C1535" s="2"/>
      <c r="J1535" s="8"/>
      <c r="R1535" s="8"/>
      <c r="Z1535" s="6"/>
    </row>
    <row r="1536" spans="3:26" x14ac:dyDescent="0.25">
      <c r="C1536" s="2"/>
      <c r="J1536" s="8"/>
      <c r="R1536" s="8"/>
      <c r="Z1536" s="6"/>
    </row>
    <row r="1537" spans="3:26" x14ac:dyDescent="0.25">
      <c r="C1537" s="2"/>
      <c r="J1537" s="8"/>
      <c r="R1537" s="8"/>
      <c r="Z1537" s="6"/>
    </row>
    <row r="1538" spans="3:26" x14ac:dyDescent="0.25">
      <c r="C1538" s="2"/>
      <c r="J1538" s="8"/>
      <c r="R1538" s="8"/>
      <c r="Z1538" s="6"/>
    </row>
    <row r="1539" spans="3:26" x14ac:dyDescent="0.25">
      <c r="C1539" s="2"/>
      <c r="J1539" s="8"/>
      <c r="R1539" s="8"/>
      <c r="Z1539" s="6"/>
    </row>
    <row r="1540" spans="3:26" x14ac:dyDescent="0.25">
      <c r="C1540" s="2"/>
      <c r="J1540" s="8"/>
      <c r="R1540" s="8"/>
      <c r="Z1540" s="6"/>
    </row>
    <row r="1541" spans="3:26" x14ac:dyDescent="0.25">
      <c r="C1541" s="2"/>
      <c r="J1541" s="8"/>
      <c r="R1541" s="8"/>
      <c r="Z1541" s="6"/>
    </row>
    <row r="1542" spans="3:26" x14ac:dyDescent="0.25">
      <c r="C1542" s="2"/>
      <c r="J1542" s="8"/>
      <c r="R1542" s="8"/>
      <c r="Z1542" s="6"/>
    </row>
    <row r="1543" spans="3:26" x14ac:dyDescent="0.25">
      <c r="C1543" s="2"/>
      <c r="J1543" s="8"/>
      <c r="R1543" s="8"/>
      <c r="Z1543" s="6"/>
    </row>
    <row r="1544" spans="3:26" x14ac:dyDescent="0.25">
      <c r="C1544" s="2"/>
      <c r="J1544" s="8"/>
      <c r="R1544" s="8"/>
      <c r="Z1544" s="6"/>
    </row>
    <row r="1545" spans="3:26" x14ac:dyDescent="0.25">
      <c r="C1545" s="2"/>
      <c r="J1545" s="8"/>
      <c r="R1545" s="8"/>
      <c r="Z1545" s="6"/>
    </row>
    <row r="1546" spans="3:26" x14ac:dyDescent="0.25">
      <c r="C1546" s="2"/>
      <c r="J1546" s="8"/>
      <c r="R1546" s="8"/>
      <c r="Z1546" s="6"/>
    </row>
    <row r="1547" spans="3:26" x14ac:dyDescent="0.25">
      <c r="C1547" s="2"/>
      <c r="J1547" s="8"/>
      <c r="R1547" s="8"/>
      <c r="Z1547" s="6"/>
    </row>
    <row r="1548" spans="3:26" x14ac:dyDescent="0.25">
      <c r="C1548" s="2"/>
      <c r="J1548" s="8"/>
      <c r="R1548" s="8"/>
      <c r="Z1548" s="6"/>
    </row>
    <row r="1549" spans="3:26" x14ac:dyDescent="0.25">
      <c r="C1549" s="2"/>
      <c r="J1549" s="8"/>
      <c r="R1549" s="8"/>
      <c r="Z1549" s="6"/>
    </row>
    <row r="1550" spans="3:26" x14ac:dyDescent="0.25">
      <c r="C1550" s="2"/>
      <c r="J1550" s="8"/>
      <c r="R1550" s="8"/>
      <c r="Z1550" s="6"/>
    </row>
    <row r="1551" spans="3:26" x14ac:dyDescent="0.25">
      <c r="C1551" s="2"/>
      <c r="J1551" s="8"/>
      <c r="R1551" s="8"/>
      <c r="Z1551" s="6"/>
    </row>
    <row r="1552" spans="3:26" x14ac:dyDescent="0.25">
      <c r="C1552" s="2"/>
      <c r="J1552" s="8"/>
      <c r="R1552" s="8"/>
      <c r="Z1552" s="6"/>
    </row>
    <row r="1553" spans="3:26" x14ac:dyDescent="0.25">
      <c r="C1553" s="2"/>
      <c r="J1553" s="8"/>
      <c r="R1553" s="8"/>
      <c r="Z1553" s="6"/>
    </row>
    <row r="1554" spans="3:26" x14ac:dyDescent="0.25">
      <c r="C1554" s="2"/>
      <c r="J1554" s="8"/>
      <c r="R1554" s="8"/>
      <c r="Z1554" s="6"/>
    </row>
    <row r="1555" spans="3:26" x14ac:dyDescent="0.25">
      <c r="C1555" s="2"/>
      <c r="J1555" s="8"/>
      <c r="R1555" s="8"/>
      <c r="Z1555" s="6"/>
    </row>
    <row r="1556" spans="3:26" x14ac:dyDescent="0.25">
      <c r="C1556" s="2"/>
      <c r="J1556" s="8"/>
      <c r="R1556" s="8"/>
      <c r="Z1556" s="6"/>
    </row>
    <row r="1557" spans="3:26" x14ac:dyDescent="0.25">
      <c r="C1557" s="2"/>
      <c r="J1557" s="8"/>
      <c r="R1557" s="8"/>
      <c r="Z1557" s="6"/>
    </row>
    <row r="1558" spans="3:26" x14ac:dyDescent="0.25">
      <c r="C1558" s="2"/>
      <c r="J1558" s="8"/>
      <c r="R1558" s="8"/>
      <c r="Z1558" s="6"/>
    </row>
    <row r="1559" spans="3:26" x14ac:dyDescent="0.25">
      <c r="C1559" s="2"/>
      <c r="J1559" s="8"/>
      <c r="R1559" s="8"/>
      <c r="Z1559" s="6"/>
    </row>
    <row r="1560" spans="3:26" x14ac:dyDescent="0.25">
      <c r="C1560" s="2"/>
      <c r="J1560" s="8"/>
      <c r="R1560" s="8"/>
      <c r="Z1560" s="6"/>
    </row>
    <row r="1561" spans="3:26" x14ac:dyDescent="0.25">
      <c r="C1561" s="2"/>
      <c r="J1561" s="8"/>
      <c r="R1561" s="8"/>
      <c r="Z1561" s="6"/>
    </row>
    <row r="1562" spans="3:26" x14ac:dyDescent="0.25">
      <c r="C1562" s="2"/>
      <c r="J1562" s="8"/>
      <c r="R1562" s="8"/>
      <c r="Z1562" s="6"/>
    </row>
    <row r="1563" spans="3:26" x14ac:dyDescent="0.25">
      <c r="C1563" s="2"/>
      <c r="J1563" s="8"/>
      <c r="R1563" s="8"/>
      <c r="Z1563" s="6"/>
    </row>
    <row r="1564" spans="3:26" x14ac:dyDescent="0.25">
      <c r="C1564" s="2"/>
      <c r="J1564" s="8"/>
      <c r="R1564" s="8"/>
      <c r="Z1564" s="6"/>
    </row>
    <row r="1565" spans="3:26" x14ac:dyDescent="0.25">
      <c r="C1565" s="2"/>
      <c r="J1565" s="8"/>
      <c r="R1565" s="8"/>
      <c r="Z1565" s="6"/>
    </row>
    <row r="1566" spans="3:26" x14ac:dyDescent="0.25">
      <c r="C1566" s="2"/>
      <c r="J1566" s="8"/>
      <c r="R1566" s="8"/>
      <c r="Z1566" s="6"/>
    </row>
    <row r="1567" spans="3:26" x14ac:dyDescent="0.25">
      <c r="C1567" s="2"/>
      <c r="J1567" s="8"/>
      <c r="R1567" s="8"/>
      <c r="Z1567" s="6"/>
    </row>
    <row r="1568" spans="3:26" x14ac:dyDescent="0.25">
      <c r="C1568" s="2"/>
      <c r="J1568" s="8"/>
      <c r="R1568" s="8"/>
      <c r="Z1568" s="6"/>
    </row>
    <row r="1569" spans="3:26" x14ac:dyDescent="0.25">
      <c r="C1569" s="2"/>
      <c r="J1569" s="8"/>
      <c r="R1569" s="8"/>
      <c r="Z1569" s="6"/>
    </row>
    <row r="1570" spans="3:26" x14ac:dyDescent="0.25">
      <c r="C1570" s="2"/>
      <c r="J1570" s="8"/>
      <c r="R1570" s="8"/>
      <c r="Z1570" s="6"/>
    </row>
    <row r="1571" spans="3:26" x14ac:dyDescent="0.25">
      <c r="C1571" s="2"/>
      <c r="J1571" s="8"/>
      <c r="R1571" s="8"/>
      <c r="Z1571" s="6"/>
    </row>
    <row r="1572" spans="3:26" x14ac:dyDescent="0.25">
      <c r="C1572" s="2"/>
      <c r="J1572" s="8"/>
      <c r="R1572" s="8"/>
      <c r="Z1572" s="6"/>
    </row>
    <row r="1573" spans="3:26" x14ac:dyDescent="0.25">
      <c r="C1573" s="2"/>
      <c r="J1573" s="8"/>
      <c r="R1573" s="8"/>
      <c r="Z1573" s="6"/>
    </row>
    <row r="1574" spans="3:26" x14ac:dyDescent="0.25">
      <c r="C1574" s="2"/>
      <c r="J1574" s="8"/>
      <c r="R1574" s="8"/>
      <c r="Z1574" s="6"/>
    </row>
    <row r="1575" spans="3:26" x14ac:dyDescent="0.25">
      <c r="C1575" s="2"/>
      <c r="J1575" s="8"/>
      <c r="R1575" s="8"/>
      <c r="Z1575" s="6"/>
    </row>
    <row r="1576" spans="3:26" x14ac:dyDescent="0.25">
      <c r="C1576" s="2"/>
      <c r="J1576" s="8"/>
      <c r="R1576" s="8"/>
      <c r="Z1576" s="6"/>
    </row>
    <row r="1577" spans="3:26" x14ac:dyDescent="0.25">
      <c r="C1577" s="2"/>
      <c r="J1577" s="8"/>
      <c r="R1577" s="8"/>
      <c r="Z1577" s="6"/>
    </row>
    <row r="1578" spans="3:26" x14ac:dyDescent="0.25">
      <c r="C1578" s="2"/>
      <c r="J1578" s="8"/>
      <c r="R1578" s="8"/>
      <c r="Z1578" s="6"/>
    </row>
    <row r="1579" spans="3:26" x14ac:dyDescent="0.25">
      <c r="C1579" s="2"/>
      <c r="J1579" s="8"/>
      <c r="R1579" s="8"/>
      <c r="Z1579" s="6"/>
    </row>
    <row r="1580" spans="3:26" x14ac:dyDescent="0.25">
      <c r="C1580" s="2"/>
      <c r="J1580" s="8"/>
      <c r="R1580" s="8"/>
      <c r="Z1580" s="6"/>
    </row>
    <row r="1581" spans="3:26" x14ac:dyDescent="0.25">
      <c r="C1581" s="2"/>
      <c r="J1581" s="8"/>
      <c r="R1581" s="8"/>
      <c r="Z1581" s="6"/>
    </row>
    <row r="1582" spans="3:26" x14ac:dyDescent="0.25">
      <c r="C1582" s="2"/>
      <c r="J1582" s="8"/>
      <c r="R1582" s="8"/>
      <c r="Z1582" s="6"/>
    </row>
    <row r="1583" spans="3:26" x14ac:dyDescent="0.25">
      <c r="C1583" s="2"/>
      <c r="J1583" s="8"/>
      <c r="R1583" s="8"/>
      <c r="Z1583" s="6"/>
    </row>
    <row r="1584" spans="3:26" x14ac:dyDescent="0.25">
      <c r="C1584" s="2"/>
      <c r="J1584" s="8"/>
      <c r="R1584" s="8"/>
      <c r="Z1584" s="6"/>
    </row>
    <row r="1585" spans="3:26" x14ac:dyDescent="0.25">
      <c r="C1585" s="2"/>
      <c r="J1585" s="8"/>
      <c r="R1585" s="8"/>
      <c r="Z1585" s="6"/>
    </row>
    <row r="1586" spans="3:26" x14ac:dyDescent="0.25">
      <c r="C1586" s="2"/>
      <c r="J1586" s="8"/>
      <c r="R1586" s="8"/>
      <c r="Z1586" s="6"/>
    </row>
    <row r="1587" spans="3:26" x14ac:dyDescent="0.25">
      <c r="C1587" s="2"/>
      <c r="J1587" s="8"/>
      <c r="R1587" s="8"/>
      <c r="Z1587" s="6"/>
    </row>
    <row r="1588" spans="3:26" x14ac:dyDescent="0.25">
      <c r="C1588" s="2"/>
      <c r="J1588" s="8"/>
      <c r="R1588" s="8"/>
      <c r="Z1588" s="6"/>
    </row>
    <row r="1589" spans="3:26" x14ac:dyDescent="0.25">
      <c r="C1589" s="2"/>
      <c r="J1589" s="8"/>
      <c r="R1589" s="8"/>
      <c r="Z1589" s="6"/>
    </row>
    <row r="1590" spans="3:26" x14ac:dyDescent="0.25">
      <c r="C1590" s="2"/>
      <c r="J1590" s="8"/>
      <c r="R1590" s="8"/>
      <c r="Z1590" s="6"/>
    </row>
    <row r="1591" spans="3:26" x14ac:dyDescent="0.25">
      <c r="C1591" s="2"/>
      <c r="J1591" s="8"/>
      <c r="R1591" s="8"/>
      <c r="Z1591" s="6"/>
    </row>
    <row r="1592" spans="3:26" x14ac:dyDescent="0.25">
      <c r="C1592" s="2"/>
      <c r="J1592" s="8"/>
      <c r="R1592" s="8"/>
      <c r="Z1592" s="6"/>
    </row>
    <row r="1593" spans="3:26" x14ac:dyDescent="0.25">
      <c r="C1593" s="2"/>
      <c r="J1593" s="8"/>
      <c r="R1593" s="8"/>
      <c r="Z1593" s="6"/>
    </row>
    <row r="1594" spans="3:26" x14ac:dyDescent="0.25">
      <c r="C1594" s="2"/>
      <c r="J1594" s="8"/>
      <c r="R1594" s="8"/>
      <c r="Z1594" s="6"/>
    </row>
    <row r="1595" spans="3:26" x14ac:dyDescent="0.25">
      <c r="C1595" s="2"/>
      <c r="J1595" s="8"/>
      <c r="R1595" s="8"/>
      <c r="Z1595" s="6"/>
    </row>
    <row r="1596" spans="3:26" x14ac:dyDescent="0.25">
      <c r="C1596" s="2"/>
      <c r="J1596" s="8"/>
      <c r="R1596" s="8"/>
      <c r="Z1596" s="6"/>
    </row>
    <row r="1597" spans="3:26" x14ac:dyDescent="0.25">
      <c r="C1597" s="2"/>
      <c r="J1597" s="8"/>
      <c r="R1597" s="8"/>
      <c r="Z1597" s="6"/>
    </row>
    <row r="1598" spans="3:26" x14ac:dyDescent="0.25">
      <c r="C1598" s="2"/>
      <c r="J1598" s="8"/>
      <c r="R1598" s="8"/>
      <c r="Z1598" s="6"/>
    </row>
    <row r="1599" spans="3:26" x14ac:dyDescent="0.25">
      <c r="C1599" s="2"/>
      <c r="J1599" s="8"/>
      <c r="R1599" s="8"/>
      <c r="Z1599" s="6"/>
    </row>
    <row r="1600" spans="3:26" x14ac:dyDescent="0.25">
      <c r="C1600" s="2"/>
      <c r="J1600" s="8"/>
      <c r="R1600" s="8"/>
      <c r="Z1600" s="6"/>
    </row>
    <row r="1601" spans="3:26" x14ac:dyDescent="0.25">
      <c r="C1601" s="2"/>
      <c r="J1601" s="8"/>
      <c r="R1601" s="8"/>
      <c r="Z1601" s="6"/>
    </row>
    <row r="1602" spans="3:26" x14ac:dyDescent="0.25">
      <c r="C1602" s="2"/>
      <c r="J1602" s="8"/>
      <c r="R1602" s="8"/>
      <c r="Z1602" s="6"/>
    </row>
    <row r="1603" spans="3:26" x14ac:dyDescent="0.25">
      <c r="C1603" s="2"/>
      <c r="J1603" s="8"/>
      <c r="R1603" s="8"/>
      <c r="Z1603" s="6"/>
    </row>
    <row r="1604" spans="3:26" x14ac:dyDescent="0.25">
      <c r="C1604" s="2"/>
      <c r="J1604" s="8"/>
      <c r="R1604" s="8"/>
      <c r="Z1604" s="6"/>
    </row>
    <row r="1605" spans="3:26" x14ac:dyDescent="0.25">
      <c r="C1605" s="2"/>
      <c r="J1605" s="8"/>
      <c r="R1605" s="8"/>
      <c r="Z1605" s="6"/>
    </row>
    <row r="1606" spans="3:26" x14ac:dyDescent="0.25">
      <c r="C1606" s="2"/>
      <c r="J1606" s="8"/>
      <c r="R1606" s="8"/>
      <c r="Z1606" s="6"/>
    </row>
    <row r="1607" spans="3:26" x14ac:dyDescent="0.25">
      <c r="C1607" s="2"/>
      <c r="J1607" s="8"/>
      <c r="R1607" s="8"/>
      <c r="Z1607" s="6"/>
    </row>
    <row r="1608" spans="3:26" x14ac:dyDescent="0.25">
      <c r="C1608" s="2"/>
      <c r="J1608" s="8"/>
      <c r="R1608" s="8"/>
      <c r="Z1608" s="6"/>
    </row>
    <row r="1609" spans="3:26" x14ac:dyDescent="0.25">
      <c r="C1609" s="2"/>
      <c r="J1609" s="8"/>
      <c r="R1609" s="8"/>
      <c r="Z1609" s="6"/>
    </row>
    <row r="1610" spans="3:26" x14ac:dyDescent="0.25">
      <c r="C1610" s="2"/>
      <c r="J1610" s="8"/>
      <c r="R1610" s="8"/>
      <c r="Z1610" s="6"/>
    </row>
    <row r="1611" spans="3:26" x14ac:dyDescent="0.25">
      <c r="C1611" s="2"/>
      <c r="J1611" s="8"/>
      <c r="R1611" s="8"/>
      <c r="Z1611" s="6"/>
    </row>
    <row r="1612" spans="3:26" x14ac:dyDescent="0.25">
      <c r="C1612" s="2"/>
      <c r="J1612" s="8"/>
      <c r="R1612" s="8"/>
      <c r="Z1612" s="6"/>
    </row>
    <row r="1613" spans="3:26" x14ac:dyDescent="0.25">
      <c r="C1613" s="2"/>
      <c r="J1613" s="8"/>
      <c r="R1613" s="8"/>
      <c r="Z1613" s="6"/>
    </row>
    <row r="1614" spans="3:26" x14ac:dyDescent="0.25">
      <c r="C1614" s="2"/>
      <c r="J1614" s="8"/>
      <c r="R1614" s="8"/>
      <c r="Z1614" s="6"/>
    </row>
    <row r="1615" spans="3:26" x14ac:dyDescent="0.25">
      <c r="C1615" s="2"/>
      <c r="J1615" s="8"/>
      <c r="R1615" s="8"/>
      <c r="Z1615" s="6"/>
    </row>
    <row r="1616" spans="3:26" x14ac:dyDescent="0.25">
      <c r="C1616" s="2"/>
      <c r="J1616" s="8"/>
      <c r="R1616" s="8"/>
      <c r="Z1616" s="6"/>
    </row>
    <row r="1617" spans="3:26" x14ac:dyDescent="0.25">
      <c r="C1617" s="2"/>
      <c r="J1617" s="8"/>
      <c r="R1617" s="8"/>
      <c r="Z1617" s="6"/>
    </row>
    <row r="1618" spans="3:26" x14ac:dyDescent="0.25">
      <c r="C1618" s="2"/>
      <c r="J1618" s="8"/>
      <c r="R1618" s="8"/>
      <c r="Z1618" s="6"/>
    </row>
    <row r="1619" spans="3:26" x14ac:dyDescent="0.25">
      <c r="C1619" s="2"/>
      <c r="J1619" s="8"/>
      <c r="R1619" s="8"/>
      <c r="Z1619" s="6"/>
    </row>
    <row r="1620" spans="3:26" x14ac:dyDescent="0.25">
      <c r="C1620" s="2"/>
      <c r="J1620" s="8"/>
      <c r="R1620" s="8"/>
      <c r="Z1620" s="6"/>
    </row>
    <row r="1621" spans="3:26" x14ac:dyDescent="0.25">
      <c r="C1621" s="2"/>
      <c r="J1621" s="8"/>
      <c r="R1621" s="8"/>
      <c r="Z1621" s="6"/>
    </row>
    <row r="1622" spans="3:26" x14ac:dyDescent="0.25">
      <c r="C1622" s="2"/>
      <c r="J1622" s="8"/>
      <c r="R1622" s="8"/>
      <c r="Z1622" s="6"/>
    </row>
    <row r="1623" spans="3:26" x14ac:dyDescent="0.25">
      <c r="C1623" s="2"/>
      <c r="J1623" s="8"/>
      <c r="R1623" s="8"/>
      <c r="Z1623" s="6"/>
    </row>
    <row r="1624" spans="3:26" x14ac:dyDescent="0.25">
      <c r="C1624" s="2"/>
      <c r="J1624" s="8"/>
      <c r="R1624" s="8"/>
      <c r="Z1624" s="6"/>
    </row>
    <row r="1625" spans="3:26" x14ac:dyDescent="0.25">
      <c r="C1625" s="2"/>
      <c r="J1625" s="8"/>
      <c r="R1625" s="8"/>
      <c r="Z1625" s="6"/>
    </row>
    <row r="1626" spans="3:26" x14ac:dyDescent="0.25">
      <c r="C1626" s="2"/>
      <c r="J1626" s="8"/>
      <c r="R1626" s="8"/>
      <c r="Z1626" s="6"/>
    </row>
    <row r="1627" spans="3:26" x14ac:dyDescent="0.25">
      <c r="C1627" s="2"/>
      <c r="J1627" s="8"/>
      <c r="R1627" s="8"/>
      <c r="Z1627" s="6"/>
    </row>
    <row r="1628" spans="3:26" x14ac:dyDescent="0.25">
      <c r="C1628" s="2"/>
      <c r="J1628" s="8"/>
      <c r="R1628" s="8"/>
      <c r="Z1628" s="6"/>
    </row>
    <row r="1629" spans="3:26" x14ac:dyDescent="0.25">
      <c r="C1629" s="2"/>
      <c r="J1629" s="8"/>
      <c r="R1629" s="8"/>
      <c r="Z1629" s="6"/>
    </row>
    <row r="1630" spans="3:26" x14ac:dyDescent="0.25">
      <c r="C1630" s="2"/>
      <c r="J1630" s="8"/>
      <c r="R1630" s="8"/>
      <c r="Z1630" s="6"/>
    </row>
    <row r="1631" spans="3:26" x14ac:dyDescent="0.25">
      <c r="C1631" s="2"/>
      <c r="J1631" s="8"/>
      <c r="R1631" s="8"/>
      <c r="Z1631" s="6"/>
    </row>
    <row r="1632" spans="3:26" x14ac:dyDescent="0.25">
      <c r="C1632" s="2"/>
      <c r="J1632" s="8"/>
      <c r="R1632" s="8"/>
      <c r="Z1632" s="6"/>
    </row>
    <row r="1633" spans="3:26" x14ac:dyDescent="0.25">
      <c r="C1633" s="2"/>
      <c r="J1633" s="8"/>
      <c r="R1633" s="8"/>
      <c r="Z1633" s="6"/>
    </row>
    <row r="1634" spans="3:26" x14ac:dyDescent="0.25">
      <c r="C1634" s="2"/>
      <c r="J1634" s="8"/>
      <c r="R1634" s="8"/>
      <c r="Z1634" s="6"/>
    </row>
    <row r="1635" spans="3:26" x14ac:dyDescent="0.25">
      <c r="C1635" s="2"/>
      <c r="J1635" s="8"/>
      <c r="R1635" s="8"/>
      <c r="Z1635" s="6"/>
    </row>
    <row r="1636" spans="3:26" x14ac:dyDescent="0.25">
      <c r="C1636" s="2"/>
      <c r="J1636" s="8"/>
      <c r="R1636" s="8"/>
      <c r="Z1636" s="6"/>
    </row>
    <row r="1637" spans="3:26" x14ac:dyDescent="0.25">
      <c r="C1637" s="2"/>
      <c r="J1637" s="8"/>
      <c r="R1637" s="8"/>
      <c r="Z1637" s="6"/>
    </row>
    <row r="1638" spans="3:26" x14ac:dyDescent="0.25">
      <c r="C1638" s="2"/>
      <c r="J1638" s="8"/>
      <c r="R1638" s="8"/>
      <c r="Z1638" s="6"/>
    </row>
    <row r="1639" spans="3:26" x14ac:dyDescent="0.25">
      <c r="C1639" s="2"/>
      <c r="J1639" s="8"/>
      <c r="R1639" s="8"/>
      <c r="Z1639" s="6"/>
    </row>
    <row r="1640" spans="3:26" x14ac:dyDescent="0.25">
      <c r="C1640" s="2"/>
      <c r="J1640" s="8"/>
      <c r="R1640" s="8"/>
      <c r="Z1640" s="6"/>
    </row>
    <row r="1641" spans="3:26" x14ac:dyDescent="0.25">
      <c r="C1641" s="2"/>
      <c r="J1641" s="8"/>
      <c r="R1641" s="8"/>
      <c r="Z1641" s="6"/>
    </row>
    <row r="1642" spans="3:26" x14ac:dyDescent="0.25">
      <c r="C1642" s="2"/>
      <c r="J1642" s="8"/>
      <c r="R1642" s="8"/>
      <c r="Z1642" s="6"/>
    </row>
    <row r="1643" spans="3:26" x14ac:dyDescent="0.25">
      <c r="C1643" s="2"/>
      <c r="J1643" s="8"/>
      <c r="R1643" s="8"/>
      <c r="Z1643" s="6"/>
    </row>
    <row r="1644" spans="3:26" x14ac:dyDescent="0.25">
      <c r="C1644" s="2"/>
      <c r="J1644" s="8"/>
      <c r="R1644" s="8"/>
      <c r="Z1644" s="6"/>
    </row>
    <row r="1645" spans="3:26" x14ac:dyDescent="0.25">
      <c r="C1645" s="2"/>
      <c r="J1645" s="8"/>
      <c r="R1645" s="8"/>
      <c r="Z1645" s="6"/>
    </row>
    <row r="1646" spans="3:26" x14ac:dyDescent="0.25">
      <c r="C1646" s="2"/>
      <c r="J1646" s="8"/>
      <c r="R1646" s="8"/>
      <c r="Z1646" s="6"/>
    </row>
    <row r="1647" spans="3:26" x14ac:dyDescent="0.25">
      <c r="C1647" s="2"/>
      <c r="J1647" s="8"/>
      <c r="R1647" s="8"/>
      <c r="Z1647" s="6"/>
    </row>
    <row r="1648" spans="3:26" x14ac:dyDescent="0.25">
      <c r="C1648" s="2"/>
      <c r="J1648" s="8"/>
      <c r="R1648" s="8"/>
      <c r="Z1648" s="6"/>
    </row>
    <row r="1649" spans="3:26" x14ac:dyDescent="0.25">
      <c r="C1649" s="2"/>
      <c r="J1649" s="8"/>
      <c r="R1649" s="8"/>
      <c r="Z1649" s="6"/>
    </row>
    <row r="1650" spans="3:26" x14ac:dyDescent="0.25">
      <c r="C1650" s="2"/>
      <c r="J1650" s="8"/>
      <c r="R1650" s="8"/>
      <c r="Z1650" s="6"/>
    </row>
    <row r="1651" spans="3:26" x14ac:dyDescent="0.25">
      <c r="C1651" s="2"/>
      <c r="J1651" s="8"/>
      <c r="R1651" s="8"/>
      <c r="Z1651" s="6"/>
    </row>
    <row r="1652" spans="3:26" x14ac:dyDescent="0.25">
      <c r="C1652" s="2"/>
      <c r="J1652" s="8"/>
      <c r="R1652" s="8"/>
      <c r="Z1652" s="6"/>
    </row>
    <row r="1653" spans="3:26" x14ac:dyDescent="0.25">
      <c r="C1653" s="2"/>
      <c r="J1653" s="8"/>
      <c r="R1653" s="8"/>
      <c r="Z1653" s="6"/>
    </row>
    <row r="1654" spans="3:26" x14ac:dyDescent="0.25">
      <c r="C1654" s="2"/>
      <c r="J1654" s="8"/>
      <c r="R1654" s="8"/>
      <c r="Z1654" s="6"/>
    </row>
    <row r="1655" spans="3:26" x14ac:dyDescent="0.25">
      <c r="C1655" s="2"/>
      <c r="J1655" s="8"/>
      <c r="R1655" s="8"/>
      <c r="Z1655" s="6"/>
    </row>
    <row r="1656" spans="3:26" x14ac:dyDescent="0.25">
      <c r="C1656" s="2"/>
      <c r="J1656" s="8"/>
      <c r="R1656" s="8"/>
      <c r="Z1656" s="6"/>
    </row>
    <row r="1657" spans="3:26" x14ac:dyDescent="0.25">
      <c r="C1657" s="2"/>
      <c r="J1657" s="8"/>
      <c r="R1657" s="8"/>
      <c r="Z1657" s="6"/>
    </row>
    <row r="1658" spans="3:26" x14ac:dyDescent="0.25">
      <c r="C1658" s="2"/>
      <c r="J1658" s="8"/>
      <c r="R1658" s="8"/>
      <c r="Z1658" s="6"/>
    </row>
    <row r="1659" spans="3:26" x14ac:dyDescent="0.25">
      <c r="C1659" s="2"/>
      <c r="J1659" s="8"/>
      <c r="R1659" s="8"/>
      <c r="Z1659" s="6"/>
    </row>
    <row r="1660" spans="3:26" x14ac:dyDescent="0.25">
      <c r="C1660" s="2"/>
      <c r="J1660" s="8"/>
      <c r="R1660" s="8"/>
      <c r="Z1660" s="6"/>
    </row>
    <row r="1661" spans="3:26" x14ac:dyDescent="0.25">
      <c r="C1661" s="2"/>
      <c r="J1661" s="8"/>
      <c r="R1661" s="8"/>
      <c r="Z1661" s="6"/>
    </row>
    <row r="1662" spans="3:26" x14ac:dyDescent="0.25">
      <c r="C1662" s="2"/>
      <c r="J1662" s="8"/>
      <c r="R1662" s="8"/>
      <c r="Z1662" s="6"/>
    </row>
    <row r="1663" spans="3:26" x14ac:dyDescent="0.25">
      <c r="C1663" s="2"/>
      <c r="J1663" s="8"/>
      <c r="R1663" s="8"/>
      <c r="Z1663" s="6"/>
    </row>
    <row r="1664" spans="3:26" x14ac:dyDescent="0.25">
      <c r="C1664" s="2"/>
      <c r="J1664" s="8"/>
      <c r="R1664" s="8"/>
      <c r="Z1664" s="6"/>
    </row>
    <row r="1665" spans="3:26" x14ac:dyDescent="0.25">
      <c r="C1665" s="2"/>
      <c r="J1665" s="8"/>
      <c r="R1665" s="8"/>
      <c r="Z1665" s="6"/>
    </row>
    <row r="1666" spans="3:26" x14ac:dyDescent="0.25">
      <c r="C1666" s="2"/>
      <c r="J1666" s="8"/>
      <c r="R1666" s="8"/>
      <c r="Z1666" s="6"/>
    </row>
    <row r="1667" spans="3:26" x14ac:dyDescent="0.25">
      <c r="C1667" s="2"/>
      <c r="J1667" s="8"/>
      <c r="R1667" s="8"/>
      <c r="Z1667" s="6"/>
    </row>
    <row r="1668" spans="3:26" x14ac:dyDescent="0.25">
      <c r="C1668" s="2"/>
      <c r="J1668" s="8"/>
      <c r="R1668" s="8"/>
      <c r="Z1668" s="6"/>
    </row>
    <row r="1669" spans="3:26" x14ac:dyDescent="0.25">
      <c r="C1669" s="2"/>
      <c r="J1669" s="8"/>
      <c r="R1669" s="8"/>
      <c r="Z1669" s="6"/>
    </row>
    <row r="1670" spans="3:26" x14ac:dyDescent="0.25">
      <c r="C1670" s="2"/>
      <c r="J1670" s="8"/>
      <c r="R1670" s="8"/>
      <c r="Z1670" s="6"/>
    </row>
    <row r="1671" spans="3:26" x14ac:dyDescent="0.25">
      <c r="C1671" s="2"/>
      <c r="J1671" s="8"/>
      <c r="R1671" s="8"/>
      <c r="Z1671" s="6"/>
    </row>
    <row r="1672" spans="3:26" x14ac:dyDescent="0.25">
      <c r="C1672" s="2"/>
      <c r="J1672" s="8"/>
      <c r="R1672" s="8"/>
      <c r="Z1672" s="6"/>
    </row>
    <row r="1673" spans="3:26" x14ac:dyDescent="0.25">
      <c r="C1673" s="2"/>
      <c r="J1673" s="8"/>
      <c r="R1673" s="8"/>
      <c r="Z1673" s="6"/>
    </row>
    <row r="1674" spans="3:26" x14ac:dyDescent="0.25">
      <c r="C1674" s="2"/>
      <c r="J1674" s="8"/>
      <c r="R1674" s="8"/>
      <c r="Z1674" s="6"/>
    </row>
    <row r="1675" spans="3:26" x14ac:dyDescent="0.25">
      <c r="C1675" s="2"/>
      <c r="J1675" s="8"/>
      <c r="R1675" s="8"/>
      <c r="Z1675" s="6"/>
    </row>
    <row r="1676" spans="3:26" x14ac:dyDescent="0.25">
      <c r="C1676" s="2"/>
      <c r="J1676" s="8"/>
      <c r="R1676" s="8"/>
      <c r="Z1676" s="6"/>
    </row>
    <row r="1677" spans="3:26" x14ac:dyDescent="0.25">
      <c r="C1677" s="2"/>
      <c r="J1677" s="8"/>
      <c r="R1677" s="8"/>
      <c r="Z1677" s="6"/>
    </row>
    <row r="1678" spans="3:26" x14ac:dyDescent="0.25">
      <c r="C1678" s="2"/>
      <c r="J1678" s="8"/>
      <c r="R1678" s="8"/>
      <c r="Z1678" s="6"/>
    </row>
    <row r="1679" spans="3:26" x14ac:dyDescent="0.25">
      <c r="C1679" s="2"/>
      <c r="J1679" s="8"/>
      <c r="R1679" s="8"/>
      <c r="Z1679" s="6"/>
    </row>
    <row r="1680" spans="3:26" x14ac:dyDescent="0.25">
      <c r="C1680" s="2"/>
      <c r="J1680" s="8"/>
      <c r="R1680" s="8"/>
      <c r="Z1680" s="6"/>
    </row>
    <row r="1681" spans="3:26" x14ac:dyDescent="0.25">
      <c r="C1681" s="2"/>
      <c r="J1681" s="8"/>
      <c r="R1681" s="8"/>
      <c r="Z1681" s="6"/>
    </row>
    <row r="1682" spans="3:26" x14ac:dyDescent="0.25">
      <c r="C1682" s="2"/>
      <c r="J1682" s="8"/>
      <c r="R1682" s="8"/>
      <c r="Z1682" s="6"/>
    </row>
    <row r="1683" spans="3:26" x14ac:dyDescent="0.25">
      <c r="C1683" s="2"/>
      <c r="J1683" s="8"/>
      <c r="R1683" s="8"/>
      <c r="Z1683" s="6"/>
    </row>
    <row r="1684" spans="3:26" x14ac:dyDescent="0.25">
      <c r="C1684" s="2"/>
      <c r="J1684" s="8"/>
      <c r="R1684" s="8"/>
      <c r="Z1684" s="6"/>
    </row>
    <row r="1685" spans="3:26" x14ac:dyDescent="0.25">
      <c r="C1685" s="2"/>
      <c r="J1685" s="8"/>
      <c r="R1685" s="8"/>
      <c r="Z1685" s="6"/>
    </row>
    <row r="1686" spans="3:26" x14ac:dyDescent="0.25">
      <c r="C1686" s="2"/>
      <c r="J1686" s="8"/>
      <c r="R1686" s="8"/>
      <c r="Z1686" s="6"/>
    </row>
    <row r="1687" spans="3:26" x14ac:dyDescent="0.25">
      <c r="C1687" s="2"/>
      <c r="J1687" s="8"/>
      <c r="R1687" s="8"/>
      <c r="Z1687" s="6"/>
    </row>
    <row r="1688" spans="3:26" x14ac:dyDescent="0.25">
      <c r="C1688" s="2"/>
      <c r="J1688" s="8"/>
      <c r="R1688" s="8"/>
      <c r="Z1688" s="6"/>
    </row>
    <row r="1689" spans="3:26" x14ac:dyDescent="0.25">
      <c r="C1689" s="2"/>
      <c r="J1689" s="8"/>
      <c r="R1689" s="8"/>
      <c r="Z1689" s="6"/>
    </row>
    <row r="1690" spans="3:26" x14ac:dyDescent="0.25">
      <c r="C1690" s="2"/>
      <c r="J1690" s="8"/>
      <c r="R1690" s="8"/>
      <c r="Z1690" s="6"/>
    </row>
    <row r="1691" spans="3:26" x14ac:dyDescent="0.25">
      <c r="C1691" s="2"/>
      <c r="J1691" s="8"/>
      <c r="R1691" s="8"/>
      <c r="Z1691" s="6"/>
    </row>
    <row r="1692" spans="3:26" x14ac:dyDescent="0.25">
      <c r="C1692" s="2"/>
      <c r="J1692" s="8"/>
      <c r="R1692" s="8"/>
      <c r="Z1692" s="6"/>
    </row>
    <row r="1693" spans="3:26" x14ac:dyDescent="0.25">
      <c r="C1693" s="2"/>
      <c r="J1693" s="8"/>
      <c r="R1693" s="8"/>
      <c r="Z1693" s="6"/>
    </row>
    <row r="1694" spans="3:26" x14ac:dyDescent="0.25">
      <c r="C1694" s="2"/>
      <c r="J1694" s="8"/>
      <c r="R1694" s="8"/>
      <c r="Z1694" s="6"/>
    </row>
    <row r="1695" spans="3:26" x14ac:dyDescent="0.25">
      <c r="C1695" s="2"/>
      <c r="J1695" s="8"/>
      <c r="R1695" s="8"/>
      <c r="Z1695" s="6"/>
    </row>
    <row r="1696" spans="3:26" x14ac:dyDescent="0.25">
      <c r="C1696" s="2"/>
      <c r="J1696" s="8"/>
      <c r="R1696" s="8"/>
      <c r="Z1696" s="6"/>
    </row>
    <row r="1697" spans="3:26" x14ac:dyDescent="0.25">
      <c r="C1697" s="2"/>
      <c r="J1697" s="8"/>
      <c r="R1697" s="8"/>
      <c r="Z1697" s="6"/>
    </row>
    <row r="1698" spans="3:26" x14ac:dyDescent="0.25">
      <c r="C1698" s="2"/>
      <c r="J1698" s="8"/>
      <c r="R1698" s="8"/>
      <c r="Z1698" s="6"/>
    </row>
    <row r="1699" spans="3:26" x14ac:dyDescent="0.25">
      <c r="C1699" s="2"/>
      <c r="J1699" s="8"/>
      <c r="R1699" s="8"/>
      <c r="Z1699" s="6"/>
    </row>
    <row r="1700" spans="3:26" x14ac:dyDescent="0.25">
      <c r="C1700" s="2"/>
      <c r="J1700" s="8"/>
      <c r="R1700" s="8"/>
      <c r="Z1700" s="6"/>
    </row>
    <row r="1701" spans="3:26" x14ac:dyDescent="0.25">
      <c r="C1701" s="2"/>
      <c r="J1701" s="8"/>
      <c r="R1701" s="8"/>
      <c r="Z1701" s="6"/>
    </row>
    <row r="1702" spans="3:26" x14ac:dyDescent="0.25">
      <c r="C1702" s="2"/>
      <c r="J1702" s="8"/>
      <c r="R1702" s="8"/>
      <c r="Z1702" s="6"/>
    </row>
    <row r="1703" spans="3:26" x14ac:dyDescent="0.25">
      <c r="C1703" s="2"/>
      <c r="J1703" s="8"/>
      <c r="R1703" s="8"/>
      <c r="Z1703" s="6"/>
    </row>
    <row r="1704" spans="3:26" x14ac:dyDescent="0.25">
      <c r="C1704" s="2"/>
      <c r="J1704" s="8"/>
      <c r="R1704" s="8"/>
      <c r="Z1704" s="6"/>
    </row>
    <row r="1705" spans="3:26" x14ac:dyDescent="0.25">
      <c r="C1705" s="2"/>
      <c r="J1705" s="8"/>
      <c r="R1705" s="8"/>
      <c r="Z1705" s="6"/>
    </row>
    <row r="1706" spans="3:26" x14ac:dyDescent="0.25">
      <c r="C1706" s="2"/>
      <c r="J1706" s="8"/>
      <c r="R1706" s="8"/>
      <c r="Z1706" s="6"/>
    </row>
    <row r="1707" spans="3:26" x14ac:dyDescent="0.25">
      <c r="C1707" s="2"/>
      <c r="J1707" s="8"/>
      <c r="R1707" s="8"/>
      <c r="Z1707" s="6"/>
    </row>
    <row r="1708" spans="3:26" x14ac:dyDescent="0.25">
      <c r="C1708" s="2"/>
      <c r="J1708" s="8"/>
      <c r="R1708" s="8"/>
      <c r="Z1708" s="6"/>
    </row>
    <row r="1709" spans="3:26" x14ac:dyDescent="0.25">
      <c r="C1709" s="2"/>
      <c r="J1709" s="8"/>
      <c r="R1709" s="8"/>
      <c r="Z1709" s="6"/>
    </row>
    <row r="1710" spans="3:26" x14ac:dyDescent="0.25">
      <c r="C1710" s="2"/>
      <c r="J1710" s="8"/>
      <c r="R1710" s="8"/>
      <c r="Z1710" s="6"/>
    </row>
    <row r="1711" spans="3:26" x14ac:dyDescent="0.25">
      <c r="C1711" s="2"/>
      <c r="J1711" s="8"/>
      <c r="R1711" s="8"/>
      <c r="Z1711" s="6"/>
    </row>
    <row r="1712" spans="3:26" x14ac:dyDescent="0.25">
      <c r="C1712" s="2"/>
      <c r="J1712" s="8"/>
      <c r="R1712" s="8"/>
      <c r="Z1712" s="6"/>
    </row>
    <row r="1713" spans="3:26" x14ac:dyDescent="0.25">
      <c r="C1713" s="2"/>
      <c r="J1713" s="8"/>
      <c r="R1713" s="8"/>
      <c r="Z1713" s="6"/>
    </row>
    <row r="1714" spans="3:26" x14ac:dyDescent="0.25">
      <c r="C1714" s="2"/>
      <c r="J1714" s="8"/>
      <c r="R1714" s="8"/>
      <c r="Z1714" s="6"/>
    </row>
    <row r="1715" spans="3:26" x14ac:dyDescent="0.25">
      <c r="C1715" s="2"/>
      <c r="J1715" s="8"/>
      <c r="R1715" s="8"/>
      <c r="Z1715" s="6"/>
    </row>
    <row r="1716" spans="3:26" x14ac:dyDescent="0.25">
      <c r="C1716" s="2"/>
      <c r="J1716" s="8"/>
      <c r="R1716" s="8"/>
      <c r="Z1716" s="6"/>
    </row>
    <row r="1717" spans="3:26" x14ac:dyDescent="0.25">
      <c r="C1717" s="2"/>
      <c r="J1717" s="8"/>
      <c r="R1717" s="8"/>
      <c r="Z1717" s="6"/>
    </row>
    <row r="1718" spans="3:26" x14ac:dyDescent="0.25">
      <c r="C1718" s="2"/>
      <c r="J1718" s="8"/>
      <c r="R1718" s="8"/>
      <c r="Z1718" s="6"/>
    </row>
    <row r="1719" spans="3:26" x14ac:dyDescent="0.25">
      <c r="C1719" s="2"/>
      <c r="J1719" s="8"/>
      <c r="R1719" s="8"/>
      <c r="Z1719" s="6"/>
    </row>
    <row r="1720" spans="3:26" x14ac:dyDescent="0.25">
      <c r="C1720" s="2"/>
      <c r="J1720" s="8"/>
      <c r="R1720" s="8"/>
      <c r="Z1720" s="6"/>
    </row>
    <row r="1721" spans="3:26" x14ac:dyDescent="0.25">
      <c r="C1721" s="2"/>
      <c r="J1721" s="8"/>
      <c r="R1721" s="8"/>
      <c r="Z1721" s="6"/>
    </row>
    <row r="1722" spans="3:26" x14ac:dyDescent="0.25">
      <c r="C1722" s="2"/>
      <c r="J1722" s="8"/>
      <c r="R1722" s="8"/>
      <c r="Z1722" s="6"/>
    </row>
    <row r="1723" spans="3:26" x14ac:dyDescent="0.25">
      <c r="C1723" s="2"/>
      <c r="J1723" s="8"/>
      <c r="R1723" s="8"/>
      <c r="Z1723" s="6"/>
    </row>
    <row r="1724" spans="3:26" x14ac:dyDescent="0.25">
      <c r="C1724" s="2"/>
      <c r="J1724" s="8"/>
      <c r="R1724" s="8"/>
      <c r="Z1724" s="6"/>
    </row>
    <row r="1725" spans="3:26" x14ac:dyDescent="0.25">
      <c r="C1725" s="2"/>
      <c r="J1725" s="8"/>
      <c r="R1725" s="8"/>
      <c r="Z1725" s="6"/>
    </row>
    <row r="1726" spans="3:26" x14ac:dyDescent="0.25">
      <c r="C1726" s="2"/>
      <c r="J1726" s="8"/>
      <c r="R1726" s="8"/>
      <c r="Z1726" s="6"/>
    </row>
    <row r="1727" spans="3:26" x14ac:dyDescent="0.25">
      <c r="C1727" s="2"/>
      <c r="J1727" s="8"/>
      <c r="R1727" s="8"/>
      <c r="Z1727" s="6"/>
    </row>
    <row r="1728" spans="3:26" x14ac:dyDescent="0.25">
      <c r="C1728" s="2"/>
      <c r="J1728" s="8"/>
      <c r="R1728" s="8"/>
      <c r="Z1728" s="6"/>
    </row>
    <row r="1729" spans="3:26" x14ac:dyDescent="0.25">
      <c r="C1729" s="2"/>
      <c r="J1729" s="8"/>
      <c r="R1729" s="8"/>
      <c r="Z1729" s="6"/>
    </row>
    <row r="1730" spans="3:26" x14ac:dyDescent="0.25">
      <c r="C1730" s="2"/>
      <c r="J1730" s="8"/>
      <c r="R1730" s="8"/>
      <c r="Z1730" s="6"/>
    </row>
    <row r="1731" spans="3:26" x14ac:dyDescent="0.25">
      <c r="C1731" s="2"/>
      <c r="J1731" s="8"/>
      <c r="R1731" s="8"/>
      <c r="Z1731" s="6"/>
    </row>
    <row r="1732" spans="3:26" x14ac:dyDescent="0.25">
      <c r="C1732" s="2"/>
      <c r="J1732" s="8"/>
      <c r="R1732" s="8"/>
      <c r="Z1732" s="6"/>
    </row>
    <row r="1733" spans="3:26" x14ac:dyDescent="0.25">
      <c r="C1733" s="2"/>
      <c r="J1733" s="8"/>
      <c r="R1733" s="8"/>
      <c r="Z1733" s="6"/>
    </row>
    <row r="1734" spans="3:26" x14ac:dyDescent="0.25">
      <c r="C1734" s="2"/>
      <c r="J1734" s="8"/>
      <c r="R1734" s="8"/>
      <c r="Z1734" s="6"/>
    </row>
    <row r="1735" spans="3:26" x14ac:dyDescent="0.25">
      <c r="C1735" s="2"/>
      <c r="J1735" s="8"/>
      <c r="R1735" s="8"/>
      <c r="Z1735" s="6"/>
    </row>
    <row r="1736" spans="3:26" x14ac:dyDescent="0.25">
      <c r="C1736" s="2"/>
      <c r="J1736" s="8"/>
      <c r="R1736" s="8"/>
      <c r="Z1736" s="6"/>
    </row>
    <row r="1737" spans="3:26" x14ac:dyDescent="0.25">
      <c r="C1737" s="2"/>
      <c r="J1737" s="8"/>
      <c r="R1737" s="8"/>
      <c r="Z1737" s="6"/>
    </row>
    <row r="1738" spans="3:26" x14ac:dyDescent="0.25">
      <c r="C1738" s="2"/>
      <c r="J1738" s="8"/>
      <c r="R1738" s="8"/>
      <c r="Z1738" s="6"/>
    </row>
    <row r="1739" spans="3:26" x14ac:dyDescent="0.25">
      <c r="C1739" s="2"/>
      <c r="J1739" s="8"/>
      <c r="R1739" s="8"/>
      <c r="Z1739" s="6"/>
    </row>
    <row r="1740" spans="3:26" x14ac:dyDescent="0.25">
      <c r="C1740" s="2"/>
      <c r="J1740" s="8"/>
      <c r="R1740" s="8"/>
      <c r="Z1740" s="6"/>
    </row>
    <row r="1741" spans="3:26" x14ac:dyDescent="0.25">
      <c r="C1741" s="2"/>
      <c r="J1741" s="8"/>
      <c r="R1741" s="8"/>
      <c r="Z1741" s="6"/>
    </row>
    <row r="1742" spans="3:26" x14ac:dyDescent="0.25">
      <c r="C1742" s="2"/>
      <c r="J1742" s="8"/>
      <c r="R1742" s="8"/>
      <c r="Z1742" s="6"/>
    </row>
    <row r="1743" spans="3:26" x14ac:dyDescent="0.25">
      <c r="C1743" s="2"/>
      <c r="J1743" s="8"/>
      <c r="R1743" s="8"/>
      <c r="Z1743" s="6"/>
    </row>
    <row r="1744" spans="3:26" x14ac:dyDescent="0.25">
      <c r="C1744" s="2"/>
      <c r="J1744" s="8"/>
      <c r="R1744" s="8"/>
      <c r="Z1744" s="6"/>
    </row>
    <row r="1745" spans="3:26" x14ac:dyDescent="0.25">
      <c r="C1745" s="2"/>
      <c r="J1745" s="8"/>
      <c r="R1745" s="8"/>
      <c r="Z1745" s="6"/>
    </row>
    <row r="1746" spans="3:26" x14ac:dyDescent="0.25">
      <c r="C1746" s="2"/>
      <c r="J1746" s="8"/>
      <c r="R1746" s="8"/>
      <c r="Z1746" s="6"/>
    </row>
    <row r="1747" spans="3:26" x14ac:dyDescent="0.25">
      <c r="C1747" s="2"/>
      <c r="J1747" s="8"/>
      <c r="R1747" s="8"/>
      <c r="Z1747" s="6"/>
    </row>
    <row r="1748" spans="3:26" x14ac:dyDescent="0.25">
      <c r="C1748" s="2"/>
      <c r="J1748" s="8"/>
      <c r="R1748" s="8"/>
      <c r="Z1748" s="6"/>
    </row>
    <row r="1749" spans="3:26" x14ac:dyDescent="0.25">
      <c r="C1749" s="2"/>
      <c r="J1749" s="8"/>
      <c r="R1749" s="8"/>
      <c r="Z1749" s="6"/>
    </row>
    <row r="1750" spans="3:26" x14ac:dyDescent="0.25">
      <c r="C1750" s="2"/>
      <c r="J1750" s="8"/>
      <c r="R1750" s="8"/>
      <c r="Z1750" s="6"/>
    </row>
    <row r="1751" spans="3:26" x14ac:dyDescent="0.25">
      <c r="C1751" s="2"/>
      <c r="J1751" s="8"/>
      <c r="R1751" s="8"/>
      <c r="Z1751" s="6"/>
    </row>
    <row r="1752" spans="3:26" x14ac:dyDescent="0.25">
      <c r="C1752" s="2"/>
      <c r="J1752" s="8"/>
      <c r="R1752" s="8"/>
      <c r="Z1752" s="6"/>
    </row>
    <row r="1753" spans="3:26" x14ac:dyDescent="0.25">
      <c r="C1753" s="2"/>
      <c r="J1753" s="8"/>
      <c r="R1753" s="8"/>
      <c r="Z1753" s="6"/>
    </row>
    <row r="1754" spans="3:26" x14ac:dyDescent="0.25">
      <c r="C1754" s="2"/>
      <c r="J1754" s="8"/>
      <c r="R1754" s="8"/>
      <c r="Z1754" s="6"/>
    </row>
    <row r="1755" spans="3:26" x14ac:dyDescent="0.25">
      <c r="C1755" s="2"/>
      <c r="J1755" s="8"/>
      <c r="R1755" s="8"/>
      <c r="Z1755" s="6"/>
    </row>
    <row r="1756" spans="3:26" x14ac:dyDescent="0.25">
      <c r="C1756" s="2"/>
      <c r="J1756" s="8"/>
      <c r="R1756" s="8"/>
      <c r="Z1756" s="6"/>
    </row>
    <row r="1757" spans="3:26" x14ac:dyDescent="0.25">
      <c r="C1757" s="2"/>
      <c r="J1757" s="8"/>
      <c r="R1757" s="8"/>
      <c r="Z1757" s="6"/>
    </row>
    <row r="1758" spans="3:26" x14ac:dyDescent="0.25">
      <c r="C1758" s="2"/>
      <c r="J1758" s="8"/>
      <c r="R1758" s="8"/>
      <c r="Z1758" s="6"/>
    </row>
    <row r="1759" spans="3:26" x14ac:dyDescent="0.25">
      <c r="C1759" s="2"/>
      <c r="J1759" s="8"/>
      <c r="R1759" s="8"/>
      <c r="Z1759" s="6"/>
    </row>
    <row r="1760" spans="3:26" x14ac:dyDescent="0.25">
      <c r="C1760" s="2"/>
      <c r="J1760" s="8"/>
      <c r="R1760" s="8"/>
      <c r="Z1760" s="6"/>
    </row>
    <row r="1761" spans="3:26" x14ac:dyDescent="0.25">
      <c r="C1761" s="2"/>
      <c r="J1761" s="8"/>
      <c r="R1761" s="8"/>
      <c r="Z1761" s="6"/>
    </row>
    <row r="1762" spans="3:26" x14ac:dyDescent="0.25">
      <c r="C1762" s="2"/>
      <c r="J1762" s="8"/>
      <c r="R1762" s="8"/>
      <c r="Z1762" s="6"/>
    </row>
    <row r="1763" spans="3:26" x14ac:dyDescent="0.25">
      <c r="C1763" s="2"/>
      <c r="J1763" s="8"/>
      <c r="R1763" s="8"/>
      <c r="Z1763" s="6"/>
    </row>
    <row r="1764" spans="3:26" x14ac:dyDescent="0.25">
      <c r="C1764" s="2"/>
      <c r="J1764" s="8"/>
      <c r="R1764" s="8"/>
      <c r="Z1764" s="6"/>
    </row>
    <row r="1765" spans="3:26" x14ac:dyDescent="0.25">
      <c r="C1765" s="2"/>
      <c r="J1765" s="8"/>
      <c r="R1765" s="8"/>
      <c r="Z1765" s="6"/>
    </row>
    <row r="1766" spans="3:26" x14ac:dyDescent="0.25">
      <c r="C1766" s="2"/>
      <c r="J1766" s="8"/>
      <c r="R1766" s="8"/>
      <c r="Z1766" s="6"/>
    </row>
    <row r="1767" spans="3:26" x14ac:dyDescent="0.25">
      <c r="C1767" s="2"/>
      <c r="J1767" s="8"/>
      <c r="R1767" s="8"/>
      <c r="Z1767" s="6"/>
    </row>
    <row r="1768" spans="3:26" x14ac:dyDescent="0.25">
      <c r="C1768" s="2"/>
      <c r="J1768" s="8"/>
      <c r="R1768" s="8"/>
      <c r="Z1768" s="6"/>
    </row>
    <row r="1769" spans="3:26" x14ac:dyDescent="0.25">
      <c r="C1769" s="2"/>
      <c r="J1769" s="8"/>
      <c r="R1769" s="8"/>
      <c r="Z1769" s="6"/>
    </row>
    <row r="1770" spans="3:26" x14ac:dyDescent="0.25">
      <c r="C1770" s="2"/>
      <c r="J1770" s="8"/>
      <c r="R1770" s="8"/>
      <c r="Z1770" s="6"/>
    </row>
    <row r="1771" spans="3:26" x14ac:dyDescent="0.25">
      <c r="C1771" s="2"/>
      <c r="J1771" s="8"/>
      <c r="R1771" s="8"/>
      <c r="Z1771" s="6"/>
    </row>
    <row r="1772" spans="3:26" x14ac:dyDescent="0.25">
      <c r="C1772" s="2"/>
      <c r="J1772" s="8"/>
      <c r="R1772" s="8"/>
      <c r="Z1772" s="6"/>
    </row>
    <row r="1773" spans="3:26" x14ac:dyDescent="0.25">
      <c r="C1773" s="2"/>
      <c r="J1773" s="8"/>
      <c r="R1773" s="8"/>
      <c r="Z1773" s="6"/>
    </row>
    <row r="1774" spans="3:26" x14ac:dyDescent="0.25">
      <c r="C1774" s="2"/>
      <c r="J1774" s="8"/>
      <c r="R1774" s="8"/>
      <c r="Z1774" s="6"/>
    </row>
    <row r="1775" spans="3:26" x14ac:dyDescent="0.25">
      <c r="C1775" s="2"/>
      <c r="J1775" s="8"/>
      <c r="R1775" s="8"/>
      <c r="Z1775" s="6"/>
    </row>
    <row r="1776" spans="3:26" x14ac:dyDescent="0.25">
      <c r="C1776" s="2"/>
      <c r="J1776" s="8"/>
      <c r="R1776" s="8"/>
      <c r="Z1776" s="6"/>
    </row>
    <row r="1777" spans="3:26" x14ac:dyDescent="0.25">
      <c r="C1777" s="2"/>
      <c r="J1777" s="8"/>
      <c r="R1777" s="8"/>
      <c r="Z1777" s="6"/>
    </row>
    <row r="1778" spans="3:26" x14ac:dyDescent="0.25">
      <c r="C1778" s="2"/>
      <c r="J1778" s="8"/>
      <c r="R1778" s="8"/>
      <c r="Z1778" s="6"/>
    </row>
    <row r="1779" spans="3:26" x14ac:dyDescent="0.25">
      <c r="C1779" s="2"/>
      <c r="J1779" s="8"/>
      <c r="R1779" s="8"/>
      <c r="Z1779" s="6"/>
    </row>
    <row r="1780" spans="3:26" x14ac:dyDescent="0.25">
      <c r="C1780" s="2"/>
      <c r="J1780" s="8"/>
      <c r="R1780" s="8"/>
      <c r="Z1780" s="6"/>
    </row>
    <row r="1781" spans="3:26" x14ac:dyDescent="0.25">
      <c r="C1781" s="2"/>
      <c r="J1781" s="8"/>
      <c r="R1781" s="8"/>
      <c r="Z1781" s="6"/>
    </row>
    <row r="1782" spans="3:26" x14ac:dyDescent="0.25">
      <c r="C1782" s="2"/>
      <c r="J1782" s="8"/>
      <c r="R1782" s="8"/>
      <c r="Z1782" s="6"/>
    </row>
    <row r="1783" spans="3:26" x14ac:dyDescent="0.25">
      <c r="C1783" s="2"/>
      <c r="J1783" s="8"/>
      <c r="R1783" s="8"/>
      <c r="Z1783" s="6"/>
    </row>
    <row r="1784" spans="3:26" x14ac:dyDescent="0.25">
      <c r="C1784" s="2"/>
      <c r="J1784" s="8"/>
      <c r="R1784" s="8"/>
      <c r="Z1784" s="6"/>
    </row>
    <row r="1785" spans="3:26" x14ac:dyDescent="0.25">
      <c r="C1785" s="2"/>
      <c r="J1785" s="8"/>
      <c r="R1785" s="8"/>
      <c r="Z1785" s="6"/>
    </row>
    <row r="1786" spans="3:26" x14ac:dyDescent="0.25">
      <c r="C1786" s="2"/>
      <c r="J1786" s="8"/>
      <c r="R1786" s="8"/>
      <c r="Z1786" s="6"/>
    </row>
    <row r="1787" spans="3:26" x14ac:dyDescent="0.25">
      <c r="C1787" s="2"/>
      <c r="J1787" s="8"/>
      <c r="R1787" s="8"/>
      <c r="Z1787" s="6"/>
    </row>
    <row r="1788" spans="3:26" x14ac:dyDescent="0.25">
      <c r="C1788" s="2"/>
      <c r="J1788" s="8"/>
      <c r="R1788" s="8"/>
      <c r="Z1788" s="6"/>
    </row>
    <row r="1789" spans="3:26" x14ac:dyDescent="0.25">
      <c r="C1789" s="2"/>
      <c r="J1789" s="8"/>
      <c r="R1789" s="8"/>
      <c r="Z1789" s="6"/>
    </row>
    <row r="1790" spans="3:26" x14ac:dyDescent="0.25">
      <c r="C1790" s="2"/>
      <c r="J1790" s="8"/>
      <c r="R1790" s="8"/>
      <c r="Z1790" s="6"/>
    </row>
    <row r="1791" spans="3:26" x14ac:dyDescent="0.25">
      <c r="C1791" s="2"/>
      <c r="J1791" s="8"/>
      <c r="R1791" s="8"/>
      <c r="Z1791" s="6"/>
    </row>
    <row r="1792" spans="3:26" x14ac:dyDescent="0.25">
      <c r="C1792" s="2"/>
      <c r="J1792" s="8"/>
      <c r="R1792" s="8"/>
      <c r="Z1792" s="6"/>
    </row>
    <row r="1793" spans="3:26" x14ac:dyDescent="0.25">
      <c r="C1793" s="2"/>
      <c r="J1793" s="8"/>
      <c r="R1793" s="8"/>
      <c r="Z1793" s="6"/>
    </row>
    <row r="1794" spans="3:26" x14ac:dyDescent="0.25">
      <c r="C1794" s="2"/>
      <c r="J1794" s="8"/>
      <c r="R1794" s="8"/>
      <c r="Z1794" s="6"/>
    </row>
    <row r="1795" spans="3:26" x14ac:dyDescent="0.25">
      <c r="C1795" s="2"/>
      <c r="J1795" s="8"/>
      <c r="R1795" s="8"/>
      <c r="Z1795" s="6"/>
    </row>
    <row r="1796" spans="3:26" x14ac:dyDescent="0.25">
      <c r="C1796" s="2"/>
      <c r="J1796" s="8"/>
      <c r="R1796" s="8"/>
      <c r="Z1796" s="6"/>
    </row>
    <row r="1797" spans="3:26" x14ac:dyDescent="0.25">
      <c r="C1797" s="2"/>
      <c r="J1797" s="8"/>
      <c r="R1797" s="8"/>
      <c r="Z1797" s="6"/>
    </row>
    <row r="1798" spans="3:26" x14ac:dyDescent="0.25">
      <c r="C1798" s="2"/>
      <c r="J1798" s="8"/>
      <c r="R1798" s="8"/>
      <c r="Z1798" s="6"/>
    </row>
    <row r="1799" spans="3:26" x14ac:dyDescent="0.25">
      <c r="C1799" s="2"/>
      <c r="J1799" s="8"/>
      <c r="R1799" s="8"/>
      <c r="Z1799" s="6"/>
    </row>
    <row r="1800" spans="3:26" x14ac:dyDescent="0.25">
      <c r="C1800" s="2"/>
      <c r="J1800" s="8"/>
      <c r="R1800" s="8"/>
      <c r="Z1800" s="6"/>
    </row>
    <row r="1801" spans="3:26" x14ac:dyDescent="0.25">
      <c r="C1801" s="2"/>
      <c r="J1801" s="8"/>
      <c r="R1801" s="8"/>
      <c r="Z1801" s="6"/>
    </row>
    <row r="1802" spans="3:26" x14ac:dyDescent="0.25">
      <c r="C1802" s="2"/>
      <c r="J1802" s="8"/>
      <c r="R1802" s="8"/>
      <c r="Z1802" s="6"/>
    </row>
    <row r="1803" spans="3:26" x14ac:dyDescent="0.25">
      <c r="C1803" s="2"/>
      <c r="J1803" s="8"/>
      <c r="R1803" s="8"/>
      <c r="Z1803" s="6"/>
    </row>
    <row r="1804" spans="3:26" x14ac:dyDescent="0.25">
      <c r="C1804" s="2"/>
      <c r="J1804" s="8"/>
      <c r="R1804" s="8"/>
      <c r="Z1804" s="6"/>
    </row>
    <row r="1805" spans="3:26" x14ac:dyDescent="0.25">
      <c r="C1805" s="2"/>
      <c r="J1805" s="8"/>
      <c r="R1805" s="8"/>
      <c r="Z1805" s="6"/>
    </row>
    <row r="1806" spans="3:26" x14ac:dyDescent="0.25">
      <c r="C1806" s="2"/>
      <c r="J1806" s="8"/>
      <c r="R1806" s="8"/>
      <c r="Z1806" s="6"/>
    </row>
    <row r="1807" spans="3:26" x14ac:dyDescent="0.25">
      <c r="C1807" s="2"/>
      <c r="J1807" s="8"/>
      <c r="R1807" s="8"/>
      <c r="Z1807" s="6"/>
    </row>
    <row r="1808" spans="3:26" x14ac:dyDescent="0.25">
      <c r="C1808" s="2"/>
      <c r="J1808" s="8"/>
      <c r="R1808" s="8"/>
      <c r="Z1808" s="6"/>
    </row>
    <row r="1809" spans="3:26" x14ac:dyDescent="0.25">
      <c r="C1809" s="2"/>
      <c r="J1809" s="8"/>
      <c r="R1809" s="8"/>
      <c r="Z1809" s="6"/>
    </row>
    <row r="1810" spans="3:26" x14ac:dyDescent="0.25">
      <c r="C1810" s="2"/>
      <c r="J1810" s="8"/>
      <c r="R1810" s="8"/>
      <c r="Z1810" s="6"/>
    </row>
    <row r="1811" spans="3:26" x14ac:dyDescent="0.25">
      <c r="C1811" s="2"/>
      <c r="J1811" s="8"/>
      <c r="R1811" s="8"/>
      <c r="Z1811" s="6"/>
    </row>
    <row r="1812" spans="3:26" x14ac:dyDescent="0.25">
      <c r="C1812" s="2"/>
      <c r="J1812" s="8"/>
      <c r="R1812" s="8"/>
      <c r="Z1812" s="6"/>
    </row>
    <row r="1813" spans="3:26" x14ac:dyDescent="0.25">
      <c r="C1813" s="2"/>
      <c r="J1813" s="8"/>
      <c r="R1813" s="8"/>
      <c r="Z1813" s="6"/>
    </row>
    <row r="1814" spans="3:26" x14ac:dyDescent="0.25">
      <c r="C1814" s="2"/>
      <c r="J1814" s="8"/>
      <c r="R1814" s="8"/>
      <c r="Z1814" s="6"/>
    </row>
    <row r="1815" spans="3:26" x14ac:dyDescent="0.25">
      <c r="C1815" s="2"/>
      <c r="J1815" s="8"/>
      <c r="R1815" s="8"/>
      <c r="Z1815" s="6"/>
    </row>
    <row r="1816" spans="3:26" x14ac:dyDescent="0.25">
      <c r="C1816" s="2"/>
      <c r="J1816" s="8"/>
      <c r="R1816" s="8"/>
      <c r="Z1816" s="6"/>
    </row>
    <row r="1817" spans="3:26" x14ac:dyDescent="0.25">
      <c r="C1817" s="2"/>
      <c r="J1817" s="8"/>
      <c r="R1817" s="8"/>
      <c r="Z1817" s="6"/>
    </row>
    <row r="1818" spans="3:26" x14ac:dyDescent="0.25">
      <c r="C1818" s="2"/>
      <c r="J1818" s="8"/>
      <c r="R1818" s="8"/>
      <c r="Z1818" s="6"/>
    </row>
    <row r="1819" spans="3:26" x14ac:dyDescent="0.25">
      <c r="C1819" s="2"/>
      <c r="J1819" s="8"/>
      <c r="R1819" s="8"/>
      <c r="Z1819" s="6"/>
    </row>
    <row r="1820" spans="3:26" x14ac:dyDescent="0.25">
      <c r="C1820" s="2"/>
      <c r="J1820" s="8"/>
      <c r="R1820" s="8"/>
      <c r="Z1820" s="6"/>
    </row>
    <row r="1821" spans="3:26" x14ac:dyDescent="0.25">
      <c r="C1821" s="2"/>
      <c r="J1821" s="8"/>
      <c r="R1821" s="8"/>
      <c r="Z1821" s="6"/>
    </row>
    <row r="1822" spans="3:26" x14ac:dyDescent="0.25">
      <c r="C1822" s="2"/>
      <c r="J1822" s="8"/>
      <c r="R1822" s="8"/>
      <c r="Z1822" s="6"/>
    </row>
    <row r="1823" spans="3:26" x14ac:dyDescent="0.25">
      <c r="C1823" s="2"/>
      <c r="J1823" s="8"/>
      <c r="R1823" s="8"/>
      <c r="Z1823" s="6"/>
    </row>
    <row r="1824" spans="3:26" x14ac:dyDescent="0.25">
      <c r="C1824" s="2"/>
      <c r="J1824" s="8"/>
      <c r="R1824" s="8"/>
      <c r="Z1824" s="6"/>
    </row>
    <row r="1825" spans="3:26" x14ac:dyDescent="0.25">
      <c r="C1825" s="2"/>
      <c r="J1825" s="8"/>
      <c r="R1825" s="8"/>
      <c r="Z1825" s="6"/>
    </row>
    <row r="1826" spans="3:26" x14ac:dyDescent="0.25">
      <c r="C1826" s="2"/>
      <c r="J1826" s="8"/>
      <c r="R1826" s="8"/>
      <c r="Z1826" s="6"/>
    </row>
    <row r="1827" spans="3:26" x14ac:dyDescent="0.25">
      <c r="C1827" s="2"/>
      <c r="J1827" s="8"/>
      <c r="R1827" s="8"/>
      <c r="Z1827" s="6"/>
    </row>
    <row r="1828" spans="3:26" x14ac:dyDescent="0.25">
      <c r="C1828" s="2"/>
      <c r="J1828" s="8"/>
      <c r="R1828" s="8"/>
      <c r="Z1828" s="6"/>
    </row>
    <row r="1829" spans="3:26" x14ac:dyDescent="0.25">
      <c r="C1829" s="2"/>
      <c r="J1829" s="8"/>
      <c r="R1829" s="8"/>
      <c r="Z1829" s="6"/>
    </row>
    <row r="1830" spans="3:26" x14ac:dyDescent="0.25">
      <c r="C1830" s="2"/>
      <c r="J1830" s="8"/>
      <c r="R1830" s="8"/>
      <c r="Z1830" s="6"/>
    </row>
    <row r="1831" spans="3:26" x14ac:dyDescent="0.25">
      <c r="C1831" s="2"/>
      <c r="J1831" s="8"/>
      <c r="R1831" s="8"/>
      <c r="Z1831" s="6"/>
    </row>
    <row r="1832" spans="3:26" x14ac:dyDescent="0.25">
      <c r="C1832" s="2"/>
      <c r="J1832" s="8"/>
      <c r="R1832" s="8"/>
      <c r="Z1832" s="6"/>
    </row>
    <row r="1833" spans="3:26" x14ac:dyDescent="0.25">
      <c r="C1833" s="2"/>
      <c r="J1833" s="8"/>
      <c r="R1833" s="8"/>
      <c r="Z1833" s="6"/>
    </row>
    <row r="1834" spans="3:26" x14ac:dyDescent="0.25">
      <c r="C1834" s="2"/>
      <c r="J1834" s="8"/>
      <c r="R1834" s="8"/>
      <c r="Z1834" s="6"/>
    </row>
    <row r="1835" spans="3:26" x14ac:dyDescent="0.25">
      <c r="C1835" s="2"/>
      <c r="J1835" s="8"/>
      <c r="R1835" s="8"/>
      <c r="Z1835" s="6"/>
    </row>
    <row r="1836" spans="3:26" x14ac:dyDescent="0.25">
      <c r="C1836" s="2"/>
      <c r="J1836" s="8"/>
      <c r="R1836" s="8"/>
      <c r="Z1836" s="6"/>
    </row>
    <row r="1837" spans="3:26" x14ac:dyDescent="0.25">
      <c r="C1837" s="2"/>
      <c r="J1837" s="8"/>
      <c r="R1837" s="8"/>
      <c r="Z1837" s="6"/>
    </row>
    <row r="1838" spans="3:26" x14ac:dyDescent="0.25">
      <c r="C1838" s="2"/>
      <c r="J1838" s="8"/>
      <c r="R1838" s="8"/>
      <c r="Z1838" s="6"/>
    </row>
    <row r="1839" spans="3:26" x14ac:dyDescent="0.25">
      <c r="C1839" s="2"/>
      <c r="J1839" s="8"/>
      <c r="R1839" s="8"/>
      <c r="Z1839" s="6"/>
    </row>
    <row r="1840" spans="3:26" x14ac:dyDescent="0.25">
      <c r="C1840" s="2"/>
      <c r="J1840" s="8"/>
      <c r="R1840" s="8"/>
      <c r="Z1840" s="6"/>
    </row>
    <row r="1841" spans="3:26" x14ac:dyDescent="0.25">
      <c r="C1841" s="2"/>
      <c r="J1841" s="8"/>
      <c r="R1841" s="8"/>
      <c r="Z1841" s="6"/>
    </row>
    <row r="1842" spans="3:26" x14ac:dyDescent="0.25">
      <c r="C1842" s="2"/>
      <c r="J1842" s="8"/>
      <c r="R1842" s="8"/>
      <c r="Z1842" s="6"/>
    </row>
    <row r="1843" spans="3:26" x14ac:dyDescent="0.25">
      <c r="C1843" s="2"/>
      <c r="J1843" s="8"/>
      <c r="R1843" s="8"/>
      <c r="Z1843" s="6"/>
    </row>
    <row r="1844" spans="3:26" x14ac:dyDescent="0.25">
      <c r="C1844" s="2"/>
      <c r="J1844" s="8"/>
      <c r="R1844" s="8"/>
      <c r="Z1844" s="6"/>
    </row>
    <row r="1845" spans="3:26" x14ac:dyDescent="0.25">
      <c r="C1845" s="2"/>
      <c r="J1845" s="8"/>
      <c r="R1845" s="8"/>
      <c r="Z1845" s="6"/>
    </row>
    <row r="1846" spans="3:26" x14ac:dyDescent="0.25">
      <c r="C1846" s="2"/>
      <c r="J1846" s="8"/>
      <c r="R1846" s="8"/>
      <c r="Z1846" s="6"/>
    </row>
    <row r="1847" spans="3:26" x14ac:dyDescent="0.25">
      <c r="C1847" s="2"/>
      <c r="J1847" s="8"/>
      <c r="R1847" s="8"/>
      <c r="Z1847" s="6"/>
    </row>
    <row r="1848" spans="3:26" x14ac:dyDescent="0.25">
      <c r="C1848" s="2"/>
      <c r="J1848" s="8"/>
      <c r="R1848" s="8"/>
      <c r="Z1848" s="6"/>
    </row>
    <row r="1849" spans="3:26" x14ac:dyDescent="0.25">
      <c r="C1849" s="2"/>
      <c r="J1849" s="8"/>
      <c r="R1849" s="8"/>
      <c r="Z1849" s="6"/>
    </row>
    <row r="1850" spans="3:26" x14ac:dyDescent="0.25">
      <c r="C1850" s="2"/>
      <c r="J1850" s="8"/>
      <c r="R1850" s="8"/>
      <c r="Z1850" s="6"/>
    </row>
    <row r="1851" spans="3:26" x14ac:dyDescent="0.25">
      <c r="C1851" s="2"/>
      <c r="J1851" s="8"/>
      <c r="R1851" s="8"/>
      <c r="Z1851" s="6"/>
    </row>
    <row r="1852" spans="3:26" x14ac:dyDescent="0.25">
      <c r="C1852" s="2"/>
      <c r="J1852" s="8"/>
      <c r="R1852" s="8"/>
      <c r="Z1852" s="6"/>
    </row>
    <row r="1853" spans="3:26" x14ac:dyDescent="0.25">
      <c r="C1853" s="2"/>
      <c r="J1853" s="8"/>
      <c r="R1853" s="8"/>
      <c r="Z1853" s="6"/>
    </row>
    <row r="1854" spans="3:26" x14ac:dyDescent="0.25">
      <c r="C1854" s="2"/>
      <c r="J1854" s="8"/>
      <c r="R1854" s="8"/>
      <c r="Z1854" s="6"/>
    </row>
    <row r="1855" spans="3:26" x14ac:dyDescent="0.25">
      <c r="C1855" s="2"/>
      <c r="J1855" s="8"/>
      <c r="R1855" s="8"/>
      <c r="Z1855" s="6"/>
    </row>
    <row r="1856" spans="3:26" x14ac:dyDescent="0.25">
      <c r="C1856" s="2"/>
      <c r="J1856" s="8"/>
      <c r="R1856" s="8"/>
      <c r="Z1856" s="6"/>
    </row>
    <row r="1857" spans="3:26" x14ac:dyDescent="0.25">
      <c r="C1857" s="2"/>
      <c r="J1857" s="8"/>
      <c r="R1857" s="8"/>
      <c r="Z1857" s="6"/>
    </row>
    <row r="1858" spans="3:26" x14ac:dyDescent="0.25">
      <c r="C1858" s="2"/>
      <c r="J1858" s="8"/>
      <c r="R1858" s="8"/>
      <c r="Z1858" s="6"/>
    </row>
    <row r="1859" spans="3:26" x14ac:dyDescent="0.25">
      <c r="C1859" s="2"/>
      <c r="J1859" s="8"/>
      <c r="R1859" s="8"/>
      <c r="Z1859" s="6"/>
    </row>
    <row r="1860" spans="3:26" x14ac:dyDescent="0.25">
      <c r="C1860" s="2"/>
      <c r="J1860" s="8"/>
      <c r="R1860" s="8"/>
      <c r="Z1860" s="6"/>
    </row>
    <row r="1861" spans="3:26" x14ac:dyDescent="0.25">
      <c r="C1861" s="2"/>
      <c r="J1861" s="8"/>
      <c r="R1861" s="8"/>
      <c r="Z1861" s="6"/>
    </row>
    <row r="1862" spans="3:26" x14ac:dyDescent="0.25">
      <c r="C1862" s="2"/>
      <c r="J1862" s="8"/>
      <c r="R1862" s="8"/>
      <c r="Z1862" s="6"/>
    </row>
    <row r="1863" spans="3:26" x14ac:dyDescent="0.25">
      <c r="C1863" s="2"/>
      <c r="J1863" s="8"/>
      <c r="R1863" s="8"/>
      <c r="Z1863" s="6"/>
    </row>
    <row r="1864" spans="3:26" x14ac:dyDescent="0.25">
      <c r="C1864" s="2"/>
      <c r="J1864" s="8"/>
      <c r="R1864" s="8"/>
      <c r="Z1864" s="6"/>
    </row>
    <row r="1865" spans="3:26" x14ac:dyDescent="0.25">
      <c r="C1865" s="2"/>
      <c r="J1865" s="8"/>
      <c r="R1865" s="8"/>
      <c r="Z1865" s="6"/>
    </row>
    <row r="1866" spans="3:26" x14ac:dyDescent="0.25">
      <c r="C1866" s="2"/>
      <c r="J1866" s="8"/>
      <c r="R1866" s="8"/>
      <c r="Z1866" s="6"/>
    </row>
    <row r="1867" spans="3:26" x14ac:dyDescent="0.25">
      <c r="C1867" s="2"/>
      <c r="J1867" s="8"/>
      <c r="R1867" s="8"/>
      <c r="Z1867" s="6"/>
    </row>
    <row r="1868" spans="3:26" x14ac:dyDescent="0.25">
      <c r="C1868" s="2"/>
      <c r="J1868" s="8"/>
      <c r="R1868" s="8"/>
      <c r="Z1868" s="6"/>
    </row>
    <row r="1869" spans="3:26" x14ac:dyDescent="0.25">
      <c r="C1869" s="2"/>
      <c r="J1869" s="8"/>
      <c r="R1869" s="8"/>
      <c r="Z1869" s="6"/>
    </row>
    <row r="1870" spans="3:26" x14ac:dyDescent="0.25">
      <c r="C1870" s="2"/>
      <c r="J1870" s="8"/>
      <c r="R1870" s="8"/>
      <c r="Z1870" s="6"/>
    </row>
    <row r="1871" spans="3:26" x14ac:dyDescent="0.25">
      <c r="C1871" s="2"/>
      <c r="J1871" s="8"/>
      <c r="R1871" s="8"/>
      <c r="Z1871" s="6"/>
    </row>
    <row r="1872" spans="3:26" x14ac:dyDescent="0.25">
      <c r="C1872" s="2"/>
      <c r="J1872" s="8"/>
      <c r="R1872" s="8"/>
      <c r="Z1872" s="6"/>
    </row>
    <row r="1873" spans="3:26" x14ac:dyDescent="0.25">
      <c r="C1873" s="2"/>
      <c r="J1873" s="8"/>
      <c r="R1873" s="8"/>
      <c r="Z1873" s="6"/>
    </row>
    <row r="1874" spans="3:26" x14ac:dyDescent="0.25">
      <c r="C1874" s="2"/>
      <c r="J1874" s="8"/>
      <c r="R1874" s="8"/>
      <c r="Z1874" s="6"/>
    </row>
    <row r="1875" spans="3:26" x14ac:dyDescent="0.25">
      <c r="C1875" s="2"/>
      <c r="J1875" s="8"/>
      <c r="R1875" s="8"/>
      <c r="Z1875" s="6"/>
    </row>
    <row r="1876" spans="3:26" x14ac:dyDescent="0.25">
      <c r="C1876" s="2"/>
      <c r="J1876" s="8"/>
      <c r="R1876" s="8"/>
      <c r="Z1876" s="6"/>
    </row>
    <row r="1877" spans="3:26" x14ac:dyDescent="0.25">
      <c r="C1877" s="2"/>
      <c r="J1877" s="8"/>
      <c r="R1877" s="8"/>
      <c r="Z1877" s="6"/>
    </row>
    <row r="1878" spans="3:26" x14ac:dyDescent="0.25">
      <c r="C1878" s="2"/>
      <c r="J1878" s="8"/>
      <c r="R1878" s="8"/>
      <c r="Z1878" s="6"/>
    </row>
    <row r="1879" spans="3:26" x14ac:dyDescent="0.25">
      <c r="C1879" s="2"/>
      <c r="J1879" s="8"/>
      <c r="R1879" s="8"/>
      <c r="Z1879" s="6"/>
    </row>
    <row r="1880" spans="3:26" x14ac:dyDescent="0.25">
      <c r="C1880" s="2"/>
      <c r="J1880" s="8"/>
      <c r="R1880" s="8"/>
      <c r="Z1880" s="6"/>
    </row>
    <row r="1881" spans="3:26" x14ac:dyDescent="0.25">
      <c r="C1881" s="2"/>
      <c r="J1881" s="8"/>
      <c r="R1881" s="8"/>
      <c r="Z1881" s="6"/>
    </row>
    <row r="1882" spans="3:26" x14ac:dyDescent="0.25">
      <c r="C1882" s="2"/>
      <c r="J1882" s="8"/>
      <c r="R1882" s="8"/>
      <c r="Z1882" s="6"/>
    </row>
    <row r="1883" spans="3:26" x14ac:dyDescent="0.25">
      <c r="C1883" s="2"/>
      <c r="J1883" s="8"/>
      <c r="R1883" s="8"/>
      <c r="Z1883" s="6"/>
    </row>
    <row r="1884" spans="3:26" x14ac:dyDescent="0.25">
      <c r="C1884" s="2"/>
      <c r="J1884" s="8"/>
      <c r="R1884" s="8"/>
      <c r="Z1884" s="6"/>
    </row>
    <row r="1885" spans="3:26" x14ac:dyDescent="0.25">
      <c r="C1885" s="2"/>
      <c r="J1885" s="8"/>
      <c r="R1885" s="8"/>
      <c r="Z1885" s="6"/>
    </row>
    <row r="1886" spans="3:26" x14ac:dyDescent="0.25">
      <c r="C1886" s="2"/>
      <c r="J1886" s="8"/>
      <c r="R1886" s="8"/>
      <c r="Z1886" s="6"/>
    </row>
    <row r="1887" spans="3:26" x14ac:dyDescent="0.25">
      <c r="C1887" s="2"/>
      <c r="J1887" s="8"/>
      <c r="R1887" s="8"/>
      <c r="Z1887" s="6"/>
    </row>
    <row r="1888" spans="3:26" x14ac:dyDescent="0.25">
      <c r="C1888" s="2"/>
      <c r="J1888" s="8"/>
      <c r="R1888" s="8"/>
      <c r="Z1888" s="6"/>
    </row>
    <row r="1889" spans="3:26" x14ac:dyDescent="0.25">
      <c r="C1889" s="2"/>
      <c r="J1889" s="8"/>
      <c r="R1889" s="8"/>
      <c r="Z1889" s="6"/>
    </row>
    <row r="1890" spans="3:26" x14ac:dyDescent="0.25">
      <c r="C1890" s="2"/>
      <c r="J1890" s="8"/>
      <c r="R1890" s="8"/>
      <c r="Z1890" s="6"/>
    </row>
    <row r="1891" spans="3:26" x14ac:dyDescent="0.25">
      <c r="C1891" s="2"/>
      <c r="J1891" s="8"/>
      <c r="R1891" s="8"/>
      <c r="Z1891" s="6"/>
    </row>
    <row r="1892" spans="3:26" x14ac:dyDescent="0.25">
      <c r="C1892" s="2"/>
      <c r="J1892" s="8"/>
      <c r="R1892" s="8"/>
      <c r="Z1892" s="6"/>
    </row>
    <row r="1893" spans="3:26" x14ac:dyDescent="0.25">
      <c r="C1893" s="2"/>
      <c r="J1893" s="8"/>
      <c r="R1893" s="8"/>
      <c r="Z1893" s="6"/>
    </row>
    <row r="1894" spans="3:26" x14ac:dyDescent="0.25">
      <c r="C1894" s="2"/>
      <c r="J1894" s="8"/>
      <c r="R1894" s="8"/>
      <c r="Z1894" s="6"/>
    </row>
    <row r="1895" spans="3:26" x14ac:dyDescent="0.25">
      <c r="C1895" s="2"/>
      <c r="J1895" s="8"/>
      <c r="R1895" s="8"/>
      <c r="Z1895" s="6"/>
    </row>
    <row r="1896" spans="3:26" x14ac:dyDescent="0.25">
      <c r="C1896" s="2"/>
      <c r="J1896" s="8"/>
      <c r="R1896" s="8"/>
      <c r="Z1896" s="6"/>
    </row>
    <row r="1897" spans="3:26" x14ac:dyDescent="0.25">
      <c r="C1897" s="2"/>
      <c r="J1897" s="8"/>
      <c r="R1897" s="8"/>
      <c r="Z1897" s="6"/>
    </row>
    <row r="1898" spans="3:26" x14ac:dyDescent="0.25">
      <c r="C1898" s="2"/>
      <c r="J1898" s="8"/>
      <c r="R1898" s="8"/>
      <c r="Z1898" s="6"/>
    </row>
    <row r="1899" spans="3:26" x14ac:dyDescent="0.25">
      <c r="C1899" s="2"/>
      <c r="J1899" s="8"/>
      <c r="R1899" s="8"/>
      <c r="Z1899" s="6"/>
    </row>
    <row r="1900" spans="3:26" x14ac:dyDescent="0.25">
      <c r="C1900" s="2"/>
      <c r="J1900" s="8"/>
      <c r="R1900" s="8"/>
      <c r="Z1900" s="6"/>
    </row>
    <row r="1901" spans="3:26" x14ac:dyDescent="0.25">
      <c r="C1901" s="2"/>
      <c r="J1901" s="8"/>
      <c r="R1901" s="8"/>
      <c r="Z1901" s="6"/>
    </row>
    <row r="1902" spans="3:26" x14ac:dyDescent="0.25">
      <c r="C1902" s="2"/>
      <c r="J1902" s="8"/>
      <c r="R1902" s="8"/>
      <c r="Z1902" s="6"/>
    </row>
    <row r="1903" spans="3:26" x14ac:dyDescent="0.25">
      <c r="C1903" s="2"/>
      <c r="J1903" s="8"/>
      <c r="R1903" s="8"/>
      <c r="Z1903" s="6"/>
    </row>
    <row r="1904" spans="3:26" x14ac:dyDescent="0.25">
      <c r="C1904" s="2"/>
      <c r="J1904" s="8"/>
      <c r="R1904" s="8"/>
      <c r="Z1904" s="6"/>
    </row>
    <row r="1905" spans="3:26" x14ac:dyDescent="0.25">
      <c r="C1905" s="2"/>
      <c r="J1905" s="8"/>
      <c r="R1905" s="8"/>
      <c r="Z1905" s="6"/>
    </row>
    <row r="1906" spans="3:26" x14ac:dyDescent="0.25">
      <c r="C1906" s="2"/>
      <c r="J1906" s="8"/>
      <c r="R1906" s="8"/>
      <c r="Z1906" s="6"/>
    </row>
    <row r="1907" spans="3:26" x14ac:dyDescent="0.25">
      <c r="C1907" s="2"/>
      <c r="J1907" s="8"/>
      <c r="R1907" s="8"/>
      <c r="Z1907" s="6"/>
    </row>
    <row r="1908" spans="3:26" x14ac:dyDescent="0.25">
      <c r="C1908" s="2"/>
      <c r="J1908" s="8"/>
      <c r="R1908" s="8"/>
      <c r="Z1908" s="6"/>
    </row>
    <row r="1909" spans="3:26" x14ac:dyDescent="0.25">
      <c r="C1909" s="2"/>
      <c r="J1909" s="8"/>
      <c r="R1909" s="8"/>
      <c r="Z1909" s="6"/>
    </row>
    <row r="1910" spans="3:26" x14ac:dyDescent="0.25">
      <c r="C1910" s="2"/>
      <c r="J1910" s="8"/>
      <c r="R1910" s="8"/>
      <c r="Z1910" s="6"/>
    </row>
    <row r="1911" spans="3:26" x14ac:dyDescent="0.25">
      <c r="C1911" s="2"/>
      <c r="J1911" s="8"/>
      <c r="R1911" s="8"/>
      <c r="Z1911" s="6"/>
    </row>
    <row r="1912" spans="3:26" x14ac:dyDescent="0.25">
      <c r="C1912" s="2"/>
      <c r="J1912" s="8"/>
      <c r="R1912" s="8"/>
      <c r="Z1912" s="6"/>
    </row>
    <row r="1913" spans="3:26" x14ac:dyDescent="0.25">
      <c r="C1913" s="2"/>
      <c r="J1913" s="8"/>
      <c r="R1913" s="8"/>
      <c r="Z1913" s="6"/>
    </row>
    <row r="1914" spans="3:26" x14ac:dyDescent="0.25">
      <c r="C1914" s="2"/>
      <c r="J1914" s="8"/>
      <c r="R1914" s="8"/>
      <c r="Z1914" s="6"/>
    </row>
    <row r="1915" spans="3:26" x14ac:dyDescent="0.25">
      <c r="C1915" s="2"/>
      <c r="J1915" s="8"/>
      <c r="R1915" s="8"/>
      <c r="Z1915" s="6"/>
    </row>
    <row r="1916" spans="3:26" x14ac:dyDescent="0.25">
      <c r="C1916" s="2"/>
      <c r="J1916" s="8"/>
      <c r="R1916" s="8"/>
      <c r="Z1916" s="6"/>
    </row>
    <row r="1917" spans="3:26" x14ac:dyDescent="0.25">
      <c r="C1917" s="2"/>
      <c r="J1917" s="8"/>
      <c r="R1917" s="8"/>
      <c r="Z1917" s="6"/>
    </row>
    <row r="1918" spans="3:26" x14ac:dyDescent="0.25">
      <c r="C1918" s="2"/>
      <c r="J1918" s="8"/>
      <c r="R1918" s="8"/>
      <c r="Z1918" s="6"/>
    </row>
    <row r="1919" spans="3:26" x14ac:dyDescent="0.25">
      <c r="C1919" s="2"/>
      <c r="J1919" s="8"/>
      <c r="R1919" s="8"/>
      <c r="Z1919" s="6"/>
    </row>
    <row r="1920" spans="3:26" x14ac:dyDescent="0.25">
      <c r="C1920" s="2"/>
      <c r="J1920" s="8"/>
      <c r="R1920" s="8"/>
      <c r="Z1920" s="6"/>
    </row>
    <row r="1921" spans="3:26" x14ac:dyDescent="0.25">
      <c r="C1921" s="2"/>
      <c r="J1921" s="8"/>
      <c r="R1921" s="8"/>
      <c r="Z1921" s="6"/>
    </row>
    <row r="1922" spans="3:26" x14ac:dyDescent="0.25">
      <c r="C1922" s="2"/>
      <c r="J1922" s="8"/>
      <c r="R1922" s="8"/>
      <c r="Z1922" s="6"/>
    </row>
    <row r="1923" spans="3:26" x14ac:dyDescent="0.25">
      <c r="C1923" s="2"/>
      <c r="J1923" s="8"/>
      <c r="R1923" s="8"/>
      <c r="Z1923" s="6"/>
    </row>
    <row r="1924" spans="3:26" x14ac:dyDescent="0.25">
      <c r="C1924" s="2"/>
      <c r="J1924" s="8"/>
      <c r="R1924" s="8"/>
      <c r="Z1924" s="6"/>
    </row>
    <row r="1925" spans="3:26" x14ac:dyDescent="0.25">
      <c r="C1925" s="2"/>
      <c r="J1925" s="8"/>
      <c r="R1925" s="8"/>
      <c r="Z1925" s="6"/>
    </row>
    <row r="1926" spans="3:26" x14ac:dyDescent="0.25">
      <c r="C1926" s="2"/>
      <c r="J1926" s="8"/>
      <c r="R1926" s="8"/>
      <c r="Z1926" s="6"/>
    </row>
    <row r="1927" spans="3:26" x14ac:dyDescent="0.25">
      <c r="C1927" s="2"/>
      <c r="J1927" s="8"/>
      <c r="R1927" s="8"/>
      <c r="Z1927" s="6"/>
    </row>
    <row r="1928" spans="3:26" x14ac:dyDescent="0.25">
      <c r="C1928" s="2"/>
      <c r="J1928" s="8"/>
      <c r="R1928" s="8"/>
      <c r="Z1928" s="6"/>
    </row>
    <row r="1929" spans="3:26" x14ac:dyDescent="0.25">
      <c r="C1929" s="2"/>
      <c r="J1929" s="8"/>
      <c r="R1929" s="8"/>
      <c r="Z1929" s="6"/>
    </row>
    <row r="1930" spans="3:26" x14ac:dyDescent="0.25">
      <c r="C1930" s="2"/>
      <c r="J1930" s="8"/>
      <c r="R1930" s="8"/>
      <c r="Z1930" s="6"/>
    </row>
    <row r="1931" spans="3:26" x14ac:dyDescent="0.25">
      <c r="C1931" s="2"/>
      <c r="J1931" s="8"/>
      <c r="R1931" s="8"/>
      <c r="Z1931" s="6"/>
    </row>
    <row r="1932" spans="3:26" x14ac:dyDescent="0.25">
      <c r="C1932" s="2"/>
      <c r="J1932" s="8"/>
      <c r="R1932" s="8"/>
      <c r="Z1932" s="6"/>
    </row>
    <row r="1933" spans="3:26" x14ac:dyDescent="0.25">
      <c r="C1933" s="2"/>
      <c r="J1933" s="8"/>
      <c r="R1933" s="8"/>
      <c r="Z1933" s="6"/>
    </row>
    <row r="1934" spans="3:26" x14ac:dyDescent="0.25">
      <c r="C1934" s="2"/>
      <c r="J1934" s="8"/>
      <c r="R1934" s="8"/>
      <c r="Z1934" s="6"/>
    </row>
    <row r="1935" spans="3:26" x14ac:dyDescent="0.25">
      <c r="C1935" s="2"/>
      <c r="J1935" s="8"/>
      <c r="R1935" s="8"/>
      <c r="Z1935" s="6"/>
    </row>
    <row r="1936" spans="3:26" x14ac:dyDescent="0.25">
      <c r="C1936" s="2"/>
      <c r="J1936" s="8"/>
      <c r="R1936" s="8"/>
      <c r="Z1936" s="6"/>
    </row>
    <row r="1937" spans="3:26" x14ac:dyDescent="0.25">
      <c r="C1937" s="2"/>
      <c r="J1937" s="8"/>
      <c r="R1937" s="8"/>
      <c r="Z1937" s="6"/>
    </row>
    <row r="1938" spans="3:26" x14ac:dyDescent="0.25">
      <c r="C1938" s="2"/>
      <c r="J1938" s="8"/>
      <c r="R1938" s="8"/>
      <c r="Z1938" s="6"/>
    </row>
    <row r="1939" spans="3:26" x14ac:dyDescent="0.25">
      <c r="C1939" s="2"/>
      <c r="J1939" s="8"/>
      <c r="R1939" s="8"/>
      <c r="Z1939" s="6"/>
    </row>
    <row r="1940" spans="3:26" x14ac:dyDescent="0.25">
      <c r="C1940" s="2"/>
      <c r="J1940" s="8"/>
      <c r="R1940" s="8"/>
      <c r="Z1940" s="6"/>
    </row>
    <row r="1941" spans="3:26" x14ac:dyDescent="0.25">
      <c r="C1941" s="2"/>
      <c r="J1941" s="8"/>
      <c r="R1941" s="8"/>
      <c r="Z1941" s="6"/>
    </row>
    <row r="1942" spans="3:26" x14ac:dyDescent="0.25">
      <c r="C1942" s="2"/>
      <c r="J1942" s="8"/>
      <c r="R1942" s="8"/>
      <c r="Z1942" s="6"/>
    </row>
    <row r="1943" spans="3:26" x14ac:dyDescent="0.25">
      <c r="C1943" s="2"/>
      <c r="J1943" s="8"/>
      <c r="R1943" s="8"/>
      <c r="Z1943" s="6"/>
    </row>
    <row r="1944" spans="3:26" x14ac:dyDescent="0.25">
      <c r="C1944" s="2"/>
      <c r="J1944" s="8"/>
      <c r="R1944" s="8"/>
      <c r="Z1944" s="6"/>
    </row>
    <row r="1945" spans="3:26" x14ac:dyDescent="0.25">
      <c r="C1945" s="2"/>
      <c r="J1945" s="8"/>
      <c r="R1945" s="8"/>
      <c r="Z1945" s="6"/>
    </row>
    <row r="1946" spans="3:26" x14ac:dyDescent="0.25">
      <c r="C1946" s="2"/>
      <c r="J1946" s="8"/>
      <c r="R1946" s="8"/>
      <c r="Z1946" s="6"/>
    </row>
    <row r="1947" spans="3:26" x14ac:dyDescent="0.25">
      <c r="C1947" s="2"/>
      <c r="J1947" s="8"/>
      <c r="R1947" s="8"/>
      <c r="Z1947" s="6"/>
    </row>
    <row r="1948" spans="3:26" x14ac:dyDescent="0.25">
      <c r="C1948" s="2"/>
      <c r="J1948" s="8"/>
      <c r="R1948" s="8"/>
      <c r="Z1948" s="6"/>
    </row>
    <row r="1949" spans="3:26" x14ac:dyDescent="0.25">
      <c r="C1949" s="2"/>
      <c r="J1949" s="8"/>
      <c r="R1949" s="8"/>
      <c r="Z1949" s="6"/>
    </row>
    <row r="1950" spans="3:26" x14ac:dyDescent="0.25">
      <c r="C1950" s="2"/>
      <c r="J1950" s="8"/>
      <c r="R1950" s="8"/>
      <c r="Z1950" s="6"/>
    </row>
    <row r="1951" spans="3:26" x14ac:dyDescent="0.25">
      <c r="C1951" s="2"/>
      <c r="J1951" s="8"/>
      <c r="R1951" s="8"/>
      <c r="Z1951" s="6"/>
    </row>
    <row r="1952" spans="3:26" x14ac:dyDescent="0.25">
      <c r="C1952" s="2"/>
      <c r="J1952" s="8"/>
      <c r="R1952" s="8"/>
      <c r="Z1952" s="6"/>
    </row>
    <row r="1953" spans="3:26" x14ac:dyDescent="0.25">
      <c r="C1953" s="2"/>
      <c r="J1953" s="8"/>
      <c r="R1953" s="8"/>
      <c r="Z1953" s="6"/>
    </row>
    <row r="1954" spans="3:26" x14ac:dyDescent="0.25">
      <c r="C1954" s="2"/>
      <c r="J1954" s="8"/>
      <c r="R1954" s="8"/>
      <c r="Z1954" s="6"/>
    </row>
    <row r="1955" spans="3:26" x14ac:dyDescent="0.25">
      <c r="C1955" s="2"/>
      <c r="J1955" s="8"/>
      <c r="R1955" s="8"/>
      <c r="Z1955" s="6"/>
    </row>
    <row r="1956" spans="3:26" x14ac:dyDescent="0.25">
      <c r="C1956" s="2"/>
      <c r="J1956" s="8"/>
      <c r="R1956" s="8"/>
      <c r="Z1956" s="6"/>
    </row>
    <row r="1957" spans="3:26" x14ac:dyDescent="0.25">
      <c r="C1957" s="2"/>
      <c r="J1957" s="8"/>
      <c r="R1957" s="8"/>
      <c r="Z1957" s="6"/>
    </row>
    <row r="1958" spans="3:26" x14ac:dyDescent="0.25">
      <c r="C1958" s="2"/>
      <c r="J1958" s="8"/>
      <c r="R1958" s="8"/>
      <c r="Z1958" s="6"/>
    </row>
    <row r="1959" spans="3:26" x14ac:dyDescent="0.25">
      <c r="C1959" s="2"/>
      <c r="J1959" s="8"/>
      <c r="R1959" s="8"/>
      <c r="Z1959" s="6"/>
    </row>
    <row r="1960" spans="3:26" x14ac:dyDescent="0.25">
      <c r="C1960" s="2"/>
      <c r="J1960" s="8"/>
      <c r="R1960" s="8"/>
      <c r="Z1960" s="6"/>
    </row>
    <row r="1961" spans="3:26" x14ac:dyDescent="0.25">
      <c r="C1961" s="2"/>
      <c r="J1961" s="8"/>
      <c r="R1961" s="8"/>
      <c r="Z1961" s="6"/>
    </row>
    <row r="1962" spans="3:26" x14ac:dyDescent="0.25">
      <c r="C1962" s="2"/>
      <c r="J1962" s="8"/>
      <c r="R1962" s="8"/>
      <c r="Z1962" s="6"/>
    </row>
    <row r="1963" spans="3:26" x14ac:dyDescent="0.25">
      <c r="C1963" s="2"/>
      <c r="J1963" s="8"/>
      <c r="R1963" s="8"/>
      <c r="Z1963" s="6"/>
    </row>
    <row r="1964" spans="3:26" x14ac:dyDescent="0.25">
      <c r="C1964" s="2"/>
      <c r="J1964" s="8"/>
      <c r="R1964" s="8"/>
      <c r="Z1964" s="6"/>
    </row>
    <row r="1965" spans="3:26" x14ac:dyDescent="0.25">
      <c r="C1965" s="2"/>
      <c r="J1965" s="8"/>
      <c r="R1965" s="8"/>
      <c r="Z1965" s="6"/>
    </row>
    <row r="1966" spans="3:26" x14ac:dyDescent="0.25">
      <c r="C1966" s="2"/>
      <c r="J1966" s="8"/>
      <c r="R1966" s="8"/>
      <c r="Z1966" s="6"/>
    </row>
    <row r="1967" spans="3:26" x14ac:dyDescent="0.25">
      <c r="C1967" s="2"/>
      <c r="J1967" s="8"/>
      <c r="R1967" s="8"/>
      <c r="Z1967" s="6"/>
    </row>
    <row r="1968" spans="3:26" x14ac:dyDescent="0.25">
      <c r="C1968" s="2"/>
      <c r="J1968" s="8"/>
      <c r="R1968" s="8"/>
      <c r="Z1968" s="6"/>
    </row>
    <row r="1969" spans="3:26" x14ac:dyDescent="0.25">
      <c r="C1969" s="2"/>
      <c r="J1969" s="8"/>
      <c r="R1969" s="8"/>
      <c r="Z1969" s="6"/>
    </row>
    <row r="1970" spans="3:26" x14ac:dyDescent="0.25">
      <c r="C1970" s="2"/>
      <c r="J1970" s="8"/>
      <c r="R1970" s="8"/>
      <c r="Z1970" s="6"/>
    </row>
    <row r="1971" spans="3:26" x14ac:dyDescent="0.25">
      <c r="C1971" s="2"/>
      <c r="J1971" s="8"/>
      <c r="R1971" s="8"/>
      <c r="Z1971" s="6"/>
    </row>
    <row r="1972" spans="3:26" x14ac:dyDescent="0.25">
      <c r="C1972" s="2"/>
      <c r="J1972" s="8"/>
      <c r="R1972" s="8"/>
      <c r="Z1972" s="6"/>
    </row>
    <row r="1973" spans="3:26" x14ac:dyDescent="0.25">
      <c r="C1973" s="2"/>
      <c r="J1973" s="8"/>
      <c r="R1973" s="8"/>
      <c r="Z1973" s="6"/>
    </row>
    <row r="1974" spans="3:26" x14ac:dyDescent="0.25">
      <c r="C1974" s="2"/>
      <c r="J1974" s="8"/>
      <c r="R1974" s="8"/>
      <c r="Z1974" s="6"/>
    </row>
    <row r="1975" spans="3:26" x14ac:dyDescent="0.25">
      <c r="C1975" s="2"/>
      <c r="J1975" s="8"/>
      <c r="R1975" s="8"/>
      <c r="Z1975" s="6"/>
    </row>
    <row r="1976" spans="3:26" x14ac:dyDescent="0.25">
      <c r="C1976" s="2"/>
      <c r="J1976" s="8"/>
      <c r="R1976" s="8"/>
      <c r="Z1976" s="6"/>
    </row>
    <row r="1977" spans="3:26" x14ac:dyDescent="0.25">
      <c r="C1977" s="2"/>
      <c r="J1977" s="8"/>
      <c r="R1977" s="8"/>
      <c r="Z1977" s="6"/>
    </row>
    <row r="1978" spans="3:26" x14ac:dyDescent="0.25">
      <c r="C1978" s="2"/>
      <c r="J1978" s="8"/>
      <c r="R1978" s="8"/>
      <c r="Z1978" s="6"/>
    </row>
    <row r="1979" spans="3:26" x14ac:dyDescent="0.25">
      <c r="C1979" s="2"/>
      <c r="J1979" s="8"/>
      <c r="R1979" s="8"/>
      <c r="Z1979" s="6"/>
    </row>
    <row r="1980" spans="3:26" x14ac:dyDescent="0.25">
      <c r="C1980" s="2"/>
      <c r="J1980" s="8"/>
      <c r="R1980" s="8"/>
      <c r="Z1980" s="6"/>
    </row>
    <row r="1981" spans="3:26" x14ac:dyDescent="0.25">
      <c r="C1981" s="2"/>
      <c r="J1981" s="8"/>
      <c r="R1981" s="8"/>
      <c r="Z1981" s="6"/>
    </row>
    <row r="1982" spans="3:26" x14ac:dyDescent="0.25">
      <c r="C1982" s="2"/>
      <c r="J1982" s="8"/>
      <c r="R1982" s="8"/>
      <c r="Z1982" s="6"/>
    </row>
    <row r="1983" spans="3:26" x14ac:dyDescent="0.25">
      <c r="C1983" s="2"/>
      <c r="J1983" s="8"/>
      <c r="R1983" s="8"/>
      <c r="Z1983" s="6"/>
    </row>
    <row r="1984" spans="3:26" x14ac:dyDescent="0.25">
      <c r="C1984" s="2"/>
      <c r="J1984" s="8"/>
      <c r="R1984" s="8"/>
      <c r="Z1984" s="6"/>
    </row>
    <row r="1985" spans="3:26" x14ac:dyDescent="0.25">
      <c r="C1985" s="2"/>
      <c r="J1985" s="8"/>
      <c r="R1985" s="8"/>
      <c r="Z1985" s="6"/>
    </row>
    <row r="1986" spans="3:26" x14ac:dyDescent="0.25">
      <c r="C1986" s="2"/>
      <c r="J1986" s="8"/>
      <c r="R1986" s="8"/>
      <c r="Z1986" s="6"/>
    </row>
    <row r="1987" spans="3:26" x14ac:dyDescent="0.25">
      <c r="C1987" s="2"/>
      <c r="J1987" s="8"/>
      <c r="R1987" s="8"/>
      <c r="Z1987" s="6"/>
    </row>
    <row r="1988" spans="3:26" x14ac:dyDescent="0.25">
      <c r="C1988" s="2"/>
      <c r="J1988" s="8"/>
      <c r="R1988" s="8"/>
      <c r="Z1988" s="6"/>
    </row>
    <row r="1989" spans="3:26" x14ac:dyDescent="0.25">
      <c r="C1989" s="2"/>
      <c r="J1989" s="8"/>
      <c r="R1989" s="8"/>
      <c r="Z1989" s="6"/>
    </row>
    <row r="1990" spans="3:26" x14ac:dyDescent="0.25">
      <c r="C1990" s="2"/>
      <c r="J1990" s="8"/>
      <c r="R1990" s="8"/>
      <c r="Z1990" s="6"/>
    </row>
    <row r="1991" spans="3:26" x14ac:dyDescent="0.25">
      <c r="C1991" s="2"/>
      <c r="J1991" s="8"/>
      <c r="R1991" s="8"/>
      <c r="Z1991" s="6"/>
    </row>
    <row r="1992" spans="3:26" x14ac:dyDescent="0.25">
      <c r="C1992" s="2"/>
      <c r="J1992" s="8"/>
      <c r="R1992" s="8"/>
      <c r="Z1992" s="6"/>
    </row>
    <row r="1993" spans="3:26" x14ac:dyDescent="0.25">
      <c r="C1993" s="2"/>
      <c r="J1993" s="8"/>
      <c r="R1993" s="8"/>
      <c r="Z1993" s="6"/>
    </row>
    <row r="1994" spans="3:26" x14ac:dyDescent="0.25">
      <c r="C1994" s="2"/>
      <c r="J1994" s="8"/>
      <c r="R1994" s="8"/>
      <c r="Z1994" s="6"/>
    </row>
    <row r="1995" spans="3:26" x14ac:dyDescent="0.25">
      <c r="C1995" s="2"/>
      <c r="J1995" s="8"/>
      <c r="R1995" s="8"/>
      <c r="Z1995" s="6"/>
    </row>
    <row r="1996" spans="3:26" x14ac:dyDescent="0.25">
      <c r="C1996" s="2"/>
      <c r="J1996" s="8"/>
      <c r="R1996" s="8"/>
      <c r="Z1996" s="6"/>
    </row>
    <row r="1997" spans="3:26" x14ac:dyDescent="0.25">
      <c r="C1997" s="2"/>
      <c r="J1997" s="8"/>
      <c r="R1997" s="8"/>
      <c r="Z1997" s="6"/>
    </row>
    <row r="1998" spans="3:26" x14ac:dyDescent="0.25">
      <c r="C1998" s="2"/>
      <c r="J1998" s="8"/>
      <c r="R1998" s="8"/>
      <c r="Z1998" s="6"/>
    </row>
    <row r="1999" spans="3:26" x14ac:dyDescent="0.25">
      <c r="C1999" s="2"/>
      <c r="J1999" s="8"/>
      <c r="R1999" s="8"/>
      <c r="Z1999" s="6"/>
    </row>
    <row r="2000" spans="3:26" x14ac:dyDescent="0.25">
      <c r="C2000" s="2"/>
      <c r="J2000" s="8"/>
      <c r="R2000" s="8"/>
      <c r="Z2000" s="6"/>
    </row>
    <row r="2001" spans="3:26" x14ac:dyDescent="0.25">
      <c r="C2001" s="2"/>
      <c r="J2001" s="8"/>
      <c r="R2001" s="8"/>
      <c r="Z2001" s="6"/>
    </row>
    <row r="2002" spans="3:26" x14ac:dyDescent="0.25">
      <c r="C2002" s="2"/>
      <c r="J2002" s="8"/>
      <c r="R2002" s="8"/>
      <c r="Z2002" s="6"/>
    </row>
    <row r="2003" spans="3:26" x14ac:dyDescent="0.25">
      <c r="C2003" s="2"/>
      <c r="J2003" s="8"/>
      <c r="R2003" s="8"/>
      <c r="Z2003" s="6"/>
    </row>
    <row r="2004" spans="3:26" x14ac:dyDescent="0.25">
      <c r="C2004" s="2"/>
      <c r="J2004" s="8"/>
      <c r="R2004" s="8"/>
      <c r="Z2004" s="6"/>
    </row>
    <row r="2005" spans="3:26" x14ac:dyDescent="0.25">
      <c r="C2005" s="2"/>
      <c r="J2005" s="8"/>
      <c r="R2005" s="8"/>
      <c r="Z2005" s="6"/>
    </row>
    <row r="2006" spans="3:26" x14ac:dyDescent="0.25">
      <c r="C2006" s="2"/>
      <c r="J2006" s="8"/>
      <c r="R2006" s="8"/>
      <c r="Z2006" s="6"/>
    </row>
    <row r="2007" spans="3:26" x14ac:dyDescent="0.25">
      <c r="C2007" s="2"/>
      <c r="J2007" s="8"/>
      <c r="R2007" s="8"/>
      <c r="Z2007" s="6"/>
    </row>
    <row r="2008" spans="3:26" x14ac:dyDescent="0.25">
      <c r="C2008" s="2"/>
      <c r="J2008" s="8"/>
      <c r="R2008" s="8"/>
      <c r="Z2008" s="6"/>
    </row>
    <row r="2009" spans="3:26" x14ac:dyDescent="0.25">
      <c r="C2009" s="2"/>
      <c r="J2009" s="8"/>
      <c r="R2009" s="8"/>
      <c r="Z2009" s="6"/>
    </row>
    <row r="2010" spans="3:26" x14ac:dyDescent="0.25">
      <c r="C2010" s="2"/>
      <c r="J2010" s="8"/>
      <c r="R2010" s="8"/>
      <c r="Z2010" s="6"/>
    </row>
    <row r="2011" spans="3:26" x14ac:dyDescent="0.25">
      <c r="C2011" s="2"/>
      <c r="J2011" s="8"/>
      <c r="R2011" s="8"/>
      <c r="Z2011" s="6"/>
    </row>
    <row r="2012" spans="3:26" x14ac:dyDescent="0.25">
      <c r="C2012" s="2"/>
      <c r="J2012" s="8"/>
      <c r="R2012" s="8"/>
      <c r="Z2012" s="6"/>
    </row>
    <row r="2013" spans="3:26" x14ac:dyDescent="0.25">
      <c r="C2013" s="2"/>
      <c r="J2013" s="8"/>
      <c r="R2013" s="8"/>
      <c r="Z2013" s="6"/>
    </row>
    <row r="2014" spans="3:26" x14ac:dyDescent="0.25">
      <c r="C2014" s="2"/>
      <c r="J2014" s="8"/>
      <c r="R2014" s="8"/>
      <c r="Z2014" s="6"/>
    </row>
    <row r="2015" spans="3:26" x14ac:dyDescent="0.25">
      <c r="C2015" s="2"/>
      <c r="J2015" s="8"/>
      <c r="R2015" s="8"/>
      <c r="Z2015" s="6"/>
    </row>
    <row r="2016" spans="3:26" x14ac:dyDescent="0.25">
      <c r="C2016" s="2"/>
      <c r="J2016" s="8"/>
      <c r="R2016" s="8"/>
      <c r="Z2016" s="6"/>
    </row>
    <row r="2017" spans="3:26" x14ac:dyDescent="0.25">
      <c r="C2017" s="2"/>
      <c r="J2017" s="8"/>
      <c r="R2017" s="8"/>
      <c r="Z2017" s="6"/>
    </row>
    <row r="2018" spans="3:26" x14ac:dyDescent="0.25">
      <c r="C2018" s="2"/>
      <c r="J2018" s="8"/>
      <c r="R2018" s="8"/>
      <c r="Z2018" s="6"/>
    </row>
    <row r="2019" spans="3:26" x14ac:dyDescent="0.25">
      <c r="C2019" s="2"/>
      <c r="J2019" s="8"/>
      <c r="R2019" s="8"/>
      <c r="Z2019" s="6"/>
    </row>
    <row r="2020" spans="3:26" x14ac:dyDescent="0.25">
      <c r="C2020" s="2"/>
      <c r="J2020" s="8"/>
      <c r="R2020" s="8"/>
      <c r="Z2020" s="6"/>
    </row>
    <row r="2021" spans="3:26" x14ac:dyDescent="0.25">
      <c r="C2021" s="2"/>
      <c r="J2021" s="8"/>
      <c r="R2021" s="8"/>
      <c r="Z2021" s="6"/>
    </row>
    <row r="2022" spans="3:26" x14ac:dyDescent="0.25">
      <c r="C2022" s="2"/>
      <c r="J2022" s="8"/>
      <c r="R2022" s="8"/>
      <c r="Z2022" s="6"/>
    </row>
    <row r="2023" spans="3:26" x14ac:dyDescent="0.25">
      <c r="C2023" s="2"/>
      <c r="J2023" s="8"/>
      <c r="R2023" s="8"/>
      <c r="Z2023" s="6"/>
    </row>
    <row r="2024" spans="3:26" x14ac:dyDescent="0.25">
      <c r="C2024" s="2"/>
      <c r="J2024" s="8"/>
      <c r="R2024" s="8"/>
      <c r="Z2024" s="6"/>
    </row>
    <row r="2025" spans="3:26" x14ac:dyDescent="0.25">
      <c r="C2025" s="2"/>
      <c r="J2025" s="8"/>
      <c r="R2025" s="8"/>
      <c r="Z2025" s="6"/>
    </row>
    <row r="2026" spans="3:26" x14ac:dyDescent="0.25">
      <c r="C2026" s="2"/>
      <c r="J2026" s="8"/>
      <c r="R2026" s="8"/>
      <c r="Z2026" s="6"/>
    </row>
    <row r="2027" spans="3:26" x14ac:dyDescent="0.25">
      <c r="C2027" s="2"/>
      <c r="J2027" s="8"/>
      <c r="R2027" s="8"/>
      <c r="Z2027" s="6"/>
    </row>
    <row r="2028" spans="3:26" x14ac:dyDescent="0.25">
      <c r="C2028" s="2"/>
      <c r="J2028" s="8"/>
      <c r="R2028" s="8"/>
      <c r="Z2028" s="6"/>
    </row>
    <row r="2029" spans="3:26" x14ac:dyDescent="0.25">
      <c r="C2029" s="2"/>
      <c r="J2029" s="8"/>
      <c r="R2029" s="8"/>
      <c r="Z2029" s="6"/>
    </row>
    <row r="2030" spans="3:26" x14ac:dyDescent="0.25">
      <c r="C2030" s="2"/>
      <c r="J2030" s="8"/>
      <c r="R2030" s="8"/>
      <c r="Z2030" s="6"/>
    </row>
    <row r="2031" spans="3:26" x14ac:dyDescent="0.25">
      <c r="C2031" s="2"/>
      <c r="J2031" s="8"/>
      <c r="R2031" s="8"/>
      <c r="Z2031" s="6"/>
    </row>
    <row r="2032" spans="3:26" x14ac:dyDescent="0.25">
      <c r="C2032" s="2"/>
      <c r="J2032" s="8"/>
      <c r="R2032" s="8"/>
      <c r="Z2032" s="6"/>
    </row>
    <row r="2033" spans="3:26" x14ac:dyDescent="0.25">
      <c r="C2033" s="2"/>
      <c r="J2033" s="8"/>
      <c r="R2033" s="8"/>
      <c r="Z2033" s="6"/>
    </row>
    <row r="2034" spans="3:26" x14ac:dyDescent="0.25">
      <c r="C2034" s="2"/>
      <c r="J2034" s="8"/>
      <c r="R2034" s="8"/>
      <c r="Z2034" s="6"/>
    </row>
    <row r="2035" spans="3:26" x14ac:dyDescent="0.25">
      <c r="C2035" s="2"/>
      <c r="J2035" s="8"/>
      <c r="R2035" s="8"/>
      <c r="Z2035" s="6"/>
    </row>
    <row r="2036" spans="3:26" x14ac:dyDescent="0.25">
      <c r="C2036" s="2"/>
      <c r="J2036" s="8"/>
      <c r="R2036" s="8"/>
      <c r="Z2036" s="6"/>
    </row>
    <row r="2037" spans="3:26" x14ac:dyDescent="0.25">
      <c r="C2037" s="2"/>
      <c r="J2037" s="8"/>
      <c r="R2037" s="8"/>
      <c r="Z2037" s="6"/>
    </row>
    <row r="2038" spans="3:26" x14ac:dyDescent="0.25">
      <c r="C2038" s="2"/>
      <c r="J2038" s="8"/>
      <c r="R2038" s="8"/>
      <c r="Z2038" s="6"/>
    </row>
    <row r="2039" spans="3:26" x14ac:dyDescent="0.25">
      <c r="C2039" s="2"/>
      <c r="J2039" s="8"/>
      <c r="R2039" s="8"/>
      <c r="Z2039" s="6"/>
    </row>
    <row r="2040" spans="3:26" x14ac:dyDescent="0.25">
      <c r="C2040" s="2"/>
      <c r="J2040" s="8"/>
      <c r="R2040" s="8"/>
      <c r="Z2040" s="6"/>
    </row>
    <row r="2041" spans="3:26" x14ac:dyDescent="0.25">
      <c r="C2041" s="2"/>
      <c r="J2041" s="8"/>
      <c r="R2041" s="8"/>
      <c r="Z2041" s="6"/>
    </row>
    <row r="2042" spans="3:26" x14ac:dyDescent="0.25">
      <c r="C2042" s="2"/>
      <c r="J2042" s="8"/>
      <c r="R2042" s="8"/>
      <c r="Z2042" s="6"/>
    </row>
    <row r="2043" spans="3:26" x14ac:dyDescent="0.25">
      <c r="C2043" s="2"/>
      <c r="J2043" s="8"/>
      <c r="R2043" s="8"/>
      <c r="Z2043" s="6"/>
    </row>
    <row r="2044" spans="3:26" x14ac:dyDescent="0.25">
      <c r="C2044" s="2"/>
      <c r="J2044" s="8"/>
      <c r="R2044" s="8"/>
      <c r="Z2044" s="6"/>
    </row>
    <row r="2045" spans="3:26" x14ac:dyDescent="0.25">
      <c r="C2045" s="2"/>
      <c r="J2045" s="8"/>
      <c r="R2045" s="8"/>
      <c r="Z2045" s="6"/>
    </row>
    <row r="2046" spans="3:26" x14ac:dyDescent="0.25">
      <c r="C2046" s="2"/>
      <c r="J2046" s="8"/>
      <c r="R2046" s="8"/>
      <c r="Z2046" s="6"/>
    </row>
    <row r="2047" spans="3:26" x14ac:dyDescent="0.25">
      <c r="C2047" s="2"/>
      <c r="J2047" s="8"/>
      <c r="R2047" s="8"/>
      <c r="Z2047" s="6"/>
    </row>
    <row r="2048" spans="3:26" x14ac:dyDescent="0.25">
      <c r="C2048" s="2"/>
      <c r="J2048" s="8"/>
      <c r="R2048" s="8"/>
      <c r="Z2048" s="6"/>
    </row>
    <row r="2049" spans="3:26" x14ac:dyDescent="0.25">
      <c r="C2049" s="2"/>
      <c r="J2049" s="8"/>
      <c r="R2049" s="8"/>
      <c r="Z2049" s="6"/>
    </row>
    <row r="2050" spans="3:26" x14ac:dyDescent="0.25">
      <c r="C2050" s="2"/>
      <c r="J2050" s="8"/>
      <c r="R2050" s="8"/>
      <c r="Z2050" s="6"/>
    </row>
    <row r="2051" spans="3:26" x14ac:dyDescent="0.25">
      <c r="C2051" s="2"/>
      <c r="J2051" s="8"/>
      <c r="R2051" s="8"/>
      <c r="Z2051" s="6"/>
    </row>
    <row r="2052" spans="3:26" x14ac:dyDescent="0.25">
      <c r="C2052" s="2"/>
      <c r="J2052" s="8"/>
      <c r="R2052" s="8"/>
      <c r="Z2052" s="6"/>
    </row>
    <row r="2053" spans="3:26" x14ac:dyDescent="0.25">
      <c r="C2053" s="2"/>
      <c r="J2053" s="8"/>
      <c r="R2053" s="8"/>
      <c r="Z2053" s="6"/>
    </row>
    <row r="2054" spans="3:26" x14ac:dyDescent="0.25">
      <c r="C2054" s="2"/>
      <c r="J2054" s="8"/>
      <c r="R2054" s="8"/>
      <c r="Z2054" s="6"/>
    </row>
    <row r="2055" spans="3:26" x14ac:dyDescent="0.25">
      <c r="C2055" s="2"/>
      <c r="J2055" s="8"/>
      <c r="R2055" s="8"/>
      <c r="Z2055" s="6"/>
    </row>
    <row r="2056" spans="3:26" x14ac:dyDescent="0.25">
      <c r="C2056" s="2"/>
      <c r="J2056" s="8"/>
      <c r="R2056" s="8"/>
      <c r="Z2056" s="6"/>
    </row>
    <row r="2057" spans="3:26" x14ac:dyDescent="0.25">
      <c r="C2057" s="2"/>
      <c r="J2057" s="8"/>
      <c r="R2057" s="8"/>
      <c r="Z2057" s="6"/>
    </row>
    <row r="2058" spans="3:26" x14ac:dyDescent="0.25">
      <c r="C2058" s="2"/>
      <c r="J2058" s="8"/>
      <c r="R2058" s="8"/>
      <c r="Z2058" s="6"/>
    </row>
    <row r="2059" spans="3:26" x14ac:dyDescent="0.25">
      <c r="C2059" s="2"/>
      <c r="J2059" s="8"/>
      <c r="R2059" s="8"/>
      <c r="Z2059" s="6"/>
    </row>
    <row r="2060" spans="3:26" x14ac:dyDescent="0.25">
      <c r="C2060" s="2"/>
      <c r="J2060" s="8"/>
      <c r="R2060" s="8"/>
      <c r="Z2060" s="6"/>
    </row>
    <row r="2061" spans="3:26" x14ac:dyDescent="0.25">
      <c r="C2061" s="2"/>
      <c r="J2061" s="8"/>
      <c r="R2061" s="8"/>
      <c r="Z2061" s="6"/>
    </row>
    <row r="2062" spans="3:26" x14ac:dyDescent="0.25">
      <c r="C2062" s="2"/>
      <c r="J2062" s="8"/>
      <c r="R2062" s="8"/>
      <c r="Z2062" s="6"/>
    </row>
    <row r="2063" spans="3:26" x14ac:dyDescent="0.25">
      <c r="C2063" s="2"/>
      <c r="J2063" s="8"/>
      <c r="R2063" s="8"/>
      <c r="Z2063" s="6"/>
    </row>
    <row r="2064" spans="3:26" x14ac:dyDescent="0.25">
      <c r="C2064" s="2"/>
      <c r="J2064" s="8"/>
      <c r="R2064" s="8"/>
      <c r="Z2064" s="6"/>
    </row>
    <row r="2065" spans="3:26" x14ac:dyDescent="0.25">
      <c r="C2065" s="2"/>
      <c r="J2065" s="8"/>
      <c r="R2065" s="8"/>
      <c r="Z2065" s="6"/>
    </row>
    <row r="2066" spans="3:26" x14ac:dyDescent="0.25">
      <c r="C2066" s="2"/>
      <c r="J2066" s="8"/>
      <c r="R2066" s="8"/>
      <c r="Z2066" s="6"/>
    </row>
    <row r="2067" spans="3:26" x14ac:dyDescent="0.25">
      <c r="C2067" s="2"/>
      <c r="J2067" s="8"/>
      <c r="R2067" s="8"/>
      <c r="Z2067" s="6"/>
    </row>
    <row r="2068" spans="3:26" x14ac:dyDescent="0.25">
      <c r="C2068" s="2"/>
      <c r="J2068" s="8"/>
      <c r="R2068" s="8"/>
      <c r="Z2068" s="6"/>
    </row>
    <row r="2069" spans="3:26" x14ac:dyDescent="0.25">
      <c r="C2069" s="2"/>
      <c r="J2069" s="8"/>
      <c r="R2069" s="8"/>
      <c r="Z2069" s="6"/>
    </row>
    <row r="2070" spans="3:26" x14ac:dyDescent="0.25">
      <c r="C2070" s="2"/>
      <c r="J2070" s="8"/>
      <c r="R2070" s="8"/>
      <c r="Z2070" s="6"/>
    </row>
    <row r="2071" spans="3:26" x14ac:dyDescent="0.25">
      <c r="C2071" s="2"/>
      <c r="J2071" s="8"/>
      <c r="R2071" s="8"/>
      <c r="Z2071" s="6"/>
    </row>
    <row r="2072" spans="3:26" x14ac:dyDescent="0.25">
      <c r="C2072" s="2"/>
      <c r="J2072" s="8"/>
      <c r="R2072" s="8"/>
      <c r="Z2072" s="6"/>
    </row>
    <row r="2073" spans="3:26" x14ac:dyDescent="0.25">
      <c r="C2073" s="2"/>
      <c r="J2073" s="8"/>
      <c r="R2073" s="8"/>
      <c r="Z2073" s="6"/>
    </row>
    <row r="2074" spans="3:26" x14ac:dyDescent="0.25">
      <c r="C2074" s="2"/>
      <c r="J2074" s="8"/>
      <c r="R2074" s="8"/>
      <c r="Z2074" s="6"/>
    </row>
    <row r="2075" spans="3:26" x14ac:dyDescent="0.25">
      <c r="C2075" s="2"/>
      <c r="J2075" s="8"/>
      <c r="R2075" s="8"/>
      <c r="Z2075" s="6"/>
    </row>
    <row r="2076" spans="3:26" x14ac:dyDescent="0.25">
      <c r="C2076" s="2"/>
      <c r="J2076" s="8"/>
      <c r="R2076" s="8"/>
      <c r="Z2076" s="6"/>
    </row>
    <row r="2077" spans="3:26" x14ac:dyDescent="0.25">
      <c r="C2077" s="2"/>
      <c r="J2077" s="8"/>
      <c r="R2077" s="8"/>
      <c r="Z2077" s="6"/>
    </row>
    <row r="2078" spans="3:26" x14ac:dyDescent="0.25">
      <c r="C2078" s="2"/>
      <c r="J2078" s="8"/>
      <c r="R2078" s="8"/>
      <c r="Z2078" s="6"/>
    </row>
    <row r="2079" spans="3:26" x14ac:dyDescent="0.25">
      <c r="C2079" s="2"/>
      <c r="J2079" s="8"/>
      <c r="R2079" s="8"/>
      <c r="Z2079" s="6"/>
    </row>
    <row r="2080" spans="3:26" x14ac:dyDescent="0.25">
      <c r="C2080" s="2"/>
      <c r="J2080" s="8"/>
      <c r="R2080" s="8"/>
      <c r="Z2080" s="6"/>
    </row>
    <row r="2081" spans="3:26" x14ac:dyDescent="0.25">
      <c r="C2081" s="2"/>
      <c r="J2081" s="8"/>
      <c r="R2081" s="8"/>
      <c r="Z2081" s="6"/>
    </row>
    <row r="2082" spans="3:26" x14ac:dyDescent="0.25">
      <c r="C2082" s="2"/>
      <c r="J2082" s="8"/>
      <c r="R2082" s="8"/>
      <c r="Z2082" s="6"/>
    </row>
    <row r="2083" spans="3:26" x14ac:dyDescent="0.25">
      <c r="C2083" s="2"/>
      <c r="J2083" s="8"/>
      <c r="R2083" s="8"/>
      <c r="Z2083" s="6"/>
    </row>
    <row r="2084" spans="3:26" x14ac:dyDescent="0.25">
      <c r="C2084" s="2"/>
      <c r="J2084" s="8"/>
      <c r="R2084" s="8"/>
      <c r="Z2084" s="6"/>
    </row>
    <row r="2085" spans="3:26" x14ac:dyDescent="0.25">
      <c r="C2085" s="2"/>
      <c r="J2085" s="8"/>
      <c r="R2085" s="8"/>
      <c r="Z2085" s="6"/>
    </row>
    <row r="2086" spans="3:26" x14ac:dyDescent="0.25">
      <c r="C2086" s="2"/>
      <c r="J2086" s="8"/>
      <c r="R2086" s="8"/>
      <c r="Z2086" s="6"/>
    </row>
    <row r="2087" spans="3:26" x14ac:dyDescent="0.25">
      <c r="C2087" s="2"/>
      <c r="J2087" s="8"/>
      <c r="R2087" s="8"/>
      <c r="Z2087" s="6"/>
    </row>
    <row r="2088" spans="3:26" x14ac:dyDescent="0.25">
      <c r="C2088" s="2"/>
      <c r="J2088" s="8"/>
      <c r="R2088" s="8"/>
      <c r="Z2088" s="6"/>
    </row>
    <row r="2089" spans="3:26" x14ac:dyDescent="0.25">
      <c r="C2089" s="2"/>
      <c r="J2089" s="8"/>
      <c r="R2089" s="8"/>
      <c r="Z2089" s="6"/>
    </row>
    <row r="2090" spans="3:26" x14ac:dyDescent="0.25">
      <c r="C2090" s="2"/>
      <c r="J2090" s="8"/>
      <c r="R2090" s="8"/>
      <c r="Z2090" s="6"/>
    </row>
    <row r="2091" spans="3:26" x14ac:dyDescent="0.25">
      <c r="C2091" s="2"/>
      <c r="J2091" s="8"/>
      <c r="R2091" s="8"/>
      <c r="Z2091" s="6"/>
    </row>
    <row r="2092" spans="3:26" x14ac:dyDescent="0.25">
      <c r="C2092" s="2"/>
      <c r="J2092" s="8"/>
      <c r="R2092" s="8"/>
      <c r="Z2092" s="6"/>
    </row>
    <row r="2093" spans="3:26" x14ac:dyDescent="0.25">
      <c r="C2093" s="2"/>
      <c r="J2093" s="8"/>
      <c r="R2093" s="8"/>
      <c r="Z2093" s="6"/>
    </row>
    <row r="2094" spans="3:26" x14ac:dyDescent="0.25">
      <c r="C2094" s="2"/>
      <c r="J2094" s="8"/>
      <c r="R2094" s="8"/>
      <c r="Z2094" s="6"/>
    </row>
    <row r="2095" spans="3:26" x14ac:dyDescent="0.25">
      <c r="C2095" s="2"/>
      <c r="J2095" s="8"/>
      <c r="R2095" s="8"/>
      <c r="Z2095" s="6"/>
    </row>
    <row r="2096" spans="3:26" x14ac:dyDescent="0.25">
      <c r="C2096" s="2"/>
      <c r="J2096" s="8"/>
      <c r="R2096" s="8"/>
      <c r="Z2096" s="6"/>
    </row>
    <row r="2097" spans="3:26" x14ac:dyDescent="0.25">
      <c r="C2097" s="2"/>
      <c r="J2097" s="8"/>
      <c r="R2097" s="8"/>
      <c r="Z2097" s="6"/>
    </row>
    <row r="2098" spans="3:26" x14ac:dyDescent="0.25">
      <c r="C2098" s="2"/>
      <c r="J2098" s="8"/>
      <c r="R2098" s="8"/>
      <c r="Z2098" s="6"/>
    </row>
    <row r="2099" spans="3:26" x14ac:dyDescent="0.25">
      <c r="C2099" s="2"/>
      <c r="J2099" s="8"/>
      <c r="R2099" s="8"/>
      <c r="Z2099" s="6"/>
    </row>
    <row r="2100" spans="3:26" x14ac:dyDescent="0.25">
      <c r="C2100" s="2"/>
      <c r="J2100" s="8"/>
      <c r="R2100" s="8"/>
      <c r="Z2100" s="6"/>
    </row>
    <row r="2101" spans="3:26" x14ac:dyDescent="0.25">
      <c r="C2101" s="2"/>
      <c r="J2101" s="8"/>
      <c r="R2101" s="8"/>
      <c r="Z2101" s="6"/>
    </row>
    <row r="2102" spans="3:26" x14ac:dyDescent="0.25">
      <c r="C2102" s="2"/>
      <c r="J2102" s="8"/>
      <c r="R2102" s="8"/>
      <c r="Z2102" s="6"/>
    </row>
    <row r="2103" spans="3:26" x14ac:dyDescent="0.25">
      <c r="C2103" s="2"/>
      <c r="J2103" s="8"/>
      <c r="R2103" s="8"/>
      <c r="Z2103" s="6"/>
    </row>
    <row r="2104" spans="3:26" x14ac:dyDescent="0.25">
      <c r="C2104" s="2"/>
      <c r="J2104" s="8"/>
      <c r="R2104" s="8"/>
      <c r="Z2104" s="6"/>
    </row>
    <row r="2105" spans="3:26" x14ac:dyDescent="0.25">
      <c r="C2105" s="2"/>
      <c r="J2105" s="8"/>
      <c r="R2105" s="8"/>
      <c r="Z2105" s="6"/>
    </row>
    <row r="2106" spans="3:26" x14ac:dyDescent="0.25">
      <c r="C2106" s="2"/>
      <c r="J2106" s="8"/>
      <c r="R2106" s="8"/>
      <c r="Z2106" s="6"/>
    </row>
    <row r="2107" spans="3:26" x14ac:dyDescent="0.25">
      <c r="C2107" s="2"/>
      <c r="J2107" s="8"/>
      <c r="R2107" s="8"/>
      <c r="Z2107" s="6"/>
    </row>
    <row r="2108" spans="3:26" x14ac:dyDescent="0.25">
      <c r="C2108" s="2"/>
      <c r="J2108" s="8"/>
      <c r="R2108" s="8"/>
      <c r="Z2108" s="6"/>
    </row>
    <row r="2109" spans="3:26" x14ac:dyDescent="0.25">
      <c r="C2109" s="2"/>
      <c r="J2109" s="8"/>
      <c r="R2109" s="8"/>
      <c r="Z2109" s="6"/>
    </row>
    <row r="2110" spans="3:26" x14ac:dyDescent="0.25">
      <c r="C2110" s="2"/>
      <c r="J2110" s="8"/>
      <c r="R2110" s="8"/>
      <c r="Z2110" s="6"/>
    </row>
    <row r="2111" spans="3:26" x14ac:dyDescent="0.25">
      <c r="C2111" s="2"/>
      <c r="J2111" s="8"/>
      <c r="R2111" s="8"/>
      <c r="Z2111" s="6"/>
    </row>
    <row r="2112" spans="3:26" x14ac:dyDescent="0.25">
      <c r="C2112" s="2"/>
      <c r="J2112" s="8"/>
      <c r="R2112" s="8"/>
      <c r="Z2112" s="6"/>
    </row>
    <row r="2113" spans="3:26" x14ac:dyDescent="0.25">
      <c r="C2113" s="2"/>
      <c r="J2113" s="8"/>
      <c r="R2113" s="8"/>
      <c r="Z2113" s="6"/>
    </row>
    <row r="2114" spans="3:26" x14ac:dyDescent="0.25">
      <c r="C2114" s="2"/>
      <c r="J2114" s="8"/>
      <c r="R2114" s="8"/>
      <c r="Z2114" s="6"/>
    </row>
    <row r="2115" spans="3:26" x14ac:dyDescent="0.25">
      <c r="C2115" s="2"/>
      <c r="J2115" s="8"/>
      <c r="R2115" s="8"/>
      <c r="Z2115" s="6"/>
    </row>
    <row r="2116" spans="3:26" x14ac:dyDescent="0.25">
      <c r="C2116" s="2"/>
      <c r="J2116" s="8"/>
      <c r="R2116" s="8"/>
      <c r="Z2116" s="6"/>
    </row>
    <row r="2117" spans="3:26" x14ac:dyDescent="0.25">
      <c r="C2117" s="2"/>
      <c r="J2117" s="8"/>
      <c r="R2117" s="8"/>
      <c r="Z2117" s="6"/>
    </row>
    <row r="2118" spans="3:26" x14ac:dyDescent="0.25">
      <c r="C2118" s="2"/>
      <c r="J2118" s="8"/>
      <c r="R2118" s="8"/>
      <c r="Z2118" s="6"/>
    </row>
    <row r="2119" spans="3:26" x14ac:dyDescent="0.25">
      <c r="C2119" s="2"/>
      <c r="J2119" s="8"/>
      <c r="R2119" s="8"/>
      <c r="Z2119" s="6"/>
    </row>
    <row r="2120" spans="3:26" x14ac:dyDescent="0.25">
      <c r="C2120" s="2"/>
      <c r="J2120" s="8"/>
      <c r="R2120" s="8"/>
      <c r="Z2120" s="6"/>
    </row>
    <row r="2121" spans="3:26" x14ac:dyDescent="0.25">
      <c r="C2121" s="2"/>
      <c r="J2121" s="8"/>
      <c r="R2121" s="8"/>
      <c r="Z2121" s="6"/>
    </row>
    <row r="2122" spans="3:26" x14ac:dyDescent="0.25">
      <c r="C2122" s="2"/>
      <c r="J2122" s="8"/>
      <c r="R2122" s="8"/>
      <c r="Z2122" s="6"/>
    </row>
    <row r="2123" spans="3:26" x14ac:dyDescent="0.25">
      <c r="C2123" s="2"/>
      <c r="J2123" s="8"/>
      <c r="R2123" s="8"/>
      <c r="Z2123" s="6"/>
    </row>
    <row r="2124" spans="3:26" x14ac:dyDescent="0.25">
      <c r="C2124" s="2"/>
      <c r="J2124" s="8"/>
      <c r="R2124" s="8"/>
      <c r="Z2124" s="6"/>
    </row>
    <row r="2125" spans="3:26" x14ac:dyDescent="0.25">
      <c r="C2125" s="2"/>
      <c r="J2125" s="8"/>
      <c r="R2125" s="8"/>
      <c r="Z2125" s="6"/>
    </row>
    <row r="2126" spans="3:26" x14ac:dyDescent="0.25">
      <c r="C2126" s="2"/>
      <c r="J2126" s="8"/>
      <c r="R2126" s="8"/>
      <c r="Z2126" s="6"/>
    </row>
    <row r="2127" spans="3:26" x14ac:dyDescent="0.25">
      <c r="C2127" s="2"/>
      <c r="J2127" s="8"/>
      <c r="R2127" s="8"/>
      <c r="Z2127" s="6"/>
    </row>
    <row r="2128" spans="3:26" x14ac:dyDescent="0.25">
      <c r="C2128" s="2"/>
      <c r="J2128" s="8"/>
      <c r="R2128" s="8"/>
      <c r="Z2128" s="6"/>
    </row>
    <row r="2129" spans="3:26" x14ac:dyDescent="0.25">
      <c r="C2129" s="2"/>
      <c r="J2129" s="8"/>
      <c r="R2129" s="8"/>
      <c r="Z2129" s="6"/>
    </row>
    <row r="2130" spans="3:26" x14ac:dyDescent="0.25">
      <c r="C2130" s="2"/>
      <c r="J2130" s="8"/>
      <c r="R2130" s="8"/>
      <c r="Z2130" s="6"/>
    </row>
    <row r="2131" spans="3:26" x14ac:dyDescent="0.25">
      <c r="C2131" s="2"/>
      <c r="J2131" s="8"/>
      <c r="R2131" s="8"/>
      <c r="Z2131" s="6"/>
    </row>
    <row r="2132" spans="3:26" x14ac:dyDescent="0.25">
      <c r="C2132" s="2"/>
      <c r="J2132" s="8"/>
      <c r="R2132" s="8"/>
      <c r="Z2132" s="6"/>
    </row>
    <row r="2133" spans="3:26" x14ac:dyDescent="0.25">
      <c r="C2133" s="2"/>
      <c r="J2133" s="8"/>
      <c r="R2133" s="8"/>
      <c r="Z2133" s="6"/>
    </row>
    <row r="2134" spans="3:26" x14ac:dyDescent="0.25">
      <c r="C2134" s="2"/>
      <c r="J2134" s="8"/>
      <c r="R2134" s="8"/>
      <c r="Z2134" s="6"/>
    </row>
    <row r="2135" spans="3:26" x14ac:dyDescent="0.25">
      <c r="C2135" s="2"/>
      <c r="J2135" s="8"/>
      <c r="R2135" s="8"/>
      <c r="Z2135" s="6"/>
    </row>
    <row r="2136" spans="3:26" x14ac:dyDescent="0.25">
      <c r="C2136" s="2"/>
      <c r="J2136" s="8"/>
      <c r="R2136" s="8"/>
      <c r="Z2136" s="6"/>
    </row>
    <row r="2137" spans="3:26" x14ac:dyDescent="0.25">
      <c r="C2137" s="2"/>
      <c r="J2137" s="8"/>
      <c r="R2137" s="8"/>
      <c r="Z2137" s="6"/>
    </row>
    <row r="2138" spans="3:26" x14ac:dyDescent="0.25">
      <c r="C2138" s="2"/>
      <c r="J2138" s="8"/>
      <c r="R2138" s="8"/>
      <c r="Z2138" s="6"/>
    </row>
    <row r="2139" spans="3:26" x14ac:dyDescent="0.25">
      <c r="C2139" s="2"/>
      <c r="J2139" s="8"/>
      <c r="R2139" s="8"/>
      <c r="Z2139" s="6"/>
    </row>
    <row r="2140" spans="3:26" x14ac:dyDescent="0.25">
      <c r="C2140" s="2"/>
      <c r="J2140" s="8"/>
      <c r="R2140" s="8"/>
      <c r="Z2140" s="6"/>
    </row>
    <row r="2141" spans="3:26" x14ac:dyDescent="0.25">
      <c r="C2141" s="2"/>
      <c r="J2141" s="8"/>
      <c r="R2141" s="8"/>
      <c r="Z2141" s="6"/>
    </row>
    <row r="2142" spans="3:26" x14ac:dyDescent="0.25">
      <c r="C2142" s="2"/>
      <c r="J2142" s="8"/>
      <c r="R2142" s="8"/>
      <c r="Z2142" s="6"/>
    </row>
    <row r="2143" spans="3:26" x14ac:dyDescent="0.25">
      <c r="C2143" s="2"/>
      <c r="J2143" s="8"/>
      <c r="R2143" s="8"/>
      <c r="Z2143" s="6"/>
    </row>
    <row r="2144" spans="3:26" x14ac:dyDescent="0.25">
      <c r="C2144" s="2"/>
      <c r="J2144" s="8"/>
      <c r="R2144" s="8"/>
      <c r="Z2144" s="6"/>
    </row>
    <row r="2145" spans="3:26" x14ac:dyDescent="0.25">
      <c r="C2145" s="2"/>
      <c r="J2145" s="8"/>
      <c r="R2145" s="8"/>
      <c r="Z2145" s="6"/>
    </row>
    <row r="2146" spans="3:26" x14ac:dyDescent="0.25">
      <c r="C2146" s="2"/>
      <c r="J2146" s="8"/>
      <c r="R2146" s="8"/>
      <c r="Z2146" s="6"/>
    </row>
    <row r="2147" spans="3:26" x14ac:dyDescent="0.25">
      <c r="C2147" s="2"/>
      <c r="J2147" s="8"/>
      <c r="R2147" s="8"/>
      <c r="Z2147" s="6"/>
    </row>
    <row r="2148" spans="3:26" x14ac:dyDescent="0.25">
      <c r="C2148" s="2"/>
      <c r="J2148" s="8"/>
      <c r="R2148" s="8"/>
      <c r="Z2148" s="6"/>
    </row>
    <row r="2149" spans="3:26" x14ac:dyDescent="0.25">
      <c r="C2149" s="2"/>
      <c r="J2149" s="8"/>
      <c r="R2149" s="8"/>
      <c r="Z2149" s="6"/>
    </row>
    <row r="2150" spans="3:26" x14ac:dyDescent="0.25">
      <c r="C2150" s="2"/>
      <c r="J2150" s="8"/>
      <c r="R2150" s="8"/>
      <c r="Z2150" s="6"/>
    </row>
    <row r="2151" spans="3:26" x14ac:dyDescent="0.25">
      <c r="C2151" s="2"/>
      <c r="J2151" s="8"/>
      <c r="R2151" s="8"/>
      <c r="Z2151" s="6"/>
    </row>
    <row r="2152" spans="3:26" x14ac:dyDescent="0.25">
      <c r="C2152" s="2"/>
      <c r="J2152" s="8"/>
      <c r="R2152" s="8"/>
      <c r="Z2152" s="6"/>
    </row>
    <row r="2153" spans="3:26" x14ac:dyDescent="0.25">
      <c r="C2153" s="2"/>
      <c r="J2153" s="8"/>
      <c r="R2153" s="8"/>
      <c r="Z2153" s="6"/>
    </row>
    <row r="2154" spans="3:26" x14ac:dyDescent="0.25">
      <c r="C2154" s="2"/>
      <c r="J2154" s="8"/>
      <c r="R2154" s="8"/>
      <c r="Z2154" s="6"/>
    </row>
    <row r="2155" spans="3:26" x14ac:dyDescent="0.25">
      <c r="C2155" s="2"/>
      <c r="J2155" s="8"/>
      <c r="R2155" s="8"/>
      <c r="Z2155" s="6"/>
    </row>
    <row r="2156" spans="3:26" x14ac:dyDescent="0.25">
      <c r="C2156" s="2"/>
      <c r="J2156" s="8"/>
      <c r="R2156" s="8"/>
      <c r="Z2156" s="6"/>
    </row>
    <row r="2157" spans="3:26" x14ac:dyDescent="0.25">
      <c r="C2157" s="2"/>
      <c r="J2157" s="8"/>
      <c r="R2157" s="8"/>
      <c r="Z2157" s="6"/>
    </row>
    <row r="2158" spans="3:26" x14ac:dyDescent="0.25">
      <c r="C2158" s="2"/>
      <c r="J2158" s="8"/>
      <c r="R2158" s="8"/>
      <c r="Z2158" s="6"/>
    </row>
    <row r="2159" spans="3:26" x14ac:dyDescent="0.25">
      <c r="C2159" s="2"/>
      <c r="J2159" s="8"/>
      <c r="R2159" s="8"/>
      <c r="Z2159" s="6"/>
    </row>
    <row r="2160" spans="3:26" x14ac:dyDescent="0.25">
      <c r="C2160" s="2"/>
      <c r="J2160" s="8"/>
      <c r="R2160" s="8"/>
      <c r="Z2160" s="6"/>
    </row>
    <row r="2161" spans="3:26" x14ac:dyDescent="0.25">
      <c r="C2161" s="2"/>
      <c r="J2161" s="8"/>
      <c r="R2161" s="8"/>
      <c r="Z2161" s="6"/>
    </row>
    <row r="2162" spans="3:26" x14ac:dyDescent="0.25">
      <c r="C2162" s="2"/>
      <c r="J2162" s="8"/>
      <c r="R2162" s="8"/>
      <c r="Z2162" s="6"/>
    </row>
    <row r="2163" spans="3:26" x14ac:dyDescent="0.25">
      <c r="C2163" s="2"/>
      <c r="J2163" s="8"/>
      <c r="R2163" s="8"/>
      <c r="Z2163" s="6"/>
    </row>
    <row r="2164" spans="3:26" x14ac:dyDescent="0.25">
      <c r="C2164" s="2"/>
      <c r="J2164" s="8"/>
      <c r="R2164" s="8"/>
      <c r="Z2164" s="6"/>
    </row>
    <row r="2165" spans="3:26" x14ac:dyDescent="0.25">
      <c r="C2165" s="2"/>
      <c r="J2165" s="8"/>
      <c r="R2165" s="8"/>
      <c r="Z2165" s="6"/>
    </row>
    <row r="2166" spans="3:26" x14ac:dyDescent="0.25">
      <c r="C2166" s="2"/>
      <c r="J2166" s="8"/>
      <c r="R2166" s="8"/>
      <c r="Z2166" s="6"/>
    </row>
    <row r="2167" spans="3:26" x14ac:dyDescent="0.25">
      <c r="C2167" s="2"/>
      <c r="J2167" s="8"/>
      <c r="R2167" s="8"/>
      <c r="Z2167" s="6"/>
    </row>
    <row r="2168" spans="3:26" x14ac:dyDescent="0.25">
      <c r="C2168" s="2"/>
      <c r="J2168" s="8"/>
      <c r="R2168" s="8"/>
      <c r="Z2168" s="6"/>
    </row>
    <row r="2169" spans="3:26" x14ac:dyDescent="0.25">
      <c r="C2169" s="2"/>
      <c r="J2169" s="8"/>
      <c r="R2169" s="8"/>
      <c r="Z2169" s="6"/>
    </row>
    <row r="2170" spans="3:26" x14ac:dyDescent="0.25">
      <c r="C2170" s="2"/>
      <c r="J2170" s="8"/>
      <c r="R2170" s="8"/>
      <c r="Z2170" s="6"/>
    </row>
    <row r="2171" spans="3:26" x14ac:dyDescent="0.25">
      <c r="C2171" s="2"/>
      <c r="J2171" s="8"/>
      <c r="R2171" s="8"/>
      <c r="Z2171" s="6"/>
    </row>
    <row r="2172" spans="3:26" x14ac:dyDescent="0.25">
      <c r="C2172" s="2"/>
      <c r="J2172" s="8"/>
      <c r="R2172" s="8"/>
      <c r="Z2172" s="6"/>
    </row>
    <row r="2173" spans="3:26" x14ac:dyDescent="0.25">
      <c r="C2173" s="2"/>
      <c r="J2173" s="8"/>
      <c r="R2173" s="8"/>
      <c r="Z2173" s="6"/>
    </row>
    <row r="2174" spans="3:26" x14ac:dyDescent="0.25">
      <c r="C2174" s="2"/>
      <c r="J2174" s="8"/>
      <c r="R2174" s="8"/>
      <c r="Z2174" s="6"/>
    </row>
    <row r="2175" spans="3:26" x14ac:dyDescent="0.25">
      <c r="C2175" s="2"/>
      <c r="J2175" s="8"/>
      <c r="R2175" s="8"/>
      <c r="Z2175" s="6"/>
    </row>
    <row r="2176" spans="3:26" x14ac:dyDescent="0.25">
      <c r="C2176" s="2"/>
      <c r="J2176" s="8"/>
      <c r="R2176" s="8"/>
      <c r="Z2176" s="6"/>
    </row>
    <row r="2177" spans="3:26" x14ac:dyDescent="0.25">
      <c r="C2177" s="2"/>
      <c r="J2177" s="8"/>
      <c r="R2177" s="8"/>
      <c r="Z2177" s="6"/>
    </row>
    <row r="2178" spans="3:26" x14ac:dyDescent="0.25">
      <c r="C2178" s="2"/>
      <c r="J2178" s="8"/>
      <c r="R2178" s="8"/>
      <c r="Z2178" s="6"/>
    </row>
    <row r="2179" spans="3:26" x14ac:dyDescent="0.25">
      <c r="C2179" s="2"/>
      <c r="J2179" s="8"/>
      <c r="R2179" s="8"/>
      <c r="Z2179" s="6"/>
    </row>
    <row r="2180" spans="3:26" x14ac:dyDescent="0.25">
      <c r="C2180" s="2"/>
      <c r="J2180" s="8"/>
      <c r="R2180" s="8"/>
      <c r="Z2180" s="6"/>
    </row>
    <row r="2181" spans="3:26" x14ac:dyDescent="0.25">
      <c r="C2181" s="2"/>
      <c r="J2181" s="8"/>
      <c r="R2181" s="8"/>
      <c r="Z2181" s="6"/>
    </row>
    <row r="2182" spans="3:26" x14ac:dyDescent="0.25">
      <c r="C2182" s="2"/>
      <c r="J2182" s="8"/>
      <c r="R2182" s="8"/>
      <c r="Z2182" s="6"/>
    </row>
    <row r="2183" spans="3:26" x14ac:dyDescent="0.25">
      <c r="C2183" s="2"/>
      <c r="J2183" s="8"/>
      <c r="R2183" s="8"/>
      <c r="Z2183" s="6"/>
    </row>
    <row r="2184" spans="3:26" x14ac:dyDescent="0.25">
      <c r="C2184" s="2"/>
      <c r="J2184" s="8"/>
      <c r="R2184" s="8"/>
      <c r="Z2184" s="6"/>
    </row>
    <row r="2185" spans="3:26" x14ac:dyDescent="0.25">
      <c r="C2185" s="2"/>
      <c r="J2185" s="8"/>
      <c r="R2185" s="8"/>
      <c r="Z2185" s="6"/>
    </row>
    <row r="2186" spans="3:26" x14ac:dyDescent="0.25">
      <c r="C2186" s="2"/>
      <c r="J2186" s="8"/>
      <c r="R2186" s="8"/>
      <c r="Z2186" s="6"/>
    </row>
    <row r="2187" spans="3:26" x14ac:dyDescent="0.25">
      <c r="C2187" s="2"/>
      <c r="J2187" s="8"/>
      <c r="R2187" s="8"/>
      <c r="Z2187" s="6"/>
    </row>
    <row r="2188" spans="3:26" x14ac:dyDescent="0.25">
      <c r="C2188" s="2"/>
      <c r="J2188" s="8"/>
      <c r="R2188" s="8"/>
      <c r="Z2188" s="6"/>
    </row>
    <row r="2189" spans="3:26" x14ac:dyDescent="0.25">
      <c r="C2189" s="2"/>
      <c r="J2189" s="8"/>
      <c r="R2189" s="8"/>
      <c r="Z2189" s="6"/>
    </row>
    <row r="2190" spans="3:26" x14ac:dyDescent="0.25">
      <c r="C2190" s="2"/>
      <c r="J2190" s="8"/>
      <c r="R2190" s="8"/>
      <c r="Z2190" s="6"/>
    </row>
    <row r="2191" spans="3:26" x14ac:dyDescent="0.25">
      <c r="C2191" s="2"/>
      <c r="J2191" s="8"/>
      <c r="R2191" s="8"/>
      <c r="Z2191" s="6"/>
    </row>
    <row r="2192" spans="3:26" x14ac:dyDescent="0.25">
      <c r="C2192" s="2"/>
      <c r="J2192" s="8"/>
      <c r="R2192" s="8"/>
      <c r="Z2192" s="6"/>
    </row>
    <row r="2193" spans="3:26" x14ac:dyDescent="0.25">
      <c r="C2193" s="2"/>
      <c r="J2193" s="8"/>
      <c r="R2193" s="8"/>
      <c r="Z2193" s="6"/>
    </row>
    <row r="2194" spans="3:26" x14ac:dyDescent="0.25">
      <c r="C2194" s="2"/>
      <c r="J2194" s="8"/>
      <c r="R2194" s="8"/>
      <c r="Z2194" s="6"/>
    </row>
    <row r="2195" spans="3:26" x14ac:dyDescent="0.25">
      <c r="C2195" s="2"/>
      <c r="J2195" s="8"/>
      <c r="R2195" s="8"/>
      <c r="Z2195" s="6"/>
    </row>
    <row r="2196" spans="3:26" x14ac:dyDescent="0.25">
      <c r="C2196" s="2"/>
      <c r="J2196" s="8"/>
      <c r="R2196" s="8"/>
      <c r="Z2196" s="6"/>
    </row>
    <row r="2197" spans="3:26" x14ac:dyDescent="0.25">
      <c r="C2197" s="2"/>
      <c r="J2197" s="8"/>
      <c r="R2197" s="8"/>
      <c r="Z2197" s="6"/>
    </row>
    <row r="2198" spans="3:26" x14ac:dyDescent="0.25">
      <c r="C2198" s="2"/>
      <c r="J2198" s="8"/>
      <c r="R2198" s="8"/>
      <c r="Z2198" s="6"/>
    </row>
    <row r="2199" spans="3:26" x14ac:dyDescent="0.25">
      <c r="C2199" s="2"/>
      <c r="J2199" s="8"/>
      <c r="R2199" s="8"/>
      <c r="Z2199" s="6"/>
    </row>
    <row r="2200" spans="3:26" x14ac:dyDescent="0.25">
      <c r="C2200" s="2"/>
      <c r="J2200" s="8"/>
      <c r="R2200" s="8"/>
      <c r="Z2200" s="6"/>
    </row>
    <row r="2201" spans="3:26" x14ac:dyDescent="0.25">
      <c r="C2201" s="2"/>
      <c r="J2201" s="8"/>
      <c r="R2201" s="8"/>
      <c r="Z2201" s="6"/>
    </row>
    <row r="2202" spans="3:26" x14ac:dyDescent="0.25">
      <c r="C2202" s="2"/>
      <c r="J2202" s="8"/>
      <c r="R2202" s="8"/>
      <c r="Z2202" s="6"/>
    </row>
    <row r="2203" spans="3:26" x14ac:dyDescent="0.25">
      <c r="C2203" s="2"/>
      <c r="J2203" s="8"/>
      <c r="R2203" s="8"/>
      <c r="Z2203" s="6"/>
    </row>
    <row r="2204" spans="3:26" x14ac:dyDescent="0.25">
      <c r="C2204" s="2"/>
      <c r="J2204" s="8"/>
      <c r="R2204" s="8"/>
      <c r="Z2204" s="6"/>
    </row>
    <row r="2205" spans="3:26" x14ac:dyDescent="0.25">
      <c r="C2205" s="2"/>
      <c r="J2205" s="8"/>
      <c r="R2205" s="8"/>
      <c r="Z2205" s="6"/>
    </row>
    <row r="2206" spans="3:26" x14ac:dyDescent="0.25">
      <c r="C2206" s="2"/>
      <c r="J2206" s="8"/>
      <c r="R2206" s="8"/>
      <c r="Z2206" s="6"/>
    </row>
    <row r="2207" spans="3:26" x14ac:dyDescent="0.25">
      <c r="C2207" s="2"/>
      <c r="J2207" s="8"/>
      <c r="R2207" s="8"/>
      <c r="Z2207" s="6"/>
    </row>
    <row r="2208" spans="3:26" x14ac:dyDescent="0.25">
      <c r="C2208" s="2"/>
      <c r="J2208" s="8"/>
      <c r="R2208" s="8"/>
      <c r="Z2208" s="6"/>
    </row>
    <row r="2209" spans="3:26" x14ac:dyDescent="0.25">
      <c r="C2209" s="2"/>
      <c r="J2209" s="8"/>
      <c r="R2209" s="8"/>
      <c r="Z2209" s="6"/>
    </row>
    <row r="2210" spans="3:26" x14ac:dyDescent="0.25">
      <c r="C2210" s="2"/>
      <c r="J2210" s="8"/>
      <c r="R2210" s="8"/>
      <c r="Z2210" s="6"/>
    </row>
    <row r="2211" spans="3:26" x14ac:dyDescent="0.25">
      <c r="C2211" s="2"/>
      <c r="J2211" s="8"/>
      <c r="R2211" s="8"/>
      <c r="Z2211" s="6"/>
    </row>
    <row r="2212" spans="3:26" x14ac:dyDescent="0.25">
      <c r="C2212" s="2"/>
      <c r="J2212" s="8"/>
      <c r="R2212" s="8"/>
      <c r="Z2212" s="6"/>
    </row>
    <row r="2213" spans="3:26" x14ac:dyDescent="0.25">
      <c r="C2213" s="2"/>
      <c r="J2213" s="8"/>
      <c r="R2213" s="8"/>
      <c r="Z2213" s="6"/>
    </row>
    <row r="2214" spans="3:26" x14ac:dyDescent="0.25">
      <c r="C2214" s="2"/>
      <c r="J2214" s="8"/>
      <c r="R2214" s="8"/>
      <c r="Z2214" s="6"/>
    </row>
    <row r="2215" spans="3:26" x14ac:dyDescent="0.25">
      <c r="C2215" s="2"/>
      <c r="J2215" s="8"/>
      <c r="R2215" s="8"/>
      <c r="Z2215" s="6"/>
    </row>
    <row r="2216" spans="3:26" x14ac:dyDescent="0.25">
      <c r="C2216" s="2"/>
      <c r="J2216" s="8"/>
      <c r="R2216" s="8"/>
      <c r="Z2216" s="6"/>
    </row>
    <row r="2217" spans="3:26" x14ac:dyDescent="0.25">
      <c r="C2217" s="2"/>
      <c r="J2217" s="8"/>
      <c r="R2217" s="8"/>
      <c r="Z2217" s="6"/>
    </row>
    <row r="2218" spans="3:26" x14ac:dyDescent="0.25">
      <c r="C2218" s="2"/>
      <c r="J2218" s="8"/>
      <c r="R2218" s="8"/>
      <c r="Z2218" s="6"/>
    </row>
    <row r="2219" spans="3:26" x14ac:dyDescent="0.25">
      <c r="C2219" s="2"/>
      <c r="J2219" s="8"/>
      <c r="R2219" s="8"/>
      <c r="Z2219" s="6"/>
    </row>
    <row r="2220" spans="3:26" x14ac:dyDescent="0.25">
      <c r="C2220" s="2"/>
      <c r="J2220" s="8"/>
      <c r="R2220" s="8"/>
      <c r="Z2220" s="6"/>
    </row>
    <row r="2221" spans="3:26" x14ac:dyDescent="0.25">
      <c r="C2221" s="2"/>
      <c r="J2221" s="8"/>
      <c r="R2221" s="8"/>
      <c r="Z2221" s="6"/>
    </row>
    <row r="2222" spans="3:26" x14ac:dyDescent="0.25">
      <c r="C2222" s="2"/>
      <c r="J2222" s="8"/>
      <c r="R2222" s="8"/>
      <c r="Z2222" s="6"/>
    </row>
    <row r="2223" spans="3:26" x14ac:dyDescent="0.25">
      <c r="C2223" s="2"/>
      <c r="J2223" s="8"/>
      <c r="R2223" s="8"/>
      <c r="Z2223" s="6"/>
    </row>
    <row r="2224" spans="3:26" x14ac:dyDescent="0.25">
      <c r="C2224" s="2"/>
      <c r="J2224" s="8"/>
      <c r="R2224" s="8"/>
      <c r="Z2224" s="6"/>
    </row>
    <row r="2225" spans="3:26" x14ac:dyDescent="0.25">
      <c r="C2225" s="2"/>
      <c r="J2225" s="8"/>
      <c r="R2225" s="8"/>
      <c r="Z2225" s="6"/>
    </row>
    <row r="2226" spans="3:26" x14ac:dyDescent="0.25">
      <c r="C2226" s="2"/>
      <c r="J2226" s="8"/>
      <c r="R2226" s="8"/>
      <c r="Z2226" s="6"/>
    </row>
    <row r="2227" spans="3:26" x14ac:dyDescent="0.25">
      <c r="C2227" s="2"/>
      <c r="J2227" s="8"/>
      <c r="R2227" s="8"/>
      <c r="Z2227" s="6"/>
    </row>
    <row r="2228" spans="3:26" x14ac:dyDescent="0.25">
      <c r="C2228" s="2"/>
      <c r="J2228" s="8"/>
      <c r="R2228" s="8"/>
      <c r="Z2228" s="6"/>
    </row>
    <row r="2229" spans="3:26" x14ac:dyDescent="0.25">
      <c r="C2229" s="2"/>
      <c r="J2229" s="8"/>
      <c r="R2229" s="8"/>
      <c r="Z2229" s="6"/>
    </row>
    <row r="2230" spans="3:26" x14ac:dyDescent="0.25">
      <c r="C2230" s="2"/>
      <c r="J2230" s="8"/>
      <c r="R2230" s="8"/>
      <c r="Z2230" s="6"/>
    </row>
    <row r="2231" spans="3:26" x14ac:dyDescent="0.25">
      <c r="C2231" s="2"/>
      <c r="J2231" s="8"/>
      <c r="R2231" s="8"/>
      <c r="Z2231" s="6"/>
    </row>
    <row r="2232" spans="3:26" x14ac:dyDescent="0.25">
      <c r="C2232" s="2"/>
      <c r="J2232" s="8"/>
      <c r="R2232" s="8"/>
      <c r="Z2232" s="6"/>
    </row>
    <row r="2233" spans="3:26" x14ac:dyDescent="0.25">
      <c r="C2233" s="2"/>
      <c r="J2233" s="8"/>
      <c r="R2233" s="8"/>
      <c r="Z2233" s="6"/>
    </row>
    <row r="2234" spans="3:26" x14ac:dyDescent="0.25">
      <c r="C2234" s="2"/>
      <c r="J2234" s="8"/>
      <c r="R2234" s="8"/>
      <c r="Z2234" s="6"/>
    </row>
    <row r="2235" spans="3:26" x14ac:dyDescent="0.25">
      <c r="C2235" s="2"/>
      <c r="J2235" s="8"/>
      <c r="R2235" s="8"/>
      <c r="Z2235" s="6"/>
    </row>
    <row r="2236" spans="3:26" x14ac:dyDescent="0.25">
      <c r="C2236" s="2"/>
      <c r="J2236" s="8"/>
      <c r="R2236" s="8"/>
      <c r="Z2236" s="6"/>
    </row>
    <row r="2237" spans="3:26" x14ac:dyDescent="0.25">
      <c r="C2237" s="2"/>
      <c r="J2237" s="8"/>
      <c r="R2237" s="8"/>
      <c r="Z2237" s="6"/>
    </row>
    <row r="2238" spans="3:26" x14ac:dyDescent="0.25">
      <c r="C2238" s="2"/>
      <c r="J2238" s="8"/>
      <c r="R2238" s="8"/>
      <c r="Z2238" s="6"/>
    </row>
    <row r="2239" spans="3:26" x14ac:dyDescent="0.25">
      <c r="C2239" s="2"/>
      <c r="J2239" s="8"/>
      <c r="R2239" s="8"/>
      <c r="Z2239" s="6"/>
    </row>
    <row r="2240" spans="3:26" x14ac:dyDescent="0.25">
      <c r="C2240" s="2"/>
      <c r="J2240" s="8"/>
      <c r="R2240" s="8"/>
      <c r="Z2240" s="6"/>
    </row>
    <row r="2241" spans="3:26" x14ac:dyDescent="0.25">
      <c r="C2241" s="2"/>
      <c r="J2241" s="8"/>
      <c r="R2241" s="8"/>
      <c r="Z2241" s="6"/>
    </row>
    <row r="2242" spans="3:26" x14ac:dyDescent="0.25">
      <c r="C2242" s="2"/>
      <c r="J2242" s="8"/>
      <c r="R2242" s="8"/>
      <c r="Z2242" s="6"/>
    </row>
    <row r="2243" spans="3:26" x14ac:dyDescent="0.25">
      <c r="C2243" s="2"/>
      <c r="J2243" s="8"/>
      <c r="R2243" s="8"/>
      <c r="Z2243" s="6"/>
    </row>
    <row r="2244" spans="3:26" x14ac:dyDescent="0.25">
      <c r="C2244" s="2"/>
      <c r="J2244" s="8"/>
      <c r="R2244" s="8"/>
      <c r="Z2244" s="6"/>
    </row>
    <row r="2245" spans="3:26" x14ac:dyDescent="0.25">
      <c r="C2245" s="2"/>
      <c r="J2245" s="8"/>
      <c r="R2245" s="8"/>
      <c r="Z2245" s="6"/>
    </row>
    <row r="2246" spans="3:26" x14ac:dyDescent="0.25">
      <c r="C2246" s="2"/>
      <c r="J2246" s="8"/>
      <c r="R2246" s="8"/>
      <c r="Z2246" s="6"/>
    </row>
    <row r="2247" spans="3:26" x14ac:dyDescent="0.25">
      <c r="C2247" s="2"/>
      <c r="J2247" s="8"/>
      <c r="R2247" s="8"/>
      <c r="Z2247" s="6"/>
    </row>
    <row r="2248" spans="3:26" x14ac:dyDescent="0.25">
      <c r="C2248" s="2"/>
      <c r="J2248" s="8"/>
      <c r="R2248" s="8"/>
      <c r="Y2248" s="3"/>
      <c r="Z2248" s="6"/>
    </row>
    <row r="2249" spans="3:26" x14ac:dyDescent="0.25">
      <c r="C2249" s="2"/>
      <c r="J2249" s="8"/>
      <c r="R2249" s="8"/>
      <c r="Z2249" s="6"/>
    </row>
    <row r="2250" spans="3:26" x14ac:dyDescent="0.25">
      <c r="C2250" s="2"/>
      <c r="J2250" s="8"/>
      <c r="R2250" s="8"/>
      <c r="Z2250" s="6"/>
    </row>
    <row r="2251" spans="3:26" x14ac:dyDescent="0.25">
      <c r="C2251" s="2"/>
      <c r="J2251" s="8"/>
      <c r="R2251" s="8"/>
      <c r="Z2251" s="6"/>
    </row>
    <row r="2252" spans="3:26" x14ac:dyDescent="0.25">
      <c r="C2252" s="2"/>
      <c r="J2252" s="8"/>
      <c r="R2252" s="8"/>
      <c r="Z2252" s="6"/>
    </row>
    <row r="2253" spans="3:26" x14ac:dyDescent="0.25">
      <c r="C2253" s="2"/>
      <c r="J2253" s="8"/>
      <c r="R2253" s="8"/>
      <c r="Z2253" s="6"/>
    </row>
    <row r="2254" spans="3:26" x14ac:dyDescent="0.25">
      <c r="C2254" s="2"/>
      <c r="J2254" s="8"/>
      <c r="R2254" s="8"/>
      <c r="Z2254" s="6"/>
    </row>
    <row r="2255" spans="3:26" x14ac:dyDescent="0.25">
      <c r="C2255" s="2"/>
      <c r="J2255" s="8"/>
      <c r="R2255" s="8"/>
      <c r="Z2255" s="6"/>
    </row>
    <row r="2256" spans="3:26" x14ac:dyDescent="0.25">
      <c r="C2256" s="2"/>
      <c r="J2256" s="8"/>
      <c r="R2256" s="8"/>
      <c r="Z2256" s="6"/>
    </row>
    <row r="2257" spans="3:26" x14ac:dyDescent="0.25">
      <c r="C2257" s="2"/>
      <c r="J2257" s="8"/>
      <c r="R2257" s="8"/>
      <c r="Z2257" s="6"/>
    </row>
    <row r="2258" spans="3:26" x14ac:dyDescent="0.25">
      <c r="C2258" s="2"/>
      <c r="J2258" s="8"/>
      <c r="R2258" s="8"/>
      <c r="Z2258" s="6"/>
    </row>
    <row r="2259" spans="3:26" x14ac:dyDescent="0.25">
      <c r="C2259" s="2"/>
      <c r="J2259" s="8"/>
      <c r="R2259" s="8"/>
      <c r="Z2259" s="6"/>
    </row>
    <row r="2260" spans="3:26" x14ac:dyDescent="0.25">
      <c r="C2260" s="2"/>
      <c r="J2260" s="8"/>
      <c r="R2260" s="8"/>
      <c r="Z2260" s="6"/>
    </row>
    <row r="2261" spans="3:26" x14ac:dyDescent="0.25">
      <c r="C2261" s="2"/>
      <c r="J2261" s="8"/>
      <c r="R2261" s="8"/>
      <c r="Z2261" s="6"/>
    </row>
    <row r="2262" spans="3:26" x14ac:dyDescent="0.25">
      <c r="C2262" s="2"/>
      <c r="J2262" s="8"/>
      <c r="R2262" s="8"/>
      <c r="Z2262" s="6"/>
    </row>
    <row r="2263" spans="3:26" x14ac:dyDescent="0.25">
      <c r="C2263" s="2"/>
      <c r="J2263" s="8"/>
      <c r="R2263" s="8"/>
      <c r="Z2263" s="6"/>
    </row>
    <row r="2264" spans="3:26" x14ac:dyDescent="0.25">
      <c r="C2264" s="2"/>
      <c r="J2264" s="8"/>
      <c r="R2264" s="8"/>
      <c r="Z2264" s="6"/>
    </row>
    <row r="2265" spans="3:26" x14ac:dyDescent="0.25">
      <c r="C2265" s="2"/>
      <c r="J2265" s="8"/>
      <c r="R2265" s="8"/>
      <c r="Z2265" s="6"/>
    </row>
    <row r="2266" spans="3:26" x14ac:dyDescent="0.25">
      <c r="C2266" s="2"/>
      <c r="J2266" s="8"/>
      <c r="R2266" s="8"/>
      <c r="Z2266" s="6"/>
    </row>
    <row r="2267" spans="3:26" x14ac:dyDescent="0.25">
      <c r="C2267" s="2"/>
      <c r="J2267" s="8"/>
      <c r="R2267" s="8"/>
      <c r="Z2267" s="6"/>
    </row>
    <row r="2268" spans="3:26" x14ac:dyDescent="0.25">
      <c r="C2268" s="2"/>
      <c r="J2268" s="8"/>
      <c r="R2268" s="8"/>
      <c r="Z2268" s="6"/>
    </row>
    <row r="2269" spans="3:26" x14ac:dyDescent="0.25">
      <c r="C2269" s="2"/>
      <c r="J2269" s="8"/>
      <c r="R2269" s="8"/>
      <c r="Z2269" s="6"/>
    </row>
    <row r="2270" spans="3:26" x14ac:dyDescent="0.25">
      <c r="C2270" s="2"/>
      <c r="J2270" s="8"/>
      <c r="R2270" s="8"/>
      <c r="Z2270" s="6"/>
    </row>
    <row r="2271" spans="3:26" x14ac:dyDescent="0.25">
      <c r="C2271" s="2"/>
      <c r="J2271" s="8"/>
      <c r="R2271" s="8"/>
      <c r="Z2271" s="6"/>
    </row>
    <row r="2272" spans="3:26" x14ac:dyDescent="0.25">
      <c r="C2272" s="2"/>
      <c r="J2272" s="8"/>
      <c r="R2272" s="8"/>
      <c r="Z2272" s="6"/>
    </row>
    <row r="2273" spans="3:26" x14ac:dyDescent="0.25">
      <c r="C2273" s="2"/>
      <c r="J2273" s="8"/>
      <c r="R2273" s="8"/>
      <c r="Z2273" s="6"/>
    </row>
    <row r="2274" spans="3:26" x14ac:dyDescent="0.25">
      <c r="C2274" s="2"/>
      <c r="J2274" s="8"/>
      <c r="R2274" s="8"/>
      <c r="Z2274" s="6"/>
    </row>
    <row r="2275" spans="3:26" x14ac:dyDescent="0.25">
      <c r="C2275" s="2"/>
      <c r="J2275" s="8"/>
      <c r="R2275" s="8"/>
      <c r="Z2275" s="6"/>
    </row>
    <row r="2276" spans="3:26" x14ac:dyDescent="0.25">
      <c r="C2276" s="2"/>
      <c r="J2276" s="8"/>
      <c r="R2276" s="8"/>
      <c r="Z2276" s="6"/>
    </row>
    <row r="2277" spans="3:26" x14ac:dyDescent="0.25">
      <c r="C2277" s="2"/>
      <c r="J2277" s="8"/>
      <c r="R2277" s="8"/>
      <c r="Z2277" s="6"/>
    </row>
    <row r="2278" spans="3:26" x14ac:dyDescent="0.25">
      <c r="C2278" s="2"/>
      <c r="J2278" s="8"/>
      <c r="R2278" s="8"/>
      <c r="Z2278" s="6"/>
    </row>
    <row r="2279" spans="3:26" x14ac:dyDescent="0.25">
      <c r="C2279" s="2"/>
      <c r="J2279" s="8"/>
      <c r="R2279" s="8"/>
      <c r="Z2279" s="6"/>
    </row>
    <row r="2280" spans="3:26" x14ac:dyDescent="0.25">
      <c r="C2280" s="2"/>
      <c r="J2280" s="8"/>
      <c r="R2280" s="8"/>
      <c r="Z2280" s="6"/>
    </row>
    <row r="2281" spans="3:26" x14ac:dyDescent="0.25">
      <c r="C2281" s="2"/>
      <c r="J2281" s="8"/>
      <c r="R2281" s="8"/>
      <c r="Z2281" s="6"/>
    </row>
    <row r="2282" spans="3:26" x14ac:dyDescent="0.25">
      <c r="C2282" s="2"/>
      <c r="J2282" s="8"/>
      <c r="R2282" s="8"/>
      <c r="Z2282" s="6"/>
    </row>
    <row r="2283" spans="3:26" x14ac:dyDescent="0.25">
      <c r="C2283" s="2"/>
      <c r="J2283" s="8"/>
      <c r="R2283" s="8"/>
      <c r="Z2283" s="6"/>
    </row>
    <row r="2284" spans="3:26" x14ac:dyDescent="0.25">
      <c r="C2284" s="2"/>
      <c r="J2284" s="8"/>
      <c r="R2284" s="8"/>
      <c r="Z2284" s="6"/>
    </row>
    <row r="2285" spans="3:26" x14ac:dyDescent="0.25">
      <c r="C2285" s="2"/>
      <c r="J2285" s="8"/>
      <c r="R2285" s="8"/>
      <c r="Z2285" s="6"/>
    </row>
    <row r="2286" spans="3:26" x14ac:dyDescent="0.25">
      <c r="C2286" s="2"/>
      <c r="J2286" s="8"/>
      <c r="R2286" s="8"/>
      <c r="Z2286" s="6"/>
    </row>
    <row r="2287" spans="3:26" x14ac:dyDescent="0.25">
      <c r="C2287" s="2"/>
      <c r="J2287" s="8"/>
      <c r="R2287" s="8"/>
      <c r="Z2287" s="6"/>
    </row>
    <row r="2288" spans="3:26" x14ac:dyDescent="0.25">
      <c r="C2288" s="2"/>
      <c r="J2288" s="8"/>
      <c r="R2288" s="8"/>
      <c r="Z2288" s="6"/>
    </row>
    <row r="2289" spans="3:26" x14ac:dyDescent="0.25">
      <c r="C2289" s="2"/>
      <c r="J2289" s="8"/>
      <c r="R2289" s="8"/>
      <c r="Z2289" s="6"/>
    </row>
    <row r="2290" spans="3:26" x14ac:dyDescent="0.25">
      <c r="C2290" s="2"/>
      <c r="J2290" s="8"/>
      <c r="R2290" s="8"/>
      <c r="Z2290" s="6"/>
    </row>
    <row r="2291" spans="3:26" x14ac:dyDescent="0.25">
      <c r="C2291" s="2"/>
      <c r="J2291" s="8"/>
      <c r="R2291" s="8"/>
      <c r="Z2291" s="6"/>
    </row>
    <row r="2292" spans="3:26" x14ac:dyDescent="0.25">
      <c r="C2292" s="2"/>
      <c r="J2292" s="8"/>
      <c r="R2292" s="8"/>
      <c r="Z2292" s="6"/>
    </row>
    <row r="2293" spans="3:26" x14ac:dyDescent="0.25">
      <c r="C2293" s="2"/>
      <c r="J2293" s="8"/>
      <c r="R2293" s="8"/>
      <c r="Z2293" s="6"/>
    </row>
    <row r="2294" spans="3:26" x14ac:dyDescent="0.25">
      <c r="C2294" s="2"/>
      <c r="J2294" s="8"/>
      <c r="R2294" s="8"/>
      <c r="Z2294" s="6"/>
    </row>
    <row r="2295" spans="3:26" x14ac:dyDescent="0.25">
      <c r="C2295" s="2"/>
      <c r="J2295" s="8"/>
      <c r="R2295" s="8"/>
      <c r="Z2295" s="6"/>
    </row>
    <row r="2296" spans="3:26" x14ac:dyDescent="0.25">
      <c r="C2296" s="2"/>
      <c r="J2296" s="8"/>
      <c r="R2296" s="8"/>
      <c r="Z2296" s="6"/>
    </row>
    <row r="2297" spans="3:26" x14ac:dyDescent="0.25">
      <c r="C2297" s="2"/>
      <c r="J2297" s="8"/>
      <c r="R2297" s="8"/>
      <c r="Z2297" s="6"/>
    </row>
    <row r="2298" spans="3:26" x14ac:dyDescent="0.25">
      <c r="C2298" s="2"/>
      <c r="J2298" s="8"/>
      <c r="R2298" s="8"/>
      <c r="Z2298" s="6"/>
    </row>
    <row r="2299" spans="3:26" x14ac:dyDescent="0.25">
      <c r="C2299" s="2"/>
      <c r="J2299" s="8"/>
      <c r="R2299" s="8"/>
      <c r="Z2299" s="6"/>
    </row>
    <row r="2300" spans="3:26" x14ac:dyDescent="0.25">
      <c r="C2300" s="2"/>
      <c r="J2300" s="8"/>
      <c r="R2300" s="8"/>
      <c r="Z2300" s="6"/>
    </row>
    <row r="2301" spans="3:26" x14ac:dyDescent="0.25">
      <c r="C2301" s="2"/>
      <c r="J2301" s="8"/>
      <c r="R2301" s="8"/>
      <c r="Z2301" s="6"/>
    </row>
    <row r="2302" spans="3:26" x14ac:dyDescent="0.25">
      <c r="C2302" s="2"/>
      <c r="J2302" s="8"/>
      <c r="R2302" s="8"/>
      <c r="Z2302" s="6"/>
    </row>
    <row r="2303" spans="3:26" x14ac:dyDescent="0.25">
      <c r="C2303" s="2"/>
      <c r="J2303" s="8"/>
      <c r="R2303" s="8"/>
      <c r="Z2303" s="6"/>
    </row>
    <row r="2304" spans="3:26" x14ac:dyDescent="0.25">
      <c r="C2304" s="2"/>
      <c r="J2304" s="8"/>
      <c r="R2304" s="8"/>
      <c r="Z2304" s="6"/>
    </row>
    <row r="2305" spans="3:26" x14ac:dyDescent="0.25">
      <c r="C2305" s="2"/>
      <c r="J2305" s="8"/>
      <c r="R2305" s="8"/>
      <c r="Z2305" s="6"/>
    </row>
    <row r="2306" spans="3:26" x14ac:dyDescent="0.25">
      <c r="C2306" s="2"/>
      <c r="J2306" s="8"/>
      <c r="R2306" s="8"/>
      <c r="Z2306" s="6"/>
    </row>
    <row r="2307" spans="3:26" x14ac:dyDescent="0.25">
      <c r="C2307" s="2"/>
      <c r="J2307" s="8"/>
      <c r="R2307" s="8"/>
      <c r="Z2307" s="6"/>
    </row>
    <row r="2308" spans="3:26" x14ac:dyDescent="0.25">
      <c r="C2308" s="2"/>
      <c r="J2308" s="8"/>
      <c r="R2308" s="8"/>
      <c r="Z2308" s="6"/>
    </row>
    <row r="2309" spans="3:26" x14ac:dyDescent="0.25">
      <c r="C2309" s="2"/>
      <c r="J2309" s="8"/>
      <c r="R2309" s="8"/>
      <c r="Z2309" s="6"/>
    </row>
    <row r="2310" spans="3:26" x14ac:dyDescent="0.25">
      <c r="C2310" s="2"/>
      <c r="J2310" s="8"/>
      <c r="R2310" s="8"/>
      <c r="Z2310" s="6"/>
    </row>
    <row r="2311" spans="3:26" x14ac:dyDescent="0.25">
      <c r="C2311" s="2"/>
      <c r="J2311" s="8"/>
      <c r="R2311" s="8"/>
      <c r="Z2311" s="6"/>
    </row>
    <row r="2312" spans="3:26" x14ac:dyDescent="0.25">
      <c r="C2312" s="2"/>
      <c r="J2312" s="8"/>
      <c r="R2312" s="8"/>
      <c r="Z2312" s="6"/>
    </row>
    <row r="2313" spans="3:26" x14ac:dyDescent="0.25">
      <c r="C2313" s="2"/>
      <c r="J2313" s="8"/>
      <c r="R2313" s="8"/>
      <c r="Z2313" s="6"/>
    </row>
    <row r="2314" spans="3:26" x14ac:dyDescent="0.25">
      <c r="C2314" s="2"/>
      <c r="J2314" s="8"/>
      <c r="R2314" s="8"/>
      <c r="Z2314" s="6"/>
    </row>
    <row r="2315" spans="3:26" x14ac:dyDescent="0.25">
      <c r="C2315" s="2"/>
      <c r="J2315" s="8"/>
      <c r="R2315" s="8"/>
      <c r="Z2315" s="6"/>
    </row>
    <row r="2316" spans="3:26" x14ac:dyDescent="0.25">
      <c r="C2316" s="2"/>
      <c r="J2316" s="8"/>
      <c r="R2316" s="8"/>
      <c r="Z2316" s="6"/>
    </row>
    <row r="2317" spans="3:26" x14ac:dyDescent="0.25">
      <c r="C2317" s="2"/>
      <c r="J2317" s="8"/>
      <c r="R2317" s="8"/>
      <c r="Z2317" s="6"/>
    </row>
    <row r="2318" spans="3:26" x14ac:dyDescent="0.25">
      <c r="C2318" s="2"/>
      <c r="J2318" s="8"/>
      <c r="R2318" s="8"/>
      <c r="Z2318" s="6"/>
    </row>
    <row r="2319" spans="3:26" x14ac:dyDescent="0.25">
      <c r="C2319" s="2"/>
      <c r="J2319" s="8"/>
      <c r="R2319" s="8"/>
      <c r="Z2319" s="6"/>
    </row>
    <row r="2320" spans="3:26" x14ac:dyDescent="0.25">
      <c r="C2320" s="2"/>
      <c r="J2320" s="8"/>
      <c r="R2320" s="8"/>
      <c r="Z2320" s="6"/>
    </row>
    <row r="2321" spans="3:26" x14ac:dyDescent="0.25">
      <c r="C2321" s="2"/>
      <c r="J2321" s="8"/>
      <c r="R2321" s="8"/>
      <c r="Z2321" s="6"/>
    </row>
    <row r="2322" spans="3:26" x14ac:dyDescent="0.25">
      <c r="C2322" s="2"/>
      <c r="J2322" s="8"/>
      <c r="R2322" s="8"/>
      <c r="Z2322" s="6"/>
    </row>
    <row r="2323" spans="3:26" x14ac:dyDescent="0.25">
      <c r="C2323" s="2"/>
      <c r="J2323" s="8"/>
      <c r="R2323" s="8"/>
      <c r="Z2323" s="6"/>
    </row>
    <row r="2324" spans="3:26" x14ac:dyDescent="0.25">
      <c r="C2324" s="2"/>
      <c r="J2324" s="8"/>
      <c r="R2324" s="8"/>
      <c r="Z2324" s="6"/>
    </row>
    <row r="2325" spans="3:26" x14ac:dyDescent="0.25">
      <c r="C2325" s="2"/>
      <c r="J2325" s="8"/>
      <c r="R2325" s="8"/>
      <c r="Z2325" s="6"/>
    </row>
    <row r="2326" spans="3:26" x14ac:dyDescent="0.25">
      <c r="C2326" s="2"/>
      <c r="J2326" s="8"/>
      <c r="R2326" s="8"/>
      <c r="Z2326" s="6"/>
    </row>
    <row r="2327" spans="3:26" x14ac:dyDescent="0.25">
      <c r="C2327" s="2"/>
      <c r="J2327" s="8"/>
      <c r="R2327" s="8"/>
      <c r="Z2327" s="6"/>
    </row>
    <row r="2328" spans="3:26" x14ac:dyDescent="0.25">
      <c r="C2328" s="2"/>
      <c r="J2328" s="8"/>
      <c r="R2328" s="8"/>
      <c r="Z2328" s="6"/>
    </row>
    <row r="2329" spans="3:26" x14ac:dyDescent="0.25">
      <c r="C2329" s="2"/>
      <c r="J2329" s="8"/>
      <c r="R2329" s="8"/>
      <c r="Z2329" s="6"/>
    </row>
    <row r="2330" spans="3:26" x14ac:dyDescent="0.25">
      <c r="C2330" s="2"/>
      <c r="J2330" s="8"/>
      <c r="R2330" s="8"/>
      <c r="Z2330" s="6"/>
    </row>
    <row r="2331" spans="3:26" x14ac:dyDescent="0.25">
      <c r="C2331" s="2"/>
      <c r="J2331" s="8"/>
      <c r="R2331" s="8"/>
      <c r="Z2331" s="6"/>
    </row>
    <row r="2332" spans="3:26" x14ac:dyDescent="0.25">
      <c r="C2332" s="2"/>
      <c r="J2332" s="8"/>
      <c r="R2332" s="8"/>
      <c r="Z2332" s="6"/>
    </row>
    <row r="2333" spans="3:26" x14ac:dyDescent="0.25">
      <c r="C2333" s="2"/>
      <c r="J2333" s="8"/>
      <c r="R2333" s="8"/>
      <c r="Z2333" s="6"/>
    </row>
    <row r="2334" spans="3:26" x14ac:dyDescent="0.25">
      <c r="C2334" s="2"/>
      <c r="J2334" s="8"/>
      <c r="R2334" s="8"/>
      <c r="Z2334" s="6"/>
    </row>
    <row r="2335" spans="3:26" x14ac:dyDescent="0.25">
      <c r="C2335" s="2"/>
      <c r="J2335" s="8"/>
      <c r="R2335" s="8"/>
      <c r="Z2335" s="6"/>
    </row>
    <row r="2336" spans="3:26" x14ac:dyDescent="0.25">
      <c r="C2336" s="2"/>
      <c r="J2336" s="8"/>
      <c r="R2336" s="8"/>
      <c r="Z2336" s="6"/>
    </row>
    <row r="2337" spans="3:26" x14ac:dyDescent="0.25">
      <c r="C2337" s="2"/>
      <c r="J2337" s="8"/>
      <c r="R2337" s="8"/>
      <c r="Z2337" s="6"/>
    </row>
    <row r="2338" spans="3:26" x14ac:dyDescent="0.25">
      <c r="C2338" s="2"/>
      <c r="J2338" s="8"/>
      <c r="R2338" s="8"/>
      <c r="Z2338" s="6"/>
    </row>
    <row r="2339" spans="3:26" x14ac:dyDescent="0.25">
      <c r="C2339" s="2"/>
      <c r="J2339" s="8"/>
      <c r="R2339" s="8"/>
      <c r="Z2339" s="6"/>
    </row>
    <row r="2340" spans="3:26" x14ac:dyDescent="0.25">
      <c r="C2340" s="2"/>
      <c r="J2340" s="8"/>
      <c r="R2340" s="8"/>
      <c r="Z2340" s="6"/>
    </row>
    <row r="2341" spans="3:26" x14ac:dyDescent="0.25">
      <c r="C2341" s="2"/>
      <c r="J2341" s="8"/>
      <c r="R2341" s="8"/>
      <c r="Z2341" s="6"/>
    </row>
    <row r="2342" spans="3:26" x14ac:dyDescent="0.25">
      <c r="C2342" s="2"/>
      <c r="J2342" s="8"/>
      <c r="R2342" s="8"/>
      <c r="Z2342" s="6"/>
    </row>
    <row r="2343" spans="3:26" x14ac:dyDescent="0.25">
      <c r="C2343" s="2"/>
      <c r="J2343" s="8"/>
      <c r="R2343" s="8"/>
      <c r="Z2343" s="6"/>
    </row>
    <row r="2344" spans="3:26" x14ac:dyDescent="0.25">
      <c r="C2344" s="2"/>
      <c r="J2344" s="8"/>
      <c r="R2344" s="8"/>
      <c r="Z2344" s="6"/>
    </row>
    <row r="2345" spans="3:26" x14ac:dyDescent="0.25">
      <c r="C2345" s="2"/>
      <c r="J2345" s="8"/>
      <c r="R2345" s="8"/>
      <c r="Z2345" s="6"/>
    </row>
    <row r="2346" spans="3:26" x14ac:dyDescent="0.25">
      <c r="C2346" s="2"/>
      <c r="J2346" s="8"/>
      <c r="R2346" s="8"/>
      <c r="Z2346" s="6"/>
    </row>
    <row r="2347" spans="3:26" x14ac:dyDescent="0.25">
      <c r="C2347" s="2"/>
      <c r="J2347" s="8"/>
      <c r="R2347" s="8"/>
      <c r="Z2347" s="6"/>
    </row>
    <row r="2348" spans="3:26" x14ac:dyDescent="0.25">
      <c r="C2348" s="2"/>
      <c r="J2348" s="8"/>
      <c r="R2348" s="8"/>
      <c r="Z2348" s="6"/>
    </row>
    <row r="2349" spans="3:26" x14ac:dyDescent="0.25">
      <c r="C2349" s="2"/>
      <c r="J2349" s="8"/>
      <c r="R2349" s="8"/>
      <c r="Z2349" s="6"/>
    </row>
    <row r="2350" spans="3:26" x14ac:dyDescent="0.25">
      <c r="C2350" s="2"/>
      <c r="J2350" s="8"/>
      <c r="R2350" s="8"/>
      <c r="Z2350" s="6"/>
    </row>
    <row r="2351" spans="3:26" x14ac:dyDescent="0.25">
      <c r="C2351" s="2"/>
      <c r="J2351" s="8"/>
      <c r="R2351" s="8"/>
      <c r="Z2351" s="6"/>
    </row>
    <row r="2352" spans="3:26" x14ac:dyDescent="0.25">
      <c r="C2352" s="2"/>
      <c r="J2352" s="8"/>
      <c r="R2352" s="8"/>
      <c r="Z2352" s="6"/>
    </row>
    <row r="2353" spans="3:26" x14ac:dyDescent="0.25">
      <c r="C2353" s="2"/>
      <c r="J2353" s="8"/>
      <c r="R2353" s="8"/>
      <c r="Z2353" s="6"/>
    </row>
    <row r="2354" spans="3:26" x14ac:dyDescent="0.25">
      <c r="C2354" s="2"/>
      <c r="J2354" s="8"/>
      <c r="R2354" s="8"/>
      <c r="Z2354" s="6"/>
    </row>
    <row r="2355" spans="3:26" x14ac:dyDescent="0.25">
      <c r="C2355" s="2"/>
      <c r="J2355" s="8"/>
      <c r="R2355" s="8"/>
      <c r="Z2355" s="6"/>
    </row>
    <row r="2356" spans="3:26" x14ac:dyDescent="0.25">
      <c r="C2356" s="2"/>
      <c r="J2356" s="8"/>
      <c r="R2356" s="8"/>
      <c r="Z2356" s="6"/>
    </row>
    <row r="2357" spans="3:26" x14ac:dyDescent="0.25">
      <c r="C2357" s="2"/>
      <c r="J2357" s="8"/>
      <c r="R2357" s="8"/>
      <c r="Z2357" s="6"/>
    </row>
    <row r="2358" spans="3:26" x14ac:dyDescent="0.25">
      <c r="C2358" s="2"/>
      <c r="J2358" s="8"/>
      <c r="R2358" s="8"/>
      <c r="Z2358" s="6"/>
    </row>
    <row r="2359" spans="3:26" x14ac:dyDescent="0.25">
      <c r="C2359" s="2"/>
      <c r="J2359" s="8"/>
      <c r="R2359" s="8"/>
      <c r="Z2359" s="6"/>
    </row>
    <row r="2360" spans="3:26" x14ac:dyDescent="0.25">
      <c r="C2360" s="2"/>
      <c r="J2360" s="8"/>
      <c r="R2360" s="8"/>
      <c r="Z2360" s="6"/>
    </row>
    <row r="2361" spans="3:26" x14ac:dyDescent="0.25">
      <c r="C2361" s="2"/>
      <c r="J2361" s="8"/>
      <c r="R2361" s="8"/>
      <c r="Z2361" s="6"/>
    </row>
    <row r="2362" spans="3:26" x14ac:dyDescent="0.25">
      <c r="C2362" s="2"/>
      <c r="J2362" s="8"/>
      <c r="R2362" s="8"/>
      <c r="Z2362" s="6"/>
    </row>
    <row r="2363" spans="3:26" x14ac:dyDescent="0.25">
      <c r="C2363" s="2"/>
      <c r="J2363" s="8"/>
      <c r="R2363" s="8"/>
      <c r="Z2363" s="6"/>
    </row>
    <row r="2364" spans="3:26" x14ac:dyDescent="0.25">
      <c r="C2364" s="2"/>
      <c r="J2364" s="8"/>
      <c r="R2364" s="8"/>
      <c r="Z2364" s="6"/>
    </row>
    <row r="2365" spans="3:26" x14ac:dyDescent="0.25">
      <c r="C2365" s="2"/>
      <c r="J2365" s="8"/>
      <c r="R2365" s="8"/>
      <c r="Z2365" s="6"/>
    </row>
    <row r="2366" spans="3:26" x14ac:dyDescent="0.25">
      <c r="C2366" s="2"/>
      <c r="J2366" s="8"/>
      <c r="R2366" s="8"/>
      <c r="Z2366" s="6"/>
    </row>
    <row r="2367" spans="3:26" x14ac:dyDescent="0.25">
      <c r="C2367" s="2"/>
      <c r="J2367" s="8"/>
      <c r="R2367" s="8"/>
      <c r="Z2367" s="6"/>
    </row>
    <row r="2368" spans="3:26" x14ac:dyDescent="0.25">
      <c r="C2368" s="2"/>
      <c r="J2368" s="8"/>
      <c r="R2368" s="8"/>
      <c r="Z2368" s="6"/>
    </row>
    <row r="2369" spans="3:26" x14ac:dyDescent="0.25">
      <c r="C2369" s="2"/>
      <c r="J2369" s="8"/>
      <c r="R2369" s="8"/>
      <c r="Z2369" s="6"/>
    </row>
    <row r="2370" spans="3:26" x14ac:dyDescent="0.25">
      <c r="C2370" s="2"/>
      <c r="J2370" s="8"/>
      <c r="R2370" s="8"/>
      <c r="Z2370" s="6"/>
    </row>
    <row r="2371" spans="3:26" x14ac:dyDescent="0.25">
      <c r="C2371" s="2"/>
      <c r="J2371" s="8"/>
      <c r="R2371" s="8"/>
      <c r="Z2371" s="6"/>
    </row>
    <row r="2372" spans="3:26" x14ac:dyDescent="0.25">
      <c r="C2372" s="2"/>
      <c r="J2372" s="8"/>
      <c r="R2372" s="8"/>
      <c r="Z2372" s="6"/>
    </row>
    <row r="2373" spans="3:26" x14ac:dyDescent="0.25">
      <c r="C2373" s="2"/>
      <c r="J2373" s="8"/>
      <c r="R2373" s="8"/>
      <c r="Z2373" s="6"/>
    </row>
    <row r="2374" spans="3:26" x14ac:dyDescent="0.25">
      <c r="C2374" s="2"/>
      <c r="J2374" s="8"/>
      <c r="R2374" s="8"/>
      <c r="Z2374" s="6"/>
    </row>
    <row r="2375" spans="3:26" x14ac:dyDescent="0.25">
      <c r="C2375" s="2"/>
      <c r="J2375" s="8"/>
      <c r="R2375" s="8"/>
      <c r="Z2375" s="6"/>
    </row>
    <row r="2376" spans="3:26" x14ac:dyDescent="0.25">
      <c r="C2376" s="2"/>
      <c r="J2376" s="8"/>
      <c r="R2376" s="8"/>
      <c r="Z2376" s="6"/>
    </row>
    <row r="2377" spans="3:26" x14ac:dyDescent="0.25">
      <c r="C2377" s="2"/>
      <c r="J2377" s="8"/>
      <c r="R2377" s="8"/>
      <c r="Z2377" s="6"/>
    </row>
    <row r="2378" spans="3:26" x14ac:dyDescent="0.25">
      <c r="C2378" s="2"/>
      <c r="J2378" s="8"/>
      <c r="R2378" s="8"/>
      <c r="Z2378" s="6"/>
    </row>
    <row r="2379" spans="3:26" x14ac:dyDescent="0.25">
      <c r="C2379" s="2"/>
      <c r="J2379" s="8"/>
      <c r="R2379" s="8"/>
      <c r="Z2379" s="6"/>
    </row>
    <row r="2380" spans="3:26" x14ac:dyDescent="0.25">
      <c r="C2380" s="2"/>
      <c r="J2380" s="8"/>
      <c r="R2380" s="8"/>
      <c r="Z2380" s="6"/>
    </row>
    <row r="2381" spans="3:26" x14ac:dyDescent="0.25">
      <c r="C2381" s="2"/>
      <c r="J2381" s="8"/>
      <c r="R2381" s="8"/>
      <c r="Z2381" s="6"/>
    </row>
    <row r="2382" spans="3:26" x14ac:dyDescent="0.25">
      <c r="C2382" s="2"/>
      <c r="J2382" s="8"/>
      <c r="R2382" s="8"/>
      <c r="Z2382" s="6"/>
    </row>
    <row r="2383" spans="3:26" x14ac:dyDescent="0.25">
      <c r="C2383" s="2"/>
      <c r="J2383" s="8"/>
      <c r="R2383" s="8"/>
      <c r="Z2383" s="6"/>
    </row>
    <row r="2384" spans="3:26" x14ac:dyDescent="0.25">
      <c r="C2384" s="2"/>
      <c r="J2384" s="8"/>
      <c r="R2384" s="8"/>
      <c r="Z2384" s="6"/>
    </row>
    <row r="2385" spans="3:26" x14ac:dyDescent="0.25">
      <c r="C2385" s="2"/>
      <c r="J2385" s="8"/>
      <c r="R2385" s="8"/>
      <c r="Z2385" s="6"/>
    </row>
    <row r="2386" spans="3:26" x14ac:dyDescent="0.25">
      <c r="C2386" s="2"/>
      <c r="J2386" s="8"/>
      <c r="R2386" s="8"/>
      <c r="Z2386" s="6"/>
    </row>
    <row r="2387" spans="3:26" x14ac:dyDescent="0.25">
      <c r="C2387" s="2"/>
      <c r="J2387" s="8"/>
      <c r="R2387" s="8"/>
      <c r="Z2387" s="6"/>
    </row>
    <row r="2388" spans="3:26" x14ac:dyDescent="0.25">
      <c r="C2388" s="2"/>
      <c r="J2388" s="8"/>
      <c r="R2388" s="8"/>
      <c r="Z2388" s="6"/>
    </row>
    <row r="2389" spans="3:26" x14ac:dyDescent="0.25">
      <c r="C2389" s="2"/>
      <c r="J2389" s="8"/>
      <c r="R2389" s="8"/>
      <c r="Z2389" s="6"/>
    </row>
    <row r="2390" spans="3:26" x14ac:dyDescent="0.25">
      <c r="C2390" s="2"/>
      <c r="J2390" s="8"/>
      <c r="R2390" s="8"/>
      <c r="Z2390" s="6"/>
    </row>
    <row r="2391" spans="3:26" x14ac:dyDescent="0.25">
      <c r="C2391" s="2"/>
      <c r="J2391" s="8"/>
      <c r="R2391" s="8"/>
      <c r="Z2391" s="6"/>
    </row>
    <row r="2392" spans="3:26" x14ac:dyDescent="0.25">
      <c r="C2392" s="2"/>
      <c r="J2392" s="8"/>
      <c r="R2392" s="8"/>
      <c r="Z2392" s="6"/>
    </row>
    <row r="2393" spans="3:26" x14ac:dyDescent="0.25">
      <c r="C2393" s="2"/>
      <c r="J2393" s="8"/>
      <c r="R2393" s="8"/>
      <c r="Z2393" s="6"/>
    </row>
    <row r="2394" spans="3:26" x14ac:dyDescent="0.25">
      <c r="C2394" s="2"/>
      <c r="J2394" s="8"/>
      <c r="R2394" s="8"/>
      <c r="Z2394" s="6"/>
    </row>
    <row r="2395" spans="3:26" x14ac:dyDescent="0.25">
      <c r="C2395" s="2"/>
      <c r="J2395" s="8"/>
      <c r="R2395" s="8"/>
      <c r="Z2395" s="6"/>
    </row>
    <row r="2396" spans="3:26" x14ac:dyDescent="0.25">
      <c r="C2396" s="2"/>
      <c r="J2396" s="8"/>
      <c r="R2396" s="8"/>
      <c r="Z2396" s="6"/>
    </row>
    <row r="2397" spans="3:26" x14ac:dyDescent="0.25">
      <c r="C2397" s="2"/>
      <c r="J2397" s="8"/>
      <c r="R2397" s="8"/>
      <c r="Z2397" s="6"/>
    </row>
    <row r="2398" spans="3:26" x14ac:dyDescent="0.25">
      <c r="C2398" s="2"/>
      <c r="J2398" s="8"/>
      <c r="R2398" s="8"/>
      <c r="Z2398" s="6"/>
    </row>
    <row r="2399" spans="3:26" x14ac:dyDescent="0.25">
      <c r="C2399" s="2"/>
      <c r="J2399" s="8"/>
      <c r="R2399" s="8"/>
      <c r="Z2399" s="6"/>
    </row>
    <row r="2400" spans="3:26" x14ac:dyDescent="0.25">
      <c r="C2400" s="2"/>
      <c r="J2400" s="8"/>
      <c r="R2400" s="8"/>
      <c r="Z2400" s="6"/>
    </row>
    <row r="2401" spans="3:26" x14ac:dyDescent="0.25">
      <c r="C2401" s="2"/>
      <c r="J2401" s="8"/>
      <c r="R2401" s="8"/>
      <c r="Z2401" s="6"/>
    </row>
    <row r="2402" spans="3:26" x14ac:dyDescent="0.25">
      <c r="C2402" s="2"/>
      <c r="J2402" s="8"/>
      <c r="R2402" s="8"/>
      <c r="Z2402" s="6"/>
    </row>
    <row r="2403" spans="3:26" x14ac:dyDescent="0.25">
      <c r="C2403" s="2"/>
      <c r="J2403" s="8"/>
      <c r="R2403" s="8"/>
      <c r="Z2403" s="6"/>
    </row>
    <row r="2404" spans="3:26" x14ac:dyDescent="0.25">
      <c r="C2404" s="2"/>
      <c r="J2404" s="8"/>
      <c r="R2404" s="8"/>
      <c r="Z2404" s="6"/>
    </row>
    <row r="2405" spans="3:26" x14ac:dyDescent="0.25">
      <c r="C2405" s="2"/>
      <c r="J2405" s="8"/>
      <c r="R2405" s="8"/>
      <c r="Z2405" s="6"/>
    </row>
    <row r="2406" spans="3:26" x14ac:dyDescent="0.25">
      <c r="C2406" s="2"/>
      <c r="J2406" s="8"/>
      <c r="R2406" s="8"/>
      <c r="Z2406" s="6"/>
    </row>
    <row r="2407" spans="3:26" x14ac:dyDescent="0.25">
      <c r="C2407" s="2"/>
      <c r="J2407" s="8"/>
      <c r="R2407" s="8"/>
      <c r="Z2407" s="6"/>
    </row>
    <row r="2408" spans="3:26" x14ac:dyDescent="0.25">
      <c r="C2408" s="2"/>
      <c r="J2408" s="8"/>
      <c r="R2408" s="8"/>
      <c r="Z2408" s="6"/>
    </row>
    <row r="2409" spans="3:26" x14ac:dyDescent="0.25">
      <c r="C2409" s="2"/>
      <c r="J2409" s="8"/>
      <c r="R2409" s="8"/>
      <c r="Z2409" s="6"/>
    </row>
    <row r="2410" spans="3:26" x14ac:dyDescent="0.25">
      <c r="C2410" s="2"/>
      <c r="J2410" s="8"/>
      <c r="R2410" s="8"/>
      <c r="Z2410" s="6"/>
    </row>
    <row r="2411" spans="3:26" x14ac:dyDescent="0.25">
      <c r="C2411" s="2"/>
      <c r="J2411" s="8"/>
      <c r="R2411" s="8"/>
      <c r="Z2411" s="6"/>
    </row>
    <row r="2412" spans="3:26" x14ac:dyDescent="0.25">
      <c r="C2412" s="2"/>
      <c r="J2412" s="8"/>
      <c r="R2412" s="8"/>
      <c r="Z2412" s="6"/>
    </row>
    <row r="2413" spans="3:26" x14ac:dyDescent="0.25">
      <c r="C2413" s="2"/>
      <c r="J2413" s="8"/>
      <c r="R2413" s="8"/>
      <c r="Z2413" s="6"/>
    </row>
    <row r="2414" spans="3:26" x14ac:dyDescent="0.25">
      <c r="C2414" s="2"/>
      <c r="J2414" s="8"/>
      <c r="R2414" s="8"/>
      <c r="Z2414" s="6"/>
    </row>
    <row r="2415" spans="3:26" x14ac:dyDescent="0.25">
      <c r="C2415" s="2"/>
      <c r="J2415" s="8"/>
      <c r="R2415" s="8"/>
      <c r="Z2415" s="6"/>
    </row>
    <row r="2416" spans="3:26" x14ac:dyDescent="0.25">
      <c r="C2416" s="2"/>
      <c r="J2416" s="8"/>
      <c r="R2416" s="8"/>
      <c r="Z2416" s="6"/>
    </row>
    <row r="2417" spans="3:26" x14ac:dyDescent="0.25">
      <c r="C2417" s="2"/>
      <c r="J2417" s="8"/>
      <c r="R2417" s="8"/>
      <c r="Z2417" s="6"/>
    </row>
    <row r="2418" spans="3:26" x14ac:dyDescent="0.25">
      <c r="C2418" s="2"/>
      <c r="J2418" s="8"/>
      <c r="R2418" s="8"/>
      <c r="Z2418" s="6"/>
    </row>
    <row r="2419" spans="3:26" x14ac:dyDescent="0.25">
      <c r="C2419" s="2"/>
      <c r="J2419" s="8"/>
      <c r="R2419" s="8"/>
      <c r="Z2419" s="6"/>
    </row>
    <row r="2420" spans="3:26" x14ac:dyDescent="0.25">
      <c r="C2420" s="2"/>
      <c r="J2420" s="8"/>
      <c r="R2420" s="8"/>
      <c r="Z2420" s="6"/>
    </row>
    <row r="2421" spans="3:26" x14ac:dyDescent="0.25">
      <c r="C2421" s="2"/>
      <c r="J2421" s="8"/>
      <c r="R2421" s="8"/>
      <c r="Z2421" s="6"/>
    </row>
    <row r="2422" spans="3:26" x14ac:dyDescent="0.25">
      <c r="C2422" s="2"/>
      <c r="J2422" s="8"/>
      <c r="R2422" s="8"/>
      <c r="Z2422" s="6"/>
    </row>
    <row r="2423" spans="3:26" x14ac:dyDescent="0.25">
      <c r="C2423" s="2"/>
      <c r="J2423" s="8"/>
      <c r="R2423" s="8"/>
      <c r="Z2423" s="6"/>
    </row>
    <row r="2424" spans="3:26" x14ac:dyDescent="0.25">
      <c r="C2424" s="2"/>
      <c r="J2424" s="8"/>
      <c r="R2424" s="8"/>
      <c r="Z2424" s="6"/>
    </row>
    <row r="2425" spans="3:26" x14ac:dyDescent="0.25">
      <c r="C2425" s="2"/>
      <c r="J2425" s="8"/>
      <c r="R2425" s="8"/>
      <c r="Z2425" s="6"/>
    </row>
    <row r="2426" spans="3:26" x14ac:dyDescent="0.25">
      <c r="C2426" s="2"/>
      <c r="J2426" s="8"/>
      <c r="R2426" s="8"/>
      <c r="Z2426" s="6"/>
    </row>
    <row r="2427" spans="3:26" x14ac:dyDescent="0.25">
      <c r="C2427" s="2"/>
      <c r="J2427" s="8"/>
      <c r="R2427" s="8"/>
      <c r="Z2427" s="6"/>
    </row>
    <row r="2428" spans="3:26" x14ac:dyDescent="0.25">
      <c r="C2428" s="2"/>
      <c r="J2428" s="8"/>
      <c r="R2428" s="8"/>
      <c r="Z2428" s="6"/>
    </row>
    <row r="2429" spans="3:26" x14ac:dyDescent="0.25">
      <c r="C2429" s="2"/>
      <c r="J2429" s="8"/>
      <c r="R2429" s="8"/>
      <c r="Z2429" s="6"/>
    </row>
    <row r="2430" spans="3:26" x14ac:dyDescent="0.25">
      <c r="C2430" s="2"/>
      <c r="J2430" s="8"/>
      <c r="R2430" s="8"/>
      <c r="Z2430" s="6"/>
    </row>
    <row r="2431" spans="3:26" x14ac:dyDescent="0.25">
      <c r="C2431" s="2"/>
      <c r="J2431" s="8"/>
      <c r="R2431" s="8"/>
      <c r="Z2431" s="6"/>
    </row>
    <row r="2432" spans="3:26" x14ac:dyDescent="0.25">
      <c r="C2432" s="2"/>
      <c r="J2432" s="8"/>
      <c r="R2432" s="8"/>
      <c r="Z2432" s="6"/>
    </row>
    <row r="2433" spans="3:26" x14ac:dyDescent="0.25">
      <c r="C2433" s="2"/>
      <c r="J2433" s="8"/>
      <c r="R2433" s="8"/>
      <c r="Z2433" s="6"/>
    </row>
    <row r="2434" spans="3:26" x14ac:dyDescent="0.25">
      <c r="C2434" s="2"/>
      <c r="J2434" s="8"/>
      <c r="R2434" s="8"/>
      <c r="Z2434" s="6"/>
    </row>
    <row r="2435" spans="3:26" x14ac:dyDescent="0.25">
      <c r="C2435" s="2"/>
      <c r="J2435" s="8"/>
      <c r="R2435" s="8"/>
      <c r="Z2435" s="6"/>
    </row>
    <row r="2436" spans="3:26" x14ac:dyDescent="0.25">
      <c r="C2436" s="2"/>
      <c r="J2436" s="8"/>
      <c r="R2436" s="8"/>
      <c r="Z2436" s="6"/>
    </row>
    <row r="2437" spans="3:26" x14ac:dyDescent="0.25">
      <c r="C2437" s="2"/>
      <c r="J2437" s="8"/>
      <c r="R2437" s="8"/>
      <c r="Z2437" s="6"/>
    </row>
    <row r="2438" spans="3:26" x14ac:dyDescent="0.25">
      <c r="C2438" s="2"/>
      <c r="J2438" s="8"/>
      <c r="R2438" s="8"/>
      <c r="Z2438" s="6"/>
    </row>
    <row r="2439" spans="3:26" x14ac:dyDescent="0.25">
      <c r="C2439" s="2"/>
      <c r="J2439" s="8"/>
      <c r="R2439" s="8"/>
      <c r="Z2439" s="6"/>
    </row>
    <row r="2440" spans="3:26" x14ac:dyDescent="0.25">
      <c r="C2440" s="2"/>
      <c r="J2440" s="8"/>
      <c r="R2440" s="8"/>
      <c r="Z2440" s="6"/>
    </row>
    <row r="2441" spans="3:26" x14ac:dyDescent="0.25">
      <c r="C2441" s="2"/>
      <c r="J2441" s="8"/>
      <c r="R2441" s="8"/>
      <c r="Z2441" s="6"/>
    </row>
    <row r="2442" spans="3:26" x14ac:dyDescent="0.25">
      <c r="C2442" s="2"/>
      <c r="J2442" s="8"/>
      <c r="R2442" s="8"/>
      <c r="Z2442" s="6"/>
    </row>
    <row r="2443" spans="3:26" x14ac:dyDescent="0.25">
      <c r="C2443" s="2"/>
      <c r="J2443" s="8"/>
      <c r="R2443" s="8"/>
      <c r="Z2443" s="6"/>
    </row>
    <row r="2444" spans="3:26" x14ac:dyDescent="0.25">
      <c r="C2444" s="2"/>
      <c r="J2444" s="8"/>
      <c r="R2444" s="8"/>
      <c r="Z2444" s="6"/>
    </row>
    <row r="2445" spans="3:26" x14ac:dyDescent="0.25">
      <c r="C2445" s="2"/>
      <c r="J2445" s="8"/>
      <c r="R2445" s="8"/>
      <c r="Z2445" s="6"/>
    </row>
    <row r="2446" spans="3:26" x14ac:dyDescent="0.25">
      <c r="C2446" s="2"/>
      <c r="J2446" s="8"/>
      <c r="R2446" s="8"/>
      <c r="Z2446" s="6"/>
    </row>
    <row r="2447" spans="3:26" x14ac:dyDescent="0.25">
      <c r="C2447" s="2"/>
      <c r="J2447" s="8"/>
      <c r="R2447" s="8"/>
      <c r="Z2447" s="6"/>
    </row>
    <row r="2448" spans="3:26" x14ac:dyDescent="0.25">
      <c r="C2448" s="2"/>
      <c r="J2448" s="8"/>
      <c r="R2448" s="8"/>
      <c r="Z2448" s="6"/>
    </row>
    <row r="2449" spans="3:26" x14ac:dyDescent="0.25">
      <c r="C2449" s="2"/>
      <c r="J2449" s="8"/>
      <c r="R2449" s="8"/>
      <c r="Z2449" s="6"/>
    </row>
    <row r="2450" spans="3:26" x14ac:dyDescent="0.25">
      <c r="C2450" s="2"/>
      <c r="J2450" s="8"/>
      <c r="R2450" s="8"/>
      <c r="Z2450" s="6"/>
    </row>
    <row r="2451" spans="3:26" x14ac:dyDescent="0.25">
      <c r="C2451" s="2"/>
      <c r="J2451" s="8"/>
      <c r="R2451" s="8"/>
      <c r="Z2451" s="6"/>
    </row>
    <row r="2452" spans="3:26" x14ac:dyDescent="0.25">
      <c r="C2452" s="2"/>
      <c r="J2452" s="8"/>
      <c r="R2452" s="8"/>
      <c r="Z2452" s="6"/>
    </row>
    <row r="2453" spans="3:26" x14ac:dyDescent="0.25">
      <c r="C2453" s="2"/>
      <c r="J2453" s="8"/>
      <c r="R2453" s="8"/>
      <c r="Z2453" s="6"/>
    </row>
    <row r="2454" spans="3:26" x14ac:dyDescent="0.25">
      <c r="C2454" s="2"/>
      <c r="J2454" s="8"/>
      <c r="R2454" s="8"/>
      <c r="Z2454" s="6"/>
    </row>
    <row r="2455" spans="3:26" x14ac:dyDescent="0.25">
      <c r="C2455" s="2"/>
      <c r="J2455" s="8"/>
      <c r="R2455" s="8"/>
      <c r="Z2455" s="6"/>
    </row>
    <row r="2456" spans="3:26" x14ac:dyDescent="0.25">
      <c r="C2456" s="2"/>
      <c r="J2456" s="8"/>
      <c r="R2456" s="8"/>
      <c r="Z2456" s="6"/>
    </row>
    <row r="2457" spans="3:26" x14ac:dyDescent="0.25">
      <c r="C2457" s="2"/>
      <c r="J2457" s="8"/>
      <c r="R2457" s="8"/>
      <c r="Z2457" s="6"/>
    </row>
    <row r="2458" spans="3:26" x14ac:dyDescent="0.25">
      <c r="C2458" s="2"/>
      <c r="J2458" s="8"/>
      <c r="R2458" s="8"/>
      <c r="Z2458" s="6"/>
    </row>
    <row r="2459" spans="3:26" x14ac:dyDescent="0.25">
      <c r="C2459" s="2"/>
      <c r="J2459" s="8"/>
      <c r="R2459" s="8"/>
      <c r="Z2459" s="6"/>
    </row>
    <row r="2460" spans="3:26" x14ac:dyDescent="0.25">
      <c r="C2460" s="2"/>
      <c r="J2460" s="8"/>
      <c r="R2460" s="8"/>
      <c r="Z2460" s="6"/>
    </row>
    <row r="2461" spans="3:26" x14ac:dyDescent="0.25">
      <c r="C2461" s="2"/>
      <c r="J2461" s="8"/>
      <c r="R2461" s="8"/>
      <c r="Z2461" s="6"/>
    </row>
    <row r="2462" spans="3:26" x14ac:dyDescent="0.25">
      <c r="C2462" s="2"/>
      <c r="J2462" s="8"/>
      <c r="R2462" s="8"/>
      <c r="Z2462" s="6"/>
    </row>
    <row r="2463" spans="3:26" x14ac:dyDescent="0.25">
      <c r="C2463" s="2"/>
      <c r="J2463" s="8"/>
      <c r="R2463" s="8"/>
      <c r="Z2463" s="6"/>
    </row>
    <row r="2464" spans="3:26" x14ac:dyDescent="0.25">
      <c r="C2464" s="2"/>
      <c r="J2464" s="8"/>
      <c r="R2464" s="8"/>
      <c r="Z2464" s="6"/>
    </row>
    <row r="2465" spans="3:26" x14ac:dyDescent="0.25">
      <c r="C2465" s="2"/>
      <c r="J2465" s="8"/>
      <c r="R2465" s="8"/>
      <c r="Z2465" s="6"/>
    </row>
    <row r="2466" spans="3:26" x14ac:dyDescent="0.25">
      <c r="C2466" s="2"/>
      <c r="J2466" s="8"/>
      <c r="R2466" s="8"/>
      <c r="Z2466" s="6"/>
    </row>
    <row r="2467" spans="3:26" x14ac:dyDescent="0.25">
      <c r="C2467" s="2"/>
      <c r="J2467" s="8"/>
      <c r="R2467" s="8"/>
      <c r="Z2467" s="6"/>
    </row>
    <row r="2468" spans="3:26" x14ac:dyDescent="0.25">
      <c r="C2468" s="2"/>
      <c r="J2468" s="8"/>
      <c r="R2468" s="8"/>
      <c r="Z2468" s="6"/>
    </row>
    <row r="2469" spans="3:26" x14ac:dyDescent="0.25">
      <c r="C2469" s="2"/>
      <c r="J2469" s="8"/>
      <c r="R2469" s="8"/>
      <c r="Z2469" s="6"/>
    </row>
    <row r="2470" spans="3:26" x14ac:dyDescent="0.25">
      <c r="C2470" s="2"/>
      <c r="J2470" s="8"/>
      <c r="R2470" s="8"/>
      <c r="Z2470" s="6"/>
    </row>
    <row r="2471" spans="3:26" x14ac:dyDescent="0.25">
      <c r="C2471" s="2"/>
      <c r="J2471" s="8"/>
      <c r="R2471" s="8"/>
      <c r="Z2471" s="6"/>
    </row>
    <row r="2472" spans="3:26" x14ac:dyDescent="0.25">
      <c r="C2472" s="2"/>
      <c r="J2472" s="8"/>
      <c r="R2472" s="8"/>
      <c r="Z2472" s="6"/>
    </row>
    <row r="2473" spans="3:26" x14ac:dyDescent="0.25">
      <c r="C2473" s="2"/>
      <c r="J2473" s="8"/>
      <c r="R2473" s="8"/>
      <c r="Z2473" s="6"/>
    </row>
    <row r="2474" spans="3:26" x14ac:dyDescent="0.25">
      <c r="C2474" s="2"/>
      <c r="J2474" s="8"/>
      <c r="R2474" s="8"/>
      <c r="Z2474" s="6"/>
    </row>
    <row r="2475" spans="3:26" x14ac:dyDescent="0.25">
      <c r="C2475" s="2"/>
      <c r="J2475" s="8"/>
      <c r="R2475" s="8"/>
      <c r="Z2475" s="6"/>
    </row>
    <row r="2476" spans="3:26" x14ac:dyDescent="0.25">
      <c r="C2476" s="2"/>
      <c r="J2476" s="8"/>
      <c r="R2476" s="8"/>
      <c r="Z2476" s="6"/>
    </row>
    <row r="2477" spans="3:26" x14ac:dyDescent="0.25">
      <c r="C2477" s="2"/>
      <c r="J2477" s="8"/>
      <c r="R2477" s="8"/>
      <c r="Z2477" s="6"/>
    </row>
    <row r="2478" spans="3:26" x14ac:dyDescent="0.25">
      <c r="C2478" s="2"/>
      <c r="J2478" s="8"/>
      <c r="R2478" s="8"/>
      <c r="Z2478" s="6"/>
    </row>
    <row r="2479" spans="3:26" x14ac:dyDescent="0.25">
      <c r="C2479" s="2"/>
      <c r="J2479" s="8"/>
      <c r="R2479" s="8"/>
      <c r="Z2479" s="6"/>
    </row>
    <row r="2480" spans="3:26" x14ac:dyDescent="0.25">
      <c r="C2480" s="2"/>
      <c r="J2480" s="8"/>
      <c r="R2480" s="8"/>
      <c r="Z2480" s="6"/>
    </row>
    <row r="2481" spans="3:26" x14ac:dyDescent="0.25">
      <c r="C2481" s="2"/>
      <c r="J2481" s="8"/>
      <c r="R2481" s="8"/>
      <c r="Z2481" s="6"/>
    </row>
    <row r="2482" spans="3:26" x14ac:dyDescent="0.25">
      <c r="C2482" s="2"/>
      <c r="J2482" s="8"/>
      <c r="R2482" s="8"/>
      <c r="Z2482" s="6"/>
    </row>
    <row r="2483" spans="3:26" x14ac:dyDescent="0.25">
      <c r="C2483" s="2"/>
      <c r="J2483" s="8"/>
      <c r="R2483" s="8"/>
      <c r="Z2483" s="6"/>
    </row>
    <row r="2484" spans="3:26" x14ac:dyDescent="0.25">
      <c r="C2484" s="2"/>
      <c r="J2484" s="8"/>
      <c r="R2484" s="8"/>
      <c r="Z2484" s="6"/>
    </row>
    <row r="2485" spans="3:26" x14ac:dyDescent="0.25">
      <c r="C2485" s="2"/>
      <c r="J2485" s="8"/>
      <c r="R2485" s="8"/>
      <c r="Z2485" s="6"/>
    </row>
    <row r="2486" spans="3:26" x14ac:dyDescent="0.25">
      <c r="C2486" s="2"/>
      <c r="J2486" s="8"/>
      <c r="R2486" s="8"/>
      <c r="Z2486" s="6"/>
    </row>
    <row r="2487" spans="3:26" x14ac:dyDescent="0.25">
      <c r="C2487" s="2"/>
      <c r="J2487" s="8"/>
      <c r="R2487" s="8"/>
      <c r="Z2487" s="6"/>
    </row>
    <row r="2488" spans="3:26" x14ac:dyDescent="0.25">
      <c r="C2488" s="2"/>
      <c r="J2488" s="8"/>
      <c r="R2488" s="8"/>
      <c r="Z2488" s="6"/>
    </row>
    <row r="2489" spans="3:26" x14ac:dyDescent="0.25">
      <c r="C2489" s="2"/>
      <c r="J2489" s="8"/>
      <c r="R2489" s="8"/>
      <c r="Z2489" s="6"/>
    </row>
    <row r="2490" spans="3:26" x14ac:dyDescent="0.25">
      <c r="C2490" s="2"/>
      <c r="J2490" s="8"/>
      <c r="R2490" s="8"/>
      <c r="Z2490" s="6"/>
    </row>
    <row r="2491" spans="3:26" x14ac:dyDescent="0.25">
      <c r="C2491" s="2"/>
      <c r="J2491" s="8"/>
      <c r="R2491" s="8"/>
      <c r="Z2491" s="6"/>
    </row>
    <row r="2492" spans="3:26" x14ac:dyDescent="0.25">
      <c r="C2492" s="2"/>
      <c r="J2492" s="8"/>
      <c r="R2492" s="8"/>
      <c r="Z2492" s="6"/>
    </row>
    <row r="2493" spans="3:26" x14ac:dyDescent="0.25">
      <c r="C2493" s="2"/>
      <c r="J2493" s="8"/>
      <c r="R2493" s="8"/>
      <c r="Z2493" s="6"/>
    </row>
    <row r="2494" spans="3:26" x14ac:dyDescent="0.25">
      <c r="C2494" s="2"/>
      <c r="J2494" s="8"/>
      <c r="R2494" s="8"/>
      <c r="Z2494" s="6"/>
    </row>
    <row r="2495" spans="3:26" x14ac:dyDescent="0.25">
      <c r="C2495" s="2"/>
      <c r="J2495" s="8"/>
      <c r="R2495" s="8"/>
      <c r="Z2495" s="6"/>
    </row>
    <row r="2496" spans="3:26" x14ac:dyDescent="0.25">
      <c r="C2496" s="2"/>
      <c r="J2496" s="8"/>
      <c r="R2496" s="8"/>
      <c r="Z2496" s="6"/>
    </row>
    <row r="2497" spans="3:26" x14ac:dyDescent="0.25">
      <c r="C2497" s="2"/>
      <c r="J2497" s="8"/>
      <c r="R2497" s="8"/>
      <c r="Z2497" s="6"/>
    </row>
    <row r="2498" spans="3:26" x14ac:dyDescent="0.25">
      <c r="C2498" s="2"/>
      <c r="J2498" s="8"/>
      <c r="R2498" s="8"/>
      <c r="Z2498" s="6"/>
    </row>
    <row r="2499" spans="3:26" x14ac:dyDescent="0.25">
      <c r="C2499" s="2"/>
      <c r="J2499" s="8"/>
      <c r="R2499" s="8"/>
      <c r="Z2499" s="6"/>
    </row>
    <row r="2500" spans="3:26" x14ac:dyDescent="0.25">
      <c r="C2500" s="2"/>
      <c r="J2500" s="8"/>
      <c r="R2500" s="8"/>
      <c r="Z2500" s="6"/>
    </row>
    <row r="2501" spans="3:26" x14ac:dyDescent="0.25">
      <c r="C2501" s="2"/>
      <c r="J2501" s="8"/>
      <c r="R2501" s="8"/>
      <c r="Z2501" s="6"/>
    </row>
    <row r="2502" spans="3:26" x14ac:dyDescent="0.25">
      <c r="C2502" s="2"/>
      <c r="J2502" s="8"/>
      <c r="R2502" s="8"/>
      <c r="Z2502" s="6"/>
    </row>
    <row r="2503" spans="3:26" x14ac:dyDescent="0.25">
      <c r="C2503" s="2"/>
      <c r="J2503" s="8"/>
      <c r="R2503" s="8"/>
      <c r="Z2503" s="6"/>
    </row>
    <row r="2504" spans="3:26" x14ac:dyDescent="0.25">
      <c r="C2504" s="2"/>
      <c r="J2504" s="8"/>
      <c r="R2504" s="8"/>
      <c r="Z2504" s="6"/>
    </row>
    <row r="2505" spans="3:26" x14ac:dyDescent="0.25">
      <c r="C2505" s="2"/>
      <c r="J2505" s="8"/>
      <c r="R2505" s="8"/>
      <c r="Z2505" s="6"/>
    </row>
    <row r="2506" spans="3:26" x14ac:dyDescent="0.25">
      <c r="C2506" s="2"/>
      <c r="J2506" s="8"/>
      <c r="R2506" s="8"/>
      <c r="Z2506" s="6"/>
    </row>
    <row r="2507" spans="3:26" x14ac:dyDescent="0.25">
      <c r="C2507" s="2"/>
      <c r="J2507" s="8"/>
      <c r="R2507" s="8"/>
      <c r="Z2507" s="6"/>
    </row>
    <row r="2508" spans="3:26" x14ac:dyDescent="0.25">
      <c r="C2508" s="2"/>
      <c r="J2508" s="8"/>
      <c r="R2508" s="8"/>
      <c r="Z2508" s="6"/>
    </row>
    <row r="2509" spans="3:26" x14ac:dyDescent="0.25">
      <c r="C2509" s="2"/>
      <c r="J2509" s="8"/>
      <c r="R2509" s="8"/>
      <c r="Z2509" s="6"/>
    </row>
    <row r="2510" spans="3:26" x14ac:dyDescent="0.25">
      <c r="C2510" s="2"/>
      <c r="J2510" s="8"/>
      <c r="R2510" s="8"/>
      <c r="Z2510" s="6"/>
    </row>
    <row r="2511" spans="3:26" x14ac:dyDescent="0.25">
      <c r="C2511" s="2"/>
      <c r="J2511" s="8"/>
      <c r="R2511" s="8"/>
      <c r="Z2511" s="6"/>
    </row>
    <row r="2512" spans="3:26" x14ac:dyDescent="0.25">
      <c r="C2512" s="2"/>
      <c r="J2512" s="8"/>
      <c r="R2512" s="8"/>
      <c r="Z2512" s="6"/>
    </row>
    <row r="2513" spans="3:26" x14ac:dyDescent="0.25">
      <c r="C2513" s="2"/>
      <c r="J2513" s="8"/>
      <c r="R2513" s="8"/>
      <c r="Z2513" s="6"/>
    </row>
    <row r="2514" spans="3:26" x14ac:dyDescent="0.25">
      <c r="C2514" s="2"/>
      <c r="J2514" s="8"/>
      <c r="R2514" s="8"/>
      <c r="Z2514" s="6"/>
    </row>
    <row r="2515" spans="3:26" x14ac:dyDescent="0.25">
      <c r="C2515" s="2"/>
      <c r="J2515" s="8"/>
      <c r="R2515" s="8"/>
      <c r="Z2515" s="6"/>
    </row>
    <row r="2516" spans="3:26" x14ac:dyDescent="0.25">
      <c r="C2516" s="2"/>
      <c r="J2516" s="8"/>
      <c r="R2516" s="8"/>
      <c r="Z2516" s="6"/>
    </row>
    <row r="2517" spans="3:26" x14ac:dyDescent="0.25">
      <c r="C2517" s="2"/>
      <c r="J2517" s="8"/>
      <c r="R2517" s="8"/>
      <c r="Z2517" s="6"/>
    </row>
    <row r="2518" spans="3:26" x14ac:dyDescent="0.25">
      <c r="C2518" s="2"/>
      <c r="J2518" s="8"/>
      <c r="R2518" s="8"/>
      <c r="Z2518" s="6"/>
    </row>
    <row r="2519" spans="3:26" x14ac:dyDescent="0.25">
      <c r="C2519" s="2"/>
      <c r="J2519" s="8"/>
      <c r="R2519" s="8"/>
      <c r="Z2519" s="6"/>
    </row>
    <row r="2520" spans="3:26" x14ac:dyDescent="0.25">
      <c r="C2520" s="2"/>
      <c r="J2520" s="8"/>
      <c r="R2520" s="8"/>
      <c r="Y2520" s="3"/>
      <c r="Z2520" s="6"/>
    </row>
    <row r="2521" spans="3:26" x14ac:dyDescent="0.25">
      <c r="C2521" s="2"/>
      <c r="J2521" s="8"/>
      <c r="R2521" s="8"/>
      <c r="Z2521" s="6"/>
    </row>
    <row r="2522" spans="3:26" x14ac:dyDescent="0.25">
      <c r="C2522" s="2"/>
      <c r="J2522" s="8"/>
      <c r="R2522" s="8"/>
      <c r="Z2522" s="6"/>
    </row>
    <row r="2523" spans="3:26" x14ac:dyDescent="0.25">
      <c r="C2523" s="2"/>
      <c r="J2523" s="8"/>
      <c r="R2523" s="8"/>
      <c r="Y2523" s="3"/>
      <c r="Z2523" s="6"/>
    </row>
    <row r="2524" spans="3:26" x14ac:dyDescent="0.25">
      <c r="C2524" s="2"/>
      <c r="J2524" s="8"/>
      <c r="R2524" s="8"/>
      <c r="Z2524" s="6"/>
    </row>
    <row r="2525" spans="3:26" x14ac:dyDescent="0.25">
      <c r="C2525" s="2"/>
      <c r="J2525" s="8"/>
      <c r="R2525" s="8"/>
      <c r="Z2525" s="6"/>
    </row>
    <row r="2526" spans="3:26" x14ac:dyDescent="0.25">
      <c r="C2526" s="2"/>
      <c r="J2526" s="8"/>
      <c r="R2526" s="8"/>
      <c r="Z2526" s="6"/>
    </row>
    <row r="2527" spans="3:26" x14ac:dyDescent="0.25">
      <c r="C2527" s="2"/>
      <c r="J2527" s="8"/>
      <c r="R2527" s="8"/>
      <c r="Z2527" s="6"/>
    </row>
    <row r="2528" spans="3:26" x14ac:dyDescent="0.25">
      <c r="C2528" s="2"/>
      <c r="J2528" s="8"/>
      <c r="R2528" s="8"/>
      <c r="Z2528" s="6"/>
    </row>
    <row r="2529" spans="3:26" x14ac:dyDescent="0.25">
      <c r="C2529" s="2"/>
      <c r="J2529" s="8"/>
      <c r="R2529" s="8"/>
      <c r="Z2529" s="6"/>
    </row>
    <row r="2530" spans="3:26" x14ac:dyDescent="0.25">
      <c r="C2530" s="2"/>
      <c r="J2530" s="8"/>
      <c r="R2530" s="8"/>
      <c r="Z2530" s="6"/>
    </row>
    <row r="2531" spans="3:26" x14ac:dyDescent="0.25">
      <c r="C2531" s="2"/>
      <c r="J2531" s="8"/>
      <c r="R2531" s="8"/>
      <c r="Z2531" s="6"/>
    </row>
    <row r="2532" spans="3:26" x14ac:dyDescent="0.25">
      <c r="C2532" s="2"/>
      <c r="J2532" s="8"/>
      <c r="R2532" s="8"/>
      <c r="Z2532" s="6"/>
    </row>
    <row r="2533" spans="3:26" x14ac:dyDescent="0.25">
      <c r="C2533" s="2"/>
      <c r="J2533" s="8"/>
      <c r="R2533" s="8"/>
      <c r="Z2533" s="6"/>
    </row>
    <row r="2534" spans="3:26" x14ac:dyDescent="0.25">
      <c r="C2534" s="2"/>
      <c r="J2534" s="8"/>
      <c r="R2534" s="8"/>
      <c r="Z2534" s="6"/>
    </row>
    <row r="2535" spans="3:26" x14ac:dyDescent="0.25">
      <c r="C2535" s="2"/>
      <c r="J2535" s="8"/>
      <c r="R2535" s="8"/>
      <c r="Z2535" s="6"/>
    </row>
    <row r="2536" spans="3:26" x14ac:dyDescent="0.25">
      <c r="C2536" s="2"/>
      <c r="J2536" s="8"/>
      <c r="R2536" s="8"/>
      <c r="Z2536" s="6"/>
    </row>
    <row r="2537" spans="3:26" x14ac:dyDescent="0.25">
      <c r="C2537" s="2"/>
      <c r="J2537" s="8"/>
      <c r="R2537" s="8"/>
      <c r="Z2537" s="6"/>
    </row>
    <row r="2538" spans="3:26" x14ac:dyDescent="0.25">
      <c r="C2538" s="2"/>
      <c r="J2538" s="8"/>
      <c r="R2538" s="8"/>
      <c r="Z2538" s="6"/>
    </row>
    <row r="2539" spans="3:26" x14ac:dyDescent="0.25">
      <c r="C2539" s="2"/>
      <c r="J2539" s="8"/>
      <c r="R2539" s="8"/>
      <c r="Z2539" s="6"/>
    </row>
    <row r="2540" spans="3:26" x14ac:dyDescent="0.25">
      <c r="C2540" s="2"/>
      <c r="J2540" s="8"/>
      <c r="R2540" s="8"/>
      <c r="Z2540" s="6"/>
    </row>
    <row r="2541" spans="3:26" x14ac:dyDescent="0.25">
      <c r="C2541" s="2"/>
      <c r="J2541" s="8"/>
      <c r="R2541" s="8"/>
      <c r="Z2541" s="6"/>
    </row>
    <row r="2542" spans="3:26" x14ac:dyDescent="0.25">
      <c r="C2542" s="2"/>
      <c r="J2542" s="8"/>
      <c r="R2542" s="8"/>
      <c r="Z2542" s="6"/>
    </row>
    <row r="2543" spans="3:26" x14ac:dyDescent="0.25">
      <c r="C2543" s="2"/>
      <c r="J2543" s="8"/>
      <c r="R2543" s="8"/>
      <c r="Z2543" s="6"/>
    </row>
    <row r="2544" spans="3:26" x14ac:dyDescent="0.25">
      <c r="C2544" s="2"/>
      <c r="J2544" s="8"/>
      <c r="R2544" s="8"/>
      <c r="Z2544" s="6"/>
    </row>
    <row r="2545" spans="3:26" x14ac:dyDescent="0.25">
      <c r="C2545" s="2"/>
      <c r="J2545" s="8"/>
      <c r="R2545" s="8"/>
      <c r="Z2545" s="6"/>
    </row>
    <row r="2546" spans="3:26" x14ac:dyDescent="0.25">
      <c r="C2546" s="2"/>
      <c r="J2546" s="8"/>
      <c r="R2546" s="8"/>
      <c r="Z2546" s="6"/>
    </row>
    <row r="2547" spans="3:26" x14ac:dyDescent="0.25">
      <c r="C2547" s="2"/>
      <c r="J2547" s="8"/>
      <c r="R2547" s="8"/>
      <c r="Z2547" s="6"/>
    </row>
    <row r="2548" spans="3:26" x14ac:dyDescent="0.25">
      <c r="C2548" s="2"/>
      <c r="J2548" s="8"/>
      <c r="R2548" s="8"/>
      <c r="Z2548" s="6"/>
    </row>
    <row r="2549" spans="3:26" x14ac:dyDescent="0.25">
      <c r="C2549" s="2"/>
      <c r="J2549" s="8"/>
      <c r="R2549" s="8"/>
      <c r="Z2549" s="6"/>
    </row>
    <row r="2550" spans="3:26" x14ac:dyDescent="0.25">
      <c r="C2550" s="2"/>
      <c r="J2550" s="8"/>
      <c r="R2550" s="8"/>
      <c r="Z2550" s="6"/>
    </row>
    <row r="2551" spans="3:26" x14ac:dyDescent="0.25">
      <c r="C2551" s="2"/>
      <c r="J2551" s="8"/>
      <c r="R2551" s="8"/>
      <c r="Z2551" s="6"/>
    </row>
    <row r="2552" spans="3:26" x14ac:dyDescent="0.25">
      <c r="C2552" s="2"/>
      <c r="J2552" s="8"/>
      <c r="R2552" s="8"/>
      <c r="Z2552" s="6"/>
    </row>
    <row r="2553" spans="3:26" x14ac:dyDescent="0.25">
      <c r="C2553" s="2"/>
      <c r="J2553" s="8"/>
      <c r="R2553" s="8"/>
      <c r="Z2553" s="6"/>
    </row>
    <row r="2554" spans="3:26" x14ac:dyDescent="0.25">
      <c r="C2554" s="2"/>
      <c r="J2554" s="8"/>
      <c r="R2554" s="8"/>
      <c r="Z2554" s="6"/>
    </row>
    <row r="2555" spans="3:26" x14ac:dyDescent="0.25">
      <c r="C2555" s="2"/>
      <c r="J2555" s="8"/>
      <c r="R2555" s="8"/>
      <c r="Z2555" s="6"/>
    </row>
    <row r="2556" spans="3:26" x14ac:dyDescent="0.25">
      <c r="C2556" s="2"/>
      <c r="J2556" s="8"/>
      <c r="R2556" s="8"/>
      <c r="Z2556" s="6"/>
    </row>
    <row r="2557" spans="3:26" x14ac:dyDescent="0.25">
      <c r="C2557" s="2"/>
      <c r="J2557" s="8"/>
      <c r="R2557" s="8"/>
      <c r="Z2557" s="6"/>
    </row>
    <row r="2558" spans="3:26" x14ac:dyDescent="0.25">
      <c r="C2558" s="2"/>
      <c r="J2558" s="8"/>
      <c r="R2558" s="8"/>
      <c r="Z2558" s="6"/>
    </row>
    <row r="2559" spans="3:26" x14ac:dyDescent="0.25">
      <c r="C2559" s="2"/>
      <c r="J2559" s="8"/>
      <c r="R2559" s="8"/>
      <c r="Z2559" s="6"/>
    </row>
    <row r="2560" spans="3:26" x14ac:dyDescent="0.25">
      <c r="C2560" s="2"/>
      <c r="J2560" s="8"/>
      <c r="R2560" s="8"/>
      <c r="Z2560" s="6"/>
    </row>
    <row r="2561" spans="3:26" x14ac:dyDescent="0.25">
      <c r="C2561" s="2"/>
      <c r="J2561" s="8"/>
      <c r="R2561" s="8"/>
      <c r="Z2561" s="6"/>
    </row>
    <row r="2562" spans="3:26" x14ac:dyDescent="0.25">
      <c r="C2562" s="2"/>
      <c r="J2562" s="8"/>
      <c r="R2562" s="8"/>
      <c r="Z2562" s="6"/>
    </row>
    <row r="2563" spans="3:26" x14ac:dyDescent="0.25">
      <c r="C2563" s="2"/>
      <c r="J2563" s="8"/>
      <c r="R2563" s="8"/>
      <c r="Z2563" s="6"/>
    </row>
    <row r="2564" spans="3:26" x14ac:dyDescent="0.25">
      <c r="C2564" s="2"/>
      <c r="J2564" s="8"/>
      <c r="R2564" s="8"/>
      <c r="Z2564" s="6"/>
    </row>
    <row r="2565" spans="3:26" x14ac:dyDescent="0.25">
      <c r="C2565" s="2"/>
      <c r="J2565" s="8"/>
      <c r="R2565" s="8"/>
      <c r="Z2565" s="6"/>
    </row>
    <row r="2566" spans="3:26" x14ac:dyDescent="0.25">
      <c r="C2566" s="2"/>
      <c r="J2566" s="8"/>
      <c r="R2566" s="8"/>
      <c r="Z2566" s="6"/>
    </row>
    <row r="2567" spans="3:26" x14ac:dyDescent="0.25">
      <c r="C2567" s="2"/>
      <c r="J2567" s="8"/>
      <c r="R2567" s="8"/>
      <c r="Z2567" s="6"/>
    </row>
    <row r="2568" spans="3:26" x14ac:dyDescent="0.25">
      <c r="C2568" s="2"/>
      <c r="J2568" s="8"/>
      <c r="R2568" s="8"/>
      <c r="Z2568" s="6"/>
    </row>
    <row r="2569" spans="3:26" x14ac:dyDescent="0.25">
      <c r="C2569" s="2"/>
      <c r="J2569" s="8"/>
      <c r="R2569" s="8"/>
      <c r="Z2569" s="6"/>
    </row>
    <row r="2570" spans="3:26" x14ac:dyDescent="0.25">
      <c r="C2570" s="2"/>
      <c r="J2570" s="8"/>
      <c r="R2570" s="8"/>
      <c r="Z2570" s="6"/>
    </row>
    <row r="2571" spans="3:26" x14ac:dyDescent="0.25">
      <c r="C2571" s="2"/>
      <c r="J2571" s="8"/>
      <c r="R2571" s="8"/>
      <c r="Z2571" s="6"/>
    </row>
    <row r="2572" spans="3:26" x14ac:dyDescent="0.25">
      <c r="C2572" s="2"/>
      <c r="J2572" s="8"/>
      <c r="R2572" s="8"/>
      <c r="Z2572" s="6"/>
    </row>
    <row r="2573" spans="3:26" x14ac:dyDescent="0.25">
      <c r="C2573" s="2"/>
      <c r="J2573" s="8"/>
      <c r="R2573" s="8"/>
      <c r="Z2573" s="6"/>
    </row>
    <row r="2574" spans="3:26" x14ac:dyDescent="0.25">
      <c r="C2574" s="2"/>
      <c r="J2574" s="8"/>
      <c r="R2574" s="8"/>
      <c r="Z2574" s="6"/>
    </row>
    <row r="2575" spans="3:26" x14ac:dyDescent="0.25">
      <c r="C2575" s="2"/>
      <c r="J2575" s="8"/>
      <c r="R2575" s="8"/>
      <c r="Z2575" s="6"/>
    </row>
    <row r="2576" spans="3:26" x14ac:dyDescent="0.25">
      <c r="C2576" s="2"/>
      <c r="J2576" s="8"/>
      <c r="R2576" s="8"/>
      <c r="Z2576" s="6"/>
    </row>
    <row r="2577" spans="3:26" x14ac:dyDescent="0.25">
      <c r="C2577" s="2"/>
      <c r="J2577" s="8"/>
      <c r="R2577" s="8"/>
      <c r="Z2577" s="6"/>
    </row>
    <row r="2578" spans="3:26" x14ac:dyDescent="0.25">
      <c r="C2578" s="2"/>
      <c r="J2578" s="8"/>
      <c r="R2578" s="8"/>
      <c r="Z2578" s="6"/>
    </row>
    <row r="2579" spans="3:26" x14ac:dyDescent="0.25">
      <c r="C2579" s="2"/>
      <c r="J2579" s="8"/>
      <c r="R2579" s="8"/>
      <c r="Z2579" s="6"/>
    </row>
    <row r="2580" spans="3:26" x14ac:dyDescent="0.25">
      <c r="C2580" s="2"/>
      <c r="J2580" s="8"/>
      <c r="R2580" s="8"/>
      <c r="Z2580" s="6"/>
    </row>
    <row r="2581" spans="3:26" x14ac:dyDescent="0.25">
      <c r="C2581" s="2"/>
      <c r="J2581" s="8"/>
      <c r="R2581" s="8"/>
      <c r="Z2581" s="6"/>
    </row>
    <row r="2582" spans="3:26" x14ac:dyDescent="0.25">
      <c r="C2582" s="2"/>
      <c r="J2582" s="8"/>
      <c r="R2582" s="8"/>
      <c r="Z2582" s="6"/>
    </row>
    <row r="2583" spans="3:26" x14ac:dyDescent="0.25">
      <c r="C2583" s="2"/>
      <c r="J2583" s="8"/>
      <c r="R2583" s="8"/>
      <c r="Z2583" s="6"/>
    </row>
    <row r="2584" spans="3:26" x14ac:dyDescent="0.25">
      <c r="C2584" s="2"/>
      <c r="J2584" s="8"/>
      <c r="R2584" s="8"/>
      <c r="Z2584" s="6"/>
    </row>
    <row r="2585" spans="3:26" x14ac:dyDescent="0.25">
      <c r="C2585" s="2"/>
      <c r="J2585" s="8"/>
      <c r="R2585" s="8"/>
      <c r="Z2585" s="6"/>
    </row>
    <row r="2586" spans="3:26" x14ac:dyDescent="0.25">
      <c r="C2586" s="2"/>
      <c r="J2586" s="8"/>
      <c r="R2586" s="8"/>
      <c r="Z2586" s="6"/>
    </row>
    <row r="2587" spans="3:26" x14ac:dyDescent="0.25">
      <c r="C2587" s="2"/>
      <c r="J2587" s="8"/>
      <c r="R2587" s="8"/>
      <c r="Z2587" s="6"/>
    </row>
    <row r="2588" spans="3:26" x14ac:dyDescent="0.25">
      <c r="C2588" s="2"/>
      <c r="J2588" s="8"/>
      <c r="R2588" s="8"/>
      <c r="Z2588" s="6"/>
    </row>
    <row r="2589" spans="3:26" x14ac:dyDescent="0.25">
      <c r="C2589" s="2"/>
      <c r="J2589" s="8"/>
      <c r="R2589" s="8"/>
      <c r="Z2589" s="6"/>
    </row>
    <row r="2590" spans="3:26" x14ac:dyDescent="0.25">
      <c r="C2590" s="2"/>
      <c r="J2590" s="8"/>
      <c r="R2590" s="8"/>
      <c r="Z2590" s="6"/>
    </row>
    <row r="2591" spans="3:26" x14ac:dyDescent="0.25">
      <c r="C2591" s="2"/>
      <c r="J2591" s="8"/>
      <c r="R2591" s="8"/>
      <c r="Z2591" s="6"/>
    </row>
    <row r="2592" spans="3:26" x14ac:dyDescent="0.25">
      <c r="C2592" s="2"/>
      <c r="J2592" s="8"/>
      <c r="R2592" s="8"/>
      <c r="Z2592" s="6"/>
    </row>
    <row r="2593" spans="3:26" x14ac:dyDescent="0.25">
      <c r="C2593" s="2"/>
      <c r="J2593" s="8"/>
      <c r="R2593" s="8"/>
      <c r="Z2593" s="6"/>
    </row>
    <row r="2594" spans="3:26" x14ac:dyDescent="0.25">
      <c r="C2594" s="2"/>
      <c r="J2594" s="8"/>
      <c r="R2594" s="8"/>
      <c r="Z2594" s="6"/>
    </row>
    <row r="2595" spans="3:26" x14ac:dyDescent="0.25">
      <c r="C2595" s="2"/>
      <c r="J2595" s="8"/>
      <c r="R2595" s="8"/>
      <c r="Z2595" s="6"/>
    </row>
    <row r="2596" spans="3:26" x14ac:dyDescent="0.25">
      <c r="C2596" s="2"/>
      <c r="J2596" s="8"/>
      <c r="R2596" s="8"/>
      <c r="Z2596" s="6"/>
    </row>
    <row r="2597" spans="3:26" x14ac:dyDescent="0.25">
      <c r="C2597" s="2"/>
      <c r="J2597" s="8"/>
      <c r="R2597" s="8"/>
      <c r="Z2597" s="6"/>
    </row>
    <row r="2598" spans="3:26" x14ac:dyDescent="0.25">
      <c r="C2598" s="2"/>
      <c r="J2598" s="8"/>
      <c r="R2598" s="8"/>
      <c r="Z2598" s="6"/>
    </row>
    <row r="2599" spans="3:26" x14ac:dyDescent="0.25">
      <c r="C2599" s="2"/>
      <c r="J2599" s="8"/>
      <c r="R2599" s="8"/>
      <c r="Z2599" s="6"/>
    </row>
    <row r="2600" spans="3:26" x14ac:dyDescent="0.25">
      <c r="C2600" s="2"/>
      <c r="J2600" s="8"/>
      <c r="R2600" s="8"/>
      <c r="Y2600" s="3"/>
      <c r="Z2600" s="6"/>
    </row>
    <row r="2601" spans="3:26" x14ac:dyDescent="0.25">
      <c r="C2601" s="2"/>
      <c r="J2601" s="8"/>
      <c r="R2601" s="8"/>
      <c r="Z2601" s="6"/>
    </row>
    <row r="2602" spans="3:26" x14ac:dyDescent="0.25">
      <c r="C2602" s="2"/>
      <c r="J2602" s="8"/>
      <c r="R2602" s="8"/>
      <c r="Z2602" s="6"/>
    </row>
    <row r="2603" spans="3:26" x14ac:dyDescent="0.25">
      <c r="C2603" s="2"/>
      <c r="J2603" s="8"/>
      <c r="R2603" s="8"/>
      <c r="Z2603" s="6"/>
    </row>
    <row r="2604" spans="3:26" x14ac:dyDescent="0.25">
      <c r="C2604" s="2"/>
      <c r="J2604" s="8"/>
      <c r="R2604" s="8"/>
      <c r="Z2604" s="6"/>
    </row>
    <row r="2605" spans="3:26" x14ac:dyDescent="0.25">
      <c r="C2605" s="2"/>
      <c r="J2605" s="8"/>
      <c r="R2605" s="8"/>
      <c r="Z2605" s="6"/>
    </row>
    <row r="2606" spans="3:26" x14ac:dyDescent="0.25">
      <c r="C2606" s="2"/>
      <c r="J2606" s="8"/>
      <c r="R2606" s="8"/>
      <c r="Z2606" s="6"/>
    </row>
    <row r="2607" spans="3:26" x14ac:dyDescent="0.25">
      <c r="C2607" s="2"/>
      <c r="J2607" s="8"/>
      <c r="R2607" s="8"/>
      <c r="Z2607" s="6"/>
    </row>
    <row r="2608" spans="3:26" x14ac:dyDescent="0.25">
      <c r="C2608" s="2"/>
      <c r="J2608" s="8"/>
      <c r="R2608" s="8"/>
      <c r="Z2608" s="6"/>
    </row>
    <row r="2609" spans="3:26" x14ac:dyDescent="0.25">
      <c r="C2609" s="2"/>
      <c r="J2609" s="8"/>
      <c r="R2609" s="8"/>
      <c r="Z2609" s="6"/>
    </row>
    <row r="2610" spans="3:26" x14ac:dyDescent="0.25">
      <c r="C2610" s="2"/>
      <c r="J2610" s="8"/>
      <c r="R2610" s="8"/>
      <c r="Z2610" s="6"/>
    </row>
    <row r="2611" spans="3:26" x14ac:dyDescent="0.25">
      <c r="C2611" s="2"/>
      <c r="J2611" s="8"/>
      <c r="R2611" s="8"/>
      <c r="Z2611" s="6"/>
    </row>
    <row r="2612" spans="3:26" x14ac:dyDescent="0.25">
      <c r="C2612" s="2"/>
      <c r="J2612" s="8"/>
      <c r="R2612" s="8"/>
      <c r="Z2612" s="6"/>
    </row>
    <row r="2613" spans="3:26" x14ac:dyDescent="0.25">
      <c r="C2613" s="2"/>
      <c r="J2613" s="8"/>
      <c r="R2613" s="8"/>
      <c r="Z2613" s="6"/>
    </row>
    <row r="2614" spans="3:26" x14ac:dyDescent="0.25">
      <c r="C2614" s="2"/>
      <c r="J2614" s="8"/>
      <c r="R2614" s="8"/>
      <c r="Z2614" s="6"/>
    </row>
    <row r="2615" spans="3:26" x14ac:dyDescent="0.25">
      <c r="C2615" s="2"/>
      <c r="J2615" s="8"/>
      <c r="R2615" s="8"/>
      <c r="Z2615" s="6"/>
    </row>
    <row r="2616" spans="3:26" x14ac:dyDescent="0.25">
      <c r="C2616" s="2"/>
      <c r="J2616" s="8"/>
      <c r="R2616" s="8"/>
      <c r="Z2616" s="6"/>
    </row>
    <row r="2617" spans="3:26" x14ac:dyDescent="0.25">
      <c r="C2617" s="2"/>
      <c r="J2617" s="8"/>
      <c r="R2617" s="8"/>
      <c r="Z2617" s="6"/>
    </row>
    <row r="2618" spans="3:26" x14ac:dyDescent="0.25">
      <c r="C2618" s="2"/>
      <c r="J2618" s="8"/>
      <c r="R2618" s="8"/>
      <c r="Z2618" s="6"/>
    </row>
    <row r="2619" spans="3:26" x14ac:dyDescent="0.25">
      <c r="C2619" s="2"/>
      <c r="J2619" s="8"/>
      <c r="R2619" s="8"/>
      <c r="Z2619" s="6"/>
    </row>
    <row r="2620" spans="3:26" x14ac:dyDescent="0.25">
      <c r="C2620" s="2"/>
      <c r="J2620" s="8"/>
      <c r="R2620" s="8"/>
      <c r="Z2620" s="6"/>
    </row>
    <row r="2621" spans="3:26" x14ac:dyDescent="0.25">
      <c r="C2621" s="2"/>
      <c r="J2621" s="8"/>
      <c r="R2621" s="8"/>
      <c r="Z2621" s="6"/>
    </row>
    <row r="2622" spans="3:26" x14ac:dyDescent="0.25">
      <c r="C2622" s="2"/>
      <c r="J2622" s="8"/>
      <c r="R2622" s="8"/>
      <c r="Z2622" s="6"/>
    </row>
    <row r="2623" spans="3:26" x14ac:dyDescent="0.25">
      <c r="C2623" s="2"/>
      <c r="J2623" s="8"/>
      <c r="R2623" s="8"/>
      <c r="Z2623" s="6"/>
    </row>
    <row r="2624" spans="3:26" x14ac:dyDescent="0.25">
      <c r="C2624" s="2"/>
      <c r="J2624" s="8"/>
      <c r="R2624" s="8"/>
      <c r="Z2624" s="6"/>
    </row>
    <row r="2625" spans="3:26" x14ac:dyDescent="0.25">
      <c r="C2625" s="2"/>
      <c r="J2625" s="8"/>
      <c r="R2625" s="8"/>
      <c r="Z2625" s="6"/>
    </row>
    <row r="2626" spans="3:26" x14ac:dyDescent="0.25">
      <c r="C2626" s="2"/>
      <c r="J2626" s="8"/>
      <c r="R2626" s="8"/>
      <c r="Z2626" s="6"/>
    </row>
    <row r="2627" spans="3:26" x14ac:dyDescent="0.25">
      <c r="C2627" s="2"/>
      <c r="J2627" s="8"/>
      <c r="R2627" s="8"/>
      <c r="Z2627" s="6"/>
    </row>
    <row r="2628" spans="3:26" x14ac:dyDescent="0.25">
      <c r="C2628" s="2"/>
      <c r="J2628" s="8"/>
      <c r="R2628" s="8"/>
      <c r="Z2628" s="6"/>
    </row>
    <row r="2629" spans="3:26" x14ac:dyDescent="0.25">
      <c r="C2629" s="2"/>
      <c r="J2629" s="8"/>
      <c r="R2629" s="8"/>
      <c r="Z2629" s="6"/>
    </row>
    <row r="2630" spans="3:26" x14ac:dyDescent="0.25">
      <c r="C2630" s="2"/>
      <c r="J2630" s="8"/>
      <c r="R2630" s="8"/>
      <c r="Z2630" s="6"/>
    </row>
    <row r="2631" spans="3:26" x14ac:dyDescent="0.25">
      <c r="C2631" s="2"/>
      <c r="J2631" s="8"/>
      <c r="R2631" s="8"/>
      <c r="Z2631" s="6"/>
    </row>
    <row r="2632" spans="3:26" x14ac:dyDescent="0.25">
      <c r="C2632" s="2"/>
      <c r="J2632" s="8"/>
      <c r="R2632" s="8"/>
      <c r="Z2632" s="6"/>
    </row>
    <row r="2633" spans="3:26" x14ac:dyDescent="0.25">
      <c r="C2633" s="2"/>
      <c r="J2633" s="8"/>
      <c r="R2633" s="8"/>
      <c r="Z2633" s="6"/>
    </row>
    <row r="2634" spans="3:26" x14ac:dyDescent="0.25">
      <c r="C2634" s="2"/>
      <c r="J2634" s="8"/>
      <c r="R2634" s="8"/>
      <c r="Z2634" s="6"/>
    </row>
    <row r="2635" spans="3:26" x14ac:dyDescent="0.25">
      <c r="C2635" s="2"/>
      <c r="J2635" s="8"/>
      <c r="R2635" s="8"/>
      <c r="Z2635" s="6"/>
    </row>
    <row r="2636" spans="3:26" x14ac:dyDescent="0.25">
      <c r="C2636" s="2"/>
      <c r="J2636" s="8"/>
      <c r="R2636" s="8"/>
      <c r="Z2636" s="6"/>
    </row>
    <row r="2637" spans="3:26" x14ac:dyDescent="0.25">
      <c r="C2637" s="2"/>
      <c r="J2637" s="8"/>
      <c r="R2637" s="8"/>
      <c r="Z2637" s="6"/>
    </row>
    <row r="2638" spans="3:26" x14ac:dyDescent="0.25">
      <c r="C2638" s="2"/>
      <c r="J2638" s="8"/>
      <c r="R2638" s="8"/>
      <c r="Z2638" s="6"/>
    </row>
    <row r="2639" spans="3:26" x14ac:dyDescent="0.25">
      <c r="C2639" s="2"/>
      <c r="J2639" s="8"/>
      <c r="R2639" s="8"/>
      <c r="Z2639" s="6"/>
    </row>
    <row r="2640" spans="3:26" x14ac:dyDescent="0.25">
      <c r="C2640" s="2"/>
      <c r="J2640" s="8"/>
      <c r="R2640" s="8"/>
      <c r="Z2640" s="6"/>
    </row>
    <row r="2641" spans="3:26" x14ac:dyDescent="0.25">
      <c r="C2641" s="2"/>
      <c r="J2641" s="8"/>
      <c r="R2641" s="8"/>
      <c r="Z2641" s="6"/>
    </row>
    <row r="2642" spans="3:26" x14ac:dyDescent="0.25">
      <c r="C2642" s="2"/>
      <c r="J2642" s="8"/>
      <c r="R2642" s="8"/>
      <c r="Z2642" s="6"/>
    </row>
    <row r="2643" spans="3:26" x14ac:dyDescent="0.25">
      <c r="C2643" s="2"/>
      <c r="J2643" s="8"/>
      <c r="R2643" s="8"/>
      <c r="Z2643" s="6"/>
    </row>
    <row r="2644" spans="3:26" x14ac:dyDescent="0.25">
      <c r="C2644" s="2"/>
      <c r="J2644" s="8"/>
      <c r="R2644" s="8"/>
      <c r="Z2644" s="6"/>
    </row>
    <row r="2645" spans="3:26" x14ac:dyDescent="0.25">
      <c r="C2645" s="2"/>
      <c r="J2645" s="8"/>
      <c r="R2645" s="8"/>
      <c r="Z2645" s="6"/>
    </row>
    <row r="2646" spans="3:26" x14ac:dyDescent="0.25">
      <c r="C2646" s="2"/>
      <c r="J2646" s="8"/>
      <c r="R2646" s="8"/>
      <c r="Z2646" s="6"/>
    </row>
    <row r="2647" spans="3:26" x14ac:dyDescent="0.25">
      <c r="C2647" s="2"/>
      <c r="J2647" s="8"/>
      <c r="R2647" s="8"/>
      <c r="Z2647" s="6"/>
    </row>
    <row r="2648" spans="3:26" x14ac:dyDescent="0.25">
      <c r="C2648" s="2"/>
      <c r="J2648" s="8"/>
      <c r="R2648" s="8"/>
      <c r="Z2648" s="6"/>
    </row>
    <row r="2649" spans="3:26" x14ac:dyDescent="0.25">
      <c r="C2649" s="2"/>
      <c r="J2649" s="8"/>
      <c r="R2649" s="8"/>
      <c r="Z2649" s="6"/>
    </row>
    <row r="2650" spans="3:26" x14ac:dyDescent="0.25">
      <c r="C2650" s="2"/>
      <c r="J2650" s="8"/>
      <c r="R2650" s="8"/>
      <c r="Z2650" s="6"/>
    </row>
    <row r="2651" spans="3:26" x14ac:dyDescent="0.25">
      <c r="C2651" s="2"/>
      <c r="J2651" s="8"/>
      <c r="R2651" s="8"/>
      <c r="Z2651" s="6"/>
    </row>
    <row r="2652" spans="3:26" x14ac:dyDescent="0.25">
      <c r="C2652" s="2"/>
      <c r="J2652" s="8"/>
      <c r="R2652" s="8"/>
      <c r="Z2652" s="6"/>
    </row>
    <row r="2653" spans="3:26" x14ac:dyDescent="0.25">
      <c r="C2653" s="2"/>
      <c r="J2653" s="8"/>
      <c r="R2653" s="8"/>
      <c r="Z2653" s="6"/>
    </row>
    <row r="2654" spans="3:26" x14ac:dyDescent="0.25">
      <c r="C2654" s="2"/>
      <c r="J2654" s="8"/>
      <c r="R2654" s="8"/>
      <c r="Z2654" s="6"/>
    </row>
    <row r="2655" spans="3:26" x14ac:dyDescent="0.25">
      <c r="C2655" s="2"/>
      <c r="J2655" s="8"/>
      <c r="R2655" s="8"/>
      <c r="Z2655" s="6"/>
    </row>
    <row r="2656" spans="3:26" x14ac:dyDescent="0.25">
      <c r="C2656" s="2"/>
      <c r="J2656" s="8"/>
      <c r="R2656" s="8"/>
      <c r="Z2656" s="6"/>
    </row>
    <row r="2657" spans="3:26" x14ac:dyDescent="0.25">
      <c r="C2657" s="2"/>
      <c r="J2657" s="8"/>
      <c r="R2657" s="8"/>
      <c r="Z2657" s="6"/>
    </row>
    <row r="2658" spans="3:26" x14ac:dyDescent="0.25">
      <c r="C2658" s="2"/>
      <c r="J2658" s="8"/>
      <c r="R2658" s="8"/>
      <c r="Z2658" s="6"/>
    </row>
    <row r="2659" spans="3:26" x14ac:dyDescent="0.25">
      <c r="C2659" s="2"/>
      <c r="J2659" s="8"/>
      <c r="R2659" s="8"/>
      <c r="Z2659" s="6"/>
    </row>
    <row r="2660" spans="3:26" x14ac:dyDescent="0.25">
      <c r="C2660" s="2"/>
      <c r="J2660" s="8"/>
      <c r="R2660" s="8"/>
      <c r="Z2660" s="6"/>
    </row>
    <row r="2661" spans="3:26" x14ac:dyDescent="0.25">
      <c r="C2661" s="2"/>
      <c r="J2661" s="8"/>
      <c r="R2661" s="8"/>
      <c r="Z2661" s="6"/>
    </row>
    <row r="2662" spans="3:26" x14ac:dyDescent="0.25">
      <c r="C2662" s="2"/>
      <c r="J2662" s="8"/>
      <c r="R2662" s="8"/>
      <c r="Z2662" s="6"/>
    </row>
    <row r="2663" spans="3:26" x14ac:dyDescent="0.25">
      <c r="C2663" s="2"/>
      <c r="J2663" s="8"/>
      <c r="R2663" s="8"/>
      <c r="Z2663" s="6"/>
    </row>
    <row r="2664" spans="3:26" x14ac:dyDescent="0.25">
      <c r="C2664" s="2"/>
      <c r="J2664" s="8"/>
      <c r="R2664" s="8"/>
      <c r="Z2664" s="6"/>
    </row>
    <row r="2665" spans="3:26" x14ac:dyDescent="0.25">
      <c r="C2665" s="2"/>
      <c r="J2665" s="8"/>
      <c r="R2665" s="8"/>
      <c r="Z2665" s="6"/>
    </row>
    <row r="2666" spans="3:26" x14ac:dyDescent="0.25">
      <c r="C2666" s="2"/>
      <c r="J2666" s="8"/>
      <c r="R2666" s="8"/>
      <c r="Z2666" s="6"/>
    </row>
    <row r="2667" spans="3:26" x14ac:dyDescent="0.25">
      <c r="C2667" s="2"/>
      <c r="J2667" s="8"/>
      <c r="R2667" s="8"/>
      <c r="Z2667" s="6"/>
    </row>
    <row r="2668" spans="3:26" x14ac:dyDescent="0.25">
      <c r="C2668" s="2"/>
      <c r="J2668" s="8"/>
      <c r="R2668" s="8"/>
      <c r="Z2668" s="6"/>
    </row>
    <row r="2669" spans="3:26" x14ac:dyDescent="0.25">
      <c r="C2669" s="2"/>
      <c r="J2669" s="8"/>
      <c r="R2669" s="8"/>
      <c r="Z2669" s="6"/>
    </row>
    <row r="2670" spans="3:26" x14ac:dyDescent="0.25">
      <c r="C2670" s="2"/>
      <c r="J2670" s="8"/>
      <c r="R2670" s="8"/>
      <c r="Z2670" s="6"/>
    </row>
    <row r="2671" spans="3:26" x14ac:dyDescent="0.25">
      <c r="C2671" s="2"/>
      <c r="J2671" s="8"/>
      <c r="R2671" s="8"/>
      <c r="Z2671" s="6"/>
    </row>
    <row r="2672" spans="3:26" x14ac:dyDescent="0.25">
      <c r="C2672" s="2"/>
      <c r="J2672" s="8"/>
      <c r="R2672" s="8"/>
      <c r="Z2672" s="6"/>
    </row>
    <row r="2673" spans="3:26" x14ac:dyDescent="0.25">
      <c r="C2673" s="2"/>
      <c r="J2673" s="8"/>
      <c r="R2673" s="8"/>
      <c r="Z2673" s="6"/>
    </row>
    <row r="2674" spans="3:26" x14ac:dyDescent="0.25">
      <c r="C2674" s="2"/>
      <c r="J2674" s="8"/>
      <c r="R2674" s="8"/>
      <c r="Z2674" s="6"/>
    </row>
    <row r="2675" spans="3:26" x14ac:dyDescent="0.25">
      <c r="C2675" s="2"/>
      <c r="J2675" s="8"/>
      <c r="R2675" s="8"/>
      <c r="Z2675" s="6"/>
    </row>
    <row r="2676" spans="3:26" x14ac:dyDescent="0.25">
      <c r="C2676" s="2"/>
      <c r="J2676" s="8"/>
      <c r="R2676" s="8"/>
      <c r="Z2676" s="6"/>
    </row>
    <row r="2677" spans="3:26" x14ac:dyDescent="0.25">
      <c r="C2677" s="2"/>
      <c r="J2677" s="8"/>
      <c r="R2677" s="8"/>
      <c r="Z2677" s="6"/>
    </row>
    <row r="2678" spans="3:26" x14ac:dyDescent="0.25">
      <c r="C2678" s="2"/>
      <c r="J2678" s="8"/>
      <c r="R2678" s="8"/>
      <c r="Z2678" s="6"/>
    </row>
    <row r="2679" spans="3:26" x14ac:dyDescent="0.25">
      <c r="C2679" s="2"/>
      <c r="J2679" s="8"/>
      <c r="R2679" s="8"/>
      <c r="Z2679" s="6"/>
    </row>
    <row r="2680" spans="3:26" x14ac:dyDescent="0.25">
      <c r="C2680" s="2"/>
      <c r="J2680" s="8"/>
      <c r="R2680" s="8"/>
      <c r="Z2680" s="6"/>
    </row>
    <row r="2681" spans="3:26" x14ac:dyDescent="0.25">
      <c r="C2681" s="2"/>
      <c r="J2681" s="8"/>
      <c r="R2681" s="8"/>
      <c r="Z2681" s="6"/>
    </row>
    <row r="2682" spans="3:26" x14ac:dyDescent="0.25">
      <c r="C2682" s="2"/>
      <c r="J2682" s="8"/>
      <c r="R2682" s="8"/>
      <c r="Z2682" s="6"/>
    </row>
    <row r="2683" spans="3:26" x14ac:dyDescent="0.25">
      <c r="C2683" s="2"/>
      <c r="J2683" s="8"/>
      <c r="R2683" s="8"/>
      <c r="Z2683" s="6"/>
    </row>
    <row r="2684" spans="3:26" x14ac:dyDescent="0.25">
      <c r="C2684" s="2"/>
      <c r="J2684" s="8"/>
      <c r="R2684" s="8"/>
      <c r="Z2684" s="6"/>
    </row>
    <row r="2685" spans="3:26" x14ac:dyDescent="0.25">
      <c r="C2685" s="2"/>
      <c r="J2685" s="8"/>
      <c r="R2685" s="8"/>
      <c r="Z2685" s="6"/>
    </row>
    <row r="2686" spans="3:26" x14ac:dyDescent="0.25">
      <c r="C2686" s="2"/>
      <c r="J2686" s="8"/>
      <c r="R2686" s="8"/>
      <c r="Z2686" s="6"/>
    </row>
    <row r="2687" spans="3:26" x14ac:dyDescent="0.25">
      <c r="C2687" s="2"/>
      <c r="J2687" s="8"/>
      <c r="R2687" s="8"/>
      <c r="Z2687" s="6"/>
    </row>
    <row r="2688" spans="3:26" x14ac:dyDescent="0.25">
      <c r="C2688" s="2"/>
      <c r="J2688" s="8"/>
      <c r="R2688" s="8"/>
      <c r="Z2688" s="6"/>
    </row>
    <row r="2689" spans="3:26" x14ac:dyDescent="0.25">
      <c r="C2689" s="2"/>
      <c r="J2689" s="8"/>
      <c r="R2689" s="8"/>
      <c r="Z2689" s="6"/>
    </row>
    <row r="2690" spans="3:26" x14ac:dyDescent="0.25">
      <c r="C2690" s="2"/>
      <c r="J2690" s="8"/>
      <c r="R2690" s="8"/>
      <c r="Z2690" s="6"/>
    </row>
    <row r="2691" spans="3:26" x14ac:dyDescent="0.25">
      <c r="C2691" s="2"/>
      <c r="J2691" s="8"/>
      <c r="R2691" s="8"/>
      <c r="Y2691" s="3"/>
      <c r="Z2691" s="6"/>
    </row>
    <row r="2692" spans="3:26" x14ac:dyDescent="0.25">
      <c r="C2692" s="2"/>
      <c r="J2692" s="8"/>
      <c r="R2692" s="8"/>
      <c r="Z2692" s="6"/>
    </row>
    <row r="2693" spans="3:26" x14ac:dyDescent="0.25">
      <c r="C2693" s="2"/>
      <c r="J2693" s="8"/>
      <c r="R2693" s="8"/>
      <c r="Z2693" s="6"/>
    </row>
    <row r="2694" spans="3:26" x14ac:dyDescent="0.25">
      <c r="C2694" s="2"/>
      <c r="J2694" s="8"/>
      <c r="R2694" s="8"/>
      <c r="Z2694" s="6"/>
    </row>
    <row r="2695" spans="3:26" x14ac:dyDescent="0.25">
      <c r="C2695" s="2"/>
      <c r="J2695" s="8"/>
      <c r="R2695" s="8"/>
      <c r="Y2695" s="3"/>
      <c r="Z2695" s="6"/>
    </row>
    <row r="2696" spans="3:26" x14ac:dyDescent="0.25">
      <c r="C2696" s="2"/>
      <c r="J2696" s="8"/>
      <c r="R2696" s="8"/>
      <c r="Z2696" s="6"/>
    </row>
    <row r="2697" spans="3:26" x14ac:dyDescent="0.25">
      <c r="C2697" s="2"/>
      <c r="J2697" s="8"/>
      <c r="R2697" s="8"/>
      <c r="Z2697" s="6"/>
    </row>
    <row r="2698" spans="3:26" x14ac:dyDescent="0.25">
      <c r="C2698" s="2"/>
      <c r="J2698" s="8"/>
      <c r="R2698" s="8"/>
      <c r="Z2698" s="6"/>
    </row>
    <row r="2699" spans="3:26" x14ac:dyDescent="0.25">
      <c r="C2699" s="2"/>
      <c r="J2699" s="8"/>
      <c r="R2699" s="8"/>
      <c r="Z2699" s="6"/>
    </row>
    <row r="2700" spans="3:26" x14ac:dyDescent="0.25">
      <c r="C2700" s="2"/>
      <c r="J2700" s="8"/>
      <c r="R2700" s="8"/>
      <c r="Z2700" s="6"/>
    </row>
    <row r="2701" spans="3:26" x14ac:dyDescent="0.25">
      <c r="C2701" s="2"/>
      <c r="J2701" s="8"/>
      <c r="R2701" s="8"/>
      <c r="Z2701" s="6"/>
    </row>
    <row r="2702" spans="3:26" x14ac:dyDescent="0.25">
      <c r="C2702" s="2"/>
      <c r="J2702" s="8"/>
      <c r="R2702" s="8"/>
      <c r="Z2702" s="6"/>
    </row>
    <row r="2703" spans="3:26" x14ac:dyDescent="0.25">
      <c r="C2703" s="2"/>
      <c r="J2703" s="8"/>
      <c r="R2703" s="8"/>
      <c r="Z2703" s="6"/>
    </row>
    <row r="2704" spans="3:26" x14ac:dyDescent="0.25">
      <c r="C2704" s="2"/>
      <c r="J2704" s="8"/>
      <c r="R2704" s="8"/>
      <c r="Z2704" s="6"/>
    </row>
    <row r="2705" spans="3:26" x14ac:dyDescent="0.25">
      <c r="C2705" s="2"/>
      <c r="J2705" s="8"/>
      <c r="R2705" s="8"/>
      <c r="Z2705" s="6"/>
    </row>
    <row r="2706" spans="3:26" x14ac:dyDescent="0.25">
      <c r="C2706" s="2"/>
      <c r="J2706" s="8"/>
      <c r="R2706" s="8"/>
      <c r="Z2706" s="6"/>
    </row>
    <row r="2707" spans="3:26" x14ac:dyDescent="0.25">
      <c r="C2707" s="2"/>
      <c r="J2707" s="8"/>
      <c r="R2707" s="8"/>
      <c r="Z2707" s="6"/>
    </row>
    <row r="2708" spans="3:26" x14ac:dyDescent="0.25">
      <c r="C2708" s="2"/>
      <c r="J2708" s="8"/>
      <c r="R2708" s="8"/>
      <c r="Z2708" s="6"/>
    </row>
    <row r="2709" spans="3:26" x14ac:dyDescent="0.25">
      <c r="C2709" s="2"/>
      <c r="J2709" s="8"/>
      <c r="R2709" s="8"/>
      <c r="Z2709" s="6"/>
    </row>
    <row r="2710" spans="3:26" x14ac:dyDescent="0.25">
      <c r="C2710" s="2"/>
      <c r="J2710" s="8"/>
      <c r="R2710" s="8"/>
      <c r="Z2710" s="6"/>
    </row>
    <row r="2711" spans="3:26" x14ac:dyDescent="0.25">
      <c r="C2711" s="2"/>
      <c r="J2711" s="8"/>
      <c r="R2711" s="8"/>
      <c r="Z2711" s="6"/>
    </row>
    <row r="2712" spans="3:26" x14ac:dyDescent="0.25">
      <c r="C2712" s="2"/>
      <c r="J2712" s="8"/>
      <c r="R2712" s="8"/>
      <c r="Z2712" s="6"/>
    </row>
    <row r="2713" spans="3:26" x14ac:dyDescent="0.25">
      <c r="C2713" s="2"/>
      <c r="J2713" s="8"/>
      <c r="R2713" s="8"/>
      <c r="Z2713" s="6"/>
    </row>
    <row r="2714" spans="3:26" x14ac:dyDescent="0.25">
      <c r="C2714" s="2"/>
      <c r="J2714" s="8"/>
      <c r="R2714" s="8"/>
      <c r="Z2714" s="6"/>
    </row>
    <row r="2715" spans="3:26" x14ac:dyDescent="0.25">
      <c r="C2715" s="2"/>
      <c r="J2715" s="8"/>
      <c r="R2715" s="8"/>
      <c r="Z2715" s="6"/>
    </row>
    <row r="2716" spans="3:26" x14ac:dyDescent="0.25">
      <c r="C2716" s="2"/>
      <c r="J2716" s="8"/>
      <c r="R2716" s="8"/>
      <c r="Z2716" s="6"/>
    </row>
    <row r="2717" spans="3:26" x14ac:dyDescent="0.25">
      <c r="C2717" s="2"/>
      <c r="J2717" s="8"/>
      <c r="R2717" s="8"/>
      <c r="Z2717" s="6"/>
    </row>
    <row r="2718" spans="3:26" x14ac:dyDescent="0.25">
      <c r="C2718" s="2"/>
      <c r="J2718" s="8"/>
      <c r="R2718" s="8"/>
      <c r="Z2718" s="6"/>
    </row>
    <row r="2719" spans="3:26" x14ac:dyDescent="0.25">
      <c r="C2719" s="2"/>
      <c r="J2719" s="8"/>
      <c r="R2719" s="8"/>
      <c r="Z2719" s="6"/>
    </row>
    <row r="2720" spans="3:26" x14ac:dyDescent="0.25">
      <c r="C2720" s="2"/>
      <c r="J2720" s="8"/>
      <c r="R2720" s="8"/>
      <c r="Z2720" s="6"/>
    </row>
    <row r="2721" spans="3:26" x14ac:dyDescent="0.25">
      <c r="C2721" s="2"/>
      <c r="J2721" s="8"/>
      <c r="R2721" s="8"/>
      <c r="Z2721" s="6"/>
    </row>
    <row r="2722" spans="3:26" x14ac:dyDescent="0.25">
      <c r="C2722" s="2"/>
      <c r="J2722" s="8"/>
      <c r="R2722" s="8"/>
      <c r="Z2722" s="6"/>
    </row>
    <row r="2723" spans="3:26" x14ac:dyDescent="0.25">
      <c r="C2723" s="2"/>
      <c r="J2723" s="8"/>
      <c r="R2723" s="8"/>
      <c r="Z2723" s="6"/>
    </row>
    <row r="2724" spans="3:26" x14ac:dyDescent="0.25">
      <c r="C2724" s="2"/>
      <c r="J2724" s="8"/>
      <c r="R2724" s="8"/>
      <c r="Z2724" s="6"/>
    </row>
    <row r="2725" spans="3:26" x14ac:dyDescent="0.25">
      <c r="C2725" s="2"/>
      <c r="J2725" s="8"/>
      <c r="R2725" s="8"/>
      <c r="Z2725" s="6"/>
    </row>
    <row r="2726" spans="3:26" x14ac:dyDescent="0.25">
      <c r="C2726" s="2"/>
      <c r="J2726" s="8"/>
      <c r="R2726" s="8"/>
      <c r="Z2726" s="6"/>
    </row>
    <row r="2727" spans="3:26" x14ac:dyDescent="0.25">
      <c r="C2727" s="2"/>
      <c r="J2727" s="8"/>
      <c r="R2727" s="8"/>
      <c r="Z2727" s="6"/>
    </row>
    <row r="2728" spans="3:26" x14ac:dyDescent="0.25">
      <c r="C2728" s="2"/>
      <c r="J2728" s="8"/>
      <c r="R2728" s="8"/>
      <c r="Z2728" s="6"/>
    </row>
    <row r="2729" spans="3:26" x14ac:dyDescent="0.25">
      <c r="C2729" s="2"/>
      <c r="J2729" s="8"/>
      <c r="R2729" s="8"/>
      <c r="Z2729" s="6"/>
    </row>
    <row r="2730" spans="3:26" x14ac:dyDescent="0.25">
      <c r="C2730" s="2"/>
      <c r="J2730" s="8"/>
      <c r="R2730" s="8"/>
      <c r="Z2730" s="6"/>
    </row>
    <row r="2731" spans="3:26" x14ac:dyDescent="0.25">
      <c r="C2731" s="2"/>
      <c r="J2731" s="8"/>
      <c r="R2731" s="8"/>
      <c r="Z2731" s="6"/>
    </row>
    <row r="2732" spans="3:26" x14ac:dyDescent="0.25">
      <c r="C2732" s="2"/>
      <c r="J2732" s="8"/>
      <c r="R2732" s="8"/>
      <c r="Z2732" s="6"/>
    </row>
    <row r="2733" spans="3:26" x14ac:dyDescent="0.25">
      <c r="C2733" s="2"/>
      <c r="J2733" s="8"/>
      <c r="R2733" s="8"/>
      <c r="Z2733" s="6"/>
    </row>
    <row r="2734" spans="3:26" x14ac:dyDescent="0.25">
      <c r="C2734" s="2"/>
      <c r="J2734" s="8"/>
      <c r="R2734" s="8"/>
      <c r="Z2734" s="6"/>
    </row>
    <row r="2735" spans="3:26" x14ac:dyDescent="0.25">
      <c r="C2735" s="2"/>
      <c r="J2735" s="8"/>
      <c r="R2735" s="8"/>
      <c r="Z2735" s="6"/>
    </row>
    <row r="2736" spans="3:26" x14ac:dyDescent="0.25">
      <c r="C2736" s="2"/>
      <c r="J2736" s="8"/>
      <c r="R2736" s="8"/>
      <c r="Z2736" s="6"/>
    </row>
    <row r="2737" spans="3:26" x14ac:dyDescent="0.25">
      <c r="C2737" s="2"/>
      <c r="J2737" s="8"/>
      <c r="R2737" s="8"/>
      <c r="Z2737" s="6"/>
    </row>
    <row r="2738" spans="3:26" x14ac:dyDescent="0.25">
      <c r="C2738" s="2"/>
      <c r="J2738" s="8"/>
      <c r="R2738" s="8"/>
      <c r="Z2738" s="6"/>
    </row>
    <row r="2739" spans="3:26" x14ac:dyDescent="0.25">
      <c r="C2739" s="2"/>
      <c r="J2739" s="8"/>
      <c r="R2739" s="8"/>
      <c r="Z2739" s="6"/>
    </row>
    <row r="2740" spans="3:26" x14ac:dyDescent="0.25">
      <c r="C2740" s="2"/>
      <c r="J2740" s="8"/>
      <c r="R2740" s="8"/>
      <c r="Z2740" s="6"/>
    </row>
    <row r="2741" spans="3:26" x14ac:dyDescent="0.25">
      <c r="C2741" s="2"/>
      <c r="J2741" s="8"/>
      <c r="R2741" s="8"/>
      <c r="Z2741" s="6"/>
    </row>
    <row r="2742" spans="3:26" x14ac:dyDescent="0.25">
      <c r="C2742" s="2"/>
      <c r="J2742" s="8"/>
      <c r="R2742" s="8"/>
      <c r="Z2742" s="6"/>
    </row>
    <row r="2743" spans="3:26" x14ac:dyDescent="0.25">
      <c r="C2743" s="2"/>
      <c r="J2743" s="8"/>
      <c r="R2743" s="8"/>
      <c r="Z2743" s="6"/>
    </row>
    <row r="2744" spans="3:26" x14ac:dyDescent="0.25">
      <c r="C2744" s="2"/>
      <c r="J2744" s="8"/>
      <c r="R2744" s="8"/>
      <c r="Z2744" s="6"/>
    </row>
    <row r="2745" spans="3:26" x14ac:dyDescent="0.25">
      <c r="C2745" s="2"/>
      <c r="J2745" s="8"/>
      <c r="R2745" s="8"/>
      <c r="Z2745" s="6"/>
    </row>
    <row r="2746" spans="3:26" x14ac:dyDescent="0.25">
      <c r="C2746" s="2"/>
      <c r="J2746" s="8"/>
      <c r="R2746" s="8"/>
      <c r="Z2746" s="6"/>
    </row>
    <row r="2747" spans="3:26" x14ac:dyDescent="0.25">
      <c r="C2747" s="2"/>
      <c r="J2747" s="8"/>
      <c r="R2747" s="8"/>
      <c r="Z2747" s="6"/>
    </row>
    <row r="2748" spans="3:26" x14ac:dyDescent="0.25">
      <c r="C2748" s="2"/>
      <c r="J2748" s="8"/>
      <c r="R2748" s="8"/>
      <c r="Z2748" s="6"/>
    </row>
    <row r="2749" spans="3:26" x14ac:dyDescent="0.25">
      <c r="C2749" s="2"/>
      <c r="J2749" s="8"/>
      <c r="R2749" s="8"/>
      <c r="Z2749" s="6"/>
    </row>
    <row r="2750" spans="3:26" x14ac:dyDescent="0.25">
      <c r="C2750" s="2"/>
      <c r="J2750" s="8"/>
      <c r="R2750" s="8"/>
      <c r="Z2750" s="6"/>
    </row>
    <row r="2751" spans="3:26" x14ac:dyDescent="0.25">
      <c r="C2751" s="2"/>
      <c r="J2751" s="8"/>
      <c r="R2751" s="8"/>
      <c r="Z2751" s="6"/>
    </row>
    <row r="2752" spans="3:26" x14ac:dyDescent="0.25">
      <c r="C2752" s="2"/>
      <c r="J2752" s="8"/>
      <c r="R2752" s="8"/>
      <c r="Z2752" s="6"/>
    </row>
    <row r="2753" spans="3:26" x14ac:dyDescent="0.25">
      <c r="C2753" s="2"/>
      <c r="J2753" s="8"/>
      <c r="R2753" s="8"/>
      <c r="Z2753" s="6"/>
    </row>
    <row r="2754" spans="3:26" x14ac:dyDescent="0.25">
      <c r="C2754" s="2"/>
      <c r="J2754" s="8"/>
      <c r="R2754" s="8"/>
      <c r="Z2754" s="6"/>
    </row>
    <row r="2755" spans="3:26" x14ac:dyDescent="0.25">
      <c r="C2755" s="2"/>
      <c r="J2755" s="8"/>
      <c r="R2755" s="8"/>
      <c r="Z2755" s="6"/>
    </row>
    <row r="2756" spans="3:26" x14ac:dyDescent="0.25">
      <c r="C2756" s="2"/>
      <c r="J2756" s="8"/>
      <c r="R2756" s="8"/>
      <c r="Z2756" s="6"/>
    </row>
    <row r="2757" spans="3:26" x14ac:dyDescent="0.25">
      <c r="C2757" s="2"/>
      <c r="J2757" s="8"/>
      <c r="R2757" s="8"/>
      <c r="Z2757" s="6"/>
    </row>
    <row r="2758" spans="3:26" x14ac:dyDescent="0.25">
      <c r="C2758" s="2"/>
      <c r="J2758" s="8"/>
      <c r="R2758" s="8"/>
      <c r="Z2758" s="6"/>
    </row>
    <row r="2759" spans="3:26" x14ac:dyDescent="0.25">
      <c r="C2759" s="2"/>
      <c r="J2759" s="8"/>
      <c r="R2759" s="8"/>
      <c r="Z2759" s="6"/>
    </row>
    <row r="2760" spans="3:26" x14ac:dyDescent="0.25">
      <c r="C2760" s="2"/>
      <c r="J2760" s="8"/>
      <c r="R2760" s="8"/>
      <c r="Z2760" s="6"/>
    </row>
    <row r="2761" spans="3:26" x14ac:dyDescent="0.25">
      <c r="C2761" s="2"/>
      <c r="J2761" s="8"/>
      <c r="R2761" s="8"/>
      <c r="Z2761" s="6"/>
    </row>
    <row r="2762" spans="3:26" x14ac:dyDescent="0.25">
      <c r="C2762" s="2"/>
      <c r="J2762" s="8"/>
      <c r="R2762" s="8"/>
      <c r="Z2762" s="6"/>
    </row>
    <row r="2763" spans="3:26" x14ac:dyDescent="0.25">
      <c r="C2763" s="2"/>
      <c r="J2763" s="8"/>
      <c r="R2763" s="8"/>
      <c r="Z2763" s="6"/>
    </row>
    <row r="2764" spans="3:26" x14ac:dyDescent="0.25">
      <c r="C2764" s="2"/>
      <c r="J2764" s="8"/>
      <c r="R2764" s="8"/>
      <c r="Z2764" s="6"/>
    </row>
    <row r="2765" spans="3:26" x14ac:dyDescent="0.25">
      <c r="C2765" s="2"/>
      <c r="J2765" s="8"/>
      <c r="R2765" s="8"/>
      <c r="Z2765" s="6"/>
    </row>
    <row r="2766" spans="3:26" x14ac:dyDescent="0.25">
      <c r="C2766" s="2"/>
      <c r="J2766" s="8"/>
      <c r="R2766" s="8"/>
      <c r="Z2766" s="6"/>
    </row>
    <row r="2767" spans="3:26" x14ac:dyDescent="0.25">
      <c r="C2767" s="2"/>
      <c r="J2767" s="8"/>
      <c r="R2767" s="8"/>
      <c r="Z2767" s="6"/>
    </row>
    <row r="2768" spans="3:26" x14ac:dyDescent="0.25">
      <c r="C2768" s="2"/>
      <c r="J2768" s="8"/>
      <c r="R2768" s="8"/>
      <c r="Z2768" s="6"/>
    </row>
    <row r="2769" spans="3:26" x14ac:dyDescent="0.25">
      <c r="C2769" s="2"/>
      <c r="J2769" s="8"/>
      <c r="R2769" s="8"/>
      <c r="Z2769" s="6"/>
    </row>
    <row r="2770" spans="3:26" x14ac:dyDescent="0.25">
      <c r="C2770" s="2"/>
      <c r="J2770" s="8"/>
      <c r="R2770" s="8"/>
      <c r="Z2770" s="6"/>
    </row>
    <row r="2771" spans="3:26" x14ac:dyDescent="0.25">
      <c r="C2771" s="2"/>
      <c r="J2771" s="8"/>
      <c r="R2771" s="8"/>
      <c r="Z2771" s="6"/>
    </row>
    <row r="2772" spans="3:26" x14ac:dyDescent="0.25">
      <c r="C2772" s="2"/>
      <c r="J2772" s="8"/>
      <c r="R2772" s="8"/>
      <c r="Z2772" s="6"/>
    </row>
    <row r="2773" spans="3:26" x14ac:dyDescent="0.25">
      <c r="C2773" s="2"/>
      <c r="J2773" s="8"/>
      <c r="R2773" s="8"/>
      <c r="Z2773" s="6"/>
    </row>
    <row r="2774" spans="3:26" x14ac:dyDescent="0.25">
      <c r="C2774" s="2"/>
      <c r="J2774" s="8"/>
      <c r="R2774" s="8"/>
      <c r="Z2774" s="6"/>
    </row>
    <row r="2775" spans="3:26" x14ac:dyDescent="0.25">
      <c r="C2775" s="2"/>
      <c r="J2775" s="8"/>
      <c r="R2775" s="8"/>
      <c r="Z2775" s="6"/>
    </row>
    <row r="2776" spans="3:26" x14ac:dyDescent="0.25">
      <c r="C2776" s="2"/>
      <c r="J2776" s="8"/>
      <c r="R2776" s="8"/>
      <c r="Z2776" s="6"/>
    </row>
    <row r="2777" spans="3:26" x14ac:dyDescent="0.25">
      <c r="C2777" s="2"/>
      <c r="J2777" s="8"/>
      <c r="R2777" s="8"/>
      <c r="Z2777" s="6"/>
    </row>
    <row r="2778" spans="3:26" x14ac:dyDescent="0.25">
      <c r="C2778" s="2"/>
      <c r="J2778" s="8"/>
      <c r="R2778" s="8"/>
      <c r="Z2778" s="6"/>
    </row>
    <row r="2779" spans="3:26" x14ac:dyDescent="0.25">
      <c r="C2779" s="2"/>
      <c r="J2779" s="8"/>
      <c r="R2779" s="8"/>
      <c r="Z2779" s="6"/>
    </row>
    <row r="2780" spans="3:26" x14ac:dyDescent="0.25">
      <c r="C2780" s="2"/>
      <c r="J2780" s="8"/>
      <c r="R2780" s="8"/>
      <c r="Z2780" s="6"/>
    </row>
    <row r="2781" spans="3:26" x14ac:dyDescent="0.25">
      <c r="C2781" s="2"/>
      <c r="J2781" s="8"/>
      <c r="R2781" s="8"/>
      <c r="Z2781" s="6"/>
    </row>
    <row r="2782" spans="3:26" x14ac:dyDescent="0.25">
      <c r="C2782" s="2"/>
      <c r="J2782" s="8"/>
      <c r="R2782" s="8"/>
      <c r="Z2782" s="6"/>
    </row>
    <row r="2783" spans="3:26" x14ac:dyDescent="0.25">
      <c r="C2783" s="2"/>
      <c r="J2783" s="8"/>
      <c r="R2783" s="8"/>
      <c r="Z2783" s="6"/>
    </row>
    <row r="2784" spans="3:26" x14ac:dyDescent="0.25">
      <c r="C2784" s="2"/>
      <c r="J2784" s="8"/>
      <c r="R2784" s="8"/>
      <c r="Z2784" s="6"/>
    </row>
    <row r="2785" spans="3:26" x14ac:dyDescent="0.25">
      <c r="C2785" s="2"/>
      <c r="J2785" s="8"/>
      <c r="R2785" s="8"/>
      <c r="Y2785" s="3"/>
      <c r="Z2785" s="6"/>
    </row>
    <row r="2786" spans="3:26" x14ac:dyDescent="0.25">
      <c r="C2786" s="2"/>
      <c r="J2786" s="8"/>
      <c r="R2786" s="8"/>
      <c r="Z2786" s="6"/>
    </row>
    <row r="2787" spans="3:26" x14ac:dyDescent="0.25">
      <c r="C2787" s="2"/>
      <c r="J2787" s="8"/>
      <c r="R2787" s="8"/>
      <c r="Y2787" s="3"/>
      <c r="Z2787" s="6"/>
    </row>
    <row r="2788" spans="3:26" x14ac:dyDescent="0.25">
      <c r="C2788" s="2"/>
      <c r="J2788" s="8"/>
      <c r="R2788" s="8"/>
      <c r="Z2788" s="6"/>
    </row>
    <row r="2789" spans="3:26" x14ac:dyDescent="0.25">
      <c r="C2789" s="2"/>
      <c r="J2789" s="8"/>
      <c r="R2789" s="8"/>
      <c r="Z2789" s="6"/>
    </row>
    <row r="2790" spans="3:26" x14ac:dyDescent="0.25">
      <c r="C2790" s="2"/>
      <c r="J2790" s="8"/>
      <c r="R2790" s="8"/>
      <c r="Z2790" s="6"/>
    </row>
    <row r="2791" spans="3:26" x14ac:dyDescent="0.25">
      <c r="C2791" s="2"/>
      <c r="J2791" s="8"/>
      <c r="R2791" s="8"/>
      <c r="Z2791" s="6"/>
    </row>
    <row r="2792" spans="3:26" x14ac:dyDescent="0.25">
      <c r="C2792" s="2"/>
      <c r="J2792" s="8"/>
      <c r="R2792" s="8"/>
      <c r="Z2792" s="6"/>
    </row>
    <row r="2793" spans="3:26" x14ac:dyDescent="0.25">
      <c r="C2793" s="2"/>
      <c r="J2793" s="8"/>
      <c r="R2793" s="8"/>
      <c r="Z2793" s="6"/>
    </row>
    <row r="2794" spans="3:26" x14ac:dyDescent="0.25">
      <c r="C2794" s="2"/>
      <c r="J2794" s="8"/>
      <c r="R2794" s="8"/>
      <c r="Z2794" s="6"/>
    </row>
    <row r="2795" spans="3:26" x14ac:dyDescent="0.25">
      <c r="C2795" s="2"/>
      <c r="J2795" s="8"/>
      <c r="R2795" s="8"/>
      <c r="Z2795" s="6"/>
    </row>
    <row r="2796" spans="3:26" x14ac:dyDescent="0.25">
      <c r="C2796" s="2"/>
      <c r="J2796" s="8"/>
      <c r="R2796" s="8"/>
      <c r="Z2796" s="6"/>
    </row>
    <row r="2797" spans="3:26" x14ac:dyDescent="0.25">
      <c r="C2797" s="2"/>
      <c r="J2797" s="8"/>
      <c r="R2797" s="8"/>
      <c r="Z2797" s="6"/>
    </row>
    <row r="2798" spans="3:26" x14ac:dyDescent="0.25">
      <c r="C2798" s="2"/>
      <c r="J2798" s="8"/>
      <c r="R2798" s="8"/>
      <c r="Z2798" s="6"/>
    </row>
    <row r="2799" spans="3:26" x14ac:dyDescent="0.25">
      <c r="C2799" s="2"/>
      <c r="J2799" s="8"/>
      <c r="R2799" s="8"/>
      <c r="Z2799" s="6"/>
    </row>
    <row r="2800" spans="3:26" x14ac:dyDescent="0.25">
      <c r="C2800" s="2"/>
      <c r="J2800" s="8"/>
      <c r="R2800" s="8"/>
      <c r="Z2800" s="6"/>
    </row>
    <row r="2801" spans="3:26" x14ac:dyDescent="0.25">
      <c r="C2801" s="2"/>
      <c r="J2801" s="8"/>
      <c r="R2801" s="8"/>
      <c r="Z2801" s="6"/>
    </row>
    <row r="2802" spans="3:26" x14ac:dyDescent="0.25">
      <c r="C2802" s="2"/>
      <c r="J2802" s="8"/>
      <c r="R2802" s="8"/>
      <c r="Z2802" s="6"/>
    </row>
    <row r="2803" spans="3:26" x14ac:dyDescent="0.25">
      <c r="C2803" s="2"/>
      <c r="J2803" s="8"/>
      <c r="R2803" s="8"/>
      <c r="Z2803" s="6"/>
    </row>
    <row r="2804" spans="3:26" x14ac:dyDescent="0.25">
      <c r="C2804" s="2"/>
      <c r="J2804" s="8"/>
      <c r="R2804" s="8"/>
      <c r="Z2804" s="6"/>
    </row>
    <row r="2805" spans="3:26" x14ac:dyDescent="0.25">
      <c r="C2805" s="2"/>
      <c r="J2805" s="8"/>
      <c r="R2805" s="8"/>
      <c r="Z2805" s="6"/>
    </row>
    <row r="2806" spans="3:26" x14ac:dyDescent="0.25">
      <c r="C2806" s="2"/>
      <c r="J2806" s="8"/>
      <c r="R2806" s="8"/>
      <c r="Z2806" s="6"/>
    </row>
    <row r="2807" spans="3:26" x14ac:dyDescent="0.25">
      <c r="C2807" s="2"/>
      <c r="J2807" s="8"/>
      <c r="R2807" s="8"/>
      <c r="Z2807" s="6"/>
    </row>
    <row r="2808" spans="3:26" x14ac:dyDescent="0.25">
      <c r="C2808" s="2"/>
      <c r="J2808" s="8"/>
      <c r="R2808" s="8"/>
      <c r="Z2808" s="6"/>
    </row>
    <row r="2809" spans="3:26" x14ac:dyDescent="0.25">
      <c r="C2809" s="2"/>
      <c r="J2809" s="8"/>
      <c r="R2809" s="8"/>
      <c r="Z2809" s="6"/>
    </row>
    <row r="2810" spans="3:26" x14ac:dyDescent="0.25">
      <c r="C2810" s="2"/>
      <c r="J2810" s="8"/>
      <c r="R2810" s="8"/>
      <c r="Z2810" s="6"/>
    </row>
    <row r="2811" spans="3:26" x14ac:dyDescent="0.25">
      <c r="C2811" s="2"/>
      <c r="J2811" s="8"/>
      <c r="R2811" s="8"/>
      <c r="Z2811" s="6"/>
    </row>
    <row r="2812" spans="3:26" x14ac:dyDescent="0.25">
      <c r="C2812" s="2"/>
      <c r="J2812" s="8"/>
      <c r="R2812" s="8"/>
      <c r="Z2812" s="6"/>
    </row>
    <row r="2813" spans="3:26" x14ac:dyDescent="0.25">
      <c r="C2813" s="2"/>
      <c r="J2813" s="8"/>
      <c r="R2813" s="8"/>
      <c r="Z2813" s="6"/>
    </row>
    <row r="2814" spans="3:26" x14ac:dyDescent="0.25">
      <c r="C2814" s="2"/>
      <c r="J2814" s="8"/>
      <c r="R2814" s="8"/>
      <c r="Z2814" s="6"/>
    </row>
    <row r="2815" spans="3:26" x14ac:dyDescent="0.25">
      <c r="C2815" s="2"/>
      <c r="J2815" s="8"/>
      <c r="R2815" s="8"/>
      <c r="Z2815" s="6"/>
    </row>
    <row r="2816" spans="3:26" x14ac:dyDescent="0.25">
      <c r="C2816" s="2"/>
      <c r="J2816" s="8"/>
      <c r="R2816" s="8"/>
      <c r="Z2816" s="6"/>
    </row>
    <row r="2817" spans="3:26" x14ac:dyDescent="0.25">
      <c r="C2817" s="2"/>
      <c r="J2817" s="8"/>
      <c r="R2817" s="8"/>
      <c r="Z2817" s="6"/>
    </row>
    <row r="2818" spans="3:26" x14ac:dyDescent="0.25">
      <c r="C2818" s="2"/>
      <c r="J2818" s="8"/>
      <c r="R2818" s="8"/>
      <c r="Z2818" s="6"/>
    </row>
    <row r="2819" spans="3:26" x14ac:dyDescent="0.25">
      <c r="C2819" s="2"/>
      <c r="J2819" s="8"/>
      <c r="R2819" s="8"/>
      <c r="Z2819" s="6"/>
    </row>
    <row r="2820" spans="3:26" x14ac:dyDescent="0.25">
      <c r="C2820" s="2"/>
      <c r="J2820" s="8"/>
      <c r="R2820" s="8"/>
      <c r="Z2820" s="6"/>
    </row>
    <row r="2821" spans="3:26" x14ac:dyDescent="0.25">
      <c r="C2821" s="2"/>
      <c r="J2821" s="8"/>
      <c r="R2821" s="8"/>
      <c r="Z2821" s="6"/>
    </row>
    <row r="2822" spans="3:26" x14ac:dyDescent="0.25">
      <c r="C2822" s="2"/>
      <c r="J2822" s="8"/>
      <c r="R2822" s="8"/>
      <c r="Z2822" s="6"/>
    </row>
    <row r="2823" spans="3:26" x14ac:dyDescent="0.25">
      <c r="C2823" s="2"/>
      <c r="J2823" s="8"/>
      <c r="R2823" s="8"/>
      <c r="Z2823" s="6"/>
    </row>
    <row r="2824" spans="3:26" x14ac:dyDescent="0.25">
      <c r="C2824" s="2"/>
      <c r="J2824" s="8"/>
      <c r="R2824" s="8"/>
      <c r="Z2824" s="6"/>
    </row>
    <row r="2825" spans="3:26" x14ac:dyDescent="0.25">
      <c r="C2825" s="2"/>
      <c r="J2825" s="8"/>
      <c r="R2825" s="8"/>
      <c r="Z2825" s="6"/>
    </row>
    <row r="2826" spans="3:26" x14ac:dyDescent="0.25">
      <c r="C2826" s="2"/>
      <c r="J2826" s="8"/>
      <c r="R2826" s="8"/>
      <c r="Z2826" s="6"/>
    </row>
    <row r="2827" spans="3:26" x14ac:dyDescent="0.25">
      <c r="C2827" s="2"/>
      <c r="J2827" s="8"/>
      <c r="R2827" s="8"/>
      <c r="Z2827" s="6"/>
    </row>
    <row r="2828" spans="3:26" x14ac:dyDescent="0.25">
      <c r="C2828" s="2"/>
      <c r="J2828" s="8"/>
      <c r="R2828" s="8"/>
      <c r="Z2828" s="6"/>
    </row>
    <row r="2829" spans="3:26" x14ac:dyDescent="0.25">
      <c r="C2829" s="2"/>
      <c r="J2829" s="8"/>
      <c r="R2829" s="8"/>
      <c r="Z2829" s="6"/>
    </row>
    <row r="2830" spans="3:26" x14ac:dyDescent="0.25">
      <c r="C2830" s="2"/>
      <c r="J2830" s="8"/>
      <c r="R2830" s="8"/>
      <c r="Z2830" s="6"/>
    </row>
    <row r="2831" spans="3:26" x14ac:dyDescent="0.25">
      <c r="C2831" s="2"/>
      <c r="J2831" s="8"/>
      <c r="R2831" s="8"/>
      <c r="Z2831" s="6"/>
    </row>
    <row r="2832" spans="3:26" x14ac:dyDescent="0.25">
      <c r="C2832" s="2"/>
      <c r="J2832" s="8"/>
      <c r="R2832" s="8"/>
      <c r="Z2832" s="6"/>
    </row>
    <row r="2833" spans="3:26" x14ac:dyDescent="0.25">
      <c r="C2833" s="2"/>
      <c r="J2833" s="8"/>
      <c r="R2833" s="8"/>
      <c r="Z2833" s="6"/>
    </row>
    <row r="2834" spans="3:26" x14ac:dyDescent="0.25">
      <c r="C2834" s="2"/>
      <c r="J2834" s="8"/>
      <c r="R2834" s="8"/>
      <c r="Z2834" s="6"/>
    </row>
    <row r="2835" spans="3:26" x14ac:dyDescent="0.25">
      <c r="C2835" s="2"/>
      <c r="J2835" s="8"/>
      <c r="R2835" s="8"/>
      <c r="Z2835" s="6"/>
    </row>
    <row r="2836" spans="3:26" x14ac:dyDescent="0.25">
      <c r="C2836" s="2"/>
      <c r="J2836" s="8"/>
      <c r="R2836" s="8"/>
      <c r="Z2836" s="6"/>
    </row>
    <row r="2837" spans="3:26" x14ac:dyDescent="0.25">
      <c r="C2837" s="2"/>
      <c r="J2837" s="8"/>
      <c r="R2837" s="8"/>
      <c r="Z2837" s="6"/>
    </row>
    <row r="2838" spans="3:26" x14ac:dyDescent="0.25">
      <c r="C2838" s="2"/>
      <c r="J2838" s="8"/>
      <c r="R2838" s="8"/>
      <c r="Z2838" s="6"/>
    </row>
    <row r="2839" spans="3:26" x14ac:dyDescent="0.25">
      <c r="C2839" s="2"/>
      <c r="J2839" s="8"/>
      <c r="R2839" s="8"/>
      <c r="Z2839" s="6"/>
    </row>
    <row r="2840" spans="3:26" x14ac:dyDescent="0.25">
      <c r="C2840" s="2"/>
      <c r="J2840" s="8"/>
      <c r="R2840" s="8"/>
      <c r="Z2840" s="6"/>
    </row>
    <row r="2841" spans="3:26" x14ac:dyDescent="0.25">
      <c r="C2841" s="2"/>
      <c r="J2841" s="8"/>
      <c r="R2841" s="8"/>
      <c r="Z2841" s="6"/>
    </row>
    <row r="2842" spans="3:26" x14ac:dyDescent="0.25">
      <c r="C2842" s="2"/>
      <c r="J2842" s="8"/>
      <c r="R2842" s="8"/>
      <c r="Z2842" s="6"/>
    </row>
    <row r="2843" spans="3:26" x14ac:dyDescent="0.25">
      <c r="C2843" s="2"/>
      <c r="J2843" s="8"/>
      <c r="R2843" s="8"/>
      <c r="Z2843" s="6"/>
    </row>
    <row r="2844" spans="3:26" x14ac:dyDescent="0.25">
      <c r="C2844" s="2"/>
      <c r="J2844" s="8"/>
      <c r="R2844" s="8"/>
      <c r="Z2844" s="6"/>
    </row>
    <row r="2845" spans="3:26" x14ac:dyDescent="0.25">
      <c r="C2845" s="2"/>
      <c r="J2845" s="8"/>
      <c r="R2845" s="8"/>
      <c r="Z2845" s="6"/>
    </row>
    <row r="2846" spans="3:26" x14ac:dyDescent="0.25">
      <c r="C2846" s="2"/>
      <c r="J2846" s="8"/>
      <c r="R2846" s="8"/>
      <c r="Z2846" s="6"/>
    </row>
    <row r="2847" spans="3:26" x14ac:dyDescent="0.25">
      <c r="C2847" s="2"/>
      <c r="J2847" s="8"/>
      <c r="R2847" s="8"/>
      <c r="Z2847" s="6"/>
    </row>
    <row r="2848" spans="3:26" x14ac:dyDescent="0.25">
      <c r="C2848" s="2"/>
      <c r="J2848" s="8"/>
      <c r="R2848" s="8"/>
      <c r="Z2848" s="6"/>
    </row>
    <row r="2849" spans="3:26" x14ac:dyDescent="0.25">
      <c r="C2849" s="2"/>
      <c r="J2849" s="8"/>
      <c r="R2849" s="8"/>
      <c r="Z2849" s="6"/>
    </row>
    <row r="2850" spans="3:26" x14ac:dyDescent="0.25">
      <c r="C2850" s="2"/>
      <c r="J2850" s="8"/>
      <c r="R2850" s="8"/>
      <c r="Z2850" s="6"/>
    </row>
    <row r="2851" spans="3:26" x14ac:dyDescent="0.25">
      <c r="C2851" s="2"/>
      <c r="J2851" s="8"/>
      <c r="R2851" s="8"/>
      <c r="Z2851" s="6"/>
    </row>
    <row r="2852" spans="3:26" x14ac:dyDescent="0.25">
      <c r="C2852" s="2"/>
      <c r="J2852" s="8"/>
      <c r="R2852" s="8"/>
      <c r="Z2852" s="6"/>
    </row>
    <row r="2853" spans="3:26" x14ac:dyDescent="0.25">
      <c r="C2853" s="2"/>
      <c r="J2853" s="8"/>
      <c r="R2853" s="8"/>
      <c r="Z2853" s="6"/>
    </row>
    <row r="2854" spans="3:26" x14ac:dyDescent="0.25">
      <c r="C2854" s="2"/>
      <c r="J2854" s="8"/>
      <c r="R2854" s="8"/>
      <c r="Z2854" s="6"/>
    </row>
    <row r="2855" spans="3:26" x14ac:dyDescent="0.25">
      <c r="C2855" s="2"/>
      <c r="J2855" s="8"/>
      <c r="R2855" s="8"/>
      <c r="Z2855" s="6"/>
    </row>
    <row r="2856" spans="3:26" x14ac:dyDescent="0.25">
      <c r="C2856" s="2"/>
      <c r="J2856" s="8"/>
      <c r="R2856" s="8"/>
      <c r="Z2856" s="6"/>
    </row>
    <row r="2857" spans="3:26" x14ac:dyDescent="0.25">
      <c r="C2857" s="2"/>
      <c r="J2857" s="8"/>
      <c r="R2857" s="8"/>
      <c r="Z2857" s="6"/>
    </row>
    <row r="2858" spans="3:26" x14ac:dyDescent="0.25">
      <c r="C2858" s="2"/>
      <c r="J2858" s="8"/>
      <c r="R2858" s="8"/>
      <c r="Z2858" s="6"/>
    </row>
    <row r="2859" spans="3:26" x14ac:dyDescent="0.25">
      <c r="C2859" s="2"/>
      <c r="J2859" s="8"/>
      <c r="R2859" s="8"/>
      <c r="Z2859" s="6"/>
    </row>
    <row r="2860" spans="3:26" x14ac:dyDescent="0.25">
      <c r="C2860" s="2"/>
      <c r="J2860" s="8"/>
      <c r="R2860" s="8"/>
      <c r="Z2860" s="6"/>
    </row>
    <row r="2861" spans="3:26" x14ac:dyDescent="0.25">
      <c r="C2861" s="2"/>
      <c r="J2861" s="8"/>
      <c r="R2861" s="8"/>
      <c r="Z2861" s="6"/>
    </row>
    <row r="2862" spans="3:26" x14ac:dyDescent="0.25">
      <c r="C2862" s="2"/>
      <c r="J2862" s="8"/>
      <c r="R2862" s="8"/>
      <c r="Z2862" s="6"/>
    </row>
    <row r="2863" spans="3:26" x14ac:dyDescent="0.25">
      <c r="C2863" s="2"/>
      <c r="J2863" s="8"/>
      <c r="R2863" s="8"/>
      <c r="Z2863" s="6"/>
    </row>
    <row r="2864" spans="3:26" x14ac:dyDescent="0.25">
      <c r="C2864" s="2"/>
      <c r="J2864" s="8"/>
      <c r="R2864" s="8"/>
      <c r="Z2864" s="6"/>
    </row>
    <row r="2865" spans="3:26" x14ac:dyDescent="0.25">
      <c r="C2865" s="2"/>
      <c r="J2865" s="8"/>
      <c r="R2865" s="8"/>
      <c r="Z2865" s="6"/>
    </row>
    <row r="2866" spans="3:26" x14ac:dyDescent="0.25">
      <c r="C2866" s="2"/>
      <c r="J2866" s="8"/>
      <c r="R2866" s="8"/>
      <c r="Z2866" s="6"/>
    </row>
    <row r="2867" spans="3:26" x14ac:dyDescent="0.25">
      <c r="C2867" s="2"/>
      <c r="J2867" s="8"/>
      <c r="R2867" s="8"/>
      <c r="Z2867" s="6"/>
    </row>
    <row r="2868" spans="3:26" x14ac:dyDescent="0.25">
      <c r="C2868" s="2"/>
      <c r="J2868" s="8"/>
      <c r="R2868" s="8"/>
      <c r="Z2868" s="6"/>
    </row>
    <row r="2869" spans="3:26" x14ac:dyDescent="0.25">
      <c r="C2869" s="2"/>
      <c r="J2869" s="8"/>
      <c r="R2869" s="8"/>
      <c r="Z2869" s="6"/>
    </row>
    <row r="2870" spans="3:26" x14ac:dyDescent="0.25">
      <c r="C2870" s="2"/>
      <c r="J2870" s="8"/>
      <c r="R2870" s="8"/>
      <c r="Z2870" s="6"/>
    </row>
    <row r="2871" spans="3:26" x14ac:dyDescent="0.25">
      <c r="C2871" s="2"/>
      <c r="J2871" s="8"/>
      <c r="R2871" s="8"/>
      <c r="Z2871" s="6"/>
    </row>
    <row r="2872" spans="3:26" x14ac:dyDescent="0.25">
      <c r="C2872" s="2"/>
      <c r="J2872" s="8"/>
      <c r="R2872" s="8"/>
      <c r="Z2872" s="6"/>
    </row>
    <row r="2873" spans="3:26" x14ac:dyDescent="0.25">
      <c r="C2873" s="2"/>
      <c r="J2873" s="8"/>
      <c r="R2873" s="8"/>
      <c r="Z2873" s="6"/>
    </row>
    <row r="2874" spans="3:26" x14ac:dyDescent="0.25">
      <c r="C2874" s="2"/>
      <c r="J2874" s="8"/>
      <c r="R2874" s="8"/>
      <c r="Z2874" s="6"/>
    </row>
    <row r="2875" spans="3:26" x14ac:dyDescent="0.25">
      <c r="C2875" s="2"/>
      <c r="J2875" s="8"/>
      <c r="R2875" s="8"/>
      <c r="Z2875" s="6"/>
    </row>
    <row r="2876" spans="3:26" x14ac:dyDescent="0.25">
      <c r="C2876" s="2"/>
      <c r="J2876" s="8"/>
      <c r="R2876" s="8"/>
      <c r="Z2876" s="6"/>
    </row>
    <row r="2877" spans="3:26" x14ac:dyDescent="0.25">
      <c r="C2877" s="2"/>
      <c r="J2877" s="8"/>
      <c r="R2877" s="8"/>
      <c r="Z2877" s="6"/>
    </row>
    <row r="2878" spans="3:26" x14ac:dyDescent="0.25">
      <c r="C2878" s="2"/>
      <c r="J2878" s="8"/>
      <c r="R2878" s="8"/>
      <c r="Z2878" s="6"/>
    </row>
    <row r="2879" spans="3:26" x14ac:dyDescent="0.25">
      <c r="C2879" s="2"/>
      <c r="J2879" s="8"/>
      <c r="R2879" s="8"/>
      <c r="Z2879" s="6"/>
    </row>
    <row r="2880" spans="3:26" x14ac:dyDescent="0.25">
      <c r="C2880" s="2"/>
      <c r="J2880" s="8"/>
      <c r="R2880" s="8"/>
      <c r="Z2880" s="6"/>
    </row>
    <row r="2881" spans="3:26" x14ac:dyDescent="0.25">
      <c r="C2881" s="2"/>
      <c r="J2881" s="8"/>
      <c r="R2881" s="8"/>
      <c r="Z2881" s="6"/>
    </row>
    <row r="2882" spans="3:26" x14ac:dyDescent="0.25">
      <c r="C2882" s="2"/>
      <c r="J2882" s="8"/>
      <c r="R2882" s="8"/>
      <c r="Z2882" s="6"/>
    </row>
    <row r="2883" spans="3:26" x14ac:dyDescent="0.25">
      <c r="C2883" s="2"/>
      <c r="J2883" s="8"/>
      <c r="R2883" s="8"/>
      <c r="Z2883" s="6"/>
    </row>
    <row r="2884" spans="3:26" x14ac:dyDescent="0.25">
      <c r="C2884" s="2"/>
      <c r="J2884" s="8"/>
      <c r="R2884" s="8"/>
      <c r="Z2884" s="6"/>
    </row>
    <row r="2885" spans="3:26" x14ac:dyDescent="0.25">
      <c r="C2885" s="2"/>
      <c r="J2885" s="8"/>
      <c r="R2885" s="8"/>
      <c r="Z2885" s="6"/>
    </row>
    <row r="2886" spans="3:26" x14ac:dyDescent="0.25">
      <c r="C2886" s="2"/>
      <c r="J2886" s="8"/>
      <c r="R2886" s="8"/>
      <c r="Z2886" s="6"/>
    </row>
    <row r="2887" spans="3:26" x14ac:dyDescent="0.25">
      <c r="C2887" s="2"/>
      <c r="J2887" s="8"/>
      <c r="R2887" s="8"/>
      <c r="Z2887" s="6"/>
    </row>
    <row r="2888" spans="3:26" x14ac:dyDescent="0.25">
      <c r="C2888" s="2"/>
      <c r="J2888" s="8"/>
      <c r="R2888" s="8"/>
      <c r="Z2888" s="6"/>
    </row>
    <row r="2889" spans="3:26" x14ac:dyDescent="0.25">
      <c r="C2889" s="2"/>
      <c r="J2889" s="8"/>
      <c r="R2889" s="8"/>
      <c r="Z2889" s="6"/>
    </row>
    <row r="2890" spans="3:26" x14ac:dyDescent="0.25">
      <c r="C2890" s="2"/>
      <c r="J2890" s="8"/>
      <c r="R2890" s="8"/>
      <c r="Z2890" s="6"/>
    </row>
    <row r="2891" spans="3:26" x14ac:dyDescent="0.25">
      <c r="C2891" s="2"/>
      <c r="J2891" s="8"/>
      <c r="R2891" s="8"/>
      <c r="Z2891" s="6"/>
    </row>
    <row r="2892" spans="3:26" x14ac:dyDescent="0.25">
      <c r="C2892" s="2"/>
      <c r="J2892" s="8"/>
      <c r="R2892" s="8"/>
      <c r="Z2892" s="6"/>
    </row>
    <row r="2893" spans="3:26" x14ac:dyDescent="0.25">
      <c r="C2893" s="2"/>
      <c r="J2893" s="8"/>
      <c r="R2893" s="8"/>
      <c r="Z2893" s="6"/>
    </row>
    <row r="2894" spans="3:26" x14ac:dyDescent="0.25">
      <c r="C2894" s="2"/>
      <c r="J2894" s="8"/>
      <c r="R2894" s="8"/>
      <c r="Z2894" s="6"/>
    </row>
    <row r="2895" spans="3:26" x14ac:dyDescent="0.25">
      <c r="C2895" s="2"/>
      <c r="J2895" s="8"/>
      <c r="R2895" s="8"/>
      <c r="Z2895" s="6"/>
    </row>
    <row r="2896" spans="3:26" x14ac:dyDescent="0.25">
      <c r="C2896" s="2"/>
      <c r="J2896" s="8"/>
      <c r="R2896" s="8"/>
      <c r="Z2896" s="6"/>
    </row>
    <row r="2897" spans="3:26" x14ac:dyDescent="0.25">
      <c r="C2897" s="2"/>
      <c r="J2897" s="8"/>
      <c r="R2897" s="8"/>
      <c r="Z2897" s="6"/>
    </row>
    <row r="2898" spans="3:26" x14ac:dyDescent="0.25">
      <c r="C2898" s="2"/>
      <c r="J2898" s="8"/>
      <c r="R2898" s="8"/>
      <c r="Z2898" s="6"/>
    </row>
    <row r="2899" spans="3:26" x14ac:dyDescent="0.25">
      <c r="C2899" s="2"/>
      <c r="J2899" s="8"/>
      <c r="R2899" s="8"/>
      <c r="Z2899" s="6"/>
    </row>
    <row r="2900" spans="3:26" x14ac:dyDescent="0.25">
      <c r="C2900" s="2"/>
      <c r="J2900" s="8"/>
      <c r="R2900" s="8"/>
      <c r="Z2900" s="6"/>
    </row>
    <row r="2901" spans="3:26" x14ac:dyDescent="0.25">
      <c r="C2901" s="2"/>
      <c r="J2901" s="8"/>
      <c r="R2901" s="8"/>
      <c r="Z2901" s="6"/>
    </row>
    <row r="2902" spans="3:26" x14ac:dyDescent="0.25">
      <c r="C2902" s="2"/>
      <c r="J2902" s="8"/>
      <c r="R2902" s="8"/>
      <c r="Z2902" s="6"/>
    </row>
    <row r="2903" spans="3:26" x14ac:dyDescent="0.25">
      <c r="C2903" s="2"/>
      <c r="J2903" s="8"/>
      <c r="R2903" s="8"/>
      <c r="Z2903" s="6"/>
    </row>
    <row r="2904" spans="3:26" x14ac:dyDescent="0.25">
      <c r="C2904" s="2"/>
      <c r="J2904" s="8"/>
      <c r="R2904" s="8"/>
      <c r="Z2904" s="6"/>
    </row>
    <row r="2905" spans="3:26" x14ac:dyDescent="0.25">
      <c r="C2905" s="2"/>
      <c r="J2905" s="8"/>
      <c r="R2905" s="8"/>
      <c r="Z2905" s="6"/>
    </row>
    <row r="2906" spans="3:26" x14ac:dyDescent="0.25">
      <c r="C2906" s="2"/>
      <c r="J2906" s="8"/>
      <c r="R2906" s="8"/>
      <c r="Z2906" s="6"/>
    </row>
    <row r="2907" spans="3:26" x14ac:dyDescent="0.25">
      <c r="C2907" s="2"/>
      <c r="J2907" s="8"/>
      <c r="R2907" s="8"/>
      <c r="Z2907" s="6"/>
    </row>
    <row r="2908" spans="3:26" x14ac:dyDescent="0.25">
      <c r="C2908" s="2"/>
      <c r="J2908" s="8"/>
      <c r="R2908" s="8"/>
      <c r="Z2908" s="6"/>
    </row>
    <row r="2909" spans="3:26" x14ac:dyDescent="0.25">
      <c r="C2909" s="2"/>
      <c r="J2909" s="8"/>
      <c r="R2909" s="8"/>
      <c r="Z2909" s="6"/>
    </row>
    <row r="2910" spans="3:26" x14ac:dyDescent="0.25">
      <c r="C2910" s="2"/>
      <c r="J2910" s="8"/>
      <c r="R2910" s="8"/>
      <c r="Z2910" s="6"/>
    </row>
    <row r="2911" spans="3:26" x14ac:dyDescent="0.25">
      <c r="C2911" s="2"/>
      <c r="J2911" s="8"/>
      <c r="R2911" s="8"/>
      <c r="Z2911" s="6"/>
    </row>
    <row r="2912" spans="3:26" x14ac:dyDescent="0.25">
      <c r="C2912" s="2"/>
      <c r="J2912" s="8"/>
      <c r="R2912" s="8"/>
      <c r="Z2912" s="6"/>
    </row>
    <row r="2913" spans="3:26" x14ac:dyDescent="0.25">
      <c r="C2913" s="2"/>
      <c r="J2913" s="8"/>
      <c r="R2913" s="8"/>
      <c r="Z2913" s="6"/>
    </row>
    <row r="2914" spans="3:26" x14ac:dyDescent="0.25">
      <c r="C2914" s="2"/>
      <c r="J2914" s="8"/>
      <c r="R2914" s="8"/>
      <c r="Z2914" s="6"/>
    </row>
    <row r="2915" spans="3:26" x14ac:dyDescent="0.25">
      <c r="C2915" s="2"/>
      <c r="J2915" s="8"/>
      <c r="R2915" s="8"/>
      <c r="Z2915" s="6"/>
    </row>
    <row r="2916" spans="3:26" x14ac:dyDescent="0.25">
      <c r="C2916" s="2"/>
      <c r="J2916" s="8"/>
      <c r="R2916" s="8"/>
      <c r="Z2916" s="6"/>
    </row>
    <row r="2917" spans="3:26" x14ac:dyDescent="0.25">
      <c r="C2917" s="2"/>
      <c r="J2917" s="8"/>
      <c r="R2917" s="8"/>
      <c r="Z2917" s="6"/>
    </row>
    <row r="2918" spans="3:26" x14ac:dyDescent="0.25">
      <c r="C2918" s="2"/>
      <c r="J2918" s="8"/>
      <c r="R2918" s="8"/>
      <c r="Z2918" s="6"/>
    </row>
    <row r="2919" spans="3:26" x14ac:dyDescent="0.25">
      <c r="C2919" s="2"/>
      <c r="J2919" s="8"/>
      <c r="R2919" s="8"/>
      <c r="Z2919" s="6"/>
    </row>
    <row r="2920" spans="3:26" x14ac:dyDescent="0.25">
      <c r="C2920" s="2"/>
      <c r="J2920" s="8"/>
      <c r="R2920" s="8"/>
      <c r="Z2920" s="6"/>
    </row>
    <row r="2921" spans="3:26" x14ac:dyDescent="0.25">
      <c r="C2921" s="2"/>
      <c r="J2921" s="8"/>
      <c r="R2921" s="8"/>
      <c r="Z2921" s="6"/>
    </row>
    <row r="2922" spans="3:26" x14ac:dyDescent="0.25">
      <c r="C2922" s="2"/>
      <c r="J2922" s="8"/>
      <c r="R2922" s="8"/>
      <c r="Z2922" s="6"/>
    </row>
    <row r="2923" spans="3:26" x14ac:dyDescent="0.25">
      <c r="C2923" s="2"/>
      <c r="J2923" s="8"/>
      <c r="R2923" s="8"/>
      <c r="Z2923" s="6"/>
    </row>
    <row r="2924" spans="3:26" x14ac:dyDescent="0.25">
      <c r="C2924" s="2"/>
      <c r="J2924" s="8"/>
      <c r="R2924" s="8"/>
      <c r="Z2924" s="6"/>
    </row>
    <row r="2925" spans="3:26" x14ac:dyDescent="0.25">
      <c r="C2925" s="2"/>
      <c r="J2925" s="8"/>
      <c r="R2925" s="8"/>
      <c r="Z2925" s="6"/>
    </row>
    <row r="2926" spans="3:26" x14ac:dyDescent="0.25">
      <c r="C2926" s="2"/>
      <c r="J2926" s="8"/>
      <c r="R2926" s="8"/>
      <c r="Z2926" s="6"/>
    </row>
    <row r="2927" spans="3:26" x14ac:dyDescent="0.25">
      <c r="C2927" s="2"/>
      <c r="J2927" s="8"/>
      <c r="R2927" s="8"/>
      <c r="Z2927" s="6"/>
    </row>
    <row r="2928" spans="3:26" x14ac:dyDescent="0.25">
      <c r="C2928" s="2"/>
      <c r="J2928" s="8"/>
      <c r="R2928" s="8"/>
      <c r="Z2928" s="6"/>
    </row>
    <row r="2929" spans="3:26" x14ac:dyDescent="0.25">
      <c r="C2929" s="2"/>
      <c r="J2929" s="8"/>
      <c r="R2929" s="8"/>
      <c r="Z2929" s="6"/>
    </row>
    <row r="2930" spans="3:26" x14ac:dyDescent="0.25">
      <c r="C2930" s="2"/>
      <c r="J2930" s="8"/>
      <c r="R2930" s="8"/>
      <c r="Z2930" s="6"/>
    </row>
    <row r="2931" spans="3:26" x14ac:dyDescent="0.25">
      <c r="C2931" s="2"/>
      <c r="J2931" s="8"/>
      <c r="R2931" s="8"/>
      <c r="Z2931" s="6"/>
    </row>
    <row r="2932" spans="3:26" x14ac:dyDescent="0.25">
      <c r="C2932" s="2"/>
      <c r="J2932" s="8"/>
      <c r="R2932" s="8"/>
      <c r="Z2932" s="6"/>
    </row>
    <row r="2933" spans="3:26" x14ac:dyDescent="0.25">
      <c r="C2933" s="2"/>
      <c r="J2933" s="8"/>
      <c r="R2933" s="8"/>
      <c r="Y2933" s="3"/>
      <c r="Z2933" s="6"/>
    </row>
    <row r="2934" spans="3:26" x14ac:dyDescent="0.25">
      <c r="C2934" s="2"/>
      <c r="J2934" s="8"/>
      <c r="R2934" s="8"/>
      <c r="Z2934" s="6"/>
    </row>
    <row r="2935" spans="3:26" x14ac:dyDescent="0.25">
      <c r="C2935" s="2"/>
      <c r="J2935" s="8"/>
      <c r="R2935" s="8"/>
      <c r="Z2935" s="6"/>
    </row>
    <row r="2936" spans="3:26" x14ac:dyDescent="0.25">
      <c r="C2936" s="2"/>
      <c r="J2936" s="8"/>
      <c r="R2936" s="8"/>
      <c r="Z2936" s="6"/>
    </row>
    <row r="2937" spans="3:26" x14ac:dyDescent="0.25">
      <c r="C2937" s="2"/>
      <c r="J2937" s="8"/>
      <c r="R2937" s="8"/>
      <c r="Z2937" s="6"/>
    </row>
    <row r="2938" spans="3:26" x14ac:dyDescent="0.25">
      <c r="C2938" s="2"/>
      <c r="J2938" s="8"/>
      <c r="R2938" s="8"/>
      <c r="Z2938" s="6"/>
    </row>
    <row r="2939" spans="3:26" x14ac:dyDescent="0.25">
      <c r="C2939" s="2"/>
      <c r="J2939" s="8"/>
      <c r="R2939" s="8"/>
      <c r="Z2939" s="6"/>
    </row>
    <row r="2940" spans="3:26" x14ac:dyDescent="0.25">
      <c r="C2940" s="2"/>
      <c r="J2940" s="8"/>
      <c r="R2940" s="8"/>
      <c r="Z2940" s="6"/>
    </row>
    <row r="2941" spans="3:26" x14ac:dyDescent="0.25">
      <c r="C2941" s="2"/>
      <c r="J2941" s="8"/>
      <c r="R2941" s="8"/>
      <c r="Z2941" s="6"/>
    </row>
    <row r="2942" spans="3:26" x14ac:dyDescent="0.25">
      <c r="C2942" s="2"/>
      <c r="J2942" s="8"/>
      <c r="R2942" s="8"/>
      <c r="Z2942" s="6"/>
    </row>
    <row r="2943" spans="3:26" x14ac:dyDescent="0.25">
      <c r="C2943" s="2"/>
      <c r="J2943" s="8"/>
      <c r="R2943" s="8"/>
      <c r="Z2943" s="6"/>
    </row>
    <row r="2944" spans="3:26" x14ac:dyDescent="0.25">
      <c r="C2944" s="2"/>
      <c r="J2944" s="8"/>
      <c r="R2944" s="8"/>
      <c r="Z2944" s="6"/>
    </row>
    <row r="2945" spans="3:26" x14ac:dyDescent="0.25">
      <c r="C2945" s="2"/>
      <c r="J2945" s="8"/>
      <c r="R2945" s="8"/>
      <c r="Z2945" s="6"/>
    </row>
    <row r="2946" spans="3:26" x14ac:dyDescent="0.25">
      <c r="C2946" s="2"/>
      <c r="J2946" s="8"/>
      <c r="R2946" s="8"/>
      <c r="Z2946" s="6"/>
    </row>
    <row r="2947" spans="3:26" x14ac:dyDescent="0.25">
      <c r="C2947" s="2"/>
      <c r="J2947" s="8"/>
      <c r="R2947" s="8"/>
      <c r="Z2947" s="6"/>
    </row>
    <row r="2948" spans="3:26" x14ac:dyDescent="0.25">
      <c r="C2948" s="2"/>
      <c r="J2948" s="8"/>
      <c r="R2948" s="8"/>
      <c r="Z2948" s="6"/>
    </row>
    <row r="2949" spans="3:26" x14ac:dyDescent="0.25">
      <c r="C2949" s="2"/>
      <c r="J2949" s="8"/>
      <c r="R2949" s="8"/>
      <c r="Z2949" s="6"/>
    </row>
    <row r="2950" spans="3:26" x14ac:dyDescent="0.25">
      <c r="C2950" s="2"/>
      <c r="J2950" s="8"/>
      <c r="R2950" s="8"/>
      <c r="Z2950" s="6"/>
    </row>
    <row r="2951" spans="3:26" x14ac:dyDescent="0.25">
      <c r="C2951" s="2"/>
      <c r="J2951" s="8"/>
      <c r="R2951" s="8"/>
      <c r="Z2951" s="6"/>
    </row>
    <row r="2952" spans="3:26" x14ac:dyDescent="0.25">
      <c r="C2952" s="2"/>
      <c r="J2952" s="8"/>
      <c r="R2952" s="8"/>
      <c r="Z2952" s="6"/>
    </row>
    <row r="2953" spans="3:26" x14ac:dyDescent="0.25">
      <c r="C2953" s="2"/>
      <c r="J2953" s="8"/>
      <c r="R2953" s="8"/>
      <c r="Z2953" s="6"/>
    </row>
    <row r="2954" spans="3:26" x14ac:dyDescent="0.25">
      <c r="C2954" s="2"/>
      <c r="J2954" s="8"/>
      <c r="R2954" s="8"/>
      <c r="Z2954" s="6"/>
    </row>
    <row r="2955" spans="3:26" x14ac:dyDescent="0.25">
      <c r="C2955" s="2"/>
      <c r="J2955" s="8"/>
      <c r="R2955" s="8"/>
      <c r="Z2955" s="6"/>
    </row>
    <row r="2956" spans="3:26" x14ac:dyDescent="0.25">
      <c r="C2956" s="2"/>
      <c r="J2956" s="8"/>
      <c r="R2956" s="8"/>
      <c r="Z2956" s="6"/>
    </row>
    <row r="2957" spans="3:26" x14ac:dyDescent="0.25">
      <c r="C2957" s="2"/>
      <c r="J2957" s="8"/>
      <c r="R2957" s="8"/>
      <c r="Z2957" s="6"/>
    </row>
    <row r="2958" spans="3:26" x14ac:dyDescent="0.25">
      <c r="C2958" s="2"/>
      <c r="J2958" s="8"/>
      <c r="R2958" s="8"/>
      <c r="Z2958" s="6"/>
    </row>
    <row r="2959" spans="3:26" x14ac:dyDescent="0.25">
      <c r="C2959" s="2"/>
      <c r="J2959" s="8"/>
      <c r="R2959" s="8"/>
      <c r="Z2959" s="6"/>
    </row>
    <row r="2960" spans="3:26" x14ac:dyDescent="0.25">
      <c r="C2960" s="2"/>
      <c r="J2960" s="8"/>
      <c r="R2960" s="8"/>
      <c r="Z2960" s="6"/>
    </row>
    <row r="2961" spans="3:26" x14ac:dyDescent="0.25">
      <c r="C2961" s="2"/>
      <c r="J2961" s="8"/>
      <c r="R2961" s="8"/>
      <c r="Z2961" s="6"/>
    </row>
    <row r="2962" spans="3:26" x14ac:dyDescent="0.25">
      <c r="C2962" s="2"/>
      <c r="J2962" s="8"/>
      <c r="R2962" s="8"/>
      <c r="Z2962" s="6"/>
    </row>
    <row r="2963" spans="3:26" x14ac:dyDescent="0.25">
      <c r="C2963" s="2"/>
      <c r="J2963" s="8"/>
      <c r="R2963" s="8"/>
      <c r="Z2963" s="6"/>
    </row>
    <row r="2964" spans="3:26" x14ac:dyDescent="0.25">
      <c r="C2964" s="2"/>
      <c r="J2964" s="8"/>
      <c r="R2964" s="8"/>
      <c r="Z2964" s="6"/>
    </row>
    <row r="2965" spans="3:26" x14ac:dyDescent="0.25">
      <c r="C2965" s="2"/>
      <c r="J2965" s="8"/>
      <c r="R2965" s="8"/>
      <c r="Z2965" s="6"/>
    </row>
    <row r="2966" spans="3:26" x14ac:dyDescent="0.25">
      <c r="C2966" s="2"/>
      <c r="J2966" s="8"/>
      <c r="R2966" s="8"/>
      <c r="Z2966" s="6"/>
    </row>
    <row r="2967" spans="3:26" x14ac:dyDescent="0.25">
      <c r="C2967" s="2"/>
      <c r="J2967" s="8"/>
      <c r="R2967" s="8"/>
      <c r="Z2967" s="6"/>
    </row>
    <row r="2968" spans="3:26" x14ac:dyDescent="0.25">
      <c r="C2968" s="2"/>
      <c r="J2968" s="8"/>
      <c r="R2968" s="8"/>
      <c r="Z2968" s="6"/>
    </row>
    <row r="2969" spans="3:26" x14ac:dyDescent="0.25">
      <c r="C2969" s="2"/>
      <c r="J2969" s="8"/>
      <c r="R2969" s="8"/>
      <c r="Z2969" s="6"/>
    </row>
    <row r="2970" spans="3:26" x14ac:dyDescent="0.25">
      <c r="C2970" s="2"/>
      <c r="J2970" s="8"/>
      <c r="R2970" s="8"/>
      <c r="Z2970" s="6"/>
    </row>
    <row r="2971" spans="3:26" x14ac:dyDescent="0.25">
      <c r="C2971" s="2"/>
      <c r="J2971" s="8"/>
      <c r="R2971" s="8"/>
      <c r="Z2971" s="6"/>
    </row>
    <row r="2972" spans="3:26" x14ac:dyDescent="0.25">
      <c r="C2972" s="2"/>
      <c r="J2972" s="8"/>
      <c r="R2972" s="8"/>
      <c r="Z2972" s="6"/>
    </row>
    <row r="2973" spans="3:26" x14ac:dyDescent="0.25">
      <c r="C2973" s="2"/>
      <c r="J2973" s="8"/>
      <c r="R2973" s="8"/>
      <c r="Z2973" s="6"/>
    </row>
    <row r="2974" spans="3:26" x14ac:dyDescent="0.25">
      <c r="C2974" s="2"/>
      <c r="J2974" s="8"/>
      <c r="R2974" s="8"/>
      <c r="Z2974" s="6"/>
    </row>
    <row r="2975" spans="3:26" x14ac:dyDescent="0.25">
      <c r="C2975" s="2"/>
      <c r="J2975" s="8"/>
      <c r="R2975" s="8"/>
      <c r="Z2975" s="6"/>
    </row>
    <row r="2976" spans="3:26" x14ac:dyDescent="0.25">
      <c r="C2976" s="2"/>
      <c r="J2976" s="8"/>
      <c r="R2976" s="8"/>
      <c r="Z2976" s="6"/>
    </row>
    <row r="2977" spans="3:26" x14ac:dyDescent="0.25">
      <c r="C2977" s="2"/>
      <c r="J2977" s="8"/>
      <c r="R2977" s="8"/>
      <c r="Z2977" s="6"/>
    </row>
    <row r="2978" spans="3:26" x14ac:dyDescent="0.25">
      <c r="C2978" s="2"/>
      <c r="J2978" s="8"/>
      <c r="R2978" s="8"/>
      <c r="Z2978" s="6"/>
    </row>
    <row r="2979" spans="3:26" x14ac:dyDescent="0.25">
      <c r="C2979" s="2"/>
      <c r="J2979" s="8"/>
      <c r="R2979" s="8"/>
      <c r="Z2979" s="6"/>
    </row>
    <row r="2980" spans="3:26" x14ac:dyDescent="0.25">
      <c r="C2980" s="2"/>
      <c r="J2980" s="8"/>
      <c r="R2980" s="8"/>
      <c r="Z2980" s="6"/>
    </row>
    <row r="2981" spans="3:26" x14ac:dyDescent="0.25">
      <c r="C2981" s="2"/>
      <c r="J2981" s="8"/>
      <c r="R2981" s="8"/>
      <c r="Z2981" s="6"/>
    </row>
    <row r="2982" spans="3:26" x14ac:dyDescent="0.25">
      <c r="C2982" s="2"/>
      <c r="J2982" s="8"/>
      <c r="R2982" s="8"/>
      <c r="Z2982" s="6"/>
    </row>
    <row r="2983" spans="3:26" x14ac:dyDescent="0.25">
      <c r="C2983" s="2"/>
      <c r="J2983" s="8"/>
      <c r="R2983" s="8"/>
      <c r="Z2983" s="6"/>
    </row>
    <row r="2984" spans="3:26" x14ac:dyDescent="0.25">
      <c r="C2984" s="2"/>
      <c r="J2984" s="8"/>
      <c r="R2984" s="8"/>
      <c r="Z2984" s="6"/>
    </row>
    <row r="2985" spans="3:26" x14ac:dyDescent="0.25">
      <c r="C2985" s="2"/>
      <c r="J2985" s="8"/>
      <c r="R2985" s="8"/>
      <c r="Z2985" s="6"/>
    </row>
    <row r="2986" spans="3:26" x14ac:dyDescent="0.25">
      <c r="C2986" s="2"/>
      <c r="J2986" s="8"/>
      <c r="R2986" s="8"/>
      <c r="Z2986" s="6"/>
    </row>
    <row r="2987" spans="3:26" x14ac:dyDescent="0.25">
      <c r="C2987" s="2"/>
      <c r="J2987" s="8"/>
      <c r="R2987" s="8"/>
      <c r="Z2987" s="6"/>
    </row>
    <row r="2988" spans="3:26" x14ac:dyDescent="0.25">
      <c r="C2988" s="2"/>
      <c r="J2988" s="8"/>
      <c r="R2988" s="8"/>
      <c r="Z2988" s="6"/>
    </row>
    <row r="2989" spans="3:26" x14ac:dyDescent="0.25">
      <c r="C2989" s="2"/>
      <c r="J2989" s="8"/>
      <c r="R2989" s="8"/>
      <c r="Z2989" s="6"/>
    </row>
    <row r="2990" spans="3:26" x14ac:dyDescent="0.25">
      <c r="C2990" s="2"/>
      <c r="J2990" s="8"/>
      <c r="R2990" s="8"/>
      <c r="Z2990" s="6"/>
    </row>
    <row r="2991" spans="3:26" x14ac:dyDescent="0.25">
      <c r="C2991" s="2"/>
      <c r="J2991" s="8"/>
      <c r="R2991" s="8"/>
      <c r="Z2991" s="6"/>
    </row>
    <row r="2992" spans="3:26" x14ac:dyDescent="0.25">
      <c r="C2992" s="2"/>
      <c r="J2992" s="8"/>
      <c r="R2992" s="8"/>
      <c r="Z2992" s="6"/>
    </row>
    <row r="2993" spans="3:26" x14ac:dyDescent="0.25">
      <c r="C2993" s="2"/>
      <c r="J2993" s="8"/>
      <c r="R2993" s="8"/>
      <c r="Z2993" s="6"/>
    </row>
    <row r="2994" spans="3:26" x14ac:dyDescent="0.25">
      <c r="C2994" s="2"/>
      <c r="J2994" s="8"/>
      <c r="R2994" s="8"/>
      <c r="Z2994" s="6"/>
    </row>
    <row r="2995" spans="3:26" x14ac:dyDescent="0.25">
      <c r="C2995" s="2"/>
      <c r="J2995" s="8"/>
      <c r="R2995" s="8"/>
      <c r="Z2995" s="6"/>
    </row>
    <row r="2996" spans="3:26" x14ac:dyDescent="0.25">
      <c r="C2996" s="2"/>
      <c r="J2996" s="8"/>
      <c r="R2996" s="8"/>
      <c r="Z2996" s="6"/>
    </row>
    <row r="2997" spans="3:26" x14ac:dyDescent="0.25">
      <c r="C2997" s="2"/>
      <c r="J2997" s="8"/>
      <c r="R2997" s="8"/>
      <c r="Z2997" s="6"/>
    </row>
    <row r="2998" spans="3:26" x14ac:dyDescent="0.25">
      <c r="C2998" s="2"/>
      <c r="J2998" s="8"/>
      <c r="R2998" s="8"/>
      <c r="Z2998" s="6"/>
    </row>
    <row r="2999" spans="3:26" x14ac:dyDescent="0.25">
      <c r="C2999" s="2"/>
      <c r="J2999" s="8"/>
      <c r="R2999" s="8"/>
      <c r="Z2999" s="6"/>
    </row>
    <row r="3000" spans="3:26" x14ac:dyDescent="0.25">
      <c r="C3000" s="2"/>
      <c r="J3000" s="8"/>
      <c r="R3000" s="8"/>
      <c r="Z3000" s="6"/>
    </row>
    <row r="3001" spans="3:26" x14ac:dyDescent="0.25">
      <c r="C3001" s="2"/>
      <c r="J3001" s="8"/>
      <c r="R3001" s="8"/>
      <c r="Z3001" s="6"/>
    </row>
    <row r="3002" spans="3:26" x14ac:dyDescent="0.25">
      <c r="C3002" s="2"/>
      <c r="J3002" s="8"/>
      <c r="R3002" s="8"/>
      <c r="Z3002" s="6"/>
    </row>
    <row r="3003" spans="3:26" x14ac:dyDescent="0.25">
      <c r="C3003" s="2"/>
      <c r="J3003" s="8"/>
      <c r="R3003" s="8"/>
      <c r="Z3003" s="6"/>
    </row>
    <row r="3004" spans="3:26" x14ac:dyDescent="0.25">
      <c r="C3004" s="2"/>
      <c r="J3004" s="8"/>
      <c r="R3004" s="8"/>
      <c r="Z3004" s="6"/>
    </row>
    <row r="3005" spans="3:26" x14ac:dyDescent="0.25">
      <c r="C3005" s="2"/>
      <c r="J3005" s="8"/>
      <c r="R3005" s="8"/>
      <c r="Z3005" s="6"/>
    </row>
    <row r="3006" spans="3:26" x14ac:dyDescent="0.25">
      <c r="C3006" s="2"/>
      <c r="J3006" s="8"/>
      <c r="R3006" s="8"/>
      <c r="Z3006" s="6"/>
    </row>
    <row r="3007" spans="3:26" x14ac:dyDescent="0.25">
      <c r="C3007" s="2"/>
      <c r="J3007" s="8"/>
      <c r="R3007" s="8"/>
      <c r="Z3007" s="6"/>
    </row>
    <row r="3008" spans="3:26" x14ac:dyDescent="0.25">
      <c r="C3008" s="2"/>
      <c r="J3008" s="8"/>
      <c r="R3008" s="8"/>
      <c r="Z3008" s="6"/>
    </row>
    <row r="3009" spans="3:26" x14ac:dyDescent="0.25">
      <c r="C3009" s="2"/>
      <c r="J3009" s="8"/>
      <c r="R3009" s="8"/>
      <c r="Z3009" s="6"/>
    </row>
    <row r="3010" spans="3:26" x14ac:dyDescent="0.25">
      <c r="C3010" s="2"/>
      <c r="J3010" s="8"/>
      <c r="R3010" s="8"/>
      <c r="Z3010" s="6"/>
    </row>
    <row r="3011" spans="3:26" x14ac:dyDescent="0.25">
      <c r="C3011" s="2"/>
      <c r="J3011" s="8"/>
      <c r="R3011" s="8"/>
      <c r="Z3011" s="6"/>
    </row>
    <row r="3012" spans="3:26" x14ac:dyDescent="0.25">
      <c r="C3012" s="2"/>
      <c r="J3012" s="8"/>
      <c r="R3012" s="8"/>
      <c r="Z3012" s="6"/>
    </row>
    <row r="3013" spans="3:26" x14ac:dyDescent="0.25">
      <c r="C3013" s="2"/>
      <c r="J3013" s="8"/>
      <c r="R3013" s="8"/>
      <c r="Z3013" s="6"/>
    </row>
    <row r="3014" spans="3:26" x14ac:dyDescent="0.25">
      <c r="C3014" s="2"/>
      <c r="J3014" s="8"/>
      <c r="R3014" s="8"/>
      <c r="Z3014" s="6"/>
    </row>
    <row r="3015" spans="3:26" x14ac:dyDescent="0.25">
      <c r="C3015" s="2"/>
      <c r="J3015" s="8"/>
      <c r="R3015" s="8"/>
      <c r="Z3015" s="6"/>
    </row>
    <row r="3016" spans="3:26" x14ac:dyDescent="0.25">
      <c r="C3016" s="2"/>
      <c r="J3016" s="8"/>
      <c r="R3016" s="8"/>
      <c r="Z3016" s="6"/>
    </row>
    <row r="3017" spans="3:26" x14ac:dyDescent="0.25">
      <c r="C3017" s="2"/>
      <c r="J3017" s="8"/>
      <c r="R3017" s="8"/>
      <c r="Z3017" s="6"/>
    </row>
    <row r="3018" spans="3:26" x14ac:dyDescent="0.25">
      <c r="C3018" s="2"/>
      <c r="J3018" s="8"/>
      <c r="R3018" s="8"/>
      <c r="Z3018" s="6"/>
    </row>
    <row r="3019" spans="3:26" x14ac:dyDescent="0.25">
      <c r="C3019" s="2"/>
      <c r="J3019" s="8"/>
      <c r="R3019" s="8"/>
      <c r="Z3019" s="6"/>
    </row>
    <row r="3020" spans="3:26" x14ac:dyDescent="0.25">
      <c r="C3020" s="2"/>
      <c r="J3020" s="8"/>
      <c r="R3020" s="8"/>
      <c r="Z3020" s="6"/>
    </row>
    <row r="3021" spans="3:26" x14ac:dyDescent="0.25">
      <c r="C3021" s="2"/>
      <c r="J3021" s="8"/>
      <c r="R3021" s="8"/>
      <c r="Z3021" s="6"/>
    </row>
    <row r="3022" spans="3:26" x14ac:dyDescent="0.25">
      <c r="C3022" s="2"/>
      <c r="J3022" s="8"/>
      <c r="R3022" s="8"/>
      <c r="Z3022" s="6"/>
    </row>
    <row r="3023" spans="3:26" x14ac:dyDescent="0.25">
      <c r="C3023" s="2"/>
      <c r="J3023" s="8"/>
      <c r="R3023" s="8"/>
      <c r="Z3023" s="6"/>
    </row>
    <row r="3024" spans="3:26" x14ac:dyDescent="0.25">
      <c r="C3024" s="2"/>
      <c r="J3024" s="8"/>
      <c r="R3024" s="8"/>
      <c r="Z3024" s="6"/>
    </row>
    <row r="3025" spans="3:26" x14ac:dyDescent="0.25">
      <c r="C3025" s="2"/>
      <c r="J3025" s="8"/>
      <c r="R3025" s="8"/>
      <c r="Z3025" s="6"/>
    </row>
    <row r="3026" spans="3:26" x14ac:dyDescent="0.25">
      <c r="C3026" s="2"/>
      <c r="J3026" s="8"/>
      <c r="R3026" s="8"/>
      <c r="Z3026" s="6"/>
    </row>
    <row r="3027" spans="3:26" x14ac:dyDescent="0.25">
      <c r="C3027" s="2"/>
      <c r="J3027" s="8"/>
      <c r="R3027" s="8"/>
      <c r="Z3027" s="6"/>
    </row>
    <row r="3028" spans="3:26" x14ac:dyDescent="0.25">
      <c r="C3028" s="2"/>
      <c r="J3028" s="8"/>
      <c r="R3028" s="8"/>
      <c r="Z3028" s="6"/>
    </row>
    <row r="3029" spans="3:26" x14ac:dyDescent="0.25">
      <c r="C3029" s="2"/>
      <c r="J3029" s="8"/>
      <c r="R3029" s="8"/>
      <c r="Z3029" s="6"/>
    </row>
    <row r="3030" spans="3:26" x14ac:dyDescent="0.25">
      <c r="C3030" s="2"/>
      <c r="J3030" s="8"/>
      <c r="R3030" s="8"/>
      <c r="Z3030" s="6"/>
    </row>
    <row r="3031" spans="3:26" x14ac:dyDescent="0.25">
      <c r="C3031" s="2"/>
      <c r="J3031" s="8"/>
      <c r="R3031" s="8"/>
      <c r="Z3031" s="6"/>
    </row>
    <row r="3032" spans="3:26" x14ac:dyDescent="0.25">
      <c r="C3032" s="2"/>
      <c r="J3032" s="8"/>
      <c r="R3032" s="8"/>
      <c r="Z3032" s="6"/>
    </row>
    <row r="3033" spans="3:26" x14ac:dyDescent="0.25">
      <c r="C3033" s="2"/>
      <c r="J3033" s="8"/>
      <c r="R3033" s="8"/>
      <c r="Z3033" s="6"/>
    </row>
    <row r="3034" spans="3:26" x14ac:dyDescent="0.25">
      <c r="C3034" s="2"/>
      <c r="J3034" s="8"/>
      <c r="R3034" s="8"/>
      <c r="Z3034" s="6"/>
    </row>
    <row r="3035" spans="3:26" x14ac:dyDescent="0.25">
      <c r="C3035" s="2"/>
      <c r="J3035" s="8"/>
      <c r="R3035" s="8"/>
      <c r="Z3035" s="6"/>
    </row>
    <row r="3036" spans="3:26" x14ac:dyDescent="0.25">
      <c r="C3036" s="2"/>
      <c r="J3036" s="8"/>
      <c r="R3036" s="8"/>
      <c r="Z3036" s="6"/>
    </row>
    <row r="3037" spans="3:26" x14ac:dyDescent="0.25">
      <c r="C3037" s="2"/>
      <c r="J3037" s="8"/>
      <c r="R3037" s="8"/>
      <c r="Z3037" s="6"/>
    </row>
    <row r="3038" spans="3:26" x14ac:dyDescent="0.25">
      <c r="C3038" s="2"/>
      <c r="J3038" s="8"/>
      <c r="R3038" s="8"/>
      <c r="Z3038" s="6"/>
    </row>
    <row r="3039" spans="3:26" x14ac:dyDescent="0.25">
      <c r="C3039" s="2"/>
      <c r="J3039" s="8"/>
      <c r="R3039" s="8"/>
      <c r="Z3039" s="6"/>
    </row>
    <row r="3040" spans="3:26" x14ac:dyDescent="0.25">
      <c r="C3040" s="2"/>
      <c r="J3040" s="8"/>
      <c r="R3040" s="8"/>
      <c r="Z3040" s="6"/>
    </row>
    <row r="3041" spans="3:26" x14ac:dyDescent="0.25">
      <c r="C3041" s="2"/>
      <c r="J3041" s="8"/>
      <c r="R3041" s="8"/>
      <c r="Z3041" s="6"/>
    </row>
    <row r="3042" spans="3:26" x14ac:dyDescent="0.25">
      <c r="C3042" s="2"/>
      <c r="J3042" s="8"/>
      <c r="R3042" s="8"/>
      <c r="Z3042" s="6"/>
    </row>
    <row r="3043" spans="3:26" x14ac:dyDescent="0.25">
      <c r="C3043" s="2"/>
      <c r="J3043" s="8"/>
      <c r="R3043" s="8"/>
      <c r="Z3043" s="6"/>
    </row>
    <row r="3044" spans="3:26" x14ac:dyDescent="0.25">
      <c r="C3044" s="2"/>
      <c r="J3044" s="8"/>
      <c r="R3044" s="8"/>
      <c r="Z3044" s="6"/>
    </row>
    <row r="3045" spans="3:26" x14ac:dyDescent="0.25">
      <c r="C3045" s="2"/>
      <c r="J3045" s="8"/>
      <c r="R3045" s="8"/>
      <c r="Z3045" s="6"/>
    </row>
    <row r="3046" spans="3:26" x14ac:dyDescent="0.25">
      <c r="C3046" s="2"/>
      <c r="J3046" s="8"/>
      <c r="R3046" s="8"/>
      <c r="Z3046" s="6"/>
    </row>
    <row r="3047" spans="3:26" x14ac:dyDescent="0.25">
      <c r="C3047" s="2"/>
      <c r="J3047" s="8"/>
      <c r="R3047" s="8"/>
      <c r="Z3047" s="6"/>
    </row>
    <row r="3048" spans="3:26" x14ac:dyDescent="0.25">
      <c r="C3048" s="2"/>
      <c r="J3048" s="8"/>
      <c r="R3048" s="8"/>
      <c r="Z3048" s="6"/>
    </row>
    <row r="3049" spans="3:26" x14ac:dyDescent="0.25">
      <c r="C3049" s="2"/>
      <c r="J3049" s="8"/>
      <c r="R3049" s="8"/>
      <c r="Z3049" s="6"/>
    </row>
    <row r="3050" spans="3:26" x14ac:dyDescent="0.25">
      <c r="C3050" s="2"/>
      <c r="J3050" s="8"/>
      <c r="R3050" s="8"/>
      <c r="Z3050" s="6"/>
    </row>
    <row r="3051" spans="3:26" x14ac:dyDescent="0.25">
      <c r="C3051" s="2"/>
      <c r="J3051" s="8"/>
      <c r="R3051" s="8"/>
      <c r="Z3051" s="6"/>
    </row>
    <row r="3052" spans="3:26" x14ac:dyDescent="0.25">
      <c r="C3052" s="2"/>
      <c r="J3052" s="8"/>
      <c r="R3052" s="8"/>
      <c r="Z3052" s="6"/>
    </row>
    <row r="3053" spans="3:26" x14ac:dyDescent="0.25">
      <c r="C3053" s="2"/>
      <c r="J3053" s="8"/>
      <c r="R3053" s="8"/>
      <c r="Z3053" s="6"/>
    </row>
    <row r="3054" spans="3:26" x14ac:dyDescent="0.25">
      <c r="C3054" s="2"/>
      <c r="J3054" s="8"/>
      <c r="R3054" s="8"/>
      <c r="Z3054" s="6"/>
    </row>
    <row r="3055" spans="3:26" x14ac:dyDescent="0.25">
      <c r="C3055" s="2"/>
      <c r="J3055" s="8"/>
      <c r="R3055" s="8"/>
      <c r="Z3055" s="6"/>
    </row>
    <row r="3056" spans="3:26" x14ac:dyDescent="0.25">
      <c r="C3056" s="2"/>
      <c r="J3056" s="8"/>
      <c r="R3056" s="8"/>
      <c r="Z3056" s="6"/>
    </row>
    <row r="3057" spans="3:26" x14ac:dyDescent="0.25">
      <c r="C3057" s="2"/>
      <c r="J3057" s="8"/>
      <c r="R3057" s="8"/>
      <c r="Z3057" s="6"/>
    </row>
    <row r="3058" spans="3:26" x14ac:dyDescent="0.25">
      <c r="C3058" s="2"/>
      <c r="J3058" s="8"/>
      <c r="R3058" s="8"/>
      <c r="Z3058" s="6"/>
    </row>
    <row r="3059" spans="3:26" x14ac:dyDescent="0.25">
      <c r="C3059" s="2"/>
      <c r="J3059" s="8"/>
      <c r="R3059" s="8"/>
      <c r="Z3059" s="6"/>
    </row>
    <row r="3060" spans="3:26" x14ac:dyDescent="0.25">
      <c r="C3060" s="2"/>
      <c r="J3060" s="8"/>
      <c r="R3060" s="8"/>
      <c r="Z3060" s="6"/>
    </row>
    <row r="3061" spans="3:26" x14ac:dyDescent="0.25">
      <c r="C3061" s="2"/>
      <c r="J3061" s="8"/>
      <c r="R3061" s="8"/>
      <c r="Z3061" s="6"/>
    </row>
    <row r="3062" spans="3:26" x14ac:dyDescent="0.25">
      <c r="C3062" s="2"/>
      <c r="J3062" s="8"/>
      <c r="R3062" s="8"/>
      <c r="Z3062" s="6"/>
    </row>
    <row r="3063" spans="3:26" x14ac:dyDescent="0.25">
      <c r="C3063" s="2"/>
      <c r="J3063" s="8"/>
      <c r="R3063" s="8"/>
      <c r="Z3063" s="6"/>
    </row>
    <row r="3064" spans="3:26" x14ac:dyDescent="0.25">
      <c r="C3064" s="2"/>
      <c r="J3064" s="8"/>
      <c r="R3064" s="8"/>
      <c r="Z3064" s="6"/>
    </row>
    <row r="3065" spans="3:26" x14ac:dyDescent="0.25">
      <c r="C3065" s="2"/>
      <c r="J3065" s="8"/>
      <c r="R3065" s="8"/>
      <c r="Z3065" s="6"/>
    </row>
    <row r="3066" spans="3:26" x14ac:dyDescent="0.25">
      <c r="C3066" s="2"/>
      <c r="J3066" s="8"/>
      <c r="R3066" s="8"/>
      <c r="Z3066" s="6"/>
    </row>
    <row r="3067" spans="3:26" x14ac:dyDescent="0.25">
      <c r="C3067" s="2"/>
      <c r="J3067" s="8"/>
      <c r="R3067" s="8"/>
      <c r="Z3067" s="6"/>
    </row>
    <row r="3068" spans="3:26" x14ac:dyDescent="0.25">
      <c r="C3068" s="2"/>
      <c r="J3068" s="8"/>
      <c r="R3068" s="8"/>
      <c r="Z3068" s="6"/>
    </row>
    <row r="3069" spans="3:26" x14ac:dyDescent="0.25">
      <c r="C3069" s="2"/>
      <c r="J3069" s="8"/>
      <c r="R3069" s="8"/>
      <c r="Z3069" s="6"/>
    </row>
    <row r="3070" spans="3:26" x14ac:dyDescent="0.25">
      <c r="C3070" s="2"/>
      <c r="J3070" s="8"/>
      <c r="R3070" s="8"/>
      <c r="Z3070" s="6"/>
    </row>
    <row r="3071" spans="3:26" x14ac:dyDescent="0.25">
      <c r="C3071" s="2"/>
      <c r="J3071" s="8"/>
      <c r="R3071" s="8"/>
      <c r="Z3071" s="6"/>
    </row>
    <row r="3072" spans="3:26" x14ac:dyDescent="0.25">
      <c r="C3072" s="2"/>
      <c r="J3072" s="8"/>
      <c r="R3072" s="8"/>
      <c r="Z3072" s="6"/>
    </row>
    <row r="3073" spans="3:26" x14ac:dyDescent="0.25">
      <c r="C3073" s="2"/>
      <c r="J3073" s="8"/>
      <c r="R3073" s="8"/>
      <c r="Z3073" s="6"/>
    </row>
    <row r="3074" spans="3:26" x14ac:dyDescent="0.25">
      <c r="C3074" s="2"/>
      <c r="J3074" s="8"/>
      <c r="R3074" s="8"/>
      <c r="Z3074" s="6"/>
    </row>
    <row r="3075" spans="3:26" x14ac:dyDescent="0.25">
      <c r="C3075" s="2"/>
      <c r="J3075" s="8"/>
      <c r="R3075" s="8"/>
      <c r="Z3075" s="6"/>
    </row>
    <row r="3076" spans="3:26" x14ac:dyDescent="0.25">
      <c r="C3076" s="2"/>
      <c r="J3076" s="8"/>
      <c r="R3076" s="8"/>
      <c r="Z3076" s="6"/>
    </row>
    <row r="3077" spans="3:26" x14ac:dyDescent="0.25">
      <c r="C3077" s="2"/>
      <c r="J3077" s="8"/>
      <c r="R3077" s="8"/>
      <c r="Z3077" s="6"/>
    </row>
    <row r="3078" spans="3:26" x14ac:dyDescent="0.25">
      <c r="C3078" s="2"/>
      <c r="J3078" s="8"/>
      <c r="R3078" s="8"/>
      <c r="Z3078" s="6"/>
    </row>
    <row r="3079" spans="3:26" x14ac:dyDescent="0.25">
      <c r="C3079" s="2"/>
      <c r="J3079" s="8"/>
      <c r="R3079" s="8"/>
      <c r="Z3079" s="6"/>
    </row>
    <row r="3080" spans="3:26" x14ac:dyDescent="0.25">
      <c r="C3080" s="2"/>
      <c r="J3080" s="8"/>
      <c r="R3080" s="8"/>
      <c r="Z3080" s="6"/>
    </row>
    <row r="3081" spans="3:26" x14ac:dyDescent="0.25">
      <c r="C3081" s="2"/>
      <c r="J3081" s="8"/>
      <c r="R3081" s="8"/>
      <c r="Z3081" s="6"/>
    </row>
    <row r="3082" spans="3:26" x14ac:dyDescent="0.25">
      <c r="C3082" s="2"/>
      <c r="J3082" s="8"/>
      <c r="R3082" s="8"/>
      <c r="Z3082" s="6"/>
    </row>
    <row r="3083" spans="3:26" x14ac:dyDescent="0.25">
      <c r="C3083" s="2"/>
      <c r="J3083" s="8"/>
      <c r="R3083" s="8"/>
      <c r="Z3083" s="6"/>
    </row>
    <row r="3084" spans="3:26" x14ac:dyDescent="0.25">
      <c r="C3084" s="2"/>
      <c r="J3084" s="8"/>
      <c r="R3084" s="8"/>
      <c r="Z3084" s="6"/>
    </row>
    <row r="3085" spans="3:26" x14ac:dyDescent="0.25">
      <c r="C3085" s="2"/>
      <c r="J3085" s="8"/>
      <c r="R3085" s="8"/>
      <c r="Z3085" s="6"/>
    </row>
    <row r="3086" spans="3:26" x14ac:dyDescent="0.25">
      <c r="C3086" s="2"/>
      <c r="J3086" s="8"/>
      <c r="R3086" s="8"/>
      <c r="Z3086" s="6"/>
    </row>
    <row r="3087" spans="3:26" x14ac:dyDescent="0.25">
      <c r="C3087" s="2"/>
      <c r="J3087" s="8"/>
      <c r="R3087" s="8"/>
      <c r="Z3087" s="6"/>
    </row>
    <row r="3088" spans="3:26" x14ac:dyDescent="0.25">
      <c r="C3088" s="2"/>
      <c r="J3088" s="8"/>
      <c r="R3088" s="8"/>
      <c r="Z3088" s="6"/>
    </row>
    <row r="3089" spans="3:26" x14ac:dyDescent="0.25">
      <c r="C3089" s="2"/>
      <c r="J3089" s="8"/>
      <c r="R3089" s="8"/>
      <c r="Z3089" s="6"/>
    </row>
    <row r="3090" spans="3:26" x14ac:dyDescent="0.25">
      <c r="C3090" s="2"/>
      <c r="J3090" s="8"/>
      <c r="R3090" s="8"/>
      <c r="Z3090" s="6"/>
    </row>
    <row r="3091" spans="3:26" x14ac:dyDescent="0.25">
      <c r="C3091" s="2"/>
      <c r="J3091" s="8"/>
      <c r="R3091" s="8"/>
      <c r="Z3091" s="6"/>
    </row>
    <row r="3092" spans="3:26" x14ac:dyDescent="0.25">
      <c r="C3092" s="2"/>
      <c r="J3092" s="8"/>
      <c r="R3092" s="8"/>
      <c r="Z3092" s="6"/>
    </row>
    <row r="3093" spans="3:26" x14ac:dyDescent="0.25">
      <c r="C3093" s="2"/>
      <c r="J3093" s="8"/>
      <c r="R3093" s="8"/>
      <c r="Z3093" s="6"/>
    </row>
    <row r="3094" spans="3:26" x14ac:dyDescent="0.25">
      <c r="C3094" s="2"/>
      <c r="J3094" s="8"/>
      <c r="R3094" s="8"/>
      <c r="Z3094" s="6"/>
    </row>
    <row r="3095" spans="3:26" x14ac:dyDescent="0.25">
      <c r="C3095" s="2"/>
      <c r="J3095" s="8"/>
      <c r="R3095" s="8"/>
      <c r="Z3095" s="6"/>
    </row>
    <row r="3096" spans="3:26" x14ac:dyDescent="0.25">
      <c r="C3096" s="2"/>
      <c r="J3096" s="8"/>
      <c r="R3096" s="8"/>
      <c r="Z3096" s="6"/>
    </row>
    <row r="3097" spans="3:26" x14ac:dyDescent="0.25">
      <c r="C3097" s="2"/>
      <c r="J3097" s="8"/>
      <c r="R3097" s="8"/>
      <c r="Z3097" s="6"/>
    </row>
    <row r="3098" spans="3:26" x14ac:dyDescent="0.25">
      <c r="C3098" s="2"/>
      <c r="J3098" s="8"/>
      <c r="R3098" s="8"/>
      <c r="Z3098" s="6"/>
    </row>
    <row r="3099" spans="3:26" x14ac:dyDescent="0.25">
      <c r="C3099" s="2"/>
      <c r="J3099" s="8"/>
      <c r="R3099" s="8"/>
      <c r="Z3099" s="6"/>
    </row>
    <row r="3100" spans="3:26" x14ac:dyDescent="0.25">
      <c r="C3100" s="2"/>
      <c r="J3100" s="8"/>
      <c r="R3100" s="8"/>
      <c r="Z3100" s="6"/>
    </row>
    <row r="3101" spans="3:26" x14ac:dyDescent="0.25">
      <c r="C3101" s="2"/>
      <c r="J3101" s="8"/>
      <c r="R3101" s="8"/>
      <c r="Z3101" s="6"/>
    </row>
    <row r="3102" spans="3:26" x14ac:dyDescent="0.25">
      <c r="C3102" s="2"/>
      <c r="J3102" s="8"/>
      <c r="R3102" s="8"/>
      <c r="Z3102" s="6"/>
    </row>
    <row r="3103" spans="3:26" x14ac:dyDescent="0.25">
      <c r="C3103" s="2"/>
      <c r="J3103" s="8"/>
      <c r="R3103" s="8"/>
      <c r="Z3103" s="6"/>
    </row>
    <row r="3104" spans="3:26" x14ac:dyDescent="0.25">
      <c r="C3104" s="2"/>
      <c r="J3104" s="8"/>
      <c r="R3104" s="8"/>
      <c r="Z3104" s="6"/>
    </row>
    <row r="3105" spans="3:26" x14ac:dyDescent="0.25">
      <c r="C3105" s="2"/>
      <c r="J3105" s="8"/>
      <c r="R3105" s="8"/>
      <c r="Z3105" s="6"/>
    </row>
    <row r="3106" spans="3:26" x14ac:dyDescent="0.25">
      <c r="C3106" s="2"/>
      <c r="J3106" s="8"/>
      <c r="R3106" s="8"/>
      <c r="Z3106" s="6"/>
    </row>
    <row r="3107" spans="3:26" x14ac:dyDescent="0.25">
      <c r="C3107" s="2"/>
      <c r="J3107" s="8"/>
      <c r="R3107" s="8"/>
      <c r="Z3107" s="6"/>
    </row>
    <row r="3108" spans="3:26" x14ac:dyDescent="0.25">
      <c r="C3108" s="2"/>
      <c r="J3108" s="8"/>
      <c r="R3108" s="8"/>
      <c r="Z3108" s="6"/>
    </row>
    <row r="3109" spans="3:26" x14ac:dyDescent="0.25">
      <c r="C3109" s="2"/>
      <c r="J3109" s="8"/>
      <c r="R3109" s="8"/>
      <c r="Z3109" s="6"/>
    </row>
    <row r="3110" spans="3:26" x14ac:dyDescent="0.25">
      <c r="C3110" s="2"/>
      <c r="J3110" s="8"/>
      <c r="R3110" s="8"/>
      <c r="Z3110" s="6"/>
    </row>
    <row r="3111" spans="3:26" x14ac:dyDescent="0.25">
      <c r="C3111" s="2"/>
      <c r="J3111" s="8"/>
      <c r="R3111" s="8"/>
      <c r="Z3111" s="6"/>
    </row>
    <row r="3112" spans="3:26" x14ac:dyDescent="0.25">
      <c r="C3112" s="2"/>
      <c r="J3112" s="8"/>
      <c r="R3112" s="8"/>
      <c r="Z3112" s="6"/>
    </row>
    <row r="3113" spans="3:26" x14ac:dyDescent="0.25">
      <c r="C3113" s="2"/>
      <c r="J3113" s="8"/>
      <c r="R3113" s="8"/>
      <c r="Z3113" s="6"/>
    </row>
    <row r="3114" spans="3:26" x14ac:dyDescent="0.25">
      <c r="C3114" s="2"/>
      <c r="J3114" s="8"/>
      <c r="R3114" s="8"/>
      <c r="Z3114" s="6"/>
    </row>
    <row r="3115" spans="3:26" x14ac:dyDescent="0.25">
      <c r="C3115" s="2"/>
      <c r="J3115" s="8"/>
      <c r="R3115" s="8"/>
      <c r="Z3115" s="6"/>
    </row>
    <row r="3116" spans="3:26" x14ac:dyDescent="0.25">
      <c r="C3116" s="2"/>
      <c r="J3116" s="8"/>
      <c r="R3116" s="8"/>
      <c r="Z3116" s="6"/>
    </row>
    <row r="3117" spans="3:26" x14ac:dyDescent="0.25">
      <c r="C3117" s="2"/>
      <c r="J3117" s="8"/>
      <c r="R3117" s="8"/>
      <c r="Z3117" s="6"/>
    </row>
    <row r="3118" spans="3:26" x14ac:dyDescent="0.25">
      <c r="C3118" s="2"/>
      <c r="J3118" s="8"/>
      <c r="R3118" s="8"/>
      <c r="Z3118" s="6"/>
    </row>
    <row r="3119" spans="3:26" x14ac:dyDescent="0.25">
      <c r="C3119" s="2"/>
      <c r="J3119" s="8"/>
      <c r="R3119" s="8"/>
      <c r="Z3119" s="6"/>
    </row>
    <row r="3120" spans="3:26" x14ac:dyDescent="0.25">
      <c r="C3120" s="2"/>
      <c r="J3120" s="8"/>
      <c r="R3120" s="8"/>
      <c r="Z3120" s="6"/>
    </row>
    <row r="3121" spans="3:26" x14ac:dyDescent="0.25">
      <c r="C3121" s="2"/>
      <c r="J3121" s="8"/>
      <c r="R3121" s="8"/>
      <c r="Z3121" s="6"/>
    </row>
    <row r="3122" spans="3:26" x14ac:dyDescent="0.25">
      <c r="C3122" s="2"/>
      <c r="J3122" s="8"/>
      <c r="R3122" s="8"/>
      <c r="Z3122" s="6"/>
    </row>
    <row r="3123" spans="3:26" x14ac:dyDescent="0.25">
      <c r="C3123" s="2"/>
      <c r="J3123" s="8"/>
      <c r="R3123" s="8"/>
      <c r="Z3123" s="6"/>
    </row>
    <row r="3124" spans="3:26" x14ac:dyDescent="0.25">
      <c r="C3124" s="2"/>
      <c r="J3124" s="8"/>
      <c r="R3124" s="8"/>
      <c r="Z3124" s="6"/>
    </row>
    <row r="3125" spans="3:26" x14ac:dyDescent="0.25">
      <c r="C3125" s="2"/>
      <c r="J3125" s="8"/>
      <c r="R3125" s="8"/>
      <c r="Z3125" s="6"/>
    </row>
    <row r="3126" spans="3:26" x14ac:dyDescent="0.25">
      <c r="C3126" s="2"/>
      <c r="J3126" s="8"/>
      <c r="R3126" s="8"/>
      <c r="Z3126" s="6"/>
    </row>
    <row r="3127" spans="3:26" x14ac:dyDescent="0.25">
      <c r="C3127" s="2"/>
      <c r="J3127" s="8"/>
      <c r="R3127" s="8"/>
      <c r="Z3127" s="6"/>
    </row>
    <row r="3128" spans="3:26" x14ac:dyDescent="0.25">
      <c r="C3128" s="2"/>
      <c r="J3128" s="8"/>
      <c r="R3128" s="8"/>
      <c r="Z3128" s="6"/>
    </row>
    <row r="3129" spans="3:26" x14ac:dyDescent="0.25">
      <c r="C3129" s="2"/>
      <c r="J3129" s="8"/>
      <c r="R3129" s="8"/>
      <c r="Z3129" s="6"/>
    </row>
    <row r="3130" spans="3:26" x14ac:dyDescent="0.25">
      <c r="C3130" s="2"/>
      <c r="J3130" s="8"/>
      <c r="R3130" s="8"/>
      <c r="Z3130" s="6"/>
    </row>
    <row r="3131" spans="3:26" x14ac:dyDescent="0.25">
      <c r="C3131" s="2"/>
      <c r="J3131" s="8"/>
      <c r="R3131" s="8"/>
      <c r="Z3131" s="6"/>
    </row>
    <row r="3132" spans="3:26" x14ac:dyDescent="0.25">
      <c r="C3132" s="2"/>
      <c r="J3132" s="8"/>
      <c r="R3132" s="8"/>
      <c r="Z3132" s="6"/>
    </row>
    <row r="3133" spans="3:26" x14ac:dyDescent="0.25">
      <c r="C3133" s="2"/>
      <c r="J3133" s="8"/>
      <c r="R3133" s="8"/>
      <c r="Z3133" s="6"/>
    </row>
    <row r="3134" spans="3:26" x14ac:dyDescent="0.25">
      <c r="C3134" s="2"/>
      <c r="J3134" s="8"/>
      <c r="R3134" s="8"/>
      <c r="Z3134" s="6"/>
    </row>
    <row r="3135" spans="3:26" x14ac:dyDescent="0.25">
      <c r="C3135" s="2"/>
      <c r="J3135" s="8"/>
      <c r="R3135" s="8"/>
      <c r="Z3135" s="6"/>
    </row>
    <row r="3136" spans="3:26" x14ac:dyDescent="0.25">
      <c r="C3136" s="2"/>
      <c r="J3136" s="8"/>
      <c r="R3136" s="8"/>
      <c r="Z3136" s="6"/>
    </row>
    <row r="3137" spans="3:26" x14ac:dyDescent="0.25">
      <c r="C3137" s="2"/>
      <c r="J3137" s="8"/>
      <c r="R3137" s="8"/>
      <c r="Z3137" s="6"/>
    </row>
    <row r="3138" spans="3:26" x14ac:dyDescent="0.25">
      <c r="C3138" s="2"/>
      <c r="J3138" s="8"/>
      <c r="R3138" s="8"/>
      <c r="Z3138" s="6"/>
    </row>
    <row r="3139" spans="3:26" x14ac:dyDescent="0.25">
      <c r="C3139" s="2"/>
      <c r="J3139" s="8"/>
      <c r="R3139" s="8"/>
      <c r="Z3139" s="6"/>
    </row>
    <row r="3140" spans="3:26" x14ac:dyDescent="0.25">
      <c r="C3140" s="2"/>
      <c r="J3140" s="8"/>
      <c r="R3140" s="8"/>
      <c r="Z3140" s="6"/>
    </row>
    <row r="3141" spans="3:26" x14ac:dyDescent="0.25">
      <c r="C3141" s="2"/>
      <c r="J3141" s="8"/>
      <c r="R3141" s="8"/>
      <c r="Z3141" s="6"/>
    </row>
    <row r="3142" spans="3:26" x14ac:dyDescent="0.25">
      <c r="C3142" s="2"/>
      <c r="J3142" s="8"/>
      <c r="R3142" s="8"/>
      <c r="Z3142" s="6"/>
    </row>
    <row r="3143" spans="3:26" x14ac:dyDescent="0.25">
      <c r="C3143" s="2"/>
      <c r="J3143" s="8"/>
      <c r="R3143" s="8"/>
      <c r="Z3143" s="6"/>
    </row>
    <row r="3144" spans="3:26" x14ac:dyDescent="0.25">
      <c r="C3144" s="2"/>
      <c r="J3144" s="8"/>
      <c r="R3144" s="8"/>
      <c r="Z3144" s="6"/>
    </row>
    <row r="3145" spans="3:26" x14ac:dyDescent="0.25">
      <c r="C3145" s="2"/>
      <c r="J3145" s="8"/>
      <c r="R3145" s="8"/>
      <c r="Z3145" s="6"/>
    </row>
    <row r="3146" spans="3:26" x14ac:dyDescent="0.25">
      <c r="C3146" s="2"/>
      <c r="J3146" s="8"/>
      <c r="R3146" s="8"/>
      <c r="Z3146" s="6"/>
    </row>
    <row r="3147" spans="3:26" x14ac:dyDescent="0.25">
      <c r="C3147" s="2"/>
      <c r="J3147" s="8"/>
      <c r="R3147" s="8"/>
      <c r="Z3147" s="6"/>
    </row>
    <row r="3148" spans="3:26" x14ac:dyDescent="0.25">
      <c r="C3148" s="2"/>
      <c r="J3148" s="8"/>
      <c r="R3148" s="8"/>
      <c r="Z3148" s="6"/>
    </row>
    <row r="3149" spans="3:26" x14ac:dyDescent="0.25">
      <c r="C3149" s="2"/>
      <c r="J3149" s="8"/>
      <c r="R3149" s="8"/>
      <c r="Y3149" s="3"/>
      <c r="Z3149" s="6"/>
    </row>
    <row r="3150" spans="3:26" x14ac:dyDescent="0.25">
      <c r="C3150" s="2"/>
      <c r="J3150" s="8"/>
      <c r="R3150" s="8"/>
      <c r="Z3150" s="6"/>
    </row>
    <row r="3151" spans="3:26" x14ac:dyDescent="0.25">
      <c r="C3151" s="2"/>
      <c r="J3151" s="8"/>
      <c r="R3151" s="8"/>
      <c r="Z3151" s="6"/>
    </row>
    <row r="3152" spans="3:26" x14ac:dyDescent="0.25">
      <c r="C3152" s="2"/>
      <c r="J3152" s="8"/>
      <c r="R3152" s="8"/>
      <c r="Z3152" s="6"/>
    </row>
    <row r="3153" spans="3:26" x14ac:dyDescent="0.25">
      <c r="C3153" s="2"/>
      <c r="J3153" s="8"/>
      <c r="R3153" s="8"/>
      <c r="Z3153" s="6"/>
    </row>
    <row r="3154" spans="3:26" x14ac:dyDescent="0.25">
      <c r="C3154" s="2"/>
      <c r="J3154" s="8"/>
      <c r="R3154" s="8"/>
      <c r="Z3154" s="6"/>
    </row>
    <row r="3155" spans="3:26" x14ac:dyDescent="0.25">
      <c r="C3155" s="2"/>
      <c r="J3155" s="8"/>
      <c r="R3155" s="8"/>
      <c r="Z3155" s="6"/>
    </row>
    <row r="3156" spans="3:26" x14ac:dyDescent="0.25">
      <c r="C3156" s="2"/>
      <c r="J3156" s="8"/>
      <c r="R3156" s="8"/>
      <c r="Z3156" s="6"/>
    </row>
    <row r="3157" spans="3:26" x14ac:dyDescent="0.25">
      <c r="C3157" s="2"/>
      <c r="J3157" s="8"/>
      <c r="R3157" s="8"/>
      <c r="Z3157" s="6"/>
    </row>
    <row r="3158" spans="3:26" x14ac:dyDescent="0.25">
      <c r="C3158" s="2"/>
      <c r="J3158" s="8"/>
      <c r="R3158" s="8"/>
      <c r="Z3158" s="6"/>
    </row>
    <row r="3159" spans="3:26" x14ac:dyDescent="0.25">
      <c r="C3159" s="2"/>
      <c r="J3159" s="8"/>
      <c r="R3159" s="8"/>
      <c r="Z3159" s="6"/>
    </row>
    <row r="3160" spans="3:26" x14ac:dyDescent="0.25">
      <c r="C3160" s="2"/>
      <c r="J3160" s="8"/>
      <c r="R3160" s="8"/>
      <c r="Z3160" s="6"/>
    </row>
    <row r="3161" spans="3:26" x14ac:dyDescent="0.25">
      <c r="C3161" s="2"/>
      <c r="J3161" s="8"/>
      <c r="R3161" s="8"/>
      <c r="Z3161" s="6"/>
    </row>
    <row r="3162" spans="3:26" x14ac:dyDescent="0.25">
      <c r="C3162" s="2"/>
      <c r="J3162" s="8"/>
      <c r="R3162" s="8"/>
      <c r="Z3162" s="6"/>
    </row>
    <row r="3163" spans="3:26" x14ac:dyDescent="0.25">
      <c r="C3163" s="2"/>
      <c r="J3163" s="8"/>
      <c r="R3163" s="8"/>
      <c r="Z3163" s="6"/>
    </row>
    <row r="3164" spans="3:26" x14ac:dyDescent="0.25">
      <c r="C3164" s="2"/>
      <c r="J3164" s="8"/>
      <c r="R3164" s="8"/>
      <c r="Z3164" s="6"/>
    </row>
    <row r="3165" spans="3:26" x14ac:dyDescent="0.25">
      <c r="C3165" s="2"/>
      <c r="J3165" s="8"/>
      <c r="R3165" s="8"/>
      <c r="Z3165" s="6"/>
    </row>
    <row r="3166" spans="3:26" x14ac:dyDescent="0.25">
      <c r="C3166" s="2"/>
      <c r="J3166" s="8"/>
      <c r="R3166" s="8"/>
      <c r="Z3166" s="6"/>
    </row>
    <row r="3167" spans="3:26" x14ac:dyDescent="0.25">
      <c r="C3167" s="2"/>
      <c r="J3167" s="8"/>
      <c r="R3167" s="8"/>
      <c r="Z3167" s="6"/>
    </row>
    <row r="3168" spans="3:26" x14ac:dyDescent="0.25">
      <c r="C3168" s="2"/>
      <c r="J3168" s="8"/>
      <c r="R3168" s="8"/>
      <c r="Z3168" s="6"/>
    </row>
    <row r="3169" spans="3:26" x14ac:dyDescent="0.25">
      <c r="C3169" s="2"/>
      <c r="J3169" s="8"/>
      <c r="R3169" s="8"/>
      <c r="Z3169" s="6"/>
    </row>
    <row r="3170" spans="3:26" x14ac:dyDescent="0.25">
      <c r="C3170" s="2"/>
      <c r="J3170" s="8"/>
      <c r="R3170" s="8"/>
      <c r="Z3170" s="6"/>
    </row>
    <row r="3171" spans="3:26" x14ac:dyDescent="0.25">
      <c r="C3171" s="2"/>
      <c r="J3171" s="8"/>
      <c r="R3171" s="8"/>
      <c r="Z3171" s="6"/>
    </row>
    <row r="3172" spans="3:26" x14ac:dyDescent="0.25">
      <c r="C3172" s="2"/>
      <c r="J3172" s="8"/>
      <c r="R3172" s="8"/>
      <c r="Z3172" s="6"/>
    </row>
    <row r="3173" spans="3:26" x14ac:dyDescent="0.25">
      <c r="C3173" s="2"/>
      <c r="J3173" s="8"/>
      <c r="R3173" s="8"/>
      <c r="Z3173" s="6"/>
    </row>
    <row r="3174" spans="3:26" x14ac:dyDescent="0.25">
      <c r="C3174" s="2"/>
      <c r="J3174" s="8"/>
      <c r="R3174" s="8"/>
      <c r="Z3174" s="6"/>
    </row>
    <row r="3175" spans="3:26" x14ac:dyDescent="0.25">
      <c r="C3175" s="2"/>
      <c r="J3175" s="8"/>
      <c r="R3175" s="8"/>
      <c r="Z3175" s="6"/>
    </row>
    <row r="3176" spans="3:26" x14ac:dyDescent="0.25">
      <c r="C3176" s="2"/>
      <c r="J3176" s="8"/>
      <c r="R3176" s="8"/>
      <c r="Z3176" s="6"/>
    </row>
    <row r="3177" spans="3:26" x14ac:dyDescent="0.25">
      <c r="C3177" s="2"/>
      <c r="J3177" s="8"/>
      <c r="R3177" s="8"/>
      <c r="Z3177" s="6"/>
    </row>
    <row r="3178" spans="3:26" x14ac:dyDescent="0.25">
      <c r="C3178" s="2"/>
      <c r="J3178" s="8"/>
      <c r="R3178" s="8"/>
      <c r="Z3178" s="6"/>
    </row>
    <row r="3179" spans="3:26" x14ac:dyDescent="0.25">
      <c r="C3179" s="2"/>
      <c r="J3179" s="8"/>
      <c r="R3179" s="8"/>
      <c r="Z3179" s="6"/>
    </row>
    <row r="3180" spans="3:26" x14ac:dyDescent="0.25">
      <c r="C3180" s="2"/>
      <c r="J3180" s="8"/>
      <c r="R3180" s="8"/>
      <c r="Z3180" s="6"/>
    </row>
    <row r="3181" spans="3:26" x14ac:dyDescent="0.25">
      <c r="C3181" s="2"/>
      <c r="J3181" s="8"/>
      <c r="R3181" s="8"/>
      <c r="Z3181" s="6"/>
    </row>
    <row r="3182" spans="3:26" x14ac:dyDescent="0.25">
      <c r="C3182" s="2"/>
      <c r="J3182" s="8"/>
      <c r="R3182" s="8"/>
      <c r="Z3182" s="6"/>
    </row>
    <row r="3183" spans="3:26" x14ac:dyDescent="0.25">
      <c r="C3183" s="2"/>
      <c r="J3183" s="8"/>
      <c r="R3183" s="8"/>
      <c r="Z3183" s="6"/>
    </row>
    <row r="3184" spans="3:26" x14ac:dyDescent="0.25">
      <c r="C3184" s="2"/>
      <c r="J3184" s="8"/>
      <c r="R3184" s="8"/>
      <c r="Z3184" s="6"/>
    </row>
    <row r="3185" spans="3:26" x14ac:dyDescent="0.25">
      <c r="C3185" s="2"/>
      <c r="J3185" s="8"/>
      <c r="R3185" s="8"/>
      <c r="Z3185" s="6"/>
    </row>
    <row r="3186" spans="3:26" x14ac:dyDescent="0.25">
      <c r="C3186" s="2"/>
      <c r="J3186" s="8"/>
      <c r="R3186" s="8"/>
      <c r="Z3186" s="6"/>
    </row>
    <row r="3187" spans="3:26" x14ac:dyDescent="0.25">
      <c r="C3187" s="2"/>
      <c r="J3187" s="8"/>
      <c r="R3187" s="8"/>
      <c r="Z3187" s="6"/>
    </row>
    <row r="3188" spans="3:26" x14ac:dyDescent="0.25">
      <c r="C3188" s="2"/>
      <c r="J3188" s="8"/>
      <c r="R3188" s="8"/>
      <c r="Z3188" s="6"/>
    </row>
    <row r="3189" spans="3:26" x14ac:dyDescent="0.25">
      <c r="C3189" s="2"/>
      <c r="J3189" s="8"/>
      <c r="R3189" s="8"/>
      <c r="Z3189" s="6"/>
    </row>
    <row r="3190" spans="3:26" x14ac:dyDescent="0.25">
      <c r="C3190" s="2"/>
      <c r="J3190" s="8"/>
      <c r="R3190" s="8"/>
      <c r="Z3190" s="6"/>
    </row>
    <row r="3191" spans="3:26" x14ac:dyDescent="0.25">
      <c r="C3191" s="2"/>
      <c r="J3191" s="8"/>
      <c r="R3191" s="8"/>
      <c r="Z3191" s="6"/>
    </row>
    <row r="3192" spans="3:26" x14ac:dyDescent="0.25">
      <c r="C3192" s="2"/>
      <c r="J3192" s="8"/>
      <c r="R3192" s="8"/>
      <c r="Z3192" s="6"/>
    </row>
    <row r="3193" spans="3:26" x14ac:dyDescent="0.25">
      <c r="C3193" s="2"/>
      <c r="J3193" s="8"/>
      <c r="R3193" s="8"/>
      <c r="Z3193" s="6"/>
    </row>
    <row r="3194" spans="3:26" x14ac:dyDescent="0.25">
      <c r="C3194" s="2"/>
      <c r="J3194" s="8"/>
      <c r="R3194" s="8"/>
      <c r="Z3194" s="6"/>
    </row>
    <row r="3195" spans="3:26" x14ac:dyDescent="0.25">
      <c r="C3195" s="2"/>
      <c r="J3195" s="8"/>
      <c r="R3195" s="8"/>
      <c r="Z3195" s="6"/>
    </row>
    <row r="3196" spans="3:26" x14ac:dyDescent="0.25">
      <c r="C3196" s="2"/>
      <c r="J3196" s="8"/>
      <c r="R3196" s="8"/>
      <c r="Z3196" s="6"/>
    </row>
    <row r="3197" spans="3:26" x14ac:dyDescent="0.25">
      <c r="C3197" s="2"/>
      <c r="J3197" s="8"/>
      <c r="R3197" s="8"/>
      <c r="Z3197" s="6"/>
    </row>
    <row r="3198" spans="3:26" x14ac:dyDescent="0.25">
      <c r="C3198" s="2"/>
      <c r="J3198" s="8"/>
      <c r="R3198" s="8"/>
      <c r="Z3198" s="6"/>
    </row>
    <row r="3199" spans="3:26" x14ac:dyDescent="0.25">
      <c r="C3199" s="2"/>
      <c r="J3199" s="8"/>
      <c r="R3199" s="8"/>
      <c r="Z3199" s="6"/>
    </row>
    <row r="3200" spans="3:26" x14ac:dyDescent="0.25">
      <c r="C3200" s="2"/>
      <c r="J3200" s="8"/>
      <c r="R3200" s="8"/>
      <c r="Z3200" s="6"/>
    </row>
    <row r="3201" spans="3:26" x14ac:dyDescent="0.25">
      <c r="C3201" s="2"/>
      <c r="J3201" s="8"/>
      <c r="R3201" s="8"/>
      <c r="Z3201" s="6"/>
    </row>
    <row r="3202" spans="3:26" x14ac:dyDescent="0.25">
      <c r="C3202" s="2"/>
      <c r="J3202" s="8"/>
      <c r="R3202" s="8"/>
      <c r="Z3202" s="6"/>
    </row>
    <row r="3203" spans="3:26" x14ac:dyDescent="0.25">
      <c r="C3203" s="2"/>
      <c r="J3203" s="8"/>
      <c r="R3203" s="8"/>
      <c r="Z3203" s="6"/>
    </row>
    <row r="3204" spans="3:26" x14ac:dyDescent="0.25">
      <c r="C3204" s="2"/>
      <c r="J3204" s="8"/>
      <c r="R3204" s="8"/>
      <c r="Z3204" s="6"/>
    </row>
    <row r="3205" spans="3:26" x14ac:dyDescent="0.25">
      <c r="C3205" s="2"/>
      <c r="J3205" s="8"/>
      <c r="R3205" s="8"/>
      <c r="Z3205" s="6"/>
    </row>
    <row r="3206" spans="3:26" x14ac:dyDescent="0.25">
      <c r="C3206" s="2"/>
      <c r="J3206" s="8"/>
      <c r="R3206" s="8"/>
      <c r="Z3206" s="6"/>
    </row>
    <row r="3207" spans="3:26" x14ac:dyDescent="0.25">
      <c r="C3207" s="2"/>
      <c r="J3207" s="8"/>
      <c r="R3207" s="8"/>
      <c r="Z3207" s="6"/>
    </row>
    <row r="3208" spans="3:26" x14ac:dyDescent="0.25">
      <c r="C3208" s="2"/>
      <c r="J3208" s="8"/>
      <c r="R3208" s="8"/>
      <c r="Z3208" s="6"/>
    </row>
    <row r="3209" spans="3:26" x14ac:dyDescent="0.25">
      <c r="C3209" s="2"/>
      <c r="J3209" s="8"/>
      <c r="R3209" s="8"/>
      <c r="Z3209" s="6"/>
    </row>
    <row r="3210" spans="3:26" x14ac:dyDescent="0.25">
      <c r="C3210" s="2"/>
      <c r="J3210" s="8"/>
      <c r="R3210" s="8"/>
      <c r="Z3210" s="6"/>
    </row>
    <row r="3211" spans="3:26" x14ac:dyDescent="0.25">
      <c r="C3211" s="2"/>
      <c r="J3211" s="8"/>
      <c r="R3211" s="8"/>
      <c r="Z3211" s="6"/>
    </row>
    <row r="3212" spans="3:26" x14ac:dyDescent="0.25">
      <c r="C3212" s="2"/>
      <c r="J3212" s="8"/>
      <c r="R3212" s="8"/>
      <c r="Z3212" s="6"/>
    </row>
    <row r="3213" spans="3:26" x14ac:dyDescent="0.25">
      <c r="C3213" s="2"/>
      <c r="J3213" s="8"/>
      <c r="R3213" s="8"/>
      <c r="Z3213" s="6"/>
    </row>
    <row r="3214" spans="3:26" x14ac:dyDescent="0.25">
      <c r="C3214" s="2"/>
      <c r="J3214" s="8"/>
      <c r="R3214" s="8"/>
      <c r="Z3214" s="6"/>
    </row>
    <row r="3215" spans="3:26" x14ac:dyDescent="0.25">
      <c r="C3215" s="2"/>
      <c r="J3215" s="8"/>
      <c r="R3215" s="8"/>
      <c r="Z3215" s="6"/>
    </row>
    <row r="3216" spans="3:26" x14ac:dyDescent="0.25">
      <c r="C3216" s="2"/>
      <c r="J3216" s="8"/>
      <c r="R3216" s="8"/>
      <c r="Z3216" s="6"/>
    </row>
    <row r="3217" spans="3:26" x14ac:dyDescent="0.25">
      <c r="C3217" s="2"/>
      <c r="J3217" s="8"/>
      <c r="R3217" s="8"/>
      <c r="Z3217" s="6"/>
    </row>
    <row r="3218" spans="3:26" x14ac:dyDescent="0.25">
      <c r="C3218" s="2"/>
      <c r="J3218" s="8"/>
      <c r="R3218" s="8"/>
      <c r="Z3218" s="6"/>
    </row>
    <row r="3219" spans="3:26" x14ac:dyDescent="0.25">
      <c r="C3219" s="2"/>
      <c r="J3219" s="8"/>
      <c r="R3219" s="8"/>
      <c r="Z3219" s="6"/>
    </row>
    <row r="3220" spans="3:26" x14ac:dyDescent="0.25">
      <c r="C3220" s="2"/>
      <c r="J3220" s="8"/>
      <c r="R3220" s="8"/>
      <c r="Z3220" s="6"/>
    </row>
    <row r="3221" spans="3:26" x14ac:dyDescent="0.25">
      <c r="C3221" s="2"/>
      <c r="J3221" s="8"/>
      <c r="R3221" s="8"/>
      <c r="Z3221" s="6"/>
    </row>
    <row r="3222" spans="3:26" x14ac:dyDescent="0.25">
      <c r="C3222" s="2"/>
      <c r="J3222" s="8"/>
      <c r="R3222" s="8"/>
      <c r="Z3222" s="6"/>
    </row>
    <row r="3223" spans="3:26" x14ac:dyDescent="0.25">
      <c r="C3223" s="2"/>
      <c r="J3223" s="8"/>
      <c r="R3223" s="8"/>
      <c r="Z3223" s="6"/>
    </row>
    <row r="3224" spans="3:26" x14ac:dyDescent="0.25">
      <c r="C3224" s="2"/>
      <c r="J3224" s="8"/>
      <c r="R3224" s="8"/>
      <c r="Z3224" s="6"/>
    </row>
    <row r="3225" spans="3:26" x14ac:dyDescent="0.25">
      <c r="C3225" s="2"/>
      <c r="J3225" s="8"/>
      <c r="R3225" s="8"/>
      <c r="Z3225" s="6"/>
    </row>
    <row r="3226" spans="3:26" x14ac:dyDescent="0.25">
      <c r="C3226" s="2"/>
      <c r="J3226" s="8"/>
      <c r="R3226" s="8"/>
      <c r="Z3226" s="6"/>
    </row>
    <row r="3227" spans="3:26" x14ac:dyDescent="0.25">
      <c r="C3227" s="2"/>
      <c r="J3227" s="8"/>
      <c r="R3227" s="8"/>
      <c r="Z3227" s="6"/>
    </row>
    <row r="3228" spans="3:26" x14ac:dyDescent="0.25">
      <c r="C3228" s="2"/>
      <c r="J3228" s="8"/>
      <c r="R3228" s="8"/>
      <c r="Z3228" s="6"/>
    </row>
    <row r="3229" spans="3:26" x14ac:dyDescent="0.25">
      <c r="C3229" s="2"/>
      <c r="J3229" s="8"/>
      <c r="R3229" s="8"/>
      <c r="Z3229" s="6"/>
    </row>
    <row r="3230" spans="3:26" x14ac:dyDescent="0.25">
      <c r="C3230" s="2"/>
      <c r="J3230" s="8"/>
      <c r="R3230" s="8"/>
      <c r="Z3230" s="6"/>
    </row>
    <row r="3231" spans="3:26" x14ac:dyDescent="0.25">
      <c r="C3231" s="2"/>
      <c r="J3231" s="8"/>
      <c r="R3231" s="8"/>
      <c r="Z3231" s="6"/>
    </row>
    <row r="3232" spans="3:26" x14ac:dyDescent="0.25">
      <c r="C3232" s="2"/>
      <c r="J3232" s="8"/>
      <c r="R3232" s="8"/>
      <c r="Z3232" s="6"/>
    </row>
    <row r="3233" spans="3:26" x14ac:dyDescent="0.25">
      <c r="C3233" s="2"/>
      <c r="J3233" s="8"/>
      <c r="R3233" s="8"/>
      <c r="Z3233" s="6"/>
    </row>
    <row r="3234" spans="3:26" x14ac:dyDescent="0.25">
      <c r="C3234" s="2"/>
      <c r="J3234" s="8"/>
      <c r="R3234" s="8"/>
      <c r="Z3234" s="6"/>
    </row>
    <row r="3235" spans="3:26" x14ac:dyDescent="0.25">
      <c r="C3235" s="2"/>
      <c r="J3235" s="8"/>
      <c r="R3235" s="8"/>
      <c r="Z3235" s="6"/>
    </row>
    <row r="3236" spans="3:26" x14ac:dyDescent="0.25">
      <c r="C3236" s="2"/>
      <c r="J3236" s="8"/>
      <c r="R3236" s="8"/>
      <c r="Z3236" s="6"/>
    </row>
    <row r="3237" spans="3:26" x14ac:dyDescent="0.25">
      <c r="C3237" s="2"/>
      <c r="J3237" s="8"/>
      <c r="R3237" s="8"/>
      <c r="Z3237" s="6"/>
    </row>
    <row r="3238" spans="3:26" x14ac:dyDescent="0.25">
      <c r="C3238" s="2"/>
      <c r="J3238" s="8"/>
      <c r="R3238" s="8"/>
      <c r="Z3238" s="6"/>
    </row>
    <row r="3239" spans="3:26" x14ac:dyDescent="0.25">
      <c r="C3239" s="2"/>
      <c r="J3239" s="8"/>
      <c r="R3239" s="8"/>
      <c r="Z3239" s="6"/>
    </row>
    <row r="3240" spans="3:26" x14ac:dyDescent="0.25">
      <c r="C3240" s="2"/>
      <c r="J3240" s="8"/>
      <c r="R3240" s="8"/>
      <c r="Z3240" s="6"/>
    </row>
    <row r="3241" spans="3:26" x14ac:dyDescent="0.25">
      <c r="C3241" s="2"/>
      <c r="J3241" s="8"/>
      <c r="R3241" s="8"/>
      <c r="Z3241" s="6"/>
    </row>
    <row r="3242" spans="3:26" x14ac:dyDescent="0.25">
      <c r="C3242" s="2"/>
      <c r="J3242" s="8"/>
      <c r="R3242" s="8"/>
      <c r="Z3242" s="6"/>
    </row>
    <row r="3243" spans="3:26" x14ac:dyDescent="0.25">
      <c r="C3243" s="2"/>
      <c r="J3243" s="8"/>
      <c r="R3243" s="8"/>
      <c r="Z3243" s="6"/>
    </row>
    <row r="3244" spans="3:26" x14ac:dyDescent="0.25">
      <c r="C3244" s="2"/>
      <c r="J3244" s="8"/>
      <c r="R3244" s="8"/>
      <c r="Z3244" s="6"/>
    </row>
    <row r="3245" spans="3:26" x14ac:dyDescent="0.25">
      <c r="C3245" s="2"/>
      <c r="J3245" s="8"/>
      <c r="R3245" s="8"/>
      <c r="Z3245" s="6"/>
    </row>
    <row r="3246" spans="3:26" x14ac:dyDescent="0.25">
      <c r="C3246" s="2"/>
      <c r="J3246" s="8"/>
      <c r="R3246" s="8"/>
      <c r="Z3246" s="6"/>
    </row>
    <row r="3247" spans="3:26" x14ac:dyDescent="0.25">
      <c r="C3247" s="2"/>
      <c r="J3247" s="8"/>
      <c r="R3247" s="8"/>
      <c r="Z3247" s="6"/>
    </row>
    <row r="3248" spans="3:26" x14ac:dyDescent="0.25">
      <c r="C3248" s="2"/>
      <c r="J3248" s="8"/>
      <c r="R3248" s="8"/>
      <c r="Z3248" s="6"/>
    </row>
    <row r="3249" spans="3:26" x14ac:dyDescent="0.25">
      <c r="C3249" s="2"/>
      <c r="J3249" s="8"/>
      <c r="R3249" s="8"/>
      <c r="Z3249" s="6"/>
    </row>
    <row r="3250" spans="3:26" x14ac:dyDescent="0.25">
      <c r="C3250" s="2"/>
      <c r="J3250" s="8"/>
      <c r="R3250" s="8"/>
      <c r="Z3250" s="6"/>
    </row>
    <row r="3251" spans="3:26" x14ac:dyDescent="0.25">
      <c r="C3251" s="2"/>
      <c r="J3251" s="8"/>
      <c r="R3251" s="8"/>
      <c r="Z3251" s="6"/>
    </row>
    <row r="3252" spans="3:26" x14ac:dyDescent="0.25">
      <c r="C3252" s="2"/>
      <c r="J3252" s="8"/>
      <c r="R3252" s="8"/>
      <c r="Z3252" s="6"/>
    </row>
    <row r="3253" spans="3:26" x14ac:dyDescent="0.25">
      <c r="C3253" s="2"/>
      <c r="J3253" s="8"/>
      <c r="R3253" s="8"/>
      <c r="Z3253" s="6"/>
    </row>
    <row r="3254" spans="3:26" x14ac:dyDescent="0.25">
      <c r="C3254" s="2"/>
      <c r="J3254" s="8"/>
      <c r="R3254" s="8"/>
      <c r="Z3254" s="6"/>
    </row>
    <row r="3255" spans="3:26" x14ac:dyDescent="0.25">
      <c r="C3255" s="2"/>
      <c r="J3255" s="8"/>
      <c r="R3255" s="8"/>
      <c r="Z3255" s="6"/>
    </row>
    <row r="3256" spans="3:26" x14ac:dyDescent="0.25">
      <c r="C3256" s="2"/>
      <c r="J3256" s="8"/>
      <c r="R3256" s="8"/>
      <c r="Z3256" s="6"/>
    </row>
    <row r="3257" spans="3:26" x14ac:dyDescent="0.25">
      <c r="C3257" s="2"/>
      <c r="J3257" s="8"/>
      <c r="R3257" s="8"/>
      <c r="Z3257" s="6"/>
    </row>
    <row r="3258" spans="3:26" x14ac:dyDescent="0.25">
      <c r="C3258" s="2"/>
      <c r="J3258" s="8"/>
      <c r="R3258" s="8"/>
      <c r="Z3258" s="6"/>
    </row>
    <row r="3259" spans="3:26" x14ac:dyDescent="0.25">
      <c r="C3259" s="2"/>
      <c r="J3259" s="8"/>
      <c r="R3259" s="8"/>
      <c r="Z3259" s="6"/>
    </row>
    <row r="3260" spans="3:26" x14ac:dyDescent="0.25">
      <c r="C3260" s="2"/>
      <c r="J3260" s="8"/>
      <c r="R3260" s="8"/>
      <c r="Z3260" s="6"/>
    </row>
    <row r="3261" spans="3:26" x14ac:dyDescent="0.25">
      <c r="C3261" s="2"/>
      <c r="J3261" s="8"/>
      <c r="R3261" s="8"/>
      <c r="Z3261" s="6"/>
    </row>
    <row r="3262" spans="3:26" x14ac:dyDescent="0.25">
      <c r="C3262" s="2"/>
      <c r="J3262" s="8"/>
      <c r="R3262" s="8"/>
      <c r="Z3262" s="6"/>
    </row>
    <row r="3263" spans="3:26" x14ac:dyDescent="0.25">
      <c r="C3263" s="2"/>
      <c r="J3263" s="8"/>
      <c r="R3263" s="8"/>
      <c r="Z3263" s="6"/>
    </row>
    <row r="3264" spans="3:26" x14ac:dyDescent="0.25">
      <c r="C3264" s="2"/>
      <c r="J3264" s="8"/>
      <c r="R3264" s="8"/>
      <c r="Z3264" s="6"/>
    </row>
    <row r="3265" spans="3:26" x14ac:dyDescent="0.25">
      <c r="C3265" s="2"/>
      <c r="J3265" s="8"/>
      <c r="R3265" s="8"/>
      <c r="Z3265" s="6"/>
    </row>
    <row r="3266" spans="3:26" x14ac:dyDescent="0.25">
      <c r="C3266" s="2"/>
      <c r="J3266" s="8"/>
      <c r="R3266" s="8"/>
      <c r="Z3266" s="6"/>
    </row>
    <row r="3267" spans="3:26" x14ac:dyDescent="0.25">
      <c r="C3267" s="2"/>
      <c r="J3267" s="8"/>
      <c r="R3267" s="8"/>
      <c r="Z3267" s="6"/>
    </row>
    <row r="3268" spans="3:26" x14ac:dyDescent="0.25">
      <c r="C3268" s="2"/>
      <c r="J3268" s="8"/>
      <c r="R3268" s="8"/>
      <c r="Z3268" s="6"/>
    </row>
    <row r="3269" spans="3:26" x14ac:dyDescent="0.25">
      <c r="C3269" s="2"/>
      <c r="J3269" s="8"/>
      <c r="R3269" s="8"/>
      <c r="Z3269" s="6"/>
    </row>
    <row r="3270" spans="3:26" x14ac:dyDescent="0.25">
      <c r="C3270" s="2"/>
      <c r="J3270" s="8"/>
      <c r="R3270" s="8"/>
      <c r="Z3270" s="6"/>
    </row>
    <row r="3271" spans="3:26" x14ac:dyDescent="0.25">
      <c r="C3271" s="2"/>
      <c r="J3271" s="8"/>
      <c r="R3271" s="8"/>
      <c r="Z3271" s="6"/>
    </row>
    <row r="3272" spans="3:26" x14ac:dyDescent="0.25">
      <c r="C3272" s="2"/>
      <c r="J3272" s="8"/>
      <c r="R3272" s="8"/>
      <c r="Z3272" s="6"/>
    </row>
    <row r="3273" spans="3:26" x14ac:dyDescent="0.25">
      <c r="C3273" s="2"/>
      <c r="J3273" s="8"/>
      <c r="R3273" s="8"/>
      <c r="Z3273" s="6"/>
    </row>
    <row r="3274" spans="3:26" x14ac:dyDescent="0.25">
      <c r="C3274" s="2"/>
      <c r="J3274" s="8"/>
      <c r="R3274" s="8"/>
      <c r="Z3274" s="6"/>
    </row>
    <row r="3275" spans="3:26" x14ac:dyDescent="0.25">
      <c r="C3275" s="2"/>
      <c r="J3275" s="8"/>
      <c r="R3275" s="8"/>
      <c r="Z3275" s="6"/>
    </row>
    <row r="3276" spans="3:26" x14ac:dyDescent="0.25">
      <c r="C3276" s="2"/>
      <c r="J3276" s="8"/>
      <c r="R3276" s="8"/>
      <c r="Z3276" s="6"/>
    </row>
    <row r="3277" spans="3:26" x14ac:dyDescent="0.25">
      <c r="C3277" s="2"/>
      <c r="J3277" s="8"/>
      <c r="R3277" s="8"/>
      <c r="Z3277" s="6"/>
    </row>
    <row r="3278" spans="3:26" x14ac:dyDescent="0.25">
      <c r="C3278" s="2"/>
      <c r="J3278" s="8"/>
      <c r="R3278" s="8"/>
      <c r="Z3278" s="6"/>
    </row>
    <row r="3279" spans="3:26" x14ac:dyDescent="0.25">
      <c r="C3279" s="2"/>
      <c r="J3279" s="8"/>
      <c r="R3279" s="8"/>
      <c r="Z3279" s="6"/>
    </row>
    <row r="3280" spans="3:26" x14ac:dyDescent="0.25">
      <c r="C3280" s="2"/>
      <c r="J3280" s="8"/>
      <c r="R3280" s="8"/>
      <c r="Z3280" s="6"/>
    </row>
    <row r="3281" spans="3:26" x14ac:dyDescent="0.25">
      <c r="C3281" s="2"/>
      <c r="J3281" s="8"/>
      <c r="R3281" s="8"/>
      <c r="Z3281" s="6"/>
    </row>
    <row r="3282" spans="3:26" x14ac:dyDescent="0.25">
      <c r="C3282" s="2"/>
      <c r="J3282" s="8"/>
      <c r="R3282" s="8"/>
      <c r="Z3282" s="6"/>
    </row>
    <row r="3283" spans="3:26" x14ac:dyDescent="0.25">
      <c r="C3283" s="2"/>
      <c r="J3283" s="8"/>
      <c r="R3283" s="8"/>
      <c r="Z3283" s="6"/>
    </row>
    <row r="3284" spans="3:26" x14ac:dyDescent="0.25">
      <c r="C3284" s="2"/>
      <c r="J3284" s="8"/>
      <c r="R3284" s="8"/>
      <c r="Z3284" s="6"/>
    </row>
    <row r="3285" spans="3:26" x14ac:dyDescent="0.25">
      <c r="C3285" s="2"/>
      <c r="J3285" s="8"/>
      <c r="R3285" s="8"/>
      <c r="Z3285" s="6"/>
    </row>
    <row r="3286" spans="3:26" x14ac:dyDescent="0.25">
      <c r="C3286" s="2"/>
      <c r="J3286" s="8"/>
      <c r="R3286" s="8"/>
      <c r="Z3286" s="6"/>
    </row>
    <row r="3287" spans="3:26" x14ac:dyDescent="0.25">
      <c r="C3287" s="2"/>
      <c r="J3287" s="8"/>
      <c r="R3287" s="8"/>
      <c r="Z3287" s="6"/>
    </row>
    <row r="3288" spans="3:26" x14ac:dyDescent="0.25">
      <c r="C3288" s="2"/>
      <c r="J3288" s="8"/>
      <c r="R3288" s="8"/>
      <c r="Z3288" s="6"/>
    </row>
    <row r="3289" spans="3:26" x14ac:dyDescent="0.25">
      <c r="C3289" s="2"/>
      <c r="J3289" s="8"/>
      <c r="R3289" s="8"/>
      <c r="Z3289" s="6"/>
    </row>
    <row r="3290" spans="3:26" x14ac:dyDescent="0.25">
      <c r="C3290" s="2"/>
      <c r="J3290" s="8"/>
      <c r="R3290" s="8"/>
      <c r="Z3290" s="6"/>
    </row>
    <row r="3291" spans="3:26" x14ac:dyDescent="0.25">
      <c r="C3291" s="2"/>
      <c r="J3291" s="8"/>
      <c r="R3291" s="8"/>
      <c r="Z3291" s="6"/>
    </row>
    <row r="3292" spans="3:26" x14ac:dyDescent="0.25">
      <c r="C3292" s="2"/>
      <c r="J3292" s="8"/>
      <c r="R3292" s="8"/>
      <c r="Z3292" s="6"/>
    </row>
    <row r="3293" spans="3:26" x14ac:dyDescent="0.25">
      <c r="C3293" s="2"/>
      <c r="J3293" s="8"/>
      <c r="R3293" s="8"/>
      <c r="Z3293" s="6"/>
    </row>
    <row r="3294" spans="3:26" x14ac:dyDescent="0.25">
      <c r="C3294" s="2"/>
      <c r="J3294" s="8"/>
      <c r="R3294" s="8"/>
      <c r="Z3294" s="6"/>
    </row>
    <row r="3295" spans="3:26" x14ac:dyDescent="0.25">
      <c r="C3295" s="2"/>
      <c r="J3295" s="8"/>
      <c r="R3295" s="8"/>
      <c r="Z3295" s="6"/>
    </row>
    <row r="3296" spans="3:26" x14ac:dyDescent="0.25">
      <c r="C3296" s="2"/>
      <c r="J3296" s="8"/>
      <c r="R3296" s="8"/>
      <c r="Z3296" s="6"/>
    </row>
    <row r="3297" spans="3:26" x14ac:dyDescent="0.25">
      <c r="C3297" s="2"/>
      <c r="J3297" s="8"/>
      <c r="R3297" s="8"/>
      <c r="Z3297" s="6"/>
    </row>
    <row r="3298" spans="3:26" x14ac:dyDescent="0.25">
      <c r="C3298" s="2"/>
      <c r="J3298" s="8"/>
      <c r="R3298" s="8"/>
      <c r="Z3298" s="6"/>
    </row>
    <row r="3299" spans="3:26" x14ac:dyDescent="0.25">
      <c r="C3299" s="2"/>
      <c r="J3299" s="8"/>
      <c r="R3299" s="8"/>
      <c r="Z3299" s="6"/>
    </row>
    <row r="3300" spans="3:26" x14ac:dyDescent="0.25">
      <c r="C3300" s="2"/>
      <c r="J3300" s="8"/>
      <c r="R3300" s="8"/>
      <c r="Z3300" s="6"/>
    </row>
    <row r="3301" spans="3:26" x14ac:dyDescent="0.25">
      <c r="C3301" s="2"/>
      <c r="J3301" s="8"/>
      <c r="R3301" s="8"/>
      <c r="Z3301" s="6"/>
    </row>
    <row r="3302" spans="3:26" x14ac:dyDescent="0.25">
      <c r="C3302" s="2"/>
      <c r="J3302" s="8"/>
      <c r="R3302" s="8"/>
      <c r="Z3302" s="6"/>
    </row>
    <row r="3303" spans="3:26" x14ac:dyDescent="0.25">
      <c r="C3303" s="2"/>
      <c r="J3303" s="8"/>
      <c r="R3303" s="8"/>
      <c r="Z3303" s="6"/>
    </row>
    <row r="3304" spans="3:26" x14ac:dyDescent="0.25">
      <c r="C3304" s="2"/>
      <c r="J3304" s="8"/>
      <c r="R3304" s="8"/>
      <c r="Z3304" s="6"/>
    </row>
    <row r="3305" spans="3:26" x14ac:dyDescent="0.25">
      <c r="C3305" s="2"/>
      <c r="J3305" s="8"/>
      <c r="R3305" s="8"/>
      <c r="Z3305" s="6"/>
    </row>
    <row r="3306" spans="3:26" x14ac:dyDescent="0.25">
      <c r="C3306" s="2"/>
      <c r="J3306" s="8"/>
      <c r="R3306" s="8"/>
      <c r="Z3306" s="6"/>
    </row>
    <row r="3307" spans="3:26" x14ac:dyDescent="0.25">
      <c r="C3307" s="2"/>
      <c r="J3307" s="8"/>
      <c r="R3307" s="8"/>
      <c r="Z3307" s="6"/>
    </row>
    <row r="3308" spans="3:26" x14ac:dyDescent="0.25">
      <c r="C3308" s="2"/>
      <c r="J3308" s="8"/>
      <c r="R3308" s="8"/>
      <c r="Z3308" s="6"/>
    </row>
    <row r="3309" spans="3:26" x14ac:dyDescent="0.25">
      <c r="C3309" s="2"/>
      <c r="J3309" s="8"/>
      <c r="R3309" s="8"/>
      <c r="Z3309" s="6"/>
    </row>
    <row r="3310" spans="3:26" x14ac:dyDescent="0.25">
      <c r="C3310" s="2"/>
      <c r="J3310" s="8"/>
      <c r="R3310" s="8"/>
      <c r="Z3310" s="6"/>
    </row>
    <row r="3311" spans="3:26" x14ac:dyDescent="0.25">
      <c r="C3311" s="2"/>
      <c r="J3311" s="8"/>
      <c r="R3311" s="8"/>
      <c r="Z3311" s="6"/>
    </row>
    <row r="3312" spans="3:26" x14ac:dyDescent="0.25">
      <c r="C3312" s="2"/>
      <c r="J3312" s="8"/>
      <c r="R3312" s="8"/>
      <c r="Z3312" s="6"/>
    </row>
    <row r="3313" spans="3:26" x14ac:dyDescent="0.25">
      <c r="C3313" s="2"/>
      <c r="J3313" s="8"/>
      <c r="R3313" s="8"/>
      <c r="Z3313" s="6"/>
    </row>
    <row r="3314" spans="3:26" x14ac:dyDescent="0.25">
      <c r="C3314" s="2"/>
      <c r="J3314" s="8"/>
      <c r="R3314" s="8"/>
      <c r="Z3314" s="6"/>
    </row>
    <row r="3315" spans="3:26" x14ac:dyDescent="0.25">
      <c r="C3315" s="2"/>
      <c r="J3315" s="8"/>
      <c r="R3315" s="8"/>
      <c r="Z3315" s="6"/>
    </row>
    <row r="3316" spans="3:26" x14ac:dyDescent="0.25">
      <c r="C3316" s="2"/>
      <c r="J3316" s="8"/>
      <c r="R3316" s="8"/>
      <c r="Z3316" s="6"/>
    </row>
    <row r="3317" spans="3:26" x14ac:dyDescent="0.25">
      <c r="C3317" s="2"/>
      <c r="J3317" s="8"/>
      <c r="R3317" s="8"/>
      <c r="Z3317" s="6"/>
    </row>
    <row r="3318" spans="3:26" x14ac:dyDescent="0.25">
      <c r="C3318" s="2"/>
      <c r="J3318" s="8"/>
      <c r="R3318" s="8"/>
      <c r="Z3318" s="6"/>
    </row>
    <row r="3319" spans="3:26" x14ac:dyDescent="0.25">
      <c r="C3319" s="2"/>
      <c r="J3319" s="8"/>
      <c r="R3319" s="8"/>
      <c r="Z3319" s="6"/>
    </row>
    <row r="3320" spans="3:26" x14ac:dyDescent="0.25">
      <c r="C3320" s="2"/>
      <c r="J3320" s="8"/>
      <c r="R3320" s="8"/>
      <c r="Z3320" s="6"/>
    </row>
    <row r="3321" spans="3:26" x14ac:dyDescent="0.25">
      <c r="C3321" s="2"/>
      <c r="J3321" s="8"/>
      <c r="R3321" s="8"/>
      <c r="Z3321" s="6"/>
    </row>
    <row r="3322" spans="3:26" x14ac:dyDescent="0.25">
      <c r="C3322" s="2"/>
      <c r="J3322" s="8"/>
      <c r="R3322" s="8"/>
      <c r="Z3322" s="6"/>
    </row>
    <row r="3323" spans="3:26" x14ac:dyDescent="0.25">
      <c r="C3323" s="2"/>
      <c r="J3323" s="8"/>
      <c r="R3323" s="8"/>
      <c r="Z3323" s="6"/>
    </row>
    <row r="3324" spans="3:26" x14ac:dyDescent="0.25">
      <c r="C3324" s="2"/>
      <c r="J3324" s="8"/>
      <c r="R3324" s="8"/>
      <c r="Z3324" s="6"/>
    </row>
    <row r="3325" spans="3:26" x14ac:dyDescent="0.25">
      <c r="C3325" s="2"/>
      <c r="J3325" s="8"/>
      <c r="R3325" s="8"/>
      <c r="Z3325" s="6"/>
    </row>
    <row r="3326" spans="3:26" x14ac:dyDescent="0.25">
      <c r="C3326" s="2"/>
      <c r="J3326" s="8"/>
      <c r="R3326" s="8"/>
      <c r="Z3326" s="6"/>
    </row>
    <row r="3327" spans="3:26" x14ac:dyDescent="0.25">
      <c r="C3327" s="2"/>
      <c r="J3327" s="8"/>
      <c r="R3327" s="8"/>
      <c r="Z3327" s="6"/>
    </row>
    <row r="3328" spans="3:26" x14ac:dyDescent="0.25">
      <c r="C3328" s="2"/>
      <c r="J3328" s="8"/>
      <c r="R3328" s="8"/>
      <c r="Z3328" s="6"/>
    </row>
    <row r="3329" spans="3:26" x14ac:dyDescent="0.25">
      <c r="C3329" s="2"/>
      <c r="J3329" s="8"/>
      <c r="R3329" s="8"/>
      <c r="Z3329" s="6"/>
    </row>
    <row r="3330" spans="3:26" x14ac:dyDescent="0.25">
      <c r="C3330" s="2"/>
      <c r="J3330" s="8"/>
      <c r="R3330" s="8"/>
      <c r="Z3330" s="6"/>
    </row>
    <row r="3331" spans="3:26" x14ac:dyDescent="0.25">
      <c r="C3331" s="2"/>
      <c r="J3331" s="8"/>
      <c r="R3331" s="8"/>
      <c r="Z3331" s="6"/>
    </row>
    <row r="3332" spans="3:26" x14ac:dyDescent="0.25">
      <c r="C3332" s="2"/>
      <c r="J3332" s="8"/>
      <c r="R3332" s="8"/>
      <c r="Z3332" s="6"/>
    </row>
    <row r="3333" spans="3:26" x14ac:dyDescent="0.25">
      <c r="C3333" s="2"/>
      <c r="J3333" s="8"/>
      <c r="R3333" s="8"/>
      <c r="Z3333" s="6"/>
    </row>
    <row r="3334" spans="3:26" x14ac:dyDescent="0.25">
      <c r="C3334" s="2"/>
      <c r="J3334" s="8"/>
      <c r="R3334" s="8"/>
      <c r="Z3334" s="6"/>
    </row>
    <row r="3335" spans="3:26" x14ac:dyDescent="0.25">
      <c r="C3335" s="2"/>
      <c r="J3335" s="8"/>
      <c r="R3335" s="8"/>
      <c r="Z3335" s="6"/>
    </row>
    <row r="3336" spans="3:26" x14ac:dyDescent="0.25">
      <c r="C3336" s="2"/>
      <c r="J3336" s="8"/>
      <c r="R3336" s="8"/>
      <c r="Z3336" s="6"/>
    </row>
    <row r="3337" spans="3:26" x14ac:dyDescent="0.25">
      <c r="C3337" s="2"/>
      <c r="J3337" s="8"/>
      <c r="R3337" s="8"/>
      <c r="Z3337" s="6"/>
    </row>
    <row r="3338" spans="3:26" x14ac:dyDescent="0.25">
      <c r="C3338" s="2"/>
      <c r="J3338" s="8"/>
      <c r="R3338" s="8"/>
      <c r="Z3338" s="6"/>
    </row>
    <row r="3339" spans="3:26" x14ac:dyDescent="0.25">
      <c r="C3339" s="2"/>
      <c r="J3339" s="8"/>
      <c r="R3339" s="8"/>
      <c r="Z3339" s="6"/>
    </row>
    <row r="3340" spans="3:26" x14ac:dyDescent="0.25">
      <c r="C3340" s="2"/>
      <c r="J3340" s="8"/>
      <c r="R3340" s="8"/>
      <c r="Z3340" s="6"/>
    </row>
    <row r="3341" spans="3:26" x14ac:dyDescent="0.25">
      <c r="C3341" s="2"/>
      <c r="J3341" s="8"/>
      <c r="R3341" s="8"/>
      <c r="Z3341" s="6"/>
    </row>
    <row r="3342" spans="3:26" x14ac:dyDescent="0.25">
      <c r="C3342" s="2"/>
      <c r="J3342" s="8"/>
      <c r="R3342" s="8"/>
      <c r="Z3342" s="6"/>
    </row>
    <row r="3343" spans="3:26" x14ac:dyDescent="0.25">
      <c r="C3343" s="2"/>
      <c r="J3343" s="8"/>
      <c r="R3343" s="8"/>
      <c r="Z3343" s="6"/>
    </row>
    <row r="3344" spans="3:26" x14ac:dyDescent="0.25">
      <c r="C3344" s="2"/>
      <c r="J3344" s="8"/>
      <c r="R3344" s="8"/>
      <c r="Z3344" s="6"/>
    </row>
    <row r="3345" spans="3:26" x14ac:dyDescent="0.25">
      <c r="C3345" s="2"/>
      <c r="J3345" s="8"/>
      <c r="R3345" s="8"/>
      <c r="Z3345" s="6"/>
    </row>
    <row r="3346" spans="3:26" x14ac:dyDescent="0.25">
      <c r="C3346" s="2"/>
      <c r="J3346" s="8"/>
      <c r="R3346" s="8"/>
      <c r="Z3346" s="6"/>
    </row>
    <row r="3347" spans="3:26" x14ac:dyDescent="0.25">
      <c r="C3347" s="2"/>
      <c r="J3347" s="8"/>
      <c r="R3347" s="8"/>
      <c r="Z3347" s="6"/>
    </row>
    <row r="3348" spans="3:26" x14ac:dyDescent="0.25">
      <c r="C3348" s="2"/>
      <c r="J3348" s="8"/>
      <c r="R3348" s="8"/>
      <c r="Z3348" s="6"/>
    </row>
    <row r="3349" spans="3:26" x14ac:dyDescent="0.25">
      <c r="C3349" s="2"/>
      <c r="J3349" s="8"/>
      <c r="R3349" s="8"/>
      <c r="Z3349" s="6"/>
    </row>
    <row r="3350" spans="3:26" x14ac:dyDescent="0.25">
      <c r="C3350" s="2"/>
      <c r="J3350" s="8"/>
      <c r="R3350" s="8"/>
      <c r="Z3350" s="6"/>
    </row>
    <row r="3351" spans="3:26" x14ac:dyDescent="0.25">
      <c r="C3351" s="2"/>
      <c r="J3351" s="8"/>
      <c r="R3351" s="8"/>
      <c r="Z3351" s="6"/>
    </row>
    <row r="3352" spans="3:26" x14ac:dyDescent="0.25">
      <c r="C3352" s="2"/>
      <c r="J3352" s="8"/>
      <c r="R3352" s="8"/>
      <c r="Z3352" s="6"/>
    </row>
    <row r="3353" spans="3:26" x14ac:dyDescent="0.25">
      <c r="C3353" s="2"/>
      <c r="J3353" s="8"/>
      <c r="R3353" s="8"/>
      <c r="Z3353" s="6"/>
    </row>
    <row r="3354" spans="3:26" x14ac:dyDescent="0.25">
      <c r="C3354" s="2"/>
      <c r="J3354" s="8"/>
      <c r="R3354" s="8"/>
      <c r="Z3354" s="6"/>
    </row>
    <row r="3355" spans="3:26" x14ac:dyDescent="0.25">
      <c r="C3355" s="2"/>
      <c r="J3355" s="8"/>
      <c r="R3355" s="8"/>
      <c r="Z3355" s="6"/>
    </row>
    <row r="3356" spans="3:26" x14ac:dyDescent="0.25">
      <c r="C3356" s="2"/>
      <c r="J3356" s="8"/>
      <c r="R3356" s="8"/>
      <c r="Z3356" s="6"/>
    </row>
    <row r="3357" spans="3:26" x14ac:dyDescent="0.25">
      <c r="C3357" s="2"/>
      <c r="J3357" s="8"/>
      <c r="R3357" s="8"/>
      <c r="Z3357" s="6"/>
    </row>
    <row r="3358" spans="3:26" x14ac:dyDescent="0.25">
      <c r="C3358" s="2"/>
      <c r="J3358" s="8"/>
      <c r="R3358" s="8"/>
      <c r="Z3358" s="6"/>
    </row>
    <row r="3359" spans="3:26" x14ac:dyDescent="0.25">
      <c r="C3359" s="2"/>
      <c r="J3359" s="8"/>
      <c r="R3359" s="8"/>
      <c r="Z3359" s="6"/>
    </row>
    <row r="3360" spans="3:26" x14ac:dyDescent="0.25">
      <c r="C3360" s="2"/>
      <c r="J3360" s="8"/>
      <c r="R3360" s="8"/>
      <c r="Z3360" s="6"/>
    </row>
    <row r="3361" spans="3:26" x14ac:dyDescent="0.25">
      <c r="C3361" s="2"/>
      <c r="J3361" s="8"/>
      <c r="R3361" s="8"/>
      <c r="Z3361" s="6"/>
    </row>
    <row r="3362" spans="3:26" x14ac:dyDescent="0.25">
      <c r="C3362" s="2"/>
      <c r="J3362" s="8"/>
      <c r="R3362" s="8"/>
      <c r="Z3362" s="6"/>
    </row>
    <row r="3363" spans="3:26" x14ac:dyDescent="0.25">
      <c r="C3363" s="2"/>
      <c r="J3363" s="8"/>
      <c r="R3363" s="8"/>
      <c r="Z3363" s="6"/>
    </row>
    <row r="3364" spans="3:26" x14ac:dyDescent="0.25">
      <c r="C3364" s="2"/>
      <c r="J3364" s="8"/>
      <c r="R3364" s="8"/>
      <c r="Z3364" s="6"/>
    </row>
    <row r="3365" spans="3:26" x14ac:dyDescent="0.25">
      <c r="C3365" s="2"/>
      <c r="J3365" s="8"/>
      <c r="R3365" s="8"/>
      <c r="Z3365" s="6"/>
    </row>
    <row r="3366" spans="3:26" x14ac:dyDescent="0.25">
      <c r="C3366" s="2"/>
      <c r="J3366" s="8"/>
      <c r="R3366" s="8"/>
      <c r="Z3366" s="6"/>
    </row>
    <row r="3367" spans="3:26" x14ac:dyDescent="0.25">
      <c r="C3367" s="2"/>
      <c r="J3367" s="8"/>
      <c r="R3367" s="8"/>
      <c r="Z3367" s="6"/>
    </row>
    <row r="3368" spans="3:26" x14ac:dyDescent="0.25">
      <c r="C3368" s="2"/>
      <c r="J3368" s="8"/>
      <c r="R3368" s="8"/>
      <c r="Z3368" s="6"/>
    </row>
    <row r="3369" spans="3:26" x14ac:dyDescent="0.25">
      <c r="C3369" s="2"/>
      <c r="J3369" s="8"/>
      <c r="R3369" s="8"/>
      <c r="Z3369" s="6"/>
    </row>
    <row r="3370" spans="3:26" x14ac:dyDescent="0.25">
      <c r="C3370" s="2"/>
      <c r="J3370" s="8"/>
      <c r="R3370" s="8"/>
      <c r="Z3370" s="6"/>
    </row>
    <row r="3371" spans="3:26" x14ac:dyDescent="0.25">
      <c r="C3371" s="2"/>
      <c r="J3371" s="8"/>
      <c r="R3371" s="8"/>
      <c r="Z3371" s="6"/>
    </row>
    <row r="3372" spans="3:26" x14ac:dyDescent="0.25">
      <c r="C3372" s="2"/>
      <c r="J3372" s="8"/>
      <c r="R3372" s="8"/>
      <c r="Z3372" s="6"/>
    </row>
    <row r="3373" spans="3:26" x14ac:dyDescent="0.25">
      <c r="C3373" s="2"/>
      <c r="J3373" s="8"/>
      <c r="R3373" s="8"/>
      <c r="Z3373" s="6"/>
    </row>
    <row r="3374" spans="3:26" x14ac:dyDescent="0.25">
      <c r="C3374" s="2"/>
      <c r="J3374" s="8"/>
      <c r="R3374" s="8"/>
      <c r="Z3374" s="6"/>
    </row>
    <row r="3375" spans="3:26" x14ac:dyDescent="0.25">
      <c r="C3375" s="2"/>
      <c r="J3375" s="8"/>
      <c r="R3375" s="8"/>
      <c r="Z3375" s="6"/>
    </row>
    <row r="3376" spans="3:26" x14ac:dyDescent="0.25">
      <c r="C3376" s="2"/>
      <c r="J3376" s="8"/>
      <c r="R3376" s="8"/>
      <c r="Z3376" s="6"/>
    </row>
    <row r="3377" spans="3:26" x14ac:dyDescent="0.25">
      <c r="C3377" s="2"/>
      <c r="J3377" s="8"/>
      <c r="R3377" s="8"/>
      <c r="Z3377" s="6"/>
    </row>
    <row r="3378" spans="3:26" x14ac:dyDescent="0.25">
      <c r="C3378" s="2"/>
      <c r="J3378" s="8"/>
      <c r="R3378" s="8"/>
      <c r="Z3378" s="6"/>
    </row>
    <row r="3379" spans="3:26" x14ac:dyDescent="0.25">
      <c r="C3379" s="2"/>
      <c r="J3379" s="8"/>
      <c r="R3379" s="8"/>
      <c r="Z3379" s="6"/>
    </row>
    <row r="3380" spans="3:26" x14ac:dyDescent="0.25">
      <c r="C3380" s="2"/>
      <c r="J3380" s="8"/>
      <c r="R3380" s="8"/>
      <c r="Z3380" s="6"/>
    </row>
    <row r="3381" spans="3:26" x14ac:dyDescent="0.25">
      <c r="C3381" s="2"/>
      <c r="J3381" s="8"/>
      <c r="R3381" s="8"/>
      <c r="Z3381" s="6"/>
    </row>
    <row r="3382" spans="3:26" x14ac:dyDescent="0.25">
      <c r="C3382" s="2"/>
      <c r="J3382" s="8"/>
      <c r="R3382" s="8"/>
      <c r="Z3382" s="6"/>
    </row>
    <row r="3383" spans="3:26" x14ac:dyDescent="0.25">
      <c r="C3383" s="2"/>
      <c r="J3383" s="8"/>
      <c r="R3383" s="8"/>
      <c r="Z3383" s="6"/>
    </row>
    <row r="3384" spans="3:26" x14ac:dyDescent="0.25">
      <c r="C3384" s="2"/>
      <c r="J3384" s="8"/>
      <c r="R3384" s="8"/>
      <c r="Z3384" s="6"/>
    </row>
    <row r="3385" spans="3:26" x14ac:dyDescent="0.25">
      <c r="C3385" s="2"/>
      <c r="J3385" s="8"/>
      <c r="R3385" s="8"/>
      <c r="Z3385" s="6"/>
    </row>
    <row r="3386" spans="3:26" x14ac:dyDescent="0.25">
      <c r="C3386" s="2"/>
      <c r="J3386" s="8"/>
      <c r="R3386" s="8"/>
      <c r="Z3386" s="6"/>
    </row>
    <row r="3387" spans="3:26" x14ac:dyDescent="0.25">
      <c r="C3387" s="2"/>
      <c r="J3387" s="8"/>
      <c r="R3387" s="8"/>
      <c r="Z3387" s="6"/>
    </row>
    <row r="3388" spans="3:26" x14ac:dyDescent="0.25">
      <c r="C3388" s="2"/>
      <c r="J3388" s="8"/>
      <c r="R3388" s="8"/>
      <c r="Z3388" s="6"/>
    </row>
    <row r="3389" spans="3:26" x14ac:dyDescent="0.25">
      <c r="C3389" s="2"/>
      <c r="J3389" s="8"/>
      <c r="R3389" s="8"/>
      <c r="Z3389" s="6"/>
    </row>
    <row r="3390" spans="3:26" x14ac:dyDescent="0.25">
      <c r="C3390" s="2"/>
      <c r="J3390" s="8"/>
      <c r="R3390" s="8"/>
      <c r="Z3390" s="6"/>
    </row>
    <row r="3391" spans="3:26" x14ac:dyDescent="0.25">
      <c r="C3391" s="2"/>
      <c r="J3391" s="8"/>
      <c r="R3391" s="8"/>
      <c r="Z3391" s="6"/>
    </row>
    <row r="3392" spans="3:26" x14ac:dyDescent="0.25">
      <c r="C3392" s="2"/>
      <c r="J3392" s="8"/>
      <c r="R3392" s="8"/>
      <c r="Z3392" s="6"/>
    </row>
    <row r="3393" spans="3:26" x14ac:dyDescent="0.25">
      <c r="C3393" s="2"/>
      <c r="J3393" s="8"/>
      <c r="R3393" s="8"/>
      <c r="Z3393" s="6"/>
    </row>
    <row r="3394" spans="3:26" x14ac:dyDescent="0.25">
      <c r="C3394" s="2"/>
      <c r="J3394" s="8"/>
      <c r="R3394" s="8"/>
      <c r="Z3394" s="6"/>
    </row>
    <row r="3395" spans="3:26" x14ac:dyDescent="0.25">
      <c r="C3395" s="2"/>
      <c r="J3395" s="8"/>
      <c r="R3395" s="8"/>
      <c r="Z3395" s="6"/>
    </row>
    <row r="3396" spans="3:26" x14ac:dyDescent="0.25">
      <c r="C3396" s="2"/>
      <c r="J3396" s="8"/>
      <c r="R3396" s="8"/>
      <c r="Z3396" s="6"/>
    </row>
    <row r="3397" spans="3:26" x14ac:dyDescent="0.25">
      <c r="C3397" s="2"/>
      <c r="J3397" s="8"/>
      <c r="R3397" s="8"/>
      <c r="Z3397" s="6"/>
    </row>
    <row r="3398" spans="3:26" x14ac:dyDescent="0.25">
      <c r="C3398" s="2"/>
      <c r="J3398" s="8"/>
      <c r="R3398" s="8"/>
      <c r="Z3398" s="6"/>
    </row>
    <row r="3399" spans="3:26" x14ac:dyDescent="0.25">
      <c r="C3399" s="2"/>
      <c r="J3399" s="8"/>
      <c r="R3399" s="8"/>
      <c r="Z3399" s="6"/>
    </row>
    <row r="3400" spans="3:26" x14ac:dyDescent="0.25">
      <c r="C3400" s="2"/>
      <c r="J3400" s="8"/>
      <c r="R3400" s="8"/>
      <c r="Z3400" s="6"/>
    </row>
    <row r="3401" spans="3:26" x14ac:dyDescent="0.25">
      <c r="C3401" s="2"/>
      <c r="J3401" s="8"/>
      <c r="R3401" s="8"/>
      <c r="Z3401" s="6"/>
    </row>
    <row r="3402" spans="3:26" x14ac:dyDescent="0.25">
      <c r="C3402" s="2"/>
      <c r="J3402" s="8"/>
      <c r="R3402" s="8"/>
      <c r="Z3402" s="6"/>
    </row>
    <row r="3403" spans="3:26" x14ac:dyDescent="0.25">
      <c r="C3403" s="2"/>
      <c r="J3403" s="8"/>
      <c r="R3403" s="8"/>
      <c r="Z3403" s="6"/>
    </row>
    <row r="3404" spans="3:26" x14ac:dyDescent="0.25">
      <c r="C3404" s="2"/>
      <c r="J3404" s="8"/>
      <c r="R3404" s="8"/>
      <c r="Z3404" s="6"/>
    </row>
    <row r="3405" spans="3:26" x14ac:dyDescent="0.25">
      <c r="C3405" s="2"/>
      <c r="J3405" s="8"/>
      <c r="R3405" s="8"/>
      <c r="Z3405" s="6"/>
    </row>
    <row r="3406" spans="3:26" x14ac:dyDescent="0.25">
      <c r="C3406" s="2"/>
      <c r="J3406" s="8"/>
      <c r="R3406" s="8"/>
      <c r="Z3406" s="6"/>
    </row>
    <row r="3407" spans="3:26" x14ac:dyDescent="0.25">
      <c r="C3407" s="2"/>
      <c r="J3407" s="8"/>
      <c r="R3407" s="8"/>
      <c r="Z3407" s="6"/>
    </row>
    <row r="3408" spans="3:26" x14ac:dyDescent="0.25">
      <c r="C3408" s="2"/>
      <c r="J3408" s="8"/>
      <c r="R3408" s="8"/>
      <c r="Z3408" s="6"/>
    </row>
    <row r="3409" spans="3:26" x14ac:dyDescent="0.25">
      <c r="C3409" s="2"/>
      <c r="J3409" s="8"/>
      <c r="R3409" s="8"/>
      <c r="Z3409" s="6"/>
    </row>
    <row r="3410" spans="3:26" x14ac:dyDescent="0.25">
      <c r="C3410" s="2"/>
      <c r="J3410" s="8"/>
      <c r="R3410" s="8"/>
      <c r="Z3410" s="6"/>
    </row>
    <row r="3411" spans="3:26" x14ac:dyDescent="0.25">
      <c r="C3411" s="2"/>
      <c r="J3411" s="8"/>
      <c r="R3411" s="8"/>
      <c r="Z3411" s="6"/>
    </row>
    <row r="3412" spans="3:26" x14ac:dyDescent="0.25">
      <c r="C3412" s="2"/>
      <c r="J3412" s="8"/>
      <c r="R3412" s="8"/>
      <c r="Z3412" s="6"/>
    </row>
    <row r="3413" spans="3:26" x14ac:dyDescent="0.25">
      <c r="C3413" s="2"/>
      <c r="J3413" s="8"/>
      <c r="R3413" s="8"/>
      <c r="Z3413" s="6"/>
    </row>
    <row r="3414" spans="3:26" x14ac:dyDescent="0.25">
      <c r="C3414" s="2"/>
      <c r="J3414" s="8"/>
      <c r="R3414" s="8"/>
      <c r="Z3414" s="6"/>
    </row>
    <row r="3415" spans="3:26" x14ac:dyDescent="0.25">
      <c r="C3415" s="2"/>
      <c r="J3415" s="8"/>
      <c r="R3415" s="8"/>
      <c r="Z3415" s="6"/>
    </row>
    <row r="3416" spans="3:26" x14ac:dyDescent="0.25">
      <c r="C3416" s="2"/>
      <c r="J3416" s="8"/>
      <c r="R3416" s="8"/>
      <c r="Z3416" s="6"/>
    </row>
    <row r="3417" spans="3:26" x14ac:dyDescent="0.25">
      <c r="C3417" s="2"/>
      <c r="J3417" s="8"/>
      <c r="R3417" s="8"/>
      <c r="Z3417" s="6"/>
    </row>
    <row r="3418" spans="3:26" x14ac:dyDescent="0.25">
      <c r="C3418" s="2"/>
      <c r="J3418" s="8"/>
      <c r="R3418" s="8"/>
      <c r="Z3418" s="6"/>
    </row>
    <row r="3419" spans="3:26" x14ac:dyDescent="0.25">
      <c r="C3419" s="2"/>
      <c r="J3419" s="8"/>
      <c r="R3419" s="8"/>
      <c r="Z3419" s="6"/>
    </row>
    <row r="3420" spans="3:26" x14ac:dyDescent="0.25">
      <c r="C3420" s="2"/>
      <c r="J3420" s="8"/>
      <c r="R3420" s="8"/>
      <c r="Z3420" s="6"/>
    </row>
    <row r="3421" spans="3:26" x14ac:dyDescent="0.25">
      <c r="C3421" s="2"/>
      <c r="J3421" s="8"/>
      <c r="R3421" s="8"/>
      <c r="Z3421" s="6"/>
    </row>
    <row r="3422" spans="3:26" x14ac:dyDescent="0.25">
      <c r="C3422" s="2"/>
      <c r="J3422" s="8"/>
      <c r="R3422" s="8"/>
      <c r="Z3422" s="6"/>
    </row>
    <row r="3423" spans="3:26" x14ac:dyDescent="0.25">
      <c r="C3423" s="2"/>
      <c r="J3423" s="8"/>
      <c r="R3423" s="8"/>
      <c r="Z3423" s="6"/>
    </row>
    <row r="3424" spans="3:26" x14ac:dyDescent="0.25">
      <c r="C3424" s="2"/>
      <c r="J3424" s="8"/>
      <c r="R3424" s="8"/>
      <c r="Z3424" s="6"/>
    </row>
    <row r="3425" spans="3:26" x14ac:dyDescent="0.25">
      <c r="C3425" s="2"/>
      <c r="J3425" s="8"/>
      <c r="R3425" s="8"/>
      <c r="Z3425" s="6"/>
    </row>
    <row r="3426" spans="3:26" x14ac:dyDescent="0.25">
      <c r="C3426" s="2"/>
      <c r="J3426" s="8"/>
      <c r="R3426" s="8"/>
      <c r="Z3426" s="6"/>
    </row>
    <row r="3427" spans="3:26" x14ac:dyDescent="0.25">
      <c r="C3427" s="2"/>
      <c r="J3427" s="8"/>
      <c r="R3427" s="8"/>
      <c r="Z3427" s="6"/>
    </row>
    <row r="3428" spans="3:26" x14ac:dyDescent="0.25">
      <c r="C3428" s="2"/>
      <c r="J3428" s="8"/>
      <c r="R3428" s="8"/>
      <c r="Z3428" s="6"/>
    </row>
    <row r="3429" spans="3:26" x14ac:dyDescent="0.25">
      <c r="C3429" s="2"/>
      <c r="J3429" s="8"/>
      <c r="R3429" s="8"/>
      <c r="Z3429" s="6"/>
    </row>
    <row r="3430" spans="3:26" x14ac:dyDescent="0.25">
      <c r="C3430" s="2"/>
      <c r="J3430" s="8"/>
      <c r="R3430" s="8"/>
      <c r="Z3430" s="6"/>
    </row>
    <row r="3431" spans="3:26" x14ac:dyDescent="0.25">
      <c r="C3431" s="2"/>
      <c r="J3431" s="8"/>
      <c r="R3431" s="8"/>
      <c r="Z3431" s="6"/>
    </row>
    <row r="3432" spans="3:26" x14ac:dyDescent="0.25">
      <c r="C3432" s="2"/>
      <c r="J3432" s="8"/>
      <c r="R3432" s="8"/>
      <c r="Z3432" s="6"/>
    </row>
    <row r="3433" spans="3:26" x14ac:dyDescent="0.25">
      <c r="C3433" s="2"/>
      <c r="J3433" s="8"/>
      <c r="R3433" s="8"/>
      <c r="Z3433" s="6"/>
    </row>
    <row r="3434" spans="3:26" x14ac:dyDescent="0.25">
      <c r="C3434" s="2"/>
      <c r="J3434" s="8"/>
      <c r="R3434" s="8"/>
      <c r="Z3434" s="6"/>
    </row>
    <row r="3435" spans="3:26" x14ac:dyDescent="0.25">
      <c r="C3435" s="2"/>
      <c r="J3435" s="8"/>
      <c r="R3435" s="8"/>
      <c r="Z3435" s="6"/>
    </row>
    <row r="3436" spans="3:26" x14ac:dyDescent="0.25">
      <c r="C3436" s="2"/>
      <c r="J3436" s="8"/>
      <c r="R3436" s="8"/>
      <c r="Z3436" s="6"/>
    </row>
    <row r="3437" spans="3:26" x14ac:dyDescent="0.25">
      <c r="C3437" s="2"/>
      <c r="J3437" s="8"/>
      <c r="R3437" s="8"/>
      <c r="Z3437" s="6"/>
    </row>
    <row r="3438" spans="3:26" x14ac:dyDescent="0.25">
      <c r="C3438" s="2"/>
      <c r="J3438" s="8"/>
      <c r="R3438" s="8"/>
      <c r="Z3438" s="6"/>
    </row>
    <row r="3439" spans="3:26" x14ac:dyDescent="0.25">
      <c r="C3439" s="2"/>
      <c r="J3439" s="8"/>
      <c r="R3439" s="8"/>
      <c r="Z3439" s="6"/>
    </row>
    <row r="3440" spans="3:26" x14ac:dyDescent="0.25">
      <c r="C3440" s="2"/>
      <c r="J3440" s="8"/>
      <c r="R3440" s="8"/>
      <c r="Z3440" s="6"/>
    </row>
    <row r="3441" spans="3:26" x14ac:dyDescent="0.25">
      <c r="C3441" s="2"/>
      <c r="J3441" s="8"/>
      <c r="R3441" s="8"/>
      <c r="Z3441" s="6"/>
    </row>
    <row r="3442" spans="3:26" x14ac:dyDescent="0.25">
      <c r="C3442" s="2"/>
      <c r="J3442" s="8"/>
      <c r="R3442" s="8"/>
      <c r="Z3442" s="6"/>
    </row>
    <row r="3443" spans="3:26" x14ac:dyDescent="0.25">
      <c r="C3443" s="2"/>
      <c r="J3443" s="8"/>
      <c r="R3443" s="8"/>
      <c r="Z3443" s="6"/>
    </row>
    <row r="3444" spans="3:26" x14ac:dyDescent="0.25">
      <c r="C3444" s="2"/>
      <c r="J3444" s="8"/>
      <c r="R3444" s="8"/>
      <c r="Z3444" s="6"/>
    </row>
    <row r="3445" spans="3:26" x14ac:dyDescent="0.25">
      <c r="C3445" s="2"/>
      <c r="J3445" s="8"/>
      <c r="R3445" s="8"/>
      <c r="Z3445" s="6"/>
    </row>
    <row r="3446" spans="3:26" x14ac:dyDescent="0.25">
      <c r="C3446" s="2"/>
      <c r="J3446" s="8"/>
      <c r="R3446" s="8"/>
      <c r="Z3446" s="6"/>
    </row>
    <row r="3447" spans="3:26" x14ac:dyDescent="0.25">
      <c r="C3447" s="2"/>
      <c r="J3447" s="8"/>
      <c r="R3447" s="8"/>
      <c r="Z3447" s="6"/>
    </row>
    <row r="3448" spans="3:26" x14ac:dyDescent="0.25">
      <c r="C3448" s="2"/>
      <c r="J3448" s="8"/>
      <c r="R3448" s="8"/>
      <c r="Z3448" s="6"/>
    </row>
    <row r="3449" spans="3:26" x14ac:dyDescent="0.25">
      <c r="C3449" s="2"/>
      <c r="J3449" s="8"/>
      <c r="R3449" s="8"/>
      <c r="Z3449" s="6"/>
    </row>
    <row r="3450" spans="3:26" x14ac:dyDescent="0.25">
      <c r="C3450" s="2"/>
      <c r="J3450" s="8"/>
      <c r="R3450" s="8"/>
      <c r="Z3450" s="6"/>
    </row>
    <row r="3451" spans="3:26" x14ac:dyDescent="0.25">
      <c r="C3451" s="2"/>
      <c r="J3451" s="8"/>
      <c r="R3451" s="8"/>
      <c r="Z3451" s="6"/>
    </row>
    <row r="3452" spans="3:26" x14ac:dyDescent="0.25">
      <c r="C3452" s="2"/>
      <c r="J3452" s="8"/>
      <c r="R3452" s="8"/>
      <c r="Z3452" s="6"/>
    </row>
    <row r="3453" spans="3:26" x14ac:dyDescent="0.25">
      <c r="C3453" s="2"/>
      <c r="J3453" s="8"/>
      <c r="R3453" s="8"/>
      <c r="Z3453" s="6"/>
    </row>
    <row r="3454" spans="3:26" x14ac:dyDescent="0.25">
      <c r="C3454" s="2"/>
      <c r="J3454" s="8"/>
      <c r="R3454" s="8"/>
      <c r="Z3454" s="6"/>
    </row>
    <row r="3455" spans="3:26" x14ac:dyDescent="0.25">
      <c r="C3455" s="2"/>
      <c r="J3455" s="8"/>
      <c r="R3455" s="8"/>
      <c r="Z3455" s="6"/>
    </row>
    <row r="3456" spans="3:26" x14ac:dyDescent="0.25">
      <c r="C3456" s="2"/>
      <c r="J3456" s="8"/>
      <c r="R3456" s="8"/>
      <c r="Z3456" s="6"/>
    </row>
    <row r="3457" spans="3:26" x14ac:dyDescent="0.25">
      <c r="C3457" s="2"/>
      <c r="J3457" s="8"/>
      <c r="R3457" s="8"/>
      <c r="Z3457" s="6"/>
    </row>
    <row r="3458" spans="3:26" x14ac:dyDescent="0.25">
      <c r="C3458" s="2"/>
      <c r="J3458" s="8"/>
      <c r="R3458" s="8"/>
      <c r="Z3458" s="6"/>
    </row>
    <row r="3459" spans="3:26" x14ac:dyDescent="0.25">
      <c r="C3459" s="2"/>
      <c r="J3459" s="8"/>
      <c r="R3459" s="8"/>
      <c r="Z3459" s="6"/>
    </row>
    <row r="3460" spans="3:26" x14ac:dyDescent="0.25">
      <c r="C3460" s="2"/>
      <c r="J3460" s="8"/>
      <c r="R3460" s="8"/>
      <c r="Z3460" s="6"/>
    </row>
    <row r="3461" spans="3:26" x14ac:dyDescent="0.25">
      <c r="C3461" s="2"/>
      <c r="J3461" s="8"/>
      <c r="R3461" s="8"/>
      <c r="Z3461" s="6"/>
    </row>
    <row r="3462" spans="3:26" x14ac:dyDescent="0.25">
      <c r="C3462" s="2"/>
      <c r="J3462" s="8"/>
      <c r="R3462" s="8"/>
      <c r="Z3462" s="6"/>
    </row>
    <row r="3463" spans="3:26" x14ac:dyDescent="0.25">
      <c r="C3463" s="2"/>
      <c r="J3463" s="8"/>
      <c r="R3463" s="8"/>
      <c r="Z3463" s="6"/>
    </row>
    <row r="3464" spans="3:26" x14ac:dyDescent="0.25">
      <c r="C3464" s="2"/>
      <c r="J3464" s="8"/>
      <c r="R3464" s="8"/>
      <c r="Z3464" s="6"/>
    </row>
    <row r="3465" spans="3:26" x14ac:dyDescent="0.25">
      <c r="C3465" s="2"/>
      <c r="J3465" s="8"/>
      <c r="R3465" s="8"/>
      <c r="Z3465" s="6"/>
    </row>
    <row r="3466" spans="3:26" x14ac:dyDescent="0.25">
      <c r="C3466" s="2"/>
      <c r="J3466" s="8"/>
      <c r="R3466" s="8"/>
      <c r="Z3466" s="6"/>
    </row>
    <row r="3467" spans="3:26" x14ac:dyDescent="0.25">
      <c r="C3467" s="2"/>
      <c r="J3467" s="8"/>
      <c r="R3467" s="8"/>
      <c r="Z3467" s="6"/>
    </row>
    <row r="3468" spans="3:26" x14ac:dyDescent="0.25">
      <c r="C3468" s="2"/>
      <c r="J3468" s="8"/>
      <c r="R3468" s="8"/>
      <c r="Z3468" s="6"/>
    </row>
    <row r="3469" spans="3:26" x14ac:dyDescent="0.25">
      <c r="C3469" s="2"/>
      <c r="J3469" s="8"/>
      <c r="R3469" s="8"/>
      <c r="Z3469" s="6"/>
    </row>
    <row r="3470" spans="3:26" x14ac:dyDescent="0.25">
      <c r="C3470" s="2"/>
      <c r="J3470" s="8"/>
      <c r="R3470" s="8"/>
      <c r="Z3470" s="6"/>
    </row>
    <row r="3471" spans="3:26" x14ac:dyDescent="0.25">
      <c r="C3471" s="2"/>
      <c r="J3471" s="8"/>
      <c r="R3471" s="8"/>
      <c r="Z3471" s="6"/>
    </row>
    <row r="3472" spans="3:26" x14ac:dyDescent="0.25">
      <c r="C3472" s="2"/>
      <c r="J3472" s="8"/>
      <c r="R3472" s="8"/>
      <c r="Z3472" s="6"/>
    </row>
    <row r="3473" spans="3:26" x14ac:dyDescent="0.25">
      <c r="C3473" s="2"/>
      <c r="J3473" s="8"/>
      <c r="R3473" s="8"/>
      <c r="Z3473" s="6"/>
    </row>
    <row r="3474" spans="3:26" x14ac:dyDescent="0.25">
      <c r="C3474" s="2"/>
      <c r="J3474" s="8"/>
      <c r="R3474" s="8"/>
      <c r="Z3474" s="6"/>
    </row>
    <row r="3475" spans="3:26" x14ac:dyDescent="0.25">
      <c r="C3475" s="2"/>
      <c r="J3475" s="8"/>
      <c r="R3475" s="8"/>
      <c r="Z3475" s="6"/>
    </row>
    <row r="3476" spans="3:26" x14ac:dyDescent="0.25">
      <c r="C3476" s="2"/>
      <c r="J3476" s="8"/>
      <c r="R3476" s="8"/>
      <c r="Z3476" s="6"/>
    </row>
    <row r="3477" spans="3:26" x14ac:dyDescent="0.25">
      <c r="C3477" s="2"/>
      <c r="J3477" s="8"/>
      <c r="R3477" s="8"/>
      <c r="Z3477" s="6"/>
    </row>
    <row r="3478" spans="3:26" x14ac:dyDescent="0.25">
      <c r="C3478" s="2"/>
      <c r="J3478" s="8"/>
      <c r="R3478" s="8"/>
      <c r="Z3478" s="6"/>
    </row>
    <row r="3479" spans="3:26" x14ac:dyDescent="0.25">
      <c r="C3479" s="2"/>
      <c r="J3479" s="8"/>
      <c r="R3479" s="8"/>
      <c r="Z3479" s="6"/>
    </row>
    <row r="3480" spans="3:26" x14ac:dyDescent="0.25">
      <c r="C3480" s="2"/>
      <c r="J3480" s="8"/>
      <c r="R3480" s="8"/>
      <c r="Z3480" s="6"/>
    </row>
    <row r="3481" spans="3:26" x14ac:dyDescent="0.25">
      <c r="C3481" s="2"/>
      <c r="J3481" s="8"/>
      <c r="R3481" s="8"/>
      <c r="Z3481" s="6"/>
    </row>
    <row r="3482" spans="3:26" x14ac:dyDescent="0.25">
      <c r="C3482" s="2"/>
      <c r="J3482" s="8"/>
      <c r="R3482" s="8"/>
      <c r="Z3482" s="6"/>
    </row>
    <row r="3483" spans="3:26" x14ac:dyDescent="0.25">
      <c r="C3483" s="2"/>
      <c r="J3483" s="8"/>
      <c r="R3483" s="8"/>
      <c r="Z3483" s="6"/>
    </row>
    <row r="3484" spans="3:26" x14ac:dyDescent="0.25">
      <c r="C3484" s="2"/>
      <c r="J3484" s="8"/>
      <c r="R3484" s="8"/>
      <c r="Z3484" s="6"/>
    </row>
    <row r="3485" spans="3:26" x14ac:dyDescent="0.25">
      <c r="C3485" s="2"/>
      <c r="J3485" s="8"/>
      <c r="R3485" s="8"/>
      <c r="Z3485" s="6"/>
    </row>
    <row r="3486" spans="3:26" x14ac:dyDescent="0.25">
      <c r="C3486" s="2"/>
      <c r="J3486" s="8"/>
      <c r="R3486" s="8"/>
      <c r="Z3486" s="6"/>
    </row>
    <row r="3487" spans="3:26" x14ac:dyDescent="0.25">
      <c r="C3487" s="2"/>
      <c r="J3487" s="8"/>
      <c r="R3487" s="8"/>
      <c r="Z3487" s="6"/>
    </row>
    <row r="3488" spans="3:26" x14ac:dyDescent="0.25">
      <c r="C3488" s="2"/>
      <c r="J3488" s="8"/>
      <c r="R3488" s="8"/>
      <c r="Z3488" s="6"/>
    </row>
    <row r="3489" spans="3:26" x14ac:dyDescent="0.25">
      <c r="C3489" s="2"/>
      <c r="J3489" s="8"/>
      <c r="R3489" s="8"/>
      <c r="Z3489" s="6"/>
    </row>
    <row r="3490" spans="3:26" x14ac:dyDescent="0.25">
      <c r="C3490" s="2"/>
      <c r="J3490" s="8"/>
      <c r="R3490" s="8"/>
      <c r="Z3490" s="6"/>
    </row>
    <row r="3491" spans="3:26" x14ac:dyDescent="0.25">
      <c r="C3491" s="2"/>
      <c r="J3491" s="8"/>
      <c r="R3491" s="8"/>
      <c r="Z3491" s="6"/>
    </row>
    <row r="3492" spans="3:26" x14ac:dyDescent="0.25">
      <c r="C3492" s="2"/>
      <c r="J3492" s="8"/>
      <c r="R3492" s="8"/>
      <c r="Z3492" s="6"/>
    </row>
    <row r="3493" spans="3:26" x14ac:dyDescent="0.25">
      <c r="C3493" s="2"/>
      <c r="J3493" s="8"/>
      <c r="R3493" s="8"/>
      <c r="Z3493" s="6"/>
    </row>
    <row r="3494" spans="3:26" x14ac:dyDescent="0.25">
      <c r="C3494" s="2"/>
      <c r="J3494" s="8"/>
      <c r="R3494" s="8"/>
      <c r="Z3494" s="6"/>
    </row>
    <row r="3495" spans="3:26" x14ac:dyDescent="0.25">
      <c r="C3495" s="2"/>
      <c r="J3495" s="8"/>
      <c r="R3495" s="8"/>
      <c r="Z3495" s="6"/>
    </row>
    <row r="3496" spans="3:26" x14ac:dyDescent="0.25">
      <c r="C3496" s="2"/>
      <c r="J3496" s="8"/>
      <c r="R3496" s="8"/>
      <c r="Z3496" s="6"/>
    </row>
    <row r="3497" spans="3:26" x14ac:dyDescent="0.25">
      <c r="C3497" s="2"/>
      <c r="J3497" s="8"/>
      <c r="R3497" s="8"/>
      <c r="Z3497" s="6"/>
    </row>
    <row r="3498" spans="3:26" x14ac:dyDescent="0.25">
      <c r="C3498" s="2"/>
      <c r="J3498" s="8"/>
      <c r="R3498" s="8"/>
      <c r="Z3498" s="6"/>
    </row>
    <row r="3499" spans="3:26" x14ac:dyDescent="0.25">
      <c r="C3499" s="2"/>
      <c r="J3499" s="8"/>
      <c r="R3499" s="8"/>
      <c r="Z3499" s="6"/>
    </row>
    <row r="3500" spans="3:26" x14ac:dyDescent="0.25">
      <c r="C3500" s="2"/>
      <c r="J3500" s="8"/>
      <c r="R3500" s="8"/>
      <c r="Z3500" s="6"/>
    </row>
    <row r="3501" spans="3:26" x14ac:dyDescent="0.25">
      <c r="C3501" s="2"/>
      <c r="J3501" s="8"/>
      <c r="R3501" s="8"/>
      <c r="Z3501" s="6"/>
    </row>
    <row r="3502" spans="3:26" x14ac:dyDescent="0.25">
      <c r="C3502" s="2"/>
      <c r="J3502" s="8"/>
      <c r="R3502" s="8"/>
      <c r="Z3502" s="6"/>
    </row>
    <row r="3503" spans="3:26" x14ac:dyDescent="0.25">
      <c r="C3503" s="2"/>
      <c r="J3503" s="8"/>
      <c r="R3503" s="8"/>
      <c r="Z3503" s="6"/>
    </row>
    <row r="3504" spans="3:26" x14ac:dyDescent="0.25">
      <c r="C3504" s="2"/>
      <c r="J3504" s="8"/>
      <c r="R3504" s="8"/>
      <c r="Z3504" s="6"/>
    </row>
    <row r="3505" spans="3:26" x14ac:dyDescent="0.25">
      <c r="C3505" s="2"/>
      <c r="J3505" s="8"/>
      <c r="R3505" s="8"/>
      <c r="Z3505" s="6"/>
    </row>
    <row r="3506" spans="3:26" x14ac:dyDescent="0.25">
      <c r="C3506" s="2"/>
      <c r="J3506" s="8"/>
      <c r="R3506" s="8"/>
      <c r="Z3506" s="6"/>
    </row>
    <row r="3507" spans="3:26" x14ac:dyDescent="0.25">
      <c r="C3507" s="2"/>
      <c r="J3507" s="8"/>
      <c r="R3507" s="8"/>
      <c r="Z3507" s="6"/>
    </row>
    <row r="3508" spans="3:26" x14ac:dyDescent="0.25">
      <c r="C3508" s="2"/>
      <c r="J3508" s="8"/>
      <c r="R3508" s="8"/>
      <c r="Z3508" s="6"/>
    </row>
    <row r="3509" spans="3:26" x14ac:dyDescent="0.25">
      <c r="C3509" s="2"/>
      <c r="J3509" s="8"/>
      <c r="R3509" s="8"/>
      <c r="Z3509" s="6"/>
    </row>
    <row r="3510" spans="3:26" x14ac:dyDescent="0.25">
      <c r="C3510" s="2"/>
      <c r="J3510" s="8"/>
      <c r="R3510" s="8"/>
      <c r="Z3510" s="6"/>
    </row>
    <row r="3511" spans="3:26" x14ac:dyDescent="0.25">
      <c r="C3511" s="2"/>
      <c r="J3511" s="8"/>
      <c r="R3511" s="8"/>
      <c r="Z3511" s="6"/>
    </row>
    <row r="3512" spans="3:26" x14ac:dyDescent="0.25">
      <c r="C3512" s="2"/>
      <c r="J3512" s="8"/>
      <c r="R3512" s="8"/>
      <c r="Z3512" s="6"/>
    </row>
    <row r="3513" spans="3:26" x14ac:dyDescent="0.25">
      <c r="C3513" s="2"/>
      <c r="J3513" s="8"/>
      <c r="R3513" s="8"/>
      <c r="Z3513" s="6"/>
    </row>
    <row r="3514" spans="3:26" x14ac:dyDescent="0.25">
      <c r="C3514" s="2"/>
      <c r="J3514" s="8"/>
      <c r="R3514" s="8"/>
      <c r="Z3514" s="6"/>
    </row>
    <row r="3515" spans="3:26" x14ac:dyDescent="0.25">
      <c r="C3515" s="2"/>
      <c r="J3515" s="8"/>
      <c r="R3515" s="8"/>
      <c r="Z3515" s="6"/>
    </row>
    <row r="3516" spans="3:26" x14ac:dyDescent="0.25">
      <c r="C3516" s="2"/>
      <c r="J3516" s="8"/>
      <c r="R3516" s="8"/>
      <c r="Z3516" s="6"/>
    </row>
    <row r="3517" spans="3:26" x14ac:dyDescent="0.25">
      <c r="C3517" s="2"/>
      <c r="J3517" s="8"/>
      <c r="R3517" s="8"/>
      <c r="Z3517" s="6"/>
    </row>
    <row r="3518" spans="3:26" x14ac:dyDescent="0.25">
      <c r="C3518" s="2"/>
      <c r="J3518" s="8"/>
      <c r="R3518" s="8"/>
      <c r="Z3518" s="6"/>
    </row>
    <row r="3519" spans="3:26" x14ac:dyDescent="0.25">
      <c r="C3519" s="2"/>
      <c r="J3519" s="8"/>
      <c r="R3519" s="8"/>
      <c r="Z3519" s="6"/>
    </row>
    <row r="3520" spans="3:26" x14ac:dyDescent="0.25">
      <c r="C3520" s="2"/>
      <c r="J3520" s="8"/>
      <c r="R3520" s="8"/>
      <c r="Z3520" s="6"/>
    </row>
    <row r="3521" spans="3:26" x14ac:dyDescent="0.25">
      <c r="C3521" s="2"/>
      <c r="J3521" s="8"/>
      <c r="R3521" s="8"/>
      <c r="Z3521" s="6"/>
    </row>
    <row r="3522" spans="3:26" x14ac:dyDescent="0.25">
      <c r="C3522" s="2"/>
      <c r="J3522" s="8"/>
      <c r="R3522" s="8"/>
      <c r="Z3522" s="6"/>
    </row>
    <row r="3523" spans="3:26" x14ac:dyDescent="0.25">
      <c r="C3523" s="2"/>
      <c r="J3523" s="8"/>
      <c r="R3523" s="8"/>
      <c r="Z3523" s="6"/>
    </row>
    <row r="3524" spans="3:26" x14ac:dyDescent="0.25">
      <c r="C3524" s="2"/>
      <c r="J3524" s="8"/>
      <c r="R3524" s="8"/>
      <c r="Z3524" s="6"/>
    </row>
    <row r="3525" spans="3:26" x14ac:dyDescent="0.25">
      <c r="C3525" s="2"/>
      <c r="J3525" s="8"/>
      <c r="R3525" s="8"/>
      <c r="Z3525" s="6"/>
    </row>
    <row r="3526" spans="3:26" x14ac:dyDescent="0.25">
      <c r="C3526" s="2"/>
      <c r="J3526" s="8"/>
      <c r="R3526" s="8"/>
      <c r="Z3526" s="6"/>
    </row>
    <row r="3527" spans="3:26" x14ac:dyDescent="0.25">
      <c r="C3527" s="2"/>
      <c r="J3527" s="8"/>
      <c r="R3527" s="8"/>
      <c r="Z3527" s="6"/>
    </row>
    <row r="3528" spans="3:26" x14ac:dyDescent="0.25">
      <c r="C3528" s="2"/>
      <c r="J3528" s="8"/>
      <c r="R3528" s="8"/>
      <c r="Z3528" s="6"/>
    </row>
    <row r="3529" spans="3:26" x14ac:dyDescent="0.25">
      <c r="C3529" s="2"/>
      <c r="J3529" s="8"/>
      <c r="R3529" s="8"/>
      <c r="Z3529" s="6"/>
    </row>
    <row r="3530" spans="3:26" x14ac:dyDescent="0.25">
      <c r="C3530" s="2"/>
      <c r="J3530" s="8"/>
      <c r="R3530" s="8"/>
      <c r="Z3530" s="6"/>
    </row>
    <row r="3531" spans="3:26" x14ac:dyDescent="0.25">
      <c r="C3531" s="2"/>
      <c r="J3531" s="8"/>
      <c r="R3531" s="8"/>
      <c r="Z3531" s="6"/>
    </row>
    <row r="3532" spans="3:26" x14ac:dyDescent="0.25">
      <c r="C3532" s="2"/>
      <c r="J3532" s="8"/>
      <c r="R3532" s="8"/>
      <c r="Z3532" s="6"/>
    </row>
    <row r="3533" spans="3:26" x14ac:dyDescent="0.25">
      <c r="C3533" s="2"/>
      <c r="J3533" s="8"/>
      <c r="R3533" s="8"/>
      <c r="Z3533" s="6"/>
    </row>
    <row r="3534" spans="3:26" x14ac:dyDescent="0.25">
      <c r="C3534" s="2"/>
      <c r="J3534" s="8"/>
      <c r="R3534" s="8"/>
      <c r="Z3534" s="6"/>
    </row>
    <row r="3535" spans="3:26" x14ac:dyDescent="0.25">
      <c r="C3535" s="2"/>
      <c r="J3535" s="8"/>
      <c r="R3535" s="8"/>
      <c r="Z3535" s="6"/>
    </row>
    <row r="3536" spans="3:26" x14ac:dyDescent="0.25">
      <c r="C3536" s="2"/>
      <c r="J3536" s="8"/>
      <c r="R3536" s="8"/>
      <c r="Z3536" s="6"/>
    </row>
    <row r="3537" spans="3:26" x14ac:dyDescent="0.25">
      <c r="C3537" s="2"/>
      <c r="J3537" s="8"/>
      <c r="R3537" s="8"/>
      <c r="Z3537" s="6"/>
    </row>
    <row r="3538" spans="3:26" x14ac:dyDescent="0.25">
      <c r="C3538" s="2"/>
      <c r="J3538" s="8"/>
      <c r="R3538" s="8"/>
      <c r="Z3538" s="6"/>
    </row>
    <row r="3539" spans="3:26" x14ac:dyDescent="0.25">
      <c r="C3539" s="2"/>
      <c r="J3539" s="8"/>
      <c r="R3539" s="8"/>
      <c r="Z3539" s="6"/>
    </row>
    <row r="3540" spans="3:26" x14ac:dyDescent="0.25">
      <c r="C3540" s="2"/>
      <c r="J3540" s="8"/>
      <c r="R3540" s="8"/>
      <c r="Z3540" s="6"/>
    </row>
    <row r="3541" spans="3:26" x14ac:dyDescent="0.25">
      <c r="C3541" s="2"/>
      <c r="J3541" s="8"/>
      <c r="R3541" s="8"/>
      <c r="Z3541" s="6"/>
    </row>
    <row r="3542" spans="3:26" x14ac:dyDescent="0.25">
      <c r="C3542" s="2"/>
      <c r="J3542" s="8"/>
      <c r="R3542" s="8"/>
      <c r="Z3542" s="6"/>
    </row>
    <row r="3543" spans="3:26" x14ac:dyDescent="0.25">
      <c r="C3543" s="2"/>
      <c r="J3543" s="8"/>
      <c r="R3543" s="8"/>
      <c r="Z3543" s="6"/>
    </row>
    <row r="3544" spans="3:26" x14ac:dyDescent="0.25">
      <c r="C3544" s="2"/>
      <c r="J3544" s="8"/>
      <c r="R3544" s="8"/>
      <c r="Z3544" s="6"/>
    </row>
    <row r="3545" spans="3:26" x14ac:dyDescent="0.25">
      <c r="C3545" s="2"/>
      <c r="J3545" s="8"/>
      <c r="R3545" s="8"/>
      <c r="Z3545" s="6"/>
    </row>
    <row r="3546" spans="3:26" x14ac:dyDescent="0.25">
      <c r="C3546" s="2"/>
      <c r="J3546" s="8"/>
      <c r="R3546" s="8"/>
      <c r="Z3546" s="6"/>
    </row>
    <row r="3547" spans="3:26" x14ac:dyDescent="0.25">
      <c r="C3547" s="2"/>
      <c r="J3547" s="8"/>
      <c r="R3547" s="8"/>
      <c r="Z3547" s="6"/>
    </row>
    <row r="3548" spans="3:26" x14ac:dyDescent="0.25">
      <c r="C3548" s="2"/>
      <c r="J3548" s="8"/>
      <c r="R3548" s="8"/>
      <c r="Z3548" s="6"/>
    </row>
    <row r="3549" spans="3:26" x14ac:dyDescent="0.25">
      <c r="C3549" s="2"/>
      <c r="J3549" s="8"/>
      <c r="R3549" s="8"/>
      <c r="Z3549" s="6"/>
    </row>
    <row r="3550" spans="3:26" x14ac:dyDescent="0.25">
      <c r="C3550" s="2"/>
      <c r="J3550" s="8"/>
      <c r="R3550" s="8"/>
      <c r="Z3550" s="6"/>
    </row>
    <row r="3551" spans="3:26" x14ac:dyDescent="0.25">
      <c r="C3551" s="2"/>
      <c r="J3551" s="8"/>
      <c r="R3551" s="8"/>
      <c r="Z3551" s="6"/>
    </row>
    <row r="3552" spans="3:26" x14ac:dyDescent="0.25">
      <c r="C3552" s="2"/>
      <c r="J3552" s="8"/>
      <c r="R3552" s="8"/>
      <c r="Z3552" s="6"/>
    </row>
    <row r="3553" spans="3:26" x14ac:dyDescent="0.25">
      <c r="C3553" s="2"/>
      <c r="J3553" s="8"/>
      <c r="R3553" s="8"/>
      <c r="Z3553" s="6"/>
    </row>
    <row r="3554" spans="3:26" x14ac:dyDescent="0.25">
      <c r="C3554" s="2"/>
      <c r="J3554" s="8"/>
      <c r="R3554" s="8"/>
      <c r="Z3554" s="6"/>
    </row>
    <row r="3555" spans="3:26" x14ac:dyDescent="0.25">
      <c r="C3555" s="2"/>
      <c r="J3555" s="8"/>
      <c r="R3555" s="8"/>
      <c r="Z3555" s="6"/>
    </row>
    <row r="3556" spans="3:26" x14ac:dyDescent="0.25">
      <c r="C3556" s="2"/>
      <c r="J3556" s="8"/>
      <c r="R3556" s="8"/>
      <c r="Z3556" s="6"/>
    </row>
    <row r="3557" spans="3:26" x14ac:dyDescent="0.25">
      <c r="C3557" s="2"/>
      <c r="J3557" s="8"/>
      <c r="R3557" s="8"/>
      <c r="Z3557" s="6"/>
    </row>
    <row r="3558" spans="3:26" x14ac:dyDescent="0.25">
      <c r="C3558" s="2"/>
      <c r="J3558" s="8"/>
      <c r="R3558" s="8"/>
      <c r="Z3558" s="6"/>
    </row>
    <row r="3559" spans="3:26" x14ac:dyDescent="0.25">
      <c r="C3559" s="2"/>
      <c r="J3559" s="8"/>
      <c r="R3559" s="8"/>
      <c r="Z3559" s="6"/>
    </row>
    <row r="3560" spans="3:26" x14ac:dyDescent="0.25">
      <c r="C3560" s="2"/>
      <c r="J3560" s="8"/>
      <c r="R3560" s="8"/>
      <c r="Z3560" s="6"/>
    </row>
    <row r="3561" spans="3:26" x14ac:dyDescent="0.25">
      <c r="C3561" s="2"/>
      <c r="J3561" s="8"/>
      <c r="R3561" s="8"/>
      <c r="Z3561" s="6"/>
    </row>
    <row r="3562" spans="3:26" x14ac:dyDescent="0.25">
      <c r="C3562" s="2"/>
      <c r="J3562" s="8"/>
      <c r="R3562" s="8"/>
      <c r="Z3562" s="6"/>
    </row>
    <row r="3563" spans="3:26" x14ac:dyDescent="0.25">
      <c r="C3563" s="2"/>
      <c r="J3563" s="8"/>
      <c r="R3563" s="8"/>
      <c r="Z3563" s="6"/>
    </row>
    <row r="3564" spans="3:26" x14ac:dyDescent="0.25">
      <c r="C3564" s="2"/>
      <c r="J3564" s="8"/>
      <c r="R3564" s="8"/>
      <c r="Z3564" s="6"/>
    </row>
    <row r="3565" spans="3:26" x14ac:dyDescent="0.25">
      <c r="C3565" s="2"/>
      <c r="J3565" s="8"/>
      <c r="R3565" s="8"/>
      <c r="Z3565" s="6"/>
    </row>
    <row r="3566" spans="3:26" x14ac:dyDescent="0.25">
      <c r="C3566" s="2"/>
      <c r="J3566" s="8"/>
      <c r="R3566" s="8"/>
      <c r="Z3566" s="6"/>
    </row>
    <row r="3567" spans="3:26" x14ac:dyDescent="0.25">
      <c r="C3567" s="2"/>
      <c r="J3567" s="8"/>
      <c r="R3567" s="8"/>
      <c r="Z3567" s="6"/>
    </row>
    <row r="3568" spans="3:26" x14ac:dyDescent="0.25">
      <c r="C3568" s="2"/>
      <c r="J3568" s="8"/>
      <c r="R3568" s="8"/>
      <c r="Z3568" s="6"/>
    </row>
    <row r="3569" spans="3:26" x14ac:dyDescent="0.25">
      <c r="C3569" s="2"/>
      <c r="J3569" s="8"/>
      <c r="R3569" s="8"/>
      <c r="Z3569" s="6"/>
    </row>
    <row r="3570" spans="3:26" x14ac:dyDescent="0.25">
      <c r="C3570" s="2"/>
      <c r="J3570" s="8"/>
      <c r="R3570" s="8"/>
      <c r="Z3570" s="6"/>
    </row>
    <row r="3571" spans="3:26" x14ac:dyDescent="0.25">
      <c r="C3571" s="2"/>
      <c r="J3571" s="8"/>
      <c r="R3571" s="8"/>
      <c r="Z3571" s="6"/>
    </row>
    <row r="3572" spans="3:26" x14ac:dyDescent="0.25">
      <c r="C3572" s="2"/>
      <c r="J3572" s="8"/>
      <c r="R3572" s="8"/>
      <c r="Z3572" s="6"/>
    </row>
    <row r="3573" spans="3:26" x14ac:dyDescent="0.25">
      <c r="C3573" s="2"/>
      <c r="J3573" s="8"/>
      <c r="R3573" s="8"/>
      <c r="Z3573" s="6"/>
    </row>
    <row r="3574" spans="3:26" x14ac:dyDescent="0.25">
      <c r="C3574" s="2"/>
      <c r="J3574" s="8"/>
      <c r="R3574" s="8"/>
      <c r="Z3574" s="6"/>
    </row>
    <row r="3575" spans="3:26" x14ac:dyDescent="0.25">
      <c r="C3575" s="2"/>
      <c r="J3575" s="8"/>
      <c r="R3575" s="8"/>
      <c r="Z3575" s="6"/>
    </row>
    <row r="3576" spans="3:26" x14ac:dyDescent="0.25">
      <c r="C3576" s="2"/>
      <c r="J3576" s="8"/>
      <c r="R3576" s="8"/>
      <c r="Z3576" s="6"/>
    </row>
    <row r="3577" spans="3:26" x14ac:dyDescent="0.25">
      <c r="C3577" s="2"/>
      <c r="J3577" s="8"/>
      <c r="R3577" s="8"/>
      <c r="Z3577" s="6"/>
    </row>
    <row r="3578" spans="3:26" x14ac:dyDescent="0.25">
      <c r="C3578" s="2"/>
      <c r="J3578" s="8"/>
      <c r="R3578" s="8"/>
      <c r="Z3578" s="6"/>
    </row>
    <row r="3579" spans="3:26" x14ac:dyDescent="0.25">
      <c r="C3579" s="2"/>
      <c r="J3579" s="8"/>
      <c r="R3579" s="8"/>
      <c r="Z3579" s="6"/>
    </row>
    <row r="3580" spans="3:26" x14ac:dyDescent="0.25">
      <c r="C3580" s="2"/>
      <c r="J3580" s="8"/>
      <c r="R3580" s="8"/>
      <c r="Z3580" s="6"/>
    </row>
    <row r="3581" spans="3:26" x14ac:dyDescent="0.25">
      <c r="C3581" s="2"/>
      <c r="J3581" s="8"/>
      <c r="R3581" s="8"/>
      <c r="Z3581" s="6"/>
    </row>
    <row r="3582" spans="3:26" x14ac:dyDescent="0.25">
      <c r="C3582" s="2"/>
      <c r="J3582" s="8"/>
      <c r="R3582" s="8"/>
      <c r="Z3582" s="6"/>
    </row>
    <row r="3583" spans="3:26" x14ac:dyDescent="0.25">
      <c r="C3583" s="2"/>
      <c r="J3583" s="8"/>
      <c r="R3583" s="8"/>
      <c r="Z3583" s="6"/>
    </row>
    <row r="3584" spans="3:26" x14ac:dyDescent="0.25">
      <c r="C3584" s="2"/>
      <c r="J3584" s="8"/>
      <c r="R3584" s="8"/>
      <c r="Z3584" s="6"/>
    </row>
    <row r="3585" spans="3:26" x14ac:dyDescent="0.25">
      <c r="C3585" s="2"/>
      <c r="J3585" s="8"/>
      <c r="R3585" s="8"/>
      <c r="Z3585" s="6"/>
    </row>
    <row r="3586" spans="3:26" x14ac:dyDescent="0.25">
      <c r="C3586" s="2"/>
      <c r="J3586" s="8"/>
      <c r="R3586" s="8"/>
      <c r="Z3586" s="6"/>
    </row>
    <row r="3587" spans="3:26" x14ac:dyDescent="0.25">
      <c r="C3587" s="2"/>
      <c r="J3587" s="8"/>
      <c r="R3587" s="8"/>
      <c r="Z3587" s="6"/>
    </row>
    <row r="3588" spans="3:26" x14ac:dyDescent="0.25">
      <c r="C3588" s="2"/>
      <c r="J3588" s="8"/>
      <c r="R3588" s="8"/>
      <c r="Z3588" s="6"/>
    </row>
    <row r="3589" spans="3:26" x14ac:dyDescent="0.25">
      <c r="C3589" s="2"/>
      <c r="J3589" s="8"/>
      <c r="R3589" s="8"/>
      <c r="Z3589" s="6"/>
    </row>
    <row r="3590" spans="3:26" x14ac:dyDescent="0.25">
      <c r="C3590" s="2"/>
      <c r="J3590" s="8"/>
      <c r="R3590" s="8"/>
      <c r="Z3590" s="6"/>
    </row>
    <row r="3591" spans="3:26" x14ac:dyDescent="0.25">
      <c r="C3591" s="2"/>
      <c r="J3591" s="8"/>
      <c r="R3591" s="8"/>
      <c r="Z3591" s="6"/>
    </row>
    <row r="3592" spans="3:26" x14ac:dyDescent="0.25">
      <c r="C3592" s="2"/>
      <c r="J3592" s="8"/>
      <c r="R3592" s="8"/>
      <c r="Z3592" s="6"/>
    </row>
    <row r="3593" spans="3:26" x14ac:dyDescent="0.25">
      <c r="C3593" s="2"/>
      <c r="J3593" s="8"/>
      <c r="R3593" s="8"/>
      <c r="Z3593" s="6"/>
    </row>
    <row r="3594" spans="3:26" x14ac:dyDescent="0.25">
      <c r="C3594" s="2"/>
      <c r="J3594" s="8"/>
      <c r="R3594" s="8"/>
      <c r="Z3594" s="6"/>
    </row>
    <row r="3595" spans="3:26" x14ac:dyDescent="0.25">
      <c r="C3595" s="2"/>
      <c r="J3595" s="8"/>
      <c r="R3595" s="8"/>
      <c r="Z3595" s="6"/>
    </row>
    <row r="3596" spans="3:26" x14ac:dyDescent="0.25">
      <c r="C3596" s="2"/>
      <c r="J3596" s="8"/>
      <c r="R3596" s="8"/>
      <c r="Z3596" s="6"/>
    </row>
    <row r="3597" spans="3:26" x14ac:dyDescent="0.25">
      <c r="C3597" s="2"/>
      <c r="J3597" s="8"/>
      <c r="R3597" s="8"/>
      <c r="Z3597" s="6"/>
    </row>
    <row r="3598" spans="3:26" x14ac:dyDescent="0.25">
      <c r="C3598" s="2"/>
      <c r="J3598" s="8"/>
      <c r="R3598" s="8"/>
      <c r="Z3598" s="6"/>
    </row>
    <row r="3599" spans="3:26" x14ac:dyDescent="0.25">
      <c r="C3599" s="2"/>
      <c r="J3599" s="8"/>
      <c r="R3599" s="8"/>
      <c r="Z3599" s="6"/>
    </row>
    <row r="3600" spans="3:26" x14ac:dyDescent="0.25">
      <c r="C3600" s="2"/>
      <c r="J3600" s="8"/>
      <c r="R3600" s="8"/>
      <c r="Z3600" s="6"/>
    </row>
    <row r="3601" spans="3:26" x14ac:dyDescent="0.25">
      <c r="C3601" s="2"/>
      <c r="J3601" s="8"/>
      <c r="R3601" s="8"/>
      <c r="Z3601" s="6"/>
    </row>
    <row r="3602" spans="3:26" x14ac:dyDescent="0.25">
      <c r="C3602" s="2"/>
      <c r="J3602" s="8"/>
      <c r="R3602" s="8"/>
      <c r="Z3602" s="6"/>
    </row>
    <row r="3603" spans="3:26" x14ac:dyDescent="0.25">
      <c r="C3603" s="2"/>
      <c r="J3603" s="8"/>
      <c r="R3603" s="8"/>
      <c r="Z3603" s="6"/>
    </row>
    <row r="3604" spans="3:26" x14ac:dyDescent="0.25">
      <c r="C3604" s="2"/>
      <c r="J3604" s="8"/>
      <c r="R3604" s="8"/>
      <c r="Z3604" s="6"/>
    </row>
    <row r="3605" spans="3:26" x14ac:dyDescent="0.25">
      <c r="C3605" s="2"/>
      <c r="J3605" s="8"/>
      <c r="R3605" s="8"/>
      <c r="Z3605" s="6"/>
    </row>
    <row r="3606" spans="3:26" x14ac:dyDescent="0.25">
      <c r="C3606" s="2"/>
      <c r="J3606" s="8"/>
      <c r="R3606" s="8"/>
      <c r="Z3606" s="6"/>
    </row>
    <row r="3607" spans="3:26" x14ac:dyDescent="0.25">
      <c r="C3607" s="2"/>
      <c r="J3607" s="8"/>
      <c r="R3607" s="8"/>
      <c r="Z3607" s="6"/>
    </row>
    <row r="3608" spans="3:26" x14ac:dyDescent="0.25">
      <c r="C3608" s="2"/>
      <c r="J3608" s="8"/>
      <c r="R3608" s="8"/>
      <c r="Z3608" s="6"/>
    </row>
    <row r="3609" spans="3:26" x14ac:dyDescent="0.25">
      <c r="C3609" s="2"/>
      <c r="J3609" s="8"/>
      <c r="R3609" s="8"/>
      <c r="Z3609" s="6"/>
    </row>
    <row r="3610" spans="3:26" x14ac:dyDescent="0.25">
      <c r="C3610" s="2"/>
      <c r="J3610" s="8"/>
      <c r="R3610" s="8"/>
      <c r="Z3610" s="6"/>
    </row>
    <row r="3611" spans="3:26" x14ac:dyDescent="0.25">
      <c r="C3611" s="2"/>
      <c r="J3611" s="8"/>
      <c r="R3611" s="8"/>
      <c r="Z3611" s="6"/>
    </row>
    <row r="3612" spans="3:26" x14ac:dyDescent="0.25">
      <c r="C3612" s="2"/>
      <c r="J3612" s="8"/>
      <c r="R3612" s="8"/>
      <c r="Z3612" s="6"/>
    </row>
    <row r="3613" spans="3:26" x14ac:dyDescent="0.25">
      <c r="C3613" s="2"/>
      <c r="J3613" s="8"/>
      <c r="R3613" s="8"/>
      <c r="Z3613" s="6"/>
    </row>
    <row r="3614" spans="3:26" x14ac:dyDescent="0.25">
      <c r="C3614" s="2"/>
      <c r="J3614" s="8"/>
      <c r="R3614" s="8"/>
      <c r="Z3614" s="6"/>
    </row>
    <row r="3615" spans="3:26" x14ac:dyDescent="0.25">
      <c r="C3615" s="2"/>
      <c r="J3615" s="8"/>
      <c r="R3615" s="8"/>
      <c r="Z3615" s="6"/>
    </row>
    <row r="3616" spans="3:26" x14ac:dyDescent="0.25">
      <c r="C3616" s="2"/>
      <c r="J3616" s="8"/>
      <c r="R3616" s="8"/>
      <c r="Z3616" s="6"/>
    </row>
    <row r="3617" spans="3:26" x14ac:dyDescent="0.25">
      <c r="C3617" s="2"/>
      <c r="J3617" s="8"/>
      <c r="R3617" s="8"/>
      <c r="Z3617" s="6"/>
    </row>
    <row r="3618" spans="3:26" x14ac:dyDescent="0.25">
      <c r="C3618" s="2"/>
      <c r="J3618" s="8"/>
      <c r="R3618" s="8"/>
      <c r="Z3618" s="6"/>
    </row>
    <row r="3619" spans="3:26" x14ac:dyDescent="0.25">
      <c r="C3619" s="2"/>
      <c r="J3619" s="8"/>
      <c r="R3619" s="8"/>
      <c r="Z3619" s="6"/>
    </row>
    <row r="3620" spans="3:26" x14ac:dyDescent="0.25">
      <c r="C3620" s="2"/>
      <c r="J3620" s="8"/>
      <c r="R3620" s="8"/>
      <c r="Z3620" s="6"/>
    </row>
    <row r="3621" spans="3:26" x14ac:dyDescent="0.25">
      <c r="C3621" s="2"/>
      <c r="J3621" s="8"/>
      <c r="R3621" s="8"/>
      <c r="Z3621" s="6"/>
    </row>
    <row r="3622" spans="3:26" x14ac:dyDescent="0.25">
      <c r="C3622" s="2"/>
      <c r="J3622" s="8"/>
      <c r="R3622" s="8"/>
      <c r="Z3622" s="6"/>
    </row>
    <row r="3623" spans="3:26" x14ac:dyDescent="0.25">
      <c r="C3623" s="2"/>
      <c r="J3623" s="8"/>
      <c r="R3623" s="8"/>
      <c r="Z3623" s="6"/>
    </row>
    <row r="3624" spans="3:26" x14ac:dyDescent="0.25">
      <c r="C3624" s="2"/>
      <c r="J3624" s="8"/>
      <c r="R3624" s="8"/>
      <c r="Z3624" s="6"/>
    </row>
    <row r="3625" spans="3:26" x14ac:dyDescent="0.25">
      <c r="C3625" s="2"/>
      <c r="J3625" s="8"/>
      <c r="R3625" s="8"/>
      <c r="Z3625" s="6"/>
    </row>
    <row r="3626" spans="3:26" x14ac:dyDescent="0.25">
      <c r="C3626" s="2"/>
      <c r="J3626" s="8"/>
      <c r="R3626" s="8"/>
      <c r="Z3626" s="6"/>
    </row>
    <row r="3627" spans="3:26" x14ac:dyDescent="0.25">
      <c r="C3627" s="2"/>
      <c r="J3627" s="8"/>
      <c r="R3627" s="8"/>
      <c r="Z3627" s="6"/>
    </row>
    <row r="3628" spans="3:26" x14ac:dyDescent="0.25">
      <c r="C3628" s="2"/>
      <c r="J3628" s="8"/>
      <c r="R3628" s="8"/>
      <c r="Z3628" s="6"/>
    </row>
    <row r="3629" spans="3:26" x14ac:dyDescent="0.25">
      <c r="C3629" s="2"/>
      <c r="J3629" s="8"/>
      <c r="R3629" s="8"/>
      <c r="Z3629" s="6"/>
    </row>
    <row r="3630" spans="3:26" x14ac:dyDescent="0.25">
      <c r="C3630" s="2"/>
      <c r="J3630" s="8"/>
      <c r="R3630" s="8"/>
      <c r="Z3630" s="6"/>
    </row>
    <row r="3631" spans="3:26" x14ac:dyDescent="0.25">
      <c r="C3631" s="2"/>
      <c r="J3631" s="8"/>
      <c r="R3631" s="8"/>
      <c r="Z3631" s="6"/>
    </row>
    <row r="3632" spans="3:26" x14ac:dyDescent="0.25">
      <c r="C3632" s="2"/>
      <c r="J3632" s="8"/>
      <c r="R3632" s="8"/>
      <c r="Z3632" s="6"/>
    </row>
    <row r="3633" spans="3:26" x14ac:dyDescent="0.25">
      <c r="C3633" s="2"/>
      <c r="J3633" s="8"/>
      <c r="R3633" s="8"/>
      <c r="Z3633" s="6"/>
    </row>
    <row r="3634" spans="3:26" x14ac:dyDescent="0.25">
      <c r="C3634" s="2"/>
      <c r="J3634" s="8"/>
      <c r="R3634" s="8"/>
      <c r="Z3634" s="6"/>
    </row>
    <row r="3635" spans="3:26" x14ac:dyDescent="0.25">
      <c r="C3635" s="2"/>
      <c r="J3635" s="8"/>
      <c r="R3635" s="8"/>
      <c r="Z3635" s="6"/>
    </row>
    <row r="3636" spans="3:26" x14ac:dyDescent="0.25">
      <c r="C3636" s="2"/>
      <c r="J3636" s="8"/>
      <c r="R3636" s="8"/>
      <c r="Z3636" s="6"/>
    </row>
    <row r="3637" spans="3:26" x14ac:dyDescent="0.25">
      <c r="C3637" s="2"/>
      <c r="J3637" s="8"/>
      <c r="R3637" s="8"/>
      <c r="Z3637" s="6"/>
    </row>
    <row r="3638" spans="3:26" x14ac:dyDescent="0.25">
      <c r="C3638" s="2"/>
      <c r="J3638" s="8"/>
      <c r="R3638" s="8"/>
      <c r="Z3638" s="6"/>
    </row>
    <row r="3639" spans="3:26" x14ac:dyDescent="0.25">
      <c r="C3639" s="2"/>
      <c r="J3639" s="8"/>
      <c r="R3639" s="8"/>
      <c r="Z3639" s="6"/>
    </row>
    <row r="3640" spans="3:26" x14ac:dyDescent="0.25">
      <c r="C3640" s="2"/>
      <c r="J3640" s="8"/>
      <c r="R3640" s="8"/>
      <c r="Z3640" s="6"/>
    </row>
    <row r="3641" spans="3:26" x14ac:dyDescent="0.25">
      <c r="C3641" s="2"/>
      <c r="J3641" s="8"/>
      <c r="R3641" s="8"/>
      <c r="Z3641" s="6"/>
    </row>
    <row r="3642" spans="3:26" x14ac:dyDescent="0.25">
      <c r="C3642" s="2"/>
      <c r="J3642" s="8"/>
      <c r="R3642" s="8"/>
      <c r="Z3642" s="6"/>
    </row>
    <row r="3643" spans="3:26" x14ac:dyDescent="0.25">
      <c r="C3643" s="2"/>
      <c r="J3643" s="8"/>
      <c r="R3643" s="8"/>
      <c r="Z3643" s="6"/>
    </row>
    <row r="3644" spans="3:26" x14ac:dyDescent="0.25">
      <c r="C3644" s="2"/>
      <c r="J3644" s="8"/>
      <c r="R3644" s="8"/>
      <c r="Z3644" s="6"/>
    </row>
    <row r="3645" spans="3:26" x14ac:dyDescent="0.25">
      <c r="C3645" s="2"/>
      <c r="J3645" s="8"/>
      <c r="R3645" s="8"/>
      <c r="Z3645" s="6"/>
    </row>
    <row r="3646" spans="3:26" x14ac:dyDescent="0.25">
      <c r="C3646" s="2"/>
      <c r="J3646" s="8"/>
      <c r="R3646" s="8"/>
      <c r="Z3646" s="6"/>
    </row>
    <row r="3647" spans="3:26" x14ac:dyDescent="0.25">
      <c r="C3647" s="2"/>
      <c r="J3647" s="8"/>
      <c r="R3647" s="8"/>
      <c r="Z3647" s="6"/>
    </row>
    <row r="3648" spans="3:26" x14ac:dyDescent="0.25">
      <c r="C3648" s="2"/>
      <c r="J3648" s="8"/>
      <c r="R3648" s="8"/>
      <c r="Z3648" s="6"/>
    </row>
    <row r="3649" spans="3:26" x14ac:dyDescent="0.25">
      <c r="C3649" s="2"/>
      <c r="J3649" s="8"/>
      <c r="R3649" s="8"/>
      <c r="Z3649" s="6"/>
    </row>
    <row r="3650" spans="3:26" x14ac:dyDescent="0.25">
      <c r="C3650" s="2"/>
      <c r="J3650" s="8"/>
      <c r="R3650" s="8"/>
      <c r="Z3650" s="6"/>
    </row>
    <row r="3651" spans="3:26" x14ac:dyDescent="0.25">
      <c r="C3651" s="2"/>
      <c r="J3651" s="8"/>
      <c r="R3651" s="8"/>
      <c r="Z3651" s="6"/>
    </row>
    <row r="3652" spans="3:26" x14ac:dyDescent="0.25">
      <c r="C3652" s="2"/>
      <c r="J3652" s="8"/>
      <c r="R3652" s="8"/>
      <c r="Z3652" s="6"/>
    </row>
    <row r="3653" spans="3:26" x14ac:dyDescent="0.25">
      <c r="C3653" s="2"/>
      <c r="J3653" s="8"/>
      <c r="R3653" s="8"/>
      <c r="Z3653" s="6"/>
    </row>
    <row r="3654" spans="3:26" x14ac:dyDescent="0.25">
      <c r="C3654" s="2"/>
      <c r="J3654" s="8"/>
      <c r="R3654" s="8"/>
      <c r="Z3654" s="6"/>
    </row>
    <row r="3655" spans="3:26" x14ac:dyDescent="0.25">
      <c r="C3655" s="2"/>
      <c r="J3655" s="8"/>
      <c r="R3655" s="8"/>
      <c r="Z3655" s="6"/>
    </row>
    <row r="3656" spans="3:26" x14ac:dyDescent="0.25">
      <c r="C3656" s="2"/>
      <c r="J3656" s="8"/>
      <c r="R3656" s="8"/>
      <c r="Z3656" s="6"/>
    </row>
    <row r="3657" spans="3:26" x14ac:dyDescent="0.25">
      <c r="C3657" s="2"/>
      <c r="J3657" s="8"/>
      <c r="R3657" s="8"/>
      <c r="Z3657" s="6"/>
    </row>
    <row r="3658" spans="3:26" x14ac:dyDescent="0.25">
      <c r="C3658" s="2"/>
      <c r="J3658" s="8"/>
      <c r="R3658" s="8"/>
      <c r="Z3658" s="6"/>
    </row>
    <row r="3659" spans="3:26" x14ac:dyDescent="0.25">
      <c r="C3659" s="2"/>
      <c r="J3659" s="8"/>
      <c r="R3659" s="8"/>
      <c r="Z3659" s="6"/>
    </row>
    <row r="3660" spans="3:26" x14ac:dyDescent="0.25">
      <c r="C3660" s="2"/>
      <c r="J3660" s="8"/>
      <c r="R3660" s="8"/>
      <c r="Z3660" s="6"/>
    </row>
    <row r="3661" spans="3:26" x14ac:dyDescent="0.25">
      <c r="C3661" s="2"/>
      <c r="J3661" s="8"/>
      <c r="R3661" s="8"/>
      <c r="Z3661" s="6"/>
    </row>
    <row r="3662" spans="3:26" x14ac:dyDescent="0.25">
      <c r="C3662" s="2"/>
      <c r="J3662" s="8"/>
      <c r="R3662" s="8"/>
      <c r="Z3662" s="6"/>
    </row>
    <row r="3663" spans="3:26" x14ac:dyDescent="0.25">
      <c r="C3663" s="2"/>
      <c r="J3663" s="8"/>
      <c r="R3663" s="8"/>
      <c r="Z3663" s="6"/>
    </row>
    <row r="3664" spans="3:26" x14ac:dyDescent="0.25">
      <c r="C3664" s="2"/>
      <c r="J3664" s="8"/>
      <c r="R3664" s="8"/>
      <c r="Z3664" s="6"/>
    </row>
    <row r="3665" spans="3:26" x14ac:dyDescent="0.25">
      <c r="C3665" s="2"/>
      <c r="J3665" s="8"/>
      <c r="R3665" s="8"/>
      <c r="Z3665" s="6"/>
    </row>
    <row r="3666" spans="3:26" x14ac:dyDescent="0.25">
      <c r="C3666" s="2"/>
      <c r="J3666" s="8"/>
      <c r="R3666" s="8"/>
      <c r="Z3666" s="6"/>
    </row>
    <row r="3667" spans="3:26" x14ac:dyDescent="0.25">
      <c r="C3667" s="2"/>
      <c r="J3667" s="8"/>
      <c r="R3667" s="8"/>
      <c r="Z3667" s="6"/>
    </row>
    <row r="3668" spans="3:26" x14ac:dyDescent="0.25">
      <c r="C3668" s="2"/>
      <c r="J3668" s="8"/>
      <c r="R3668" s="8"/>
      <c r="Z3668" s="6"/>
    </row>
    <row r="3669" spans="3:26" x14ac:dyDescent="0.25">
      <c r="C3669" s="2"/>
      <c r="J3669" s="8"/>
      <c r="R3669" s="8"/>
      <c r="Z3669" s="6"/>
    </row>
    <row r="3670" spans="3:26" x14ac:dyDescent="0.25">
      <c r="C3670" s="2"/>
      <c r="J3670" s="8"/>
      <c r="R3670" s="8"/>
      <c r="Z3670" s="6"/>
    </row>
    <row r="3671" spans="3:26" x14ac:dyDescent="0.25">
      <c r="C3671" s="2"/>
      <c r="J3671" s="8"/>
      <c r="R3671" s="8"/>
      <c r="Z3671" s="6"/>
    </row>
    <row r="3672" spans="3:26" x14ac:dyDescent="0.25">
      <c r="C3672" s="2"/>
      <c r="J3672" s="8"/>
      <c r="R3672" s="8"/>
      <c r="Z3672" s="6"/>
    </row>
    <row r="3673" spans="3:26" x14ac:dyDescent="0.25">
      <c r="C3673" s="2"/>
      <c r="J3673" s="8"/>
      <c r="R3673" s="8"/>
      <c r="Z3673" s="6"/>
    </row>
    <row r="3674" spans="3:26" x14ac:dyDescent="0.25">
      <c r="C3674" s="2"/>
      <c r="J3674" s="8"/>
      <c r="R3674" s="8"/>
      <c r="Z3674" s="6"/>
    </row>
    <row r="3675" spans="3:26" x14ac:dyDescent="0.25">
      <c r="C3675" s="2"/>
      <c r="J3675" s="8"/>
      <c r="R3675" s="8"/>
      <c r="Z3675" s="6"/>
    </row>
    <row r="3676" spans="3:26" x14ac:dyDescent="0.25">
      <c r="C3676" s="2"/>
      <c r="J3676" s="8"/>
      <c r="R3676" s="8"/>
      <c r="Z3676" s="6"/>
    </row>
    <row r="3677" spans="3:26" x14ac:dyDescent="0.25">
      <c r="C3677" s="2"/>
      <c r="J3677" s="8"/>
      <c r="R3677" s="8"/>
      <c r="Z3677" s="6"/>
    </row>
    <row r="3678" spans="3:26" x14ac:dyDescent="0.25">
      <c r="C3678" s="2"/>
      <c r="J3678" s="8"/>
      <c r="R3678" s="8"/>
      <c r="Z3678" s="6"/>
    </row>
    <row r="3679" spans="3:26" x14ac:dyDescent="0.25">
      <c r="C3679" s="2"/>
      <c r="J3679" s="8"/>
      <c r="R3679" s="8"/>
      <c r="Z3679" s="6"/>
    </row>
    <row r="3680" spans="3:26" x14ac:dyDescent="0.25">
      <c r="C3680" s="2"/>
      <c r="J3680" s="8"/>
      <c r="R3680" s="8"/>
      <c r="Z3680" s="6"/>
    </row>
    <row r="3681" spans="3:26" x14ac:dyDescent="0.25">
      <c r="C3681" s="2"/>
      <c r="J3681" s="8"/>
      <c r="R3681" s="8"/>
      <c r="Z3681" s="6"/>
    </row>
    <row r="3682" spans="3:26" x14ac:dyDescent="0.25">
      <c r="C3682" s="2"/>
      <c r="J3682" s="8"/>
      <c r="R3682" s="8"/>
      <c r="Z3682" s="6"/>
    </row>
    <row r="3683" spans="3:26" x14ac:dyDescent="0.25">
      <c r="C3683" s="2"/>
      <c r="J3683" s="8"/>
      <c r="R3683" s="8"/>
      <c r="Z3683" s="6"/>
    </row>
    <row r="3684" spans="3:26" x14ac:dyDescent="0.25">
      <c r="C3684" s="2"/>
      <c r="J3684" s="8"/>
      <c r="R3684" s="8"/>
      <c r="Z3684" s="6"/>
    </row>
    <row r="3685" spans="3:26" x14ac:dyDescent="0.25">
      <c r="C3685" s="2"/>
      <c r="J3685" s="8"/>
      <c r="R3685" s="8"/>
      <c r="Z3685" s="6"/>
    </row>
    <row r="3686" spans="3:26" x14ac:dyDescent="0.25">
      <c r="C3686" s="2"/>
      <c r="J3686" s="8"/>
      <c r="R3686" s="8"/>
      <c r="Z3686" s="6"/>
    </row>
    <row r="3687" spans="3:26" x14ac:dyDescent="0.25">
      <c r="C3687" s="2"/>
      <c r="J3687" s="8"/>
      <c r="R3687" s="8"/>
      <c r="Z3687" s="6"/>
    </row>
    <row r="3688" spans="3:26" x14ac:dyDescent="0.25">
      <c r="C3688" s="2"/>
      <c r="J3688" s="8"/>
      <c r="R3688" s="8"/>
      <c r="Z3688" s="6"/>
    </row>
    <row r="3689" spans="3:26" x14ac:dyDescent="0.25">
      <c r="C3689" s="2"/>
      <c r="J3689" s="8"/>
      <c r="R3689" s="8"/>
      <c r="Z3689" s="6"/>
    </row>
    <row r="3690" spans="3:26" x14ac:dyDescent="0.25">
      <c r="C3690" s="2"/>
      <c r="J3690" s="8"/>
      <c r="R3690" s="8"/>
      <c r="Z3690" s="6"/>
    </row>
    <row r="3691" spans="3:26" x14ac:dyDescent="0.25">
      <c r="C3691" s="2"/>
      <c r="J3691" s="8"/>
      <c r="R3691" s="8"/>
      <c r="Z3691" s="6"/>
    </row>
    <row r="3692" spans="3:26" x14ac:dyDescent="0.25">
      <c r="C3692" s="2"/>
      <c r="J3692" s="8"/>
      <c r="R3692" s="8"/>
      <c r="Z3692" s="6"/>
    </row>
    <row r="3693" spans="3:26" x14ac:dyDescent="0.25">
      <c r="C3693" s="2"/>
      <c r="J3693" s="8"/>
      <c r="R3693" s="8"/>
      <c r="Z3693" s="6"/>
    </row>
    <row r="3694" spans="3:26" x14ac:dyDescent="0.25">
      <c r="C3694" s="2"/>
      <c r="J3694" s="8"/>
      <c r="R3694" s="8"/>
      <c r="Z3694" s="6"/>
    </row>
    <row r="3695" spans="3:26" x14ac:dyDescent="0.25">
      <c r="C3695" s="2"/>
      <c r="J3695" s="8"/>
      <c r="R3695" s="8"/>
      <c r="Z3695" s="6"/>
    </row>
    <row r="3696" spans="3:26" x14ac:dyDescent="0.25">
      <c r="C3696" s="2"/>
      <c r="J3696" s="8"/>
      <c r="R3696" s="8"/>
      <c r="Z3696" s="6"/>
    </row>
    <row r="3697" spans="3:26" x14ac:dyDescent="0.25">
      <c r="C3697" s="2"/>
      <c r="J3697" s="8"/>
      <c r="R3697" s="8"/>
      <c r="Z3697" s="6"/>
    </row>
    <row r="3698" spans="3:26" x14ac:dyDescent="0.25">
      <c r="C3698" s="2"/>
      <c r="J3698" s="8"/>
      <c r="R3698" s="8"/>
      <c r="Z3698" s="6"/>
    </row>
    <row r="3699" spans="3:26" x14ac:dyDescent="0.25">
      <c r="C3699" s="2"/>
      <c r="J3699" s="8"/>
      <c r="R3699" s="8"/>
      <c r="Z3699" s="6"/>
    </row>
    <row r="3700" spans="3:26" x14ac:dyDescent="0.25">
      <c r="C3700" s="2"/>
      <c r="J3700" s="8"/>
      <c r="R3700" s="8"/>
      <c r="Z3700" s="6"/>
    </row>
    <row r="3701" spans="3:26" x14ac:dyDescent="0.25">
      <c r="C3701" s="2"/>
      <c r="J3701" s="8"/>
      <c r="R3701" s="8"/>
      <c r="Z3701" s="6"/>
    </row>
    <row r="3702" spans="3:26" x14ac:dyDescent="0.25">
      <c r="C3702" s="2"/>
      <c r="J3702" s="8"/>
      <c r="R3702" s="8"/>
      <c r="Z3702" s="6"/>
    </row>
    <row r="3703" spans="3:26" x14ac:dyDescent="0.25">
      <c r="C3703" s="2"/>
      <c r="J3703" s="8"/>
      <c r="R3703" s="8"/>
      <c r="Z3703" s="6"/>
    </row>
    <row r="3704" spans="3:26" x14ac:dyDescent="0.25">
      <c r="C3704" s="2"/>
      <c r="J3704" s="8"/>
      <c r="R3704" s="8"/>
      <c r="Z3704" s="6"/>
    </row>
    <row r="3705" spans="3:26" x14ac:dyDescent="0.25">
      <c r="C3705" s="2"/>
      <c r="J3705" s="8"/>
      <c r="R3705" s="8"/>
      <c r="Z3705" s="6"/>
    </row>
    <row r="3706" spans="3:26" x14ac:dyDescent="0.25">
      <c r="C3706" s="2"/>
      <c r="J3706" s="8"/>
      <c r="R3706" s="8"/>
      <c r="Z3706" s="6"/>
    </row>
    <row r="3707" spans="3:26" x14ac:dyDescent="0.25">
      <c r="C3707" s="2"/>
      <c r="J3707" s="8"/>
      <c r="R3707" s="8"/>
      <c r="Z3707" s="6"/>
    </row>
    <row r="3708" spans="3:26" x14ac:dyDescent="0.25">
      <c r="C3708" s="2"/>
      <c r="J3708" s="8"/>
      <c r="R3708" s="8"/>
      <c r="Z3708" s="6"/>
    </row>
    <row r="3709" spans="3:26" x14ac:dyDescent="0.25">
      <c r="C3709" s="2"/>
      <c r="J3709" s="8"/>
      <c r="R3709" s="8"/>
      <c r="Z3709" s="6"/>
    </row>
    <row r="3710" spans="3:26" x14ac:dyDescent="0.25">
      <c r="C3710" s="2"/>
      <c r="J3710" s="8"/>
      <c r="R3710" s="8"/>
      <c r="Z3710" s="6"/>
    </row>
    <row r="3711" spans="3:26" x14ac:dyDescent="0.25">
      <c r="C3711" s="2"/>
      <c r="J3711" s="8"/>
      <c r="R3711" s="8"/>
      <c r="Z3711" s="6"/>
    </row>
    <row r="3712" spans="3:26" x14ac:dyDescent="0.25">
      <c r="C3712" s="2"/>
      <c r="J3712" s="8"/>
      <c r="R3712" s="8"/>
      <c r="Z3712" s="6"/>
    </row>
    <row r="3713" spans="3:26" x14ac:dyDescent="0.25">
      <c r="C3713" s="2"/>
      <c r="J3713" s="8"/>
      <c r="R3713" s="8"/>
      <c r="Z3713" s="6"/>
    </row>
    <row r="3714" spans="3:26" x14ac:dyDescent="0.25">
      <c r="C3714" s="2"/>
      <c r="J3714" s="8"/>
      <c r="R3714" s="8"/>
      <c r="Z3714" s="6"/>
    </row>
    <row r="3715" spans="3:26" x14ac:dyDescent="0.25">
      <c r="C3715" s="2"/>
      <c r="J3715" s="8"/>
      <c r="R3715" s="8"/>
      <c r="Z3715" s="6"/>
    </row>
    <row r="3716" spans="3:26" x14ac:dyDescent="0.25">
      <c r="C3716" s="2"/>
      <c r="J3716" s="8"/>
      <c r="R3716" s="8"/>
      <c r="Z3716" s="6"/>
    </row>
    <row r="3717" spans="3:26" x14ac:dyDescent="0.25">
      <c r="C3717" s="2"/>
      <c r="J3717" s="8"/>
      <c r="R3717" s="8"/>
      <c r="Z3717" s="6"/>
    </row>
    <row r="3718" spans="3:26" x14ac:dyDescent="0.25">
      <c r="C3718" s="2"/>
      <c r="J3718" s="8"/>
      <c r="R3718" s="8"/>
      <c r="Z3718" s="6"/>
    </row>
    <row r="3719" spans="3:26" x14ac:dyDescent="0.25">
      <c r="C3719" s="2"/>
      <c r="J3719" s="8"/>
      <c r="R3719" s="8"/>
      <c r="Z3719" s="6"/>
    </row>
    <row r="3720" spans="3:26" x14ac:dyDescent="0.25">
      <c r="C3720" s="2"/>
      <c r="J3720" s="8"/>
      <c r="R3720" s="8"/>
      <c r="Z3720" s="6"/>
    </row>
    <row r="3721" spans="3:26" x14ac:dyDescent="0.25">
      <c r="C3721" s="2"/>
      <c r="J3721" s="8"/>
      <c r="R3721" s="8"/>
      <c r="Z3721" s="6"/>
    </row>
    <row r="3722" spans="3:26" x14ac:dyDescent="0.25">
      <c r="C3722" s="2"/>
      <c r="J3722" s="8"/>
      <c r="R3722" s="8"/>
      <c r="Z3722" s="6"/>
    </row>
    <row r="3723" spans="3:26" x14ac:dyDescent="0.25">
      <c r="C3723" s="2"/>
      <c r="J3723" s="8"/>
      <c r="R3723" s="8"/>
      <c r="Z3723" s="6"/>
    </row>
    <row r="3724" spans="3:26" x14ac:dyDescent="0.25">
      <c r="C3724" s="2"/>
      <c r="J3724" s="8"/>
      <c r="R3724" s="8"/>
      <c r="Z3724" s="6"/>
    </row>
    <row r="3725" spans="3:26" x14ac:dyDescent="0.25">
      <c r="C3725" s="2"/>
      <c r="J3725" s="8"/>
      <c r="R3725" s="8"/>
      <c r="Z3725" s="6"/>
    </row>
    <row r="3726" spans="3:26" x14ac:dyDescent="0.25">
      <c r="C3726" s="2"/>
      <c r="J3726" s="8"/>
      <c r="R3726" s="8"/>
      <c r="Z3726" s="6"/>
    </row>
    <row r="3727" spans="3:26" x14ac:dyDescent="0.25">
      <c r="C3727" s="2"/>
      <c r="J3727" s="8"/>
      <c r="R3727" s="8"/>
      <c r="Z3727" s="6"/>
    </row>
    <row r="3728" spans="3:26" x14ac:dyDescent="0.25">
      <c r="C3728" s="2"/>
      <c r="J3728" s="8"/>
      <c r="R3728" s="8"/>
      <c r="Z3728" s="6"/>
    </row>
    <row r="3729" spans="3:26" x14ac:dyDescent="0.25">
      <c r="C3729" s="2"/>
      <c r="J3729" s="8"/>
      <c r="R3729" s="8"/>
      <c r="Z3729" s="6"/>
    </row>
    <row r="3730" spans="3:26" x14ac:dyDescent="0.25">
      <c r="C3730" s="2"/>
      <c r="J3730" s="8"/>
      <c r="R3730" s="8"/>
      <c r="Z3730" s="6"/>
    </row>
    <row r="3731" spans="3:26" x14ac:dyDescent="0.25">
      <c r="C3731" s="2"/>
      <c r="J3731" s="8"/>
      <c r="R3731" s="8"/>
      <c r="Z3731" s="6"/>
    </row>
    <row r="3732" spans="3:26" x14ac:dyDescent="0.25">
      <c r="C3732" s="2"/>
      <c r="J3732" s="8"/>
      <c r="R3732" s="8"/>
      <c r="Z3732" s="6"/>
    </row>
    <row r="3733" spans="3:26" x14ac:dyDescent="0.25">
      <c r="C3733" s="2"/>
      <c r="J3733" s="8"/>
      <c r="R3733" s="8"/>
      <c r="Z3733" s="6"/>
    </row>
    <row r="3734" spans="3:26" x14ac:dyDescent="0.25">
      <c r="C3734" s="2"/>
      <c r="J3734" s="8"/>
      <c r="R3734" s="8"/>
      <c r="Z3734" s="6"/>
    </row>
    <row r="3735" spans="3:26" x14ac:dyDescent="0.25">
      <c r="C3735" s="2"/>
      <c r="J3735" s="8"/>
      <c r="R3735" s="8"/>
      <c r="Z3735" s="6"/>
    </row>
    <row r="3736" spans="3:26" x14ac:dyDescent="0.25">
      <c r="C3736" s="2"/>
      <c r="J3736" s="8"/>
      <c r="R3736" s="8"/>
      <c r="Z3736" s="6"/>
    </row>
    <row r="3737" spans="3:26" x14ac:dyDescent="0.25">
      <c r="C3737" s="2"/>
      <c r="J3737" s="8"/>
      <c r="R3737" s="8"/>
      <c r="Z3737" s="6"/>
    </row>
    <row r="3738" spans="3:26" x14ac:dyDescent="0.25">
      <c r="C3738" s="2"/>
      <c r="J3738" s="8"/>
      <c r="R3738" s="8"/>
      <c r="Z3738" s="6"/>
    </row>
    <row r="3739" spans="3:26" x14ac:dyDescent="0.25">
      <c r="C3739" s="2"/>
      <c r="J3739" s="8"/>
      <c r="R3739" s="8"/>
      <c r="Z3739" s="6"/>
    </row>
    <row r="3740" spans="3:26" x14ac:dyDescent="0.25">
      <c r="C3740" s="2"/>
      <c r="J3740" s="8"/>
      <c r="R3740" s="8"/>
      <c r="Z3740" s="6"/>
    </row>
    <row r="3741" spans="3:26" x14ac:dyDescent="0.25">
      <c r="C3741" s="2"/>
      <c r="J3741" s="8"/>
      <c r="R3741" s="8"/>
      <c r="Z3741" s="6"/>
    </row>
    <row r="3742" spans="3:26" x14ac:dyDescent="0.25">
      <c r="C3742" s="2"/>
      <c r="J3742" s="8"/>
      <c r="R3742" s="8"/>
      <c r="Z3742" s="6"/>
    </row>
    <row r="3743" spans="3:26" x14ac:dyDescent="0.25">
      <c r="C3743" s="2"/>
      <c r="J3743" s="8"/>
      <c r="R3743" s="8"/>
      <c r="Z3743" s="6"/>
    </row>
    <row r="3744" spans="3:26" x14ac:dyDescent="0.25">
      <c r="C3744" s="2"/>
      <c r="J3744" s="8"/>
      <c r="R3744" s="8"/>
      <c r="Z3744" s="6"/>
    </row>
    <row r="3745" spans="3:26" x14ac:dyDescent="0.25">
      <c r="C3745" s="2"/>
      <c r="J3745" s="8"/>
      <c r="R3745" s="8"/>
      <c r="Z3745" s="6"/>
    </row>
    <row r="3746" spans="3:26" x14ac:dyDescent="0.25">
      <c r="C3746" s="2"/>
      <c r="J3746" s="8"/>
      <c r="R3746" s="8"/>
      <c r="Z3746" s="6"/>
    </row>
    <row r="3747" spans="3:26" x14ac:dyDescent="0.25">
      <c r="C3747" s="2"/>
      <c r="J3747" s="8"/>
      <c r="R3747" s="8"/>
      <c r="Z3747" s="6"/>
    </row>
    <row r="3748" spans="3:26" x14ac:dyDescent="0.25">
      <c r="C3748" s="2"/>
      <c r="J3748" s="8"/>
      <c r="R3748" s="8"/>
      <c r="Z3748" s="6"/>
    </row>
    <row r="3749" spans="3:26" x14ac:dyDescent="0.25">
      <c r="C3749" s="2"/>
      <c r="J3749" s="8"/>
      <c r="R3749" s="8"/>
      <c r="Z3749" s="6"/>
    </row>
    <row r="3750" spans="3:26" x14ac:dyDescent="0.25">
      <c r="C3750" s="2"/>
      <c r="J3750" s="8"/>
      <c r="R3750" s="8"/>
      <c r="Z3750" s="6"/>
    </row>
    <row r="3751" spans="3:26" x14ac:dyDescent="0.25">
      <c r="C3751" s="2"/>
      <c r="J3751" s="8"/>
      <c r="R3751" s="8"/>
      <c r="Z3751" s="6"/>
    </row>
    <row r="3752" spans="3:26" x14ac:dyDescent="0.25">
      <c r="C3752" s="2"/>
      <c r="J3752" s="8"/>
      <c r="R3752" s="8"/>
      <c r="Z3752" s="6"/>
    </row>
    <row r="3753" spans="3:26" x14ac:dyDescent="0.25">
      <c r="C3753" s="2"/>
      <c r="J3753" s="8"/>
      <c r="R3753" s="8"/>
      <c r="Z3753" s="6"/>
    </row>
    <row r="3754" spans="3:26" x14ac:dyDescent="0.25">
      <c r="C3754" s="2"/>
      <c r="J3754" s="8"/>
      <c r="R3754" s="8"/>
      <c r="Z3754" s="6"/>
    </row>
    <row r="3755" spans="3:26" x14ac:dyDescent="0.25">
      <c r="C3755" s="2"/>
      <c r="J3755" s="8"/>
      <c r="R3755" s="8"/>
      <c r="Z3755" s="6"/>
    </row>
    <row r="3756" spans="3:26" x14ac:dyDescent="0.25">
      <c r="C3756" s="2"/>
      <c r="J3756" s="8"/>
      <c r="R3756" s="8"/>
      <c r="Z3756" s="6"/>
    </row>
    <row r="3757" spans="3:26" x14ac:dyDescent="0.25">
      <c r="C3757" s="2"/>
      <c r="J3757" s="8"/>
      <c r="R3757" s="8"/>
      <c r="Z3757" s="6"/>
    </row>
    <row r="3758" spans="3:26" x14ac:dyDescent="0.25">
      <c r="C3758" s="2"/>
      <c r="J3758" s="8"/>
      <c r="R3758" s="8"/>
      <c r="Z3758" s="6"/>
    </row>
    <row r="3759" spans="3:26" x14ac:dyDescent="0.25">
      <c r="C3759" s="2"/>
      <c r="J3759" s="8"/>
      <c r="R3759" s="8"/>
      <c r="Z3759" s="6"/>
    </row>
    <row r="3760" spans="3:26" x14ac:dyDescent="0.25">
      <c r="C3760" s="2"/>
      <c r="J3760" s="8"/>
      <c r="R3760" s="8"/>
      <c r="Z3760" s="6"/>
    </row>
    <row r="3761" spans="3:26" x14ac:dyDescent="0.25">
      <c r="C3761" s="2"/>
      <c r="J3761" s="8"/>
      <c r="R3761" s="8"/>
      <c r="Z3761" s="6"/>
    </row>
    <row r="3762" spans="3:26" x14ac:dyDescent="0.25">
      <c r="C3762" s="2"/>
      <c r="J3762" s="8"/>
      <c r="R3762" s="8"/>
      <c r="Z3762" s="6"/>
    </row>
    <row r="3763" spans="3:26" x14ac:dyDescent="0.25">
      <c r="C3763" s="2"/>
      <c r="J3763" s="8"/>
      <c r="R3763" s="8"/>
      <c r="Z3763" s="6"/>
    </row>
    <row r="3764" spans="3:26" x14ac:dyDescent="0.25">
      <c r="C3764" s="2"/>
      <c r="J3764" s="8"/>
      <c r="R3764" s="8"/>
      <c r="Z3764" s="6"/>
    </row>
    <row r="3765" spans="3:26" x14ac:dyDescent="0.25">
      <c r="C3765" s="2"/>
      <c r="J3765" s="8"/>
      <c r="R3765" s="8"/>
      <c r="Z3765" s="6"/>
    </row>
    <row r="3766" spans="3:26" x14ac:dyDescent="0.25">
      <c r="C3766" s="2"/>
      <c r="J3766" s="8"/>
      <c r="R3766" s="8"/>
      <c r="Z3766" s="6"/>
    </row>
    <row r="3767" spans="3:26" x14ac:dyDescent="0.25">
      <c r="C3767" s="2"/>
      <c r="J3767" s="8"/>
      <c r="R3767" s="8"/>
      <c r="Z3767" s="6"/>
    </row>
    <row r="3768" spans="3:26" x14ac:dyDescent="0.25">
      <c r="C3768" s="2"/>
      <c r="J3768" s="8"/>
      <c r="R3768" s="8"/>
      <c r="Z3768" s="6"/>
    </row>
    <row r="3769" spans="3:26" x14ac:dyDescent="0.25">
      <c r="C3769" s="2"/>
      <c r="J3769" s="8"/>
      <c r="R3769" s="8"/>
      <c r="Z3769" s="6"/>
    </row>
    <row r="3770" spans="3:26" x14ac:dyDescent="0.25">
      <c r="C3770" s="2"/>
      <c r="J3770" s="8"/>
      <c r="R3770" s="8"/>
      <c r="Z3770" s="6"/>
    </row>
    <row r="3771" spans="3:26" x14ac:dyDescent="0.25">
      <c r="C3771" s="2"/>
      <c r="J3771" s="8"/>
      <c r="R3771" s="8"/>
      <c r="Z3771" s="6"/>
    </row>
    <row r="3772" spans="3:26" x14ac:dyDescent="0.25">
      <c r="C3772" s="2"/>
      <c r="J3772" s="8"/>
      <c r="R3772" s="8"/>
      <c r="Z3772" s="6"/>
    </row>
    <row r="3773" spans="3:26" x14ac:dyDescent="0.25">
      <c r="C3773" s="2"/>
      <c r="J3773" s="8"/>
      <c r="R3773" s="8"/>
      <c r="Z3773" s="6"/>
    </row>
    <row r="3774" spans="3:26" x14ac:dyDescent="0.25">
      <c r="C3774" s="2"/>
      <c r="J3774" s="8"/>
      <c r="R3774" s="8"/>
      <c r="Z3774" s="6"/>
    </row>
    <row r="3775" spans="3:26" x14ac:dyDescent="0.25">
      <c r="C3775" s="2"/>
      <c r="J3775" s="8"/>
      <c r="R3775" s="8"/>
      <c r="Z3775" s="6"/>
    </row>
    <row r="3776" spans="3:26" x14ac:dyDescent="0.25">
      <c r="C3776" s="2"/>
      <c r="J3776" s="8"/>
      <c r="R3776" s="8"/>
      <c r="Z3776" s="6"/>
    </row>
    <row r="3777" spans="3:26" x14ac:dyDescent="0.25">
      <c r="C3777" s="2"/>
      <c r="J3777" s="8"/>
      <c r="R3777" s="8"/>
      <c r="Z3777" s="6"/>
    </row>
    <row r="3778" spans="3:26" x14ac:dyDescent="0.25">
      <c r="C3778" s="2"/>
      <c r="J3778" s="8"/>
      <c r="R3778" s="8"/>
      <c r="Z3778" s="6"/>
    </row>
    <row r="3779" spans="3:26" x14ac:dyDescent="0.25">
      <c r="C3779" s="2"/>
      <c r="J3779" s="8"/>
      <c r="R3779" s="8"/>
      <c r="Z3779" s="6"/>
    </row>
    <row r="3780" spans="3:26" x14ac:dyDescent="0.25">
      <c r="C3780" s="2"/>
      <c r="J3780" s="8"/>
      <c r="R3780" s="8"/>
      <c r="Z3780" s="6"/>
    </row>
    <row r="3781" spans="3:26" x14ac:dyDescent="0.25">
      <c r="C3781" s="2"/>
      <c r="J3781" s="8"/>
      <c r="R3781" s="8"/>
      <c r="Z3781" s="6"/>
    </row>
    <row r="3782" spans="3:26" x14ac:dyDescent="0.25">
      <c r="C3782" s="2"/>
      <c r="J3782" s="8"/>
      <c r="R3782" s="8"/>
      <c r="Z3782" s="6"/>
    </row>
    <row r="3783" spans="3:26" x14ac:dyDescent="0.25">
      <c r="C3783" s="2"/>
      <c r="J3783" s="8"/>
      <c r="R3783" s="8"/>
      <c r="Z3783" s="6"/>
    </row>
    <row r="3784" spans="3:26" x14ac:dyDescent="0.25">
      <c r="C3784" s="2"/>
      <c r="J3784" s="8"/>
      <c r="R3784" s="8"/>
      <c r="Z3784" s="6"/>
    </row>
    <row r="3785" spans="3:26" x14ac:dyDescent="0.25">
      <c r="C3785" s="2"/>
      <c r="J3785" s="8"/>
      <c r="R3785" s="8"/>
      <c r="Z3785" s="6"/>
    </row>
    <row r="3786" spans="3:26" x14ac:dyDescent="0.25">
      <c r="C3786" s="2"/>
      <c r="J3786" s="8"/>
      <c r="R3786" s="8"/>
      <c r="Z3786" s="6"/>
    </row>
    <row r="3787" spans="3:26" x14ac:dyDescent="0.25">
      <c r="C3787" s="2"/>
      <c r="J3787" s="8"/>
      <c r="R3787" s="8"/>
      <c r="Z3787" s="6"/>
    </row>
    <row r="3788" spans="3:26" x14ac:dyDescent="0.25">
      <c r="C3788" s="2"/>
      <c r="J3788" s="8"/>
      <c r="R3788" s="8"/>
      <c r="Z3788" s="6"/>
    </row>
    <row r="3789" spans="3:26" x14ac:dyDescent="0.25">
      <c r="C3789" s="2"/>
      <c r="J3789" s="8"/>
      <c r="R3789" s="8"/>
      <c r="Z3789" s="6"/>
    </row>
    <row r="3790" spans="3:26" x14ac:dyDescent="0.25">
      <c r="C3790" s="2"/>
      <c r="J3790" s="8"/>
      <c r="R3790" s="8"/>
      <c r="Z3790" s="6"/>
    </row>
    <row r="3791" spans="3:26" x14ac:dyDescent="0.25">
      <c r="C3791" s="2"/>
      <c r="J3791" s="8"/>
      <c r="R3791" s="8"/>
      <c r="Z3791" s="6"/>
    </row>
    <row r="3792" spans="3:26" x14ac:dyDescent="0.25">
      <c r="C3792" s="2"/>
      <c r="J3792" s="8"/>
      <c r="R3792" s="8"/>
      <c r="Z3792" s="6"/>
    </row>
    <row r="3793" spans="3:26" x14ac:dyDescent="0.25">
      <c r="C3793" s="2"/>
      <c r="J3793" s="8"/>
      <c r="R3793" s="8"/>
      <c r="Z3793" s="6"/>
    </row>
    <row r="3794" spans="3:26" x14ac:dyDescent="0.25">
      <c r="C3794" s="2"/>
      <c r="J3794" s="8"/>
      <c r="R3794" s="8"/>
      <c r="Z3794" s="6"/>
    </row>
    <row r="3795" spans="3:26" x14ac:dyDescent="0.25">
      <c r="C3795" s="2"/>
      <c r="J3795" s="8"/>
      <c r="R3795" s="8"/>
      <c r="Z3795" s="6"/>
    </row>
    <row r="3796" spans="3:26" x14ac:dyDescent="0.25">
      <c r="C3796" s="2"/>
      <c r="J3796" s="8"/>
      <c r="R3796" s="8"/>
      <c r="Z3796" s="6"/>
    </row>
    <row r="3797" spans="3:26" x14ac:dyDescent="0.25">
      <c r="C3797" s="2"/>
      <c r="J3797" s="8"/>
      <c r="R3797" s="8"/>
      <c r="Z3797" s="6"/>
    </row>
    <row r="3798" spans="3:26" x14ac:dyDescent="0.25">
      <c r="C3798" s="2"/>
      <c r="J3798" s="8"/>
      <c r="R3798" s="8"/>
      <c r="Z3798" s="6"/>
    </row>
    <row r="3799" spans="3:26" x14ac:dyDescent="0.25">
      <c r="C3799" s="2"/>
      <c r="J3799" s="8"/>
      <c r="R3799" s="8"/>
      <c r="Z3799" s="6"/>
    </row>
    <row r="3800" spans="3:26" x14ac:dyDescent="0.25">
      <c r="C3800" s="2"/>
      <c r="J3800" s="8"/>
      <c r="R3800" s="8"/>
      <c r="Z3800" s="6"/>
    </row>
    <row r="3801" spans="3:26" x14ac:dyDescent="0.25">
      <c r="C3801" s="2"/>
      <c r="J3801" s="8"/>
      <c r="R3801" s="8"/>
      <c r="Z3801" s="6"/>
    </row>
    <row r="3802" spans="3:26" x14ac:dyDescent="0.25">
      <c r="C3802" s="2"/>
      <c r="J3802" s="8"/>
      <c r="R3802" s="8"/>
      <c r="Z3802" s="6"/>
    </row>
    <row r="3803" spans="3:26" x14ac:dyDescent="0.25">
      <c r="C3803" s="2"/>
      <c r="J3803" s="8"/>
      <c r="R3803" s="8"/>
      <c r="Z3803" s="6"/>
    </row>
    <row r="3804" spans="3:26" x14ac:dyDescent="0.25">
      <c r="C3804" s="2"/>
      <c r="J3804" s="8"/>
      <c r="R3804" s="8"/>
      <c r="Z3804" s="6"/>
    </row>
    <row r="3805" spans="3:26" x14ac:dyDescent="0.25">
      <c r="C3805" s="2"/>
      <c r="J3805" s="8"/>
      <c r="R3805" s="8"/>
      <c r="Z3805" s="6"/>
    </row>
    <row r="3806" spans="3:26" x14ac:dyDescent="0.25">
      <c r="C3806" s="2"/>
      <c r="J3806" s="8"/>
      <c r="R3806" s="8"/>
      <c r="Z3806" s="6"/>
    </row>
    <row r="3807" spans="3:26" x14ac:dyDescent="0.25">
      <c r="C3807" s="2"/>
      <c r="J3807" s="8"/>
      <c r="R3807" s="8"/>
      <c r="Z3807" s="6"/>
    </row>
    <row r="3808" spans="3:26" x14ac:dyDescent="0.25">
      <c r="C3808" s="2"/>
      <c r="J3808" s="8"/>
      <c r="R3808" s="8"/>
      <c r="Z3808" s="6"/>
    </row>
    <row r="3809" spans="3:26" x14ac:dyDescent="0.25">
      <c r="C3809" s="2"/>
      <c r="J3809" s="8"/>
      <c r="R3809" s="8"/>
      <c r="Z3809" s="6"/>
    </row>
    <row r="3810" spans="3:26" x14ac:dyDescent="0.25">
      <c r="C3810" s="2"/>
      <c r="J3810" s="8"/>
      <c r="R3810" s="8"/>
      <c r="Z3810" s="6"/>
    </row>
    <row r="3811" spans="3:26" x14ac:dyDescent="0.25">
      <c r="C3811" s="2"/>
      <c r="J3811" s="8"/>
      <c r="R3811" s="8"/>
      <c r="Z3811" s="6"/>
    </row>
    <row r="3812" spans="3:26" x14ac:dyDescent="0.25">
      <c r="C3812" s="2"/>
      <c r="J3812" s="8"/>
      <c r="R3812" s="8"/>
      <c r="Z3812" s="6"/>
    </row>
    <row r="3813" spans="3:26" x14ac:dyDescent="0.25">
      <c r="C3813" s="2"/>
      <c r="J3813" s="8"/>
      <c r="R3813" s="8"/>
      <c r="Z3813" s="6"/>
    </row>
    <row r="3814" spans="3:26" x14ac:dyDescent="0.25">
      <c r="C3814" s="2"/>
      <c r="J3814" s="8"/>
      <c r="R3814" s="8"/>
      <c r="Z3814" s="6"/>
    </row>
    <row r="3815" spans="3:26" x14ac:dyDescent="0.25">
      <c r="C3815" s="2"/>
      <c r="J3815" s="8"/>
      <c r="R3815" s="8"/>
      <c r="Z3815" s="6"/>
    </row>
    <row r="3816" spans="3:26" x14ac:dyDescent="0.25">
      <c r="C3816" s="2"/>
      <c r="J3816" s="8"/>
      <c r="R3816" s="8"/>
      <c r="Z3816" s="6"/>
    </row>
    <row r="3817" spans="3:26" x14ac:dyDescent="0.25">
      <c r="C3817" s="2"/>
      <c r="J3817" s="8"/>
      <c r="R3817" s="8"/>
      <c r="Z3817" s="6"/>
    </row>
    <row r="3818" spans="3:26" x14ac:dyDescent="0.25">
      <c r="C3818" s="2"/>
      <c r="J3818" s="8"/>
      <c r="R3818" s="8"/>
      <c r="Z3818" s="6"/>
    </row>
    <row r="3819" spans="3:26" x14ac:dyDescent="0.25">
      <c r="C3819" s="2"/>
      <c r="J3819" s="8"/>
      <c r="R3819" s="8"/>
      <c r="Z3819" s="6"/>
    </row>
    <row r="3820" spans="3:26" x14ac:dyDescent="0.25">
      <c r="C3820" s="2"/>
      <c r="J3820" s="8"/>
      <c r="R3820" s="8"/>
      <c r="Z3820" s="6"/>
    </row>
    <row r="3821" spans="3:26" x14ac:dyDescent="0.25">
      <c r="C3821" s="2"/>
      <c r="J3821" s="8"/>
      <c r="R3821" s="8"/>
      <c r="Z3821" s="6"/>
    </row>
    <row r="3822" spans="3:26" x14ac:dyDescent="0.25">
      <c r="C3822" s="2"/>
      <c r="J3822" s="8"/>
      <c r="R3822" s="8"/>
      <c r="Z3822" s="6"/>
    </row>
    <row r="3823" spans="3:26" x14ac:dyDescent="0.25">
      <c r="C3823" s="2"/>
      <c r="J3823" s="8"/>
      <c r="R3823" s="8"/>
      <c r="Z3823" s="6"/>
    </row>
    <row r="3824" spans="3:26" x14ac:dyDescent="0.25">
      <c r="C3824" s="2"/>
      <c r="J3824" s="8"/>
      <c r="R3824" s="8"/>
      <c r="Z3824" s="6"/>
    </row>
    <row r="3825" spans="3:26" x14ac:dyDescent="0.25">
      <c r="C3825" s="2"/>
      <c r="J3825" s="8"/>
      <c r="R3825" s="8"/>
      <c r="Z3825" s="6"/>
    </row>
    <row r="3826" spans="3:26" x14ac:dyDescent="0.25">
      <c r="C3826" s="2"/>
      <c r="J3826" s="8"/>
      <c r="R3826" s="8"/>
      <c r="Z3826" s="6"/>
    </row>
    <row r="3827" spans="3:26" x14ac:dyDescent="0.25">
      <c r="C3827" s="2"/>
      <c r="J3827" s="8"/>
      <c r="R3827" s="8"/>
      <c r="Z3827" s="6"/>
    </row>
    <row r="3828" spans="3:26" x14ac:dyDescent="0.25">
      <c r="C3828" s="2"/>
      <c r="J3828" s="8"/>
      <c r="R3828" s="8"/>
      <c r="Z3828" s="6"/>
    </row>
    <row r="3829" spans="3:26" x14ac:dyDescent="0.25">
      <c r="C3829" s="2"/>
      <c r="J3829" s="8"/>
      <c r="R3829" s="8"/>
      <c r="Z3829" s="6"/>
    </row>
    <row r="3830" spans="3:26" x14ac:dyDescent="0.25">
      <c r="C3830" s="2"/>
      <c r="J3830" s="8"/>
      <c r="R3830" s="8"/>
      <c r="Z3830" s="6"/>
    </row>
    <row r="3831" spans="3:26" x14ac:dyDescent="0.25">
      <c r="C3831" s="2"/>
      <c r="J3831" s="8"/>
      <c r="R3831" s="8"/>
      <c r="Z3831" s="6"/>
    </row>
    <row r="3832" spans="3:26" x14ac:dyDescent="0.25">
      <c r="C3832" s="2"/>
      <c r="J3832" s="8"/>
      <c r="R3832" s="8"/>
      <c r="Z3832" s="6"/>
    </row>
    <row r="3833" spans="3:26" x14ac:dyDescent="0.25">
      <c r="C3833" s="2"/>
      <c r="J3833" s="8"/>
      <c r="R3833" s="8"/>
      <c r="Z3833" s="6"/>
    </row>
    <row r="3834" spans="3:26" x14ac:dyDescent="0.25">
      <c r="C3834" s="2"/>
      <c r="J3834" s="8"/>
      <c r="R3834" s="8"/>
      <c r="Z3834" s="6"/>
    </row>
    <row r="3835" spans="3:26" x14ac:dyDescent="0.25">
      <c r="C3835" s="2"/>
      <c r="J3835" s="8"/>
      <c r="R3835" s="8"/>
      <c r="Z3835" s="6"/>
    </row>
    <row r="3836" spans="3:26" x14ac:dyDescent="0.25">
      <c r="C3836" s="2"/>
      <c r="J3836" s="8"/>
      <c r="R3836" s="8"/>
      <c r="Z3836" s="6"/>
    </row>
    <row r="3837" spans="3:26" x14ac:dyDescent="0.25">
      <c r="C3837" s="2"/>
      <c r="J3837" s="8"/>
      <c r="R3837" s="8"/>
      <c r="Z3837" s="6"/>
    </row>
    <row r="3838" spans="3:26" x14ac:dyDescent="0.25">
      <c r="C3838" s="2"/>
      <c r="J3838" s="8"/>
      <c r="R3838" s="8"/>
      <c r="Z3838" s="6"/>
    </row>
    <row r="3839" spans="3:26" x14ac:dyDescent="0.25">
      <c r="C3839" s="2"/>
      <c r="J3839" s="8"/>
      <c r="R3839" s="8"/>
      <c r="Z3839" s="6"/>
    </row>
    <row r="3840" spans="3:26" x14ac:dyDescent="0.25">
      <c r="C3840" s="2"/>
      <c r="J3840" s="8"/>
      <c r="R3840" s="8"/>
      <c r="Z3840" s="6"/>
    </row>
    <row r="3841" spans="3:26" x14ac:dyDescent="0.25">
      <c r="C3841" s="2"/>
      <c r="J3841" s="8"/>
      <c r="R3841" s="8"/>
      <c r="Z3841" s="6"/>
    </row>
    <row r="3842" spans="3:26" x14ac:dyDescent="0.25">
      <c r="C3842" s="2"/>
      <c r="J3842" s="8"/>
      <c r="R3842" s="8"/>
      <c r="Z3842" s="6"/>
    </row>
    <row r="3843" spans="3:26" x14ac:dyDescent="0.25">
      <c r="C3843" s="2"/>
      <c r="J3843" s="8"/>
      <c r="R3843" s="8"/>
      <c r="Z3843" s="6"/>
    </row>
    <row r="3844" spans="3:26" x14ac:dyDescent="0.25">
      <c r="C3844" s="2"/>
      <c r="J3844" s="8"/>
      <c r="R3844" s="8"/>
      <c r="Z3844" s="6"/>
    </row>
    <row r="3845" spans="3:26" x14ac:dyDescent="0.25">
      <c r="C3845" s="2"/>
      <c r="J3845" s="8"/>
      <c r="R3845" s="8"/>
      <c r="Z3845" s="6"/>
    </row>
    <row r="3846" spans="3:26" x14ac:dyDescent="0.25">
      <c r="C3846" s="2"/>
      <c r="J3846" s="8"/>
      <c r="R3846" s="8"/>
      <c r="Z3846" s="6"/>
    </row>
    <row r="3847" spans="3:26" x14ac:dyDescent="0.25">
      <c r="C3847" s="2"/>
      <c r="J3847" s="8"/>
      <c r="R3847" s="8"/>
      <c r="Z3847" s="6"/>
    </row>
    <row r="3848" spans="3:26" x14ac:dyDescent="0.25">
      <c r="C3848" s="2"/>
      <c r="J3848" s="8"/>
      <c r="R3848" s="8"/>
      <c r="Z3848" s="6"/>
    </row>
    <row r="3849" spans="3:26" x14ac:dyDescent="0.25">
      <c r="C3849" s="2"/>
      <c r="J3849" s="8"/>
      <c r="R3849" s="8"/>
      <c r="Z3849" s="6"/>
    </row>
    <row r="3850" spans="3:26" x14ac:dyDescent="0.25">
      <c r="C3850" s="2"/>
      <c r="J3850" s="8"/>
      <c r="R3850" s="8"/>
      <c r="Z3850" s="6"/>
    </row>
    <row r="3851" spans="3:26" x14ac:dyDescent="0.25">
      <c r="C3851" s="2"/>
      <c r="J3851" s="8"/>
      <c r="R3851" s="8"/>
      <c r="Z3851" s="6"/>
    </row>
    <row r="3852" spans="3:26" x14ac:dyDescent="0.25">
      <c r="C3852" s="2"/>
      <c r="J3852" s="8"/>
      <c r="R3852" s="8"/>
      <c r="Z3852" s="6"/>
    </row>
    <row r="3853" spans="3:26" x14ac:dyDescent="0.25">
      <c r="C3853" s="2"/>
      <c r="J3853" s="8"/>
      <c r="R3853" s="8"/>
      <c r="Z3853" s="6"/>
    </row>
    <row r="3854" spans="3:26" x14ac:dyDescent="0.25">
      <c r="C3854" s="2"/>
      <c r="J3854" s="8"/>
      <c r="R3854" s="8"/>
      <c r="Z3854" s="6"/>
    </row>
    <row r="3855" spans="3:26" x14ac:dyDescent="0.25">
      <c r="C3855" s="2"/>
      <c r="J3855" s="8"/>
      <c r="R3855" s="8"/>
      <c r="Z3855" s="6"/>
    </row>
    <row r="3856" spans="3:26" x14ac:dyDescent="0.25">
      <c r="C3856" s="2"/>
      <c r="J3856" s="8"/>
      <c r="R3856" s="8"/>
      <c r="Z3856" s="6"/>
    </row>
    <row r="3857" spans="3:26" x14ac:dyDescent="0.25">
      <c r="C3857" s="2"/>
      <c r="J3857" s="8"/>
      <c r="R3857" s="8"/>
      <c r="Z3857" s="6"/>
    </row>
    <row r="3858" spans="3:26" x14ac:dyDescent="0.25">
      <c r="C3858" s="2"/>
      <c r="J3858" s="8"/>
      <c r="R3858" s="8"/>
      <c r="Z3858" s="6"/>
    </row>
    <row r="3859" spans="3:26" x14ac:dyDescent="0.25">
      <c r="C3859" s="2"/>
      <c r="J3859" s="8"/>
      <c r="R3859" s="8"/>
      <c r="Z3859" s="6"/>
    </row>
    <row r="3860" spans="3:26" x14ac:dyDescent="0.25">
      <c r="C3860" s="2"/>
      <c r="J3860" s="8"/>
      <c r="R3860" s="8"/>
      <c r="Z3860" s="6"/>
    </row>
    <row r="3861" spans="3:26" x14ac:dyDescent="0.25">
      <c r="C3861" s="2"/>
      <c r="J3861" s="8"/>
      <c r="R3861" s="8"/>
      <c r="Z3861" s="6"/>
    </row>
    <row r="3862" spans="3:26" x14ac:dyDescent="0.25">
      <c r="C3862" s="2"/>
      <c r="J3862" s="8"/>
      <c r="R3862" s="8"/>
      <c r="Z3862" s="6"/>
    </row>
    <row r="3863" spans="3:26" x14ac:dyDescent="0.25">
      <c r="C3863" s="2"/>
      <c r="J3863" s="8"/>
      <c r="R3863" s="8"/>
      <c r="Z3863" s="6"/>
    </row>
    <row r="3864" spans="3:26" x14ac:dyDescent="0.25">
      <c r="C3864" s="2"/>
      <c r="J3864" s="8"/>
      <c r="R3864" s="8"/>
      <c r="Z3864" s="6"/>
    </row>
    <row r="3865" spans="3:26" x14ac:dyDescent="0.25">
      <c r="C3865" s="2"/>
      <c r="J3865" s="8"/>
      <c r="R3865" s="8"/>
      <c r="Z3865" s="6"/>
    </row>
    <row r="3866" spans="3:26" x14ac:dyDescent="0.25">
      <c r="C3866" s="2"/>
      <c r="J3866" s="8"/>
      <c r="R3866" s="8"/>
      <c r="Z3866" s="6"/>
    </row>
    <row r="3867" spans="3:26" x14ac:dyDescent="0.25">
      <c r="C3867" s="2"/>
      <c r="J3867" s="8"/>
      <c r="R3867" s="8"/>
      <c r="Z3867" s="6"/>
    </row>
    <row r="3868" spans="3:26" x14ac:dyDescent="0.25">
      <c r="C3868" s="2"/>
      <c r="J3868" s="8"/>
      <c r="R3868" s="8"/>
      <c r="Z3868" s="6"/>
    </row>
    <row r="3869" spans="3:26" x14ac:dyDescent="0.25">
      <c r="C3869" s="2"/>
      <c r="J3869" s="8"/>
      <c r="R3869" s="8"/>
      <c r="Z3869" s="6"/>
    </row>
    <row r="3870" spans="3:26" x14ac:dyDescent="0.25">
      <c r="C3870" s="2"/>
      <c r="J3870" s="8"/>
      <c r="R3870" s="8"/>
      <c r="Z3870" s="6"/>
    </row>
    <row r="3871" spans="3:26" x14ac:dyDescent="0.25">
      <c r="C3871" s="2"/>
      <c r="J3871" s="8"/>
      <c r="R3871" s="8"/>
      <c r="Z3871" s="6"/>
    </row>
    <row r="3872" spans="3:26" x14ac:dyDescent="0.25">
      <c r="C3872" s="2"/>
      <c r="J3872" s="8"/>
      <c r="R3872" s="8"/>
      <c r="Z3872" s="6"/>
    </row>
    <row r="3873" spans="3:26" x14ac:dyDescent="0.25">
      <c r="C3873" s="2"/>
      <c r="J3873" s="8"/>
      <c r="R3873" s="8"/>
      <c r="Z3873" s="6"/>
    </row>
    <row r="3874" spans="3:26" x14ac:dyDescent="0.25">
      <c r="C3874" s="2"/>
      <c r="J3874" s="8"/>
      <c r="R3874" s="8"/>
      <c r="Z3874" s="6"/>
    </row>
    <row r="3875" spans="3:26" x14ac:dyDescent="0.25">
      <c r="C3875" s="2"/>
      <c r="J3875" s="8"/>
      <c r="R3875" s="8"/>
      <c r="Z3875" s="6"/>
    </row>
    <row r="3876" spans="3:26" x14ac:dyDescent="0.25">
      <c r="C3876" s="2"/>
      <c r="J3876" s="8"/>
      <c r="R3876" s="8"/>
      <c r="Z3876" s="6"/>
    </row>
    <row r="3877" spans="3:26" x14ac:dyDescent="0.25">
      <c r="C3877" s="2"/>
      <c r="J3877" s="8"/>
      <c r="R3877" s="8"/>
      <c r="Z3877" s="6"/>
    </row>
    <row r="3878" spans="3:26" x14ac:dyDescent="0.25">
      <c r="C3878" s="2"/>
      <c r="J3878" s="8"/>
      <c r="R3878" s="8"/>
      <c r="Z3878" s="6"/>
    </row>
    <row r="3879" spans="3:26" x14ac:dyDescent="0.25">
      <c r="C3879" s="2"/>
      <c r="J3879" s="8"/>
      <c r="R3879" s="8"/>
      <c r="Z3879" s="6"/>
    </row>
    <row r="3880" spans="3:26" x14ac:dyDescent="0.25">
      <c r="C3880" s="2"/>
      <c r="J3880" s="8"/>
      <c r="R3880" s="8"/>
      <c r="Z3880" s="6"/>
    </row>
    <row r="3881" spans="3:26" x14ac:dyDescent="0.25">
      <c r="C3881" s="2"/>
      <c r="J3881" s="8"/>
      <c r="R3881" s="8"/>
      <c r="Z3881" s="6"/>
    </row>
    <row r="3882" spans="3:26" x14ac:dyDescent="0.25">
      <c r="C3882" s="2"/>
      <c r="J3882" s="8"/>
      <c r="R3882" s="8"/>
      <c r="Z3882" s="6"/>
    </row>
    <row r="3883" spans="3:26" x14ac:dyDescent="0.25">
      <c r="C3883" s="2"/>
      <c r="J3883" s="8"/>
      <c r="R3883" s="8"/>
      <c r="Z3883" s="6"/>
    </row>
    <row r="3884" spans="3:26" x14ac:dyDescent="0.25">
      <c r="C3884" s="2"/>
      <c r="J3884" s="8"/>
      <c r="R3884" s="8"/>
      <c r="Z3884" s="6"/>
    </row>
    <row r="3885" spans="3:26" x14ac:dyDescent="0.25">
      <c r="C3885" s="2"/>
      <c r="J3885" s="8"/>
      <c r="R3885" s="8"/>
      <c r="Z3885" s="6"/>
    </row>
    <row r="3886" spans="3:26" x14ac:dyDescent="0.25">
      <c r="C3886" s="2"/>
      <c r="J3886" s="8"/>
      <c r="R3886" s="8"/>
      <c r="Z3886" s="6"/>
    </row>
    <row r="3887" spans="3:26" x14ac:dyDescent="0.25">
      <c r="C3887" s="2"/>
      <c r="J3887" s="8"/>
      <c r="R3887" s="8"/>
      <c r="Z3887" s="6"/>
    </row>
    <row r="3888" spans="3:26" x14ac:dyDescent="0.25">
      <c r="C3888" s="2"/>
      <c r="J3888" s="8"/>
      <c r="R3888" s="8"/>
      <c r="Z3888" s="6"/>
    </row>
    <row r="3889" spans="3:26" x14ac:dyDescent="0.25">
      <c r="C3889" s="2"/>
      <c r="J3889" s="8"/>
      <c r="R3889" s="8"/>
      <c r="Z3889" s="6"/>
    </row>
    <row r="3890" spans="3:26" x14ac:dyDescent="0.25">
      <c r="C3890" s="2"/>
      <c r="J3890" s="8"/>
      <c r="R3890" s="8"/>
      <c r="Z3890" s="6"/>
    </row>
    <row r="3891" spans="3:26" x14ac:dyDescent="0.25">
      <c r="C3891" s="2"/>
      <c r="J3891" s="8"/>
      <c r="R3891" s="8"/>
      <c r="Z3891" s="6"/>
    </row>
    <row r="3892" spans="3:26" x14ac:dyDescent="0.25">
      <c r="C3892" s="2"/>
      <c r="J3892" s="8"/>
      <c r="R3892" s="8"/>
      <c r="Z3892" s="6"/>
    </row>
    <row r="3893" spans="3:26" x14ac:dyDescent="0.25">
      <c r="C3893" s="2"/>
      <c r="J3893" s="8"/>
      <c r="R3893" s="8"/>
      <c r="Z3893" s="6"/>
    </row>
    <row r="3894" spans="3:26" x14ac:dyDescent="0.25">
      <c r="C3894" s="2"/>
      <c r="J3894" s="8"/>
      <c r="R3894" s="8"/>
      <c r="Z3894" s="6"/>
    </row>
    <row r="3895" spans="3:26" x14ac:dyDescent="0.25">
      <c r="C3895" s="2"/>
      <c r="J3895" s="8"/>
      <c r="R3895" s="8"/>
      <c r="Z3895" s="6"/>
    </row>
    <row r="3896" spans="3:26" x14ac:dyDescent="0.25">
      <c r="C3896" s="2"/>
      <c r="J3896" s="8"/>
      <c r="R3896" s="8"/>
      <c r="Z3896" s="6"/>
    </row>
    <row r="3897" spans="3:26" x14ac:dyDescent="0.25">
      <c r="C3897" s="2"/>
      <c r="J3897" s="8"/>
      <c r="R3897" s="8"/>
      <c r="Z3897" s="6"/>
    </row>
    <row r="3898" spans="3:26" x14ac:dyDescent="0.25">
      <c r="C3898" s="2"/>
      <c r="J3898" s="8"/>
      <c r="R3898" s="8"/>
      <c r="Z3898" s="6"/>
    </row>
    <row r="3899" spans="3:26" x14ac:dyDescent="0.25">
      <c r="C3899" s="2"/>
      <c r="J3899" s="8"/>
      <c r="R3899" s="8"/>
      <c r="Z3899" s="6"/>
    </row>
    <row r="3900" spans="3:26" x14ac:dyDescent="0.25">
      <c r="C3900" s="2"/>
      <c r="J3900" s="8"/>
      <c r="R3900" s="8"/>
      <c r="Z3900" s="6"/>
    </row>
    <row r="3901" spans="3:26" x14ac:dyDescent="0.25">
      <c r="C3901" s="2"/>
      <c r="J3901" s="8"/>
      <c r="R3901" s="8"/>
      <c r="Z3901" s="6"/>
    </row>
    <row r="3902" spans="3:26" x14ac:dyDescent="0.25">
      <c r="C3902" s="2"/>
      <c r="J3902" s="8"/>
      <c r="R3902" s="8"/>
      <c r="Z3902" s="6"/>
    </row>
    <row r="3903" spans="3:26" x14ac:dyDescent="0.25">
      <c r="C3903" s="2"/>
      <c r="J3903" s="8"/>
      <c r="R3903" s="8"/>
      <c r="Z3903" s="6"/>
    </row>
    <row r="3904" spans="3:26" x14ac:dyDescent="0.25">
      <c r="C3904" s="2"/>
      <c r="J3904" s="8"/>
      <c r="R3904" s="8"/>
      <c r="Z3904" s="6"/>
    </row>
    <row r="3905" spans="3:26" x14ac:dyDescent="0.25">
      <c r="C3905" s="2"/>
      <c r="J3905" s="8"/>
      <c r="R3905" s="8"/>
      <c r="Z3905" s="6"/>
    </row>
    <row r="3906" spans="3:26" x14ac:dyDescent="0.25">
      <c r="C3906" s="2"/>
      <c r="J3906" s="8"/>
      <c r="R3906" s="8"/>
      <c r="Z3906" s="6"/>
    </row>
    <row r="3907" spans="3:26" x14ac:dyDescent="0.25">
      <c r="C3907" s="2"/>
      <c r="J3907" s="8"/>
      <c r="R3907" s="8"/>
      <c r="Z3907" s="6"/>
    </row>
    <row r="3908" spans="3:26" x14ac:dyDescent="0.25">
      <c r="C3908" s="2"/>
      <c r="J3908" s="8"/>
      <c r="R3908" s="8"/>
      <c r="Z3908" s="6"/>
    </row>
    <row r="3909" spans="3:26" x14ac:dyDescent="0.25">
      <c r="C3909" s="2"/>
      <c r="J3909" s="8"/>
      <c r="R3909" s="8"/>
      <c r="Z3909" s="6"/>
    </row>
    <row r="3910" spans="3:26" x14ac:dyDescent="0.25">
      <c r="C3910" s="2"/>
      <c r="J3910" s="8"/>
      <c r="R3910" s="8"/>
      <c r="Z3910" s="6"/>
    </row>
    <row r="3911" spans="3:26" x14ac:dyDescent="0.25">
      <c r="C3911" s="2"/>
      <c r="J3911" s="8"/>
      <c r="R3911" s="8"/>
      <c r="Z3911" s="6"/>
    </row>
    <row r="3912" spans="3:26" x14ac:dyDescent="0.25">
      <c r="C3912" s="2"/>
      <c r="J3912" s="8"/>
      <c r="R3912" s="8"/>
      <c r="Z3912" s="6"/>
    </row>
    <row r="3913" spans="3:26" x14ac:dyDescent="0.25">
      <c r="C3913" s="2"/>
      <c r="J3913" s="8"/>
      <c r="R3913" s="8"/>
      <c r="Z3913" s="6"/>
    </row>
    <row r="3914" spans="3:26" x14ac:dyDescent="0.25">
      <c r="C3914" s="2"/>
      <c r="J3914" s="8"/>
      <c r="R3914" s="8"/>
      <c r="Z3914" s="6"/>
    </row>
    <row r="3915" spans="3:26" x14ac:dyDescent="0.25">
      <c r="C3915" s="2"/>
      <c r="J3915" s="8"/>
      <c r="R3915" s="8"/>
      <c r="Z3915" s="6"/>
    </row>
    <row r="3916" spans="3:26" x14ac:dyDescent="0.25">
      <c r="C3916" s="2"/>
      <c r="J3916" s="8"/>
      <c r="R3916" s="8"/>
      <c r="Z3916" s="6"/>
    </row>
    <row r="3917" spans="3:26" x14ac:dyDescent="0.25">
      <c r="C3917" s="2"/>
      <c r="J3917" s="8"/>
      <c r="R3917" s="8"/>
      <c r="Z3917" s="6"/>
    </row>
    <row r="3918" spans="3:26" x14ac:dyDescent="0.25">
      <c r="C3918" s="2"/>
      <c r="J3918" s="8"/>
      <c r="R3918" s="8"/>
      <c r="Z3918" s="6"/>
    </row>
    <row r="3919" spans="3:26" x14ac:dyDescent="0.25">
      <c r="C3919" s="2"/>
      <c r="J3919" s="8"/>
      <c r="R3919" s="8"/>
      <c r="Z3919" s="6"/>
    </row>
    <row r="3920" spans="3:26" x14ac:dyDescent="0.25">
      <c r="C3920" s="2"/>
      <c r="J3920" s="8"/>
      <c r="R3920" s="8"/>
      <c r="Z3920" s="6"/>
    </row>
    <row r="3921" spans="3:26" x14ac:dyDescent="0.25">
      <c r="C3921" s="2"/>
      <c r="J3921" s="8"/>
      <c r="R3921" s="8"/>
      <c r="Z3921" s="6"/>
    </row>
    <row r="3922" spans="3:26" x14ac:dyDescent="0.25">
      <c r="C3922" s="2"/>
      <c r="J3922" s="8"/>
      <c r="R3922" s="8"/>
      <c r="Z3922" s="6"/>
    </row>
    <row r="3923" spans="3:26" x14ac:dyDescent="0.25">
      <c r="C3923" s="2"/>
      <c r="J3923" s="8"/>
      <c r="R3923" s="8"/>
      <c r="Z3923" s="6"/>
    </row>
    <row r="3924" spans="3:26" x14ac:dyDescent="0.25">
      <c r="C3924" s="2"/>
      <c r="J3924" s="8"/>
      <c r="R3924" s="8"/>
      <c r="Z3924" s="6"/>
    </row>
    <row r="3925" spans="3:26" x14ac:dyDescent="0.25">
      <c r="C3925" s="2"/>
      <c r="J3925" s="8"/>
      <c r="R3925" s="8"/>
      <c r="Z3925" s="6"/>
    </row>
    <row r="3926" spans="3:26" x14ac:dyDescent="0.25">
      <c r="C3926" s="2"/>
      <c r="J3926" s="8"/>
      <c r="R3926" s="8"/>
      <c r="Z3926" s="6"/>
    </row>
    <row r="3927" spans="3:26" x14ac:dyDescent="0.25">
      <c r="C3927" s="2"/>
      <c r="J3927" s="8"/>
      <c r="R3927" s="8"/>
      <c r="Z3927" s="6"/>
    </row>
    <row r="3928" spans="3:26" x14ac:dyDescent="0.25">
      <c r="C3928" s="2"/>
      <c r="J3928" s="8"/>
      <c r="R3928" s="8"/>
      <c r="Z3928" s="6"/>
    </row>
    <row r="3929" spans="3:26" x14ac:dyDescent="0.25">
      <c r="C3929" s="2"/>
      <c r="J3929" s="8"/>
      <c r="R3929" s="8"/>
      <c r="Z3929" s="6"/>
    </row>
    <row r="3930" spans="3:26" x14ac:dyDescent="0.25">
      <c r="C3930" s="2"/>
      <c r="J3930" s="8"/>
      <c r="R3930" s="8"/>
      <c r="Z3930" s="6"/>
    </row>
    <row r="3931" spans="3:26" x14ac:dyDescent="0.25">
      <c r="C3931" s="2"/>
      <c r="J3931" s="8"/>
      <c r="R3931" s="8"/>
      <c r="Z3931" s="6"/>
    </row>
    <row r="3932" spans="3:26" x14ac:dyDescent="0.25">
      <c r="C3932" s="2"/>
      <c r="J3932" s="8"/>
      <c r="R3932" s="8"/>
      <c r="Z3932" s="6"/>
    </row>
    <row r="3933" spans="3:26" x14ac:dyDescent="0.25">
      <c r="C3933" s="2"/>
      <c r="J3933" s="8"/>
      <c r="R3933" s="8"/>
      <c r="Z3933" s="6"/>
    </row>
    <row r="3934" spans="3:26" x14ac:dyDescent="0.25">
      <c r="C3934" s="2"/>
      <c r="J3934" s="8"/>
      <c r="R3934" s="8"/>
      <c r="Z3934" s="6"/>
    </row>
    <row r="3935" spans="3:26" x14ac:dyDescent="0.25">
      <c r="C3935" s="2"/>
      <c r="J3935" s="8"/>
      <c r="R3935" s="8"/>
      <c r="Z3935" s="6"/>
    </row>
    <row r="3936" spans="3:26" x14ac:dyDescent="0.25">
      <c r="C3936" s="2"/>
      <c r="J3936" s="8"/>
      <c r="R3936" s="8"/>
      <c r="Z3936" s="6"/>
    </row>
    <row r="3937" spans="3:26" x14ac:dyDescent="0.25">
      <c r="C3937" s="2"/>
      <c r="J3937" s="8"/>
      <c r="R3937" s="8"/>
      <c r="Z3937" s="6"/>
    </row>
    <row r="3938" spans="3:26" x14ac:dyDescent="0.25">
      <c r="C3938" s="2"/>
      <c r="J3938" s="8"/>
      <c r="R3938" s="8"/>
      <c r="Z3938" s="6"/>
    </row>
    <row r="3939" spans="3:26" x14ac:dyDescent="0.25">
      <c r="C3939" s="2"/>
      <c r="J3939" s="8"/>
      <c r="R3939" s="8"/>
      <c r="Z3939" s="6"/>
    </row>
    <row r="3940" spans="3:26" x14ac:dyDescent="0.25">
      <c r="C3940" s="2"/>
      <c r="J3940" s="8"/>
      <c r="R3940" s="8"/>
      <c r="Z3940" s="6"/>
    </row>
    <row r="3941" spans="3:26" x14ac:dyDescent="0.25">
      <c r="C3941" s="2"/>
      <c r="J3941" s="8"/>
      <c r="R3941" s="8"/>
      <c r="Z3941" s="6"/>
    </row>
    <row r="3942" spans="3:26" x14ac:dyDescent="0.25">
      <c r="C3942" s="2"/>
      <c r="J3942" s="8"/>
      <c r="R3942" s="8"/>
      <c r="Z3942" s="6"/>
    </row>
    <row r="3943" spans="3:26" x14ac:dyDescent="0.25">
      <c r="C3943" s="2"/>
      <c r="J3943" s="8"/>
      <c r="R3943" s="8"/>
      <c r="Z3943" s="6"/>
    </row>
    <row r="3944" spans="3:26" x14ac:dyDescent="0.25">
      <c r="C3944" s="2"/>
      <c r="J3944" s="8"/>
      <c r="R3944" s="8"/>
      <c r="Z3944" s="6"/>
    </row>
    <row r="3945" spans="3:26" x14ac:dyDescent="0.25">
      <c r="C3945" s="2"/>
      <c r="J3945" s="8"/>
      <c r="R3945" s="8"/>
      <c r="Z3945" s="6"/>
    </row>
    <row r="3946" spans="3:26" x14ac:dyDescent="0.25">
      <c r="C3946" s="2"/>
      <c r="J3946" s="8"/>
      <c r="R3946" s="8"/>
      <c r="Z3946" s="6"/>
    </row>
    <row r="3947" spans="3:26" x14ac:dyDescent="0.25">
      <c r="C3947" s="2"/>
      <c r="J3947" s="8"/>
      <c r="R3947" s="8"/>
      <c r="Z3947" s="6"/>
    </row>
    <row r="3948" spans="3:26" x14ac:dyDescent="0.25">
      <c r="C3948" s="2"/>
      <c r="J3948" s="8"/>
      <c r="R3948" s="8"/>
      <c r="Z3948" s="6"/>
    </row>
    <row r="3949" spans="3:26" x14ac:dyDescent="0.25">
      <c r="C3949" s="2"/>
      <c r="J3949" s="8"/>
      <c r="R3949" s="8"/>
      <c r="Z3949" s="6"/>
    </row>
    <row r="3950" spans="3:26" x14ac:dyDescent="0.25">
      <c r="C3950" s="2"/>
      <c r="J3950" s="8"/>
      <c r="R3950" s="8"/>
      <c r="Z3950" s="6"/>
    </row>
    <row r="3951" spans="3:26" x14ac:dyDescent="0.25">
      <c r="C3951" s="2"/>
      <c r="J3951" s="8"/>
      <c r="R3951" s="8"/>
      <c r="Z3951" s="6"/>
    </row>
    <row r="3952" spans="3:26" x14ac:dyDescent="0.25">
      <c r="C3952" s="2"/>
      <c r="J3952" s="8"/>
      <c r="R3952" s="8"/>
      <c r="Z3952" s="6"/>
    </row>
    <row r="3953" spans="3:26" x14ac:dyDescent="0.25">
      <c r="C3953" s="2"/>
      <c r="J3953" s="8"/>
      <c r="R3953" s="8"/>
      <c r="Z3953" s="6"/>
    </row>
    <row r="3954" spans="3:26" x14ac:dyDescent="0.25">
      <c r="C3954" s="2"/>
      <c r="J3954" s="8"/>
      <c r="R3954" s="8"/>
      <c r="Z3954" s="6"/>
    </row>
    <row r="3955" spans="3:26" x14ac:dyDescent="0.25">
      <c r="C3955" s="2"/>
      <c r="J3955" s="8"/>
      <c r="R3955" s="8"/>
      <c r="Z3955" s="6"/>
    </row>
    <row r="3956" spans="3:26" x14ac:dyDescent="0.25">
      <c r="C3956" s="2"/>
      <c r="J3956" s="8"/>
      <c r="R3956" s="8"/>
      <c r="Z3956" s="6"/>
    </row>
    <row r="3957" spans="3:26" x14ac:dyDescent="0.25">
      <c r="C3957" s="2"/>
      <c r="J3957" s="8"/>
      <c r="R3957" s="8"/>
      <c r="Z3957" s="6"/>
    </row>
    <row r="3958" spans="3:26" x14ac:dyDescent="0.25">
      <c r="C3958" s="2"/>
      <c r="J3958" s="8"/>
      <c r="R3958" s="8"/>
      <c r="Z3958" s="6"/>
    </row>
    <row r="3959" spans="3:26" x14ac:dyDescent="0.25">
      <c r="C3959" s="2"/>
      <c r="J3959" s="8"/>
      <c r="R3959" s="8"/>
      <c r="Z3959" s="6"/>
    </row>
    <row r="3960" spans="3:26" x14ac:dyDescent="0.25">
      <c r="C3960" s="2"/>
      <c r="J3960" s="8"/>
      <c r="R3960" s="8"/>
      <c r="Z3960" s="6"/>
    </row>
    <row r="3961" spans="3:26" x14ac:dyDescent="0.25">
      <c r="C3961" s="2"/>
      <c r="J3961" s="8"/>
      <c r="R3961" s="8"/>
      <c r="Z3961" s="6"/>
    </row>
    <row r="3962" spans="3:26" x14ac:dyDescent="0.25">
      <c r="C3962" s="2"/>
      <c r="J3962" s="8"/>
      <c r="R3962" s="8"/>
      <c r="Z3962" s="6"/>
    </row>
    <row r="3963" spans="3:26" x14ac:dyDescent="0.25">
      <c r="C3963" s="2"/>
      <c r="J3963" s="8"/>
      <c r="R3963" s="8"/>
      <c r="Z3963" s="6"/>
    </row>
    <row r="3964" spans="3:26" x14ac:dyDescent="0.25">
      <c r="C3964" s="2"/>
      <c r="J3964" s="8"/>
      <c r="R3964" s="8"/>
      <c r="Z3964" s="6"/>
    </row>
    <row r="3965" spans="3:26" x14ac:dyDescent="0.25">
      <c r="C3965" s="2"/>
      <c r="J3965" s="8"/>
      <c r="R3965" s="8"/>
      <c r="Z3965" s="6"/>
    </row>
    <row r="3966" spans="3:26" x14ac:dyDescent="0.25">
      <c r="C3966" s="2"/>
      <c r="J3966" s="8"/>
      <c r="R3966" s="8"/>
      <c r="Z3966" s="6"/>
    </row>
    <row r="3967" spans="3:26" x14ac:dyDescent="0.25">
      <c r="C3967" s="2"/>
      <c r="J3967" s="8"/>
      <c r="R3967" s="8"/>
      <c r="Z3967" s="6"/>
    </row>
    <row r="3968" spans="3:26" x14ac:dyDescent="0.25">
      <c r="C3968" s="2"/>
      <c r="J3968" s="8"/>
      <c r="R3968" s="8"/>
      <c r="Z3968" s="6"/>
    </row>
    <row r="3969" spans="3:26" x14ac:dyDescent="0.25">
      <c r="C3969" s="2"/>
      <c r="J3969" s="8"/>
      <c r="R3969" s="8"/>
      <c r="Z3969" s="6"/>
    </row>
    <row r="3970" spans="3:26" x14ac:dyDescent="0.25">
      <c r="C3970" s="2"/>
      <c r="J3970" s="8"/>
      <c r="R3970" s="8"/>
      <c r="Z3970" s="6"/>
    </row>
    <row r="3971" spans="3:26" x14ac:dyDescent="0.25">
      <c r="C3971" s="2"/>
      <c r="J3971" s="8"/>
      <c r="R3971" s="8"/>
      <c r="Z3971" s="6"/>
    </row>
    <row r="3972" spans="3:26" x14ac:dyDescent="0.25">
      <c r="C3972" s="2"/>
      <c r="J3972" s="8"/>
      <c r="R3972" s="8"/>
      <c r="Z3972" s="6"/>
    </row>
    <row r="3973" spans="3:26" x14ac:dyDescent="0.25">
      <c r="C3973" s="2"/>
      <c r="J3973" s="8"/>
      <c r="R3973" s="8"/>
      <c r="Z3973" s="6"/>
    </row>
    <row r="3974" spans="3:26" x14ac:dyDescent="0.25">
      <c r="C3974" s="2"/>
      <c r="J3974" s="8"/>
      <c r="R3974" s="8"/>
      <c r="Z3974" s="6"/>
    </row>
    <row r="3975" spans="3:26" x14ac:dyDescent="0.25">
      <c r="C3975" s="2"/>
      <c r="J3975" s="8"/>
      <c r="R3975" s="8"/>
      <c r="Z3975" s="6"/>
    </row>
    <row r="3976" spans="3:26" x14ac:dyDescent="0.25">
      <c r="C3976" s="2"/>
      <c r="J3976" s="8"/>
      <c r="R3976" s="8"/>
      <c r="Z3976" s="6"/>
    </row>
    <row r="3977" spans="3:26" x14ac:dyDescent="0.25">
      <c r="C3977" s="2"/>
      <c r="J3977" s="8"/>
      <c r="R3977" s="8"/>
      <c r="Z3977" s="6"/>
    </row>
    <row r="3978" spans="3:26" x14ac:dyDescent="0.25">
      <c r="C3978" s="2"/>
      <c r="J3978" s="8"/>
      <c r="R3978" s="8"/>
      <c r="Z3978" s="6"/>
    </row>
    <row r="3979" spans="3:26" x14ac:dyDescent="0.25">
      <c r="C3979" s="2"/>
      <c r="J3979" s="8"/>
      <c r="R3979" s="8"/>
      <c r="Z3979" s="6"/>
    </row>
    <row r="3980" spans="3:26" x14ac:dyDescent="0.25">
      <c r="C3980" s="2"/>
      <c r="J3980" s="8"/>
      <c r="R3980" s="8"/>
      <c r="Z3980" s="6"/>
    </row>
    <row r="3981" spans="3:26" x14ac:dyDescent="0.25">
      <c r="C3981" s="2"/>
      <c r="J3981" s="8"/>
      <c r="R3981" s="8"/>
      <c r="Z3981" s="6"/>
    </row>
    <row r="3982" spans="3:26" x14ac:dyDescent="0.25">
      <c r="C3982" s="2"/>
      <c r="J3982" s="8"/>
      <c r="R3982" s="8"/>
      <c r="Z3982" s="6"/>
    </row>
    <row r="3983" spans="3:26" x14ac:dyDescent="0.25">
      <c r="C3983" s="2"/>
      <c r="J3983" s="8"/>
      <c r="R3983" s="8"/>
      <c r="Z3983" s="6"/>
    </row>
    <row r="3984" spans="3:26" x14ac:dyDescent="0.25">
      <c r="C3984" s="2"/>
      <c r="J3984" s="8"/>
      <c r="R3984" s="8"/>
      <c r="Z3984" s="6"/>
    </row>
    <row r="3985" spans="3:26" x14ac:dyDescent="0.25">
      <c r="C3985" s="2"/>
      <c r="J3985" s="8"/>
      <c r="R3985" s="8"/>
      <c r="Z3985" s="6"/>
    </row>
    <row r="3986" spans="3:26" x14ac:dyDescent="0.25">
      <c r="C3986" s="2"/>
      <c r="J3986" s="8"/>
      <c r="R3986" s="8"/>
      <c r="Z3986" s="6"/>
    </row>
    <row r="3987" spans="3:26" x14ac:dyDescent="0.25">
      <c r="C3987" s="2"/>
      <c r="J3987" s="8"/>
      <c r="R3987" s="8"/>
      <c r="Z3987" s="6"/>
    </row>
    <row r="3988" spans="3:26" x14ac:dyDescent="0.25">
      <c r="C3988" s="2"/>
      <c r="J3988" s="8"/>
      <c r="R3988" s="8"/>
      <c r="Z3988" s="6"/>
    </row>
    <row r="3989" spans="3:26" x14ac:dyDescent="0.25">
      <c r="C3989" s="2"/>
      <c r="J3989" s="8"/>
      <c r="R3989" s="8"/>
      <c r="Z3989" s="6"/>
    </row>
    <row r="3990" spans="3:26" x14ac:dyDescent="0.25">
      <c r="C3990" s="2"/>
      <c r="J3990" s="8"/>
      <c r="R3990" s="8"/>
      <c r="Z3990" s="6"/>
    </row>
    <row r="3991" spans="3:26" x14ac:dyDescent="0.25">
      <c r="C3991" s="2"/>
      <c r="J3991" s="8"/>
      <c r="R3991" s="8"/>
      <c r="Z3991" s="6"/>
    </row>
    <row r="3992" spans="3:26" x14ac:dyDescent="0.25">
      <c r="C3992" s="2"/>
      <c r="J3992" s="8"/>
      <c r="R3992" s="8"/>
      <c r="Z3992" s="6"/>
    </row>
    <row r="3993" spans="3:26" x14ac:dyDescent="0.25">
      <c r="C3993" s="2"/>
      <c r="J3993" s="8"/>
      <c r="R3993" s="8"/>
      <c r="Z3993" s="6"/>
    </row>
    <row r="3994" spans="3:26" x14ac:dyDescent="0.25">
      <c r="C3994" s="2"/>
      <c r="J3994" s="8"/>
      <c r="R3994" s="8"/>
      <c r="Z3994" s="6"/>
    </row>
    <row r="3995" spans="3:26" x14ac:dyDescent="0.25">
      <c r="C3995" s="2"/>
      <c r="J3995" s="8"/>
      <c r="R3995" s="8"/>
      <c r="Z3995" s="6"/>
    </row>
    <row r="3996" spans="3:26" x14ac:dyDescent="0.25">
      <c r="C3996" s="2"/>
      <c r="J3996" s="8"/>
      <c r="R3996" s="8"/>
      <c r="Z3996" s="6"/>
    </row>
    <row r="3997" spans="3:26" x14ac:dyDescent="0.25">
      <c r="C3997" s="2"/>
      <c r="J3997" s="8"/>
      <c r="R3997" s="8"/>
      <c r="Z3997" s="6"/>
    </row>
    <row r="3998" spans="3:26" x14ac:dyDescent="0.25">
      <c r="C3998" s="2"/>
      <c r="J3998" s="8"/>
      <c r="R3998" s="8"/>
      <c r="Z3998" s="6"/>
    </row>
    <row r="3999" spans="3:26" x14ac:dyDescent="0.25">
      <c r="C3999" s="2"/>
      <c r="J3999" s="8"/>
      <c r="R3999" s="8"/>
      <c r="Z3999" s="6"/>
    </row>
    <row r="4000" spans="3:26" x14ac:dyDescent="0.25">
      <c r="C4000" s="2"/>
      <c r="J4000" s="8"/>
      <c r="R4000" s="8"/>
      <c r="Z4000" s="6"/>
    </row>
    <row r="4001" spans="3:26" x14ac:dyDescent="0.25">
      <c r="C4001" s="2"/>
      <c r="J4001" s="8"/>
      <c r="R4001" s="8"/>
      <c r="Z4001" s="6"/>
    </row>
    <row r="4002" spans="3:26" x14ac:dyDescent="0.25">
      <c r="C4002" s="2"/>
      <c r="J4002" s="8"/>
      <c r="R4002" s="8"/>
      <c r="Z4002" s="6"/>
    </row>
    <row r="4003" spans="3:26" x14ac:dyDescent="0.25">
      <c r="C4003" s="2"/>
      <c r="J4003" s="8"/>
      <c r="R4003" s="8"/>
      <c r="Z4003" s="6"/>
    </row>
    <row r="4004" spans="3:26" x14ac:dyDescent="0.25">
      <c r="C4004" s="2"/>
      <c r="J4004" s="8"/>
      <c r="R4004" s="8"/>
      <c r="Z4004" s="6"/>
    </row>
    <row r="4005" spans="3:26" x14ac:dyDescent="0.25">
      <c r="C4005" s="2"/>
      <c r="J4005" s="8"/>
      <c r="R4005" s="8"/>
      <c r="Z4005" s="6"/>
    </row>
    <row r="4006" spans="3:26" x14ac:dyDescent="0.25">
      <c r="C4006" s="2"/>
      <c r="J4006" s="8"/>
      <c r="R4006" s="8"/>
      <c r="Z4006" s="6"/>
    </row>
    <row r="4007" spans="3:26" x14ac:dyDescent="0.25">
      <c r="C4007" s="2"/>
      <c r="J4007" s="8"/>
      <c r="R4007" s="8"/>
      <c r="Z4007" s="6"/>
    </row>
    <row r="4008" spans="3:26" x14ac:dyDescent="0.25">
      <c r="C4008" s="2"/>
      <c r="J4008" s="8"/>
      <c r="R4008" s="8"/>
      <c r="Z4008" s="6"/>
    </row>
    <row r="4009" spans="3:26" x14ac:dyDescent="0.25">
      <c r="C4009" s="2"/>
      <c r="J4009" s="8"/>
      <c r="R4009" s="8"/>
      <c r="Z4009" s="6"/>
    </row>
    <row r="4010" spans="3:26" x14ac:dyDescent="0.25">
      <c r="C4010" s="2"/>
      <c r="J4010" s="8"/>
      <c r="R4010" s="8"/>
      <c r="Z4010" s="6"/>
    </row>
    <row r="4011" spans="3:26" x14ac:dyDescent="0.25">
      <c r="C4011" s="2"/>
      <c r="J4011" s="8"/>
      <c r="R4011" s="8"/>
      <c r="Z4011" s="6"/>
    </row>
    <row r="4012" spans="3:26" x14ac:dyDescent="0.25">
      <c r="C4012" s="2"/>
      <c r="J4012" s="8"/>
      <c r="R4012" s="8"/>
      <c r="Z4012" s="6"/>
    </row>
    <row r="4013" spans="3:26" x14ac:dyDescent="0.25">
      <c r="C4013" s="2"/>
      <c r="J4013" s="8"/>
      <c r="R4013" s="8"/>
      <c r="Z4013" s="6"/>
    </row>
    <row r="4014" spans="3:26" x14ac:dyDescent="0.25">
      <c r="C4014" s="2"/>
      <c r="J4014" s="8"/>
      <c r="R4014" s="8"/>
      <c r="Z4014" s="6"/>
    </row>
    <row r="4015" spans="3:26" x14ac:dyDescent="0.25">
      <c r="C4015" s="2"/>
      <c r="J4015" s="8"/>
      <c r="R4015" s="8"/>
      <c r="Z4015" s="6"/>
    </row>
    <row r="4016" spans="3:26" x14ac:dyDescent="0.25">
      <c r="C4016" s="2"/>
      <c r="J4016" s="8"/>
      <c r="R4016" s="8"/>
      <c r="Z4016" s="6"/>
    </row>
    <row r="4017" spans="3:26" x14ac:dyDescent="0.25">
      <c r="C4017" s="2"/>
      <c r="J4017" s="8"/>
      <c r="R4017" s="8"/>
      <c r="Z4017" s="6"/>
    </row>
    <row r="4018" spans="3:26" x14ac:dyDescent="0.25">
      <c r="C4018" s="2"/>
      <c r="J4018" s="8"/>
      <c r="R4018" s="8"/>
      <c r="Z4018" s="6"/>
    </row>
    <row r="4019" spans="3:26" x14ac:dyDescent="0.25">
      <c r="C4019" s="2"/>
      <c r="J4019" s="8"/>
      <c r="R4019" s="8"/>
      <c r="Z4019" s="6"/>
    </row>
    <row r="4020" spans="3:26" x14ac:dyDescent="0.25">
      <c r="C4020" s="2"/>
      <c r="J4020" s="8"/>
      <c r="R4020" s="8"/>
      <c r="Z4020" s="6"/>
    </row>
    <row r="4021" spans="3:26" x14ac:dyDescent="0.25">
      <c r="C4021" s="2"/>
      <c r="J4021" s="8"/>
      <c r="R4021" s="8"/>
      <c r="Z4021" s="6"/>
    </row>
    <row r="4022" spans="3:26" x14ac:dyDescent="0.25">
      <c r="C4022" s="2"/>
      <c r="J4022" s="8"/>
      <c r="R4022" s="8"/>
      <c r="Z4022" s="6"/>
    </row>
    <row r="4023" spans="3:26" x14ac:dyDescent="0.25">
      <c r="C4023" s="2"/>
      <c r="J4023" s="8"/>
      <c r="R4023" s="8"/>
      <c r="Z4023" s="6"/>
    </row>
    <row r="4024" spans="3:26" x14ac:dyDescent="0.25">
      <c r="C4024" s="2"/>
      <c r="J4024" s="8"/>
      <c r="R4024" s="8"/>
      <c r="Z4024" s="6"/>
    </row>
    <row r="4025" spans="3:26" x14ac:dyDescent="0.25">
      <c r="C4025" s="2"/>
      <c r="J4025" s="8"/>
      <c r="R4025" s="8"/>
      <c r="Z4025" s="6"/>
    </row>
    <row r="4026" spans="3:26" x14ac:dyDescent="0.25">
      <c r="C4026" s="2"/>
      <c r="J4026" s="8"/>
      <c r="R4026" s="8"/>
      <c r="Z4026" s="6"/>
    </row>
    <row r="4027" spans="3:26" x14ac:dyDescent="0.25">
      <c r="C4027" s="2"/>
      <c r="J4027" s="8"/>
      <c r="R4027" s="8"/>
      <c r="Z4027" s="6"/>
    </row>
    <row r="4028" spans="3:26" x14ac:dyDescent="0.25">
      <c r="C4028" s="2"/>
      <c r="J4028" s="8"/>
      <c r="R4028" s="8"/>
      <c r="Z4028" s="6"/>
    </row>
    <row r="4029" spans="3:26" x14ac:dyDescent="0.25">
      <c r="C4029" s="2"/>
      <c r="J4029" s="8"/>
      <c r="R4029" s="8"/>
      <c r="Z4029" s="6"/>
    </row>
    <row r="4030" spans="3:26" x14ac:dyDescent="0.25">
      <c r="C4030" s="2"/>
      <c r="J4030" s="8"/>
      <c r="R4030" s="8"/>
      <c r="Z4030" s="6"/>
    </row>
    <row r="4031" spans="3:26" x14ac:dyDescent="0.25">
      <c r="C4031" s="2"/>
      <c r="J4031" s="8"/>
      <c r="R4031" s="8"/>
      <c r="Z4031" s="6"/>
    </row>
    <row r="4032" spans="3:26" x14ac:dyDescent="0.25">
      <c r="C4032" s="2"/>
      <c r="J4032" s="8"/>
      <c r="R4032" s="8"/>
      <c r="Z4032" s="6"/>
    </row>
    <row r="4033" spans="3:26" x14ac:dyDescent="0.25">
      <c r="C4033" s="2"/>
      <c r="J4033" s="8"/>
      <c r="R4033" s="8"/>
      <c r="Z4033" s="6"/>
    </row>
    <row r="4034" spans="3:26" x14ac:dyDescent="0.25">
      <c r="C4034" s="2"/>
      <c r="J4034" s="8"/>
      <c r="R4034" s="8"/>
      <c r="Z4034" s="6"/>
    </row>
    <row r="4035" spans="3:26" x14ac:dyDescent="0.25">
      <c r="C4035" s="2"/>
      <c r="J4035" s="8"/>
      <c r="R4035" s="8"/>
      <c r="Z4035" s="6"/>
    </row>
    <row r="4036" spans="3:26" x14ac:dyDescent="0.25">
      <c r="C4036" s="2"/>
      <c r="J4036" s="8"/>
      <c r="R4036" s="8"/>
      <c r="Z4036" s="6"/>
    </row>
    <row r="4037" spans="3:26" x14ac:dyDescent="0.25">
      <c r="C4037" s="2"/>
      <c r="J4037" s="8"/>
      <c r="R4037" s="8"/>
      <c r="Z4037" s="6"/>
    </row>
    <row r="4038" spans="3:26" x14ac:dyDescent="0.25">
      <c r="C4038" s="2"/>
      <c r="J4038" s="8"/>
      <c r="R4038" s="8"/>
      <c r="Z4038" s="6"/>
    </row>
    <row r="4039" spans="3:26" x14ac:dyDescent="0.25">
      <c r="C4039" s="2"/>
      <c r="J4039" s="8"/>
      <c r="R4039" s="8"/>
      <c r="Z4039" s="6"/>
    </row>
    <row r="4040" spans="3:26" x14ac:dyDescent="0.25">
      <c r="C4040" s="2"/>
      <c r="J4040" s="8"/>
      <c r="R4040" s="8"/>
      <c r="Z4040" s="6"/>
    </row>
    <row r="4041" spans="3:26" x14ac:dyDescent="0.25">
      <c r="C4041" s="2"/>
      <c r="J4041" s="8"/>
      <c r="R4041" s="8"/>
      <c r="Z4041" s="6"/>
    </row>
    <row r="4042" spans="3:26" x14ac:dyDescent="0.25">
      <c r="C4042" s="2"/>
      <c r="J4042" s="8"/>
      <c r="R4042" s="8"/>
      <c r="Z4042" s="6"/>
    </row>
    <row r="4043" spans="3:26" x14ac:dyDescent="0.25">
      <c r="C4043" s="2"/>
      <c r="J4043" s="8"/>
      <c r="R4043" s="8"/>
      <c r="Z4043" s="6"/>
    </row>
    <row r="4044" spans="3:26" x14ac:dyDescent="0.25">
      <c r="C4044" s="2"/>
      <c r="J4044" s="8"/>
      <c r="R4044" s="8"/>
      <c r="Z4044" s="6"/>
    </row>
    <row r="4045" spans="3:26" x14ac:dyDescent="0.25">
      <c r="C4045" s="2"/>
      <c r="J4045" s="8"/>
      <c r="R4045" s="8"/>
      <c r="Z4045" s="6"/>
    </row>
    <row r="4046" spans="3:26" x14ac:dyDescent="0.25">
      <c r="C4046" s="2"/>
      <c r="J4046" s="8"/>
      <c r="R4046" s="8"/>
      <c r="Z4046" s="6"/>
    </row>
    <row r="4047" spans="3:26" x14ac:dyDescent="0.25">
      <c r="C4047" s="2"/>
      <c r="J4047" s="8"/>
      <c r="R4047" s="8"/>
      <c r="Z4047" s="6"/>
    </row>
    <row r="4048" spans="3:26" x14ac:dyDescent="0.25">
      <c r="C4048" s="2"/>
      <c r="J4048" s="8"/>
      <c r="R4048" s="8"/>
      <c r="Z4048" s="6"/>
    </row>
    <row r="4049" spans="3:26" x14ac:dyDescent="0.25">
      <c r="C4049" s="2"/>
      <c r="J4049" s="8"/>
      <c r="R4049" s="8"/>
      <c r="Z4049" s="6"/>
    </row>
    <row r="4050" spans="3:26" x14ac:dyDescent="0.25">
      <c r="C4050" s="2"/>
      <c r="J4050" s="8"/>
      <c r="R4050" s="8"/>
      <c r="Z4050" s="6"/>
    </row>
    <row r="4051" spans="3:26" x14ac:dyDescent="0.25">
      <c r="C4051" s="2"/>
      <c r="J4051" s="8"/>
      <c r="R4051" s="8"/>
      <c r="Z4051" s="6"/>
    </row>
    <row r="4052" spans="3:26" x14ac:dyDescent="0.25">
      <c r="C4052" s="2"/>
      <c r="J4052" s="8"/>
      <c r="R4052" s="8"/>
      <c r="Z4052" s="6"/>
    </row>
    <row r="4053" spans="3:26" x14ac:dyDescent="0.25">
      <c r="C4053" s="2"/>
      <c r="J4053" s="8"/>
      <c r="R4053" s="8"/>
      <c r="Z4053" s="6"/>
    </row>
    <row r="4054" spans="3:26" x14ac:dyDescent="0.25">
      <c r="C4054" s="2"/>
      <c r="J4054" s="8"/>
      <c r="R4054" s="8"/>
      <c r="Z4054" s="6"/>
    </row>
    <row r="4055" spans="3:26" x14ac:dyDescent="0.25">
      <c r="C4055" s="2"/>
      <c r="J4055" s="8"/>
      <c r="R4055" s="8"/>
      <c r="Z4055" s="6"/>
    </row>
    <row r="4056" spans="3:26" x14ac:dyDescent="0.25">
      <c r="C4056" s="2"/>
      <c r="J4056" s="8"/>
      <c r="R4056" s="8"/>
      <c r="Z4056" s="6"/>
    </row>
    <row r="4057" spans="3:26" x14ac:dyDescent="0.25">
      <c r="C4057" s="2"/>
      <c r="J4057" s="8"/>
      <c r="R4057" s="8"/>
      <c r="Z4057" s="6"/>
    </row>
    <row r="4058" spans="3:26" x14ac:dyDescent="0.25">
      <c r="C4058" s="2"/>
      <c r="J4058" s="8"/>
      <c r="R4058" s="8"/>
      <c r="Z4058" s="6"/>
    </row>
    <row r="4059" spans="3:26" x14ac:dyDescent="0.25">
      <c r="C4059" s="2"/>
      <c r="J4059" s="8"/>
      <c r="R4059" s="8"/>
      <c r="Z4059" s="6"/>
    </row>
    <row r="4060" spans="3:26" x14ac:dyDescent="0.25">
      <c r="C4060" s="2"/>
      <c r="J4060" s="8"/>
      <c r="R4060" s="8"/>
      <c r="Z4060" s="6"/>
    </row>
    <row r="4061" spans="3:26" x14ac:dyDescent="0.25">
      <c r="C4061" s="2"/>
      <c r="J4061" s="8"/>
      <c r="R4061" s="8"/>
      <c r="Z4061" s="6"/>
    </row>
    <row r="4062" spans="3:26" x14ac:dyDescent="0.25">
      <c r="C4062" s="2"/>
      <c r="J4062" s="8"/>
      <c r="R4062" s="8"/>
      <c r="Z4062" s="6"/>
    </row>
    <row r="4063" spans="3:26" x14ac:dyDescent="0.25">
      <c r="C4063" s="2"/>
      <c r="J4063" s="8"/>
      <c r="R4063" s="8"/>
      <c r="Z4063" s="6"/>
    </row>
    <row r="4064" spans="3:26" x14ac:dyDescent="0.25">
      <c r="C4064" s="2"/>
      <c r="J4064" s="8"/>
      <c r="R4064" s="8"/>
      <c r="Z4064" s="6"/>
    </row>
    <row r="4065" spans="3:26" x14ac:dyDescent="0.25">
      <c r="C4065" s="2"/>
      <c r="J4065" s="8"/>
      <c r="R4065" s="8"/>
      <c r="Z4065" s="6"/>
    </row>
    <row r="4066" spans="3:26" x14ac:dyDescent="0.25">
      <c r="C4066" s="2"/>
      <c r="J4066" s="8"/>
      <c r="R4066" s="8"/>
      <c r="Z4066" s="6"/>
    </row>
    <row r="4067" spans="3:26" x14ac:dyDescent="0.25">
      <c r="C4067" s="2"/>
      <c r="J4067" s="8"/>
      <c r="R4067" s="8"/>
      <c r="Z4067" s="6"/>
    </row>
    <row r="4068" spans="3:26" x14ac:dyDescent="0.25">
      <c r="C4068" s="2"/>
      <c r="J4068" s="8"/>
      <c r="R4068" s="8"/>
      <c r="Z4068" s="6"/>
    </row>
    <row r="4069" spans="3:26" x14ac:dyDescent="0.25">
      <c r="C4069" s="2"/>
      <c r="J4069" s="8"/>
      <c r="R4069" s="8"/>
      <c r="Z4069" s="6"/>
    </row>
    <row r="4070" spans="3:26" x14ac:dyDescent="0.25">
      <c r="C4070" s="2"/>
      <c r="J4070" s="8"/>
      <c r="R4070" s="8"/>
      <c r="Z4070" s="6"/>
    </row>
    <row r="4071" spans="3:26" x14ac:dyDescent="0.25">
      <c r="C4071" s="2"/>
      <c r="J4071" s="8"/>
      <c r="R4071" s="8"/>
      <c r="Z4071" s="6"/>
    </row>
    <row r="4072" spans="3:26" x14ac:dyDescent="0.25">
      <c r="C4072" s="2"/>
      <c r="J4072" s="8"/>
      <c r="R4072" s="8"/>
      <c r="Z4072" s="6"/>
    </row>
    <row r="4073" spans="3:26" x14ac:dyDescent="0.25">
      <c r="C4073" s="2"/>
      <c r="J4073" s="8"/>
      <c r="R4073" s="8"/>
      <c r="Z4073" s="6"/>
    </row>
    <row r="4074" spans="3:26" x14ac:dyDescent="0.25">
      <c r="C4074" s="2"/>
      <c r="J4074" s="8"/>
      <c r="R4074" s="8"/>
      <c r="Z4074" s="6"/>
    </row>
    <row r="4075" spans="3:26" x14ac:dyDescent="0.25">
      <c r="C4075" s="2"/>
      <c r="J4075" s="8"/>
      <c r="R4075" s="8"/>
      <c r="Z4075" s="6"/>
    </row>
    <row r="4076" spans="3:26" x14ac:dyDescent="0.25">
      <c r="C4076" s="2"/>
      <c r="J4076" s="8"/>
      <c r="R4076" s="8"/>
      <c r="Z4076" s="6"/>
    </row>
    <row r="4077" spans="3:26" x14ac:dyDescent="0.25">
      <c r="C4077" s="2"/>
      <c r="J4077" s="8"/>
      <c r="R4077" s="8"/>
      <c r="Z4077" s="6"/>
    </row>
    <row r="4078" spans="3:26" x14ac:dyDescent="0.25">
      <c r="C4078" s="2"/>
      <c r="J4078" s="8"/>
      <c r="R4078" s="8"/>
      <c r="Z4078" s="6"/>
    </row>
    <row r="4079" spans="3:26" x14ac:dyDescent="0.25">
      <c r="C4079" s="2"/>
      <c r="J4079" s="8"/>
      <c r="R4079" s="8"/>
      <c r="Z4079" s="6"/>
    </row>
    <row r="4080" spans="3:26" x14ac:dyDescent="0.25">
      <c r="C4080" s="2"/>
      <c r="J4080" s="8"/>
      <c r="R4080" s="8"/>
      <c r="Z4080" s="6"/>
    </row>
    <row r="4081" spans="3:26" x14ac:dyDescent="0.25">
      <c r="C4081" s="2"/>
      <c r="J4081" s="8"/>
      <c r="R4081" s="8"/>
      <c r="Z4081" s="6"/>
    </row>
    <row r="4082" spans="3:26" x14ac:dyDescent="0.25">
      <c r="C4082" s="2"/>
      <c r="J4082" s="8"/>
      <c r="R4082" s="8"/>
      <c r="Z4082" s="6"/>
    </row>
    <row r="4083" spans="3:26" x14ac:dyDescent="0.25">
      <c r="C4083" s="2"/>
      <c r="J4083" s="8"/>
      <c r="R4083" s="8"/>
      <c r="Z4083" s="6"/>
    </row>
    <row r="4084" spans="3:26" x14ac:dyDescent="0.25">
      <c r="C4084" s="2"/>
      <c r="J4084" s="8"/>
      <c r="R4084" s="8"/>
      <c r="Z4084" s="6"/>
    </row>
    <row r="4085" spans="3:26" x14ac:dyDescent="0.25">
      <c r="C4085" s="2"/>
      <c r="J4085" s="8"/>
      <c r="R4085" s="8"/>
      <c r="Z4085" s="6"/>
    </row>
    <row r="4086" spans="3:26" x14ac:dyDescent="0.25">
      <c r="C4086" s="2"/>
      <c r="J4086" s="8"/>
      <c r="R4086" s="8"/>
      <c r="Z4086" s="6"/>
    </row>
    <row r="4087" spans="3:26" x14ac:dyDescent="0.25">
      <c r="C4087" s="2"/>
      <c r="J4087" s="8"/>
      <c r="R4087" s="8"/>
      <c r="Z4087" s="6"/>
    </row>
    <row r="4088" spans="3:26" x14ac:dyDescent="0.25">
      <c r="C4088" s="2"/>
      <c r="J4088" s="8"/>
      <c r="R4088" s="8"/>
      <c r="Z4088" s="6"/>
    </row>
    <row r="4089" spans="3:26" x14ac:dyDescent="0.25">
      <c r="C4089" s="2"/>
      <c r="J4089" s="8"/>
      <c r="R4089" s="8"/>
      <c r="Z4089" s="6"/>
    </row>
    <row r="4090" spans="3:26" x14ac:dyDescent="0.25">
      <c r="C4090" s="2"/>
      <c r="J4090" s="8"/>
      <c r="R4090" s="8"/>
      <c r="Z4090" s="6"/>
    </row>
    <row r="4091" spans="3:26" x14ac:dyDescent="0.25">
      <c r="C4091" s="2"/>
      <c r="J4091" s="8"/>
      <c r="R4091" s="8"/>
      <c r="Z4091" s="6"/>
    </row>
    <row r="4092" spans="3:26" x14ac:dyDescent="0.25">
      <c r="C4092" s="2"/>
      <c r="J4092" s="8"/>
      <c r="R4092" s="8"/>
      <c r="Z4092" s="6"/>
    </row>
    <row r="4093" spans="3:26" x14ac:dyDescent="0.25">
      <c r="C4093" s="2"/>
      <c r="J4093" s="8"/>
      <c r="R4093" s="8"/>
      <c r="Z4093" s="6"/>
    </row>
    <row r="4094" spans="3:26" x14ac:dyDescent="0.25">
      <c r="C4094" s="2"/>
      <c r="J4094" s="8"/>
      <c r="R4094" s="8"/>
      <c r="Z4094" s="6"/>
    </row>
    <row r="4095" spans="3:26" x14ac:dyDescent="0.25">
      <c r="C4095" s="2"/>
      <c r="J4095" s="8"/>
      <c r="R4095" s="8"/>
      <c r="Z4095" s="6"/>
    </row>
    <row r="4096" spans="3:26" x14ac:dyDescent="0.25">
      <c r="C4096" s="2"/>
      <c r="J4096" s="8"/>
      <c r="R4096" s="8"/>
      <c r="Z4096" s="6"/>
    </row>
    <row r="4097" spans="3:26" x14ac:dyDescent="0.25">
      <c r="C4097" s="2"/>
      <c r="J4097" s="8"/>
      <c r="R4097" s="8"/>
      <c r="Z4097" s="6"/>
    </row>
    <row r="4098" spans="3:26" x14ac:dyDescent="0.25">
      <c r="C4098" s="2"/>
      <c r="J4098" s="8"/>
      <c r="R4098" s="8"/>
      <c r="Z4098" s="6"/>
    </row>
    <row r="4099" spans="3:26" x14ac:dyDescent="0.25">
      <c r="C4099" s="2"/>
      <c r="J4099" s="8"/>
      <c r="R4099" s="8"/>
      <c r="Z4099" s="6"/>
    </row>
    <row r="4100" spans="3:26" x14ac:dyDescent="0.25">
      <c r="C4100" s="2"/>
      <c r="J4100" s="8"/>
      <c r="R4100" s="8"/>
      <c r="Z4100" s="6"/>
    </row>
    <row r="4101" spans="3:26" x14ac:dyDescent="0.25">
      <c r="C4101" s="2"/>
      <c r="J4101" s="8"/>
      <c r="R4101" s="8"/>
      <c r="Z4101" s="6"/>
    </row>
    <row r="4102" spans="3:26" x14ac:dyDescent="0.25">
      <c r="C4102" s="2"/>
      <c r="J4102" s="8"/>
      <c r="R4102" s="8"/>
      <c r="Z4102" s="6"/>
    </row>
    <row r="4103" spans="3:26" x14ac:dyDescent="0.25">
      <c r="C4103" s="2"/>
      <c r="J4103" s="8"/>
      <c r="R4103" s="8"/>
      <c r="Z4103" s="6"/>
    </row>
    <row r="4104" spans="3:26" x14ac:dyDescent="0.25">
      <c r="C4104" s="2"/>
      <c r="J4104" s="8"/>
      <c r="R4104" s="8"/>
      <c r="Z4104" s="6"/>
    </row>
    <row r="4105" spans="3:26" x14ac:dyDescent="0.25">
      <c r="C4105" s="2"/>
      <c r="J4105" s="8"/>
      <c r="R4105" s="8"/>
      <c r="Z4105" s="6"/>
    </row>
    <row r="4106" spans="3:26" x14ac:dyDescent="0.25">
      <c r="C4106" s="2"/>
      <c r="J4106" s="8"/>
      <c r="R4106" s="8"/>
      <c r="Z4106" s="6"/>
    </row>
    <row r="4107" spans="3:26" x14ac:dyDescent="0.25">
      <c r="C4107" s="2"/>
      <c r="J4107" s="8"/>
      <c r="R4107" s="8"/>
      <c r="Z4107" s="6"/>
    </row>
    <row r="4108" spans="3:26" x14ac:dyDescent="0.25">
      <c r="C4108" s="2"/>
      <c r="J4108" s="8"/>
      <c r="R4108" s="8"/>
      <c r="Z4108" s="6"/>
    </row>
    <row r="4109" spans="3:26" x14ac:dyDescent="0.25">
      <c r="C4109" s="2"/>
      <c r="J4109" s="8"/>
      <c r="R4109" s="8"/>
      <c r="Z4109" s="6"/>
    </row>
    <row r="4110" spans="3:26" x14ac:dyDescent="0.25">
      <c r="C4110" s="2"/>
      <c r="J4110" s="8"/>
      <c r="R4110" s="8"/>
      <c r="Z4110" s="6"/>
    </row>
    <row r="4111" spans="3:26" x14ac:dyDescent="0.25">
      <c r="C4111" s="2"/>
      <c r="J4111" s="8"/>
      <c r="R4111" s="8"/>
      <c r="Z4111" s="6"/>
    </row>
    <row r="4112" spans="3:26" x14ac:dyDescent="0.25">
      <c r="C4112" s="2"/>
      <c r="J4112" s="8"/>
      <c r="R4112" s="8"/>
      <c r="Z4112" s="6"/>
    </row>
    <row r="4113" spans="3:26" x14ac:dyDescent="0.25">
      <c r="C4113" s="2"/>
      <c r="J4113" s="8"/>
      <c r="R4113" s="8"/>
      <c r="Z4113" s="6"/>
    </row>
    <row r="4114" spans="3:26" x14ac:dyDescent="0.25">
      <c r="C4114" s="2"/>
      <c r="J4114" s="8"/>
      <c r="R4114" s="8"/>
      <c r="Z4114" s="6"/>
    </row>
    <row r="4115" spans="3:26" x14ac:dyDescent="0.25">
      <c r="C4115" s="2"/>
      <c r="J4115" s="8"/>
      <c r="R4115" s="8"/>
      <c r="Z4115" s="6"/>
    </row>
    <row r="4116" spans="3:26" x14ac:dyDescent="0.25">
      <c r="C4116" s="2"/>
      <c r="J4116" s="8"/>
      <c r="R4116" s="8"/>
      <c r="Z4116" s="6"/>
    </row>
    <row r="4117" spans="3:26" x14ac:dyDescent="0.25">
      <c r="C4117" s="2"/>
      <c r="J4117" s="8"/>
      <c r="R4117" s="8"/>
      <c r="Z4117" s="6"/>
    </row>
    <row r="4118" spans="3:26" x14ac:dyDescent="0.25">
      <c r="C4118" s="2"/>
      <c r="J4118" s="8"/>
      <c r="R4118" s="8"/>
      <c r="Z4118" s="6"/>
    </row>
    <row r="4119" spans="3:26" x14ac:dyDescent="0.25">
      <c r="C4119" s="2"/>
      <c r="J4119" s="8"/>
      <c r="R4119" s="8"/>
      <c r="Z4119" s="6"/>
    </row>
    <row r="4120" spans="3:26" x14ac:dyDescent="0.25">
      <c r="C4120" s="2"/>
      <c r="J4120" s="8"/>
      <c r="R4120" s="8"/>
      <c r="Z4120" s="6"/>
    </row>
    <row r="4121" spans="3:26" x14ac:dyDescent="0.25">
      <c r="C4121" s="2"/>
      <c r="J4121" s="8"/>
      <c r="R4121" s="8"/>
      <c r="Z4121" s="6"/>
    </row>
    <row r="4122" spans="3:26" x14ac:dyDescent="0.25">
      <c r="C4122" s="2"/>
      <c r="J4122" s="8"/>
      <c r="R4122" s="8"/>
      <c r="Z4122" s="6"/>
    </row>
    <row r="4123" spans="3:26" x14ac:dyDescent="0.25">
      <c r="C4123" s="2"/>
      <c r="J4123" s="8"/>
      <c r="R4123" s="8"/>
      <c r="Z4123" s="6"/>
    </row>
    <row r="4124" spans="3:26" x14ac:dyDescent="0.25">
      <c r="C4124" s="2"/>
      <c r="J4124" s="8"/>
      <c r="R4124" s="8"/>
      <c r="Z4124" s="6"/>
    </row>
    <row r="4125" spans="3:26" x14ac:dyDescent="0.25">
      <c r="C4125" s="2"/>
      <c r="J4125" s="8"/>
      <c r="R4125" s="8"/>
      <c r="Z4125" s="6"/>
    </row>
    <row r="4126" spans="3:26" x14ac:dyDescent="0.25">
      <c r="C4126" s="2"/>
      <c r="J4126" s="8"/>
      <c r="R4126" s="8"/>
      <c r="Z4126" s="6"/>
    </row>
    <row r="4127" spans="3:26" x14ac:dyDescent="0.25">
      <c r="C4127" s="2"/>
      <c r="J4127" s="8"/>
      <c r="R4127" s="8"/>
      <c r="Z4127" s="6"/>
    </row>
    <row r="4128" spans="3:26" x14ac:dyDescent="0.25">
      <c r="C4128" s="2"/>
      <c r="J4128" s="8"/>
      <c r="R4128" s="8"/>
      <c r="Z4128" s="6"/>
    </row>
    <row r="4129" spans="3:26" x14ac:dyDescent="0.25">
      <c r="C4129" s="2"/>
      <c r="J4129" s="8"/>
      <c r="R4129" s="8"/>
      <c r="Z4129" s="6"/>
    </row>
    <row r="4130" spans="3:26" x14ac:dyDescent="0.25">
      <c r="C4130" s="2"/>
      <c r="J4130" s="8"/>
      <c r="R4130" s="8"/>
      <c r="Z4130" s="6"/>
    </row>
    <row r="4131" spans="3:26" x14ac:dyDescent="0.25">
      <c r="C4131" s="2"/>
      <c r="J4131" s="8"/>
      <c r="R4131" s="8"/>
      <c r="Z4131" s="6"/>
    </row>
    <row r="4132" spans="3:26" x14ac:dyDescent="0.25">
      <c r="C4132" s="2"/>
      <c r="J4132" s="8"/>
      <c r="R4132" s="8"/>
      <c r="Z4132" s="6"/>
    </row>
    <row r="4133" spans="3:26" x14ac:dyDescent="0.25">
      <c r="C4133" s="2"/>
      <c r="J4133" s="8"/>
      <c r="R4133" s="8"/>
      <c r="Z4133" s="6"/>
    </row>
    <row r="4134" spans="3:26" x14ac:dyDescent="0.25">
      <c r="C4134" s="2"/>
      <c r="J4134" s="8"/>
      <c r="R4134" s="8"/>
      <c r="Z4134" s="6"/>
    </row>
    <row r="4135" spans="3:26" x14ac:dyDescent="0.25">
      <c r="C4135" s="2"/>
      <c r="J4135" s="8"/>
      <c r="R4135" s="8"/>
      <c r="Z4135" s="6"/>
    </row>
    <row r="4136" spans="3:26" x14ac:dyDescent="0.25">
      <c r="C4136" s="2"/>
      <c r="J4136" s="8"/>
      <c r="R4136" s="8"/>
      <c r="Z4136" s="6"/>
    </row>
    <row r="4137" spans="3:26" x14ac:dyDescent="0.25">
      <c r="C4137" s="2"/>
      <c r="J4137" s="8"/>
      <c r="R4137" s="8"/>
      <c r="Z4137" s="6"/>
    </row>
    <row r="4138" spans="3:26" x14ac:dyDescent="0.25">
      <c r="C4138" s="2"/>
      <c r="J4138" s="8"/>
      <c r="R4138" s="8"/>
      <c r="Z4138" s="6"/>
    </row>
    <row r="4139" spans="3:26" x14ac:dyDescent="0.25">
      <c r="C4139" s="2"/>
      <c r="J4139" s="8"/>
      <c r="R4139" s="8"/>
      <c r="Z4139" s="6"/>
    </row>
    <row r="4140" spans="3:26" x14ac:dyDescent="0.25">
      <c r="C4140" s="2"/>
      <c r="J4140" s="8"/>
      <c r="R4140" s="8"/>
      <c r="Z4140" s="6"/>
    </row>
    <row r="4141" spans="3:26" x14ac:dyDescent="0.25">
      <c r="C4141" s="2"/>
      <c r="J4141" s="8"/>
      <c r="R4141" s="8"/>
      <c r="Z4141" s="6"/>
    </row>
    <row r="4142" spans="3:26" x14ac:dyDescent="0.25">
      <c r="C4142" s="2"/>
      <c r="J4142" s="8"/>
      <c r="R4142" s="8"/>
      <c r="Z4142" s="6"/>
    </row>
    <row r="4143" spans="3:26" x14ac:dyDescent="0.25">
      <c r="C4143" s="2"/>
      <c r="J4143" s="8"/>
      <c r="R4143" s="8"/>
      <c r="Z4143" s="6"/>
    </row>
    <row r="4144" spans="3:26" x14ac:dyDescent="0.25">
      <c r="C4144" s="2"/>
      <c r="J4144" s="8"/>
      <c r="R4144" s="8"/>
      <c r="Z4144" s="6"/>
    </row>
    <row r="4145" spans="3:26" x14ac:dyDescent="0.25">
      <c r="C4145" s="2"/>
      <c r="J4145" s="8"/>
      <c r="R4145" s="8"/>
      <c r="Z4145" s="6"/>
    </row>
    <row r="4146" spans="3:26" x14ac:dyDescent="0.25">
      <c r="C4146" s="2"/>
      <c r="J4146" s="8"/>
      <c r="R4146" s="8"/>
      <c r="Z4146" s="6"/>
    </row>
    <row r="4147" spans="3:26" x14ac:dyDescent="0.25">
      <c r="C4147" s="2"/>
      <c r="J4147" s="8"/>
      <c r="R4147" s="8"/>
      <c r="Z4147" s="6"/>
    </row>
    <row r="4148" spans="3:26" x14ac:dyDescent="0.25">
      <c r="C4148" s="2"/>
      <c r="J4148" s="8"/>
      <c r="R4148" s="8"/>
      <c r="Z4148" s="6"/>
    </row>
    <row r="4149" spans="3:26" x14ac:dyDescent="0.25">
      <c r="C4149" s="2"/>
      <c r="J4149" s="8"/>
      <c r="R4149" s="8"/>
      <c r="Z4149" s="6"/>
    </row>
    <row r="4150" spans="3:26" x14ac:dyDescent="0.25">
      <c r="C4150" s="2"/>
      <c r="J4150" s="8"/>
      <c r="R4150" s="8"/>
      <c r="Z4150" s="6"/>
    </row>
    <row r="4151" spans="3:26" x14ac:dyDescent="0.25">
      <c r="C4151" s="2"/>
      <c r="J4151" s="8"/>
      <c r="R4151" s="8"/>
      <c r="Z4151" s="6"/>
    </row>
    <row r="4152" spans="3:26" x14ac:dyDescent="0.25">
      <c r="C4152" s="2"/>
      <c r="J4152" s="8"/>
      <c r="R4152" s="8"/>
      <c r="Z4152" s="6"/>
    </row>
    <row r="4153" spans="3:26" x14ac:dyDescent="0.25">
      <c r="C4153" s="2"/>
      <c r="J4153" s="8"/>
      <c r="R4153" s="8"/>
      <c r="Z4153" s="6"/>
    </row>
    <row r="4154" spans="3:26" x14ac:dyDescent="0.25">
      <c r="C4154" s="2"/>
      <c r="J4154" s="8"/>
      <c r="R4154" s="8"/>
      <c r="Z4154" s="6"/>
    </row>
    <row r="4155" spans="3:26" x14ac:dyDescent="0.25">
      <c r="C4155" s="2"/>
      <c r="J4155" s="8"/>
      <c r="R4155" s="8"/>
      <c r="Z4155" s="6"/>
    </row>
    <row r="4156" spans="3:26" x14ac:dyDescent="0.25">
      <c r="C4156" s="2"/>
      <c r="J4156" s="8"/>
      <c r="R4156" s="8"/>
      <c r="Z4156" s="6"/>
    </row>
    <row r="4157" spans="3:26" x14ac:dyDescent="0.25">
      <c r="C4157" s="2"/>
      <c r="J4157" s="8"/>
      <c r="R4157" s="8"/>
      <c r="Z4157" s="6"/>
    </row>
    <row r="4158" spans="3:26" x14ac:dyDescent="0.25">
      <c r="C4158" s="2"/>
      <c r="J4158" s="8"/>
      <c r="R4158" s="8"/>
      <c r="Z4158" s="6"/>
    </row>
    <row r="4159" spans="3:26" x14ac:dyDescent="0.25">
      <c r="C4159" s="2"/>
      <c r="J4159" s="8"/>
      <c r="R4159" s="8"/>
      <c r="Z4159" s="6"/>
    </row>
    <row r="4160" spans="3:26" x14ac:dyDescent="0.25">
      <c r="C4160" s="2"/>
      <c r="J4160" s="8"/>
      <c r="R4160" s="8"/>
      <c r="Z4160" s="6"/>
    </row>
    <row r="4161" spans="3:26" x14ac:dyDescent="0.25">
      <c r="C4161" s="2"/>
      <c r="J4161" s="8"/>
      <c r="R4161" s="8"/>
      <c r="Z4161" s="6"/>
    </row>
    <row r="4162" spans="3:26" x14ac:dyDescent="0.25">
      <c r="C4162" s="2"/>
      <c r="J4162" s="8"/>
      <c r="R4162" s="8"/>
      <c r="Z4162" s="6"/>
    </row>
    <row r="4163" spans="3:26" x14ac:dyDescent="0.25">
      <c r="C4163" s="2"/>
      <c r="J4163" s="8"/>
      <c r="R4163" s="8"/>
      <c r="Z4163" s="6"/>
    </row>
    <row r="4164" spans="3:26" x14ac:dyDescent="0.25">
      <c r="C4164" s="2"/>
      <c r="J4164" s="8"/>
      <c r="R4164" s="8"/>
      <c r="Z4164" s="6"/>
    </row>
    <row r="4165" spans="3:26" x14ac:dyDescent="0.25">
      <c r="C4165" s="2"/>
      <c r="J4165" s="8"/>
      <c r="R4165" s="8"/>
      <c r="Z4165" s="6"/>
    </row>
    <row r="4166" spans="3:26" x14ac:dyDescent="0.25">
      <c r="C4166" s="2"/>
      <c r="J4166" s="8"/>
      <c r="R4166" s="8"/>
      <c r="Z4166" s="6"/>
    </row>
    <row r="4167" spans="3:26" x14ac:dyDescent="0.25">
      <c r="C4167" s="2"/>
      <c r="J4167" s="8"/>
      <c r="R4167" s="8"/>
      <c r="Z4167" s="6"/>
    </row>
    <row r="4168" spans="3:26" x14ac:dyDescent="0.25">
      <c r="C4168" s="2"/>
      <c r="J4168" s="8"/>
      <c r="R4168" s="8"/>
      <c r="Z4168" s="6"/>
    </row>
    <row r="4169" spans="3:26" x14ac:dyDescent="0.25">
      <c r="C4169" s="2"/>
      <c r="J4169" s="8"/>
      <c r="R4169" s="8"/>
      <c r="Z4169" s="6"/>
    </row>
    <row r="4170" spans="3:26" x14ac:dyDescent="0.25">
      <c r="C4170" s="2"/>
      <c r="J4170" s="8"/>
      <c r="R4170" s="8"/>
      <c r="Z4170" s="6"/>
    </row>
    <row r="4171" spans="3:26" x14ac:dyDescent="0.25">
      <c r="C4171" s="2"/>
      <c r="J4171" s="8"/>
      <c r="R4171" s="8"/>
      <c r="Z4171" s="6"/>
    </row>
    <row r="4172" spans="3:26" x14ac:dyDescent="0.25">
      <c r="C4172" s="2"/>
      <c r="J4172" s="8"/>
      <c r="R4172" s="8"/>
      <c r="Z4172" s="6"/>
    </row>
    <row r="4173" spans="3:26" x14ac:dyDescent="0.25">
      <c r="C4173" s="2"/>
      <c r="J4173" s="8"/>
      <c r="R4173" s="8"/>
      <c r="Z4173" s="6"/>
    </row>
    <row r="4174" spans="3:26" x14ac:dyDescent="0.25">
      <c r="C4174" s="2"/>
      <c r="J4174" s="8"/>
      <c r="R4174" s="8"/>
      <c r="Z4174" s="6"/>
    </row>
    <row r="4175" spans="3:26" x14ac:dyDescent="0.25">
      <c r="C4175" s="2"/>
      <c r="J4175" s="8"/>
      <c r="R4175" s="8"/>
      <c r="Z4175" s="6"/>
    </row>
    <row r="4176" spans="3:26" x14ac:dyDescent="0.25">
      <c r="C4176" s="2"/>
      <c r="J4176" s="8"/>
      <c r="R4176" s="8"/>
      <c r="Z4176" s="6"/>
    </row>
    <row r="4177" spans="3:26" x14ac:dyDescent="0.25">
      <c r="C4177" s="2"/>
      <c r="J4177" s="8"/>
      <c r="R4177" s="8"/>
      <c r="Z4177" s="6"/>
    </row>
    <row r="4178" spans="3:26" x14ac:dyDescent="0.25">
      <c r="C4178" s="2"/>
      <c r="J4178" s="8"/>
      <c r="R4178" s="8"/>
      <c r="Z4178" s="6"/>
    </row>
    <row r="4179" spans="3:26" x14ac:dyDescent="0.25">
      <c r="C4179" s="2"/>
      <c r="J4179" s="8"/>
      <c r="R4179" s="8"/>
      <c r="Z4179" s="6"/>
    </row>
    <row r="4180" spans="3:26" x14ac:dyDescent="0.25">
      <c r="C4180" s="2"/>
      <c r="J4180" s="8"/>
      <c r="R4180" s="8"/>
      <c r="Z4180" s="6"/>
    </row>
    <row r="4181" spans="3:26" x14ac:dyDescent="0.25">
      <c r="C4181" s="2"/>
      <c r="J4181" s="8"/>
      <c r="R4181" s="8"/>
      <c r="Z4181" s="6"/>
    </row>
    <row r="4182" spans="3:26" x14ac:dyDescent="0.25">
      <c r="C4182" s="2"/>
      <c r="J4182" s="8"/>
      <c r="R4182" s="8"/>
      <c r="Z4182" s="6"/>
    </row>
    <row r="4183" spans="3:26" x14ac:dyDescent="0.25">
      <c r="C4183" s="2"/>
      <c r="J4183" s="8"/>
      <c r="R4183" s="8"/>
      <c r="Z4183" s="6"/>
    </row>
    <row r="4184" spans="3:26" x14ac:dyDescent="0.25">
      <c r="C4184" s="2"/>
      <c r="J4184" s="8"/>
      <c r="R4184" s="8"/>
      <c r="Z4184" s="6"/>
    </row>
    <row r="4185" spans="3:26" x14ac:dyDescent="0.25">
      <c r="C4185" s="2"/>
      <c r="J4185" s="8"/>
      <c r="R4185" s="8"/>
      <c r="Z4185" s="6"/>
    </row>
    <row r="4186" spans="3:26" x14ac:dyDescent="0.25">
      <c r="C4186" s="2"/>
      <c r="J4186" s="8"/>
      <c r="R4186" s="8"/>
      <c r="Z4186" s="6"/>
    </row>
    <row r="4187" spans="3:26" x14ac:dyDescent="0.25">
      <c r="C4187" s="2"/>
      <c r="J4187" s="8"/>
      <c r="R4187" s="8"/>
      <c r="Z4187" s="6"/>
    </row>
    <row r="4188" spans="3:26" x14ac:dyDescent="0.25">
      <c r="C4188" s="2"/>
      <c r="J4188" s="8"/>
      <c r="R4188" s="8"/>
      <c r="Z4188" s="6"/>
    </row>
    <row r="4189" spans="3:26" x14ac:dyDescent="0.25">
      <c r="C4189" s="2"/>
      <c r="J4189" s="8"/>
      <c r="R4189" s="8"/>
      <c r="Z4189" s="6"/>
    </row>
    <row r="4190" spans="3:26" x14ac:dyDescent="0.25">
      <c r="C4190" s="2"/>
      <c r="J4190" s="8"/>
      <c r="R4190" s="8"/>
      <c r="Z4190" s="6"/>
    </row>
    <row r="4191" spans="3:26" x14ac:dyDescent="0.25">
      <c r="C4191" s="2"/>
      <c r="J4191" s="8"/>
      <c r="R4191" s="8"/>
      <c r="Z4191" s="6"/>
    </row>
    <row r="4192" spans="3:26" x14ac:dyDescent="0.25">
      <c r="C4192" s="2"/>
      <c r="J4192" s="8"/>
      <c r="R4192" s="8"/>
      <c r="Z4192" s="6"/>
    </row>
    <row r="4193" spans="3:26" x14ac:dyDescent="0.25">
      <c r="C4193" s="2"/>
      <c r="J4193" s="8"/>
      <c r="R4193" s="8"/>
      <c r="Z4193" s="6"/>
    </row>
    <row r="4194" spans="3:26" x14ac:dyDescent="0.25">
      <c r="C4194" s="2"/>
      <c r="J4194" s="8"/>
      <c r="R4194" s="8"/>
      <c r="Z4194" s="6"/>
    </row>
    <row r="4195" spans="3:26" x14ac:dyDescent="0.25">
      <c r="C4195" s="2"/>
      <c r="J4195" s="8"/>
      <c r="R4195" s="8"/>
      <c r="Z4195" s="6"/>
    </row>
    <row r="4196" spans="3:26" x14ac:dyDescent="0.25">
      <c r="C4196" s="2"/>
      <c r="J4196" s="8"/>
      <c r="R4196" s="8"/>
      <c r="Z4196" s="6"/>
    </row>
    <row r="4197" spans="3:26" x14ac:dyDescent="0.25">
      <c r="C4197" s="2"/>
      <c r="J4197" s="8"/>
      <c r="R4197" s="8"/>
      <c r="Z4197" s="6"/>
    </row>
    <row r="4198" spans="3:26" x14ac:dyDescent="0.25">
      <c r="C4198" s="2"/>
      <c r="J4198" s="8"/>
      <c r="R4198" s="8"/>
      <c r="Z4198" s="6"/>
    </row>
    <row r="4199" spans="3:26" x14ac:dyDescent="0.25">
      <c r="C4199" s="2"/>
      <c r="J4199" s="8"/>
      <c r="R4199" s="8"/>
      <c r="Z4199" s="6"/>
    </row>
    <row r="4200" spans="3:26" x14ac:dyDescent="0.25">
      <c r="C4200" s="2"/>
      <c r="J4200" s="8"/>
      <c r="R4200" s="8"/>
      <c r="Z4200" s="6"/>
    </row>
    <row r="4201" spans="3:26" x14ac:dyDescent="0.25">
      <c r="C4201" s="2"/>
      <c r="J4201" s="8"/>
      <c r="R4201" s="8"/>
      <c r="Z4201" s="6"/>
    </row>
    <row r="4202" spans="3:26" x14ac:dyDescent="0.25">
      <c r="C4202" s="2"/>
      <c r="J4202" s="8"/>
      <c r="R4202" s="8"/>
      <c r="Z4202" s="6"/>
    </row>
    <row r="4203" spans="3:26" x14ac:dyDescent="0.25">
      <c r="C4203" s="2"/>
      <c r="J4203" s="8"/>
      <c r="R4203" s="8"/>
      <c r="Z4203" s="6"/>
    </row>
    <row r="4204" spans="3:26" x14ac:dyDescent="0.25">
      <c r="C4204" s="2"/>
      <c r="J4204" s="8"/>
      <c r="R4204" s="8"/>
      <c r="Z4204" s="6"/>
    </row>
    <row r="4205" spans="3:26" x14ac:dyDescent="0.25">
      <c r="C4205" s="2"/>
      <c r="J4205" s="8"/>
      <c r="R4205" s="8"/>
      <c r="Z4205" s="6"/>
    </row>
    <row r="4206" spans="3:26" x14ac:dyDescent="0.25">
      <c r="C4206" s="2"/>
      <c r="J4206" s="8"/>
      <c r="R4206" s="8"/>
      <c r="Z4206" s="6"/>
    </row>
    <row r="4207" spans="3:26" x14ac:dyDescent="0.25">
      <c r="C4207" s="2"/>
      <c r="J4207" s="8"/>
      <c r="R4207" s="8"/>
      <c r="Z4207" s="6"/>
    </row>
    <row r="4208" spans="3:26" x14ac:dyDescent="0.25">
      <c r="C4208" s="2"/>
      <c r="J4208" s="8"/>
      <c r="R4208" s="8"/>
      <c r="Z4208" s="6"/>
    </row>
    <row r="4209" spans="3:26" x14ac:dyDescent="0.25">
      <c r="C4209" s="2"/>
      <c r="J4209" s="8"/>
      <c r="R4209" s="8"/>
      <c r="Z4209" s="6"/>
    </row>
    <row r="4210" spans="3:26" x14ac:dyDescent="0.25">
      <c r="C4210" s="2"/>
      <c r="J4210" s="8"/>
      <c r="R4210" s="8"/>
      <c r="Z4210" s="6"/>
    </row>
    <row r="4211" spans="3:26" x14ac:dyDescent="0.25">
      <c r="C4211" s="2"/>
      <c r="J4211" s="8"/>
      <c r="R4211" s="8"/>
      <c r="Z4211" s="6"/>
    </row>
    <row r="4212" spans="3:26" x14ac:dyDescent="0.25">
      <c r="C4212" s="2"/>
      <c r="J4212" s="8"/>
      <c r="R4212" s="8"/>
      <c r="Z4212" s="6"/>
    </row>
    <row r="4213" spans="3:26" x14ac:dyDescent="0.25">
      <c r="C4213" s="2"/>
      <c r="J4213" s="8"/>
      <c r="R4213" s="8"/>
      <c r="Z4213" s="6"/>
    </row>
    <row r="4214" spans="3:26" x14ac:dyDescent="0.25">
      <c r="C4214" s="2"/>
      <c r="J4214" s="8"/>
      <c r="R4214" s="8"/>
      <c r="Z4214" s="6"/>
    </row>
    <row r="4215" spans="3:26" x14ac:dyDescent="0.25">
      <c r="C4215" s="2"/>
      <c r="J4215" s="8"/>
      <c r="R4215" s="8"/>
      <c r="Z4215" s="6"/>
    </row>
    <row r="4216" spans="3:26" x14ac:dyDescent="0.25">
      <c r="C4216" s="2"/>
      <c r="J4216" s="8"/>
      <c r="R4216" s="8"/>
      <c r="Z4216" s="6"/>
    </row>
    <row r="4217" spans="3:26" x14ac:dyDescent="0.25">
      <c r="C4217" s="2"/>
      <c r="J4217" s="8"/>
      <c r="R4217" s="8"/>
      <c r="Z4217" s="6"/>
    </row>
    <row r="4218" spans="3:26" x14ac:dyDescent="0.25">
      <c r="C4218" s="2"/>
      <c r="J4218" s="8"/>
      <c r="R4218" s="8"/>
      <c r="Z4218" s="6"/>
    </row>
    <row r="4219" spans="3:26" x14ac:dyDescent="0.25">
      <c r="C4219" s="2"/>
      <c r="J4219" s="8"/>
      <c r="R4219" s="8"/>
      <c r="Z4219" s="6"/>
    </row>
    <row r="4220" spans="3:26" x14ac:dyDescent="0.25">
      <c r="C4220" s="2"/>
      <c r="J4220" s="8"/>
      <c r="R4220" s="8"/>
      <c r="Z4220" s="6"/>
    </row>
    <row r="4221" spans="3:26" x14ac:dyDescent="0.25">
      <c r="C4221" s="2"/>
      <c r="J4221" s="8"/>
      <c r="R4221" s="8"/>
      <c r="Z4221" s="6"/>
    </row>
    <row r="4222" spans="3:26" x14ac:dyDescent="0.25">
      <c r="C4222" s="2"/>
      <c r="J4222" s="8"/>
      <c r="R4222" s="8"/>
      <c r="Z4222" s="6"/>
    </row>
    <row r="4223" spans="3:26" x14ac:dyDescent="0.25">
      <c r="C4223" s="2"/>
      <c r="J4223" s="8"/>
      <c r="R4223" s="8"/>
      <c r="Z4223" s="6"/>
    </row>
    <row r="4224" spans="3:26" x14ac:dyDescent="0.25">
      <c r="C4224" s="2"/>
      <c r="J4224" s="8"/>
      <c r="R4224" s="8"/>
      <c r="Z4224" s="6"/>
    </row>
    <row r="4225" spans="3:26" x14ac:dyDescent="0.25">
      <c r="C4225" s="2"/>
      <c r="J4225" s="8"/>
      <c r="R4225" s="8"/>
      <c r="Z4225" s="6"/>
    </row>
    <row r="4226" spans="3:26" x14ac:dyDescent="0.25">
      <c r="C4226" s="2"/>
      <c r="J4226" s="8"/>
      <c r="R4226" s="8"/>
      <c r="Z4226" s="6"/>
    </row>
    <row r="4227" spans="3:26" x14ac:dyDescent="0.25">
      <c r="C4227" s="2"/>
      <c r="J4227" s="8"/>
      <c r="R4227" s="8"/>
      <c r="Z4227" s="6"/>
    </row>
    <row r="4228" spans="3:26" x14ac:dyDescent="0.25">
      <c r="C4228" s="2"/>
      <c r="J4228" s="8"/>
      <c r="R4228" s="8"/>
      <c r="Z4228" s="6"/>
    </row>
    <row r="4229" spans="3:26" x14ac:dyDescent="0.25">
      <c r="C4229" s="2"/>
      <c r="J4229" s="8"/>
      <c r="R4229" s="8"/>
      <c r="Z4229" s="6"/>
    </row>
    <row r="4230" spans="3:26" x14ac:dyDescent="0.25">
      <c r="C4230" s="2"/>
      <c r="J4230" s="8"/>
      <c r="R4230" s="8"/>
      <c r="Z4230" s="6"/>
    </row>
    <row r="4231" spans="3:26" x14ac:dyDescent="0.25">
      <c r="C4231" s="2"/>
      <c r="J4231" s="8"/>
      <c r="R4231" s="8"/>
      <c r="Z4231" s="6"/>
    </row>
    <row r="4232" spans="3:26" x14ac:dyDescent="0.25">
      <c r="C4232" s="2"/>
      <c r="J4232" s="8"/>
      <c r="R4232" s="8"/>
      <c r="Z4232" s="6"/>
    </row>
    <row r="4233" spans="3:26" x14ac:dyDescent="0.25">
      <c r="C4233" s="2"/>
      <c r="J4233" s="8"/>
      <c r="R4233" s="8"/>
      <c r="Z4233" s="6"/>
    </row>
    <row r="4234" spans="3:26" x14ac:dyDescent="0.25">
      <c r="C4234" s="2"/>
      <c r="J4234" s="8"/>
      <c r="R4234" s="8"/>
      <c r="Z4234" s="6"/>
    </row>
    <row r="4235" spans="3:26" x14ac:dyDescent="0.25">
      <c r="C4235" s="2"/>
      <c r="J4235" s="8"/>
      <c r="R4235" s="8"/>
      <c r="Z4235" s="6"/>
    </row>
    <row r="4236" spans="3:26" x14ac:dyDescent="0.25">
      <c r="C4236" s="2"/>
      <c r="J4236" s="8"/>
      <c r="R4236" s="8"/>
      <c r="Z4236" s="6"/>
    </row>
    <row r="4237" spans="3:26" x14ac:dyDescent="0.25">
      <c r="C4237" s="2"/>
      <c r="J4237" s="8"/>
      <c r="R4237" s="8"/>
      <c r="Z4237" s="6"/>
    </row>
    <row r="4238" spans="3:26" x14ac:dyDescent="0.25">
      <c r="C4238" s="2"/>
      <c r="J4238" s="8"/>
      <c r="R4238" s="8"/>
      <c r="Z4238" s="6"/>
    </row>
    <row r="4239" spans="3:26" x14ac:dyDescent="0.25">
      <c r="C4239" s="2"/>
      <c r="J4239" s="8"/>
      <c r="R4239" s="8"/>
      <c r="Z4239" s="6"/>
    </row>
    <row r="4240" spans="3:26" x14ac:dyDescent="0.25">
      <c r="C4240" s="2"/>
      <c r="J4240" s="8"/>
      <c r="R4240" s="8"/>
      <c r="Z4240" s="6"/>
    </row>
    <row r="4241" spans="3:26" x14ac:dyDescent="0.25">
      <c r="C4241" s="2"/>
      <c r="J4241" s="8"/>
      <c r="R4241" s="8"/>
      <c r="Z4241" s="6"/>
    </row>
    <row r="4242" spans="3:26" x14ac:dyDescent="0.25">
      <c r="C4242" s="2"/>
      <c r="J4242" s="8"/>
      <c r="R4242" s="8"/>
      <c r="Z4242" s="6"/>
    </row>
    <row r="4243" spans="3:26" x14ac:dyDescent="0.25">
      <c r="C4243" s="2"/>
      <c r="J4243" s="8"/>
      <c r="R4243" s="8"/>
      <c r="Z4243" s="6"/>
    </row>
    <row r="4244" spans="3:26" x14ac:dyDescent="0.25">
      <c r="C4244" s="2"/>
      <c r="J4244" s="8"/>
      <c r="R4244" s="8"/>
      <c r="Z4244" s="6"/>
    </row>
    <row r="4245" spans="3:26" x14ac:dyDescent="0.25">
      <c r="C4245" s="2"/>
      <c r="J4245" s="8"/>
      <c r="R4245" s="8"/>
      <c r="Z4245" s="6"/>
    </row>
    <row r="4246" spans="3:26" x14ac:dyDescent="0.25">
      <c r="C4246" s="2"/>
      <c r="J4246" s="8"/>
      <c r="R4246" s="8"/>
      <c r="Z4246" s="6"/>
    </row>
    <row r="4247" spans="3:26" x14ac:dyDescent="0.25">
      <c r="C4247" s="2"/>
      <c r="J4247" s="8"/>
      <c r="R4247" s="8"/>
      <c r="Z4247" s="6"/>
    </row>
    <row r="4248" spans="3:26" x14ac:dyDescent="0.25">
      <c r="C4248" s="2"/>
      <c r="J4248" s="8"/>
      <c r="R4248" s="8"/>
      <c r="Z4248" s="6"/>
    </row>
    <row r="4249" spans="3:26" x14ac:dyDescent="0.25">
      <c r="C4249" s="2"/>
      <c r="J4249" s="8"/>
      <c r="R4249" s="8"/>
      <c r="Z4249" s="6"/>
    </row>
    <row r="4250" spans="3:26" x14ac:dyDescent="0.25">
      <c r="C4250" s="2"/>
      <c r="J4250" s="8"/>
      <c r="R4250" s="8"/>
      <c r="Z4250" s="6"/>
    </row>
    <row r="4251" spans="3:26" x14ac:dyDescent="0.25">
      <c r="C4251" s="2"/>
      <c r="J4251" s="8"/>
      <c r="R4251" s="8"/>
    </row>
    <row r="4252" spans="3:26" x14ac:dyDescent="0.25">
      <c r="C4252" s="2"/>
      <c r="R4252" s="8"/>
    </row>
    <row r="4253" spans="3:26" x14ac:dyDescent="0.25">
      <c r="C4253" s="2"/>
      <c r="R4253" s="8"/>
    </row>
  </sheetData>
  <sheetProtection formatCells="0"/>
  <dataValidations xWindow="379" yWindow="431" count="22">
    <dataValidation type="custom" allowBlank="1" showInputMessage="1" showErrorMessage="1" promptTitle="GHRIS UPN" prompt="Enter the email address" sqref="Y5 Y7:Y1048576">
      <formula1>ISNUMBER(FIND("@",Y5))</formula1>
    </dataValidation>
    <dataValidation allowBlank="1" showInputMessage="1" showErrorMessage="1" promptTitle="GHRIS UPN" prompt="Enter Sub-County Code" sqref="O150:O1048576 O2:O124"/>
    <dataValidation allowBlank="1" showInputMessage="1" showErrorMessage="1" promptTitle="GHRIS UPN" prompt="Enter Date of Birth; format dd/mm/yyyy" sqref="J170:J1048576"/>
    <dataValidation allowBlank="1" showInputMessage="1" showErrorMessage="1" promptTitle="GHRIS UPN" prompt="Enter KRA Tax Pin" sqref="E170:E1048576 E16"/>
    <dataValidation allowBlank="1" showInputMessage="1" showErrorMessage="1" promptTitle="GHRIS UPN" prompt="Enter ID. Number" sqref="D63 D21 D2:D16"/>
    <dataValidation allowBlank="1" showInputMessage="1" showErrorMessage="1" promptTitle="GHRIS UPN" prompt="Enter the Mobile Phone Number: format 07XXXXXXXX" sqref="Z170:Z1048576"/>
    <dataValidation allowBlank="1" showInputMessage="1" showErrorMessage="1" promptTitle="GHRIS UPN" prompt="Enter the Date Hired; Format dd/mm/yyyy" sqref="R170:R1048576"/>
    <dataValidation type="list" allowBlank="1" showInputMessage="1" showErrorMessage="1" promptTitle="GHRIS UPN" prompt="Enter Gender : M or F" sqref="L170:L1048576 L2:L124">
      <formula1>"F,M"</formula1>
    </dataValidation>
    <dataValidation allowBlank="1" showInputMessage="1" showErrorMessage="1" promptTitle="GHRIS UPN" prompt="Enter Birth Certificate Number" sqref="K170:K1048576"/>
    <dataValidation allowBlank="1" showInputMessage="1" showErrorMessage="1" promptTitle="GHRIS UPN" prompt="Enter the Pension Code" sqref="X2:X1048576"/>
    <dataValidation allowBlank="1" showInputMessage="1" showErrorMessage="1" promptTitle="GHRIS UPN" prompt="Enter the Job Group" sqref="V2:V1048576"/>
    <dataValidation allowBlank="1" showInputMessage="1" showErrorMessage="1" promptTitle="GHRIS UPN" prompt="Enter the Designation Code" sqref="U2:U1048576"/>
    <dataValidation allowBlank="1" showInputMessage="1" showErrorMessage="1" promptTitle="GHRIS UPN" prompt="Enter the Pay Group Code" sqref="T2:T1048576"/>
    <dataValidation allowBlank="1" showInputMessage="1" showErrorMessage="1" promptTitle="GHRIS UPN" prompt="Enter Vote Code" sqref="S2:S1048576"/>
    <dataValidation allowBlank="1" showInputMessage="1" showErrorMessage="1" promptTitle="GHRIS UPN" prompt="Enter Ward Code" sqref="P2:P1048576"/>
    <dataValidation allowBlank="1" showInputMessage="1" showErrorMessage="1" promptTitle="GHRIS UPN" prompt="Enter Home County Code" sqref="N2:N1048576"/>
    <dataValidation allowBlank="1" showInputMessage="1" showErrorMessage="1" promptTitle="GHRIS UPN" prompt="Enter Ethinicity Code" sqref="M2:M1048576"/>
    <dataValidation allowBlank="1" showInputMessage="1" showErrorMessage="1" promptTitle="GHRIS UPN" prompt="Enter the Request ID" sqref="A2:A1048576"/>
    <dataValidation allowBlank="1" showInputMessage="1" showErrorMessage="1" promptTitle="GHRIS UPN" prompt="Leave this column Blank" sqref="AC2:AC1048576"/>
    <dataValidation allowBlank="1" showInputMessage="1" showErrorMessage="1" promptTitle="GHRIS UPN" prompt="This Column is Blank" sqref="AA2:AB1048576"/>
    <dataValidation allowBlank="1" showInputMessage="1" showErrorMessage="1" promptTitle="GHRIS UPN" prompt="Enter Village Code" sqref="Q2:Q1048576"/>
    <dataValidation type="list" allowBlank="1" showInputMessage="1" showErrorMessage="1" promptTitle="GHRIS UPN" prompt="Enter Salutation: Mr.,Mrs.,Ms.,Miss., Dr., Prof." sqref="F2:F1048576">
      <formula1>"Mr.,Mrs.,Ms.,Miss.,Dr.,Prof"</formula1>
    </dataValidation>
  </dataValidations>
  <hyperlinks>
    <hyperlink ref="Y109" r:id="rId1"/>
    <hyperlink ref="Y83" r:id="rId2"/>
    <hyperlink ref="Y26" r:id="rId3"/>
    <hyperlink ref="Y144" r:id="rId4"/>
    <hyperlink ref="Y106" r:id="rId5"/>
    <hyperlink ref="Y82" r:id="rId6"/>
    <hyperlink ref="Y114" r:id="rId7"/>
    <hyperlink ref="Y123" r:id="rId8"/>
    <hyperlink ref="Y7" r:id="rId9"/>
    <hyperlink ref="Y84" r:id="rId10"/>
    <hyperlink ref="Y134" r:id="rId11"/>
    <hyperlink ref="Y23" r:id="rId12"/>
    <hyperlink ref="Y89" r:id="rId13"/>
    <hyperlink ref="Y21" r:id="rId14"/>
    <hyperlink ref="Y49" r:id="rId15"/>
    <hyperlink ref="Y74" r:id="rId16"/>
    <hyperlink ref="Y4" r:id="rId17"/>
    <hyperlink ref="Y3" r:id="rId18"/>
    <hyperlink ref="Y2" r:id="rId19"/>
    <hyperlink ref="Y28" r:id="rId20"/>
    <hyperlink ref="Y136" r:id="rId21"/>
    <hyperlink ref="Y11" r:id="rId22"/>
    <hyperlink ref="Y140" r:id="rId23"/>
    <hyperlink ref="Y148" r:id="rId24"/>
    <hyperlink ref="Y137" r:id="rId25"/>
    <hyperlink ref="Y35" r:id="rId26"/>
    <hyperlink ref="Y19" r:id="rId27"/>
    <hyperlink ref="Y141" r:id="rId28"/>
    <hyperlink ref="Y12" r:id="rId29"/>
    <hyperlink ref="Y20" r:id="rId30"/>
    <hyperlink ref="Y27" r:id="rId31"/>
    <hyperlink ref="Y31" r:id="rId32"/>
    <hyperlink ref="Y33" r:id="rId33"/>
    <hyperlink ref="Y44" r:id="rId34"/>
    <hyperlink ref="Y151" r:id="rId35"/>
  </hyperlinks>
  <pageMargins left="0.7" right="0.7" top="0.75" bottom="0.75" header="0.3" footer="0.3"/>
  <pageSetup orientation="portrait" r:id="rId3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4" sqref="A4:XFD1048576"/>
    </sheetView>
  </sheetViews>
  <sheetFormatPr defaultColWidth="0" defaultRowHeight="15" zeroHeight="1" x14ac:dyDescent="0.25"/>
  <cols>
    <col min="1" max="1" width="85.28515625" customWidth="1"/>
    <col min="2" max="16384" width="9.140625" hidden="1"/>
  </cols>
  <sheetData>
    <row r="1" spans="1:1" ht="91.5" customHeight="1" x14ac:dyDescent="0.4">
      <c r="A1" s="4" t="s">
        <v>28</v>
      </c>
    </row>
    <row r="2" spans="1:1" ht="104.25" customHeight="1" x14ac:dyDescent="0.25"/>
    <row r="3" spans="1:1" ht="90.7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lidateCellData">
                <anchor moveWithCells="1" sizeWithCells="1">
                  <from>
                    <xdr:col>0</xdr:col>
                    <xdr:colOff>361950</xdr:colOff>
                    <xdr:row>1</xdr:row>
                    <xdr:rowOff>295275</xdr:rowOff>
                  </from>
                  <to>
                    <xdr:col>0</xdr:col>
                    <xdr:colOff>5305425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ip_All_Files_in_Folder">
                <anchor moveWithCells="1" sizeWithCells="1">
                  <from>
                    <xdr:col>0</xdr:col>
                    <xdr:colOff>428625</xdr:colOff>
                    <xdr:row>2</xdr:row>
                    <xdr:rowOff>219075</xdr:rowOff>
                  </from>
                  <to>
                    <xdr:col>0</xdr:col>
                    <xdr:colOff>5314950</xdr:colOff>
                    <xdr:row>2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UPN</vt:lpstr>
      <vt:lpstr>Submit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asua</dc:creator>
  <cp:lastModifiedBy>User</cp:lastModifiedBy>
  <dcterms:created xsi:type="dcterms:W3CDTF">2018-08-07T20:07:59Z</dcterms:created>
  <dcterms:modified xsi:type="dcterms:W3CDTF">2024-01-29T11:09:03Z</dcterms:modified>
</cp:coreProperties>
</file>