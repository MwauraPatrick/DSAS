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241A139-9C06-4F2C-B6D1-E4B41F47CB80}" xr6:coauthVersionLast="47" xr6:coauthVersionMax="47" xr10:uidLastSave="{00000000-0000-0000-0000-000000000000}"/>
  <bookViews>
    <workbookView xWindow="1470" yWindow="1470" windowWidth="21600" windowHeight="11295" xr2:uid="{4744BA06-D417-4AB8-981F-5EA71DF28E5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2" l="1"/>
  <c r="T13" i="2" s="1"/>
  <c r="O13" i="2"/>
  <c r="L13" i="2"/>
  <c r="I13" i="2"/>
  <c r="F13" i="2"/>
  <c r="C20" i="2"/>
  <c r="P15" i="2"/>
  <c r="M15" i="2"/>
  <c r="J15" i="2"/>
  <c r="G15" i="2"/>
  <c r="E15" i="2"/>
  <c r="C15" i="2"/>
  <c r="S14" i="2"/>
  <c r="S12" i="2"/>
  <c r="T12" i="2" s="1"/>
  <c r="S11" i="2"/>
  <c r="T11" i="2" s="1"/>
  <c r="S10" i="2"/>
  <c r="T10" i="2" s="1"/>
  <c r="S9" i="2"/>
  <c r="T9" i="2" s="1"/>
  <c r="S8" i="2"/>
  <c r="T8" i="2" s="1"/>
  <c r="S7" i="2"/>
  <c r="T7" i="2" s="1"/>
  <c r="S6" i="2"/>
  <c r="B20" i="1"/>
  <c r="G15" i="1"/>
  <c r="F15" i="1"/>
  <c r="E15" i="1"/>
  <c r="D15" i="1"/>
  <c r="C15" i="1"/>
  <c r="B15" i="1"/>
  <c r="I14" i="1"/>
  <c r="H14" i="1"/>
  <c r="H13" i="1"/>
  <c r="I13" i="1" s="1"/>
  <c r="I15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15" i="1" l="1"/>
  <c r="S13" i="2"/>
  <c r="T6" i="2"/>
  <c r="T15" i="2" l="1"/>
  <c r="S15" i="2"/>
</calcChain>
</file>

<file path=xl/sharedStrings.xml><?xml version="1.0" encoding="utf-8"?>
<sst xmlns="http://schemas.openxmlformats.org/spreadsheetml/2006/main" count="68" uniqueCount="34">
  <si>
    <t>FINANCIAL IMPLICATION ON PROMOTING KEY STAFF IN RELEVANT DEPARTMENTS.</t>
  </si>
  <si>
    <t>NAME OF STAFF</t>
  </si>
  <si>
    <t>GROSS SALARY AT CURRENT JOB GROUP</t>
  </si>
  <si>
    <t>HOUSE ALLOWANCE</t>
  </si>
  <si>
    <t>COMMUTER ALLOWANCE</t>
  </si>
  <si>
    <t xml:space="preserve">DIFFERENCE </t>
  </si>
  <si>
    <t>TOTAL</t>
  </si>
  <si>
    <t>MURAGE SAMUEL MAINA ( NM11)</t>
  </si>
  <si>
    <t>KINANU LUCYLINE MBOGORI( NM8)</t>
  </si>
  <si>
    <t>HAMIDA HASSAN( NM8)</t>
  </si>
  <si>
    <t>BASIC SALARY  NEW SCALE</t>
  </si>
  <si>
    <t>TOTAL GROSS SALARY ON NEW GRADE</t>
  </si>
  <si>
    <t>RESPONSIBILITY ALLOWANCE</t>
  </si>
  <si>
    <t>ENTERTAINMENT ALLOWANCE</t>
  </si>
  <si>
    <t>FRANCIS KAHETHU( NM9)</t>
  </si>
  <si>
    <t>MAIMUNA JUMA( NM 8)</t>
  </si>
  <si>
    <t>BEATRICE CHEBET( NM12)</t>
  </si>
  <si>
    <t>DAUDI SALLA( NM5)</t>
  </si>
  <si>
    <t>BRENDA KWAMBOKA( CASUAL)</t>
  </si>
  <si>
    <t>CHARLES AKAMA( FELLOWSHIP)</t>
  </si>
  <si>
    <t>GROSS SALARY ON CURRENT PAYMENT MONTHLY</t>
  </si>
  <si>
    <t>DIFFERENCE OF SALARY PER MONTH</t>
  </si>
  <si>
    <t>GROSS SALARY ON NEW PROPOSED PAYMENT MONTHLY</t>
  </si>
  <si>
    <t>SALARY DIFFERENCE PER YEAR</t>
  </si>
  <si>
    <t>CURRENT BASIC</t>
  </si>
  <si>
    <t>DIFFERENCE</t>
  </si>
  <si>
    <t xml:space="preserve"> CURRENT HOUSE ALLOWANCE</t>
  </si>
  <si>
    <t>NEW HOUSE ALLOWANCE</t>
  </si>
  <si>
    <t>NEW COMMUTER</t>
  </si>
  <si>
    <t xml:space="preserve"> CURRENT RESPONSIBILITY ALLOWANCE</t>
  </si>
  <si>
    <t>NEW RESPONSIBILITY</t>
  </si>
  <si>
    <t xml:space="preserve"> </t>
  </si>
  <si>
    <t xml:space="preserve"> CURRENT ENTERTAINMENT ALLOWANCE</t>
  </si>
  <si>
    <t>NEW ENTERTAINMEDNT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</si>
</sst>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/>
    <xf numFmtId="43" fontId="3" fillId="0" borderId="4" xfId="1" applyFont="1" applyBorder="1" applyAlignment="1">
      <alignment vertical="center" wrapText="1"/>
    </xf>
    <xf numFmtId="43" fontId="2" fillId="0" borderId="4" xfId="1" applyFont="1" applyBorder="1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7A9B-D8DA-41CD-BA65-E689CCFFDC34}">
  <dimension ref="A3:I22"/>
  <sheetViews>
    <sheetView tabSelected="1" workbookViewId="0">
      <selection activeCell="M11" sqref="M11"/>
    </sheetView>
  </sheetViews>
  <sheetFormatPr defaultRowHeight="15" x14ac:dyDescent="0.25"/>
  <cols>
    <col min="1" max="1" width="36.7109375" customWidth="1"/>
    <col min="2" max="2" width="15.42578125" customWidth="1"/>
    <col min="3" max="3" width="17.7109375" customWidth="1"/>
    <col min="4" max="4" width="16" customWidth="1"/>
    <col min="5" max="5" width="16.5703125" customWidth="1"/>
    <col min="6" max="6" width="20.7109375" customWidth="1"/>
    <col min="7" max="7" width="21.42578125" customWidth="1"/>
    <col min="8" max="8" width="18" customWidth="1"/>
    <col min="9" max="9" width="19.140625" customWidth="1"/>
  </cols>
  <sheetData>
    <row r="3" spans="1:9" ht="15.75" x14ac:dyDescent="0.25">
      <c r="A3" s="1" t="s">
        <v>0</v>
      </c>
    </row>
    <row r="4" spans="1:9" ht="16.5" thickBot="1" x14ac:dyDescent="0.3">
      <c r="A4" s="1"/>
    </row>
    <row r="5" spans="1:9" ht="60.75" customHeight="1" thickBot="1" x14ac:dyDescent="0.3">
      <c r="A5" s="2" t="s">
        <v>1</v>
      </c>
      <c r="B5" s="3" t="s">
        <v>2</v>
      </c>
      <c r="C5" s="3" t="s">
        <v>10</v>
      </c>
      <c r="D5" s="3" t="s">
        <v>3</v>
      </c>
      <c r="E5" s="3" t="s">
        <v>4</v>
      </c>
      <c r="F5" s="3" t="s">
        <v>12</v>
      </c>
      <c r="G5" s="3" t="s">
        <v>13</v>
      </c>
      <c r="H5" s="3" t="s">
        <v>11</v>
      </c>
      <c r="I5" s="3" t="s">
        <v>5</v>
      </c>
    </row>
    <row r="6" spans="1:9" ht="50.25" customHeight="1" thickBot="1" x14ac:dyDescent="0.3">
      <c r="A6" s="4" t="s">
        <v>7</v>
      </c>
      <c r="B6" s="7">
        <v>43059</v>
      </c>
      <c r="C6" s="7">
        <v>34431</v>
      </c>
      <c r="D6" s="7">
        <v>16500</v>
      </c>
      <c r="E6" s="7">
        <v>5000</v>
      </c>
      <c r="F6" s="7"/>
      <c r="G6" s="7"/>
      <c r="H6" s="7">
        <f t="shared" ref="H6:H14" si="0">SUM(C6:G6)</f>
        <v>55931</v>
      </c>
      <c r="I6" s="7">
        <f t="shared" ref="I6:I14" si="1">H6-B6</f>
        <v>12872</v>
      </c>
    </row>
    <row r="7" spans="1:9" ht="59.25" customHeight="1" thickBot="1" x14ac:dyDescent="0.3">
      <c r="A7" s="4" t="s">
        <v>8</v>
      </c>
      <c r="B7" s="7">
        <v>87794</v>
      </c>
      <c r="C7" s="7">
        <v>89094</v>
      </c>
      <c r="D7" s="7">
        <v>45000</v>
      </c>
      <c r="E7" s="7">
        <v>14000</v>
      </c>
      <c r="F7" s="7">
        <v>8000</v>
      </c>
      <c r="G7" s="7">
        <v>3500</v>
      </c>
      <c r="H7" s="7">
        <f t="shared" si="0"/>
        <v>159594</v>
      </c>
      <c r="I7" s="7">
        <f t="shared" si="1"/>
        <v>71800</v>
      </c>
    </row>
    <row r="8" spans="1:9" ht="39.75" customHeight="1" thickBot="1" x14ac:dyDescent="0.3">
      <c r="A8" s="4" t="s">
        <v>9</v>
      </c>
      <c r="B8" s="7">
        <v>87794</v>
      </c>
      <c r="C8" s="7">
        <v>57615</v>
      </c>
      <c r="D8" s="7">
        <v>28000</v>
      </c>
      <c r="E8" s="7">
        <v>8000</v>
      </c>
      <c r="F8" s="7"/>
      <c r="G8" s="7"/>
      <c r="H8" s="7">
        <f t="shared" si="0"/>
        <v>93615</v>
      </c>
      <c r="I8" s="7">
        <f t="shared" si="1"/>
        <v>5821</v>
      </c>
    </row>
    <row r="9" spans="1:9" ht="62.25" customHeight="1" thickBot="1" x14ac:dyDescent="0.3">
      <c r="A9" s="4" t="s">
        <v>19</v>
      </c>
      <c r="B9" s="7">
        <v>36143</v>
      </c>
      <c r="C9" s="7">
        <v>50000</v>
      </c>
      <c r="D9" s="7">
        <v>35000</v>
      </c>
      <c r="E9" s="7">
        <v>8000</v>
      </c>
      <c r="F9" s="7"/>
      <c r="G9" s="7"/>
      <c r="H9" s="7">
        <f t="shared" si="0"/>
        <v>93000</v>
      </c>
      <c r="I9" s="7">
        <f t="shared" si="1"/>
        <v>56857</v>
      </c>
    </row>
    <row r="10" spans="1:9" ht="62.25" customHeight="1" thickBot="1" x14ac:dyDescent="0.3">
      <c r="A10" s="4" t="s">
        <v>14</v>
      </c>
      <c r="B10" s="7">
        <v>68879</v>
      </c>
      <c r="C10" s="7">
        <v>50208</v>
      </c>
      <c r="D10" s="7">
        <v>28000</v>
      </c>
      <c r="E10" s="7">
        <v>8000</v>
      </c>
      <c r="F10" s="7"/>
      <c r="G10" s="7"/>
      <c r="H10" s="7">
        <f t="shared" si="0"/>
        <v>86208</v>
      </c>
      <c r="I10" s="7">
        <f t="shared" si="1"/>
        <v>17329</v>
      </c>
    </row>
    <row r="11" spans="1:9" ht="62.25" customHeight="1" thickBot="1" x14ac:dyDescent="0.3">
      <c r="A11" s="4" t="s">
        <v>15</v>
      </c>
      <c r="B11" s="7">
        <v>77761</v>
      </c>
      <c r="C11" s="7">
        <v>50220</v>
      </c>
      <c r="D11" s="7">
        <v>35000</v>
      </c>
      <c r="E11" s="7">
        <v>8000</v>
      </c>
      <c r="F11" s="7"/>
      <c r="G11" s="7"/>
      <c r="H11" s="7">
        <f t="shared" si="0"/>
        <v>93220</v>
      </c>
      <c r="I11" s="7">
        <f t="shared" si="1"/>
        <v>15459</v>
      </c>
    </row>
    <row r="12" spans="1:9" ht="49.5" customHeight="1" thickBot="1" x14ac:dyDescent="0.3">
      <c r="A12" s="4" t="s">
        <v>16</v>
      </c>
      <c r="B12" s="7">
        <v>33971</v>
      </c>
      <c r="C12" s="7">
        <v>29191</v>
      </c>
      <c r="D12" s="7">
        <v>10000</v>
      </c>
      <c r="E12" s="7">
        <v>4000</v>
      </c>
      <c r="F12" s="7"/>
      <c r="G12" s="7"/>
      <c r="H12" s="7">
        <f t="shared" si="0"/>
        <v>43191</v>
      </c>
      <c r="I12" s="7">
        <f t="shared" si="1"/>
        <v>9220</v>
      </c>
    </row>
    <row r="13" spans="1:9" ht="49.5" customHeight="1" thickBot="1" x14ac:dyDescent="0.3">
      <c r="A13" s="4" t="s">
        <v>17</v>
      </c>
      <c r="B13" s="7">
        <v>143108</v>
      </c>
      <c r="C13" s="7">
        <v>89094</v>
      </c>
      <c r="D13" s="7">
        <v>45000</v>
      </c>
      <c r="E13" s="7">
        <v>14000</v>
      </c>
      <c r="F13" s="7">
        <v>8000</v>
      </c>
      <c r="G13" s="7">
        <v>3500</v>
      </c>
      <c r="H13" s="7">
        <f t="shared" si="0"/>
        <v>159594</v>
      </c>
      <c r="I13" s="7">
        <f t="shared" si="1"/>
        <v>16486</v>
      </c>
    </row>
    <row r="14" spans="1:9" ht="49.5" customHeight="1" thickBot="1" x14ac:dyDescent="0.3">
      <c r="A14" s="4" t="s">
        <v>18</v>
      </c>
      <c r="B14" s="7">
        <v>0</v>
      </c>
      <c r="C14" s="7">
        <v>20419</v>
      </c>
      <c r="D14" s="7">
        <v>6750</v>
      </c>
      <c r="E14" s="7">
        <v>4000</v>
      </c>
      <c r="F14" s="7"/>
      <c r="G14" s="7"/>
      <c r="H14" s="7">
        <f t="shared" si="0"/>
        <v>31169</v>
      </c>
      <c r="I14" s="7">
        <f t="shared" si="1"/>
        <v>31169</v>
      </c>
    </row>
    <row r="15" spans="1:9" ht="16.5" thickBot="1" x14ac:dyDescent="0.3">
      <c r="A15" s="4" t="s">
        <v>6</v>
      </c>
      <c r="B15" s="8">
        <f t="shared" ref="B15:I15" si="2">SUM(B6:B14)</f>
        <v>578509</v>
      </c>
      <c r="C15" s="8">
        <f t="shared" si="2"/>
        <v>470272</v>
      </c>
      <c r="D15" s="8">
        <f t="shared" si="2"/>
        <v>249250</v>
      </c>
      <c r="E15" s="8">
        <f t="shared" si="2"/>
        <v>73000</v>
      </c>
      <c r="F15" s="8">
        <f t="shared" si="2"/>
        <v>16000</v>
      </c>
      <c r="G15" s="8">
        <f t="shared" si="2"/>
        <v>7000</v>
      </c>
      <c r="H15" s="8">
        <f t="shared" si="2"/>
        <v>815522</v>
      </c>
      <c r="I15" s="8">
        <f t="shared" si="2"/>
        <v>237013</v>
      </c>
    </row>
    <row r="16" spans="1:9" x14ac:dyDescent="0.25">
      <c r="B16" s="9"/>
      <c r="C16" s="9"/>
      <c r="D16" s="9"/>
      <c r="E16" s="9"/>
      <c r="F16" s="9"/>
      <c r="G16" s="9"/>
      <c r="H16" s="9"/>
      <c r="I16" s="9"/>
    </row>
    <row r="18" spans="1:2" ht="31.5" x14ac:dyDescent="0.25">
      <c r="A18" s="5" t="s">
        <v>20</v>
      </c>
      <c r="B18" s="6">
        <v>578509</v>
      </c>
    </row>
    <row r="19" spans="1:2" ht="31.5" x14ac:dyDescent="0.25">
      <c r="A19" s="5" t="s">
        <v>22</v>
      </c>
      <c r="B19" s="6">
        <v>815522</v>
      </c>
    </row>
    <row r="20" spans="1:2" ht="31.5" x14ac:dyDescent="0.25">
      <c r="A20" s="5" t="s">
        <v>21</v>
      </c>
      <c r="B20" s="6">
        <f>B19-B18</f>
        <v>237013</v>
      </c>
    </row>
    <row r="22" spans="1:2" ht="15.75" x14ac:dyDescent="0.25">
      <c r="A22" s="5" t="s">
        <v>23</v>
      </c>
      <c r="B22" s="6">
        <v>2844156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7214-CF3E-42DF-8CB5-E373B241D1F3}">
  <dimension ref="B3:T22"/>
  <sheetViews>
    <sheetView topLeftCell="J4" workbookViewId="0">
      <selection activeCell="T13" sqref="T13"/>
    </sheetView>
  </sheetViews>
  <sheetFormatPr defaultRowHeight="15" x14ac:dyDescent="0.25"/>
  <cols>
    <col min="2" max="2" width="36.7109375" customWidth="1"/>
    <col min="3" max="4" width="15.42578125" customWidth="1"/>
    <col min="5" max="6" width="17.7109375" customWidth="1"/>
    <col min="7" max="9" width="16" customWidth="1"/>
    <col min="10" max="12" width="16.5703125" customWidth="1"/>
    <col min="13" max="15" width="20.7109375" customWidth="1"/>
    <col min="16" max="16" width="21.42578125" customWidth="1"/>
    <col min="17" max="18" width="27.5703125" customWidth="1"/>
    <col min="19" max="19" width="18" customWidth="1"/>
    <col min="20" max="20" width="19.140625" customWidth="1"/>
  </cols>
  <sheetData>
    <row r="3" spans="2:20" ht="15.75" x14ac:dyDescent="0.25">
      <c r="B3" s="1" t="s">
        <v>0</v>
      </c>
    </row>
    <row r="4" spans="2:20" ht="16.5" thickBot="1" x14ac:dyDescent="0.3">
      <c r="B4" s="1"/>
      <c r="O4" t="s">
        <v>31</v>
      </c>
    </row>
    <row r="5" spans="2:20" ht="60.75" customHeight="1" thickBot="1" x14ac:dyDescent="0.3">
      <c r="B5" s="2" t="s">
        <v>1</v>
      </c>
      <c r="C5" s="3" t="s">
        <v>2</v>
      </c>
      <c r="D5" s="3" t="s">
        <v>24</v>
      </c>
      <c r="E5" s="3" t="s">
        <v>10</v>
      </c>
      <c r="F5" s="3" t="s">
        <v>25</v>
      </c>
      <c r="G5" s="3" t="s">
        <v>26</v>
      </c>
      <c r="H5" s="3" t="s">
        <v>27</v>
      </c>
      <c r="I5" s="3" t="s">
        <v>25</v>
      </c>
      <c r="J5" s="3" t="s">
        <v>4</v>
      </c>
      <c r="K5" s="3" t="s">
        <v>28</v>
      </c>
      <c r="L5" s="3" t="s">
        <v>25</v>
      </c>
      <c r="M5" s="3" t="s">
        <v>29</v>
      </c>
      <c r="N5" s="3" t="s">
        <v>30</v>
      </c>
      <c r="O5" s="3" t="s">
        <v>25</v>
      </c>
      <c r="P5" s="3" t="s">
        <v>32</v>
      </c>
      <c r="Q5" s="3" t="s">
        <v>33</v>
      </c>
      <c r="R5" s="3" t="s">
        <v>25</v>
      </c>
      <c r="S5" s="3" t="s">
        <v>11</v>
      </c>
      <c r="T5" s="3" t="s">
        <v>5</v>
      </c>
    </row>
    <row r="6" spans="2:20" ht="50.25" customHeight="1" thickBot="1" x14ac:dyDescent="0.3">
      <c r="B6" s="4" t="s">
        <v>7</v>
      </c>
      <c r="C6" s="7">
        <v>43059</v>
      </c>
      <c r="D6" s="7"/>
      <c r="E6" s="7">
        <v>34431</v>
      </c>
      <c r="F6" s="7"/>
      <c r="G6" s="7">
        <v>16500</v>
      </c>
      <c r="H6" s="7"/>
      <c r="I6" s="7"/>
      <c r="J6" s="7">
        <v>5000</v>
      </c>
      <c r="K6" s="7"/>
      <c r="L6" s="7"/>
      <c r="M6" s="7"/>
      <c r="N6" s="7"/>
      <c r="O6" s="7"/>
      <c r="P6" s="7"/>
      <c r="Q6" s="7"/>
      <c r="R6" s="7"/>
      <c r="S6" s="7">
        <f t="shared" ref="S6:S14" si="0">SUM(E6:P6)</f>
        <v>55931</v>
      </c>
      <c r="T6" s="7">
        <f t="shared" ref="T6:T12" si="1">S6-C6</f>
        <v>12872</v>
      </c>
    </row>
    <row r="7" spans="2:20" ht="59.25" customHeight="1" thickBot="1" x14ac:dyDescent="0.3">
      <c r="B7" s="4" t="s">
        <v>8</v>
      </c>
      <c r="C7" s="7">
        <v>87794</v>
      </c>
      <c r="D7" s="7"/>
      <c r="E7" s="7">
        <v>89094</v>
      </c>
      <c r="F7" s="7"/>
      <c r="G7" s="7">
        <v>45000</v>
      </c>
      <c r="H7" s="7"/>
      <c r="I7" s="7"/>
      <c r="J7" s="7">
        <v>14000</v>
      </c>
      <c r="K7" s="7"/>
      <c r="L7" s="7"/>
      <c r="M7" s="7">
        <v>8000</v>
      </c>
      <c r="N7" s="7"/>
      <c r="O7" s="7"/>
      <c r="P7" s="7">
        <v>3500</v>
      </c>
      <c r="Q7" s="7"/>
      <c r="R7" s="7"/>
      <c r="S7" s="7">
        <f t="shared" si="0"/>
        <v>159594</v>
      </c>
      <c r="T7" s="7">
        <f t="shared" si="1"/>
        <v>71800</v>
      </c>
    </row>
    <row r="8" spans="2:20" ht="39.75" customHeight="1" thickBot="1" x14ac:dyDescent="0.3">
      <c r="B8" s="4" t="s">
        <v>9</v>
      </c>
      <c r="C8" s="7">
        <v>87794</v>
      </c>
      <c r="D8" s="7"/>
      <c r="E8" s="7">
        <v>57615</v>
      </c>
      <c r="F8" s="7"/>
      <c r="G8" s="7">
        <v>28000</v>
      </c>
      <c r="H8" s="7"/>
      <c r="I8" s="7"/>
      <c r="J8" s="7">
        <v>8000</v>
      </c>
      <c r="K8" s="7"/>
      <c r="L8" s="7"/>
      <c r="M8" s="7"/>
      <c r="N8" s="7"/>
      <c r="O8" s="7"/>
      <c r="P8" s="7"/>
      <c r="Q8" s="7"/>
      <c r="R8" s="7"/>
      <c r="S8" s="7">
        <f t="shared" si="0"/>
        <v>93615</v>
      </c>
      <c r="T8" s="7">
        <f t="shared" si="1"/>
        <v>5821</v>
      </c>
    </row>
    <row r="9" spans="2:20" ht="62.25" customHeight="1" thickBot="1" x14ac:dyDescent="0.3">
      <c r="B9" s="4" t="s">
        <v>19</v>
      </c>
      <c r="C9" s="7">
        <v>36143</v>
      </c>
      <c r="D9" s="7"/>
      <c r="E9" s="7">
        <v>50000</v>
      </c>
      <c r="F9" s="7"/>
      <c r="G9" s="7">
        <v>35000</v>
      </c>
      <c r="H9" s="7"/>
      <c r="I9" s="7"/>
      <c r="J9" s="7">
        <v>8000</v>
      </c>
      <c r="K9" s="7"/>
      <c r="L9" s="7"/>
      <c r="M9" s="7"/>
      <c r="N9" s="7"/>
      <c r="O9" s="7"/>
      <c r="P9" s="7"/>
      <c r="Q9" s="7"/>
      <c r="R9" s="7"/>
      <c r="S9" s="7">
        <f t="shared" si="0"/>
        <v>93000</v>
      </c>
      <c r="T9" s="7">
        <f t="shared" si="1"/>
        <v>56857</v>
      </c>
    </row>
    <row r="10" spans="2:20" ht="62.25" customHeight="1" thickBot="1" x14ac:dyDescent="0.3">
      <c r="B10" s="4" t="s">
        <v>14</v>
      </c>
      <c r="C10" s="7">
        <v>68879</v>
      </c>
      <c r="D10" s="7"/>
      <c r="E10" s="7">
        <v>50208</v>
      </c>
      <c r="F10" s="7"/>
      <c r="G10" s="7">
        <v>28000</v>
      </c>
      <c r="H10" s="7"/>
      <c r="I10" s="7"/>
      <c r="J10" s="7">
        <v>8000</v>
      </c>
      <c r="K10" s="7"/>
      <c r="L10" s="7"/>
      <c r="M10" s="7"/>
      <c r="N10" s="7"/>
      <c r="O10" s="7"/>
      <c r="P10" s="7"/>
      <c r="Q10" s="7"/>
      <c r="R10" s="7"/>
      <c r="S10" s="7">
        <f t="shared" si="0"/>
        <v>86208</v>
      </c>
      <c r="T10" s="7">
        <f t="shared" si="1"/>
        <v>17329</v>
      </c>
    </row>
    <row r="11" spans="2:20" ht="62.25" customHeight="1" thickBot="1" x14ac:dyDescent="0.3">
      <c r="B11" s="4" t="s">
        <v>15</v>
      </c>
      <c r="C11" s="7">
        <v>77761</v>
      </c>
      <c r="D11" s="7"/>
      <c r="E11" s="7">
        <v>50220</v>
      </c>
      <c r="F11" s="7"/>
      <c r="G11" s="7">
        <v>35000</v>
      </c>
      <c r="H11" s="7"/>
      <c r="I11" s="7"/>
      <c r="J11" s="7">
        <v>8000</v>
      </c>
      <c r="K11" s="7"/>
      <c r="L11" s="7"/>
      <c r="M11" s="7"/>
      <c r="N11" s="7"/>
      <c r="O11" s="7"/>
      <c r="P11" s="7"/>
      <c r="Q11" s="7"/>
      <c r="R11" s="7"/>
      <c r="S11" s="7">
        <f t="shared" si="0"/>
        <v>93220</v>
      </c>
      <c r="T11" s="7">
        <f t="shared" si="1"/>
        <v>15459</v>
      </c>
    </row>
    <row r="12" spans="2:20" ht="49.5" customHeight="1" thickBot="1" x14ac:dyDescent="0.3">
      <c r="B12" s="4" t="s">
        <v>16</v>
      </c>
      <c r="C12" s="7">
        <v>33971</v>
      </c>
      <c r="D12" s="7"/>
      <c r="E12" s="7">
        <v>29191</v>
      </c>
      <c r="F12" s="7"/>
      <c r="G12" s="7">
        <v>10000</v>
      </c>
      <c r="H12" s="7"/>
      <c r="I12" s="7"/>
      <c r="J12" s="7">
        <v>4000</v>
      </c>
      <c r="K12" s="7"/>
      <c r="L12" s="7"/>
      <c r="M12" s="7"/>
      <c r="N12" s="7"/>
      <c r="O12" s="7"/>
      <c r="P12" s="7"/>
      <c r="Q12" s="7"/>
      <c r="R12" s="7"/>
      <c r="S12" s="7">
        <f t="shared" si="0"/>
        <v>43191</v>
      </c>
      <c r="T12" s="7">
        <f t="shared" si="1"/>
        <v>9220</v>
      </c>
    </row>
    <row r="13" spans="2:20" ht="49.5" customHeight="1" thickBot="1" x14ac:dyDescent="0.3">
      <c r="B13" s="4" t="s">
        <v>17</v>
      </c>
      <c r="C13" s="7">
        <v>143108</v>
      </c>
      <c r="D13" s="7">
        <v>86108</v>
      </c>
      <c r="E13" s="7">
        <v>89094</v>
      </c>
      <c r="F13" s="7">
        <f>E13-D13</f>
        <v>2986</v>
      </c>
      <c r="G13" s="7">
        <v>45000</v>
      </c>
      <c r="H13" s="7">
        <v>45000</v>
      </c>
      <c r="I13" s="7">
        <f>G13-H13</f>
        <v>0</v>
      </c>
      <c r="J13" s="7">
        <v>12000</v>
      </c>
      <c r="K13" s="7">
        <v>14000</v>
      </c>
      <c r="L13" s="7">
        <f>K13-J13</f>
        <v>2000</v>
      </c>
      <c r="M13" s="7">
        <v>0</v>
      </c>
      <c r="N13" s="7">
        <v>8000</v>
      </c>
      <c r="O13" s="7">
        <f>N13-M13</f>
        <v>8000</v>
      </c>
      <c r="P13" s="7">
        <v>0</v>
      </c>
      <c r="Q13" s="7">
        <v>3500</v>
      </c>
      <c r="R13" s="7">
        <f>Q13-P13</f>
        <v>3500</v>
      </c>
      <c r="S13" s="7">
        <f t="shared" si="0"/>
        <v>226080</v>
      </c>
      <c r="T13" s="7">
        <f>R13+O13+L13+I13+F13</f>
        <v>16486</v>
      </c>
    </row>
    <row r="14" spans="2:20" ht="49.5" customHeight="1" thickBot="1" x14ac:dyDescent="0.3">
      <c r="B14" s="4" t="s">
        <v>18</v>
      </c>
      <c r="C14" s="7">
        <v>0</v>
      </c>
      <c r="D14" s="7"/>
      <c r="E14" s="7">
        <v>20419</v>
      </c>
      <c r="F14" s="7"/>
      <c r="G14" s="7">
        <v>6750</v>
      </c>
      <c r="H14" s="7"/>
      <c r="I14" s="7"/>
      <c r="J14" s="7">
        <v>4000</v>
      </c>
      <c r="K14" s="7"/>
      <c r="L14" s="7"/>
      <c r="M14" s="7"/>
      <c r="N14" s="7"/>
      <c r="O14" s="7"/>
      <c r="P14" s="7"/>
      <c r="Q14" s="7"/>
      <c r="R14" s="7"/>
      <c r="S14" s="7">
        <f t="shared" si="0"/>
        <v>31169</v>
      </c>
      <c r="T14" s="7"/>
    </row>
    <row r="15" spans="2:20" ht="16.5" thickBot="1" x14ac:dyDescent="0.3">
      <c r="B15" s="4" t="s">
        <v>6</v>
      </c>
      <c r="C15" s="8">
        <f t="shared" ref="C15:T15" si="2">SUM(C6:C14)</f>
        <v>578509</v>
      </c>
      <c r="D15" s="8"/>
      <c r="E15" s="8">
        <f t="shared" si="2"/>
        <v>470272</v>
      </c>
      <c r="F15" s="8"/>
      <c r="G15" s="8">
        <f t="shared" si="2"/>
        <v>249250</v>
      </c>
      <c r="H15" s="8"/>
      <c r="I15" s="8"/>
      <c r="J15" s="8">
        <f t="shared" si="2"/>
        <v>71000</v>
      </c>
      <c r="K15" s="8"/>
      <c r="L15" s="8"/>
      <c r="M15" s="8">
        <f t="shared" si="2"/>
        <v>8000</v>
      </c>
      <c r="N15" s="8"/>
      <c r="O15" s="8"/>
      <c r="P15" s="8">
        <f t="shared" si="2"/>
        <v>3500</v>
      </c>
      <c r="Q15" s="8"/>
      <c r="R15" s="8"/>
      <c r="S15" s="8">
        <f t="shared" si="2"/>
        <v>882008</v>
      </c>
      <c r="T15" s="8">
        <f t="shared" si="2"/>
        <v>205844</v>
      </c>
    </row>
    <row r="16" spans="2:20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8" spans="2:4" ht="31.5" x14ac:dyDescent="0.25">
      <c r="B18" s="5" t="s">
        <v>20</v>
      </c>
      <c r="C18" s="6">
        <v>578509</v>
      </c>
      <c r="D18" s="6"/>
    </row>
    <row r="19" spans="2:4" ht="31.5" x14ac:dyDescent="0.25">
      <c r="B19" s="5" t="s">
        <v>22</v>
      </c>
      <c r="C19" s="6">
        <v>815522</v>
      </c>
      <c r="D19" s="6"/>
    </row>
    <row r="20" spans="2:4" ht="31.5" x14ac:dyDescent="0.25">
      <c r="B20" s="5" t="s">
        <v>21</v>
      </c>
      <c r="C20" s="6">
        <f>C19-C18</f>
        <v>237013</v>
      </c>
      <c r="D20" s="6"/>
    </row>
    <row r="22" spans="2:4" ht="15.75" x14ac:dyDescent="0.25">
      <c r="B22" s="5" t="s">
        <v>23</v>
      </c>
      <c r="C22" s="6">
        <v>2844156</v>
      </c>
      <c r="D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64E6-A102-4F6E-9CD6-83DCE45FF1DD}">
  <dimension ref="A2:I3"/>
  <sheetViews>
    <sheetView workbookViewId="0">
      <selection activeCell="G12" sqref="G11:G12"/>
    </sheetView>
  </sheetViews>
  <sheetFormatPr defaultRowHeight="15" x14ac:dyDescent="0.25"/>
  <cols>
    <col min="1" max="2" width="27.5703125" customWidth="1"/>
    <col min="3" max="3" width="16.42578125" customWidth="1"/>
    <col min="4" max="4" width="22.85546875" customWidth="1"/>
    <col min="5" max="5" width="20.85546875" customWidth="1"/>
    <col min="6" max="6" width="22" customWidth="1"/>
    <col min="7" max="7" width="19.28515625" customWidth="1"/>
    <col min="8" max="8" width="21" customWidth="1"/>
    <col min="9" max="9" width="25.7109375" customWidth="1"/>
  </cols>
  <sheetData>
    <row r="2" spans="1:9" ht="15.75" thickBot="1" x14ac:dyDescent="0.3"/>
    <row r="3" spans="1:9" ht="60.75" customHeight="1" thickBot="1" x14ac:dyDescent="0.3">
      <c r="A3" s="2" t="s">
        <v>1</v>
      </c>
      <c r="B3" s="3" t="s">
        <v>24</v>
      </c>
      <c r="C3" s="3" t="s">
        <v>3</v>
      </c>
      <c r="D3" s="3" t="s">
        <v>4</v>
      </c>
      <c r="E3" s="3" t="s">
        <v>12</v>
      </c>
      <c r="F3" s="3" t="s">
        <v>13</v>
      </c>
      <c r="G3" s="3" t="s">
        <v>11</v>
      </c>
      <c r="H3" s="3" t="s">
        <v>5</v>
      </c>
      <c r="I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2024-11-12T13:27:29Z</dcterms:created>
  <dcterms:modified xsi:type="dcterms:W3CDTF">2024-11-25T12:58:30Z</dcterms:modified>
</cp:coreProperties>
</file>