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BE97649-D826-4ACA-AAEC-4432703E0385}" xr6:coauthVersionLast="47" xr6:coauthVersionMax="47" xr10:uidLastSave="{00000000-0000-0000-0000-000000000000}"/>
  <bookViews>
    <workbookView xWindow="-120" yWindow="-120" windowWidth="20730" windowHeight="11160" xr2:uid="{F9439551-0E72-4931-8BD1-016B72FB2F4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8" i="1" l="1"/>
  <c r="F18" i="1"/>
  <c r="D18" i="1"/>
  <c r="C18" i="1"/>
</calcChain>
</file>

<file path=xl/sharedStrings.xml><?xml version="1.0" encoding="utf-8"?>
<sst xmlns="http://schemas.openxmlformats.org/spreadsheetml/2006/main" count="31" uniqueCount="30">
  <si>
    <t>PWD`s DATA</t>
  </si>
  <si>
    <t>AGE BRACKET</t>
  </si>
  <si>
    <t>ENGAGEMENT TERMS</t>
  </si>
  <si>
    <t>MDCA`s NAME</t>
  </si>
  <si>
    <t>Total No. of Employees</t>
  </si>
  <si>
    <t>Total Wage Bill</t>
  </si>
  <si>
    <t>Total P.A.Y.E</t>
  </si>
  <si>
    <t>Total SHA</t>
  </si>
  <si>
    <t>Total Housing Levy</t>
  </si>
  <si>
    <t>No. of Employees Recruited from Jan-June(2025)</t>
  </si>
  <si>
    <t>Total no. of PWDs</t>
  </si>
  <si>
    <t>No. of PWD`s Above 60</t>
  </si>
  <si>
    <t>57-58</t>
  </si>
  <si>
    <t>60 and above</t>
  </si>
  <si>
    <t>Permanent</t>
  </si>
  <si>
    <t>Probation</t>
  </si>
  <si>
    <t>Contract</t>
  </si>
  <si>
    <t>Casual</t>
  </si>
  <si>
    <t>Interns</t>
  </si>
  <si>
    <t>Kenya Institute of Primate Research</t>
  </si>
  <si>
    <t>Fellowship</t>
  </si>
  <si>
    <t>Wage bill</t>
  </si>
  <si>
    <t>PAYROLL DATA</t>
  </si>
  <si>
    <t>TOTAL</t>
  </si>
  <si>
    <t>As at August 2025 186 staff</t>
  </si>
  <si>
    <t>PREPARED BY</t>
  </si>
  <si>
    <t>SIGN</t>
  </si>
  <si>
    <t>CHECKED BY</t>
  </si>
  <si>
    <t>Ojall Zaddock</t>
  </si>
  <si>
    <t>Maimuna Juma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</si>
</sst>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/>
    <xf numFmtId="17" fontId="3" fillId="0" borderId="1" xfId="0" applyNumberFormat="1" applyFont="1" applyBorder="1"/>
    <xf numFmtId="43" fontId="3" fillId="0" borderId="1" xfId="1" applyFont="1" applyBorder="1"/>
    <xf numFmtId="43" fontId="3" fillId="0" borderId="0" xfId="1" applyFont="1" applyBorder="1"/>
    <xf numFmtId="0" fontId="4" fillId="0" borderId="1" xfId="0" applyFont="1" applyBorder="1"/>
    <xf numFmtId="43" fontId="4" fillId="0" borderId="1" xfId="1" applyFont="1" applyBorder="1"/>
    <xf numFmtId="43" fontId="4" fillId="0" borderId="0" xfId="1" applyFont="1" applyBorder="1"/>
    <xf numFmtId="43" fontId="4" fillId="0" borderId="0" xfId="0" applyNumberFormat="1" applyFont="1"/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43" fontId="4" fillId="0" borderId="0" xfId="0" applyNumberFormat="1" applyFont="1" applyBorder="1"/>
    <xf numFmtId="0" fontId="5" fillId="0" borderId="1" xfId="0" applyFont="1" applyBorder="1"/>
    <xf numFmtId="43" fontId="5" fillId="0" borderId="1" xfId="0" applyNumberFormat="1" applyFont="1" applyBorder="1"/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AC812-D1CA-48A3-BE87-B9D2DF99F266}">
  <sheetPr>
    <pageSetUpPr fitToPage="1"/>
  </sheetPr>
  <dimension ref="A1:V23"/>
  <sheetViews>
    <sheetView tabSelected="1" topLeftCell="A16" workbookViewId="0">
      <selection activeCell="C2" sqref="C2"/>
    </sheetView>
  </sheetViews>
  <sheetFormatPr defaultRowHeight="15.75" x14ac:dyDescent="0.25"/>
  <cols>
    <col min="1" max="1" width="9.28515625" style="6" bestFit="1" customWidth="1"/>
    <col min="2" max="2" width="11.28515625" style="6" customWidth="1"/>
    <col min="3" max="3" width="17.5703125" style="6" customWidth="1"/>
    <col min="4" max="4" width="15.7109375" style="6" bestFit="1" customWidth="1"/>
    <col min="5" max="5" width="16" style="6" customWidth="1"/>
    <col min="6" max="6" width="18.140625" style="6" customWidth="1"/>
    <col min="7" max="7" width="12.5703125" style="6" customWidth="1"/>
    <col min="8" max="8" width="9.28515625" style="6" bestFit="1" customWidth="1"/>
    <col min="9" max="9" width="9.140625" style="6" customWidth="1"/>
    <col min="10" max="11" width="9.28515625" style="6" bestFit="1" customWidth="1"/>
    <col min="12" max="12" width="10.7109375" style="6" customWidth="1"/>
    <col min="13" max="13" width="11" style="6" customWidth="1"/>
    <col min="14" max="14" width="9.28515625" style="6" bestFit="1" customWidth="1"/>
    <col min="15" max="15" width="10" style="6" customWidth="1"/>
    <col min="16" max="17" width="9.28515625" style="6" bestFit="1" customWidth="1"/>
    <col min="18" max="20" width="9.140625" style="6"/>
    <col min="21" max="21" width="18.28515625" style="6" customWidth="1"/>
    <col min="22" max="22" width="11.5703125" style="6" bestFit="1" customWidth="1"/>
    <col min="23" max="16384" width="9.140625" style="6"/>
  </cols>
  <sheetData>
    <row r="1" spans="1:22" ht="24" customHeight="1" x14ac:dyDescent="0.25">
      <c r="A1" s="2" t="s">
        <v>22</v>
      </c>
      <c r="B1" s="4"/>
      <c r="C1" s="4"/>
      <c r="D1" s="4"/>
      <c r="E1" s="4"/>
      <c r="F1" s="4"/>
      <c r="G1" s="4"/>
      <c r="H1" s="2" t="s">
        <v>0</v>
      </c>
      <c r="I1" s="4"/>
      <c r="J1" s="2" t="s">
        <v>1</v>
      </c>
      <c r="K1" s="4"/>
      <c r="L1" s="2" t="s">
        <v>2</v>
      </c>
      <c r="M1" s="4"/>
      <c r="N1" s="4"/>
      <c r="O1" s="4"/>
      <c r="P1" s="4"/>
      <c r="Q1" s="4"/>
      <c r="R1" s="5"/>
      <c r="S1" s="5"/>
      <c r="T1" s="5"/>
    </row>
    <row r="2" spans="1:22" ht="72" customHeight="1" x14ac:dyDescent="0.25">
      <c r="A2" s="7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7" t="s">
        <v>12</v>
      </c>
      <c r="K2" s="7" t="s">
        <v>13</v>
      </c>
      <c r="L2" s="7" t="s">
        <v>14</v>
      </c>
      <c r="M2" s="7" t="s">
        <v>15</v>
      </c>
      <c r="N2" s="7" t="s">
        <v>16</v>
      </c>
      <c r="O2" s="7" t="s">
        <v>20</v>
      </c>
      <c r="P2" s="7" t="s">
        <v>17</v>
      </c>
      <c r="Q2" s="7" t="s">
        <v>18</v>
      </c>
      <c r="R2" s="5"/>
      <c r="S2" s="5"/>
      <c r="T2" s="5"/>
    </row>
    <row r="3" spans="1:22" ht="76.5" customHeight="1" x14ac:dyDescent="0.25">
      <c r="A3" s="7" t="s">
        <v>19</v>
      </c>
      <c r="B3" s="7" t="s">
        <v>24</v>
      </c>
      <c r="C3" s="7"/>
      <c r="D3" s="8"/>
      <c r="E3" s="8"/>
      <c r="F3" s="8"/>
      <c r="G3" s="8">
        <v>30</v>
      </c>
      <c r="H3" s="8">
        <v>0</v>
      </c>
      <c r="I3" s="8">
        <v>0</v>
      </c>
      <c r="J3" s="8">
        <v>12</v>
      </c>
      <c r="K3" s="8">
        <v>3</v>
      </c>
      <c r="L3" s="8">
        <v>83</v>
      </c>
      <c r="M3" s="8">
        <v>0</v>
      </c>
      <c r="N3" s="8">
        <v>66</v>
      </c>
      <c r="O3" s="8">
        <v>37</v>
      </c>
      <c r="P3" s="8">
        <v>6</v>
      </c>
      <c r="Q3" s="8">
        <v>3</v>
      </c>
      <c r="R3" s="5"/>
      <c r="S3" s="5"/>
      <c r="T3" s="5"/>
    </row>
    <row r="4" spans="1:22" x14ac:dyDescent="0.25">
      <c r="A4" s="9">
        <v>45474</v>
      </c>
      <c r="B4" s="8">
        <v>152</v>
      </c>
      <c r="C4" s="10">
        <v>13803266.890000001</v>
      </c>
      <c r="D4" s="10">
        <v>2538171.5</v>
      </c>
      <c r="E4" s="10">
        <v>194300</v>
      </c>
      <c r="F4" s="10">
        <v>191124.15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5"/>
      <c r="S4" s="5"/>
      <c r="T4" s="5"/>
      <c r="U4" s="11"/>
    </row>
    <row r="5" spans="1:22" x14ac:dyDescent="0.25">
      <c r="A5" s="9">
        <v>45505</v>
      </c>
      <c r="B5" s="8">
        <v>152</v>
      </c>
      <c r="C5" s="10">
        <v>13980520.84</v>
      </c>
      <c r="D5" s="10">
        <v>2567999.25</v>
      </c>
      <c r="E5" s="10">
        <v>197500</v>
      </c>
      <c r="F5" s="10">
        <v>193682.15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5"/>
      <c r="S5" s="5"/>
      <c r="T5" s="5"/>
      <c r="U5" s="11"/>
    </row>
    <row r="6" spans="1:22" x14ac:dyDescent="0.25">
      <c r="A6" s="9">
        <v>45536</v>
      </c>
      <c r="B6" s="12">
        <v>152</v>
      </c>
      <c r="C6" s="13">
        <v>14750442.619999999</v>
      </c>
      <c r="D6" s="13">
        <v>2816241.25</v>
      </c>
      <c r="E6" s="13">
        <v>194550</v>
      </c>
      <c r="F6" s="10">
        <v>205061.5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U6" s="14"/>
      <c r="V6" s="15"/>
    </row>
    <row r="7" spans="1:22" x14ac:dyDescent="0.25">
      <c r="A7" s="9">
        <v>45566</v>
      </c>
      <c r="B7" s="12">
        <v>151</v>
      </c>
      <c r="C7" s="13">
        <v>14372992.91</v>
      </c>
      <c r="D7" s="13">
        <v>2689536.3</v>
      </c>
      <c r="E7" s="13">
        <v>365656.45</v>
      </c>
      <c r="F7" s="10">
        <v>199449.45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U7" s="14"/>
      <c r="V7" s="15"/>
    </row>
    <row r="8" spans="1:22" x14ac:dyDescent="0.25">
      <c r="A8" s="9">
        <v>45597</v>
      </c>
      <c r="B8" s="12">
        <v>151</v>
      </c>
      <c r="C8" s="13">
        <v>14263805.810000001</v>
      </c>
      <c r="D8" s="13">
        <v>2658252.15</v>
      </c>
      <c r="E8" s="13">
        <v>362681</v>
      </c>
      <c r="F8" s="10">
        <v>197826.4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U8" s="14"/>
    </row>
    <row r="9" spans="1:22" x14ac:dyDescent="0.25">
      <c r="A9" s="9">
        <v>45627</v>
      </c>
      <c r="B9" s="12">
        <v>149</v>
      </c>
      <c r="C9" s="13">
        <v>14931814.800000001</v>
      </c>
      <c r="D9" s="13">
        <v>2901904.4</v>
      </c>
      <c r="E9" s="13">
        <v>380908.79999999999</v>
      </c>
      <c r="F9" s="10">
        <v>207766.9</v>
      </c>
      <c r="G9" s="12"/>
      <c r="H9" s="16"/>
      <c r="I9" s="12"/>
      <c r="J9" s="12"/>
      <c r="K9" s="12"/>
      <c r="L9" s="12"/>
      <c r="M9" s="12"/>
      <c r="N9" s="12"/>
      <c r="O9" s="12"/>
      <c r="P9" s="12"/>
      <c r="Q9" s="12"/>
      <c r="U9" s="14"/>
    </row>
    <row r="10" spans="1:22" x14ac:dyDescent="0.25">
      <c r="A10" s="9">
        <v>45658</v>
      </c>
      <c r="B10" s="12">
        <v>160</v>
      </c>
      <c r="C10" s="13">
        <v>14550095.800000001</v>
      </c>
      <c r="D10" s="13">
        <v>2547483.5499999998</v>
      </c>
      <c r="E10" s="13">
        <v>370298.05</v>
      </c>
      <c r="F10" s="10">
        <v>201979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U10" s="14"/>
    </row>
    <row r="11" spans="1:22" x14ac:dyDescent="0.25">
      <c r="A11" s="9">
        <v>45689</v>
      </c>
      <c r="B11" s="12">
        <v>158</v>
      </c>
      <c r="C11" s="13">
        <v>14333839.050000001</v>
      </c>
      <c r="D11" s="13">
        <v>2463330.2000000002</v>
      </c>
      <c r="E11" s="13">
        <v>364735.8</v>
      </c>
      <c r="F11" s="10">
        <v>198945.15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U11" s="14"/>
    </row>
    <row r="12" spans="1:22" x14ac:dyDescent="0.25">
      <c r="A12" s="9">
        <v>45717</v>
      </c>
      <c r="B12" s="12">
        <v>166</v>
      </c>
      <c r="C12" s="13">
        <v>14241399.5</v>
      </c>
      <c r="D12" s="13">
        <v>2394024.0499999998</v>
      </c>
      <c r="E12" s="13">
        <v>362180.45</v>
      </c>
      <c r="F12" s="10">
        <v>197551.05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U12" s="14"/>
    </row>
    <row r="13" spans="1:22" x14ac:dyDescent="0.25">
      <c r="A13" s="9">
        <v>45748</v>
      </c>
      <c r="B13" s="12">
        <v>163</v>
      </c>
      <c r="C13" s="13">
        <v>14429705.550000001</v>
      </c>
      <c r="D13" s="13">
        <v>2455805.9500000002</v>
      </c>
      <c r="E13" s="13">
        <v>367545.15</v>
      </c>
      <c r="F13" s="10">
        <v>200477.35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U13" s="14"/>
    </row>
    <row r="14" spans="1:22" x14ac:dyDescent="0.25">
      <c r="A14" s="9">
        <v>45778</v>
      </c>
      <c r="B14" s="12">
        <v>179</v>
      </c>
      <c r="C14" s="13">
        <v>15069058.15</v>
      </c>
      <c r="D14" s="13">
        <v>2503452.85</v>
      </c>
      <c r="E14" s="13">
        <v>384356.3</v>
      </c>
      <c r="F14" s="10">
        <v>209647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U14" s="14"/>
    </row>
    <row r="15" spans="1:22" x14ac:dyDescent="0.25">
      <c r="A15" s="9">
        <v>45809</v>
      </c>
      <c r="B15" s="12">
        <v>182</v>
      </c>
      <c r="C15" s="13">
        <v>20683769.300000001</v>
      </c>
      <c r="D15" s="13">
        <v>4152348.95</v>
      </c>
      <c r="E15" s="13">
        <v>536641.5</v>
      </c>
      <c r="F15" s="10">
        <v>292711.5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U15" s="14"/>
    </row>
    <row r="16" spans="1:22" x14ac:dyDescent="0.25">
      <c r="A16" s="9"/>
      <c r="B16" s="12"/>
      <c r="C16" s="13"/>
      <c r="D16" s="13"/>
      <c r="E16" s="13"/>
      <c r="F16" s="10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U16" s="17"/>
    </row>
    <row r="17" spans="1:2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U17" s="18"/>
    </row>
    <row r="18" spans="1:21" x14ac:dyDescent="0.25">
      <c r="A18" s="19" t="s">
        <v>23</v>
      </c>
      <c r="B18" s="19"/>
      <c r="C18" s="20">
        <f>SUM(C4:C15)</f>
        <v>179410711.22000003</v>
      </c>
      <c r="D18" s="20">
        <f>SUM(D4:D15)</f>
        <v>32688550.400000002</v>
      </c>
      <c r="E18" s="20">
        <f t="shared" ref="E18:F18" si="0">SUM(E4:E15)</f>
        <v>4081353.5</v>
      </c>
      <c r="F18" s="20">
        <f t="shared" si="0"/>
        <v>2496221.6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2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21" ht="15" customHeight="1" x14ac:dyDescent="0.25">
      <c r="A20" s="21" t="s">
        <v>25</v>
      </c>
      <c r="B20" s="22"/>
      <c r="C20" s="21" t="s">
        <v>28</v>
      </c>
      <c r="D20" s="22"/>
      <c r="E20" s="23"/>
      <c r="F20" s="23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21" ht="27" customHeight="1" x14ac:dyDescent="0.25">
      <c r="A21" s="21" t="s">
        <v>26</v>
      </c>
      <c r="B21" s="22"/>
      <c r="C21" s="21"/>
      <c r="D21" s="22"/>
      <c r="E21" s="23"/>
      <c r="F21" s="23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21" x14ac:dyDescent="0.25">
      <c r="A22" s="24" t="s">
        <v>27</v>
      </c>
      <c r="B22" s="25"/>
      <c r="C22" s="21" t="s">
        <v>29</v>
      </c>
      <c r="D22" s="2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21" ht="30.75" customHeight="1" x14ac:dyDescent="0.25">
      <c r="A23" s="21" t="s">
        <v>26</v>
      </c>
      <c r="B23" s="22"/>
      <c r="C23" s="24"/>
      <c r="D23" s="25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</sheetData>
  <mergeCells count="12">
    <mergeCell ref="H1:I1"/>
    <mergeCell ref="J1:K1"/>
    <mergeCell ref="L1:Q1"/>
    <mergeCell ref="A20:B20"/>
    <mergeCell ref="A21:B21"/>
    <mergeCell ref="C20:D20"/>
    <mergeCell ref="C21:D21"/>
    <mergeCell ref="A22:B22"/>
    <mergeCell ref="A23:B23"/>
    <mergeCell ref="C22:D22"/>
    <mergeCell ref="C23:D23"/>
    <mergeCell ref="A1:G1"/>
  </mergeCells>
  <pageMargins left="0.7" right="0.7" top="0.75" bottom="0.75" header="0.3" footer="0.3"/>
  <pageSetup paperSize="9"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548F1-D457-4C46-985C-1DCBEB50CFA3}">
  <dimension ref="A1:I5"/>
  <sheetViews>
    <sheetView workbookViewId="0">
      <selection activeCell="E11" sqref="E11"/>
    </sheetView>
  </sheetViews>
  <sheetFormatPr defaultRowHeight="15" x14ac:dyDescent="0.25"/>
  <sheetData>
    <row r="1" spans="1:9" x14ac:dyDescent="0.25">
      <c r="A1" s="3" t="s">
        <v>21</v>
      </c>
      <c r="B1" s="3"/>
      <c r="C1" s="3"/>
      <c r="D1" s="3"/>
    </row>
    <row r="5" spans="1:9" x14ac:dyDescent="0.25">
      <c r="I5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2025-09-12T11:28:14Z</cp:lastPrinted>
  <dcterms:created xsi:type="dcterms:W3CDTF">2025-09-12T06:20:21Z</dcterms:created>
  <dcterms:modified xsi:type="dcterms:W3CDTF">2025-09-12T11:29:09Z</dcterms:modified>
</cp:coreProperties>
</file>