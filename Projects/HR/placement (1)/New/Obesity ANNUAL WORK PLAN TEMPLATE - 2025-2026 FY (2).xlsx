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395E431-D83B-4A66-B22D-7A941BB19CC2}" xr6:coauthVersionLast="47" xr6:coauthVersionMax="47" xr10:uidLastSave="{00000000-0000-0000-0000-000000000000}"/>
  <bookViews>
    <workbookView xWindow="2500" yWindow="2500" windowWidth="14400" windowHeight="7270" activeTab="1" xr2:uid="{00000000-000D-0000-FFFF-FFFF00000000}"/>
  </bookViews>
  <sheets>
    <sheet name="ANNUAL WORK PLAN" sheetId="1" r:id="rId1"/>
    <sheet name="budget" sheetId="3" r:id="rId2"/>
    <sheet name="Q1" sheetId="5" r:id="rId3"/>
    <sheet name="Rats" sheetId="4" r:id="rId4"/>
    <sheet name="Q2" sheetId="6" r:id="rId5"/>
    <sheet name="Q3 &amp; 4" sheetId="7" r:id="rId6"/>
  </sheets>
  <definedNames>
    <definedName name="_xlnm.Print_Titles" localSheetId="0">'ANNUAL WORK PLAN'!$4:$5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3" l="1"/>
  <c r="D16" i="3"/>
  <c r="D17" i="3"/>
  <c r="D19" i="3"/>
  <c r="D20" i="3"/>
  <c r="D50" i="7"/>
  <c r="D5" i="3" l="1"/>
  <c r="D3" i="3"/>
  <c r="D2" i="3"/>
  <c r="D44" i="3"/>
  <c r="D43" i="3"/>
  <c r="D42" i="3"/>
  <c r="D41" i="3"/>
  <c r="D40" i="3"/>
  <c r="D35" i="3"/>
  <c r="D34" i="3"/>
  <c r="D33" i="3"/>
  <c r="D32" i="3"/>
  <c r="D31" i="3"/>
  <c r="D18" i="3"/>
  <c r="D30" i="3"/>
  <c r="D29" i="3"/>
  <c r="D28" i="3"/>
  <c r="D27" i="3"/>
  <c r="D26" i="3"/>
  <c r="D25" i="3"/>
  <c r="D24" i="3"/>
  <c r="D23" i="3"/>
  <c r="D22" i="3"/>
  <c r="D21" i="3"/>
  <c r="D77" i="3"/>
  <c r="D14" i="3"/>
  <c r="D13" i="3"/>
  <c r="D12" i="3"/>
  <c r="D11" i="3"/>
  <c r="D10" i="3"/>
  <c r="D76" i="3"/>
  <c r="D50" i="3"/>
  <c r="D49" i="3"/>
  <c r="D48" i="3"/>
  <c r="D75" i="3"/>
  <c r="D74" i="3"/>
  <c r="D73" i="3"/>
  <c r="D47" i="3"/>
  <c r="D46" i="3"/>
  <c r="D45" i="3"/>
  <c r="D39" i="3"/>
  <c r="D38" i="3"/>
  <c r="D37" i="3"/>
  <c r="D72" i="3"/>
  <c r="D71" i="3"/>
  <c r="D70" i="3"/>
  <c r="D55" i="3"/>
  <c r="D36" i="3"/>
  <c r="D54" i="3"/>
  <c r="D53" i="3"/>
  <c r="D52" i="3"/>
  <c r="D51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13" i="6"/>
  <c r="E5" i="4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D51" i="7" s="1"/>
  <c r="D25" i="6"/>
  <c r="D24" i="6"/>
  <c r="D23" i="6"/>
  <c r="D22" i="6"/>
  <c r="D21" i="6"/>
  <c r="D20" i="6"/>
  <c r="D19" i="6"/>
  <c r="D18" i="6"/>
  <c r="D17" i="6"/>
  <c r="D16" i="6"/>
  <c r="D15" i="6"/>
  <c r="D14" i="6"/>
  <c r="D12" i="6"/>
  <c r="D11" i="6"/>
  <c r="D10" i="6"/>
  <c r="D9" i="6"/>
  <c r="D8" i="6"/>
  <c r="D7" i="6"/>
  <c r="D6" i="6"/>
  <c r="D5" i="6"/>
  <c r="D4" i="6"/>
  <c r="D3" i="6"/>
  <c r="D2" i="6"/>
  <c r="D37" i="5"/>
  <c r="D36" i="5"/>
  <c r="D35" i="5"/>
  <c r="D34" i="5"/>
  <c r="D33" i="5"/>
  <c r="D50" i="5"/>
  <c r="D49" i="5"/>
  <c r="D48" i="5"/>
  <c r="D47" i="5"/>
  <c r="D46" i="5"/>
  <c r="D45" i="5"/>
  <c r="D44" i="5"/>
  <c r="D43" i="5"/>
  <c r="D41" i="5"/>
  <c r="D40" i="5"/>
  <c r="D39" i="5"/>
  <c r="D38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E3" i="4"/>
  <c r="E2" i="4"/>
  <c r="E9" i="4" s="1"/>
  <c r="D78" i="3" l="1"/>
  <c r="G78" i="3"/>
  <c r="D9" i="3"/>
  <c r="D26" i="6"/>
  <c r="D51" i="5"/>
  <c r="L17" i="1" l="1"/>
</calcChain>
</file>

<file path=xl/sharedStrings.xml><?xml version="1.0" encoding="utf-8"?>
<sst xmlns="http://schemas.openxmlformats.org/spreadsheetml/2006/main" count="290" uniqueCount="140">
  <si>
    <t>Activity</t>
  </si>
  <si>
    <t>Expected Output</t>
  </si>
  <si>
    <t>Output Indicator</t>
  </si>
  <si>
    <t>Responsibility</t>
  </si>
  <si>
    <t>Strategy</t>
  </si>
  <si>
    <t>Q1</t>
  </si>
  <si>
    <t>Q2</t>
  </si>
  <si>
    <t>Q3</t>
  </si>
  <si>
    <t>Q4</t>
  </si>
  <si>
    <t>NATIONAL MUSEUMS OF KENYA</t>
  </si>
  <si>
    <t>TOTAL BUDGET</t>
  </si>
  <si>
    <t>Timeline</t>
  </si>
  <si>
    <t>Budget (Ksh. Mn)</t>
  </si>
  <si>
    <t>Target</t>
  </si>
  <si>
    <t>NATURAL PRODUCT INDUSTRY</t>
  </si>
  <si>
    <t>KIPRE</t>
  </si>
  <si>
    <t>ANNUAL WORK PLAN FY 2025/2026</t>
  </si>
  <si>
    <t>Description</t>
  </si>
  <si>
    <t xml:space="preserve">Quantity </t>
  </si>
  <si>
    <t>Unit cost (KShs)</t>
  </si>
  <si>
    <t>Total cost (KShs)</t>
  </si>
  <si>
    <t>Purchase of rats (breeders) (20 females, 5 males)</t>
  </si>
  <si>
    <t>Gauge 18mm needles, pkt</t>
  </si>
  <si>
    <t>Butterfly needles, pkt</t>
  </si>
  <si>
    <t>2ml syringes pkts</t>
  </si>
  <si>
    <t>Orlistat -1 grams x 2</t>
  </si>
  <si>
    <t>Clinical chemistry at termination (126 samples)</t>
  </si>
  <si>
    <t>Histology (100 Kshs/slide) 2 slides per rat (adipose, liver) (126 rats)</t>
  </si>
  <si>
    <t>PPAR gamma Transcription factor Assay kit</t>
  </si>
  <si>
    <t>SREBP- 1c assay KIT</t>
  </si>
  <si>
    <t>AMPK assay kit</t>
  </si>
  <si>
    <t xml:space="preserve"> Interleukin-6 (IL-6) Elisa Kit</t>
  </si>
  <si>
    <t xml:space="preserve"> Interleukin-1 Beta (IL-1β) Elisa Kit</t>
  </si>
  <si>
    <t>Tumor Necrosis Factor-alpha (TNF-α) Elisa Kit</t>
  </si>
  <si>
    <t xml:space="preserve">Feacal DNA kit </t>
  </si>
  <si>
    <t>Next generational sequencing and analysis (3 samples per group)</t>
  </si>
  <si>
    <t>RBG (Glucometer strips) 50 pcs/pack x 11</t>
  </si>
  <si>
    <t>Glucometers (Accu-check Active Meter)</t>
  </si>
  <si>
    <t>8 ml red cap tubes, pkt of 100</t>
  </si>
  <si>
    <t>Serum vials, 10x10</t>
  </si>
  <si>
    <t>Gauze swabs, pkt</t>
  </si>
  <si>
    <t>Aluminum foil, roll</t>
  </si>
  <si>
    <t>Paper towels, pkt</t>
  </si>
  <si>
    <t>Microscope slides, pkt of 72</t>
  </si>
  <si>
    <t>Coverslips, pkt of 10</t>
  </si>
  <si>
    <t>Cryovials (box, 500pcs)</t>
  </si>
  <si>
    <t>Centrifuge tubes, 15ml (box, 500)</t>
  </si>
  <si>
    <t>Centrifuge tubes, 50ml (500pcs)</t>
  </si>
  <si>
    <t>Eppendorf tubes (2ml), pkt of 500</t>
  </si>
  <si>
    <t>Yellow tips 1000pcs</t>
  </si>
  <si>
    <t>Blue tips pkt 500pcs</t>
  </si>
  <si>
    <t>Ethanol GPR (20L)</t>
  </si>
  <si>
    <t>Bleach (5L)</t>
  </si>
  <si>
    <t>Paper towels (box)</t>
  </si>
  <si>
    <t>Gloves (box, packet of 10)</t>
  </si>
  <si>
    <t>Face masks (box)</t>
  </si>
  <si>
    <t xml:space="preserve">High fat diet </t>
  </si>
  <si>
    <t xml:space="preserve">No. of herbal products tested </t>
  </si>
  <si>
    <t>Pre-clinical research on anti obesity  herbal products</t>
  </si>
  <si>
    <t xml:space="preserve">Bradford reagent </t>
  </si>
  <si>
    <t xml:space="preserve">Bovine serum albumin (BSA) </t>
  </si>
  <si>
    <t>Tris HCl pH 8.1 -</t>
  </si>
  <si>
    <t xml:space="preserve"> EDTA pH </t>
  </si>
  <si>
    <t>β-Mercaptoethanol---</t>
  </si>
  <si>
    <t xml:space="preserve"> PMSF </t>
  </si>
  <si>
    <t xml:space="preserve">1% (w/v) agarose gel in 1X TBE </t>
  </si>
  <si>
    <t xml:space="preserve"> SyBr (Red or Green) </t>
  </si>
  <si>
    <t xml:space="preserve">Taq polymerase </t>
  </si>
  <si>
    <t xml:space="preserve">TAQ buffer (10X) </t>
  </si>
  <si>
    <t xml:space="preserve">100% Glycerol   </t>
  </si>
  <si>
    <t xml:space="preserve">1.25 M KH2PO4 </t>
  </si>
  <si>
    <t xml:space="preserve">2.5 M NH4Cl </t>
  </si>
  <si>
    <t xml:space="preserve">1.25 M Na2HPO4 </t>
  </si>
  <si>
    <t xml:space="preserve">Lysis buffer  </t>
  </si>
  <si>
    <t xml:space="preserve">Wash buffer </t>
  </si>
  <si>
    <t xml:space="preserve">Elution buffer </t>
  </si>
  <si>
    <t xml:space="preserve">Storage Buffer </t>
  </si>
  <si>
    <t xml:space="preserve">Acrylamide/Bis acrylamide solution (30%) </t>
  </si>
  <si>
    <t xml:space="preserve">Ammonium Persulfate  </t>
  </si>
  <si>
    <t xml:space="preserve"> TEMED </t>
  </si>
  <si>
    <t xml:space="preserve">Glycine  </t>
  </si>
  <si>
    <t xml:space="preserve">Nitrocellulose membrane </t>
  </si>
  <si>
    <t xml:space="preserve">1% bromophenol blue (w/v), 10 ml </t>
  </si>
  <si>
    <t xml:space="preserve">Ethidium bromide (10mg/ml) </t>
  </si>
  <si>
    <t xml:space="preserve">10% SDS (w/v), 100 ml </t>
  </si>
  <si>
    <t>50% glycerol (v/v), 100 ml</t>
  </si>
  <si>
    <t xml:space="preserve">Coomassie blue (100mL) </t>
  </si>
  <si>
    <t xml:space="preserve">Coomassie destain (1L) </t>
  </si>
  <si>
    <t xml:space="preserve">SDS-gel loading buffer (Dye 6x), non-reducing </t>
  </si>
  <si>
    <t>LDS sample buffer 4X (for PAGE using Bis-Tris or Tris Acetate gels), non-reducing</t>
  </si>
  <si>
    <t xml:space="preserve">0.05% PBS-T (1L) </t>
  </si>
  <si>
    <t xml:space="preserve">Bradford Reagent 500ml, </t>
  </si>
  <si>
    <t>Bovine Serum Albumin, 99% 99.00% 10g</t>
  </si>
  <si>
    <t>TRIS hydrochloride 1M solution (pH7.4) 500ml</t>
  </si>
  <si>
    <t>EDTA solution, 0.5M in water 0.49M 500ml</t>
  </si>
  <si>
    <t>2-Mercaptoethanol, molecular b. g.x50ML</t>
  </si>
  <si>
    <t>Phenylmethanesulfonyl fluoride 0.98 5g</t>
  </si>
  <si>
    <t>Agarose 100g</t>
  </si>
  <si>
    <t>10x TBE, 500 ml, in liquid form,</t>
  </si>
  <si>
    <t>SafeView Classic; Quantity: 1.0 ml,</t>
  </si>
  <si>
    <t>OneTaq DNA Polymerase - 200 units;</t>
  </si>
  <si>
    <t>Standard Taq (DF) Reaction Buffer -6ml</t>
  </si>
  <si>
    <t>Glycerol, 99.5%, Ph. Eur., USP,</t>
  </si>
  <si>
    <t>Ammonium persulfate 0.975 100g,</t>
  </si>
  <si>
    <t>Acrylamide/Bis-acrylamide,37.5:1,30% solution</t>
  </si>
  <si>
    <t>Modified RIPA Lysis Buffer (moderate-strong)-20ml</t>
  </si>
  <si>
    <t>Glycine 98.50% 100g, CAS#: 56-40-6, MW of 75.07,</t>
  </si>
  <si>
    <t>Nitrocellulose mixed esters membrane. GVS.</t>
  </si>
  <si>
    <t>Bromophenol Blue 5g, CAS#: 115-39-9, MW of 669.98,</t>
  </si>
  <si>
    <t>Coomassie Brilliant Blue G250 (C.I.42655) 5g,</t>
  </si>
  <si>
    <t>Gel Loading Dye, Purple (6X) - 4,0 ml</t>
  </si>
  <si>
    <t>Tris-Glycine 10X - 1 litre</t>
  </si>
  <si>
    <t>Carry out in vitro studies on lipid metabolism using antiobesity herbal products</t>
  </si>
  <si>
    <t>Conduct in vivo preliminary tests  on antiobesity herbal products</t>
  </si>
  <si>
    <t xml:space="preserve"> in vivo preliminary tests  on antiobesity herbal products conducted</t>
  </si>
  <si>
    <t xml:space="preserve"> Invitro studies on lipid metabolism using antiobesity herbal products carried out </t>
  </si>
  <si>
    <t>PBS 1X, pH 7.4 solution IL,</t>
  </si>
  <si>
    <t>N,N,N'',N''-Tetramethylethylendiamine 0.99 100ml,</t>
  </si>
  <si>
    <t>Wash, elution, storage buffers</t>
  </si>
  <si>
    <t>Ethidium bromide</t>
  </si>
  <si>
    <t>10% SDS (w/v), 100 ml</t>
  </si>
  <si>
    <t>LDS sample buffer 4X (for PAGE using Bis-Tris or Tris Acetate gels)</t>
  </si>
  <si>
    <t>PBS 1X, pH 7.4 solution 1L,</t>
  </si>
  <si>
    <t>Total</t>
  </si>
  <si>
    <t xml:space="preserve">Adipogenesis assay kit </t>
  </si>
  <si>
    <t>oil red o stain kit</t>
  </si>
  <si>
    <t>Fatty acid oxidation complete assay kit</t>
  </si>
  <si>
    <t>Hormone-sensitive lipase assay kit</t>
  </si>
  <si>
    <t>Lipoprotein lipase activity assay kit</t>
  </si>
  <si>
    <t>OGTT (Glucometer strips) 50 pcs/pack x15</t>
  </si>
  <si>
    <t>Conduct a repeat of in vivo preliminary tests  on antiobesity herbal products</t>
  </si>
  <si>
    <t xml:space="preserve"> repeat of in vivo preliminary tests  on antiobesity herbal products conducted</t>
  </si>
  <si>
    <t>TOTAL</t>
  </si>
  <si>
    <t xml:space="preserve">Administration of herbal product per cage/day 500 for 77 days </t>
  </si>
  <si>
    <t>Euthanasia charges (1000 per rat)</t>
  </si>
  <si>
    <t>Incineration ( 1 dollar per rat)</t>
  </si>
  <si>
    <t>Acquisition of rats (49 rats x for 7 herbal products) x3</t>
  </si>
  <si>
    <t>Per diem for rats (animal maintenance charges) (21 cages at 125/cage/day) for 77 days)</t>
  </si>
  <si>
    <t>Ethical approval</t>
  </si>
  <si>
    <t>Liquid nitrogen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</si>
</sst>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b/>
      <sz val="13"/>
      <color theme="1"/>
      <name val="Gill Sans MT"/>
      <family val="2"/>
    </font>
    <font>
      <b/>
      <sz val="14"/>
      <color theme="1"/>
      <name val="Gill Sans MT"/>
      <family val="2"/>
    </font>
    <font>
      <sz val="12"/>
      <color theme="1"/>
      <name val="Gill Sans MT"/>
      <family val="2"/>
    </font>
    <font>
      <sz val="12"/>
      <color rgb="FF000000"/>
      <name val="Gill Sans MT"/>
      <family val="2"/>
    </font>
    <font>
      <sz val="12"/>
      <color rgb="FFFFFFFF"/>
      <name val="Gill Sans MT"/>
      <family val="2"/>
    </font>
    <font>
      <sz val="12"/>
      <color theme="1"/>
      <name val="Calibri"/>
      <family val="2"/>
      <scheme val="minor"/>
    </font>
    <font>
      <sz val="11"/>
      <color theme="1"/>
      <name val="Gill Sans MT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E36C0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68">
    <xf numFmtId="0" fontId="0" fillId="0" borderId="0" xfId="0"/>
    <xf numFmtId="0" fontId="6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43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top" wrapText="1"/>
    </xf>
    <xf numFmtId="43" fontId="3" fillId="0" borderId="2" xfId="0" applyNumberFormat="1" applyFont="1" applyBorder="1" applyAlignment="1">
      <alignment vertical="center" wrapText="1"/>
    </xf>
    <xf numFmtId="43" fontId="2" fillId="0" borderId="2" xfId="0" applyNumberFormat="1" applyFont="1" applyBorder="1"/>
    <xf numFmtId="0" fontId="3" fillId="0" borderId="1" xfId="0" applyFont="1" applyBorder="1" applyAlignment="1">
      <alignment vertical="top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43" fontId="3" fillId="0" borderId="1" xfId="0" applyNumberFormat="1" applyFont="1" applyBorder="1" applyAlignment="1">
      <alignment horizontal="left" vertical="center" wrapText="1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3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1" xfId="1" applyNumberFormat="1" applyFont="1" applyBorder="1"/>
    <xf numFmtId="0" fontId="9" fillId="0" borderId="1" xfId="0" applyFont="1" applyBorder="1"/>
    <xf numFmtId="0" fontId="11" fillId="0" borderId="1" xfId="0" applyFont="1" applyBorder="1" applyAlignment="1">
      <alignment vertical="center" wrapText="1"/>
    </xf>
    <xf numFmtId="164" fontId="11" fillId="0" borderId="1" xfId="1" applyNumberFormat="1" applyFont="1" applyBorder="1" applyAlignment="1">
      <alignment vertical="center" wrapText="1"/>
    </xf>
    <xf numFmtId="164" fontId="12" fillId="0" borderId="1" xfId="1" applyNumberFormat="1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164" fontId="11" fillId="0" borderId="1" xfId="1" applyNumberFormat="1" applyFont="1" applyBorder="1" applyAlignment="1">
      <alignment vertical="center"/>
    </xf>
    <xf numFmtId="0" fontId="11" fillId="3" borderId="1" xfId="0" applyFont="1" applyFill="1" applyBorder="1" applyAlignment="1">
      <alignment vertical="center" wrapText="1"/>
    </xf>
    <xf numFmtId="164" fontId="12" fillId="3" borderId="1" xfId="1" applyNumberFormat="1" applyFont="1" applyFill="1" applyBorder="1" applyAlignment="1">
      <alignment vertical="center" wrapText="1"/>
    </xf>
    <xf numFmtId="164" fontId="11" fillId="3" borderId="1" xfId="1" applyNumberFormat="1" applyFont="1" applyFill="1" applyBorder="1" applyAlignment="1">
      <alignment vertical="center" wrapText="1"/>
    </xf>
    <xf numFmtId="0" fontId="0" fillId="3" borderId="1" xfId="0" applyFill="1" applyBorder="1"/>
    <xf numFmtId="164" fontId="12" fillId="0" borderId="1" xfId="1" applyNumberFormat="1" applyFont="1" applyFill="1" applyBorder="1" applyAlignment="1">
      <alignment vertical="center" wrapText="1"/>
    </xf>
    <xf numFmtId="164" fontId="11" fillId="0" borderId="1" xfId="1" applyNumberFormat="1" applyFont="1" applyFill="1" applyBorder="1" applyAlignment="1">
      <alignment vertical="center" wrapText="1"/>
    </xf>
    <xf numFmtId="164" fontId="0" fillId="0" borderId="1" xfId="0" applyNumberFormat="1" applyBorder="1"/>
    <xf numFmtId="0" fontId="11" fillId="3" borderId="1" xfId="0" applyFont="1" applyFill="1" applyBorder="1" applyAlignment="1">
      <alignment vertical="center"/>
    </xf>
    <xf numFmtId="164" fontId="11" fillId="3" borderId="1" xfId="1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right" vertical="center" wrapText="1"/>
    </xf>
    <xf numFmtId="164" fontId="10" fillId="3" borderId="1" xfId="1" applyNumberFormat="1" applyFont="1" applyFill="1" applyBorder="1" applyAlignment="1">
      <alignment horizontal="right" vertical="center" wrapText="1"/>
    </xf>
    <xf numFmtId="3" fontId="0" fillId="3" borderId="1" xfId="0" applyNumberFormat="1" applyFill="1" applyBorder="1"/>
    <xf numFmtId="0" fontId="10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horizontal="right" vertical="center" wrapText="1"/>
    </xf>
    <xf numFmtId="0" fontId="0" fillId="5" borderId="1" xfId="0" applyFill="1" applyBorder="1"/>
    <xf numFmtId="164" fontId="0" fillId="3" borderId="1" xfId="1" applyNumberFormat="1" applyFont="1" applyFill="1" applyBorder="1"/>
    <xf numFmtId="0" fontId="10" fillId="5" borderId="1" xfId="0" applyFont="1" applyFill="1" applyBorder="1" applyAlignment="1">
      <alignment horizontal="right" vertical="center" wrapText="1"/>
    </xf>
    <xf numFmtId="0" fontId="9" fillId="0" borderId="0" xfId="0" applyFont="1"/>
    <xf numFmtId="164" fontId="9" fillId="0" borderId="0" xfId="0" applyNumberFormat="1" applyFont="1"/>
    <xf numFmtId="164" fontId="9" fillId="0" borderId="1" xfId="0" applyNumberFormat="1" applyFont="1" applyBorder="1"/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right" vertical="center" wrapText="1"/>
    </xf>
    <xf numFmtId="164" fontId="10" fillId="0" borderId="1" xfId="1" applyNumberFormat="1" applyFont="1" applyFill="1" applyBorder="1" applyAlignment="1">
      <alignment horizontal="right" vertical="center" wrapText="1"/>
    </xf>
    <xf numFmtId="164" fontId="11" fillId="0" borderId="1" xfId="1" applyNumberFormat="1" applyFont="1" applyFill="1" applyBorder="1" applyAlignment="1">
      <alignment vertical="center"/>
    </xf>
    <xf numFmtId="0" fontId="12" fillId="3" borderId="1" xfId="0" applyFont="1" applyFill="1" applyBorder="1"/>
    <xf numFmtId="164" fontId="10" fillId="4" borderId="1" xfId="1" applyNumberFormat="1" applyFont="1" applyFill="1" applyBorder="1" applyAlignment="1">
      <alignment horizontal="right" vertical="center" wrapText="1"/>
    </xf>
    <xf numFmtId="164" fontId="9" fillId="4" borderId="1" xfId="0" applyNumberFormat="1" applyFont="1" applyFill="1" applyBorder="1"/>
    <xf numFmtId="0" fontId="13" fillId="3" borderId="1" xfId="0" applyFont="1" applyFill="1" applyBorder="1"/>
    <xf numFmtId="0" fontId="14" fillId="3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vertical="center"/>
    </xf>
    <xf numFmtId="0" fontId="1" fillId="0" borderId="1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top" wrapText="1"/>
    </xf>
    <xf numFmtId="0" fontId="1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8"/>
  <sheetViews>
    <sheetView topLeftCell="A3" zoomScaleNormal="100" workbookViewId="0">
      <selection activeCell="G9" sqref="G9"/>
    </sheetView>
  </sheetViews>
  <sheetFormatPr defaultRowHeight="14.5" x14ac:dyDescent="0.35"/>
  <cols>
    <col min="1" max="1" width="14.81640625" customWidth="1"/>
    <col min="2" max="2" width="16.453125" customWidth="1"/>
    <col min="3" max="3" width="53.7265625" customWidth="1"/>
    <col min="4" max="4" width="29.1796875" customWidth="1"/>
    <col min="5" max="5" width="21.26953125" customWidth="1"/>
    <col min="6" max="6" width="13" customWidth="1"/>
    <col min="7" max="7" width="17.81640625" customWidth="1"/>
    <col min="8" max="8" width="5.81640625" customWidth="1"/>
    <col min="9" max="10" width="6.1796875" customWidth="1"/>
    <col min="11" max="11" width="6" customWidth="1"/>
    <col min="12" max="12" width="13.54296875" customWidth="1"/>
    <col min="13" max="13" width="17.453125" customWidth="1"/>
  </cols>
  <sheetData>
    <row r="1" spans="2:13" ht="18.5" x14ac:dyDescent="0.35">
      <c r="B1" s="67" t="s">
        <v>9</v>
      </c>
      <c r="C1" s="67"/>
      <c r="D1" s="67"/>
      <c r="E1" s="67"/>
      <c r="F1" s="67"/>
      <c r="G1" s="67"/>
      <c r="H1" s="67"/>
      <c r="I1" s="67"/>
      <c r="J1" s="67"/>
      <c r="K1" s="67"/>
      <c r="L1" s="67"/>
    </row>
    <row r="2" spans="2:13" ht="18.5" x14ac:dyDescent="0.35">
      <c r="B2" s="67" t="s">
        <v>14</v>
      </c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2:13" ht="18.5" x14ac:dyDescent="0.35">
      <c r="B3" s="67" t="s">
        <v>16</v>
      </c>
      <c r="C3" s="67"/>
      <c r="D3" s="67"/>
      <c r="E3" s="67"/>
      <c r="F3" s="67"/>
      <c r="G3" s="67"/>
      <c r="H3" s="67"/>
      <c r="I3" s="67"/>
      <c r="J3" s="67"/>
      <c r="K3" s="67"/>
      <c r="L3" s="67"/>
    </row>
    <row r="4" spans="2:13" ht="24" customHeight="1" x14ac:dyDescent="0.35">
      <c r="B4" s="65" t="s">
        <v>4</v>
      </c>
      <c r="C4" s="65" t="s">
        <v>0</v>
      </c>
      <c r="D4" s="65" t="s">
        <v>1</v>
      </c>
      <c r="E4" s="65" t="s">
        <v>2</v>
      </c>
      <c r="F4" s="65" t="s">
        <v>13</v>
      </c>
      <c r="G4" s="65" t="s">
        <v>3</v>
      </c>
      <c r="H4" s="65" t="s">
        <v>11</v>
      </c>
      <c r="I4" s="65"/>
      <c r="J4" s="65"/>
      <c r="K4" s="65"/>
      <c r="L4" s="65" t="s">
        <v>12</v>
      </c>
      <c r="M4" s="1"/>
    </row>
    <row r="5" spans="2:13" ht="18.5" x14ac:dyDescent="0.35">
      <c r="B5" s="65"/>
      <c r="C5" s="65"/>
      <c r="D5" s="65"/>
      <c r="E5" s="65"/>
      <c r="F5" s="65"/>
      <c r="G5" s="65"/>
      <c r="H5" s="2" t="s">
        <v>5</v>
      </c>
      <c r="I5" s="2" t="s">
        <v>6</v>
      </c>
      <c r="J5" s="2" t="s">
        <v>7</v>
      </c>
      <c r="K5" s="2" t="s">
        <v>8</v>
      </c>
      <c r="L5" s="65"/>
      <c r="M5" s="1"/>
    </row>
    <row r="6" spans="2:13" ht="96" customHeight="1" x14ac:dyDescent="0.35">
      <c r="B6" s="66" t="s">
        <v>58</v>
      </c>
      <c r="C6" s="3" t="s">
        <v>112</v>
      </c>
      <c r="D6" s="6" t="s">
        <v>115</v>
      </c>
      <c r="E6" s="6" t="s">
        <v>57</v>
      </c>
      <c r="F6" s="7">
        <v>4</v>
      </c>
      <c r="G6" s="3" t="s">
        <v>15</v>
      </c>
      <c r="H6" s="19">
        <v>1</v>
      </c>
      <c r="I6" s="3">
        <v>1</v>
      </c>
      <c r="J6" s="3"/>
      <c r="K6" s="3"/>
      <c r="L6" s="4">
        <v>4.3600000000000003</v>
      </c>
      <c r="M6" s="1"/>
    </row>
    <row r="7" spans="2:13" s="17" customFormat="1" ht="48" customHeight="1" x14ac:dyDescent="0.5">
      <c r="B7" s="66"/>
      <c r="C7" s="21" t="s">
        <v>113</v>
      </c>
      <c r="D7" s="13" t="s">
        <v>114</v>
      </c>
      <c r="E7" s="14" t="s">
        <v>57</v>
      </c>
      <c r="F7" s="7">
        <v>4</v>
      </c>
      <c r="G7" s="13" t="s">
        <v>15</v>
      </c>
      <c r="H7" s="20"/>
      <c r="I7" s="20">
        <v>1</v>
      </c>
      <c r="J7" s="20">
        <v>1</v>
      </c>
      <c r="K7" s="20">
        <v>1</v>
      </c>
      <c r="L7" s="15">
        <v>4.5599999999999996</v>
      </c>
      <c r="M7" s="16"/>
    </row>
    <row r="8" spans="2:13" ht="55.5" x14ac:dyDescent="0.35">
      <c r="B8" s="66"/>
      <c r="C8" s="22" t="s">
        <v>130</v>
      </c>
      <c r="D8" s="6" t="s">
        <v>131</v>
      </c>
      <c r="E8" s="6" t="s">
        <v>57</v>
      </c>
      <c r="F8" s="7">
        <v>4</v>
      </c>
      <c r="G8" s="3" t="s">
        <v>15</v>
      </c>
      <c r="H8" s="19"/>
      <c r="I8" s="3"/>
      <c r="J8" s="3"/>
      <c r="K8" s="3"/>
      <c r="L8" s="4"/>
      <c r="M8" s="1"/>
    </row>
    <row r="9" spans="2:13" ht="18.5" x14ac:dyDescent="0.35">
      <c r="B9" s="66"/>
      <c r="C9" s="22"/>
      <c r="D9" s="6"/>
      <c r="E9" s="6"/>
      <c r="F9" s="7"/>
      <c r="G9" s="3"/>
      <c r="H9" s="3"/>
      <c r="I9" s="19"/>
      <c r="J9" s="19"/>
      <c r="K9" s="3"/>
      <c r="L9" s="4"/>
      <c r="M9" s="1"/>
    </row>
    <row r="10" spans="2:13" ht="18.5" x14ac:dyDescent="0.35">
      <c r="B10" s="66"/>
      <c r="C10" s="22"/>
      <c r="D10" s="6"/>
      <c r="E10" s="6"/>
      <c r="F10" s="7"/>
      <c r="G10" s="3"/>
      <c r="H10" s="3"/>
      <c r="I10" s="19"/>
      <c r="J10" s="19"/>
      <c r="K10" s="3"/>
      <c r="L10" s="4"/>
      <c r="M10" s="1"/>
    </row>
    <row r="11" spans="2:13" ht="18.5" x14ac:dyDescent="0.35">
      <c r="B11" s="66"/>
      <c r="C11" s="22"/>
      <c r="D11" s="18"/>
      <c r="E11" s="6"/>
      <c r="F11" s="7"/>
      <c r="G11" s="3"/>
      <c r="H11" s="3"/>
      <c r="I11" s="19"/>
      <c r="J11" s="3"/>
      <c r="K11" s="19"/>
      <c r="L11" s="4"/>
      <c r="M11" s="1"/>
    </row>
    <row r="12" spans="2:13" ht="18.5" x14ac:dyDescent="0.35">
      <c r="B12" s="11"/>
      <c r="C12" s="12"/>
      <c r="D12" s="3"/>
      <c r="E12" s="3"/>
      <c r="F12" s="5"/>
      <c r="G12" s="3"/>
      <c r="H12" s="3"/>
      <c r="I12" s="19"/>
      <c r="J12" s="3"/>
      <c r="K12" s="3"/>
      <c r="L12" s="9"/>
      <c r="M12" s="1"/>
    </row>
    <row r="13" spans="2:13" ht="18.5" x14ac:dyDescent="0.35">
      <c r="B13" s="11"/>
      <c r="C13" s="12"/>
      <c r="D13" s="3"/>
      <c r="E13" s="3"/>
      <c r="F13" s="5"/>
      <c r="G13" s="3"/>
      <c r="H13" s="3"/>
      <c r="I13" s="3"/>
      <c r="J13" s="3"/>
      <c r="K13" s="3"/>
      <c r="L13" s="9"/>
      <c r="M13" s="1"/>
    </row>
    <row r="14" spans="2:13" ht="18.5" x14ac:dyDescent="0.35">
      <c r="B14" s="11"/>
      <c r="C14" s="12"/>
      <c r="D14" s="3"/>
      <c r="E14" s="3"/>
      <c r="F14" s="5"/>
      <c r="G14" s="3"/>
      <c r="H14" s="3"/>
      <c r="I14" s="3"/>
      <c r="J14" s="3"/>
      <c r="K14" s="3"/>
      <c r="L14" s="9"/>
      <c r="M14" s="1"/>
    </row>
    <row r="15" spans="2:13" ht="18.5" x14ac:dyDescent="0.35">
      <c r="B15" s="11"/>
      <c r="C15" s="12"/>
      <c r="D15" s="3"/>
      <c r="E15" s="3"/>
      <c r="F15" s="5"/>
      <c r="G15" s="3"/>
      <c r="H15" s="3"/>
      <c r="I15" s="3"/>
      <c r="J15" s="3"/>
      <c r="K15" s="3"/>
      <c r="L15" s="9"/>
      <c r="M15" s="1"/>
    </row>
    <row r="16" spans="2:13" ht="18.5" x14ac:dyDescent="0.35">
      <c r="B16" s="8"/>
      <c r="D16" s="6"/>
      <c r="E16" s="3"/>
      <c r="F16" s="5"/>
      <c r="G16" s="3"/>
      <c r="H16" s="3"/>
      <c r="I16" s="3"/>
      <c r="J16" s="3"/>
      <c r="K16" s="3"/>
      <c r="L16" s="9"/>
      <c r="M16" s="1"/>
    </row>
    <row r="17" spans="2:12" ht="21" x14ac:dyDescent="0.6">
      <c r="B17" s="64" t="s">
        <v>10</v>
      </c>
      <c r="C17" s="64"/>
      <c r="D17" s="64"/>
      <c r="E17" s="64"/>
      <c r="F17" s="64"/>
      <c r="G17" s="64"/>
      <c r="H17" s="64"/>
      <c r="I17" s="64"/>
      <c r="J17" s="64"/>
      <c r="K17" s="64"/>
      <c r="L17" s="10" t="e">
        <f>SUM(#REF!)</f>
        <v>#REF!</v>
      </c>
    </row>
    <row r="18" spans="2:12" x14ac:dyDescent="0.35">
      <c r="B18" s="12"/>
      <c r="C18" s="12"/>
      <c r="D18" s="12"/>
      <c r="E18" s="12"/>
      <c r="F18" s="12"/>
      <c r="G18" s="12"/>
      <c r="H18" s="12"/>
      <c r="I18" s="12"/>
      <c r="J18" s="12"/>
      <c r="K18" s="12"/>
    </row>
  </sheetData>
  <mergeCells count="13">
    <mergeCell ref="B1:L1"/>
    <mergeCell ref="B3:L3"/>
    <mergeCell ref="B4:B5"/>
    <mergeCell ref="C4:C5"/>
    <mergeCell ref="D4:D5"/>
    <mergeCell ref="E4:E5"/>
    <mergeCell ref="F4:F5"/>
    <mergeCell ref="B2:L2"/>
    <mergeCell ref="B17:K17"/>
    <mergeCell ref="G4:G5"/>
    <mergeCell ref="H4:K4"/>
    <mergeCell ref="L4:L5"/>
    <mergeCell ref="B6:B11"/>
  </mergeCells>
  <pageMargins left="0.7" right="0.7" top="0.75" bottom="0.75" header="0.3" footer="0.3"/>
  <pageSetup scale="4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8"/>
  <sheetViews>
    <sheetView tabSelected="1" topLeftCell="A73" workbookViewId="0">
      <selection activeCell="F42" sqref="F42"/>
    </sheetView>
  </sheetViews>
  <sheetFormatPr defaultColWidth="9.1796875" defaultRowHeight="14.5" x14ac:dyDescent="0.35"/>
  <cols>
    <col min="1" max="1" width="43.7265625" style="12" customWidth="1"/>
    <col min="2" max="2" width="27.7265625" style="12" customWidth="1"/>
    <col min="3" max="3" width="16.1796875" style="12" customWidth="1"/>
    <col min="4" max="4" width="27.453125" style="12" customWidth="1"/>
    <col min="5" max="5" width="9.1796875" style="12"/>
    <col min="6" max="6" width="10.54296875" style="12" bestFit="1" customWidth="1"/>
    <col min="7" max="7" width="12.36328125" style="12" customWidth="1"/>
    <col min="8" max="16384" width="9.1796875" style="12"/>
  </cols>
  <sheetData>
    <row r="1" spans="1:4" x14ac:dyDescent="0.35">
      <c r="A1" s="12" t="s">
        <v>17</v>
      </c>
      <c r="B1" s="12" t="s">
        <v>18</v>
      </c>
      <c r="C1" s="12" t="s">
        <v>19</v>
      </c>
      <c r="D1" s="12" t="s">
        <v>20</v>
      </c>
    </row>
    <row r="2" spans="1:4" x14ac:dyDescent="0.35">
      <c r="A2" s="12" t="s">
        <v>136</v>
      </c>
      <c r="B2" s="12">
        <v>147</v>
      </c>
      <c r="C2" s="12">
        <v>500</v>
      </c>
      <c r="D2" s="12">
        <f>B2*C2</f>
        <v>73500</v>
      </c>
    </row>
    <row r="3" spans="1:4" x14ac:dyDescent="0.35">
      <c r="A3" s="12" t="s">
        <v>137</v>
      </c>
      <c r="B3" s="12">
        <v>1617</v>
      </c>
      <c r="C3" s="12">
        <v>125</v>
      </c>
      <c r="D3" s="12">
        <f>B3*C3</f>
        <v>202125</v>
      </c>
    </row>
    <row r="4" spans="1:4" x14ac:dyDescent="0.35">
      <c r="A4" s="12" t="s">
        <v>21</v>
      </c>
      <c r="B4" s="12">
        <v>25</v>
      </c>
      <c r="C4" s="12">
        <v>500</v>
      </c>
      <c r="D4" s="12">
        <v>12500</v>
      </c>
    </row>
    <row r="5" spans="1:4" x14ac:dyDescent="0.35">
      <c r="A5" s="12" t="s">
        <v>133</v>
      </c>
      <c r="B5" s="12">
        <v>1617</v>
      </c>
      <c r="C5" s="12">
        <v>500</v>
      </c>
      <c r="D5" s="12">
        <f>B5*C5</f>
        <v>808500</v>
      </c>
    </row>
    <row r="6" spans="1:4" x14ac:dyDescent="0.35">
      <c r="A6" s="12" t="s">
        <v>134</v>
      </c>
      <c r="B6" s="12">
        <v>147</v>
      </c>
      <c r="C6" s="12">
        <v>1000</v>
      </c>
      <c r="D6" s="12">
        <v>126000</v>
      </c>
    </row>
    <row r="7" spans="1:4" x14ac:dyDescent="0.35">
      <c r="A7" s="12" t="s">
        <v>135</v>
      </c>
      <c r="B7" s="12">
        <v>147</v>
      </c>
      <c r="C7" s="12">
        <v>100</v>
      </c>
      <c r="D7" s="12">
        <v>14700</v>
      </c>
    </row>
    <row r="8" spans="1:4" x14ac:dyDescent="0.35">
      <c r="A8" s="12" t="s">
        <v>138</v>
      </c>
      <c r="B8" s="12">
        <v>1</v>
      </c>
      <c r="C8" s="12">
        <v>10000</v>
      </c>
      <c r="D8" s="12">
        <v>10000</v>
      </c>
    </row>
    <row r="9" spans="1:4" s="47" customFormat="1" ht="28.5" customHeight="1" x14ac:dyDescent="0.35">
      <c r="A9" s="44" t="s">
        <v>123</v>
      </c>
      <c r="B9" s="45"/>
      <c r="C9" s="46"/>
      <c r="D9" s="59">
        <f>SUM(D2:D8)</f>
        <v>1247325</v>
      </c>
    </row>
    <row r="10" spans="1:4" x14ac:dyDescent="0.35">
      <c r="A10" s="31" t="s">
        <v>91</v>
      </c>
      <c r="B10" s="38">
        <v>2</v>
      </c>
      <c r="C10" s="39">
        <v>50422</v>
      </c>
      <c r="D10" s="33">
        <f t="shared" ref="D10:D16" si="0">B10*C10</f>
        <v>100844</v>
      </c>
    </row>
    <row r="11" spans="1:4" x14ac:dyDescent="0.35">
      <c r="A11" s="62" t="s">
        <v>92</v>
      </c>
      <c r="B11" s="38">
        <v>2</v>
      </c>
      <c r="C11" s="39">
        <v>11478</v>
      </c>
      <c r="D11" s="33">
        <f t="shared" si="0"/>
        <v>22956</v>
      </c>
    </row>
    <row r="12" spans="1:4" x14ac:dyDescent="0.35">
      <c r="A12" s="63" t="s">
        <v>93</v>
      </c>
      <c r="B12" s="38">
        <v>2</v>
      </c>
      <c r="C12" s="39">
        <v>57641</v>
      </c>
      <c r="D12" s="33">
        <f t="shared" si="0"/>
        <v>115282</v>
      </c>
    </row>
    <row r="13" spans="1:4" x14ac:dyDescent="0.35">
      <c r="A13" s="63" t="s">
        <v>94</v>
      </c>
      <c r="B13" s="38">
        <v>2</v>
      </c>
      <c r="C13" s="39">
        <v>14465</v>
      </c>
      <c r="D13" s="33">
        <f t="shared" si="0"/>
        <v>28930</v>
      </c>
    </row>
    <row r="14" spans="1:4" x14ac:dyDescent="0.35">
      <c r="A14" s="63" t="s">
        <v>96</v>
      </c>
      <c r="B14" s="38">
        <v>2</v>
      </c>
      <c r="C14" s="39">
        <v>17995</v>
      </c>
      <c r="D14" s="33">
        <f t="shared" si="0"/>
        <v>35990</v>
      </c>
    </row>
    <row r="15" spans="1:4" x14ac:dyDescent="0.35">
      <c r="A15" s="63" t="s">
        <v>95</v>
      </c>
      <c r="B15" s="31">
        <v>2</v>
      </c>
      <c r="C15" s="32">
        <v>19708</v>
      </c>
      <c r="D15" s="33">
        <f t="shared" si="0"/>
        <v>39416</v>
      </c>
    </row>
    <row r="16" spans="1:4" x14ac:dyDescent="0.35">
      <c r="A16" s="63" t="s">
        <v>97</v>
      </c>
      <c r="B16" s="31">
        <v>2</v>
      </c>
      <c r="C16" s="32">
        <v>14909</v>
      </c>
      <c r="D16" s="33">
        <f t="shared" si="0"/>
        <v>29818</v>
      </c>
    </row>
    <row r="17" spans="1:4" x14ac:dyDescent="0.35">
      <c r="A17" s="63" t="s">
        <v>98</v>
      </c>
      <c r="B17" s="31">
        <v>2</v>
      </c>
      <c r="C17" s="32">
        <v>6500</v>
      </c>
      <c r="D17" s="33">
        <f t="shared" ref="D17:D20" si="1">B17*C17</f>
        <v>13000</v>
      </c>
    </row>
    <row r="18" spans="1:4" x14ac:dyDescent="0.35">
      <c r="A18" s="61" t="s">
        <v>99</v>
      </c>
      <c r="B18" s="34">
        <v>4</v>
      </c>
      <c r="C18" s="48">
        <v>10588</v>
      </c>
      <c r="D18" s="33">
        <f>B18*C18</f>
        <v>42352</v>
      </c>
    </row>
    <row r="19" spans="1:4" x14ac:dyDescent="0.35">
      <c r="A19" s="61" t="s">
        <v>119</v>
      </c>
      <c r="B19" s="31">
        <v>2</v>
      </c>
      <c r="C19" s="48">
        <v>15067</v>
      </c>
      <c r="D19" s="33">
        <f t="shared" si="1"/>
        <v>30134</v>
      </c>
    </row>
    <row r="20" spans="1:4" x14ac:dyDescent="0.35">
      <c r="A20" s="61" t="s">
        <v>100</v>
      </c>
      <c r="B20" s="31">
        <v>2</v>
      </c>
      <c r="C20" s="48">
        <v>11000</v>
      </c>
      <c r="D20" s="33">
        <f t="shared" si="1"/>
        <v>22000</v>
      </c>
    </row>
    <row r="21" spans="1:4" x14ac:dyDescent="0.35">
      <c r="A21" s="61" t="s">
        <v>101</v>
      </c>
      <c r="B21" s="31">
        <v>2</v>
      </c>
      <c r="C21" s="48">
        <v>5697</v>
      </c>
      <c r="D21" s="33">
        <f t="shared" ref="D21:D41" si="2">B21*C21</f>
        <v>11394</v>
      </c>
    </row>
    <row r="22" spans="1:4" x14ac:dyDescent="0.35">
      <c r="A22" s="61" t="s">
        <v>102</v>
      </c>
      <c r="B22" s="34">
        <v>2</v>
      </c>
      <c r="C22" s="48">
        <v>23992</v>
      </c>
      <c r="D22" s="33">
        <f t="shared" si="2"/>
        <v>47984</v>
      </c>
    </row>
    <row r="23" spans="1:4" x14ac:dyDescent="0.35">
      <c r="A23" s="61" t="s">
        <v>105</v>
      </c>
      <c r="B23" s="34">
        <v>2</v>
      </c>
      <c r="C23" s="48">
        <v>14823</v>
      </c>
      <c r="D23" s="33">
        <f t="shared" si="2"/>
        <v>29646</v>
      </c>
    </row>
    <row r="24" spans="1:4" x14ac:dyDescent="0.35">
      <c r="A24" s="61" t="s">
        <v>104</v>
      </c>
      <c r="B24" s="34">
        <v>2</v>
      </c>
      <c r="C24" s="48">
        <v>11320</v>
      </c>
      <c r="D24" s="33">
        <f t="shared" si="2"/>
        <v>22640</v>
      </c>
    </row>
    <row r="25" spans="1:4" x14ac:dyDescent="0.35">
      <c r="A25" s="61" t="s">
        <v>103</v>
      </c>
      <c r="B25" s="34">
        <v>2</v>
      </c>
      <c r="C25" s="48">
        <v>8278</v>
      </c>
      <c r="D25" s="33">
        <f t="shared" si="2"/>
        <v>16556</v>
      </c>
    </row>
    <row r="26" spans="1:4" x14ac:dyDescent="0.35">
      <c r="A26" s="61" t="s">
        <v>117</v>
      </c>
      <c r="B26" s="34">
        <v>2</v>
      </c>
      <c r="C26" s="48">
        <v>40834</v>
      </c>
      <c r="D26" s="33">
        <f t="shared" si="2"/>
        <v>81668</v>
      </c>
    </row>
    <row r="27" spans="1:4" x14ac:dyDescent="0.35">
      <c r="A27" s="61" t="s">
        <v>118</v>
      </c>
      <c r="B27" s="34">
        <v>6</v>
      </c>
      <c r="C27" s="48">
        <v>6450</v>
      </c>
      <c r="D27" s="33">
        <f t="shared" si="2"/>
        <v>38700</v>
      </c>
    </row>
    <row r="28" spans="1:4" x14ac:dyDescent="0.35">
      <c r="A28" s="61" t="s">
        <v>106</v>
      </c>
      <c r="B28" s="34">
        <v>2</v>
      </c>
      <c r="C28" s="48">
        <v>10600</v>
      </c>
      <c r="D28" s="33">
        <f t="shared" si="2"/>
        <v>21200</v>
      </c>
    </row>
    <row r="29" spans="1:4" x14ac:dyDescent="0.35">
      <c r="A29" s="61" t="s">
        <v>107</v>
      </c>
      <c r="B29" s="34">
        <v>2</v>
      </c>
      <c r="C29" s="48">
        <v>55086</v>
      </c>
      <c r="D29" s="33">
        <f t="shared" si="2"/>
        <v>110172</v>
      </c>
    </row>
    <row r="30" spans="1:4" x14ac:dyDescent="0.35">
      <c r="A30" s="61" t="s">
        <v>108</v>
      </c>
      <c r="B30" s="34">
        <v>2</v>
      </c>
      <c r="C30" s="48">
        <v>5386</v>
      </c>
      <c r="D30" s="33">
        <f t="shared" si="2"/>
        <v>10772</v>
      </c>
    </row>
    <row r="31" spans="1:4" x14ac:dyDescent="0.35">
      <c r="A31" s="61" t="s">
        <v>109</v>
      </c>
      <c r="B31" s="34">
        <v>2</v>
      </c>
      <c r="C31" s="48">
        <v>9103</v>
      </c>
      <c r="D31" s="33">
        <f t="shared" si="2"/>
        <v>18206</v>
      </c>
    </row>
    <row r="32" spans="1:4" x14ac:dyDescent="0.35">
      <c r="A32" s="61" t="s">
        <v>110</v>
      </c>
      <c r="B32" s="34">
        <v>2</v>
      </c>
      <c r="C32" s="48">
        <v>11010</v>
      </c>
      <c r="D32" s="33">
        <f t="shared" si="2"/>
        <v>22020</v>
      </c>
    </row>
    <row r="33" spans="1:4" x14ac:dyDescent="0.35">
      <c r="A33" s="61" t="s">
        <v>111</v>
      </c>
      <c r="B33" s="34">
        <v>2</v>
      </c>
      <c r="C33" s="48">
        <v>24509</v>
      </c>
      <c r="D33" s="33">
        <f t="shared" si="2"/>
        <v>49018</v>
      </c>
    </row>
    <row r="34" spans="1:4" x14ac:dyDescent="0.35">
      <c r="A34" s="61" t="s">
        <v>116</v>
      </c>
      <c r="B34" s="34">
        <v>2</v>
      </c>
      <c r="C34" s="48">
        <v>19977</v>
      </c>
      <c r="D34" s="33">
        <f t="shared" si="2"/>
        <v>39954</v>
      </c>
    </row>
    <row r="35" spans="1:4" x14ac:dyDescent="0.35">
      <c r="A35" s="61" t="s">
        <v>121</v>
      </c>
      <c r="B35" s="34">
        <v>2</v>
      </c>
      <c r="C35" s="48">
        <v>9415</v>
      </c>
      <c r="D35" s="33">
        <f t="shared" si="2"/>
        <v>18830</v>
      </c>
    </row>
    <row r="36" spans="1:4" x14ac:dyDescent="0.35">
      <c r="A36" s="38" t="s">
        <v>54</v>
      </c>
      <c r="B36" s="38">
        <v>26</v>
      </c>
      <c r="C36" s="39">
        <v>1300</v>
      </c>
      <c r="D36" s="33">
        <f t="shared" si="2"/>
        <v>33800</v>
      </c>
    </row>
    <row r="37" spans="1:4" x14ac:dyDescent="0.35">
      <c r="A37" s="31" t="s">
        <v>28</v>
      </c>
      <c r="B37" s="31">
        <v>3</v>
      </c>
      <c r="C37" s="32">
        <v>178951</v>
      </c>
      <c r="D37" s="33">
        <f t="shared" si="2"/>
        <v>536853</v>
      </c>
    </row>
    <row r="38" spans="1:4" x14ac:dyDescent="0.35">
      <c r="A38" s="31" t="s">
        <v>29</v>
      </c>
      <c r="B38" s="31">
        <v>3</v>
      </c>
      <c r="C38" s="32">
        <v>118287</v>
      </c>
      <c r="D38" s="33">
        <f t="shared" si="2"/>
        <v>354861</v>
      </c>
    </row>
    <row r="39" spans="1:4" x14ac:dyDescent="0.35">
      <c r="A39" s="31" t="s">
        <v>30</v>
      </c>
      <c r="B39" s="31">
        <v>3</v>
      </c>
      <c r="C39" s="32">
        <v>153450</v>
      </c>
      <c r="D39" s="33">
        <f t="shared" si="2"/>
        <v>460350</v>
      </c>
    </row>
    <row r="40" spans="1:4" x14ac:dyDescent="0.35">
      <c r="A40" s="26" t="s">
        <v>124</v>
      </c>
      <c r="B40" s="26">
        <v>3</v>
      </c>
      <c r="C40" s="35">
        <v>50115</v>
      </c>
      <c r="D40" s="27">
        <f t="shared" si="2"/>
        <v>150345</v>
      </c>
    </row>
    <row r="41" spans="1:4" x14ac:dyDescent="0.35">
      <c r="A41" s="26" t="s">
        <v>125</v>
      </c>
      <c r="B41" s="26">
        <v>3</v>
      </c>
      <c r="C41" s="35">
        <v>38674</v>
      </c>
      <c r="D41" s="27">
        <f t="shared" si="2"/>
        <v>116022</v>
      </c>
    </row>
    <row r="42" spans="1:4" x14ac:dyDescent="0.35">
      <c r="A42" s="26" t="s">
        <v>127</v>
      </c>
      <c r="B42" s="26">
        <v>3</v>
      </c>
      <c r="C42" s="35">
        <v>90437</v>
      </c>
      <c r="D42" s="27">
        <f t="shared" ref="D42" si="3">B42*C42</f>
        <v>271311</v>
      </c>
    </row>
    <row r="43" spans="1:4" x14ac:dyDescent="0.35">
      <c r="A43" s="26" t="s">
        <v>128</v>
      </c>
      <c r="B43" s="26">
        <v>3</v>
      </c>
      <c r="C43" s="35">
        <v>74606</v>
      </c>
      <c r="D43" s="27">
        <f t="shared" ref="D43:D55" si="4">B43*C43</f>
        <v>223818</v>
      </c>
    </row>
    <row r="44" spans="1:4" x14ac:dyDescent="0.35">
      <c r="A44" s="26" t="s">
        <v>126</v>
      </c>
      <c r="B44" s="26">
        <v>3</v>
      </c>
      <c r="C44" s="35">
        <v>115542</v>
      </c>
      <c r="D44" s="27">
        <f t="shared" si="4"/>
        <v>346626</v>
      </c>
    </row>
    <row r="45" spans="1:4" x14ac:dyDescent="0.35">
      <c r="A45" s="31" t="s">
        <v>31</v>
      </c>
      <c r="B45" s="31">
        <v>3</v>
      </c>
      <c r="C45" s="32">
        <v>66435</v>
      </c>
      <c r="D45" s="33">
        <f t="shared" si="4"/>
        <v>199305</v>
      </c>
    </row>
    <row r="46" spans="1:4" x14ac:dyDescent="0.35">
      <c r="A46" s="31" t="s">
        <v>32</v>
      </c>
      <c r="B46" s="31">
        <v>3</v>
      </c>
      <c r="C46" s="32">
        <v>66435</v>
      </c>
      <c r="D46" s="33">
        <f t="shared" si="4"/>
        <v>199305</v>
      </c>
    </row>
    <row r="47" spans="1:4" x14ac:dyDescent="0.35">
      <c r="A47" s="58" t="s">
        <v>33</v>
      </c>
      <c r="B47" s="31">
        <v>3</v>
      </c>
      <c r="C47" s="32">
        <v>66435</v>
      </c>
      <c r="D47" s="33">
        <f t="shared" si="4"/>
        <v>199305</v>
      </c>
    </row>
    <row r="48" spans="1:4" x14ac:dyDescent="0.35">
      <c r="A48" s="38" t="s">
        <v>41</v>
      </c>
      <c r="B48" s="38">
        <v>12</v>
      </c>
      <c r="C48" s="39">
        <v>950</v>
      </c>
      <c r="D48" s="33">
        <f t="shared" si="4"/>
        <v>11400</v>
      </c>
    </row>
    <row r="49" spans="1:6" x14ac:dyDescent="0.35">
      <c r="A49" s="38" t="s">
        <v>42</v>
      </c>
      <c r="B49" s="38">
        <v>65</v>
      </c>
      <c r="C49" s="39">
        <v>480</v>
      </c>
      <c r="D49" s="33">
        <f t="shared" si="4"/>
        <v>31200</v>
      </c>
    </row>
    <row r="50" spans="1:6" x14ac:dyDescent="0.35">
      <c r="A50" s="38" t="s">
        <v>43</v>
      </c>
      <c r="B50" s="38">
        <v>30</v>
      </c>
      <c r="C50" s="39">
        <v>490</v>
      </c>
      <c r="D50" s="33">
        <f t="shared" si="4"/>
        <v>14700</v>
      </c>
    </row>
    <row r="51" spans="1:6" x14ac:dyDescent="0.35">
      <c r="A51" s="38" t="s">
        <v>49</v>
      </c>
      <c r="B51" s="38">
        <v>6</v>
      </c>
      <c r="C51" s="39">
        <v>2400</v>
      </c>
      <c r="D51" s="33">
        <f t="shared" si="4"/>
        <v>14400</v>
      </c>
    </row>
    <row r="52" spans="1:6" x14ac:dyDescent="0.35">
      <c r="A52" s="38" t="s">
        <v>50</v>
      </c>
      <c r="B52" s="38">
        <v>3</v>
      </c>
      <c r="C52" s="39">
        <v>1800</v>
      </c>
      <c r="D52" s="33">
        <f t="shared" si="4"/>
        <v>5400</v>
      </c>
    </row>
    <row r="53" spans="1:6" x14ac:dyDescent="0.35">
      <c r="A53" s="38" t="s">
        <v>51</v>
      </c>
      <c r="B53" s="38">
        <v>3</v>
      </c>
      <c r="C53" s="39">
        <v>15000</v>
      </c>
      <c r="D53" s="33">
        <f t="shared" si="4"/>
        <v>45000</v>
      </c>
    </row>
    <row r="54" spans="1:6" x14ac:dyDescent="0.35">
      <c r="A54" s="38" t="s">
        <v>52</v>
      </c>
      <c r="B54" s="38">
        <v>6</v>
      </c>
      <c r="C54" s="39">
        <v>2900</v>
      </c>
      <c r="D54" s="33">
        <f t="shared" si="4"/>
        <v>17400</v>
      </c>
    </row>
    <row r="55" spans="1:6" x14ac:dyDescent="0.35">
      <c r="A55" s="38" t="s">
        <v>55</v>
      </c>
      <c r="B55" s="38">
        <v>30</v>
      </c>
      <c r="C55" s="39">
        <v>600</v>
      </c>
      <c r="D55" s="33">
        <f t="shared" si="4"/>
        <v>18000</v>
      </c>
    </row>
    <row r="56" spans="1:6" s="25" customFormat="1" x14ac:dyDescent="0.35">
      <c r="A56" s="26" t="s">
        <v>22</v>
      </c>
      <c r="B56" s="26">
        <v>20</v>
      </c>
      <c r="C56" s="35">
        <v>2500</v>
      </c>
      <c r="D56" s="36">
        <f t="shared" ref="D56:D61" si="5">B56*C56</f>
        <v>50000</v>
      </c>
      <c r="F56" s="52"/>
    </row>
    <row r="57" spans="1:6" x14ac:dyDescent="0.35">
      <c r="A57" s="29" t="s">
        <v>23</v>
      </c>
      <c r="B57" s="29">
        <v>20</v>
      </c>
      <c r="C57" s="57">
        <v>2400</v>
      </c>
      <c r="D57" s="36">
        <f t="shared" si="5"/>
        <v>48000</v>
      </c>
    </row>
    <row r="58" spans="1:6" x14ac:dyDescent="0.35">
      <c r="A58" s="26" t="s">
        <v>24</v>
      </c>
      <c r="B58" s="26">
        <v>10</v>
      </c>
      <c r="C58" s="35">
        <v>1400</v>
      </c>
      <c r="D58" s="36">
        <f t="shared" si="5"/>
        <v>14000</v>
      </c>
    </row>
    <row r="59" spans="1:6" x14ac:dyDescent="0.35">
      <c r="A59" s="26" t="s">
        <v>25</v>
      </c>
      <c r="B59" s="26">
        <v>4</v>
      </c>
      <c r="C59" s="35">
        <v>50000</v>
      </c>
      <c r="D59" s="36">
        <f t="shared" si="5"/>
        <v>200000</v>
      </c>
    </row>
    <row r="60" spans="1:6" x14ac:dyDescent="0.35">
      <c r="A60" s="26" t="s">
        <v>36</v>
      </c>
      <c r="B60" s="26">
        <v>66</v>
      </c>
      <c r="C60" s="36">
        <v>2800</v>
      </c>
      <c r="D60" s="36">
        <f t="shared" si="5"/>
        <v>184800</v>
      </c>
    </row>
    <row r="61" spans="1:6" x14ac:dyDescent="0.35">
      <c r="A61" s="26" t="s">
        <v>129</v>
      </c>
      <c r="B61" s="26">
        <v>90</v>
      </c>
      <c r="C61" s="36">
        <v>2800</v>
      </c>
      <c r="D61" s="36">
        <f t="shared" si="5"/>
        <v>252000</v>
      </c>
    </row>
    <row r="62" spans="1:6" x14ac:dyDescent="0.35">
      <c r="A62" s="26" t="s">
        <v>37</v>
      </c>
      <c r="B62" s="26">
        <v>10</v>
      </c>
      <c r="C62" s="35">
        <v>8000</v>
      </c>
      <c r="D62" s="36">
        <f t="shared" ref="D62:D69" si="6">B62*C62</f>
        <v>80000</v>
      </c>
    </row>
    <row r="63" spans="1:6" x14ac:dyDescent="0.35">
      <c r="A63" s="38" t="s">
        <v>38</v>
      </c>
      <c r="B63" s="38">
        <v>10</v>
      </c>
      <c r="C63" s="39">
        <v>3800</v>
      </c>
      <c r="D63" s="33">
        <f t="shared" si="6"/>
        <v>38000</v>
      </c>
    </row>
    <row r="64" spans="1:6" x14ac:dyDescent="0.35">
      <c r="A64" s="38" t="s">
        <v>39</v>
      </c>
      <c r="B64" s="38">
        <v>16</v>
      </c>
      <c r="C64" s="39">
        <v>2400</v>
      </c>
      <c r="D64" s="33">
        <f t="shared" si="6"/>
        <v>38400</v>
      </c>
    </row>
    <row r="65" spans="1:7" x14ac:dyDescent="0.35">
      <c r="A65" s="38" t="s">
        <v>40</v>
      </c>
      <c r="B65" s="38">
        <v>80</v>
      </c>
      <c r="C65" s="39">
        <v>480</v>
      </c>
      <c r="D65" s="33">
        <f t="shared" si="6"/>
        <v>38400</v>
      </c>
    </row>
    <row r="66" spans="1:7" x14ac:dyDescent="0.35">
      <c r="A66" s="38" t="s">
        <v>45</v>
      </c>
      <c r="B66" s="38">
        <v>6</v>
      </c>
      <c r="C66" s="39">
        <v>27500</v>
      </c>
      <c r="D66" s="33">
        <f t="shared" si="6"/>
        <v>165000</v>
      </c>
    </row>
    <row r="67" spans="1:7" x14ac:dyDescent="0.35">
      <c r="A67" s="38" t="s">
        <v>46</v>
      </c>
      <c r="B67" s="38">
        <v>4</v>
      </c>
      <c r="C67" s="39">
        <v>27500</v>
      </c>
      <c r="D67" s="33">
        <f t="shared" si="6"/>
        <v>110000</v>
      </c>
    </row>
    <row r="68" spans="1:7" x14ac:dyDescent="0.35">
      <c r="A68" s="38" t="s">
        <v>47</v>
      </c>
      <c r="B68" s="38">
        <v>4</v>
      </c>
      <c r="C68" s="39">
        <v>35000</v>
      </c>
      <c r="D68" s="33">
        <f t="shared" si="6"/>
        <v>140000</v>
      </c>
    </row>
    <row r="69" spans="1:7" x14ac:dyDescent="0.35">
      <c r="A69" s="38" t="s">
        <v>48</v>
      </c>
      <c r="B69" s="38">
        <v>4</v>
      </c>
      <c r="C69" s="39">
        <v>3800</v>
      </c>
      <c r="D69" s="33">
        <f t="shared" si="6"/>
        <v>15200</v>
      </c>
    </row>
    <row r="70" spans="1:7" x14ac:dyDescent="0.35">
      <c r="A70" s="38" t="s">
        <v>56</v>
      </c>
      <c r="B70" s="38">
        <v>3</v>
      </c>
      <c r="C70" s="39">
        <v>400000</v>
      </c>
      <c r="D70" s="33">
        <f t="shared" ref="D70" si="7">B70*C70</f>
        <v>1200000</v>
      </c>
    </row>
    <row r="71" spans="1:7" x14ac:dyDescent="0.35">
      <c r="A71" s="31" t="s">
        <v>26</v>
      </c>
      <c r="B71" s="31">
        <v>147</v>
      </c>
      <c r="C71" s="33">
        <v>5000</v>
      </c>
      <c r="D71" s="33">
        <f t="shared" ref="D71:D74" si="8">B71*C71</f>
        <v>735000</v>
      </c>
    </row>
    <row r="72" spans="1:7" ht="28" x14ac:dyDescent="0.35">
      <c r="A72" s="31" t="s">
        <v>27</v>
      </c>
      <c r="B72" s="31">
        <v>294</v>
      </c>
      <c r="C72" s="32">
        <v>100</v>
      </c>
      <c r="D72" s="33">
        <f t="shared" si="8"/>
        <v>29400</v>
      </c>
    </row>
    <row r="73" spans="1:7" x14ac:dyDescent="0.35">
      <c r="A73" s="31" t="s">
        <v>34</v>
      </c>
      <c r="B73" s="31">
        <v>2</v>
      </c>
      <c r="C73" s="32">
        <v>60000</v>
      </c>
      <c r="D73" s="33">
        <f t="shared" si="8"/>
        <v>120000</v>
      </c>
    </row>
    <row r="74" spans="1:7" ht="28" x14ac:dyDescent="0.35">
      <c r="A74" s="31" t="s">
        <v>35</v>
      </c>
      <c r="B74" s="31">
        <v>42</v>
      </c>
      <c r="C74" s="32">
        <v>20000</v>
      </c>
      <c r="D74" s="33">
        <f t="shared" si="8"/>
        <v>840000</v>
      </c>
    </row>
    <row r="75" spans="1:7" x14ac:dyDescent="0.35">
      <c r="A75" s="38" t="s">
        <v>40</v>
      </c>
      <c r="B75" s="38">
        <v>40</v>
      </c>
      <c r="C75" s="39">
        <v>480</v>
      </c>
      <c r="D75" s="33">
        <f t="shared" ref="D75:D76" si="9">B75*C75</f>
        <v>19200</v>
      </c>
    </row>
    <row r="76" spans="1:7" x14ac:dyDescent="0.35">
      <c r="A76" s="38" t="s">
        <v>44</v>
      </c>
      <c r="B76" s="38">
        <v>4</v>
      </c>
      <c r="C76" s="39">
        <v>1200</v>
      </c>
      <c r="D76" s="33">
        <f t="shared" si="9"/>
        <v>4800</v>
      </c>
    </row>
    <row r="77" spans="1:7" x14ac:dyDescent="0.35">
      <c r="A77" s="61" t="s">
        <v>120</v>
      </c>
      <c r="B77" s="31">
        <v>1</v>
      </c>
      <c r="C77" s="48">
        <v>2709</v>
      </c>
      <c r="D77" s="33">
        <f>B77*C77</f>
        <v>2709</v>
      </c>
    </row>
    <row r="78" spans="1:7" x14ac:dyDescent="0.35">
      <c r="D78" s="37">
        <f>SUM(D10:D77)</f>
        <v>8593792</v>
      </c>
      <c r="G78" s="60">
        <f>SUM(D10:D77)</f>
        <v>8593792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topLeftCell="A28" workbookViewId="0">
      <selection activeCell="I12" sqref="I12"/>
    </sheetView>
  </sheetViews>
  <sheetFormatPr defaultRowHeight="14.5" x14ac:dyDescent="0.35"/>
  <cols>
    <col min="1" max="1" width="43.7265625" customWidth="1"/>
    <col min="2" max="2" width="27.7265625" customWidth="1"/>
    <col min="3" max="3" width="16.1796875" customWidth="1"/>
    <col min="4" max="4" width="27.453125" customWidth="1"/>
    <col min="6" max="6" width="10.54296875" bestFit="1" customWidth="1"/>
  </cols>
  <sheetData>
    <row r="1" spans="1:6" s="47" customFormat="1" ht="28.5" customHeight="1" x14ac:dyDescent="0.35">
      <c r="A1" s="44" t="s">
        <v>17</v>
      </c>
      <c r="B1" s="45" t="s">
        <v>18</v>
      </c>
      <c r="C1" s="46" t="s">
        <v>19</v>
      </c>
      <c r="D1" s="46" t="s">
        <v>20</v>
      </c>
    </row>
    <row r="2" spans="1:6" s="12" customFormat="1" ht="24" customHeight="1" x14ac:dyDescent="0.35">
      <c r="A2" s="26" t="s">
        <v>91</v>
      </c>
      <c r="B2" s="29">
        <v>1</v>
      </c>
      <c r="C2" s="30">
        <v>50422</v>
      </c>
      <c r="D2" s="27">
        <f>B2*C2</f>
        <v>50422</v>
      </c>
      <c r="F2" s="37"/>
    </row>
    <row r="3" spans="1:6" s="12" customFormat="1" ht="24" customHeight="1" x14ac:dyDescent="0.35">
      <c r="A3" s="26" t="s">
        <v>92</v>
      </c>
      <c r="B3" s="29">
        <v>1</v>
      </c>
      <c r="C3" s="30">
        <v>11478</v>
      </c>
      <c r="D3" s="27">
        <f t="shared" ref="D3:D50" si="0">B3*C3</f>
        <v>11478</v>
      </c>
      <c r="F3" s="37"/>
    </row>
    <row r="4" spans="1:6" s="12" customFormat="1" x14ac:dyDescent="0.35">
      <c r="A4" s="29" t="s">
        <v>93</v>
      </c>
      <c r="B4" s="29">
        <v>1</v>
      </c>
      <c r="C4" s="30">
        <v>57641</v>
      </c>
      <c r="D4" s="27">
        <f t="shared" si="0"/>
        <v>57641</v>
      </c>
      <c r="F4" s="37"/>
    </row>
    <row r="5" spans="1:6" s="12" customFormat="1" x14ac:dyDescent="0.35">
      <c r="A5" s="29" t="s">
        <v>94</v>
      </c>
      <c r="B5" s="29">
        <v>1</v>
      </c>
      <c r="C5" s="30">
        <v>14465</v>
      </c>
      <c r="D5" s="27">
        <f t="shared" si="0"/>
        <v>14465</v>
      </c>
      <c r="F5" s="37"/>
    </row>
    <row r="6" spans="1:6" s="12" customFormat="1" x14ac:dyDescent="0.35">
      <c r="A6" s="29" t="s">
        <v>96</v>
      </c>
      <c r="B6" s="29">
        <v>1</v>
      </c>
      <c r="C6" s="30">
        <v>17995</v>
      </c>
      <c r="D6" s="27">
        <f t="shared" si="0"/>
        <v>17995</v>
      </c>
      <c r="F6" s="37"/>
    </row>
    <row r="7" spans="1:6" s="12" customFormat="1" x14ac:dyDescent="0.35">
      <c r="A7" s="29" t="s">
        <v>95</v>
      </c>
      <c r="B7" s="26">
        <v>1</v>
      </c>
      <c r="C7" s="28">
        <v>19708</v>
      </c>
      <c r="D7" s="27">
        <f t="shared" si="0"/>
        <v>19708</v>
      </c>
      <c r="F7" s="37"/>
    </row>
    <row r="8" spans="1:6" s="12" customFormat="1" x14ac:dyDescent="0.35">
      <c r="A8" s="29" t="s">
        <v>97</v>
      </c>
      <c r="B8" s="26">
        <v>1</v>
      </c>
      <c r="C8" s="28">
        <v>14909</v>
      </c>
      <c r="D8" s="27">
        <f t="shared" si="0"/>
        <v>14909</v>
      </c>
      <c r="F8" s="37"/>
    </row>
    <row r="9" spans="1:6" s="12" customFormat="1" x14ac:dyDescent="0.35">
      <c r="A9" s="29" t="s">
        <v>98</v>
      </c>
      <c r="B9" s="26">
        <v>1</v>
      </c>
      <c r="C9" s="28">
        <v>6500</v>
      </c>
      <c r="D9" s="27">
        <f t="shared" si="0"/>
        <v>6500</v>
      </c>
      <c r="F9" s="37"/>
    </row>
    <row r="10" spans="1:6" s="12" customFormat="1" x14ac:dyDescent="0.35">
      <c r="A10" s="12" t="s">
        <v>99</v>
      </c>
      <c r="B10" s="26">
        <v>1</v>
      </c>
      <c r="C10" s="24">
        <v>10600</v>
      </c>
      <c r="D10" s="27">
        <f t="shared" si="0"/>
        <v>10600</v>
      </c>
      <c r="F10" s="37"/>
    </row>
    <row r="11" spans="1:6" s="12" customFormat="1" x14ac:dyDescent="0.35">
      <c r="A11" s="12" t="s">
        <v>119</v>
      </c>
      <c r="B11" s="26">
        <v>1</v>
      </c>
      <c r="C11" s="24">
        <v>15067</v>
      </c>
      <c r="D11" s="27">
        <f t="shared" si="0"/>
        <v>15067</v>
      </c>
      <c r="F11" s="37"/>
    </row>
    <row r="12" spans="1:6" s="12" customFormat="1" x14ac:dyDescent="0.35">
      <c r="A12" s="12" t="s">
        <v>100</v>
      </c>
      <c r="B12" s="26">
        <v>1</v>
      </c>
      <c r="C12" s="24">
        <v>11000</v>
      </c>
      <c r="D12" s="27">
        <f t="shared" si="0"/>
        <v>11000</v>
      </c>
      <c r="F12" s="37"/>
    </row>
    <row r="13" spans="1:6" s="12" customFormat="1" x14ac:dyDescent="0.35">
      <c r="A13" s="12" t="s">
        <v>101</v>
      </c>
      <c r="B13" s="26">
        <v>1</v>
      </c>
      <c r="C13" s="24">
        <v>5697</v>
      </c>
      <c r="D13" s="27">
        <f t="shared" si="0"/>
        <v>5697</v>
      </c>
      <c r="F13" s="37"/>
    </row>
    <row r="14" spans="1:6" s="12" customFormat="1" x14ac:dyDescent="0.35">
      <c r="A14" s="12" t="s">
        <v>102</v>
      </c>
      <c r="B14" s="12">
        <v>1</v>
      </c>
      <c r="C14" s="24">
        <v>23992</v>
      </c>
      <c r="D14" s="27">
        <f t="shared" si="0"/>
        <v>23992</v>
      </c>
      <c r="F14" s="37"/>
    </row>
    <row r="15" spans="1:6" s="12" customFormat="1" x14ac:dyDescent="0.35">
      <c r="A15" s="12" t="s">
        <v>105</v>
      </c>
      <c r="B15" s="12">
        <v>1</v>
      </c>
      <c r="C15" s="24">
        <v>14823</v>
      </c>
      <c r="D15" s="27">
        <f t="shared" si="0"/>
        <v>14823</v>
      </c>
      <c r="F15" s="37"/>
    </row>
    <row r="16" spans="1:6" s="12" customFormat="1" x14ac:dyDescent="0.35">
      <c r="A16" s="12" t="s">
        <v>104</v>
      </c>
      <c r="B16" s="12">
        <v>1</v>
      </c>
      <c r="C16" s="24">
        <v>11320</v>
      </c>
      <c r="D16" s="27">
        <f t="shared" si="0"/>
        <v>11320</v>
      </c>
      <c r="F16" s="37"/>
    </row>
    <row r="17" spans="1:6" s="12" customFormat="1" x14ac:dyDescent="0.35">
      <c r="A17" s="12" t="s">
        <v>103</v>
      </c>
      <c r="B17" s="12">
        <v>1</v>
      </c>
      <c r="C17" s="24">
        <v>8278</v>
      </c>
      <c r="D17" s="27">
        <f t="shared" si="0"/>
        <v>8278</v>
      </c>
      <c r="F17" s="37"/>
    </row>
    <row r="18" spans="1:6" s="12" customFormat="1" x14ac:dyDescent="0.35">
      <c r="A18" s="12" t="s">
        <v>117</v>
      </c>
      <c r="B18" s="12">
        <v>1</v>
      </c>
      <c r="C18" s="24">
        <v>40834</v>
      </c>
      <c r="D18" s="27">
        <f t="shared" si="0"/>
        <v>40834</v>
      </c>
      <c r="F18" s="37"/>
    </row>
    <row r="19" spans="1:6" s="12" customFormat="1" x14ac:dyDescent="0.35">
      <c r="A19" s="12" t="s">
        <v>118</v>
      </c>
      <c r="B19" s="12">
        <v>3</v>
      </c>
      <c r="C19" s="24">
        <v>6450</v>
      </c>
      <c r="D19" s="27">
        <f t="shared" si="0"/>
        <v>19350</v>
      </c>
      <c r="F19" s="37"/>
    </row>
    <row r="20" spans="1:6" s="12" customFormat="1" x14ac:dyDescent="0.35">
      <c r="A20" s="12" t="s">
        <v>106</v>
      </c>
      <c r="B20" s="12">
        <v>1</v>
      </c>
      <c r="C20" s="24">
        <v>10600</v>
      </c>
      <c r="D20" s="27">
        <f t="shared" si="0"/>
        <v>10600</v>
      </c>
      <c r="F20" s="37"/>
    </row>
    <row r="21" spans="1:6" s="12" customFormat="1" x14ac:dyDescent="0.35">
      <c r="A21" s="12" t="s">
        <v>107</v>
      </c>
      <c r="B21" s="12">
        <v>1</v>
      </c>
      <c r="C21" s="24">
        <v>55086</v>
      </c>
      <c r="D21" s="27">
        <f t="shared" si="0"/>
        <v>55086</v>
      </c>
      <c r="F21" s="37"/>
    </row>
    <row r="22" spans="1:6" s="12" customFormat="1" x14ac:dyDescent="0.35">
      <c r="A22" s="12" t="s">
        <v>108</v>
      </c>
      <c r="B22" s="12">
        <v>1</v>
      </c>
      <c r="C22" s="24">
        <v>5386</v>
      </c>
      <c r="D22" s="27">
        <f t="shared" si="0"/>
        <v>5386</v>
      </c>
      <c r="F22" s="37"/>
    </row>
    <row r="23" spans="1:6" s="12" customFormat="1" x14ac:dyDescent="0.35">
      <c r="A23" s="12" t="s">
        <v>99</v>
      </c>
      <c r="B23" s="12">
        <v>1</v>
      </c>
      <c r="C23" s="24">
        <v>10588</v>
      </c>
      <c r="D23" s="27">
        <f t="shared" si="0"/>
        <v>10588</v>
      </c>
      <c r="F23" s="37"/>
    </row>
    <row r="24" spans="1:6" s="12" customFormat="1" x14ac:dyDescent="0.35">
      <c r="A24" s="12" t="s">
        <v>109</v>
      </c>
      <c r="B24" s="12">
        <v>1</v>
      </c>
      <c r="C24" s="24">
        <v>9103</v>
      </c>
      <c r="D24" s="27">
        <f t="shared" si="0"/>
        <v>9103</v>
      </c>
      <c r="F24" s="37"/>
    </row>
    <row r="25" spans="1:6" s="12" customFormat="1" x14ac:dyDescent="0.35">
      <c r="A25" s="12" t="s">
        <v>110</v>
      </c>
      <c r="B25" s="12">
        <v>1</v>
      </c>
      <c r="C25" s="24">
        <v>11010</v>
      </c>
      <c r="D25" s="27">
        <f t="shared" si="0"/>
        <v>11010</v>
      </c>
      <c r="F25" s="37"/>
    </row>
    <row r="26" spans="1:6" s="12" customFormat="1" x14ac:dyDescent="0.35">
      <c r="A26" s="12" t="s">
        <v>111</v>
      </c>
      <c r="B26" s="12">
        <v>1</v>
      </c>
      <c r="C26" s="24">
        <v>24509</v>
      </c>
      <c r="D26" s="27">
        <f t="shared" si="0"/>
        <v>24509</v>
      </c>
      <c r="F26" s="37"/>
    </row>
    <row r="27" spans="1:6" s="12" customFormat="1" ht="13.5" customHeight="1" x14ac:dyDescent="0.35">
      <c r="A27" s="12" t="s">
        <v>122</v>
      </c>
      <c r="B27" s="12">
        <v>1</v>
      </c>
      <c r="C27" s="24">
        <v>19977</v>
      </c>
      <c r="D27" s="27">
        <f t="shared" si="0"/>
        <v>19977</v>
      </c>
      <c r="F27" s="37"/>
    </row>
    <row r="28" spans="1:6" s="34" customFormat="1" ht="13.5" customHeight="1" x14ac:dyDescent="0.35">
      <c r="A28" s="34" t="s">
        <v>121</v>
      </c>
      <c r="B28" s="34">
        <v>1</v>
      </c>
      <c r="C28" s="48">
        <v>9415</v>
      </c>
      <c r="D28" s="33">
        <f t="shared" si="0"/>
        <v>9415</v>
      </c>
    </row>
    <row r="29" spans="1:6" s="12" customFormat="1" ht="15.75" customHeight="1" x14ac:dyDescent="0.35">
      <c r="A29" s="29" t="s">
        <v>54</v>
      </c>
      <c r="B29" s="29">
        <v>1</v>
      </c>
      <c r="C29" s="30">
        <v>13000</v>
      </c>
      <c r="D29" s="27">
        <f t="shared" si="0"/>
        <v>13000</v>
      </c>
      <c r="F29" s="37"/>
    </row>
    <row r="30" spans="1:6" s="12" customFormat="1" ht="18.75" customHeight="1" x14ac:dyDescent="0.35">
      <c r="A30" s="26" t="s">
        <v>28</v>
      </c>
      <c r="B30" s="26">
        <v>1</v>
      </c>
      <c r="C30" s="35">
        <v>178951</v>
      </c>
      <c r="D30" s="27">
        <f t="shared" si="0"/>
        <v>178951</v>
      </c>
      <c r="F30" s="37"/>
    </row>
    <row r="31" spans="1:6" s="12" customFormat="1" ht="16.149999999999999" customHeight="1" x14ac:dyDescent="0.35">
      <c r="A31" s="26" t="s">
        <v>29</v>
      </c>
      <c r="B31" s="26">
        <v>1</v>
      </c>
      <c r="C31" s="35">
        <v>118287</v>
      </c>
      <c r="D31" s="27">
        <f t="shared" si="0"/>
        <v>118287</v>
      </c>
      <c r="F31" s="37"/>
    </row>
    <row r="32" spans="1:6" s="12" customFormat="1" ht="16.149999999999999" customHeight="1" x14ac:dyDescent="0.35">
      <c r="A32" s="26" t="s">
        <v>30</v>
      </c>
      <c r="B32" s="26">
        <v>1</v>
      </c>
      <c r="C32" s="35">
        <v>153450</v>
      </c>
      <c r="D32" s="27">
        <f t="shared" si="0"/>
        <v>153450</v>
      </c>
      <c r="F32" s="37"/>
    </row>
    <row r="33" spans="1:6" s="12" customFormat="1" ht="16.149999999999999" customHeight="1" x14ac:dyDescent="0.35">
      <c r="A33" s="26" t="s">
        <v>124</v>
      </c>
      <c r="B33" s="26">
        <v>1</v>
      </c>
      <c r="C33" s="35">
        <v>50115</v>
      </c>
      <c r="D33" s="27">
        <f t="shared" si="0"/>
        <v>50115</v>
      </c>
      <c r="F33" s="37"/>
    </row>
    <row r="34" spans="1:6" s="12" customFormat="1" ht="16.149999999999999" customHeight="1" x14ac:dyDescent="0.35">
      <c r="A34" s="26" t="s">
        <v>125</v>
      </c>
      <c r="B34" s="26">
        <v>1</v>
      </c>
      <c r="C34" s="35">
        <v>38674</v>
      </c>
      <c r="D34" s="27">
        <f t="shared" si="0"/>
        <v>38674</v>
      </c>
      <c r="F34" s="37"/>
    </row>
    <row r="35" spans="1:6" s="12" customFormat="1" ht="16.149999999999999" customHeight="1" x14ac:dyDescent="0.35">
      <c r="A35" s="26" t="s">
        <v>127</v>
      </c>
      <c r="B35" s="26">
        <v>1</v>
      </c>
      <c r="C35" s="35">
        <v>90437</v>
      </c>
      <c r="D35" s="27">
        <f t="shared" si="0"/>
        <v>90437</v>
      </c>
      <c r="F35" s="37"/>
    </row>
    <row r="36" spans="1:6" s="12" customFormat="1" ht="16.149999999999999" customHeight="1" x14ac:dyDescent="0.35">
      <c r="A36" s="26" t="s">
        <v>128</v>
      </c>
      <c r="B36" s="26">
        <v>1</v>
      </c>
      <c r="C36" s="35">
        <v>74606</v>
      </c>
      <c r="D36" s="27">
        <f>B36*C36</f>
        <v>74606</v>
      </c>
      <c r="F36" s="37"/>
    </row>
    <row r="37" spans="1:6" s="12" customFormat="1" ht="16.149999999999999" customHeight="1" x14ac:dyDescent="0.35">
      <c r="A37" s="26" t="s">
        <v>126</v>
      </c>
      <c r="B37" s="26">
        <v>1</v>
      </c>
      <c r="C37" s="35">
        <v>115542</v>
      </c>
      <c r="D37" s="27">
        <f>B37*C37</f>
        <v>115542</v>
      </c>
      <c r="F37" s="37"/>
    </row>
    <row r="38" spans="1:6" s="12" customFormat="1" ht="16.149999999999999" customHeight="1" x14ac:dyDescent="0.35">
      <c r="A38" s="26" t="s">
        <v>31</v>
      </c>
      <c r="B38" s="26">
        <v>1</v>
      </c>
      <c r="C38" s="35">
        <v>66435</v>
      </c>
      <c r="D38" s="27">
        <f t="shared" si="0"/>
        <v>66435</v>
      </c>
      <c r="F38" s="37"/>
    </row>
    <row r="39" spans="1:6" s="12" customFormat="1" ht="16.149999999999999" customHeight="1" x14ac:dyDescent="0.35">
      <c r="A39" s="26" t="s">
        <v>32</v>
      </c>
      <c r="B39" s="26">
        <v>1</v>
      </c>
      <c r="C39" s="35">
        <v>66435</v>
      </c>
      <c r="D39" s="27">
        <f t="shared" si="0"/>
        <v>66435</v>
      </c>
      <c r="F39" s="37"/>
    </row>
    <row r="40" spans="1:6" s="12" customFormat="1" ht="16.149999999999999" customHeight="1" x14ac:dyDescent="0.35">
      <c r="A40" s="12" t="s">
        <v>33</v>
      </c>
      <c r="B40" s="26">
        <v>1</v>
      </c>
      <c r="C40" s="35">
        <v>66435</v>
      </c>
      <c r="D40" s="27">
        <f t="shared" si="0"/>
        <v>66435</v>
      </c>
      <c r="F40" s="37"/>
    </row>
    <row r="41" spans="1:6" s="12" customFormat="1" x14ac:dyDescent="0.35">
      <c r="A41" s="29" t="s">
        <v>41</v>
      </c>
      <c r="B41" s="29">
        <v>3</v>
      </c>
      <c r="C41" s="30">
        <v>950</v>
      </c>
      <c r="D41" s="27">
        <f t="shared" si="0"/>
        <v>2850</v>
      </c>
      <c r="F41" s="37"/>
    </row>
    <row r="42" spans="1:6" s="12" customFormat="1" x14ac:dyDescent="0.35">
      <c r="A42" s="29" t="s">
        <v>42</v>
      </c>
      <c r="B42" s="29">
        <v>5</v>
      </c>
      <c r="C42" s="30">
        <v>480</v>
      </c>
      <c r="D42" s="27">
        <v>2400</v>
      </c>
      <c r="F42" s="37"/>
    </row>
    <row r="43" spans="1:6" s="12" customFormat="1" x14ac:dyDescent="0.35">
      <c r="A43" s="29" t="s">
        <v>43</v>
      </c>
      <c r="B43" s="29">
        <v>15</v>
      </c>
      <c r="C43" s="30">
        <v>490</v>
      </c>
      <c r="D43" s="27">
        <f>B43*C43</f>
        <v>7350</v>
      </c>
      <c r="F43" s="37"/>
    </row>
    <row r="44" spans="1:6" s="12" customFormat="1" x14ac:dyDescent="0.35">
      <c r="A44" s="29" t="s">
        <v>49</v>
      </c>
      <c r="B44" s="29">
        <v>2</v>
      </c>
      <c r="C44" s="30">
        <v>2400</v>
      </c>
      <c r="D44" s="27">
        <f t="shared" si="0"/>
        <v>4800</v>
      </c>
      <c r="F44" s="37"/>
    </row>
    <row r="45" spans="1:6" s="12" customFormat="1" x14ac:dyDescent="0.35">
      <c r="A45" s="29" t="s">
        <v>50</v>
      </c>
      <c r="B45" s="29">
        <v>1</v>
      </c>
      <c r="C45" s="30">
        <v>1800</v>
      </c>
      <c r="D45" s="27">
        <f t="shared" si="0"/>
        <v>1800</v>
      </c>
      <c r="F45" s="37"/>
    </row>
    <row r="46" spans="1:6" s="12" customFormat="1" x14ac:dyDescent="0.35">
      <c r="A46" s="29" t="s">
        <v>51</v>
      </c>
      <c r="B46" s="29">
        <v>1</v>
      </c>
      <c r="C46" s="30">
        <v>15000</v>
      </c>
      <c r="D46" s="27">
        <f t="shared" si="0"/>
        <v>15000</v>
      </c>
      <c r="F46" s="37"/>
    </row>
    <row r="47" spans="1:6" s="12" customFormat="1" x14ac:dyDescent="0.35">
      <c r="A47" s="29" t="s">
        <v>52</v>
      </c>
      <c r="B47" s="29">
        <v>2</v>
      </c>
      <c r="C47" s="30">
        <v>2900</v>
      </c>
      <c r="D47" s="27">
        <f t="shared" si="0"/>
        <v>5800</v>
      </c>
      <c r="F47" s="37"/>
    </row>
    <row r="48" spans="1:6" s="12" customFormat="1" x14ac:dyDescent="0.35">
      <c r="A48" s="29" t="s">
        <v>53</v>
      </c>
      <c r="B48" s="29">
        <v>10</v>
      </c>
      <c r="C48" s="30">
        <v>480</v>
      </c>
      <c r="D48" s="27">
        <f t="shared" si="0"/>
        <v>4800</v>
      </c>
      <c r="F48" s="37"/>
    </row>
    <row r="49" spans="1:6" s="34" customFormat="1" x14ac:dyDescent="0.35">
      <c r="A49" s="38" t="s">
        <v>54</v>
      </c>
      <c r="B49" s="38">
        <v>5</v>
      </c>
      <c r="C49" s="39">
        <v>1300</v>
      </c>
      <c r="D49" s="27">
        <f t="shared" si="0"/>
        <v>6500</v>
      </c>
      <c r="F49" s="37"/>
    </row>
    <row r="50" spans="1:6" s="12" customFormat="1" x14ac:dyDescent="0.35">
      <c r="A50" s="29" t="s">
        <v>55</v>
      </c>
      <c r="B50" s="29">
        <v>10</v>
      </c>
      <c r="C50" s="30">
        <v>600</v>
      </c>
      <c r="D50" s="27">
        <f t="shared" si="0"/>
        <v>6000</v>
      </c>
      <c r="F50" s="37"/>
    </row>
    <row r="51" spans="1:6" s="50" customFormat="1" x14ac:dyDescent="0.35">
      <c r="A51" s="50" t="s">
        <v>123</v>
      </c>
      <c r="D51" s="51">
        <f>SUM(D2:D50)</f>
        <v>1599420</v>
      </c>
      <c r="F51" s="5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6"/>
  <sheetViews>
    <sheetView topLeftCell="B1" workbookViewId="0">
      <selection activeCell="G5" sqref="G5"/>
    </sheetView>
  </sheetViews>
  <sheetFormatPr defaultRowHeight="14.5" x14ac:dyDescent="0.35"/>
  <cols>
    <col min="1" max="1" width="47.453125" customWidth="1"/>
    <col min="2" max="2" width="55.453125" customWidth="1"/>
    <col min="3" max="3" width="14.81640625" customWidth="1"/>
    <col min="4" max="4" width="13" customWidth="1"/>
    <col min="5" max="5" width="25.7265625" customWidth="1"/>
  </cols>
  <sheetData>
    <row r="1" spans="1:5" s="34" customFormat="1" ht="28.5" customHeight="1" x14ac:dyDescent="0.35">
      <c r="A1" s="34" t="s">
        <v>59</v>
      </c>
      <c r="B1" s="40" t="s">
        <v>17</v>
      </c>
      <c r="C1" s="41" t="s">
        <v>18</v>
      </c>
      <c r="D1" s="42" t="s">
        <v>19</v>
      </c>
      <c r="E1" s="42" t="s">
        <v>20</v>
      </c>
    </row>
    <row r="2" spans="1:5" s="34" customFormat="1" ht="16.5" customHeight="1" x14ac:dyDescent="0.35">
      <c r="A2" s="34" t="s">
        <v>60</v>
      </c>
      <c r="B2" s="31" t="s">
        <v>136</v>
      </c>
      <c r="C2" s="31">
        <v>147</v>
      </c>
      <c r="D2" s="33">
        <v>500</v>
      </c>
      <c r="E2" s="33">
        <f>C2*D2</f>
        <v>73500</v>
      </c>
    </row>
    <row r="3" spans="1:5" s="34" customFormat="1" ht="24.75" customHeight="1" x14ac:dyDescent="0.35">
      <c r="A3" s="34" t="s">
        <v>61</v>
      </c>
      <c r="B3" s="31" t="s">
        <v>137</v>
      </c>
      <c r="C3" s="31">
        <v>1617</v>
      </c>
      <c r="D3" s="32">
        <v>125</v>
      </c>
      <c r="E3" s="33">
        <f>C3*D3</f>
        <v>202125</v>
      </c>
    </row>
    <row r="4" spans="1:5" s="34" customFormat="1" x14ac:dyDescent="0.35">
      <c r="A4" s="34" t="s">
        <v>62</v>
      </c>
      <c r="B4" s="34" t="s">
        <v>21</v>
      </c>
      <c r="C4" s="34">
        <v>25</v>
      </c>
      <c r="D4" s="34">
        <v>500</v>
      </c>
      <c r="E4" s="43">
        <v>12500</v>
      </c>
    </row>
    <row r="5" spans="1:5" s="34" customFormat="1" x14ac:dyDescent="0.35">
      <c r="B5" s="34" t="s">
        <v>133</v>
      </c>
      <c r="C5" s="34">
        <v>1617</v>
      </c>
      <c r="D5" s="34">
        <v>500</v>
      </c>
      <c r="E5" s="43">
        <f>C5*D5</f>
        <v>808500</v>
      </c>
    </row>
    <row r="6" spans="1:5" s="34" customFormat="1" x14ac:dyDescent="0.35">
      <c r="B6" s="34" t="s">
        <v>134</v>
      </c>
      <c r="C6" s="34">
        <v>147</v>
      </c>
      <c r="D6" s="34">
        <v>1000</v>
      </c>
      <c r="E6" s="43">
        <v>126000</v>
      </c>
    </row>
    <row r="7" spans="1:5" s="34" customFormat="1" x14ac:dyDescent="0.35">
      <c r="B7" s="34" t="s">
        <v>135</v>
      </c>
      <c r="C7" s="34">
        <v>147</v>
      </c>
      <c r="D7" s="34">
        <v>100</v>
      </c>
      <c r="E7" s="43">
        <v>14700</v>
      </c>
    </row>
    <row r="8" spans="1:5" s="34" customFormat="1" x14ac:dyDescent="0.35">
      <c r="B8" s="34" t="s">
        <v>138</v>
      </c>
      <c r="C8" s="34">
        <v>1</v>
      </c>
      <c r="D8" s="34">
        <v>10000</v>
      </c>
      <c r="E8" s="43">
        <v>10000</v>
      </c>
    </row>
    <row r="9" spans="1:5" s="12" customFormat="1" x14ac:dyDescent="0.35">
      <c r="A9" s="12" t="s">
        <v>63</v>
      </c>
      <c r="B9" s="25" t="s">
        <v>123</v>
      </c>
      <c r="E9" s="52">
        <f>SUM(E2:E8)</f>
        <v>1247325</v>
      </c>
    </row>
    <row r="10" spans="1:5" x14ac:dyDescent="0.35">
      <c r="A10" t="s">
        <v>64</v>
      </c>
    </row>
    <row r="11" spans="1:5" x14ac:dyDescent="0.35">
      <c r="A11" t="s">
        <v>65</v>
      </c>
    </row>
    <row r="12" spans="1:5" x14ac:dyDescent="0.35">
      <c r="A12" t="s">
        <v>66</v>
      </c>
    </row>
    <row r="13" spans="1:5" x14ac:dyDescent="0.35">
      <c r="A13" t="s">
        <v>67</v>
      </c>
    </row>
    <row r="14" spans="1:5" x14ac:dyDescent="0.35">
      <c r="A14" t="s">
        <v>68</v>
      </c>
    </row>
    <row r="15" spans="1:5" x14ac:dyDescent="0.35">
      <c r="A15" t="s">
        <v>69</v>
      </c>
    </row>
    <row r="16" spans="1:5" x14ac:dyDescent="0.35">
      <c r="A16" t="s">
        <v>72</v>
      </c>
    </row>
    <row r="17" spans="1:1" x14ac:dyDescent="0.35">
      <c r="A17" t="s">
        <v>70</v>
      </c>
    </row>
    <row r="18" spans="1:1" x14ac:dyDescent="0.35">
      <c r="A18" t="s">
        <v>71</v>
      </c>
    </row>
    <row r="19" spans="1:1" x14ac:dyDescent="0.35">
      <c r="A19" t="s">
        <v>73</v>
      </c>
    </row>
    <row r="20" spans="1:1" x14ac:dyDescent="0.35">
      <c r="A20" t="s">
        <v>74</v>
      </c>
    </row>
    <row r="21" spans="1:1" x14ac:dyDescent="0.35">
      <c r="A21" t="s">
        <v>75</v>
      </c>
    </row>
    <row r="22" spans="1:1" x14ac:dyDescent="0.35">
      <c r="A22" t="s">
        <v>76</v>
      </c>
    </row>
    <row r="23" spans="1:1" x14ac:dyDescent="0.35">
      <c r="A23" t="s">
        <v>77</v>
      </c>
    </row>
    <row r="24" spans="1:1" x14ac:dyDescent="0.35">
      <c r="A24" t="s">
        <v>78</v>
      </c>
    </row>
    <row r="25" spans="1:1" x14ac:dyDescent="0.35">
      <c r="A25" t="s">
        <v>79</v>
      </c>
    </row>
    <row r="26" spans="1:1" x14ac:dyDescent="0.35">
      <c r="A26" t="s">
        <v>80</v>
      </c>
    </row>
    <row r="27" spans="1:1" x14ac:dyDescent="0.35">
      <c r="A27" t="s">
        <v>81</v>
      </c>
    </row>
    <row r="28" spans="1:1" x14ac:dyDescent="0.35">
      <c r="A28" t="s">
        <v>82</v>
      </c>
    </row>
    <row r="29" spans="1:1" x14ac:dyDescent="0.35">
      <c r="A29" t="s">
        <v>83</v>
      </c>
    </row>
    <row r="30" spans="1:1" x14ac:dyDescent="0.35">
      <c r="A30" t="s">
        <v>84</v>
      </c>
    </row>
    <row r="31" spans="1:1" x14ac:dyDescent="0.35">
      <c r="A31" t="s">
        <v>85</v>
      </c>
    </row>
    <row r="32" spans="1:1" x14ac:dyDescent="0.35">
      <c r="A32" t="s">
        <v>86</v>
      </c>
    </row>
    <row r="33" spans="1:1" x14ac:dyDescent="0.35">
      <c r="A33" t="s">
        <v>87</v>
      </c>
    </row>
    <row r="34" spans="1:1" x14ac:dyDescent="0.35">
      <c r="A34" t="s">
        <v>88</v>
      </c>
    </row>
    <row r="35" spans="1:1" s="23" customFormat="1" ht="29" x14ac:dyDescent="0.35">
      <c r="A35" s="23" t="s">
        <v>89</v>
      </c>
    </row>
    <row r="36" spans="1:1" x14ac:dyDescent="0.35">
      <c r="A36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6"/>
  <sheetViews>
    <sheetView workbookViewId="0">
      <selection activeCell="G21" sqref="G21"/>
    </sheetView>
  </sheetViews>
  <sheetFormatPr defaultRowHeight="14.5" x14ac:dyDescent="0.35"/>
  <cols>
    <col min="1" max="1" width="42.7265625" customWidth="1"/>
    <col min="2" max="2" width="15.7265625" customWidth="1"/>
    <col min="3" max="3" width="15.453125" customWidth="1"/>
    <col min="4" max="4" width="20" customWidth="1"/>
  </cols>
  <sheetData>
    <row r="1" spans="1:4" ht="25.5" customHeight="1" x14ac:dyDescent="0.35">
      <c r="A1" s="54" t="s">
        <v>17</v>
      </c>
      <c r="B1" s="55" t="s">
        <v>18</v>
      </c>
      <c r="C1" s="56" t="s">
        <v>19</v>
      </c>
      <c r="D1" s="56" t="s">
        <v>20</v>
      </c>
    </row>
    <row r="2" spans="1:4" s="12" customFormat="1" x14ac:dyDescent="0.35">
      <c r="A2" s="26" t="s">
        <v>22</v>
      </c>
      <c r="B2" s="26">
        <v>20</v>
      </c>
      <c r="C2" s="35">
        <v>2500</v>
      </c>
      <c r="D2" s="36">
        <f t="shared" ref="D2:D7" si="0">B2*C2</f>
        <v>50000</v>
      </c>
    </row>
    <row r="3" spans="1:4" s="12" customFormat="1" x14ac:dyDescent="0.35">
      <c r="A3" s="29" t="s">
        <v>23</v>
      </c>
      <c r="B3" s="29">
        <v>20</v>
      </c>
      <c r="C3" s="57">
        <v>2400</v>
      </c>
      <c r="D3" s="36">
        <f t="shared" si="0"/>
        <v>48000</v>
      </c>
    </row>
    <row r="4" spans="1:4" s="12" customFormat="1" x14ac:dyDescent="0.35">
      <c r="A4" s="26" t="s">
        <v>24</v>
      </c>
      <c r="B4" s="26">
        <v>10</v>
      </c>
      <c r="C4" s="35">
        <v>1400</v>
      </c>
      <c r="D4" s="36">
        <f t="shared" si="0"/>
        <v>14000</v>
      </c>
    </row>
    <row r="5" spans="1:4" s="12" customFormat="1" x14ac:dyDescent="0.35">
      <c r="A5" s="26" t="s">
        <v>25</v>
      </c>
      <c r="B5" s="26">
        <v>4</v>
      </c>
      <c r="C5" s="35">
        <v>50000</v>
      </c>
      <c r="D5" s="36">
        <f t="shared" si="0"/>
        <v>200000</v>
      </c>
    </row>
    <row r="6" spans="1:4" s="12" customFormat="1" x14ac:dyDescent="0.35">
      <c r="A6" s="26" t="s">
        <v>36</v>
      </c>
      <c r="B6" s="26">
        <v>66</v>
      </c>
      <c r="C6" s="36">
        <v>2800</v>
      </c>
      <c r="D6" s="36">
        <f t="shared" si="0"/>
        <v>184800</v>
      </c>
    </row>
    <row r="7" spans="1:4" s="12" customFormat="1" x14ac:dyDescent="0.35">
      <c r="A7" s="26" t="s">
        <v>129</v>
      </c>
      <c r="B7" s="26">
        <v>90</v>
      </c>
      <c r="C7" s="36">
        <v>2800</v>
      </c>
      <c r="D7" s="36">
        <f t="shared" si="0"/>
        <v>252000</v>
      </c>
    </row>
    <row r="8" spans="1:4" s="12" customFormat="1" x14ac:dyDescent="0.35">
      <c r="A8" s="26" t="s">
        <v>37</v>
      </c>
      <c r="B8" s="26">
        <v>10</v>
      </c>
      <c r="C8" s="35">
        <v>8000</v>
      </c>
      <c r="D8" s="36">
        <f t="shared" ref="D8:D17" si="1">B8*C8</f>
        <v>80000</v>
      </c>
    </row>
    <row r="9" spans="1:4" s="12" customFormat="1" x14ac:dyDescent="0.35">
      <c r="A9" s="38" t="s">
        <v>38</v>
      </c>
      <c r="B9" s="38">
        <v>10</v>
      </c>
      <c r="C9" s="39">
        <v>3800</v>
      </c>
      <c r="D9" s="33">
        <f t="shared" si="1"/>
        <v>38000</v>
      </c>
    </row>
    <row r="10" spans="1:4" s="12" customFormat="1" x14ac:dyDescent="0.35">
      <c r="A10" s="38" t="s">
        <v>39</v>
      </c>
      <c r="B10" s="38">
        <v>16</v>
      </c>
      <c r="C10" s="39">
        <v>2400</v>
      </c>
      <c r="D10" s="33">
        <f t="shared" si="1"/>
        <v>38400</v>
      </c>
    </row>
    <row r="11" spans="1:4" s="12" customFormat="1" x14ac:dyDescent="0.35">
      <c r="A11" s="38" t="s">
        <v>40</v>
      </c>
      <c r="B11" s="38">
        <v>80</v>
      </c>
      <c r="C11" s="39">
        <v>480</v>
      </c>
      <c r="D11" s="33">
        <f t="shared" si="1"/>
        <v>38400</v>
      </c>
    </row>
    <row r="12" spans="1:4" s="12" customFormat="1" x14ac:dyDescent="0.35">
      <c r="A12" s="38" t="s">
        <v>41</v>
      </c>
      <c r="B12" s="38">
        <v>6</v>
      </c>
      <c r="C12" s="39">
        <v>950</v>
      </c>
      <c r="D12" s="33">
        <f t="shared" si="1"/>
        <v>5700</v>
      </c>
    </row>
    <row r="13" spans="1:4" s="12" customFormat="1" x14ac:dyDescent="0.35">
      <c r="A13" s="38" t="s">
        <v>42</v>
      </c>
      <c r="B13" s="38">
        <v>20</v>
      </c>
      <c r="C13" s="39">
        <v>480</v>
      </c>
      <c r="D13" s="33">
        <f>B13*C13</f>
        <v>9600</v>
      </c>
    </row>
    <row r="14" spans="1:4" s="12" customFormat="1" x14ac:dyDescent="0.35">
      <c r="A14" s="38" t="s">
        <v>45</v>
      </c>
      <c r="B14" s="38">
        <v>6</v>
      </c>
      <c r="C14" s="39">
        <v>27500</v>
      </c>
      <c r="D14" s="33">
        <f t="shared" si="1"/>
        <v>165000</v>
      </c>
    </row>
    <row r="15" spans="1:4" s="12" customFormat="1" x14ac:dyDescent="0.35">
      <c r="A15" s="38" t="s">
        <v>46</v>
      </c>
      <c r="B15" s="38">
        <v>4</v>
      </c>
      <c r="C15" s="39">
        <v>27500</v>
      </c>
      <c r="D15" s="33">
        <f t="shared" si="1"/>
        <v>110000</v>
      </c>
    </row>
    <row r="16" spans="1:4" s="12" customFormat="1" x14ac:dyDescent="0.35">
      <c r="A16" s="38" t="s">
        <v>47</v>
      </c>
      <c r="B16" s="38">
        <v>4</v>
      </c>
      <c r="C16" s="39">
        <v>35000</v>
      </c>
      <c r="D16" s="33">
        <f t="shared" si="1"/>
        <v>140000</v>
      </c>
    </row>
    <row r="17" spans="1:4" s="12" customFormat="1" x14ac:dyDescent="0.35">
      <c r="A17" s="38" t="s">
        <v>48</v>
      </c>
      <c r="B17" s="38">
        <v>4</v>
      </c>
      <c r="C17" s="39">
        <v>3800</v>
      </c>
      <c r="D17" s="33">
        <f t="shared" si="1"/>
        <v>15200</v>
      </c>
    </row>
    <row r="18" spans="1:4" s="12" customFormat="1" x14ac:dyDescent="0.35">
      <c r="A18" s="38" t="s">
        <v>49</v>
      </c>
      <c r="B18" s="38">
        <v>4</v>
      </c>
      <c r="C18" s="39">
        <v>2400</v>
      </c>
      <c r="D18" s="33">
        <f>B18*C18</f>
        <v>9600</v>
      </c>
    </row>
    <row r="19" spans="1:4" s="12" customFormat="1" x14ac:dyDescent="0.35">
      <c r="A19" s="38" t="s">
        <v>50</v>
      </c>
      <c r="B19" s="38">
        <v>2</v>
      </c>
      <c r="C19" s="39">
        <v>1800</v>
      </c>
      <c r="D19" s="33">
        <f>B19*C19</f>
        <v>3600</v>
      </c>
    </row>
    <row r="20" spans="1:4" s="12" customFormat="1" x14ac:dyDescent="0.35">
      <c r="A20" s="38" t="s">
        <v>51</v>
      </c>
      <c r="B20" s="38">
        <v>2</v>
      </c>
      <c r="C20" s="39">
        <v>15000</v>
      </c>
      <c r="D20" s="33">
        <f t="shared" ref="D20:D25" si="2">B20*C20</f>
        <v>30000</v>
      </c>
    </row>
    <row r="21" spans="1:4" s="12" customFormat="1" x14ac:dyDescent="0.35">
      <c r="A21" s="38" t="s">
        <v>52</v>
      </c>
      <c r="B21" s="38">
        <v>4</v>
      </c>
      <c r="C21" s="39">
        <v>2900</v>
      </c>
      <c r="D21" s="33">
        <f t="shared" si="2"/>
        <v>11600</v>
      </c>
    </row>
    <row r="22" spans="1:4" s="12" customFormat="1" x14ac:dyDescent="0.35">
      <c r="A22" s="38" t="s">
        <v>53</v>
      </c>
      <c r="B22" s="38">
        <v>20</v>
      </c>
      <c r="C22" s="39">
        <v>480</v>
      </c>
      <c r="D22" s="33">
        <f t="shared" si="2"/>
        <v>9600</v>
      </c>
    </row>
    <row r="23" spans="1:4" s="34" customFormat="1" x14ac:dyDescent="0.35">
      <c r="A23" s="38" t="s">
        <v>54</v>
      </c>
      <c r="B23" s="38">
        <v>20</v>
      </c>
      <c r="C23" s="39">
        <v>1300</v>
      </c>
      <c r="D23" s="33">
        <f t="shared" si="2"/>
        <v>26000</v>
      </c>
    </row>
    <row r="24" spans="1:4" s="12" customFormat="1" x14ac:dyDescent="0.35">
      <c r="A24" s="38" t="s">
        <v>55</v>
      </c>
      <c r="B24" s="38">
        <v>20</v>
      </c>
      <c r="C24" s="39">
        <v>600</v>
      </c>
      <c r="D24" s="33">
        <f t="shared" si="2"/>
        <v>12000</v>
      </c>
    </row>
    <row r="25" spans="1:4" s="12" customFormat="1" x14ac:dyDescent="0.35">
      <c r="A25" s="38" t="s">
        <v>56</v>
      </c>
      <c r="B25" s="38">
        <v>3</v>
      </c>
      <c r="C25" s="39">
        <v>400000</v>
      </c>
      <c r="D25" s="33">
        <f t="shared" si="2"/>
        <v>1200000</v>
      </c>
    </row>
    <row r="26" spans="1:4" s="12" customFormat="1" x14ac:dyDescent="0.35">
      <c r="A26" s="53" t="s">
        <v>123</v>
      </c>
      <c r="D26" s="52">
        <f>SUM(D2:D25)</f>
        <v>2691500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"/>
  <sheetViews>
    <sheetView topLeftCell="A25" workbookViewId="0">
      <selection activeCell="E51" sqref="E51"/>
    </sheetView>
  </sheetViews>
  <sheetFormatPr defaultRowHeight="14.5" x14ac:dyDescent="0.35"/>
  <cols>
    <col min="1" max="1" width="46.1796875" customWidth="1"/>
    <col min="2" max="2" width="10.54296875" customWidth="1"/>
    <col min="3" max="3" width="13.7265625" customWidth="1"/>
    <col min="4" max="4" width="15.453125" customWidth="1"/>
  </cols>
  <sheetData>
    <row r="1" spans="1:4" s="34" customFormat="1" ht="28.5" customHeight="1" x14ac:dyDescent="0.35">
      <c r="A1" s="44" t="s">
        <v>17</v>
      </c>
      <c r="B1" s="49" t="s">
        <v>18</v>
      </c>
      <c r="C1" s="46" t="s">
        <v>19</v>
      </c>
      <c r="D1" s="46" t="s">
        <v>20</v>
      </c>
    </row>
    <row r="2" spans="1:4" s="12" customFormat="1" x14ac:dyDescent="0.35">
      <c r="A2" s="31" t="s">
        <v>26</v>
      </c>
      <c r="B2" s="31">
        <v>147</v>
      </c>
      <c r="C2" s="33">
        <v>5000</v>
      </c>
      <c r="D2" s="33">
        <f t="shared" ref="D2:D11" si="0">B2*C2</f>
        <v>735000</v>
      </c>
    </row>
    <row r="3" spans="1:4" s="12" customFormat="1" ht="27" customHeight="1" x14ac:dyDescent="0.35">
      <c r="A3" s="31" t="s">
        <v>27</v>
      </c>
      <c r="B3" s="31">
        <v>294</v>
      </c>
      <c r="C3" s="32">
        <v>100</v>
      </c>
      <c r="D3" s="33">
        <f t="shared" si="0"/>
        <v>29400</v>
      </c>
    </row>
    <row r="4" spans="1:4" s="12" customFormat="1" ht="15.75" customHeight="1" x14ac:dyDescent="0.35">
      <c r="A4" s="31" t="s">
        <v>28</v>
      </c>
      <c r="B4" s="31">
        <v>2</v>
      </c>
      <c r="C4" s="32">
        <v>178951</v>
      </c>
      <c r="D4" s="33">
        <f t="shared" si="0"/>
        <v>357902</v>
      </c>
    </row>
    <row r="5" spans="1:4" s="12" customFormat="1" ht="16.149999999999999" customHeight="1" x14ac:dyDescent="0.35">
      <c r="A5" s="31" t="s">
        <v>29</v>
      </c>
      <c r="B5" s="31">
        <v>2</v>
      </c>
      <c r="C5" s="32">
        <v>118287</v>
      </c>
      <c r="D5" s="33">
        <f t="shared" si="0"/>
        <v>236574</v>
      </c>
    </row>
    <row r="6" spans="1:4" s="12" customFormat="1" ht="16.149999999999999" customHeight="1" x14ac:dyDescent="0.35">
      <c r="A6" s="31" t="s">
        <v>30</v>
      </c>
      <c r="B6" s="31">
        <v>2</v>
      </c>
      <c r="C6" s="32">
        <v>153450</v>
      </c>
      <c r="D6" s="33">
        <f t="shared" si="0"/>
        <v>306900</v>
      </c>
    </row>
    <row r="7" spans="1:4" s="12" customFormat="1" ht="16.149999999999999" customHeight="1" x14ac:dyDescent="0.35">
      <c r="A7" s="31" t="s">
        <v>31</v>
      </c>
      <c r="B7" s="31">
        <v>2</v>
      </c>
      <c r="C7" s="32">
        <v>66435</v>
      </c>
      <c r="D7" s="33">
        <f t="shared" si="0"/>
        <v>132870</v>
      </c>
    </row>
    <row r="8" spans="1:4" s="12" customFormat="1" ht="16.149999999999999" customHeight="1" x14ac:dyDescent="0.35">
      <c r="A8" s="31" t="s">
        <v>32</v>
      </c>
      <c r="B8" s="31">
        <v>2</v>
      </c>
      <c r="C8" s="32">
        <v>66435</v>
      </c>
      <c r="D8" s="33">
        <f t="shared" si="0"/>
        <v>132870</v>
      </c>
    </row>
    <row r="9" spans="1:4" s="12" customFormat="1" ht="16.149999999999999" customHeight="1" x14ac:dyDescent="0.35">
      <c r="A9" s="58" t="s">
        <v>33</v>
      </c>
      <c r="B9" s="31">
        <v>2</v>
      </c>
      <c r="C9" s="32">
        <v>66435</v>
      </c>
      <c r="D9" s="33">
        <f t="shared" si="0"/>
        <v>132870</v>
      </c>
    </row>
    <row r="10" spans="1:4" s="12" customFormat="1" ht="16.149999999999999" customHeight="1" x14ac:dyDescent="0.35">
      <c r="A10" s="31" t="s">
        <v>34</v>
      </c>
      <c r="B10" s="31">
        <v>2</v>
      </c>
      <c r="C10" s="32">
        <v>60000</v>
      </c>
      <c r="D10" s="33">
        <f t="shared" si="0"/>
        <v>120000</v>
      </c>
    </row>
    <row r="11" spans="1:4" s="12" customFormat="1" ht="30.75" customHeight="1" x14ac:dyDescent="0.35">
      <c r="A11" s="31" t="s">
        <v>35</v>
      </c>
      <c r="B11" s="31">
        <v>42</v>
      </c>
      <c r="C11" s="32">
        <v>20000</v>
      </c>
      <c r="D11" s="33">
        <f t="shared" si="0"/>
        <v>840000</v>
      </c>
    </row>
    <row r="12" spans="1:4" s="12" customFormat="1" x14ac:dyDescent="0.35">
      <c r="A12" s="38" t="s">
        <v>40</v>
      </c>
      <c r="B12" s="38">
        <v>40</v>
      </c>
      <c r="C12" s="39">
        <v>480</v>
      </c>
      <c r="D12" s="33">
        <f t="shared" ref="D12:D16" si="1">B12*C12</f>
        <v>19200</v>
      </c>
    </row>
    <row r="13" spans="1:4" s="12" customFormat="1" x14ac:dyDescent="0.35">
      <c r="A13" s="38" t="s">
        <v>41</v>
      </c>
      <c r="B13" s="38">
        <v>3</v>
      </c>
      <c r="C13" s="39">
        <v>950</v>
      </c>
      <c r="D13" s="33">
        <f t="shared" si="1"/>
        <v>2850</v>
      </c>
    </row>
    <row r="14" spans="1:4" s="12" customFormat="1" x14ac:dyDescent="0.35">
      <c r="A14" s="38" t="s">
        <v>42</v>
      </c>
      <c r="B14" s="38">
        <v>10</v>
      </c>
      <c r="C14" s="39">
        <v>480</v>
      </c>
      <c r="D14" s="33">
        <f t="shared" si="1"/>
        <v>4800</v>
      </c>
    </row>
    <row r="15" spans="1:4" s="12" customFormat="1" x14ac:dyDescent="0.35">
      <c r="A15" s="38" t="s">
        <v>43</v>
      </c>
      <c r="B15" s="38">
        <v>15</v>
      </c>
      <c r="C15" s="39">
        <v>490</v>
      </c>
      <c r="D15" s="33">
        <f t="shared" si="1"/>
        <v>7350</v>
      </c>
    </row>
    <row r="16" spans="1:4" s="12" customFormat="1" x14ac:dyDescent="0.35">
      <c r="A16" s="38" t="s">
        <v>44</v>
      </c>
      <c r="B16" s="38">
        <v>4</v>
      </c>
      <c r="C16" s="39">
        <v>1200</v>
      </c>
      <c r="D16" s="33">
        <f t="shared" si="1"/>
        <v>4800</v>
      </c>
    </row>
    <row r="17" spans="1:4" s="34" customFormat="1" x14ac:dyDescent="0.35">
      <c r="A17" s="31" t="s">
        <v>91</v>
      </c>
      <c r="B17" s="38">
        <v>1</v>
      </c>
      <c r="C17" s="39">
        <v>50422</v>
      </c>
      <c r="D17" s="33">
        <f>B17*C17</f>
        <v>50422</v>
      </c>
    </row>
    <row r="18" spans="1:4" s="34" customFormat="1" x14ac:dyDescent="0.35">
      <c r="A18" s="31" t="s">
        <v>92</v>
      </c>
      <c r="B18" s="38">
        <v>1</v>
      </c>
      <c r="C18" s="39">
        <v>11478</v>
      </c>
      <c r="D18" s="33">
        <f>B18*C18</f>
        <v>11478</v>
      </c>
    </row>
    <row r="19" spans="1:4" s="34" customFormat="1" x14ac:dyDescent="0.35">
      <c r="A19" s="38" t="s">
        <v>93</v>
      </c>
      <c r="B19" s="38">
        <v>1</v>
      </c>
      <c r="C19" s="39">
        <v>57641</v>
      </c>
      <c r="D19" s="33">
        <f t="shared" ref="D19:D27" si="2">B19*C19</f>
        <v>57641</v>
      </c>
    </row>
    <row r="20" spans="1:4" s="34" customFormat="1" x14ac:dyDescent="0.35">
      <c r="A20" s="38" t="s">
        <v>94</v>
      </c>
      <c r="B20" s="38">
        <v>1</v>
      </c>
      <c r="C20" s="39">
        <v>14465</v>
      </c>
      <c r="D20" s="33">
        <f t="shared" si="2"/>
        <v>14465</v>
      </c>
    </row>
    <row r="21" spans="1:4" s="34" customFormat="1" x14ac:dyDescent="0.35">
      <c r="A21" s="38" t="s">
        <v>96</v>
      </c>
      <c r="B21" s="38">
        <v>1</v>
      </c>
      <c r="C21" s="39">
        <v>17995</v>
      </c>
      <c r="D21" s="33">
        <f t="shared" si="2"/>
        <v>17995</v>
      </c>
    </row>
    <row r="22" spans="1:4" s="34" customFormat="1" x14ac:dyDescent="0.35">
      <c r="A22" s="38" t="s">
        <v>95</v>
      </c>
      <c r="B22" s="31">
        <v>1</v>
      </c>
      <c r="C22" s="32">
        <v>19708</v>
      </c>
      <c r="D22" s="33">
        <f t="shared" si="2"/>
        <v>19708</v>
      </c>
    </row>
    <row r="23" spans="1:4" s="34" customFormat="1" x14ac:dyDescent="0.35">
      <c r="A23" s="38" t="s">
        <v>97</v>
      </c>
      <c r="B23" s="31">
        <v>1</v>
      </c>
      <c r="C23" s="32">
        <v>14909</v>
      </c>
      <c r="D23" s="33">
        <f t="shared" si="2"/>
        <v>14909</v>
      </c>
    </row>
    <row r="24" spans="1:4" s="34" customFormat="1" x14ac:dyDescent="0.35">
      <c r="A24" s="38" t="s">
        <v>98</v>
      </c>
      <c r="B24" s="31">
        <v>1</v>
      </c>
      <c r="C24" s="32">
        <v>6500</v>
      </c>
      <c r="D24" s="33">
        <f t="shared" si="2"/>
        <v>6500</v>
      </c>
    </row>
    <row r="25" spans="1:4" s="34" customFormat="1" x14ac:dyDescent="0.35">
      <c r="A25" s="34" t="s">
        <v>99</v>
      </c>
      <c r="B25" s="31">
        <v>1</v>
      </c>
      <c r="C25" s="48">
        <v>10600</v>
      </c>
      <c r="D25" s="33">
        <f t="shared" si="2"/>
        <v>10600</v>
      </c>
    </row>
    <row r="26" spans="1:4" s="34" customFormat="1" x14ac:dyDescent="0.35">
      <c r="A26" s="34" t="s">
        <v>119</v>
      </c>
      <c r="B26" s="31">
        <v>1</v>
      </c>
      <c r="C26" s="48">
        <v>15067</v>
      </c>
      <c r="D26" s="33">
        <f t="shared" si="2"/>
        <v>15067</v>
      </c>
    </row>
    <row r="27" spans="1:4" s="34" customFormat="1" x14ac:dyDescent="0.35">
      <c r="A27" s="34" t="s">
        <v>100</v>
      </c>
      <c r="B27" s="31">
        <v>1</v>
      </c>
      <c r="C27" s="48">
        <v>11000</v>
      </c>
      <c r="D27" s="33">
        <f t="shared" si="2"/>
        <v>11000</v>
      </c>
    </row>
    <row r="28" spans="1:4" s="34" customFormat="1" x14ac:dyDescent="0.35">
      <c r="A28" s="34" t="s">
        <v>120</v>
      </c>
      <c r="B28" s="31">
        <v>1</v>
      </c>
      <c r="C28" s="48">
        <v>2709</v>
      </c>
      <c r="D28" s="33">
        <f>B28*C28</f>
        <v>2709</v>
      </c>
    </row>
    <row r="29" spans="1:4" s="34" customFormat="1" x14ac:dyDescent="0.35">
      <c r="A29" s="34" t="s">
        <v>101</v>
      </c>
      <c r="B29" s="31">
        <v>1</v>
      </c>
      <c r="C29" s="48">
        <v>5697</v>
      </c>
      <c r="D29" s="33">
        <f>B29*C29</f>
        <v>5697</v>
      </c>
    </row>
    <row r="30" spans="1:4" s="34" customFormat="1" x14ac:dyDescent="0.35">
      <c r="A30" s="34" t="s">
        <v>102</v>
      </c>
      <c r="B30" s="34">
        <v>1</v>
      </c>
      <c r="C30" s="48">
        <v>23992</v>
      </c>
      <c r="D30" s="33">
        <f t="shared" ref="D30:D40" si="3">B30*C30</f>
        <v>23992</v>
      </c>
    </row>
    <row r="31" spans="1:4" s="34" customFormat="1" x14ac:dyDescent="0.35">
      <c r="A31" s="34" t="s">
        <v>105</v>
      </c>
      <c r="B31" s="34">
        <v>1</v>
      </c>
      <c r="C31" s="48">
        <v>14823</v>
      </c>
      <c r="D31" s="33">
        <f t="shared" si="3"/>
        <v>14823</v>
      </c>
    </row>
    <row r="32" spans="1:4" s="34" customFormat="1" x14ac:dyDescent="0.35">
      <c r="A32" s="34" t="s">
        <v>104</v>
      </c>
      <c r="B32" s="34">
        <v>1</v>
      </c>
      <c r="C32" s="48">
        <v>11320</v>
      </c>
      <c r="D32" s="33">
        <f t="shared" si="3"/>
        <v>11320</v>
      </c>
    </row>
    <row r="33" spans="1:6" s="34" customFormat="1" x14ac:dyDescent="0.35">
      <c r="A33" s="34" t="s">
        <v>103</v>
      </c>
      <c r="B33" s="34">
        <v>1</v>
      </c>
      <c r="C33" s="48">
        <v>8278</v>
      </c>
      <c r="D33" s="33">
        <f t="shared" si="3"/>
        <v>8278</v>
      </c>
    </row>
    <row r="34" spans="1:6" s="34" customFormat="1" x14ac:dyDescent="0.35">
      <c r="A34" s="34" t="s">
        <v>117</v>
      </c>
      <c r="B34" s="34">
        <v>1</v>
      </c>
      <c r="C34" s="48">
        <v>40834</v>
      </c>
      <c r="D34" s="33">
        <f t="shared" si="3"/>
        <v>40834</v>
      </c>
    </row>
    <row r="35" spans="1:6" s="34" customFormat="1" x14ac:dyDescent="0.35">
      <c r="A35" s="34" t="s">
        <v>118</v>
      </c>
      <c r="B35" s="34">
        <v>3</v>
      </c>
      <c r="C35" s="48">
        <v>6450</v>
      </c>
      <c r="D35" s="33">
        <f t="shared" si="3"/>
        <v>19350</v>
      </c>
    </row>
    <row r="36" spans="1:6" s="34" customFormat="1" x14ac:dyDescent="0.35">
      <c r="A36" s="34" t="s">
        <v>106</v>
      </c>
      <c r="B36" s="34">
        <v>1</v>
      </c>
      <c r="C36" s="48">
        <v>10600</v>
      </c>
      <c r="D36" s="33">
        <f t="shared" si="3"/>
        <v>10600</v>
      </c>
    </row>
    <row r="37" spans="1:6" s="34" customFormat="1" x14ac:dyDescent="0.35">
      <c r="A37" s="34" t="s">
        <v>107</v>
      </c>
      <c r="B37" s="34">
        <v>1</v>
      </c>
      <c r="C37" s="48">
        <v>55086</v>
      </c>
      <c r="D37" s="33">
        <f t="shared" si="3"/>
        <v>55086</v>
      </c>
    </row>
    <row r="38" spans="1:6" s="34" customFormat="1" x14ac:dyDescent="0.35">
      <c r="A38" s="34" t="s">
        <v>108</v>
      </c>
      <c r="B38" s="34">
        <v>1</v>
      </c>
      <c r="C38" s="48">
        <v>5386</v>
      </c>
      <c r="D38" s="33">
        <f t="shared" si="3"/>
        <v>5386</v>
      </c>
    </row>
    <row r="39" spans="1:6" s="34" customFormat="1" x14ac:dyDescent="0.35">
      <c r="A39" s="34" t="s">
        <v>99</v>
      </c>
      <c r="B39" s="34">
        <v>1</v>
      </c>
      <c r="C39" s="48">
        <v>10588</v>
      </c>
      <c r="D39" s="33">
        <f t="shared" si="3"/>
        <v>10588</v>
      </c>
    </row>
    <row r="40" spans="1:6" s="34" customFormat="1" x14ac:dyDescent="0.35">
      <c r="A40" s="34" t="s">
        <v>109</v>
      </c>
      <c r="B40" s="34">
        <v>1</v>
      </c>
      <c r="C40" s="48">
        <v>9103</v>
      </c>
      <c r="D40" s="33">
        <f t="shared" si="3"/>
        <v>9103</v>
      </c>
    </row>
    <row r="41" spans="1:6" s="34" customFormat="1" x14ac:dyDescent="0.35">
      <c r="A41" s="34" t="s">
        <v>110</v>
      </c>
      <c r="B41" s="34">
        <v>1</v>
      </c>
      <c r="C41" s="48">
        <v>11010</v>
      </c>
      <c r="D41" s="33">
        <f>B41*C41</f>
        <v>11010</v>
      </c>
    </row>
    <row r="42" spans="1:6" s="34" customFormat="1" x14ac:dyDescent="0.35">
      <c r="A42" s="34" t="s">
        <v>111</v>
      </c>
      <c r="B42" s="34">
        <v>1</v>
      </c>
      <c r="C42" s="48">
        <v>24509</v>
      </c>
      <c r="D42" s="33">
        <f>B42*C42</f>
        <v>24509</v>
      </c>
    </row>
    <row r="43" spans="1:6" s="34" customFormat="1" ht="13.5" customHeight="1" x14ac:dyDescent="0.35">
      <c r="A43" s="34" t="s">
        <v>116</v>
      </c>
      <c r="B43" s="34">
        <v>1</v>
      </c>
      <c r="C43" s="48">
        <v>19977</v>
      </c>
      <c r="D43" s="33">
        <f t="shared" ref="D43:D47" si="4">B43*C43</f>
        <v>19977</v>
      </c>
    </row>
    <row r="44" spans="1:6" s="34" customFormat="1" ht="13.5" customHeight="1" x14ac:dyDescent="0.35">
      <c r="A44" s="34" t="s">
        <v>121</v>
      </c>
      <c r="B44" s="34">
        <v>1</v>
      </c>
      <c r="C44" s="48">
        <v>9415</v>
      </c>
      <c r="D44" s="33">
        <f t="shared" si="4"/>
        <v>9415</v>
      </c>
    </row>
    <row r="45" spans="1:6" s="12" customFormat="1" ht="16.149999999999999" customHeight="1" x14ac:dyDescent="0.35">
      <c r="A45" s="26" t="s">
        <v>124</v>
      </c>
      <c r="B45" s="26">
        <v>2</v>
      </c>
      <c r="C45" s="35">
        <v>50115</v>
      </c>
      <c r="D45" s="27">
        <f t="shared" si="4"/>
        <v>100230</v>
      </c>
      <c r="F45" s="37"/>
    </row>
    <row r="46" spans="1:6" s="12" customFormat="1" ht="16.149999999999999" customHeight="1" x14ac:dyDescent="0.35">
      <c r="A46" s="26" t="s">
        <v>125</v>
      </c>
      <c r="B46" s="26">
        <v>2</v>
      </c>
      <c r="C46" s="35">
        <v>38674</v>
      </c>
      <c r="D46" s="27">
        <f t="shared" si="4"/>
        <v>77348</v>
      </c>
      <c r="F46" s="37"/>
    </row>
    <row r="47" spans="1:6" s="12" customFormat="1" ht="16.149999999999999" customHeight="1" x14ac:dyDescent="0.35">
      <c r="A47" s="26" t="s">
        <v>127</v>
      </c>
      <c r="B47" s="26">
        <v>2</v>
      </c>
      <c r="C47" s="35">
        <v>90437</v>
      </c>
      <c r="D47" s="27">
        <f t="shared" si="4"/>
        <v>180874</v>
      </c>
      <c r="F47" s="37"/>
    </row>
    <row r="48" spans="1:6" s="12" customFormat="1" ht="16.149999999999999" customHeight="1" x14ac:dyDescent="0.35">
      <c r="A48" s="26" t="s">
        <v>128</v>
      </c>
      <c r="B48" s="26">
        <v>2</v>
      </c>
      <c r="C48" s="35">
        <v>74606</v>
      </c>
      <c r="D48" s="27">
        <f>B48*C48</f>
        <v>149212</v>
      </c>
      <c r="F48" s="37"/>
    </row>
    <row r="49" spans="1:6" s="12" customFormat="1" ht="16.149999999999999" customHeight="1" x14ac:dyDescent="0.35">
      <c r="A49" s="26" t="s">
        <v>126</v>
      </c>
      <c r="B49" s="26">
        <v>2</v>
      </c>
      <c r="C49" s="35">
        <v>115542</v>
      </c>
      <c r="D49" s="27">
        <f>B49*C49</f>
        <v>231084</v>
      </c>
      <c r="F49" s="37"/>
    </row>
    <row r="50" spans="1:6" s="12" customFormat="1" ht="16.149999999999999" customHeight="1" x14ac:dyDescent="0.35">
      <c r="A50" s="26" t="s">
        <v>139</v>
      </c>
      <c r="B50" s="26">
        <v>10</v>
      </c>
      <c r="C50" s="35">
        <v>500</v>
      </c>
      <c r="D50" s="27">
        <f>B50*C50</f>
        <v>5000</v>
      </c>
      <c r="F50" s="37"/>
    </row>
    <row r="51" spans="1:6" s="12" customFormat="1" x14ac:dyDescent="0.35">
      <c r="A51" s="54" t="s">
        <v>132</v>
      </c>
      <c r="D51" s="52">
        <f>SUM(D2:D50)</f>
        <v>4319596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ANNUAL WORK PLAN</vt:lpstr>
      <vt:lpstr>budget</vt:lpstr>
      <vt:lpstr>Q1</vt:lpstr>
      <vt:lpstr>Rats</vt:lpstr>
      <vt:lpstr>Q2</vt:lpstr>
      <vt:lpstr>Q3 &amp; 4</vt:lpstr>
      <vt:lpstr>'ANNUAL WORK PLAN'!Print_Titles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Thiora</dc:creator>
  <cp:lastModifiedBy>Guest 1</cp:lastModifiedBy>
  <dcterms:created xsi:type="dcterms:W3CDTF">2024-04-15T12:19:13Z</dcterms:created>
  <dcterms:modified xsi:type="dcterms:W3CDTF">2025-03-24T13:03:00Z</dcterms:modified>
</cp:coreProperties>
</file>