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A0C1C9-7F66-466D-BE4A-A37DAEBAE8D1}" xr6:coauthVersionLast="47" xr6:coauthVersionMax="47" xr10:uidLastSave="{00000000-0000-0000-0000-000000000000}"/>
  <bookViews>
    <workbookView xWindow="2500" yWindow="2500" windowWidth="14400" windowHeight="7270" activeTab="1" xr2:uid="{62772DD5-043B-4CD2-A48E-02C9EB3EECCD}"/>
  </bookViews>
  <sheets>
    <sheet name="COVID-19 and other respiratory " sheetId="1" r:id="rId1"/>
    <sheet name="Benign prostate enlarg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2" l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7" i="1"/>
  <c r="E26" i="1"/>
  <c r="E25" i="1"/>
  <c r="E24" i="1"/>
  <c r="E22" i="1"/>
  <c r="E21" i="1"/>
  <c r="E20" i="1"/>
  <c r="E19" i="1"/>
  <c r="E16" i="1"/>
  <c r="E15" i="1"/>
  <c r="E14" i="1"/>
  <c r="E12" i="1"/>
  <c r="E11" i="1"/>
  <c r="E10" i="1"/>
  <c r="E9" i="1"/>
  <c r="E8" i="1"/>
  <c r="E7" i="1"/>
  <c r="E6" i="1"/>
  <c r="E5" i="1"/>
  <c r="E4" i="1"/>
  <c r="E3" i="1"/>
  <c r="E2" i="1"/>
  <c r="E28" i="1" s="1"/>
</calcChain>
</file>

<file path=xl/sharedStrings.xml><?xml version="1.0" encoding="utf-8"?>
<sst xmlns="http://schemas.openxmlformats.org/spreadsheetml/2006/main" count="124" uniqueCount="97">
  <si>
    <t>ITEM DESCRIPTION</t>
  </si>
  <si>
    <t>QTY</t>
  </si>
  <si>
    <t>UNIT COST</t>
  </si>
  <si>
    <t>TOTAL COST</t>
  </si>
  <si>
    <t>RNA later (500ml)</t>
  </si>
  <si>
    <t>PBS 10X (500ml)</t>
  </si>
  <si>
    <t>Normal Saline (500ml)</t>
  </si>
  <si>
    <t>Ethanol GPR (20L)</t>
  </si>
  <si>
    <t>Bleach (5L)</t>
  </si>
  <si>
    <t xml:space="preserve"> Paper towels (box)</t>
  </si>
  <si>
    <t>Gloves (packet of 10 boxes)</t>
  </si>
  <si>
    <t>Face mask (box)</t>
  </si>
  <si>
    <t>Serological pipettes (10mls, box of 200)</t>
  </si>
  <si>
    <t>Serological pipettes (5mls, box of 200)</t>
  </si>
  <si>
    <t>Cryovials (box, 500pcs)</t>
  </si>
  <si>
    <t>Cryoboxes</t>
  </si>
  <si>
    <t>Centrifuge tubes, 15ml (box, 500)</t>
  </si>
  <si>
    <t>Centrifuge tubes, 50ml (500pcs)</t>
  </si>
  <si>
    <t>Eppendorf tubes (2ml), pkt of 500</t>
  </si>
  <si>
    <t>0.5ml EDTA tubes</t>
  </si>
  <si>
    <t>0.5ml Heparin tubes</t>
  </si>
  <si>
    <t>Yellow tips 1000pcs</t>
  </si>
  <si>
    <t>Blue tips pkt 500pcs</t>
  </si>
  <si>
    <t>G21 needles</t>
  </si>
  <si>
    <t>5ml syringes (Box of 100)</t>
  </si>
  <si>
    <t>LPS (100mgs)</t>
  </si>
  <si>
    <t>Dexamethasone 4mg (Pack of 100)</t>
  </si>
  <si>
    <t>Cytokine ELISA kits IL-1b, IL-6, TNF-a</t>
  </si>
  <si>
    <t>Lactate ringers (500ml)</t>
  </si>
  <si>
    <t>Cannulas G20 (Pk of 50)</t>
  </si>
  <si>
    <t>IN VITRO CYTOTOXICITY STUDIES</t>
  </si>
  <si>
    <t>UNIT OF ISSUE</t>
  </si>
  <si>
    <t>TOTAL QUANTITY</t>
  </si>
  <si>
    <t>Dulbecco′s Modified Eagle′s Medium (DMEM) with high glucose, L-glutamine and pyruvate (500 ml) (GIBCO) (10 pcs)</t>
  </si>
  <si>
    <t>Bottle</t>
  </si>
  <si>
    <t xml:space="preserve">Phosphate Buffered Saline (1000 ml) </t>
  </si>
  <si>
    <t>Fetal Bovine serum (GIBCO) (500 ml)</t>
  </si>
  <si>
    <r>
      <t>T- 75 (75cm</t>
    </r>
    <r>
      <rPr>
        <vertAlign val="superscript"/>
        <sz val="12"/>
        <color rgb="FF000000"/>
        <rFont val="Arial Narrow"/>
        <family val="2"/>
      </rPr>
      <t>2</t>
    </r>
    <r>
      <rPr>
        <sz val="12"/>
        <color rgb="FF000000"/>
        <rFont val="Arial Narrow"/>
        <family val="2"/>
      </rPr>
      <t>) Tissue Culture Flasks (10 pcs)</t>
    </r>
  </si>
  <si>
    <t>Box of 25</t>
  </si>
  <si>
    <t>NEST Tissue-culture treated, clear, flat-bottom cell culture plates (24-well) (100 pcs)</t>
  </si>
  <si>
    <t>Box</t>
  </si>
  <si>
    <t>NEST Tissue-culture treated, clear, flat-bottom cell culture plates (96-well) (100 pcs)</t>
  </si>
  <si>
    <t>Filters (0.22µM )(1 Litre)</t>
  </si>
  <si>
    <t>Millex-GP sterile syringe filters (0.22µM)(50 pcs)</t>
  </si>
  <si>
    <t>Box of 50</t>
  </si>
  <si>
    <t>Thiazol blue tetrazolium bromide; MTT (Sigma) (1g)</t>
  </si>
  <si>
    <t>Pkt</t>
  </si>
  <si>
    <t>Streptomycin/Penicillin (100ml)</t>
  </si>
  <si>
    <t>Trypan blue (100ml)</t>
  </si>
  <si>
    <t>Trypsin-EDTA (100ml)</t>
  </si>
  <si>
    <t>10 ml sterile serological pipettes (Box of 200pcs)</t>
  </si>
  <si>
    <t>Box of 200</t>
  </si>
  <si>
    <t>25 ml sterile serological pipettes (Box of 200pcs)</t>
  </si>
  <si>
    <r>
      <t>15ml Centrifuge tubes (Corning</t>
    </r>
    <r>
      <rPr>
        <vertAlign val="superscript"/>
        <sz val="12"/>
        <color rgb="FF000000"/>
        <rFont val="Arial Narrow"/>
        <family val="2"/>
      </rPr>
      <t>TM</t>
    </r>
    <r>
      <rPr>
        <sz val="12"/>
        <color rgb="FF000000"/>
        <rFont val="Arial Narrow"/>
        <family val="2"/>
      </rPr>
      <t>)(Sterile)(500pcs)</t>
    </r>
  </si>
  <si>
    <t>Box of 500</t>
  </si>
  <si>
    <r>
      <t>50ml Centrifuge tubes (Corning</t>
    </r>
    <r>
      <rPr>
        <vertAlign val="superscript"/>
        <sz val="12"/>
        <color rgb="FF000000"/>
        <rFont val="Arial Narrow"/>
        <family val="2"/>
      </rPr>
      <t>TM</t>
    </r>
    <r>
      <rPr>
        <sz val="12"/>
        <color rgb="FF000000"/>
        <rFont val="Arial Narrow"/>
        <family val="2"/>
      </rPr>
      <t>)(Sterile)(500pcs)</t>
    </r>
  </si>
  <si>
    <t>Eppendorf tubes (2ml)(Sterile), pkt of 500</t>
  </si>
  <si>
    <t>Pkt of 500</t>
  </si>
  <si>
    <t>ZAP Slik low retention filter pipette tips 20µl (Sterile) (Racks)</t>
  </si>
  <si>
    <t>ZAP Slik low retention filter pipette tips 200µl (Sterile) (Racks)</t>
  </si>
  <si>
    <t>ZAP Slik low retention filter pipette tips 1000µl (Sterile) (Racks)</t>
  </si>
  <si>
    <t>Sterile reagent reservoirs (50ml) (Sigma) (200pcs)</t>
  </si>
  <si>
    <t>Yellow tips 200µl (1000pcs) (Non-sterile)</t>
  </si>
  <si>
    <t>Blue tips 1000µl (500pcs) (Non-sterile)</t>
  </si>
  <si>
    <t>Jerrican</t>
  </si>
  <si>
    <t>Commercial Bleach (5L)</t>
  </si>
  <si>
    <t>Paper towels (box)</t>
  </si>
  <si>
    <t>Nitrile gloves (box, packet of 10)</t>
  </si>
  <si>
    <t>Surgical face masks (box)</t>
  </si>
  <si>
    <t>Aluminium foil (roll)</t>
  </si>
  <si>
    <t>Roll</t>
  </si>
  <si>
    <t>Liquid nitrogen gas</t>
  </si>
  <si>
    <t>Litres</t>
  </si>
  <si>
    <t>5 mL syringes</t>
  </si>
  <si>
    <t>Box of 100</t>
  </si>
  <si>
    <t>Gauge 18 mm needles</t>
  </si>
  <si>
    <t>Cryoboxes (9x9)</t>
  </si>
  <si>
    <t>Piece</t>
  </si>
  <si>
    <t>2 mL cryovials</t>
  </si>
  <si>
    <t>Pkt of 50</t>
  </si>
  <si>
    <t>Black waste bags</t>
  </si>
  <si>
    <t>Pkt of 100</t>
  </si>
  <si>
    <t>Red bioharzard bags</t>
  </si>
  <si>
    <t>Dimethyl sulfoxide (4L)</t>
  </si>
  <si>
    <t xml:space="preserve">Bottle </t>
  </si>
  <si>
    <t>Liquid nitrogen tank</t>
  </si>
  <si>
    <t>Tank</t>
  </si>
  <si>
    <t>Annexin V kit</t>
  </si>
  <si>
    <t>Kit</t>
  </si>
  <si>
    <t>CSFE staining kit</t>
  </si>
  <si>
    <t>BrdU staining kit</t>
  </si>
  <si>
    <t>Sheeth fluid</t>
  </si>
  <si>
    <t>20L</t>
  </si>
  <si>
    <t>Facs tubes (Pkt of 25pcs)</t>
  </si>
  <si>
    <t>Pks</t>
  </si>
  <si>
    <t>Flow cytometry charges</t>
  </si>
  <si>
    <t>Sub-Total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</si>
</sst>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Arial Narrow"/>
      <family val="2"/>
    </font>
    <font>
      <b/>
      <sz val="12"/>
      <color rgb="FFFF0000"/>
      <name val="Arial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  <font>
      <vertAlign val="superscript"/>
      <sz val="12"/>
      <color rgb="FF000000"/>
      <name val="Arial Narrow"/>
      <family val="2"/>
    </font>
    <font>
      <sz val="12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4" fillId="0" borderId="1" xfId="0" applyFont="1" applyBorder="1"/>
    <xf numFmtId="0" fontId="3" fillId="0" borderId="4" xfId="0" applyFont="1" applyBorder="1" applyAlignment="1">
      <alignment vertical="center"/>
    </xf>
    <xf numFmtId="0" fontId="5" fillId="0" borderId="0" xfId="0" applyFont="1"/>
    <xf numFmtId="0" fontId="6" fillId="3" borderId="5" xfId="0" applyFont="1" applyFill="1" applyBorder="1" applyAlignment="1">
      <alignment horizontal="left"/>
    </xf>
    <xf numFmtId="3" fontId="6" fillId="3" borderId="5" xfId="0" applyNumberFormat="1" applyFont="1" applyFill="1" applyBorder="1" applyAlignment="1">
      <alignment horizontal="center" vertical="center"/>
    </xf>
    <xf numFmtId="4" fontId="7" fillId="3" borderId="5" xfId="0" applyNumberFormat="1" applyFont="1" applyFill="1" applyBorder="1" applyAlignment="1">
      <alignment horizontal="right" vertical="center"/>
    </xf>
    <xf numFmtId="4" fontId="6" fillId="3" borderId="5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3" fontId="8" fillId="0" borderId="5" xfId="0" applyNumberFormat="1" applyFont="1" applyBorder="1" applyAlignment="1">
      <alignment horizontal="center"/>
    </xf>
    <xf numFmtId="4" fontId="9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0" fontId="2" fillId="4" borderId="0" xfId="0" applyFont="1" applyFill="1"/>
    <xf numFmtId="0" fontId="8" fillId="5" borderId="5" xfId="0" applyFont="1" applyFill="1" applyBorder="1" applyAlignment="1">
      <alignment horizontal="left"/>
    </xf>
    <xf numFmtId="3" fontId="8" fillId="5" borderId="5" xfId="0" applyNumberFormat="1" applyFont="1" applyFill="1" applyBorder="1" applyAlignment="1">
      <alignment horizontal="center"/>
    </xf>
    <xf numFmtId="0" fontId="11" fillId="6" borderId="0" xfId="0" applyFont="1" applyFill="1" applyAlignment="1">
      <alignment vertical="center"/>
    </xf>
    <xf numFmtId="0" fontId="6" fillId="0" borderId="5" xfId="0" applyFont="1" applyBorder="1" applyAlignment="1">
      <alignment horizontal="left"/>
    </xf>
    <xf numFmtId="3" fontId="6" fillId="0" borderId="5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A56F-5AEA-47BB-960F-26F8EF9403BD}">
  <dimension ref="A1:E51"/>
  <sheetViews>
    <sheetView workbookViewId="0">
      <selection activeCell="I6" sqref="I6"/>
    </sheetView>
  </sheetViews>
  <sheetFormatPr defaultRowHeight="14" x14ac:dyDescent="0.3"/>
  <cols>
    <col min="1" max="1" width="8.7265625" style="9"/>
    <col min="2" max="2" width="40.36328125" style="9" customWidth="1"/>
    <col min="3" max="3" width="19.26953125" style="9" customWidth="1"/>
    <col min="4" max="4" width="18.453125" style="9" customWidth="1"/>
    <col min="5" max="5" width="19.08984375" style="9" customWidth="1"/>
    <col min="6" max="256" width="8.7265625" style="9"/>
    <col min="257" max="257" width="36.453125" style="9" customWidth="1"/>
    <col min="258" max="258" width="19.26953125" style="9" customWidth="1"/>
    <col min="259" max="259" width="18.453125" style="9" customWidth="1"/>
    <col min="260" max="260" width="13.81640625" style="9" customWidth="1"/>
    <col min="261" max="512" width="8.7265625" style="9"/>
    <col min="513" max="513" width="36.453125" style="9" customWidth="1"/>
    <col min="514" max="514" width="19.26953125" style="9" customWidth="1"/>
    <col min="515" max="515" width="18.453125" style="9" customWidth="1"/>
    <col min="516" max="516" width="13.81640625" style="9" customWidth="1"/>
    <col min="517" max="768" width="8.7265625" style="9"/>
    <col min="769" max="769" width="36.453125" style="9" customWidth="1"/>
    <col min="770" max="770" width="19.26953125" style="9" customWidth="1"/>
    <col min="771" max="771" width="18.453125" style="9" customWidth="1"/>
    <col min="772" max="772" width="13.81640625" style="9" customWidth="1"/>
    <col min="773" max="1024" width="8.7265625" style="9"/>
    <col min="1025" max="1025" width="36.453125" style="9" customWidth="1"/>
    <col min="1026" max="1026" width="19.26953125" style="9" customWidth="1"/>
    <col min="1027" max="1027" width="18.453125" style="9" customWidth="1"/>
    <col min="1028" max="1028" width="13.81640625" style="9" customWidth="1"/>
    <col min="1029" max="1280" width="8.7265625" style="9"/>
    <col min="1281" max="1281" width="36.453125" style="9" customWidth="1"/>
    <col min="1282" max="1282" width="19.26953125" style="9" customWidth="1"/>
    <col min="1283" max="1283" width="18.453125" style="9" customWidth="1"/>
    <col min="1284" max="1284" width="13.81640625" style="9" customWidth="1"/>
    <col min="1285" max="1536" width="8.7265625" style="9"/>
    <col min="1537" max="1537" width="36.453125" style="9" customWidth="1"/>
    <col min="1538" max="1538" width="19.26953125" style="9" customWidth="1"/>
    <col min="1539" max="1539" width="18.453125" style="9" customWidth="1"/>
    <col min="1540" max="1540" width="13.81640625" style="9" customWidth="1"/>
    <col min="1541" max="1792" width="8.7265625" style="9"/>
    <col min="1793" max="1793" width="36.453125" style="9" customWidth="1"/>
    <col min="1794" max="1794" width="19.26953125" style="9" customWidth="1"/>
    <col min="1795" max="1795" width="18.453125" style="9" customWidth="1"/>
    <col min="1796" max="1796" width="13.81640625" style="9" customWidth="1"/>
    <col min="1797" max="2048" width="8.7265625" style="9"/>
    <col min="2049" max="2049" width="36.453125" style="9" customWidth="1"/>
    <col min="2050" max="2050" width="19.26953125" style="9" customWidth="1"/>
    <col min="2051" max="2051" width="18.453125" style="9" customWidth="1"/>
    <col min="2052" max="2052" width="13.81640625" style="9" customWidth="1"/>
    <col min="2053" max="2304" width="8.7265625" style="9"/>
    <col min="2305" max="2305" width="36.453125" style="9" customWidth="1"/>
    <col min="2306" max="2306" width="19.26953125" style="9" customWidth="1"/>
    <col min="2307" max="2307" width="18.453125" style="9" customWidth="1"/>
    <col min="2308" max="2308" width="13.81640625" style="9" customWidth="1"/>
    <col min="2309" max="2560" width="8.7265625" style="9"/>
    <col min="2561" max="2561" width="36.453125" style="9" customWidth="1"/>
    <col min="2562" max="2562" width="19.26953125" style="9" customWidth="1"/>
    <col min="2563" max="2563" width="18.453125" style="9" customWidth="1"/>
    <col min="2564" max="2564" width="13.81640625" style="9" customWidth="1"/>
    <col min="2565" max="2816" width="8.7265625" style="9"/>
    <col min="2817" max="2817" width="36.453125" style="9" customWidth="1"/>
    <col min="2818" max="2818" width="19.26953125" style="9" customWidth="1"/>
    <col min="2819" max="2819" width="18.453125" style="9" customWidth="1"/>
    <col min="2820" max="2820" width="13.81640625" style="9" customWidth="1"/>
    <col min="2821" max="3072" width="8.7265625" style="9"/>
    <col min="3073" max="3073" width="36.453125" style="9" customWidth="1"/>
    <col min="3074" max="3074" width="19.26953125" style="9" customWidth="1"/>
    <col min="3075" max="3075" width="18.453125" style="9" customWidth="1"/>
    <col min="3076" max="3076" width="13.81640625" style="9" customWidth="1"/>
    <col min="3077" max="3328" width="8.7265625" style="9"/>
    <col min="3329" max="3329" width="36.453125" style="9" customWidth="1"/>
    <col min="3330" max="3330" width="19.26953125" style="9" customWidth="1"/>
    <col min="3331" max="3331" width="18.453125" style="9" customWidth="1"/>
    <col min="3332" max="3332" width="13.81640625" style="9" customWidth="1"/>
    <col min="3333" max="3584" width="8.7265625" style="9"/>
    <col min="3585" max="3585" width="36.453125" style="9" customWidth="1"/>
    <col min="3586" max="3586" width="19.26953125" style="9" customWidth="1"/>
    <col min="3587" max="3587" width="18.453125" style="9" customWidth="1"/>
    <col min="3588" max="3588" width="13.81640625" style="9" customWidth="1"/>
    <col min="3589" max="3840" width="8.7265625" style="9"/>
    <col min="3841" max="3841" width="36.453125" style="9" customWidth="1"/>
    <col min="3842" max="3842" width="19.26953125" style="9" customWidth="1"/>
    <col min="3843" max="3843" width="18.453125" style="9" customWidth="1"/>
    <col min="3844" max="3844" width="13.81640625" style="9" customWidth="1"/>
    <col min="3845" max="4096" width="8.7265625" style="9"/>
    <col min="4097" max="4097" width="36.453125" style="9" customWidth="1"/>
    <col min="4098" max="4098" width="19.26953125" style="9" customWidth="1"/>
    <col min="4099" max="4099" width="18.453125" style="9" customWidth="1"/>
    <col min="4100" max="4100" width="13.81640625" style="9" customWidth="1"/>
    <col min="4101" max="4352" width="8.7265625" style="9"/>
    <col min="4353" max="4353" width="36.453125" style="9" customWidth="1"/>
    <col min="4354" max="4354" width="19.26953125" style="9" customWidth="1"/>
    <col min="4355" max="4355" width="18.453125" style="9" customWidth="1"/>
    <col min="4356" max="4356" width="13.81640625" style="9" customWidth="1"/>
    <col min="4357" max="4608" width="8.7265625" style="9"/>
    <col min="4609" max="4609" width="36.453125" style="9" customWidth="1"/>
    <col min="4610" max="4610" width="19.26953125" style="9" customWidth="1"/>
    <col min="4611" max="4611" width="18.453125" style="9" customWidth="1"/>
    <col min="4612" max="4612" width="13.81640625" style="9" customWidth="1"/>
    <col min="4613" max="4864" width="8.7265625" style="9"/>
    <col min="4865" max="4865" width="36.453125" style="9" customWidth="1"/>
    <col min="4866" max="4866" width="19.26953125" style="9" customWidth="1"/>
    <col min="4867" max="4867" width="18.453125" style="9" customWidth="1"/>
    <col min="4868" max="4868" width="13.81640625" style="9" customWidth="1"/>
    <col min="4869" max="5120" width="8.7265625" style="9"/>
    <col min="5121" max="5121" width="36.453125" style="9" customWidth="1"/>
    <col min="5122" max="5122" width="19.26953125" style="9" customWidth="1"/>
    <col min="5123" max="5123" width="18.453125" style="9" customWidth="1"/>
    <col min="5124" max="5124" width="13.81640625" style="9" customWidth="1"/>
    <col min="5125" max="5376" width="8.7265625" style="9"/>
    <col min="5377" max="5377" width="36.453125" style="9" customWidth="1"/>
    <col min="5378" max="5378" width="19.26953125" style="9" customWidth="1"/>
    <col min="5379" max="5379" width="18.453125" style="9" customWidth="1"/>
    <col min="5380" max="5380" width="13.81640625" style="9" customWidth="1"/>
    <col min="5381" max="5632" width="8.7265625" style="9"/>
    <col min="5633" max="5633" width="36.453125" style="9" customWidth="1"/>
    <col min="5634" max="5634" width="19.26953125" style="9" customWidth="1"/>
    <col min="5635" max="5635" width="18.453125" style="9" customWidth="1"/>
    <col min="5636" max="5636" width="13.81640625" style="9" customWidth="1"/>
    <col min="5637" max="5888" width="8.7265625" style="9"/>
    <col min="5889" max="5889" width="36.453125" style="9" customWidth="1"/>
    <col min="5890" max="5890" width="19.26953125" style="9" customWidth="1"/>
    <col min="5891" max="5891" width="18.453125" style="9" customWidth="1"/>
    <col min="5892" max="5892" width="13.81640625" style="9" customWidth="1"/>
    <col min="5893" max="6144" width="8.7265625" style="9"/>
    <col min="6145" max="6145" width="36.453125" style="9" customWidth="1"/>
    <col min="6146" max="6146" width="19.26953125" style="9" customWidth="1"/>
    <col min="6147" max="6147" width="18.453125" style="9" customWidth="1"/>
    <col min="6148" max="6148" width="13.81640625" style="9" customWidth="1"/>
    <col min="6149" max="6400" width="8.7265625" style="9"/>
    <col min="6401" max="6401" width="36.453125" style="9" customWidth="1"/>
    <col min="6402" max="6402" width="19.26953125" style="9" customWidth="1"/>
    <col min="6403" max="6403" width="18.453125" style="9" customWidth="1"/>
    <col min="6404" max="6404" width="13.81640625" style="9" customWidth="1"/>
    <col min="6405" max="6656" width="8.7265625" style="9"/>
    <col min="6657" max="6657" width="36.453125" style="9" customWidth="1"/>
    <col min="6658" max="6658" width="19.26953125" style="9" customWidth="1"/>
    <col min="6659" max="6659" width="18.453125" style="9" customWidth="1"/>
    <col min="6660" max="6660" width="13.81640625" style="9" customWidth="1"/>
    <col min="6661" max="6912" width="8.7265625" style="9"/>
    <col min="6913" max="6913" width="36.453125" style="9" customWidth="1"/>
    <col min="6914" max="6914" width="19.26953125" style="9" customWidth="1"/>
    <col min="6915" max="6915" width="18.453125" style="9" customWidth="1"/>
    <col min="6916" max="6916" width="13.81640625" style="9" customWidth="1"/>
    <col min="6917" max="7168" width="8.7265625" style="9"/>
    <col min="7169" max="7169" width="36.453125" style="9" customWidth="1"/>
    <col min="7170" max="7170" width="19.26953125" style="9" customWidth="1"/>
    <col min="7171" max="7171" width="18.453125" style="9" customWidth="1"/>
    <col min="7172" max="7172" width="13.81640625" style="9" customWidth="1"/>
    <col min="7173" max="7424" width="8.7265625" style="9"/>
    <col min="7425" max="7425" width="36.453125" style="9" customWidth="1"/>
    <col min="7426" max="7426" width="19.26953125" style="9" customWidth="1"/>
    <col min="7427" max="7427" width="18.453125" style="9" customWidth="1"/>
    <col min="7428" max="7428" width="13.81640625" style="9" customWidth="1"/>
    <col min="7429" max="7680" width="8.7265625" style="9"/>
    <col min="7681" max="7681" width="36.453125" style="9" customWidth="1"/>
    <col min="7682" max="7682" width="19.26953125" style="9" customWidth="1"/>
    <col min="7683" max="7683" width="18.453125" style="9" customWidth="1"/>
    <col min="7684" max="7684" width="13.81640625" style="9" customWidth="1"/>
    <col min="7685" max="7936" width="8.7265625" style="9"/>
    <col min="7937" max="7937" width="36.453125" style="9" customWidth="1"/>
    <col min="7938" max="7938" width="19.26953125" style="9" customWidth="1"/>
    <col min="7939" max="7939" width="18.453125" style="9" customWidth="1"/>
    <col min="7940" max="7940" width="13.81640625" style="9" customWidth="1"/>
    <col min="7941" max="8192" width="8.7265625" style="9"/>
    <col min="8193" max="8193" width="36.453125" style="9" customWidth="1"/>
    <col min="8194" max="8194" width="19.26953125" style="9" customWidth="1"/>
    <col min="8195" max="8195" width="18.453125" style="9" customWidth="1"/>
    <col min="8196" max="8196" width="13.81640625" style="9" customWidth="1"/>
    <col min="8197" max="8448" width="8.7265625" style="9"/>
    <col min="8449" max="8449" width="36.453125" style="9" customWidth="1"/>
    <col min="8450" max="8450" width="19.26953125" style="9" customWidth="1"/>
    <col min="8451" max="8451" width="18.453125" style="9" customWidth="1"/>
    <col min="8452" max="8452" width="13.81640625" style="9" customWidth="1"/>
    <col min="8453" max="8704" width="8.7265625" style="9"/>
    <col min="8705" max="8705" width="36.453125" style="9" customWidth="1"/>
    <col min="8706" max="8706" width="19.26953125" style="9" customWidth="1"/>
    <col min="8707" max="8707" width="18.453125" style="9" customWidth="1"/>
    <col min="8708" max="8708" width="13.81640625" style="9" customWidth="1"/>
    <col min="8709" max="8960" width="8.7265625" style="9"/>
    <col min="8961" max="8961" width="36.453125" style="9" customWidth="1"/>
    <col min="8962" max="8962" width="19.26953125" style="9" customWidth="1"/>
    <col min="8963" max="8963" width="18.453125" style="9" customWidth="1"/>
    <col min="8964" max="8964" width="13.81640625" style="9" customWidth="1"/>
    <col min="8965" max="9216" width="8.7265625" style="9"/>
    <col min="9217" max="9217" width="36.453125" style="9" customWidth="1"/>
    <col min="9218" max="9218" width="19.26953125" style="9" customWidth="1"/>
    <col min="9219" max="9219" width="18.453125" style="9" customWidth="1"/>
    <col min="9220" max="9220" width="13.81640625" style="9" customWidth="1"/>
    <col min="9221" max="9472" width="8.7265625" style="9"/>
    <col min="9473" max="9473" width="36.453125" style="9" customWidth="1"/>
    <col min="9474" max="9474" width="19.26953125" style="9" customWidth="1"/>
    <col min="9475" max="9475" width="18.453125" style="9" customWidth="1"/>
    <col min="9476" max="9476" width="13.81640625" style="9" customWidth="1"/>
    <col min="9477" max="9728" width="8.7265625" style="9"/>
    <col min="9729" max="9729" width="36.453125" style="9" customWidth="1"/>
    <col min="9730" max="9730" width="19.26953125" style="9" customWidth="1"/>
    <col min="9731" max="9731" width="18.453125" style="9" customWidth="1"/>
    <col min="9732" max="9732" width="13.81640625" style="9" customWidth="1"/>
    <col min="9733" max="9984" width="8.7265625" style="9"/>
    <col min="9985" max="9985" width="36.453125" style="9" customWidth="1"/>
    <col min="9986" max="9986" width="19.26953125" style="9" customWidth="1"/>
    <col min="9987" max="9987" width="18.453125" style="9" customWidth="1"/>
    <col min="9988" max="9988" width="13.81640625" style="9" customWidth="1"/>
    <col min="9989" max="10240" width="8.7265625" style="9"/>
    <col min="10241" max="10241" width="36.453125" style="9" customWidth="1"/>
    <col min="10242" max="10242" width="19.26953125" style="9" customWidth="1"/>
    <col min="10243" max="10243" width="18.453125" style="9" customWidth="1"/>
    <col min="10244" max="10244" width="13.81640625" style="9" customWidth="1"/>
    <col min="10245" max="10496" width="8.7265625" style="9"/>
    <col min="10497" max="10497" width="36.453125" style="9" customWidth="1"/>
    <col min="10498" max="10498" width="19.26953125" style="9" customWidth="1"/>
    <col min="10499" max="10499" width="18.453125" style="9" customWidth="1"/>
    <col min="10500" max="10500" width="13.81640625" style="9" customWidth="1"/>
    <col min="10501" max="10752" width="8.7265625" style="9"/>
    <col min="10753" max="10753" width="36.453125" style="9" customWidth="1"/>
    <col min="10754" max="10754" width="19.26953125" style="9" customWidth="1"/>
    <col min="10755" max="10755" width="18.453125" style="9" customWidth="1"/>
    <col min="10756" max="10756" width="13.81640625" style="9" customWidth="1"/>
    <col min="10757" max="11008" width="8.7265625" style="9"/>
    <col min="11009" max="11009" width="36.453125" style="9" customWidth="1"/>
    <col min="11010" max="11010" width="19.26953125" style="9" customWidth="1"/>
    <col min="11011" max="11011" width="18.453125" style="9" customWidth="1"/>
    <col min="11012" max="11012" width="13.81640625" style="9" customWidth="1"/>
    <col min="11013" max="11264" width="8.7265625" style="9"/>
    <col min="11265" max="11265" width="36.453125" style="9" customWidth="1"/>
    <col min="11266" max="11266" width="19.26953125" style="9" customWidth="1"/>
    <col min="11267" max="11267" width="18.453125" style="9" customWidth="1"/>
    <col min="11268" max="11268" width="13.81640625" style="9" customWidth="1"/>
    <col min="11269" max="11520" width="8.7265625" style="9"/>
    <col min="11521" max="11521" width="36.453125" style="9" customWidth="1"/>
    <col min="11522" max="11522" width="19.26953125" style="9" customWidth="1"/>
    <col min="11523" max="11523" width="18.453125" style="9" customWidth="1"/>
    <col min="11524" max="11524" width="13.81640625" style="9" customWidth="1"/>
    <col min="11525" max="11776" width="8.7265625" style="9"/>
    <col min="11777" max="11777" width="36.453125" style="9" customWidth="1"/>
    <col min="11778" max="11778" width="19.26953125" style="9" customWidth="1"/>
    <col min="11779" max="11779" width="18.453125" style="9" customWidth="1"/>
    <col min="11780" max="11780" width="13.81640625" style="9" customWidth="1"/>
    <col min="11781" max="12032" width="8.7265625" style="9"/>
    <col min="12033" max="12033" width="36.453125" style="9" customWidth="1"/>
    <col min="12034" max="12034" width="19.26953125" style="9" customWidth="1"/>
    <col min="12035" max="12035" width="18.453125" style="9" customWidth="1"/>
    <col min="12036" max="12036" width="13.81640625" style="9" customWidth="1"/>
    <col min="12037" max="12288" width="8.7265625" style="9"/>
    <col min="12289" max="12289" width="36.453125" style="9" customWidth="1"/>
    <col min="12290" max="12290" width="19.26953125" style="9" customWidth="1"/>
    <col min="12291" max="12291" width="18.453125" style="9" customWidth="1"/>
    <col min="12292" max="12292" width="13.81640625" style="9" customWidth="1"/>
    <col min="12293" max="12544" width="8.7265625" style="9"/>
    <col min="12545" max="12545" width="36.453125" style="9" customWidth="1"/>
    <col min="12546" max="12546" width="19.26953125" style="9" customWidth="1"/>
    <col min="12547" max="12547" width="18.453125" style="9" customWidth="1"/>
    <col min="12548" max="12548" width="13.81640625" style="9" customWidth="1"/>
    <col min="12549" max="12800" width="8.7265625" style="9"/>
    <col min="12801" max="12801" width="36.453125" style="9" customWidth="1"/>
    <col min="12802" max="12802" width="19.26953125" style="9" customWidth="1"/>
    <col min="12803" max="12803" width="18.453125" style="9" customWidth="1"/>
    <col min="12804" max="12804" width="13.81640625" style="9" customWidth="1"/>
    <col min="12805" max="13056" width="8.7265625" style="9"/>
    <col min="13057" max="13057" width="36.453125" style="9" customWidth="1"/>
    <col min="13058" max="13058" width="19.26953125" style="9" customWidth="1"/>
    <col min="13059" max="13059" width="18.453125" style="9" customWidth="1"/>
    <col min="13060" max="13060" width="13.81640625" style="9" customWidth="1"/>
    <col min="13061" max="13312" width="8.7265625" style="9"/>
    <col min="13313" max="13313" width="36.453125" style="9" customWidth="1"/>
    <col min="13314" max="13314" width="19.26953125" style="9" customWidth="1"/>
    <col min="13315" max="13315" width="18.453125" style="9" customWidth="1"/>
    <col min="13316" max="13316" width="13.81640625" style="9" customWidth="1"/>
    <col min="13317" max="13568" width="8.7265625" style="9"/>
    <col min="13569" max="13569" width="36.453125" style="9" customWidth="1"/>
    <col min="13570" max="13570" width="19.26953125" style="9" customWidth="1"/>
    <col min="13571" max="13571" width="18.453125" style="9" customWidth="1"/>
    <col min="13572" max="13572" width="13.81640625" style="9" customWidth="1"/>
    <col min="13573" max="13824" width="8.7265625" style="9"/>
    <col min="13825" max="13825" width="36.453125" style="9" customWidth="1"/>
    <col min="13826" max="13826" width="19.26953125" style="9" customWidth="1"/>
    <col min="13827" max="13827" width="18.453125" style="9" customWidth="1"/>
    <col min="13828" max="13828" width="13.81640625" style="9" customWidth="1"/>
    <col min="13829" max="14080" width="8.7265625" style="9"/>
    <col min="14081" max="14081" width="36.453125" style="9" customWidth="1"/>
    <col min="14082" max="14082" width="19.26953125" style="9" customWidth="1"/>
    <col min="14083" max="14083" width="18.453125" style="9" customWidth="1"/>
    <col min="14084" max="14084" width="13.81640625" style="9" customWidth="1"/>
    <col min="14085" max="14336" width="8.7265625" style="9"/>
    <col min="14337" max="14337" width="36.453125" style="9" customWidth="1"/>
    <col min="14338" max="14338" width="19.26953125" style="9" customWidth="1"/>
    <col min="14339" max="14339" width="18.453125" style="9" customWidth="1"/>
    <col min="14340" max="14340" width="13.81640625" style="9" customWidth="1"/>
    <col min="14341" max="14592" width="8.7265625" style="9"/>
    <col min="14593" max="14593" width="36.453125" style="9" customWidth="1"/>
    <col min="14594" max="14594" width="19.26953125" style="9" customWidth="1"/>
    <col min="14595" max="14595" width="18.453125" style="9" customWidth="1"/>
    <col min="14596" max="14596" width="13.81640625" style="9" customWidth="1"/>
    <col min="14597" max="14848" width="8.7265625" style="9"/>
    <col min="14849" max="14849" width="36.453125" style="9" customWidth="1"/>
    <col min="14850" max="14850" width="19.26953125" style="9" customWidth="1"/>
    <col min="14851" max="14851" width="18.453125" style="9" customWidth="1"/>
    <col min="14852" max="14852" width="13.81640625" style="9" customWidth="1"/>
    <col min="14853" max="15104" width="8.7265625" style="9"/>
    <col min="15105" max="15105" width="36.453125" style="9" customWidth="1"/>
    <col min="15106" max="15106" width="19.26953125" style="9" customWidth="1"/>
    <col min="15107" max="15107" width="18.453125" style="9" customWidth="1"/>
    <col min="15108" max="15108" width="13.81640625" style="9" customWidth="1"/>
    <col min="15109" max="15360" width="8.7265625" style="9"/>
    <col min="15361" max="15361" width="36.453125" style="9" customWidth="1"/>
    <col min="15362" max="15362" width="19.26953125" style="9" customWidth="1"/>
    <col min="15363" max="15363" width="18.453125" style="9" customWidth="1"/>
    <col min="15364" max="15364" width="13.81640625" style="9" customWidth="1"/>
    <col min="15365" max="15616" width="8.7265625" style="9"/>
    <col min="15617" max="15617" width="36.453125" style="9" customWidth="1"/>
    <col min="15618" max="15618" width="19.26953125" style="9" customWidth="1"/>
    <col min="15619" max="15619" width="18.453125" style="9" customWidth="1"/>
    <col min="15620" max="15620" width="13.81640625" style="9" customWidth="1"/>
    <col min="15621" max="15872" width="8.7265625" style="9"/>
    <col min="15873" max="15873" width="36.453125" style="9" customWidth="1"/>
    <col min="15874" max="15874" width="19.26953125" style="9" customWidth="1"/>
    <col min="15875" max="15875" width="18.453125" style="9" customWidth="1"/>
    <col min="15876" max="15876" width="13.81640625" style="9" customWidth="1"/>
    <col min="15877" max="16128" width="8.7265625" style="9"/>
    <col min="16129" max="16129" width="36.453125" style="9" customWidth="1"/>
    <col min="16130" max="16130" width="19.26953125" style="9" customWidth="1"/>
    <col min="16131" max="16131" width="18.453125" style="9" customWidth="1"/>
    <col min="16132" max="16132" width="13.81640625" style="9" customWidth="1"/>
    <col min="16133" max="16384" width="8.7265625" style="9"/>
  </cols>
  <sheetData>
    <row r="1" spans="1:5" s="3" customFormat="1" ht="36.5" customHeight="1" thickBot="1" x14ac:dyDescent="0.4">
      <c r="A1" s="1"/>
      <c r="B1" s="1" t="s">
        <v>0</v>
      </c>
      <c r="C1" s="2" t="s">
        <v>1</v>
      </c>
      <c r="D1" s="1" t="s">
        <v>2</v>
      </c>
      <c r="E1" s="1" t="s">
        <v>3</v>
      </c>
    </row>
    <row r="2" spans="1:5" s="5" customFormat="1" ht="18.5" thickTop="1" x14ac:dyDescent="0.4">
      <c r="A2" s="4">
        <v>1</v>
      </c>
      <c r="B2" s="4" t="s">
        <v>4</v>
      </c>
      <c r="C2" s="4">
        <v>2</v>
      </c>
      <c r="D2" s="4">
        <v>120000</v>
      </c>
      <c r="E2" s="4">
        <f t="shared" ref="E2:E27" si="0">C2*D2</f>
        <v>240000</v>
      </c>
    </row>
    <row r="3" spans="1:5" s="5" customFormat="1" ht="18" x14ac:dyDescent="0.4">
      <c r="A3" s="6">
        <v>2</v>
      </c>
      <c r="B3" s="6" t="s">
        <v>5</v>
      </c>
      <c r="C3" s="6">
        <v>4</v>
      </c>
      <c r="D3" s="6">
        <v>18000</v>
      </c>
      <c r="E3" s="6">
        <f t="shared" si="0"/>
        <v>72000</v>
      </c>
    </row>
    <row r="4" spans="1:5" s="5" customFormat="1" ht="18" x14ac:dyDescent="0.4">
      <c r="A4" s="6">
        <v>3</v>
      </c>
      <c r="B4" s="6" t="s">
        <v>6</v>
      </c>
      <c r="C4" s="6">
        <v>5</v>
      </c>
      <c r="D4" s="6">
        <v>120</v>
      </c>
      <c r="E4" s="6">
        <f t="shared" si="0"/>
        <v>600</v>
      </c>
    </row>
    <row r="5" spans="1:5" s="5" customFormat="1" ht="18" x14ac:dyDescent="0.4">
      <c r="A5" s="6">
        <v>4</v>
      </c>
      <c r="B5" s="6" t="s">
        <v>7</v>
      </c>
      <c r="C5" s="6">
        <v>2</v>
      </c>
      <c r="D5" s="6">
        <v>15000</v>
      </c>
      <c r="E5" s="6">
        <f t="shared" si="0"/>
        <v>30000</v>
      </c>
    </row>
    <row r="6" spans="1:5" s="5" customFormat="1" ht="18" x14ac:dyDescent="0.4">
      <c r="A6" s="6">
        <v>5</v>
      </c>
      <c r="B6" s="6" t="s">
        <v>8</v>
      </c>
      <c r="C6" s="6">
        <v>4</v>
      </c>
      <c r="D6" s="6">
        <v>2900</v>
      </c>
      <c r="E6" s="6">
        <f t="shared" si="0"/>
        <v>11600</v>
      </c>
    </row>
    <row r="7" spans="1:5" s="5" customFormat="1" ht="18" x14ac:dyDescent="0.4">
      <c r="A7" s="6">
        <v>6</v>
      </c>
      <c r="B7" s="6" t="s">
        <v>9</v>
      </c>
      <c r="C7" s="6">
        <v>3</v>
      </c>
      <c r="D7" s="6">
        <v>4800</v>
      </c>
      <c r="E7" s="6">
        <f t="shared" si="0"/>
        <v>14400</v>
      </c>
    </row>
    <row r="8" spans="1:5" s="5" customFormat="1" ht="18" x14ac:dyDescent="0.4">
      <c r="A8" s="6">
        <v>7</v>
      </c>
      <c r="B8" s="6" t="s">
        <v>10</v>
      </c>
      <c r="C8" s="6">
        <v>2</v>
      </c>
      <c r="D8" s="6">
        <v>13000</v>
      </c>
      <c r="E8" s="6">
        <f t="shared" si="0"/>
        <v>26000</v>
      </c>
    </row>
    <row r="9" spans="1:5" s="5" customFormat="1" ht="18" x14ac:dyDescent="0.4">
      <c r="A9" s="6">
        <v>8</v>
      </c>
      <c r="B9" s="6" t="s">
        <v>11</v>
      </c>
      <c r="C9" s="6">
        <v>10</v>
      </c>
      <c r="D9" s="6">
        <v>600</v>
      </c>
      <c r="E9" s="6">
        <f t="shared" si="0"/>
        <v>6000</v>
      </c>
    </row>
    <row r="10" spans="1:5" s="5" customFormat="1" ht="18" x14ac:dyDescent="0.4">
      <c r="A10" s="6">
        <v>9</v>
      </c>
      <c r="B10" s="6" t="s">
        <v>12</v>
      </c>
      <c r="C10" s="6">
        <v>1</v>
      </c>
      <c r="D10" s="6">
        <v>11000</v>
      </c>
      <c r="E10" s="6">
        <f t="shared" si="0"/>
        <v>11000</v>
      </c>
    </row>
    <row r="11" spans="1:5" s="5" customFormat="1" ht="18" x14ac:dyDescent="0.4">
      <c r="A11" s="6">
        <v>10</v>
      </c>
      <c r="B11" s="6" t="s">
        <v>13</v>
      </c>
      <c r="C11" s="6">
        <v>1</v>
      </c>
      <c r="D11" s="6">
        <v>10000</v>
      </c>
      <c r="E11" s="6">
        <f t="shared" si="0"/>
        <v>10000</v>
      </c>
    </row>
    <row r="12" spans="1:5" s="5" customFormat="1" ht="18" x14ac:dyDescent="0.4">
      <c r="A12" s="6">
        <v>11</v>
      </c>
      <c r="B12" s="6" t="s">
        <v>14</v>
      </c>
      <c r="C12" s="6">
        <v>4</v>
      </c>
      <c r="D12" s="6">
        <v>27500</v>
      </c>
      <c r="E12" s="6">
        <f t="shared" si="0"/>
        <v>110000</v>
      </c>
    </row>
    <row r="13" spans="1:5" s="5" customFormat="1" ht="18" x14ac:dyDescent="0.4">
      <c r="A13" s="6">
        <v>12</v>
      </c>
      <c r="B13" s="6" t="s">
        <v>15</v>
      </c>
      <c r="C13" s="6">
        <v>30</v>
      </c>
      <c r="D13" s="6"/>
      <c r="E13" s="6"/>
    </row>
    <row r="14" spans="1:5" s="5" customFormat="1" ht="18" x14ac:dyDescent="0.4">
      <c r="A14" s="6">
        <v>13</v>
      </c>
      <c r="B14" s="6" t="s">
        <v>16</v>
      </c>
      <c r="C14" s="6">
        <v>2</v>
      </c>
      <c r="D14" s="6">
        <v>27500</v>
      </c>
      <c r="E14" s="6">
        <f t="shared" si="0"/>
        <v>55000</v>
      </c>
    </row>
    <row r="15" spans="1:5" s="5" customFormat="1" ht="18" x14ac:dyDescent="0.4">
      <c r="A15" s="6">
        <v>14</v>
      </c>
      <c r="B15" s="6" t="s">
        <v>17</v>
      </c>
      <c r="C15" s="6">
        <v>2</v>
      </c>
      <c r="D15" s="6">
        <v>35000</v>
      </c>
      <c r="E15" s="6">
        <f t="shared" si="0"/>
        <v>70000</v>
      </c>
    </row>
    <row r="16" spans="1:5" s="5" customFormat="1" ht="18" x14ac:dyDescent="0.4">
      <c r="A16" s="6">
        <v>15</v>
      </c>
      <c r="B16" s="6" t="s">
        <v>18</v>
      </c>
      <c r="C16" s="6">
        <v>2</v>
      </c>
      <c r="D16" s="6">
        <v>3800</v>
      </c>
      <c r="E16" s="6">
        <f t="shared" si="0"/>
        <v>7600</v>
      </c>
    </row>
    <row r="17" spans="1:5" s="5" customFormat="1" ht="18" x14ac:dyDescent="0.4">
      <c r="A17" s="6">
        <v>16</v>
      </c>
      <c r="B17" s="6" t="s">
        <v>19</v>
      </c>
      <c r="C17" s="6">
        <v>1000</v>
      </c>
      <c r="D17" s="6"/>
      <c r="E17" s="6"/>
    </row>
    <row r="18" spans="1:5" s="5" customFormat="1" ht="18" x14ac:dyDescent="0.4">
      <c r="A18" s="6">
        <v>17</v>
      </c>
      <c r="B18" s="6" t="s">
        <v>20</v>
      </c>
      <c r="C18" s="6">
        <v>2000</v>
      </c>
      <c r="D18" s="6"/>
      <c r="E18" s="6"/>
    </row>
    <row r="19" spans="1:5" s="5" customFormat="1" ht="18" x14ac:dyDescent="0.4">
      <c r="A19" s="6">
        <v>18</v>
      </c>
      <c r="B19" s="6" t="s">
        <v>21</v>
      </c>
      <c r="C19" s="6">
        <v>5</v>
      </c>
      <c r="D19" s="6">
        <v>2400</v>
      </c>
      <c r="E19" s="6">
        <f t="shared" si="0"/>
        <v>12000</v>
      </c>
    </row>
    <row r="20" spans="1:5" s="5" customFormat="1" ht="18" x14ac:dyDescent="0.4">
      <c r="A20" s="6">
        <v>19</v>
      </c>
      <c r="B20" s="6" t="s">
        <v>22</v>
      </c>
      <c r="C20" s="6">
        <v>2</v>
      </c>
      <c r="D20" s="6">
        <v>1800</v>
      </c>
      <c r="E20" s="6">
        <f t="shared" si="0"/>
        <v>3600</v>
      </c>
    </row>
    <row r="21" spans="1:5" s="5" customFormat="1" ht="18" x14ac:dyDescent="0.4">
      <c r="A21" s="6">
        <v>20</v>
      </c>
      <c r="B21" s="6" t="s">
        <v>23</v>
      </c>
      <c r="C21" s="6">
        <v>2</v>
      </c>
      <c r="D21" s="6">
        <v>1400</v>
      </c>
      <c r="E21" s="6">
        <f t="shared" si="0"/>
        <v>2800</v>
      </c>
    </row>
    <row r="22" spans="1:5" s="5" customFormat="1" ht="18" x14ac:dyDescent="0.4">
      <c r="A22" s="6">
        <v>21</v>
      </c>
      <c r="B22" s="6" t="s">
        <v>24</v>
      </c>
      <c r="C22" s="6">
        <v>1</v>
      </c>
      <c r="D22" s="6">
        <v>2600</v>
      </c>
      <c r="E22" s="6">
        <f t="shared" si="0"/>
        <v>2600</v>
      </c>
    </row>
    <row r="23" spans="1:5" s="5" customFormat="1" ht="18" x14ac:dyDescent="0.4">
      <c r="A23" s="6">
        <v>22</v>
      </c>
      <c r="B23" s="6" t="s">
        <v>25</v>
      </c>
      <c r="C23" s="6">
        <v>2</v>
      </c>
      <c r="D23" s="6"/>
      <c r="E23" s="6"/>
    </row>
    <row r="24" spans="1:5" s="5" customFormat="1" ht="18" x14ac:dyDescent="0.4">
      <c r="A24" s="6">
        <v>23</v>
      </c>
      <c r="B24" s="6" t="s">
        <v>26</v>
      </c>
      <c r="C24" s="6">
        <v>5</v>
      </c>
      <c r="D24" s="6">
        <v>720</v>
      </c>
      <c r="E24" s="6">
        <f t="shared" si="0"/>
        <v>3600</v>
      </c>
    </row>
    <row r="25" spans="1:5" s="5" customFormat="1" ht="18" x14ac:dyDescent="0.4">
      <c r="A25" s="6">
        <v>24</v>
      </c>
      <c r="B25" s="6" t="s">
        <v>27</v>
      </c>
      <c r="C25" s="6">
        <v>3</v>
      </c>
      <c r="D25" s="6">
        <v>250000</v>
      </c>
      <c r="E25" s="6">
        <f t="shared" si="0"/>
        <v>750000</v>
      </c>
    </row>
    <row r="26" spans="1:5" s="5" customFormat="1" ht="18" x14ac:dyDescent="0.4">
      <c r="A26" s="6">
        <v>25</v>
      </c>
      <c r="B26" s="6" t="s">
        <v>28</v>
      </c>
      <c r="C26" s="6">
        <v>100</v>
      </c>
      <c r="D26" s="6">
        <v>170</v>
      </c>
      <c r="E26" s="6">
        <f t="shared" si="0"/>
        <v>17000</v>
      </c>
    </row>
    <row r="27" spans="1:5" s="5" customFormat="1" ht="18.5" thickBot="1" x14ac:dyDescent="0.45">
      <c r="A27" s="7">
        <v>26</v>
      </c>
      <c r="B27" s="7" t="s">
        <v>29</v>
      </c>
      <c r="C27" s="7">
        <v>2</v>
      </c>
      <c r="D27" s="7">
        <v>720</v>
      </c>
      <c r="E27" s="7">
        <f t="shared" si="0"/>
        <v>1440</v>
      </c>
    </row>
    <row r="28" spans="1:5" s="3" customFormat="1" ht="35.5" customHeight="1" thickTop="1" thickBot="1" x14ac:dyDescent="0.4">
      <c r="A28" s="8"/>
      <c r="B28" s="8" t="s">
        <v>3</v>
      </c>
      <c r="C28" s="8"/>
      <c r="D28" s="8"/>
      <c r="E28" s="8">
        <f>SUM(E2:E27)</f>
        <v>1457240</v>
      </c>
    </row>
    <row r="29" spans="1:5" s="5" customFormat="1" ht="18.5" thickTop="1" x14ac:dyDescent="0.4"/>
    <row r="30" spans="1:5" s="5" customFormat="1" ht="18" x14ac:dyDescent="0.4"/>
    <row r="31" spans="1:5" s="5" customFormat="1" ht="18" x14ac:dyDescent="0.4"/>
    <row r="32" spans="1:5" s="5" customFormat="1" ht="18" x14ac:dyDescent="0.4"/>
    <row r="33" s="5" customFormat="1" ht="18" x14ac:dyDescent="0.4"/>
    <row r="34" s="5" customFormat="1" ht="18" x14ac:dyDescent="0.4"/>
    <row r="35" s="5" customFormat="1" ht="18" x14ac:dyDescent="0.4"/>
    <row r="36" s="5" customFormat="1" ht="18" x14ac:dyDescent="0.4"/>
    <row r="37" s="5" customFormat="1" ht="18" x14ac:dyDescent="0.4"/>
    <row r="38" s="5" customFormat="1" ht="18" x14ac:dyDescent="0.4"/>
    <row r="39" s="5" customFormat="1" ht="18" x14ac:dyDescent="0.4"/>
    <row r="40" s="5" customFormat="1" ht="18" x14ac:dyDescent="0.4"/>
    <row r="41" s="5" customFormat="1" ht="18" x14ac:dyDescent="0.4"/>
    <row r="42" s="5" customFormat="1" ht="18" x14ac:dyDescent="0.4"/>
    <row r="43" s="5" customFormat="1" ht="18" x14ac:dyDescent="0.4"/>
    <row r="44" s="5" customFormat="1" ht="18" x14ac:dyDescent="0.4"/>
    <row r="45" s="5" customFormat="1" ht="18" x14ac:dyDescent="0.4"/>
    <row r="46" s="5" customFormat="1" ht="18" x14ac:dyDescent="0.4"/>
    <row r="47" s="5" customFormat="1" ht="18" x14ac:dyDescent="0.4"/>
    <row r="48" s="5" customFormat="1" ht="18" x14ac:dyDescent="0.4"/>
    <row r="49" s="5" customFormat="1" ht="18" x14ac:dyDescent="0.4"/>
    <row r="50" s="5" customFormat="1" ht="18" x14ac:dyDescent="0.4"/>
    <row r="51" s="5" customFormat="1" ht="18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0CED-A0FC-4192-A077-4CA5720E1364}">
  <dimension ref="A1:J49"/>
  <sheetViews>
    <sheetView tabSelected="1" workbookViewId="0">
      <selection activeCell="C45" sqref="C45"/>
    </sheetView>
  </sheetViews>
  <sheetFormatPr defaultRowHeight="14.5" x14ac:dyDescent="0.35"/>
  <cols>
    <col min="1" max="1" width="68.1796875" bestFit="1" customWidth="1"/>
    <col min="2" max="2" width="14.6328125" bestFit="1" customWidth="1"/>
    <col min="3" max="3" width="16.90625" bestFit="1" customWidth="1"/>
    <col min="4" max="4" width="11" style="27" bestFit="1" customWidth="1"/>
    <col min="5" max="5" width="12.54296875" style="28" bestFit="1" customWidth="1"/>
    <col min="8" max="8" width="2.08984375" bestFit="1" customWidth="1"/>
    <col min="9" max="9" width="9.90625" bestFit="1" customWidth="1"/>
    <col min="10" max="10" width="22.90625" bestFit="1" customWidth="1"/>
  </cols>
  <sheetData>
    <row r="1" spans="1:10" ht="15.5" x14ac:dyDescent="0.35">
      <c r="A1" s="10" t="s">
        <v>30</v>
      </c>
      <c r="B1" s="10" t="s">
        <v>31</v>
      </c>
      <c r="C1" s="11" t="s">
        <v>32</v>
      </c>
      <c r="D1" s="12" t="s">
        <v>2</v>
      </c>
      <c r="E1" s="13" t="s">
        <v>3</v>
      </c>
    </row>
    <row r="2" spans="1:10" ht="31" x14ac:dyDescent="0.35">
      <c r="A2" s="14" t="s">
        <v>33</v>
      </c>
      <c r="B2" s="15" t="s">
        <v>34</v>
      </c>
      <c r="C2" s="16">
        <v>20</v>
      </c>
      <c r="D2" s="17">
        <v>5200</v>
      </c>
      <c r="E2" s="18">
        <f t="shared" ref="E2:E44" si="0">C2*D2</f>
        <v>104000</v>
      </c>
      <c r="J2" s="19"/>
    </row>
    <row r="3" spans="1:10" ht="15.5" x14ac:dyDescent="0.35">
      <c r="A3" s="15" t="s">
        <v>35</v>
      </c>
      <c r="B3" s="15" t="s">
        <v>34</v>
      </c>
      <c r="C3" s="16">
        <v>10</v>
      </c>
      <c r="D3" s="17">
        <v>6000</v>
      </c>
      <c r="E3" s="18">
        <f t="shared" si="0"/>
        <v>60000</v>
      </c>
    </row>
    <row r="4" spans="1:10" ht="15.5" x14ac:dyDescent="0.35">
      <c r="A4" s="15" t="s">
        <v>36</v>
      </c>
      <c r="B4" s="15" t="s">
        <v>34</v>
      </c>
      <c r="C4" s="16">
        <v>2</v>
      </c>
      <c r="D4" s="17">
        <v>64000</v>
      </c>
      <c r="E4" s="18">
        <f t="shared" si="0"/>
        <v>128000</v>
      </c>
    </row>
    <row r="5" spans="1:10" ht="18" x14ac:dyDescent="0.35">
      <c r="A5" s="20" t="s">
        <v>37</v>
      </c>
      <c r="B5" s="20" t="s">
        <v>38</v>
      </c>
      <c r="C5" s="21">
        <v>10</v>
      </c>
      <c r="D5" s="17">
        <v>17600</v>
      </c>
      <c r="E5" s="18">
        <f t="shared" si="0"/>
        <v>176000</v>
      </c>
    </row>
    <row r="6" spans="1:10" ht="15.5" x14ac:dyDescent="0.35">
      <c r="A6" s="20" t="s">
        <v>39</v>
      </c>
      <c r="B6" s="20" t="s">
        <v>40</v>
      </c>
      <c r="C6" s="21">
        <v>4</v>
      </c>
      <c r="D6" s="17">
        <v>35200</v>
      </c>
      <c r="E6" s="18">
        <f t="shared" si="0"/>
        <v>140800</v>
      </c>
    </row>
    <row r="7" spans="1:10" ht="15.5" x14ac:dyDescent="0.35">
      <c r="A7" s="20" t="s">
        <v>41</v>
      </c>
      <c r="B7" s="20" t="s">
        <v>40</v>
      </c>
      <c r="C7" s="21">
        <v>1</v>
      </c>
      <c r="D7" s="17">
        <v>35200</v>
      </c>
      <c r="E7" s="18">
        <f t="shared" si="0"/>
        <v>35200</v>
      </c>
    </row>
    <row r="8" spans="1:10" ht="15.5" x14ac:dyDescent="0.35">
      <c r="A8" s="15" t="s">
        <v>42</v>
      </c>
      <c r="B8" s="15" t="s">
        <v>40</v>
      </c>
      <c r="C8" s="16">
        <v>1</v>
      </c>
      <c r="D8" s="17">
        <v>47000</v>
      </c>
      <c r="E8" s="18">
        <f t="shared" si="0"/>
        <v>47000</v>
      </c>
    </row>
    <row r="9" spans="1:10" ht="15.5" x14ac:dyDescent="0.35">
      <c r="A9" s="15" t="s">
        <v>43</v>
      </c>
      <c r="B9" s="15" t="s">
        <v>44</v>
      </c>
      <c r="C9" s="16">
        <v>1</v>
      </c>
      <c r="D9" s="17">
        <v>24000</v>
      </c>
      <c r="E9" s="18">
        <f t="shared" si="0"/>
        <v>24000</v>
      </c>
    </row>
    <row r="10" spans="1:10" ht="16.25" customHeight="1" x14ac:dyDescent="0.35">
      <c r="A10" s="14" t="s">
        <v>45</v>
      </c>
      <c r="B10" s="15" t="s">
        <v>46</v>
      </c>
      <c r="C10" s="16">
        <v>1</v>
      </c>
      <c r="D10" s="17">
        <v>22100</v>
      </c>
      <c r="E10" s="18">
        <f t="shared" si="0"/>
        <v>22100</v>
      </c>
    </row>
    <row r="11" spans="1:10" ht="15.5" x14ac:dyDescent="0.35">
      <c r="A11" s="15" t="s">
        <v>47</v>
      </c>
      <c r="B11" s="15" t="s">
        <v>34</v>
      </c>
      <c r="C11" s="16">
        <v>4</v>
      </c>
      <c r="D11" s="17">
        <v>7600</v>
      </c>
      <c r="E11" s="18">
        <f t="shared" si="0"/>
        <v>30400</v>
      </c>
    </row>
    <row r="12" spans="1:10" ht="15.5" x14ac:dyDescent="0.35">
      <c r="A12" s="15" t="s">
        <v>48</v>
      </c>
      <c r="B12" s="15" t="s">
        <v>34</v>
      </c>
      <c r="C12" s="16">
        <v>2</v>
      </c>
      <c r="D12" s="17">
        <v>3300</v>
      </c>
      <c r="E12" s="18">
        <f t="shared" si="0"/>
        <v>6600</v>
      </c>
    </row>
    <row r="13" spans="1:10" ht="15.5" x14ac:dyDescent="0.35">
      <c r="A13" s="15" t="s">
        <v>49</v>
      </c>
      <c r="B13" s="15" t="s">
        <v>34</v>
      </c>
      <c r="C13" s="16">
        <v>10</v>
      </c>
      <c r="D13" s="17">
        <v>2100</v>
      </c>
      <c r="E13" s="18">
        <f t="shared" si="0"/>
        <v>21000</v>
      </c>
    </row>
    <row r="14" spans="1:10" ht="15.5" x14ac:dyDescent="0.35">
      <c r="A14" s="15" t="s">
        <v>50</v>
      </c>
      <c r="B14" s="15" t="s">
        <v>51</v>
      </c>
      <c r="C14" s="16">
        <v>4</v>
      </c>
      <c r="D14" s="17">
        <v>12100</v>
      </c>
      <c r="E14" s="18">
        <f t="shared" si="0"/>
        <v>48400</v>
      </c>
    </row>
    <row r="15" spans="1:10" ht="15.5" x14ac:dyDescent="0.35">
      <c r="A15" s="15" t="s">
        <v>52</v>
      </c>
      <c r="B15" s="15" t="s">
        <v>51</v>
      </c>
      <c r="C15" s="16">
        <v>4</v>
      </c>
      <c r="D15" s="17">
        <v>16000</v>
      </c>
      <c r="E15" s="18">
        <f t="shared" si="0"/>
        <v>64000</v>
      </c>
    </row>
    <row r="16" spans="1:10" ht="18" x14ac:dyDescent="0.35">
      <c r="A16" s="15" t="s">
        <v>53</v>
      </c>
      <c r="B16" s="15" t="s">
        <v>54</v>
      </c>
      <c r="C16" s="16">
        <v>2</v>
      </c>
      <c r="D16" s="17">
        <v>30000</v>
      </c>
      <c r="E16" s="18">
        <f t="shared" si="0"/>
        <v>60000</v>
      </c>
    </row>
    <row r="17" spans="1:5" ht="18" x14ac:dyDescent="0.35">
      <c r="A17" s="15" t="s">
        <v>55</v>
      </c>
      <c r="B17" s="15" t="s">
        <v>54</v>
      </c>
      <c r="C17" s="16">
        <v>2</v>
      </c>
      <c r="D17" s="17">
        <v>37900</v>
      </c>
      <c r="E17" s="18">
        <f t="shared" si="0"/>
        <v>75800</v>
      </c>
    </row>
    <row r="18" spans="1:5" ht="15.5" x14ac:dyDescent="0.35">
      <c r="A18" s="15" t="s">
        <v>56</v>
      </c>
      <c r="B18" s="15" t="s">
        <v>57</v>
      </c>
      <c r="C18" s="16">
        <v>2</v>
      </c>
      <c r="D18" s="17">
        <v>4700</v>
      </c>
      <c r="E18" s="18">
        <f t="shared" si="0"/>
        <v>9400</v>
      </c>
    </row>
    <row r="19" spans="1:5" ht="15.5" x14ac:dyDescent="0.35">
      <c r="A19" s="15" t="s">
        <v>58</v>
      </c>
      <c r="B19" s="15" t="s">
        <v>40</v>
      </c>
      <c r="C19" s="16">
        <v>2</v>
      </c>
      <c r="D19" s="17">
        <v>17200</v>
      </c>
      <c r="E19" s="18">
        <f t="shared" si="0"/>
        <v>34400</v>
      </c>
    </row>
    <row r="20" spans="1:5" ht="15.5" x14ac:dyDescent="0.35">
      <c r="A20" s="15" t="s">
        <v>59</v>
      </c>
      <c r="B20" s="15" t="s">
        <v>40</v>
      </c>
      <c r="C20" s="16">
        <v>5</v>
      </c>
      <c r="D20" s="17">
        <v>16100</v>
      </c>
      <c r="E20" s="18">
        <f t="shared" si="0"/>
        <v>80500</v>
      </c>
    </row>
    <row r="21" spans="1:5" ht="15.5" x14ac:dyDescent="0.35">
      <c r="A21" s="15" t="s">
        <v>60</v>
      </c>
      <c r="B21" s="15" t="s">
        <v>40</v>
      </c>
      <c r="C21" s="16">
        <v>4</v>
      </c>
      <c r="D21" s="17">
        <v>17200</v>
      </c>
      <c r="E21" s="18">
        <f t="shared" si="0"/>
        <v>68800</v>
      </c>
    </row>
    <row r="22" spans="1:5" ht="15.5" x14ac:dyDescent="0.35">
      <c r="A22" s="15" t="s">
        <v>61</v>
      </c>
      <c r="B22" s="15" t="s">
        <v>51</v>
      </c>
      <c r="C22" s="16">
        <v>4</v>
      </c>
      <c r="D22" s="17">
        <v>74000</v>
      </c>
      <c r="E22" s="18">
        <f t="shared" si="0"/>
        <v>296000</v>
      </c>
    </row>
    <row r="23" spans="1:5" ht="15.5" x14ac:dyDescent="0.35">
      <c r="A23" s="15" t="s">
        <v>62</v>
      </c>
      <c r="B23" s="15" t="s">
        <v>46</v>
      </c>
      <c r="C23" s="16">
        <v>1</v>
      </c>
      <c r="D23" s="17">
        <v>2650</v>
      </c>
      <c r="E23" s="18">
        <f t="shared" si="0"/>
        <v>2650</v>
      </c>
    </row>
    <row r="24" spans="1:5" ht="15.5" x14ac:dyDescent="0.35">
      <c r="A24" s="15" t="s">
        <v>63</v>
      </c>
      <c r="B24" s="15" t="s">
        <v>46</v>
      </c>
      <c r="C24" s="16">
        <v>1</v>
      </c>
      <c r="D24" s="17">
        <v>2000</v>
      </c>
      <c r="E24" s="18">
        <f t="shared" si="0"/>
        <v>2000</v>
      </c>
    </row>
    <row r="25" spans="1:5" ht="15.5" x14ac:dyDescent="0.35">
      <c r="A25" s="22" t="s">
        <v>7</v>
      </c>
      <c r="B25" s="15" t="s">
        <v>64</v>
      </c>
      <c r="C25" s="16">
        <v>2</v>
      </c>
      <c r="D25" s="17">
        <v>16300</v>
      </c>
      <c r="E25" s="18">
        <f t="shared" si="0"/>
        <v>32600</v>
      </c>
    </row>
    <row r="26" spans="1:5" ht="15.5" x14ac:dyDescent="0.35">
      <c r="A26" s="15" t="s">
        <v>65</v>
      </c>
      <c r="B26" s="15" t="s">
        <v>64</v>
      </c>
      <c r="C26" s="16">
        <v>2</v>
      </c>
      <c r="D26" s="17">
        <v>3300</v>
      </c>
      <c r="E26" s="18">
        <f t="shared" si="0"/>
        <v>6600</v>
      </c>
    </row>
    <row r="27" spans="1:5" ht="15.5" x14ac:dyDescent="0.35">
      <c r="A27" s="15" t="s">
        <v>66</v>
      </c>
      <c r="B27" s="15" t="s">
        <v>40</v>
      </c>
      <c r="C27" s="16">
        <v>4</v>
      </c>
      <c r="D27" s="17">
        <v>5200</v>
      </c>
      <c r="E27" s="18">
        <f t="shared" si="0"/>
        <v>20800</v>
      </c>
    </row>
    <row r="28" spans="1:5" ht="15.5" x14ac:dyDescent="0.35">
      <c r="A28" s="15" t="s">
        <v>67</v>
      </c>
      <c r="B28" s="15" t="s">
        <v>40</v>
      </c>
      <c r="C28" s="16">
        <v>2</v>
      </c>
      <c r="D28" s="17">
        <v>14500</v>
      </c>
      <c r="E28" s="18">
        <f t="shared" si="0"/>
        <v>29000</v>
      </c>
    </row>
    <row r="29" spans="1:5" ht="15.5" x14ac:dyDescent="0.35">
      <c r="A29" s="15" t="s">
        <v>68</v>
      </c>
      <c r="B29" s="15" t="s">
        <v>40</v>
      </c>
      <c r="C29" s="16">
        <v>10</v>
      </c>
      <c r="D29" s="17">
        <v>800</v>
      </c>
      <c r="E29" s="18">
        <f t="shared" si="0"/>
        <v>8000</v>
      </c>
    </row>
    <row r="30" spans="1:5" ht="15.5" x14ac:dyDescent="0.35">
      <c r="A30" s="15" t="s">
        <v>69</v>
      </c>
      <c r="B30" s="15" t="s">
        <v>70</v>
      </c>
      <c r="C30" s="16">
        <v>4</v>
      </c>
      <c r="D30" s="17">
        <v>750</v>
      </c>
      <c r="E30" s="18">
        <f t="shared" si="0"/>
        <v>3000</v>
      </c>
    </row>
    <row r="31" spans="1:5" ht="15.5" x14ac:dyDescent="0.35">
      <c r="A31" s="15" t="s">
        <v>71</v>
      </c>
      <c r="B31" s="15" t="s">
        <v>72</v>
      </c>
      <c r="C31" s="16">
        <v>240</v>
      </c>
      <c r="D31" s="17">
        <v>300</v>
      </c>
      <c r="E31" s="18">
        <f t="shared" si="0"/>
        <v>72000</v>
      </c>
    </row>
    <row r="32" spans="1:5" ht="15.5" x14ac:dyDescent="0.35">
      <c r="A32" s="15" t="s">
        <v>73</v>
      </c>
      <c r="B32" s="15" t="s">
        <v>74</v>
      </c>
      <c r="C32" s="16">
        <v>5</v>
      </c>
      <c r="D32" s="17">
        <v>2950</v>
      </c>
      <c r="E32" s="18">
        <f t="shared" si="0"/>
        <v>14750</v>
      </c>
    </row>
    <row r="33" spans="1:5" ht="15.5" x14ac:dyDescent="0.35">
      <c r="A33" s="15" t="s">
        <v>75</v>
      </c>
      <c r="B33" s="15" t="s">
        <v>74</v>
      </c>
      <c r="C33" s="16">
        <v>5</v>
      </c>
      <c r="D33" s="17">
        <v>2900</v>
      </c>
      <c r="E33" s="18">
        <f t="shared" si="0"/>
        <v>14500</v>
      </c>
    </row>
    <row r="34" spans="1:5" ht="15.5" x14ac:dyDescent="0.35">
      <c r="A34" s="15" t="s">
        <v>76</v>
      </c>
      <c r="B34" s="15" t="s">
        <v>77</v>
      </c>
      <c r="C34" s="16">
        <v>30</v>
      </c>
      <c r="D34" s="17">
        <v>600</v>
      </c>
      <c r="E34" s="18">
        <f t="shared" si="0"/>
        <v>18000</v>
      </c>
    </row>
    <row r="35" spans="1:5" ht="15.5" x14ac:dyDescent="0.35">
      <c r="A35" s="15" t="s">
        <v>78</v>
      </c>
      <c r="B35" s="15" t="s">
        <v>79</v>
      </c>
      <c r="C35" s="16">
        <v>5</v>
      </c>
      <c r="D35" s="17">
        <v>2200</v>
      </c>
      <c r="E35" s="18">
        <f t="shared" si="0"/>
        <v>11000</v>
      </c>
    </row>
    <row r="36" spans="1:5" ht="15.5" x14ac:dyDescent="0.35">
      <c r="A36" s="15" t="s">
        <v>80</v>
      </c>
      <c r="B36" s="15" t="s">
        <v>81</v>
      </c>
      <c r="C36" s="16">
        <v>3</v>
      </c>
      <c r="D36" s="17">
        <v>7500</v>
      </c>
      <c r="E36" s="18">
        <f t="shared" si="0"/>
        <v>22500</v>
      </c>
    </row>
    <row r="37" spans="1:5" ht="15.5" x14ac:dyDescent="0.35">
      <c r="A37" s="15" t="s">
        <v>82</v>
      </c>
      <c r="B37" s="15" t="s">
        <v>81</v>
      </c>
      <c r="C37" s="16">
        <v>4</v>
      </c>
      <c r="D37" s="17">
        <v>8000</v>
      </c>
      <c r="E37" s="18">
        <f t="shared" si="0"/>
        <v>32000</v>
      </c>
    </row>
    <row r="38" spans="1:5" ht="15.5" x14ac:dyDescent="0.35">
      <c r="A38" s="15" t="s">
        <v>83</v>
      </c>
      <c r="B38" s="15" t="s">
        <v>84</v>
      </c>
      <c r="C38" s="16">
        <v>1</v>
      </c>
      <c r="D38" s="17">
        <v>115000</v>
      </c>
      <c r="E38" s="18">
        <f t="shared" si="0"/>
        <v>115000</v>
      </c>
    </row>
    <row r="39" spans="1:5" ht="15.5" x14ac:dyDescent="0.35">
      <c r="A39" s="15" t="s">
        <v>85</v>
      </c>
      <c r="B39" s="15" t="s">
        <v>86</v>
      </c>
      <c r="C39" s="16">
        <v>1</v>
      </c>
      <c r="D39" s="17"/>
      <c r="E39" s="18">
        <f t="shared" si="0"/>
        <v>0</v>
      </c>
    </row>
    <row r="40" spans="1:5" ht="15.5" x14ac:dyDescent="0.35">
      <c r="A40" s="15" t="s">
        <v>87</v>
      </c>
      <c r="B40" s="15" t="s">
        <v>88</v>
      </c>
      <c r="C40" s="16">
        <v>1</v>
      </c>
      <c r="D40" s="17">
        <v>124000</v>
      </c>
      <c r="E40" s="18">
        <f t="shared" si="0"/>
        <v>124000</v>
      </c>
    </row>
    <row r="41" spans="1:5" ht="15.5" x14ac:dyDescent="0.35">
      <c r="A41" s="15" t="s">
        <v>89</v>
      </c>
      <c r="B41" s="15" t="s">
        <v>88</v>
      </c>
      <c r="C41" s="16">
        <v>1</v>
      </c>
      <c r="D41" s="17">
        <v>130000</v>
      </c>
      <c r="E41" s="18">
        <f t="shared" si="0"/>
        <v>130000</v>
      </c>
    </row>
    <row r="42" spans="1:5" ht="15.5" x14ac:dyDescent="0.35">
      <c r="A42" s="15" t="s">
        <v>90</v>
      </c>
      <c r="B42" s="15" t="s">
        <v>88</v>
      </c>
      <c r="C42" s="16">
        <v>1</v>
      </c>
      <c r="D42" s="17">
        <v>195000</v>
      </c>
      <c r="E42" s="18">
        <f t="shared" si="0"/>
        <v>195000</v>
      </c>
    </row>
    <row r="43" spans="1:5" ht="15.5" x14ac:dyDescent="0.35">
      <c r="A43" s="15" t="s">
        <v>91</v>
      </c>
      <c r="B43" s="15" t="s">
        <v>92</v>
      </c>
      <c r="C43" s="16">
        <v>5</v>
      </c>
      <c r="D43" s="17">
        <v>15000</v>
      </c>
      <c r="E43" s="18">
        <f t="shared" si="0"/>
        <v>75000</v>
      </c>
    </row>
    <row r="44" spans="1:5" ht="15.5" x14ac:dyDescent="0.35">
      <c r="A44" s="15" t="s">
        <v>93</v>
      </c>
      <c r="B44" s="15" t="s">
        <v>94</v>
      </c>
      <c r="C44" s="16">
        <v>8</v>
      </c>
      <c r="D44" s="17">
        <v>10000</v>
      </c>
      <c r="E44" s="18">
        <f t="shared" si="0"/>
        <v>80000</v>
      </c>
    </row>
    <row r="45" spans="1:5" ht="15.5" x14ac:dyDescent="0.35">
      <c r="A45" s="15" t="s">
        <v>95</v>
      </c>
      <c r="B45" s="15"/>
      <c r="C45" s="16"/>
      <c r="D45" s="17"/>
      <c r="E45" s="18"/>
    </row>
    <row r="46" spans="1:5" ht="15.5" x14ac:dyDescent="0.35">
      <c r="A46" s="15"/>
      <c r="B46" s="15"/>
      <c r="C46" s="16"/>
      <c r="D46" s="17"/>
      <c r="E46" s="18"/>
    </row>
    <row r="47" spans="1:5" ht="15.5" x14ac:dyDescent="0.35">
      <c r="A47" s="15"/>
      <c r="B47" s="15"/>
      <c r="C47" s="16"/>
      <c r="D47" s="17"/>
      <c r="E47" s="18"/>
    </row>
    <row r="48" spans="1:5" ht="15.5" x14ac:dyDescent="0.35">
      <c r="A48" s="15"/>
      <c r="B48" s="15"/>
      <c r="C48" s="16"/>
      <c r="D48" s="17"/>
      <c r="E48" s="18"/>
    </row>
    <row r="49" spans="1:5" ht="15.5" x14ac:dyDescent="0.35">
      <c r="A49" s="23" t="s">
        <v>96</v>
      </c>
      <c r="B49" s="23"/>
      <c r="C49" s="24"/>
      <c r="D49" s="25"/>
      <c r="E49" s="26">
        <f>SUM(E2:E48)</f>
        <v>2540800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COVID-19 and other respiratory </vt:lpstr>
      <vt:lpstr>Benign prostate enlargement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Guest 1</cp:lastModifiedBy>
  <dcterms:created xsi:type="dcterms:W3CDTF">2025-03-17T09:39:04Z</dcterms:created>
  <dcterms:modified xsi:type="dcterms:W3CDTF">2025-03-24T13:01:40Z</dcterms:modified>
</cp:coreProperties>
</file>